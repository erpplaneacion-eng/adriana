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OneDrive\Desktop\CHVS\adriana\"/>
    </mc:Choice>
  </mc:AlternateContent>
  <xr:revisionPtr revIDLastSave="0" documentId="8_{3B44A5BF-DDA4-48D6-9D94-8F5188CCBE7D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GASTOS ADMINISTRATIVOS 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AUMENTO">'GASTOS ADMINISTRATIVOS '!#REF!</definedName>
    <definedName name="FACT">'[1]COMEDORES VALLE'!#REF!</definedName>
    <definedName name="INCREMENTO">'GASTOS ADMINISTRATIVOS '!#REF!</definedName>
    <definedName name="Total_Acqui">#REF!</definedName>
    <definedName name="Total_Bogotá">#REF!</definedName>
    <definedName name="Total_Par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8" i="1" l="1"/>
  <c r="D130" i="1" s="1"/>
  <c r="D122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O119" i="1" s="1"/>
  <c r="O118" i="1"/>
  <c r="O117" i="1"/>
  <c r="D117" i="1"/>
  <c r="O116" i="1"/>
  <c r="D116" i="1"/>
  <c r="O115" i="1"/>
  <c r="D114" i="1"/>
  <c r="C114" i="1"/>
  <c r="O114" i="1" s="1"/>
  <c r="O113" i="1"/>
  <c r="O111" i="1"/>
  <c r="N109" i="1"/>
  <c r="M109" i="1"/>
  <c r="E109" i="1"/>
  <c r="D108" i="1"/>
  <c r="D109" i="1" s="1"/>
  <c r="C108" i="1"/>
  <c r="O108" i="1" s="1"/>
  <c r="C107" i="1"/>
  <c r="O107" i="1" s="1"/>
  <c r="C106" i="1"/>
  <c r="O106" i="1" s="1"/>
  <c r="O105" i="1"/>
  <c r="O104" i="1"/>
  <c r="O103" i="1"/>
  <c r="C102" i="1"/>
  <c r="O102" i="1" s="1"/>
  <c r="O101" i="1"/>
  <c r="C101" i="1"/>
  <c r="O100" i="1"/>
  <c r="C100" i="1"/>
  <c r="C98" i="1" s="1"/>
  <c r="C109" i="1" s="1"/>
  <c r="O99" i="1"/>
  <c r="C99" i="1"/>
  <c r="N98" i="1"/>
  <c r="M98" i="1"/>
  <c r="L98" i="1"/>
  <c r="L109" i="1" s="1"/>
  <c r="K98" i="1"/>
  <c r="K109" i="1" s="1"/>
  <c r="J98" i="1"/>
  <c r="J109" i="1" s="1"/>
  <c r="I98" i="1"/>
  <c r="I109" i="1" s="1"/>
  <c r="H98" i="1"/>
  <c r="H109" i="1" s="1"/>
  <c r="G98" i="1"/>
  <c r="G109" i="1" s="1"/>
  <c r="F98" i="1"/>
  <c r="F109" i="1" s="1"/>
  <c r="E98" i="1"/>
  <c r="D98" i="1"/>
  <c r="C95" i="1"/>
  <c r="O95" i="1" s="1"/>
  <c r="C94" i="1"/>
  <c r="O94" i="1" s="1"/>
  <c r="D93" i="1"/>
  <c r="D90" i="1" s="1"/>
  <c r="C93" i="1"/>
  <c r="C90" i="1" s="1"/>
  <c r="O92" i="1"/>
  <c r="O91" i="1"/>
  <c r="N90" i="1"/>
  <c r="M90" i="1"/>
  <c r="L90" i="1"/>
  <c r="K90" i="1"/>
  <c r="J90" i="1"/>
  <c r="I90" i="1"/>
  <c r="H90" i="1"/>
  <c r="G90" i="1"/>
  <c r="F90" i="1"/>
  <c r="E90" i="1"/>
  <c r="D89" i="1"/>
  <c r="C89" i="1"/>
  <c r="O89" i="1" s="1"/>
  <c r="C88" i="1"/>
  <c r="O88" i="1" s="1"/>
  <c r="O87" i="1"/>
  <c r="O86" i="1"/>
  <c r="C85" i="1"/>
  <c r="O85" i="1" s="1"/>
  <c r="C84" i="1"/>
  <c r="O84" i="1" s="1"/>
  <c r="C83" i="1"/>
  <c r="O83" i="1" s="1"/>
  <c r="C82" i="1"/>
  <c r="O82" i="1" s="1"/>
  <c r="C81" i="1"/>
  <c r="O81" i="1" s="1"/>
  <c r="C80" i="1"/>
  <c r="O80" i="1" s="1"/>
  <c r="C79" i="1"/>
  <c r="O79" i="1" s="1"/>
  <c r="C78" i="1"/>
  <c r="O78" i="1" s="1"/>
  <c r="D77" i="1"/>
  <c r="C77" i="1"/>
  <c r="O77" i="1" s="1"/>
  <c r="C76" i="1"/>
  <c r="O76" i="1" s="1"/>
  <c r="C75" i="1"/>
  <c r="O75" i="1" s="1"/>
  <c r="O74" i="1"/>
  <c r="C74" i="1"/>
  <c r="O73" i="1"/>
  <c r="C73" i="1"/>
  <c r="O72" i="1"/>
  <c r="O71" i="1"/>
  <c r="C70" i="1"/>
  <c r="O70" i="1" s="1"/>
  <c r="C69" i="1"/>
  <c r="O69" i="1" s="1"/>
  <c r="O68" i="1"/>
  <c r="C67" i="1"/>
  <c r="C66" i="1" s="1"/>
  <c r="N66" i="1"/>
  <c r="M66" i="1"/>
  <c r="L66" i="1"/>
  <c r="K66" i="1"/>
  <c r="J66" i="1"/>
  <c r="I66" i="1"/>
  <c r="H66" i="1"/>
  <c r="G66" i="1"/>
  <c r="F66" i="1"/>
  <c r="E66" i="1"/>
  <c r="D66" i="1"/>
  <c r="O65" i="1"/>
  <c r="O64" i="1"/>
  <c r="O63" i="1"/>
  <c r="O62" i="1" s="1"/>
  <c r="N62" i="1"/>
  <c r="M62" i="1"/>
  <c r="L62" i="1"/>
  <c r="K62" i="1"/>
  <c r="J62" i="1"/>
  <c r="I62" i="1"/>
  <c r="H62" i="1"/>
  <c r="G62" i="1"/>
  <c r="F62" i="1"/>
  <c r="E62" i="1"/>
  <c r="D62" i="1"/>
  <c r="C62" i="1"/>
  <c r="O61" i="1"/>
  <c r="O60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C58" i="1"/>
  <c r="O58" i="1" s="1"/>
  <c r="C57" i="1"/>
  <c r="O57" i="1" s="1"/>
  <c r="C56" i="1"/>
  <c r="O56" i="1" s="1"/>
  <c r="O55" i="1"/>
  <c r="O54" i="1"/>
  <c r="D54" i="1"/>
  <c r="C53" i="1"/>
  <c r="O53" i="1" s="1"/>
  <c r="N52" i="1"/>
  <c r="M52" i="1"/>
  <c r="L52" i="1"/>
  <c r="K52" i="1"/>
  <c r="J52" i="1"/>
  <c r="I52" i="1"/>
  <c r="H52" i="1"/>
  <c r="G52" i="1"/>
  <c r="F52" i="1"/>
  <c r="E52" i="1"/>
  <c r="D52" i="1"/>
  <c r="C51" i="1"/>
  <c r="O51" i="1" s="1"/>
  <c r="O50" i="1"/>
  <c r="C49" i="1"/>
  <c r="C46" i="1" s="1"/>
  <c r="O48" i="1"/>
  <c r="D48" i="1"/>
  <c r="D46" i="1" s="1"/>
  <c r="O47" i="1"/>
  <c r="C47" i="1"/>
  <c r="N46" i="1"/>
  <c r="M46" i="1"/>
  <c r="L46" i="1"/>
  <c r="K46" i="1"/>
  <c r="J46" i="1"/>
  <c r="I46" i="1"/>
  <c r="H46" i="1"/>
  <c r="G46" i="1"/>
  <c r="F46" i="1"/>
  <c r="E46" i="1"/>
  <c r="C45" i="1"/>
  <c r="O45" i="1" s="1"/>
  <c r="O44" i="1"/>
  <c r="C43" i="1"/>
  <c r="O43" i="1" s="1"/>
  <c r="C42" i="1"/>
  <c r="O42" i="1" s="1"/>
  <c r="O41" i="1"/>
  <c r="C41" i="1"/>
  <c r="O40" i="1"/>
  <c r="C40" i="1"/>
  <c r="C39" i="1"/>
  <c r="O39" i="1" s="1"/>
  <c r="C38" i="1"/>
  <c r="O38" i="1" s="1"/>
  <c r="C37" i="1"/>
  <c r="O37" i="1" s="1"/>
  <c r="O36" i="1"/>
  <c r="O35" i="1"/>
  <c r="O34" i="1"/>
  <c r="C34" i="1"/>
  <c r="C32" i="1" s="1"/>
  <c r="O33" i="1"/>
  <c r="D33" i="1"/>
  <c r="C33" i="1"/>
  <c r="N32" i="1"/>
  <c r="M32" i="1"/>
  <c r="L32" i="1"/>
  <c r="K32" i="1"/>
  <c r="K96" i="1" s="1"/>
  <c r="J32" i="1"/>
  <c r="I32" i="1"/>
  <c r="I96" i="1" s="1"/>
  <c r="H32" i="1"/>
  <c r="H96" i="1" s="1"/>
  <c r="G32" i="1"/>
  <c r="F32" i="1"/>
  <c r="E32" i="1"/>
  <c r="D32" i="1"/>
  <c r="D31" i="1"/>
  <c r="O31" i="1" s="1"/>
  <c r="O28" i="1" s="1"/>
  <c r="O30" i="1"/>
  <c r="O29" i="1"/>
  <c r="N28" i="1"/>
  <c r="M28" i="1"/>
  <c r="L28" i="1"/>
  <c r="K28" i="1"/>
  <c r="J28" i="1"/>
  <c r="I28" i="1"/>
  <c r="H28" i="1"/>
  <c r="G28" i="1"/>
  <c r="F28" i="1"/>
  <c r="E28" i="1"/>
  <c r="D28" i="1"/>
  <c r="C28" i="1"/>
  <c r="O27" i="1"/>
  <c r="O26" i="1"/>
  <c r="D26" i="1"/>
  <c r="O25" i="1"/>
  <c r="C25" i="1"/>
  <c r="C24" i="1"/>
  <c r="O24" i="1" s="1"/>
  <c r="D23" i="1"/>
  <c r="C23" i="1"/>
  <c r="O23" i="1" s="1"/>
  <c r="N22" i="1"/>
  <c r="M22" i="1"/>
  <c r="L22" i="1"/>
  <c r="K22" i="1"/>
  <c r="J22" i="1"/>
  <c r="J96" i="1" s="1"/>
  <c r="I22" i="1"/>
  <c r="H22" i="1"/>
  <c r="G22" i="1"/>
  <c r="F22" i="1"/>
  <c r="E22" i="1"/>
  <c r="D22" i="1"/>
  <c r="C22" i="1"/>
  <c r="O21" i="1"/>
  <c r="O20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C18" i="1"/>
  <c r="O18" i="1" s="1"/>
  <c r="O17" i="1"/>
  <c r="C16" i="1"/>
  <c r="O16" i="1" s="1"/>
  <c r="O15" i="1"/>
  <c r="C14" i="1"/>
  <c r="O14" i="1" s="1"/>
  <c r="N13" i="1"/>
  <c r="M13" i="1"/>
  <c r="M96" i="1" s="1"/>
  <c r="L13" i="1"/>
  <c r="L96" i="1" s="1"/>
  <c r="K13" i="1"/>
  <c r="J13" i="1"/>
  <c r="I13" i="1"/>
  <c r="H13" i="1"/>
  <c r="G13" i="1"/>
  <c r="F13" i="1"/>
  <c r="E13" i="1"/>
  <c r="D13" i="1"/>
  <c r="C13" i="1"/>
  <c r="O12" i="1"/>
  <c r="C11" i="1"/>
  <c r="O11" i="1" s="1"/>
  <c r="C10" i="1"/>
  <c r="O10" i="1" s="1"/>
  <c r="O9" i="1"/>
  <c r="C8" i="1"/>
  <c r="O8" i="1" s="1"/>
  <c r="D7" i="1"/>
  <c r="C7" i="1"/>
  <c r="O7" i="1" s="1"/>
  <c r="C6" i="1"/>
  <c r="O6" i="1" s="1"/>
  <c r="N5" i="1"/>
  <c r="N96" i="1" s="1"/>
  <c r="M5" i="1"/>
  <c r="L5" i="1"/>
  <c r="K5" i="1"/>
  <c r="J5" i="1"/>
  <c r="I5" i="1"/>
  <c r="H5" i="1"/>
  <c r="G5" i="1"/>
  <c r="G96" i="1" s="1"/>
  <c r="F5" i="1"/>
  <c r="F96" i="1" s="1"/>
  <c r="E5" i="1"/>
  <c r="D5" i="1"/>
  <c r="D96" i="1" s="1"/>
  <c r="D121" i="1" s="1"/>
  <c r="D123" i="1" s="1"/>
  <c r="E96" i="1" l="1"/>
  <c r="O52" i="1"/>
  <c r="O5" i="1"/>
  <c r="O22" i="1"/>
  <c r="O32" i="1"/>
  <c r="O98" i="1"/>
  <c r="O109" i="1" s="1"/>
  <c r="O13" i="1"/>
  <c r="C5" i="1"/>
  <c r="O49" i="1"/>
  <c r="O46" i="1" s="1"/>
  <c r="O93" i="1"/>
  <c r="O90" i="1" s="1"/>
  <c r="C52" i="1"/>
  <c r="O67" i="1"/>
  <c r="O66" i="1" s="1"/>
  <c r="C96" i="1" l="1"/>
  <c r="O9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Adriana Becerra</author>
  </authors>
  <commentList>
    <comment ref="H6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 xml:space="preserve">$15,481,270 personal pens
</t>
        </r>
      </text>
    </comment>
    <comment ref="C10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 xml:space="preserve">$2,397,200 Michael V
$6,273,000 Carlos O
</t>
        </r>
      </text>
    </comment>
    <comment ref="D1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 xml:space="preserve">$1,230,000 Estudio puesto de trabajo
$596,000 Optica
</t>
        </r>
      </text>
    </comment>
    <comment ref="C18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 xml:space="preserve">$2,000,000 Jhdez
$1,037,680 Auditorias SST
</t>
        </r>
      </text>
    </comment>
    <comment ref="D18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$6,000,000 Entrenador
$2,000,000 JH
$1,788,000 Interprete
$589,680 Pag Web</t>
        </r>
      </text>
    </comment>
    <comment ref="C2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 xml:space="preserve">Pico y placa DTO
</t>
        </r>
      </text>
    </comment>
    <comment ref="C23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 xml:space="preserve">Arrend Bod $43,506,400
Admon: $1,205,957
Admon: $533,224
</t>
        </r>
      </text>
    </comment>
    <comment ref="D23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Arrend Bod $35,700,000
          $49,300,000
Admon: $1,205,957
Admon: $533,224
Arrend Motos $850,000</t>
        </r>
      </text>
    </comment>
    <comment ref="D26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 xml:space="preserve">WMS
</t>
        </r>
      </text>
    </comment>
    <comment ref="C33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 xml:space="preserve">Escolta
</t>
        </r>
      </text>
    </comment>
    <comment ref="D34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$1,307,000 Dig WMS
$2,500,000 Chef</t>
        </r>
      </text>
    </comment>
    <comment ref="C43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 xml:space="preserve">Transporte Almuerzos
</t>
        </r>
      </text>
    </comment>
    <comment ref="C45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 xml:space="preserve">$8,589,420 Factura anual Siesa
</t>
        </r>
      </text>
    </comment>
    <comment ref="C53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 xml:space="preserve">Mtto AA
Mtto Cuartos frios
</t>
        </r>
      </text>
    </comment>
    <comment ref="D54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 xml:space="preserve">Mtto Basculas + Cuarto Frio
</t>
        </r>
      </text>
    </comment>
    <comment ref="C56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 xml:space="preserve">Medidor PH y Cuchillos
</t>
        </r>
      </text>
    </comment>
    <comment ref="D56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 xml:space="preserve">Cert ONAC Balanza dig
</t>
        </r>
      </text>
    </comment>
    <comment ref="C58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 xml:space="preserve">Recarga de extintores
</t>
        </r>
      </text>
    </comment>
    <comment ref="C67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 xml:space="preserve">DGNET Premium
</t>
        </r>
      </text>
    </comment>
    <comment ref="D67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 xml:space="preserve">LEGIS
</t>
        </r>
      </text>
    </comment>
    <comment ref="C78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$3,949,000 Elementos cuarto de bienestar</t>
        </r>
      </text>
    </comment>
    <comment ref="C79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 xml:space="preserve">Estanteria
</t>
        </r>
      </text>
    </comment>
    <comment ref="D79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Mesas</t>
        </r>
      </text>
    </comment>
    <comment ref="C84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 xml:space="preserve">$12,544,460 Compra Equipos
$8,258,600 Impresoras Wms
</t>
        </r>
      </text>
    </comment>
    <comment ref="C93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 xml:space="preserve">Multa Vehiculo VCO 277
</t>
        </r>
      </text>
    </comment>
    <comment ref="B111" authorId="1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 xml:space="preserve">Junta Directiva
</t>
        </r>
      </text>
    </comment>
  </commentList>
</comments>
</file>

<file path=xl/sharedStrings.xml><?xml version="1.0" encoding="utf-8"?>
<sst xmlns="http://schemas.openxmlformats.org/spreadsheetml/2006/main" count="193" uniqueCount="187">
  <si>
    <t xml:space="preserve">CORPORACIÓN HACIA UN VALLE SOLIDARIO </t>
  </si>
  <si>
    <t>GASTOS ADMINISTRATIVOS 2026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</si>
  <si>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</si>
  <si>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</si>
  <si>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</si>
  <si>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</si>
  <si>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</si>
  <si>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</si>
  <si>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</si>
  <si>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</si>
  <si>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</si>
  <si>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</si>
  <si>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</si>
  <si>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</si>
  <si>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ACUMULADO</t>
  </si>
  <si>
    <t>GASTOS DE PERSONAL</t>
  </si>
  <si>
    <t>Salarios</t>
  </si>
  <si>
    <t>Personal Decreto 1860/21</t>
  </si>
  <si>
    <t xml:space="preserve">51055101            </t>
  </si>
  <si>
    <t>Dotacion y Suministro</t>
  </si>
  <si>
    <t>Bonificaciones</t>
  </si>
  <si>
    <t>Capacitacion</t>
  </si>
  <si>
    <t xml:space="preserve">51058401            </t>
  </si>
  <si>
    <t>Gastos Medicos</t>
  </si>
  <si>
    <t xml:space="preserve">53954002            </t>
  </si>
  <si>
    <t>Incapacidades</t>
  </si>
  <si>
    <t>HONORARIOS</t>
  </si>
  <si>
    <t xml:space="preserve">51101001            </t>
  </si>
  <si>
    <t>Revisoria Fiscal</t>
  </si>
  <si>
    <t>Avaluos</t>
  </si>
  <si>
    <t xml:space="preserve">51102001            </t>
  </si>
  <si>
    <t>Asesoria Juridica</t>
  </si>
  <si>
    <t xml:space="preserve">51103001            </t>
  </si>
  <si>
    <t>Asesoria Financiera</t>
  </si>
  <si>
    <t xml:space="preserve">51103508            </t>
  </si>
  <si>
    <t>Asesoría Técnica</t>
  </si>
  <si>
    <t>IMPUESTOS</t>
  </si>
  <si>
    <t>Predial</t>
  </si>
  <si>
    <t>Impuestos vehiculos</t>
  </si>
  <si>
    <t>ARRENDAMIENTOS</t>
  </si>
  <si>
    <t>51201001   - 51355001</t>
  </si>
  <si>
    <t>Construcciones y Edificaciones</t>
  </si>
  <si>
    <t xml:space="preserve">51201501 - 73201501 </t>
  </si>
  <si>
    <t>Maquinaria y Equipo</t>
  </si>
  <si>
    <t xml:space="preserve">51202001            </t>
  </si>
  <si>
    <t>Equipo de Oficina</t>
  </si>
  <si>
    <t>Equipo de Computacion y comunicaciones</t>
  </si>
  <si>
    <t>Flota y Equipo de Transporte</t>
  </si>
  <si>
    <t>SEGUROS</t>
  </si>
  <si>
    <t>Cumplimiento</t>
  </si>
  <si>
    <t>Responsabilidad Civil y Extracontractual</t>
  </si>
  <si>
    <t>OTROS - Funerarios</t>
  </si>
  <si>
    <t>SERVICIOS</t>
  </si>
  <si>
    <t>Aseo y Vigilancia</t>
  </si>
  <si>
    <t xml:space="preserve">51351001   -   51351004        </t>
  </si>
  <si>
    <t>Temporales</t>
  </si>
  <si>
    <t>Comunicaciones</t>
  </si>
  <si>
    <t xml:space="preserve">51351502            </t>
  </si>
  <si>
    <t>Laboratorio</t>
  </si>
  <si>
    <t xml:space="preserve">51351503            </t>
  </si>
  <si>
    <t>Fumigacion</t>
  </si>
  <si>
    <t xml:space="preserve">51352501            </t>
  </si>
  <si>
    <t>Acueducto y Alcantarillado</t>
  </si>
  <si>
    <t xml:space="preserve">51353001            </t>
  </si>
  <si>
    <t>Energía Electrica</t>
  </si>
  <si>
    <t xml:space="preserve">51353501            </t>
  </si>
  <si>
    <t>Telefono</t>
  </si>
  <si>
    <t xml:space="preserve">51353502            </t>
  </si>
  <si>
    <t>Internet</t>
  </si>
  <si>
    <t xml:space="preserve">51354001            </t>
  </si>
  <si>
    <t>Correo, Portes, telegramas</t>
  </si>
  <si>
    <t>51355001</t>
  </si>
  <si>
    <t>Transporte, fletes y acarreos</t>
  </si>
  <si>
    <t>Gas</t>
  </si>
  <si>
    <t xml:space="preserve">51356501            </t>
  </si>
  <si>
    <t>Servicio Web-Hosting-Nube- Licencias Siesa y planeacion</t>
  </si>
  <si>
    <t>GASTOS LEGALES</t>
  </si>
  <si>
    <t>Notariales</t>
  </si>
  <si>
    <t>Registro Mercantil y proponentes</t>
  </si>
  <si>
    <t>Tramites y Licencias</t>
  </si>
  <si>
    <t>Servicio de Registro BMC</t>
  </si>
  <si>
    <t xml:space="preserve">514095              </t>
  </si>
  <si>
    <t>Certificados Camara Comercio , proponentes y tradicion, JCC</t>
  </si>
  <si>
    <t>MANTENIMIENTO Y REPARACIONES</t>
  </si>
  <si>
    <t xml:space="preserve">51451001            </t>
  </si>
  <si>
    <t xml:space="preserve">51451501            </t>
  </si>
  <si>
    <t xml:space="preserve">51451001      -   51451501  </t>
  </si>
  <si>
    <t>Planta Plan Basico de Saneamiento</t>
  </si>
  <si>
    <t xml:space="preserve">51452501            </t>
  </si>
  <si>
    <t>Equipo de Computacion y Comunic</t>
  </si>
  <si>
    <t>Plan SST</t>
  </si>
  <si>
    <t>ADECUACIONES E INSTALACIONES</t>
  </si>
  <si>
    <t>Inversion infraestructura</t>
  </si>
  <si>
    <t>Reparaciones Locativas</t>
  </si>
  <si>
    <t>GASTOS DE VIAJE</t>
  </si>
  <si>
    <t xml:space="preserve">51550501            </t>
  </si>
  <si>
    <t>Alojamiento y Manutencion</t>
  </si>
  <si>
    <t xml:space="preserve">51551501            </t>
  </si>
  <si>
    <t>Pasajes Aereos</t>
  </si>
  <si>
    <t>Pasajes Terrestres</t>
  </si>
  <si>
    <t>DIVERSOS</t>
  </si>
  <si>
    <t xml:space="preserve">51951001            </t>
  </si>
  <si>
    <t>Libros, suscripciones, period</t>
  </si>
  <si>
    <t>Seguros Funerarios</t>
  </si>
  <si>
    <t xml:space="preserve">51952501            </t>
  </si>
  <si>
    <t>Elementos de Aseo y Cafeteria</t>
  </si>
  <si>
    <t xml:space="preserve">51953001            </t>
  </si>
  <si>
    <t>Papeleria</t>
  </si>
  <si>
    <t xml:space="preserve">51953002            </t>
  </si>
  <si>
    <t>Fotocopias</t>
  </si>
  <si>
    <t xml:space="preserve">51953501            </t>
  </si>
  <si>
    <t>Combustible y Lubricantes</t>
  </si>
  <si>
    <t>51954001   - '71100501</t>
  </si>
  <si>
    <t>Envases y Empaques</t>
  </si>
  <si>
    <t xml:space="preserve">51954501            </t>
  </si>
  <si>
    <t>Taxis y Buses</t>
  </si>
  <si>
    <t xml:space="preserve">51956001            </t>
  </si>
  <si>
    <t>Casino y Restaurante (Refrigerios)</t>
  </si>
  <si>
    <t xml:space="preserve">51956501            </t>
  </si>
  <si>
    <t>Parqueaderos</t>
  </si>
  <si>
    <t xml:space="preserve">51956601            </t>
  </si>
  <si>
    <t>Peajes</t>
  </si>
  <si>
    <t xml:space="preserve">51959501            </t>
  </si>
  <si>
    <t>Otros</t>
  </si>
  <si>
    <t xml:space="preserve">51959502            </t>
  </si>
  <si>
    <t>Compra Equipos de Oficina</t>
  </si>
  <si>
    <t xml:space="preserve">51959503            </t>
  </si>
  <si>
    <t>Compra Suministros</t>
  </si>
  <si>
    <t>Herramientas y articulos ferreteria</t>
  </si>
  <si>
    <t xml:space="preserve">51959512            </t>
  </si>
  <si>
    <t>Reuniones Fiestas y Detalles</t>
  </si>
  <si>
    <t xml:space="preserve">51959514            </t>
  </si>
  <si>
    <t>Equipos de Bodega</t>
  </si>
  <si>
    <t xml:space="preserve">51959515            </t>
  </si>
  <si>
    <t>Compra Equipos de computo y comunicación</t>
  </si>
  <si>
    <t xml:space="preserve">51959504            </t>
  </si>
  <si>
    <t>Cuota de Apoyo y Sostenimiento (SENA)</t>
  </si>
  <si>
    <t>Menaje - Basculas-Canastillas-Estibas</t>
  </si>
  <si>
    <t xml:space="preserve">51959518            </t>
  </si>
  <si>
    <t>Compra Mercado IVH</t>
  </si>
  <si>
    <t xml:space="preserve">51959517            </t>
  </si>
  <si>
    <t>Convenios medicos - EMI</t>
  </si>
  <si>
    <t>CASINO</t>
  </si>
  <si>
    <t>OTROS GASTOS DIVERSOS</t>
  </si>
  <si>
    <t>Demandas por Incumplimiento de Contrato</t>
  </si>
  <si>
    <t>Indemnizaciones</t>
  </si>
  <si>
    <t>Multas, Sanciones y Litigios</t>
  </si>
  <si>
    <t xml:space="preserve">51956002            </t>
  </si>
  <si>
    <t>Donaciones</t>
  </si>
  <si>
    <t xml:space="preserve">53954001            </t>
  </si>
  <si>
    <t>Ajuste al peso</t>
  </si>
  <si>
    <t>TOTAL ADMINISTRATIVOS</t>
  </si>
  <si>
    <t>FINANCIEROS</t>
  </si>
  <si>
    <t xml:space="preserve">530505              </t>
  </si>
  <si>
    <t>Gastos Bancarios</t>
  </si>
  <si>
    <t xml:space="preserve">530515              </t>
  </si>
  <si>
    <t>Comisiones</t>
  </si>
  <si>
    <t xml:space="preserve">53052001            </t>
  </si>
  <si>
    <t>Intereses Corrientes Obligaciones</t>
  </si>
  <si>
    <t xml:space="preserve">53052002            </t>
  </si>
  <si>
    <t>Intereses  Moratorios</t>
  </si>
  <si>
    <t>Intereses Sobregiro</t>
  </si>
  <si>
    <t xml:space="preserve">53052004            </t>
  </si>
  <si>
    <t>Intereses corrientes Leasing</t>
  </si>
  <si>
    <t xml:space="preserve">53059502            </t>
  </si>
  <si>
    <t>Seguro Credito Leasing</t>
  </si>
  <si>
    <t xml:space="preserve">51159502            </t>
  </si>
  <si>
    <t>Gravámen a Movimientos Financieros</t>
  </si>
  <si>
    <t xml:space="preserve">530595              </t>
  </si>
  <si>
    <t xml:space="preserve">Otros </t>
  </si>
  <si>
    <t>INTERESES SOCIOS</t>
  </si>
  <si>
    <t>TOTAL FINANCIEROS</t>
  </si>
  <si>
    <t>GASTOS DE PERSONAL DIRECTIVO</t>
  </si>
  <si>
    <t>GASTOS NO OPERACIONALES</t>
  </si>
  <si>
    <t>COSTO DE FACTURAS</t>
  </si>
  <si>
    <t>RECREARTE</t>
  </si>
  <si>
    <t>PROVISION 2025 - INDEMNIZACION DE PERSONAL</t>
  </si>
  <si>
    <t>(-) DESCUENTOS COMERCIALES</t>
  </si>
  <si>
    <t>(-) INGRESOS NO OPERACIONALES</t>
  </si>
  <si>
    <t>(-) INGRESOS INCAPACIDADES</t>
  </si>
  <si>
    <t>TOTAL GASTOS NO OPERACIONALES</t>
  </si>
  <si>
    <t>JUNTA</t>
  </si>
  <si>
    <t>harcodeado</t>
  </si>
  <si>
    <t>hardcodeado</t>
  </si>
  <si>
    <t>triquiñuela</t>
  </si>
  <si>
    <t>???</t>
  </si>
  <si>
    <t>??????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</si>
</sst>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_);_(* \(#,##0\);_(* &quot;-&quot;??_);_(@_)"/>
    <numFmt numFmtId="165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7"/>
      <name val="Tahoma"/>
      <family val="2"/>
    </font>
    <font>
      <b/>
      <sz val="9"/>
      <color theme="1"/>
      <name val="Tahoma"/>
      <family val="2"/>
    </font>
    <font>
      <b/>
      <sz val="11"/>
      <color theme="1"/>
      <name val="Tahoma"/>
      <family val="2"/>
    </font>
    <font>
      <sz val="8"/>
      <color theme="0"/>
      <name val="Tahoma"/>
      <family val="2"/>
    </font>
    <font>
      <sz val="9"/>
      <color theme="1"/>
      <name val="Tahoma"/>
      <family val="2"/>
    </font>
    <font>
      <b/>
      <sz val="7"/>
      <name val="Tahoma"/>
      <family val="2"/>
    </font>
    <font>
      <b/>
      <sz val="8"/>
      <color theme="0"/>
      <name val="Tahoma"/>
      <family val="2"/>
    </font>
    <font>
      <sz val="9"/>
      <name val="Tahoma"/>
      <family val="2"/>
    </font>
    <font>
      <u/>
      <sz val="11"/>
      <color theme="10"/>
      <name val="Calibri"/>
      <family val="2"/>
    </font>
    <font>
      <u/>
      <sz val="9"/>
      <color theme="10"/>
      <name val="Tahoma"/>
      <family val="2"/>
    </font>
    <font>
      <sz val="8"/>
      <color rgb="FF0070C0"/>
      <name val="Tahoma"/>
      <family val="2"/>
    </font>
    <font>
      <sz val="9"/>
      <color rgb="FFFF0000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9"/>
      <name val="Tahoma"/>
      <family val="2"/>
    </font>
    <font>
      <u val="singleAccounting"/>
      <sz val="9"/>
      <color theme="10"/>
      <name val="Tahoma"/>
      <family val="2"/>
    </font>
    <font>
      <b/>
      <sz val="10"/>
      <color theme="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theme="0" tint="-0.14990691854609822"/>
      </left>
      <right/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/>
    <xf numFmtId="9" fontId="1" fillId="0" borderId="0"/>
    <xf numFmtId="0" fontId="10" fillId="0" borderId="0">
      <alignment vertical="top"/>
      <protection locked="0"/>
    </xf>
  </cellStyleXfs>
  <cellXfs count="133">
    <xf numFmtId="0" fontId="0" fillId="0" borderId="0" xfId="0"/>
    <xf numFmtId="0" fontId="2" fillId="2" borderId="0" xfId="0" applyFont="1" applyFill="1" applyAlignment="1">
      <alignment horizontal="left"/>
    </xf>
    <xf numFmtId="4" fontId="5" fillId="2" borderId="0" xfId="0" applyNumberFormat="1" applyFont="1" applyFill="1" applyAlignment="1">
      <alignment horizontal="center"/>
    </xf>
    <xf numFmtId="0" fontId="6" fillId="2" borderId="0" xfId="0" applyFont="1" applyFill="1"/>
    <xf numFmtId="0" fontId="2" fillId="2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right" vertical="center"/>
    </xf>
    <xf numFmtId="164" fontId="3" fillId="3" borderId="1" xfId="1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164" fontId="3" fillId="0" borderId="1" xfId="1" applyNumberFormat="1" applyFont="1" applyBorder="1" applyAlignment="1">
      <alignment vertical="center"/>
    </xf>
    <xf numFmtId="4" fontId="8" fillId="2" borderId="0" xfId="0" applyNumberFormat="1" applyFont="1" applyFill="1" applyAlignment="1">
      <alignment horizontal="center"/>
    </xf>
    <xf numFmtId="0" fontId="3" fillId="2" borderId="0" xfId="0" applyFont="1" applyFill="1"/>
    <xf numFmtId="0" fontId="2" fillId="2" borderId="2" xfId="0" applyFont="1" applyFill="1" applyBorder="1"/>
    <xf numFmtId="164" fontId="9" fillId="0" borderId="4" xfId="1" applyNumberFormat="1" applyFont="1" applyBorder="1" applyAlignment="1">
      <alignment vertical="center"/>
    </xf>
    <xf numFmtId="164" fontId="6" fillId="0" borderId="5" xfId="1" applyNumberFormat="1" applyFont="1" applyBorder="1" applyAlignment="1">
      <alignment vertical="center"/>
    </xf>
    <xf numFmtId="4" fontId="5" fillId="2" borderId="0" xfId="2" applyNumberFormat="1" applyFont="1" applyFill="1" applyAlignment="1">
      <alignment horizontal="center"/>
    </xf>
    <xf numFmtId="0" fontId="6" fillId="2" borderId="6" xfId="0" applyFont="1" applyFill="1" applyBorder="1" applyAlignment="1">
      <alignment vertical="center"/>
    </xf>
    <xf numFmtId="164" fontId="9" fillId="0" borderId="6" xfId="1" applyNumberFormat="1" applyFont="1" applyBorder="1" applyAlignment="1">
      <alignment vertical="center"/>
    </xf>
    <xf numFmtId="164" fontId="6" fillId="0" borderId="7" xfId="1" applyNumberFormat="1" applyFont="1" applyBorder="1" applyAlignment="1">
      <alignment vertical="center"/>
    </xf>
    <xf numFmtId="164" fontId="11" fillId="0" borderId="6" xfId="3" applyNumberFormat="1" applyFont="1" applyBorder="1" applyAlignment="1" applyProtection="1">
      <alignment vertical="center"/>
    </xf>
    <xf numFmtId="0" fontId="2" fillId="2" borderId="2" xfId="0" applyFont="1" applyFill="1" applyBorder="1" applyAlignment="1">
      <alignment vertical="center"/>
    </xf>
    <xf numFmtId="0" fontId="6" fillId="0" borderId="6" xfId="0" applyFont="1" applyBorder="1" applyAlignment="1">
      <alignment vertical="center"/>
    </xf>
    <xf numFmtId="164" fontId="9" fillId="0" borderId="8" xfId="1" applyNumberFormat="1" applyFont="1" applyBorder="1" applyAlignment="1">
      <alignment vertical="center"/>
    </xf>
    <xf numFmtId="4" fontId="12" fillId="2" borderId="0" xfId="2" applyNumberFormat="1" applyFont="1" applyFill="1" applyAlignment="1">
      <alignment horizontal="center"/>
    </xf>
    <xf numFmtId="164" fontId="6" fillId="0" borderId="4" xfId="1" applyNumberFormat="1" applyFont="1" applyBorder="1" applyAlignment="1">
      <alignment vertical="center"/>
    </xf>
    <xf numFmtId="164" fontId="6" fillId="0" borderId="6" xfId="1" applyNumberFormat="1" applyFont="1" applyBorder="1" applyAlignment="1">
      <alignment vertical="center"/>
    </xf>
    <xf numFmtId="164" fontId="6" fillId="0" borderId="9" xfId="1" applyNumberFormat="1" applyFont="1" applyBorder="1" applyAlignment="1">
      <alignment vertical="center"/>
    </xf>
    <xf numFmtId="164" fontId="3" fillId="2" borderId="1" xfId="1" applyNumberFormat="1" applyFont="1" applyFill="1" applyBorder="1" applyAlignment="1">
      <alignment vertical="center"/>
    </xf>
    <xf numFmtId="0" fontId="6" fillId="2" borderId="10" xfId="0" applyFont="1" applyFill="1" applyBorder="1" applyAlignment="1">
      <alignment vertical="center"/>
    </xf>
    <xf numFmtId="164" fontId="9" fillId="0" borderId="11" xfId="1" applyNumberFormat="1" applyFont="1" applyBorder="1" applyAlignment="1">
      <alignment vertical="center"/>
    </xf>
    <xf numFmtId="164" fontId="13" fillId="0" borderId="11" xfId="1" applyNumberFormat="1" applyFont="1" applyBorder="1" applyAlignment="1">
      <alignment vertical="center"/>
    </xf>
    <xf numFmtId="164" fontId="6" fillId="0" borderId="11" xfId="1" applyNumberFormat="1" applyFont="1" applyBorder="1" applyAlignment="1">
      <alignment vertical="center"/>
    </xf>
    <xf numFmtId="0" fontId="6" fillId="2" borderId="8" xfId="0" applyFont="1" applyFill="1" applyBorder="1" applyAlignment="1">
      <alignment vertical="center"/>
    </xf>
    <xf numFmtId="164" fontId="6" fillId="0" borderId="8" xfId="1" applyNumberFormat="1" applyFont="1" applyBorder="1" applyAlignment="1">
      <alignment vertical="center"/>
    </xf>
    <xf numFmtId="0" fontId="3" fillId="2" borderId="12" xfId="0" applyFont="1" applyFill="1" applyBorder="1" applyAlignment="1">
      <alignment vertical="center"/>
    </xf>
    <xf numFmtId="4" fontId="14" fillId="2" borderId="0" xfId="1" applyNumberFormat="1" applyFont="1" applyFill="1" applyAlignment="1">
      <alignment horizontal="center"/>
    </xf>
    <xf numFmtId="164" fontId="6" fillId="2" borderId="9" xfId="1" applyNumberFormat="1" applyFont="1" applyFill="1" applyBorder="1" applyAlignment="1">
      <alignment vertical="center"/>
    </xf>
    <xf numFmtId="0" fontId="6" fillId="2" borderId="13" xfId="0" applyFont="1" applyFill="1" applyBorder="1" applyAlignment="1">
      <alignment vertical="center"/>
    </xf>
    <xf numFmtId="164" fontId="6" fillId="2" borderId="5" xfId="1" applyNumberFormat="1" applyFont="1" applyFill="1" applyBorder="1" applyAlignment="1">
      <alignment vertical="center"/>
    </xf>
    <xf numFmtId="164" fontId="6" fillId="2" borderId="7" xfId="1" applyNumberFormat="1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4" fontId="5" fillId="0" borderId="0" xfId="2" applyNumberFormat="1" applyFont="1" applyAlignment="1">
      <alignment horizontal="center"/>
    </xf>
    <xf numFmtId="0" fontId="3" fillId="0" borderId="0" xfId="0" applyFont="1"/>
    <xf numFmtId="0" fontId="2" fillId="0" borderId="2" xfId="0" applyFont="1" applyBorder="1" applyAlignment="1">
      <alignment vertical="center"/>
    </xf>
    <xf numFmtId="164" fontId="10" fillId="0" borderId="6" xfId="3" applyNumberFormat="1" applyBorder="1" applyAlignment="1" applyProtection="1">
      <alignment vertical="center"/>
    </xf>
    <xf numFmtId="164" fontId="3" fillId="0" borderId="16" xfId="1" applyNumberFormat="1" applyFont="1" applyBorder="1" applyAlignment="1">
      <alignment vertical="center"/>
    </xf>
    <xf numFmtId="164" fontId="6" fillId="0" borderId="16" xfId="1" applyNumberFormat="1" applyFont="1" applyBorder="1" applyAlignment="1">
      <alignment vertical="center"/>
    </xf>
    <xf numFmtId="0" fontId="6" fillId="2" borderId="17" xfId="0" applyFont="1" applyFill="1" applyBorder="1" applyAlignment="1">
      <alignment vertical="center"/>
    </xf>
    <xf numFmtId="164" fontId="6" fillId="0" borderId="17" xfId="1" applyNumberFormat="1" applyFont="1" applyBorder="1" applyAlignment="1">
      <alignment vertical="center"/>
    </xf>
    <xf numFmtId="164" fontId="6" fillId="0" borderId="14" xfId="1" applyNumberFormat="1" applyFont="1" applyBorder="1" applyAlignment="1">
      <alignment vertical="center"/>
    </xf>
    <xf numFmtId="164" fontId="6" fillId="0" borderId="3" xfId="1" applyNumberFormat="1" applyFont="1" applyBorder="1" applyAlignment="1">
      <alignment vertical="center"/>
    </xf>
    <xf numFmtId="164" fontId="10" fillId="0" borderId="4" xfId="3" applyNumberFormat="1" applyBorder="1" applyAlignment="1" applyProtection="1">
      <alignment vertical="center"/>
    </xf>
    <xf numFmtId="4" fontId="15" fillId="2" borderId="0" xfId="1" applyNumberFormat="1" applyFont="1" applyFill="1" applyAlignment="1">
      <alignment horizontal="center"/>
    </xf>
    <xf numFmtId="0" fontId="3" fillId="0" borderId="1" xfId="0" applyFont="1" applyBorder="1" applyAlignment="1">
      <alignment vertical="center"/>
    </xf>
    <xf numFmtId="164" fontId="16" fillId="0" borderId="1" xfId="1" applyNumberFormat="1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0" xfId="0" applyFont="1"/>
    <xf numFmtId="0" fontId="6" fillId="0" borderId="14" xfId="0" applyFont="1" applyBorder="1" applyAlignment="1">
      <alignment vertical="center"/>
    </xf>
    <xf numFmtId="164" fontId="6" fillId="0" borderId="0" xfId="1" applyNumberFormat="1" applyFont="1"/>
    <xf numFmtId="0" fontId="3" fillId="0" borderId="12" xfId="0" applyFont="1" applyBorder="1" applyAlignment="1">
      <alignment vertical="center"/>
    </xf>
    <xf numFmtId="164" fontId="3" fillId="0" borderId="6" xfId="1" applyNumberFormat="1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164" fontId="9" fillId="0" borderId="18" xfId="1" applyNumberFormat="1" applyFont="1" applyBorder="1" applyAlignment="1">
      <alignment vertical="center"/>
    </xf>
    <xf numFmtId="164" fontId="17" fillId="0" borderId="6" xfId="3" applyNumberFormat="1" applyFont="1" applyBorder="1" applyAlignment="1" applyProtection="1">
      <alignment vertical="center"/>
    </xf>
    <xf numFmtId="164" fontId="6" fillId="0" borderId="18" xfId="1" applyNumberFormat="1" applyFont="1" applyBorder="1" applyAlignment="1">
      <alignment vertical="center"/>
    </xf>
    <xf numFmtId="164" fontId="11" fillId="0" borderId="18" xfId="3" applyNumberFormat="1" applyFont="1" applyBorder="1" applyAlignment="1" applyProtection="1">
      <alignment vertical="center"/>
    </xf>
    <xf numFmtId="164" fontId="6" fillId="0" borderId="18" xfId="1" applyNumberFormat="1" applyFont="1" applyBorder="1" applyAlignment="1">
      <alignment horizontal="center" vertical="center"/>
    </xf>
    <xf numFmtId="0" fontId="6" fillId="0" borderId="19" xfId="0" applyFont="1" applyBorder="1" applyAlignment="1">
      <alignment vertical="center"/>
    </xf>
    <xf numFmtId="164" fontId="6" fillId="0" borderId="1" xfId="1" applyNumberFormat="1" applyFont="1" applyBorder="1" applyAlignment="1">
      <alignment vertical="center"/>
    </xf>
    <xf numFmtId="164" fontId="11" fillId="0" borderId="1" xfId="3" applyNumberFormat="1" applyFont="1" applyBorder="1" applyAlignment="1" applyProtection="1">
      <alignment vertical="center"/>
    </xf>
    <xf numFmtId="0" fontId="6" fillId="0" borderId="13" xfId="0" applyFont="1" applyBorder="1" applyAlignment="1">
      <alignment vertical="center"/>
    </xf>
    <xf numFmtId="164" fontId="6" fillId="0" borderId="20" xfId="1" applyNumberFormat="1" applyFont="1" applyBorder="1" applyAlignment="1">
      <alignment vertical="center"/>
    </xf>
    <xf numFmtId="0" fontId="3" fillId="3" borderId="21" xfId="0" applyFont="1" applyFill="1" applyBorder="1" applyAlignment="1">
      <alignment vertical="center"/>
    </xf>
    <xf numFmtId="164" fontId="18" fillId="3" borderId="22" xfId="1" applyNumberFormat="1" applyFont="1" applyFill="1" applyBorder="1" applyAlignment="1">
      <alignment vertical="center"/>
    </xf>
    <xf numFmtId="0" fontId="3" fillId="0" borderId="23" xfId="0" applyFont="1" applyBorder="1" applyAlignment="1">
      <alignment vertical="center"/>
    </xf>
    <xf numFmtId="164" fontId="6" fillId="0" borderId="23" xfId="1" applyNumberFormat="1" applyFont="1" applyBorder="1" applyAlignment="1">
      <alignment vertical="center"/>
    </xf>
    <xf numFmtId="164" fontId="9" fillId="0" borderId="23" xfId="1" applyNumberFormat="1" applyFont="1" applyBorder="1" applyAlignment="1">
      <alignment vertical="center"/>
    </xf>
    <xf numFmtId="0" fontId="2" fillId="2" borderId="0" xfId="0" quotePrefix="1" applyFont="1" applyFill="1" applyAlignment="1">
      <alignment horizontal="left" vertical="center"/>
    </xf>
    <xf numFmtId="0" fontId="3" fillId="3" borderId="12" xfId="0" applyFont="1" applyFill="1" applyBorder="1" applyAlignment="1">
      <alignment vertical="center"/>
    </xf>
    <xf numFmtId="164" fontId="3" fillId="3" borderId="1" xfId="1" applyNumberFormat="1" applyFont="1" applyFill="1" applyBorder="1" applyAlignment="1">
      <alignment vertical="center"/>
    </xf>
    <xf numFmtId="0" fontId="9" fillId="0" borderId="17" xfId="0" applyFont="1" applyBorder="1" applyAlignment="1">
      <alignment vertical="center"/>
    </xf>
    <xf numFmtId="164" fontId="16" fillId="0" borderId="6" xfId="1" applyNumberFormat="1" applyFont="1" applyBorder="1" applyAlignment="1">
      <alignment vertical="center"/>
    </xf>
    <xf numFmtId="164" fontId="3" fillId="0" borderId="22" xfId="1" applyNumberFormat="1" applyFont="1" applyBorder="1" applyAlignment="1">
      <alignment vertical="center"/>
    </xf>
    <xf numFmtId="0" fontId="6" fillId="2" borderId="0" xfId="0" applyFont="1" applyFill="1" applyAlignment="1">
      <alignment vertical="center"/>
    </xf>
    <xf numFmtId="164" fontId="6" fillId="2" borderId="0" xfId="1" applyNumberFormat="1" applyFont="1" applyFill="1" applyAlignment="1">
      <alignment vertical="center"/>
    </xf>
    <xf numFmtId="164" fontId="6" fillId="2" borderId="0" xfId="0" applyNumberFormat="1" applyFont="1" applyFill="1" applyAlignment="1">
      <alignment vertical="center"/>
    </xf>
    <xf numFmtId="164" fontId="6" fillId="2" borderId="0" xfId="1" applyNumberFormat="1" applyFont="1" applyFill="1"/>
    <xf numFmtId="164" fontId="13" fillId="2" borderId="0" xfId="1" applyNumberFormat="1" applyFont="1" applyFill="1"/>
    <xf numFmtId="164" fontId="6" fillId="2" borderId="0" xfId="0" applyNumberFormat="1" applyFont="1" applyFill="1"/>
    <xf numFmtId="164" fontId="13" fillId="2" borderId="0" xfId="0" applyNumberFormat="1" applyFont="1" applyFill="1"/>
    <xf numFmtId="164" fontId="13" fillId="2" borderId="0" xfId="1" applyNumberFormat="1" applyFont="1" applyFill="1" applyAlignment="1">
      <alignment vertical="center"/>
    </xf>
    <xf numFmtId="164" fontId="13" fillId="2" borderId="0" xfId="1" applyNumberFormat="1" applyFont="1" applyFill="1" applyAlignment="1">
      <alignment horizontal="center" vertical="center"/>
    </xf>
    <xf numFmtId="165" fontId="6" fillId="2" borderId="0" xfId="2" applyNumberFormat="1" applyFont="1" applyFill="1"/>
    <xf numFmtId="164" fontId="13" fillId="2" borderId="0" xfId="1" applyNumberFormat="1" applyFont="1" applyFill="1" applyAlignment="1">
      <alignment horizontal="center"/>
    </xf>
    <xf numFmtId="0" fontId="2" fillId="4" borderId="2" xfId="0" applyFont="1" applyFill="1" applyBorder="1"/>
    <xf numFmtId="0" fontId="6" fillId="4" borderId="3" xfId="0" applyFont="1" applyFill="1" applyBorder="1" applyAlignment="1">
      <alignment vertical="center"/>
    </xf>
    <xf numFmtId="0" fontId="6" fillId="4" borderId="6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4" borderId="15" xfId="0" applyFont="1" applyFill="1" applyBorder="1" applyAlignment="1">
      <alignment vertical="center"/>
    </xf>
    <xf numFmtId="0" fontId="6" fillId="4" borderId="8" xfId="0" applyFont="1" applyFill="1" applyBorder="1" applyAlignment="1">
      <alignment vertical="center"/>
    </xf>
    <xf numFmtId="0" fontId="6" fillId="4" borderId="13" xfId="0" applyFont="1" applyFill="1" applyBorder="1" applyAlignment="1">
      <alignment vertical="center"/>
    </xf>
    <xf numFmtId="0" fontId="6" fillId="4" borderId="17" xfId="0" applyFont="1" applyFill="1" applyBorder="1" applyAlignment="1">
      <alignment vertical="center"/>
    </xf>
    <xf numFmtId="0" fontId="2" fillId="4" borderId="0" xfId="0" applyFont="1" applyFill="1" applyAlignment="1">
      <alignment vertical="center"/>
    </xf>
    <xf numFmtId="0" fontId="6" fillId="4" borderId="19" xfId="0" applyFont="1" applyFill="1" applyBorder="1" applyAlignment="1">
      <alignment vertical="center"/>
    </xf>
    <xf numFmtId="0" fontId="2" fillId="4" borderId="0" xfId="0" applyFont="1" applyFill="1" applyAlignment="1">
      <alignment horizontal="left"/>
    </xf>
    <xf numFmtId="0" fontId="6" fillId="4" borderId="14" xfId="0" applyFont="1" applyFill="1" applyBorder="1" applyAlignment="1">
      <alignment vertical="center"/>
    </xf>
    <xf numFmtId="0" fontId="2" fillId="4" borderId="0" xfId="0" applyFont="1" applyFill="1" applyAlignment="1">
      <alignment horizontal="left" vertical="center"/>
    </xf>
    <xf numFmtId="0" fontId="9" fillId="4" borderId="17" xfId="0" applyFont="1" applyFill="1" applyBorder="1" applyAlignment="1">
      <alignment vertical="center"/>
    </xf>
    <xf numFmtId="164" fontId="4" fillId="2" borderId="0" xfId="1" applyNumberFormat="1" applyFont="1" applyFill="1" applyAlignment="1">
      <alignment horizontal="center" vertical="center" wrapText="1"/>
    </xf>
    <xf numFmtId="164" fontId="6" fillId="2" borderId="0" xfId="1" applyNumberFormat="1" applyFont="1" applyFill="1"/>
    <xf numFmtId="164" fontId="6" fillId="2" borderId="0" xfId="0" applyNumberFormat="1" applyFont="1" applyFill="1"/>
    <xf numFmtId="43" fontId="3" fillId="2" borderId="0" xfId="1" applyFont="1" applyFill="1" applyAlignment="1">
      <alignment horizontal="center" vertical="center" wrapText="1"/>
    </xf>
    <xf numFmtId="0" fontId="6" fillId="2" borderId="0" xfId="0" applyFont="1" applyFill="1"/>
    <xf numFmtId="164" fontId="9" fillId="4" borderId="6" xfId="1" applyNumberFormat="1" applyFont="1" applyFill="1" applyBorder="1" applyAlignment="1">
      <alignment vertical="center"/>
    </xf>
    <xf numFmtId="164" fontId="9" fillId="4" borderId="8" xfId="1" applyNumberFormat="1" applyFont="1" applyFill="1" applyBorder="1" applyAlignment="1">
      <alignment vertical="center"/>
    </xf>
    <xf numFmtId="164" fontId="3" fillId="4" borderId="1" xfId="1" applyNumberFormat="1" applyFont="1" applyFill="1" applyBorder="1" applyAlignment="1">
      <alignment vertical="center"/>
    </xf>
    <xf numFmtId="164" fontId="6" fillId="4" borderId="4" xfId="1" applyNumberFormat="1" applyFont="1" applyFill="1" applyBorder="1" applyAlignment="1">
      <alignment vertical="center"/>
    </xf>
    <xf numFmtId="164" fontId="6" fillId="4" borderId="6" xfId="1" applyNumberFormat="1" applyFont="1" applyFill="1" applyBorder="1" applyAlignment="1">
      <alignment vertical="center"/>
    </xf>
    <xf numFmtId="164" fontId="6" fillId="4" borderId="8" xfId="1" applyNumberFormat="1" applyFont="1" applyFill="1" applyBorder="1" applyAlignment="1">
      <alignment vertical="center"/>
    </xf>
    <xf numFmtId="164" fontId="3" fillId="4" borderId="16" xfId="1" applyNumberFormat="1" applyFont="1" applyFill="1" applyBorder="1" applyAlignment="1">
      <alignment vertical="center"/>
    </xf>
    <xf numFmtId="164" fontId="6" fillId="4" borderId="14" xfId="1" applyNumberFormat="1" applyFont="1" applyFill="1" applyBorder="1" applyAlignment="1">
      <alignment vertical="center"/>
    </xf>
    <xf numFmtId="164" fontId="6" fillId="4" borderId="18" xfId="1" applyNumberFormat="1" applyFont="1" applyFill="1" applyBorder="1" applyAlignment="1">
      <alignment horizontal="center" vertical="center"/>
    </xf>
    <xf numFmtId="164" fontId="9" fillId="4" borderId="18" xfId="1" applyNumberFormat="1" applyFont="1" applyFill="1" applyBorder="1" applyAlignment="1">
      <alignment vertical="center"/>
    </xf>
    <xf numFmtId="164" fontId="9" fillId="4" borderId="4" xfId="1" applyNumberFormat="1" applyFont="1" applyFill="1" applyBorder="1" applyAlignment="1">
      <alignment vertical="center"/>
    </xf>
    <xf numFmtId="164" fontId="6" fillId="5" borderId="8" xfId="1" applyNumberFormat="1" applyFont="1" applyFill="1" applyBorder="1" applyAlignment="1">
      <alignment vertical="center"/>
    </xf>
    <xf numFmtId="164" fontId="6" fillId="5" borderId="6" xfId="1" applyNumberFormat="1" applyFont="1" applyFill="1" applyBorder="1" applyAlignment="1">
      <alignment vertical="center"/>
    </xf>
    <xf numFmtId="164" fontId="9" fillId="5" borderId="4" xfId="1" applyNumberFormat="1" applyFont="1" applyFill="1" applyBorder="1" applyAlignment="1">
      <alignment vertical="center"/>
    </xf>
    <xf numFmtId="164" fontId="9" fillId="5" borderId="6" xfId="1" applyNumberFormat="1" applyFont="1" applyFill="1" applyBorder="1" applyAlignment="1">
      <alignment vertical="center"/>
    </xf>
    <xf numFmtId="164" fontId="9" fillId="6" borderId="6" xfId="1" applyNumberFormat="1" applyFont="1" applyFill="1" applyBorder="1" applyAlignment="1">
      <alignment vertical="center"/>
    </xf>
    <xf numFmtId="164" fontId="6" fillId="6" borderId="8" xfId="1" applyNumberFormat="1" applyFont="1" applyFill="1" applyBorder="1" applyAlignment="1">
      <alignment vertical="center"/>
    </xf>
  </cellXfs>
  <cellStyles count="4">
    <cellStyle name="Hipervínculo" xfId="3" builtinId="8"/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&#237;nculoExternoRecuperado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V&#237;nculoExternoRecuperado2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V&#237;nculoExternoRecuperado3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V&#237;nculoExternoRecuperado4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V&#237;nculoExternoRecuperado5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V&#237;nculoExternoRecuperado10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V&#237;nculoExternoRecuperado13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V&#237;nculoExternoRecuperado11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V&#237;nculoExternoRecuperado14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V&#237;nculoExternoRecuperado15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&#237;nculoExternoRecuperado16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V&#237;nculoExternoRecuperado17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V&#237;nculoExternoRecuperado18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STOS ADMINISTRATIVOS "/>
      <sheetName val="GASTOS OPERATIVOS"/>
      <sheetName val="GASTOS VEHICULOS"/>
      <sheetName val="%DIST"/>
      <sheetName val="CASINO"/>
      <sheetName val="HUNGRIA"/>
      <sheetName val="CALI"/>
      <sheetName val="YUMBO"/>
      <sheetName val="BUGA"/>
      <sheetName val="IMDERTY"/>
      <sheetName val="COMEDORES CALI"/>
      <sheetName val="CTAS EN PPACION"/>
      <sheetName val="COMEDORES PALMIRA"/>
      <sheetName val="COMEDORES VALLE"/>
      <sheetName val="ADULTO MAYOR"/>
      <sheetName val="PYG TOTAL"/>
      <sheetName val="RECREARTE"/>
    </sheetNames>
    <sheetDataSet>
      <sheetData sheetId="0"/>
      <sheetData sheetId="1">
        <row r="17">
          <cell r="D17">
            <v>334817612.00999999</v>
          </cell>
        </row>
      </sheetData>
      <sheetData sheetId="2">
        <row r="25">
          <cell r="D25">
            <v>85111503</v>
          </cell>
        </row>
      </sheetData>
      <sheetData sheetId="3"/>
      <sheetData sheetId="4">
        <row r="144">
          <cell r="C144">
            <v>26472126.799999997</v>
          </cell>
          <cell r="F144">
            <v>29999600.399999999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41">
          <cell r="C141">
            <v>15474654</v>
          </cell>
          <cell r="F141">
            <v>-1777321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 1"/>
    </sheetNames>
    <sheetDataSet>
      <sheetData sheetId="0" refreshError="1">
        <row r="9">
          <cell r="I9">
            <v>135991784</v>
          </cell>
        </row>
        <row r="12">
          <cell r="I12">
            <v>19735184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 1"/>
    </sheetNames>
    <sheetDataSet>
      <sheetData sheetId="0" refreshError="1">
        <row r="9">
          <cell r="I9">
            <v>42456276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 1"/>
    </sheetNames>
    <sheetDataSet>
      <sheetData sheetId="0" refreshError="1">
        <row r="8">
          <cell r="D8">
            <v>13055991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 1"/>
    </sheetNames>
    <sheetDataSet>
      <sheetData sheetId="0">
        <row r="7">
          <cell r="D7">
            <v>241842440</v>
          </cell>
        </row>
        <row r="10">
          <cell r="L10">
            <v>19090050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 1"/>
    </sheetNames>
    <sheetDataSet>
      <sheetData sheetId="0" refreshError="1">
        <row r="24">
          <cell r="E24">
            <v>1093270</v>
          </cell>
        </row>
        <row r="54">
          <cell r="C54">
            <v>1887131</v>
          </cell>
        </row>
        <row r="56">
          <cell r="C56">
            <v>8670200</v>
          </cell>
        </row>
        <row r="70">
          <cell r="C70">
            <v>96200</v>
          </cell>
        </row>
        <row r="73">
          <cell r="C73">
            <v>2896000</v>
          </cell>
        </row>
        <row r="75">
          <cell r="C75">
            <v>2912968</v>
          </cell>
        </row>
        <row r="77">
          <cell r="C77">
            <v>3037680</v>
          </cell>
        </row>
        <row r="82">
          <cell r="C82">
            <v>10286350.550000001</v>
          </cell>
        </row>
        <row r="85">
          <cell r="C85">
            <v>45245581</v>
          </cell>
        </row>
        <row r="87">
          <cell r="C87">
            <v>9106621</v>
          </cell>
        </row>
        <row r="89">
          <cell r="C89">
            <v>3236110</v>
          </cell>
        </row>
        <row r="97">
          <cell r="C97">
            <v>2500000</v>
          </cell>
        </row>
        <row r="99">
          <cell r="C99">
            <v>1261676</v>
          </cell>
        </row>
        <row r="101">
          <cell r="C101">
            <v>1110507</v>
          </cell>
        </row>
        <row r="103">
          <cell r="C103">
            <v>2061530</v>
          </cell>
        </row>
        <row r="105">
          <cell r="C105">
            <v>5133313</v>
          </cell>
        </row>
        <row r="106">
          <cell r="C106">
            <v>477584</v>
          </cell>
        </row>
        <row r="108">
          <cell r="C108">
            <v>44800</v>
          </cell>
        </row>
        <row r="112">
          <cell r="C112">
            <v>14481975</v>
          </cell>
        </row>
        <row r="115">
          <cell r="C115">
            <v>12852</v>
          </cell>
        </row>
        <row r="117">
          <cell r="C117">
            <v>16800</v>
          </cell>
        </row>
        <row r="118">
          <cell r="C118">
            <v>296500</v>
          </cell>
        </row>
        <row r="123">
          <cell r="C123">
            <v>5372255</v>
          </cell>
        </row>
        <row r="125">
          <cell r="C125">
            <v>275000</v>
          </cell>
        </row>
        <row r="127">
          <cell r="C127">
            <v>3115080</v>
          </cell>
        </row>
        <row r="133">
          <cell r="C133">
            <v>5120451</v>
          </cell>
        </row>
        <row r="135">
          <cell r="C135">
            <v>3232020.85</v>
          </cell>
        </row>
        <row r="137">
          <cell r="C137">
            <v>1032705</v>
          </cell>
        </row>
        <row r="141">
          <cell r="C141">
            <v>1213800</v>
          </cell>
        </row>
        <row r="143">
          <cell r="C143">
            <v>485159</v>
          </cell>
        </row>
        <row r="145">
          <cell r="C145">
            <v>882585</v>
          </cell>
        </row>
        <row r="146">
          <cell r="C146">
            <v>7300083.1900000004</v>
          </cell>
        </row>
        <row r="148">
          <cell r="C148">
            <v>33900</v>
          </cell>
        </row>
        <row r="150">
          <cell r="C150">
            <v>1927200</v>
          </cell>
        </row>
        <row r="152">
          <cell r="C152">
            <v>5349907</v>
          </cell>
        </row>
        <row r="153">
          <cell r="C153">
            <v>3927000</v>
          </cell>
        </row>
        <row r="154">
          <cell r="C154">
            <v>800000</v>
          </cell>
        </row>
        <row r="155">
          <cell r="C155">
            <v>4464808</v>
          </cell>
        </row>
        <row r="156">
          <cell r="C156">
            <v>2178708</v>
          </cell>
        </row>
        <row r="157">
          <cell r="C157">
            <v>2519100</v>
          </cell>
        </row>
        <row r="158">
          <cell r="C158">
            <v>253040</v>
          </cell>
        </row>
        <row r="159">
          <cell r="C159">
            <v>342720</v>
          </cell>
        </row>
        <row r="160">
          <cell r="C160">
            <v>22363060</v>
          </cell>
        </row>
        <row r="161">
          <cell r="C161">
            <v>643578</v>
          </cell>
        </row>
        <row r="164">
          <cell r="C164">
            <v>489046.66</v>
          </cell>
        </row>
        <row r="167">
          <cell r="C167">
            <v>1697707.56</v>
          </cell>
        </row>
        <row r="172">
          <cell r="C172">
            <v>6444863.9500000002</v>
          </cell>
        </row>
        <row r="173">
          <cell r="C173">
            <v>84553</v>
          </cell>
        </row>
        <row r="175">
          <cell r="C175">
            <v>88786</v>
          </cell>
        </row>
        <row r="177">
          <cell r="C177">
            <v>67245.78</v>
          </cell>
        </row>
        <row r="180">
          <cell r="C180">
            <v>929031</v>
          </cell>
        </row>
        <row r="182">
          <cell r="C182">
            <v>32.21</v>
          </cell>
        </row>
        <row r="402">
          <cell r="C402">
            <v>95701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 1"/>
    </sheetNames>
    <sheetDataSet>
      <sheetData sheetId="0">
        <row r="11">
          <cell r="G11">
            <v>318182</v>
          </cell>
        </row>
        <row r="13">
          <cell r="G13">
            <v>3572800</v>
          </cell>
        </row>
        <row r="15">
          <cell r="G15">
            <v>850000</v>
          </cell>
        </row>
        <row r="17">
          <cell r="G17">
            <v>36560000</v>
          </cell>
        </row>
        <row r="22">
          <cell r="G22">
            <v>3084632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 1"/>
    </sheetNames>
    <sheetDataSet>
      <sheetData sheetId="0">
        <row r="23">
          <cell r="E23">
            <v>49000</v>
          </cell>
        </row>
        <row r="28">
          <cell r="E28">
            <v>514.78</v>
          </cell>
        </row>
        <row r="30">
          <cell r="C30">
            <v>606365627.59000003</v>
          </cell>
        </row>
        <row r="84">
          <cell r="C84">
            <v>37439181</v>
          </cell>
        </row>
        <row r="90">
          <cell r="C90">
            <v>8139600</v>
          </cell>
        </row>
        <row r="95">
          <cell r="C95">
            <v>8584300</v>
          </cell>
        </row>
        <row r="120">
          <cell r="C120">
            <v>7663600</v>
          </cell>
        </row>
        <row r="128">
          <cell r="C128">
            <v>2062464</v>
          </cell>
        </row>
        <row r="129">
          <cell r="C129">
            <v>370000</v>
          </cell>
        </row>
        <row r="152">
          <cell r="C152">
            <v>2470200</v>
          </cell>
        </row>
        <row r="183">
          <cell r="C183">
            <v>5000000</v>
          </cell>
        </row>
        <row r="199">
          <cell r="C199">
            <v>5410656.4100000001</v>
          </cell>
        </row>
        <row r="204">
          <cell r="C204">
            <v>64611540</v>
          </cell>
        </row>
        <row r="240">
          <cell r="C240">
            <v>1755335.6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 1"/>
      <sheetName val="Hoja 1 (2)"/>
    </sheetNames>
    <sheetDataSet>
      <sheetData sheetId="0">
        <row r="11">
          <cell r="G11">
            <v>404040</v>
          </cell>
        </row>
        <row r="16">
          <cell r="G16">
            <v>850000</v>
          </cell>
        </row>
        <row r="18">
          <cell r="G18">
            <v>49300000</v>
          </cell>
        </row>
        <row r="23">
          <cell r="G23">
            <v>4014671</v>
          </cell>
        </row>
      </sheetData>
      <sheetData sheetId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 1"/>
    </sheetNames>
    <sheetDataSet>
      <sheetData sheetId="0">
        <row r="15">
          <cell r="C15">
            <v>145591814</v>
          </cell>
        </row>
        <row r="70">
          <cell r="C70">
            <v>394000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 1"/>
    </sheetNames>
    <sheetDataSet>
      <sheetData sheetId="0">
        <row r="17">
          <cell r="C17">
            <v>231151715</v>
          </cell>
        </row>
        <row r="109">
          <cell r="C109">
            <v>394000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 1"/>
    </sheetNames>
    <sheetDataSet>
      <sheetData sheetId="0">
        <row r="23">
          <cell r="F23">
            <v>42350</v>
          </cell>
        </row>
        <row r="133">
          <cell r="D133">
            <v>394000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 1"/>
    </sheetNames>
    <sheetDataSet>
      <sheetData sheetId="0">
        <row r="24">
          <cell r="E24">
            <v>28490</v>
          </cell>
        </row>
        <row r="101">
          <cell r="C101">
            <v>95000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INFO\PRESUPUESTO%20GASTOS%20FINANCIEROS_2021.xlsx" TargetMode="External"/><Relationship Id="rId1" Type="http://schemas.openxmlformats.org/officeDocument/2006/relationships/hyperlink" Target="INFO\PRESUPUESTO%20GASTOS%20FINANCIEROS_2021.xlsx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234"/>
  <sheetViews>
    <sheetView tabSelected="1" zoomScaleNormal="100" workbookViewId="0">
      <pane xSplit="3" ySplit="5" topLeftCell="D71" activePane="bottomRight" state="frozen"/>
      <selection pane="topRight" activeCell="D1" sqref="D1"/>
      <selection pane="bottomLeft" activeCell="A6" sqref="A6"/>
      <selection pane="bottomRight" activeCell="D114" sqref="D114"/>
    </sheetView>
  </sheetViews>
  <sheetFormatPr baseColWidth="10" defaultColWidth="11.44140625" defaultRowHeight="15" customHeight="1" x14ac:dyDescent="0.2"/>
  <cols>
    <col min="1" max="1" width="6" style="1" customWidth="1"/>
    <col min="2" max="2" width="50.33203125" style="3" customWidth="1"/>
    <col min="3" max="7" width="15.33203125" style="89" customWidth="1"/>
    <col min="8" max="13" width="15.33203125" style="91" customWidth="1"/>
    <col min="14" max="14" width="16.6640625" style="91" customWidth="1"/>
    <col min="15" max="15" width="17.88671875" style="89" customWidth="1"/>
    <col min="16" max="16" width="6" style="2" customWidth="1"/>
    <col min="17" max="18" width="11.44140625" style="3" customWidth="1"/>
    <col min="19" max="16384" width="11.44140625" style="3"/>
  </cols>
  <sheetData>
    <row r="1" spans="1:16" ht="11.4" customHeight="1" x14ac:dyDescent="0.2"/>
    <row r="2" spans="1:16" ht="14.25" customHeight="1" x14ac:dyDescent="0.2">
      <c r="B2" s="114" t="s">
        <v>0</v>
      </c>
      <c r="C2" s="111" t="s">
        <v>1</v>
      </c>
      <c r="D2" s="112"/>
      <c r="E2" s="112"/>
      <c r="F2" s="112"/>
      <c r="G2" s="112"/>
      <c r="H2" s="113"/>
      <c r="I2" s="113"/>
      <c r="J2" s="113"/>
      <c r="K2" s="113"/>
      <c r="L2" s="113"/>
      <c r="M2" s="113"/>
      <c r="N2" s="113"/>
      <c r="O2" s="112"/>
    </row>
    <row r="3" spans="1:16" ht="24" customHeight="1" x14ac:dyDescent="0.2">
      <c r="B3" s="115"/>
      <c r="C3" s="112"/>
      <c r="D3" s="112"/>
      <c r="E3" s="112"/>
      <c r="F3" s="112"/>
      <c r="G3" s="112"/>
      <c r="H3" s="113"/>
      <c r="I3" s="113"/>
      <c r="J3" s="113"/>
      <c r="K3" s="113"/>
      <c r="L3" s="113"/>
      <c r="M3" s="113"/>
      <c r="N3" s="113"/>
      <c r="O3" s="112"/>
    </row>
    <row r="4" spans="1:16" s="9" customFormat="1" ht="24.9" customHeight="1" x14ac:dyDescent="0.3">
      <c r="A4" s="4"/>
      <c r="B4" s="5"/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7" t="s">
        <v>8</v>
      </c>
      <c r="J4" s="7" t="s">
        <v>9</v>
      </c>
      <c r="K4" s="7" t="s">
        <v>10</v>
      </c>
      <c r="L4" s="7" t="s">
        <v>11</v>
      </c>
      <c r="M4" s="7" t="s">
        <v>12</v>
      </c>
      <c r="N4" s="7" t="s">
        <v>13</v>
      </c>
      <c r="O4" s="6" t="s">
        <v>14</v>
      </c>
      <c r="P4" s="8"/>
    </row>
    <row r="5" spans="1:16" s="14" customFormat="1" ht="15" customHeight="1" x14ac:dyDescent="0.2">
      <c r="A5" s="10"/>
      <c r="B5" s="11" t="s">
        <v>15</v>
      </c>
      <c r="C5" s="12">
        <f t="shared" ref="C5:O5" si="0">SUM(C6:C12)</f>
        <v>220746114</v>
      </c>
      <c r="D5" s="12">
        <f t="shared" si="0"/>
        <v>268157495</v>
      </c>
      <c r="E5" s="12">
        <f t="shared" si="0"/>
        <v>0</v>
      </c>
      <c r="F5" s="12">
        <f t="shared" si="0"/>
        <v>0</v>
      </c>
      <c r="G5" s="12">
        <f t="shared" si="0"/>
        <v>0</v>
      </c>
      <c r="H5" s="12">
        <f t="shared" si="0"/>
        <v>0</v>
      </c>
      <c r="I5" s="12">
        <f t="shared" si="0"/>
        <v>0</v>
      </c>
      <c r="J5" s="12">
        <f t="shared" si="0"/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  <c r="O5" s="12">
        <f t="shared" si="0"/>
        <v>488903609</v>
      </c>
      <c r="P5" s="13"/>
    </row>
    <row r="6" spans="1:16" ht="12.9" customHeight="1" x14ac:dyDescent="0.2">
      <c r="A6" s="97">
        <v>5105</v>
      </c>
      <c r="B6" s="98" t="s">
        <v>16</v>
      </c>
      <c r="C6" s="16">
        <f>'[2]Hoja 1'!$I$9-921014+'[3]Hoja 1'!$I$9+'[4]Hoja 1'!$D$8</f>
        <v>190583037</v>
      </c>
      <c r="D6" s="129">
        <v>228560891</v>
      </c>
      <c r="E6" s="16" t="s">
        <v>182</v>
      </c>
      <c r="F6" s="16"/>
      <c r="G6" s="16"/>
      <c r="H6" s="16"/>
      <c r="I6" s="16"/>
      <c r="J6" s="16"/>
      <c r="K6" s="16"/>
      <c r="L6" s="16"/>
      <c r="M6" s="16"/>
      <c r="N6" s="16"/>
      <c r="O6" s="17">
        <f t="shared" ref="O6:O12" si="1">+SUM(C6:N6)</f>
        <v>419143928</v>
      </c>
      <c r="P6" s="18"/>
    </row>
    <row r="7" spans="1:16" ht="12.9" customHeight="1" x14ac:dyDescent="0.2">
      <c r="A7" s="15"/>
      <c r="B7" s="19" t="s">
        <v>17</v>
      </c>
      <c r="C7" s="20">
        <f>'[2]Hoja 1'!$I$12</f>
        <v>19735184</v>
      </c>
      <c r="D7" s="116">
        <f>'[5]Hoja 1'!$L$10</f>
        <v>19090050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1">
        <f t="shared" si="1"/>
        <v>38825234</v>
      </c>
      <c r="P7" s="18"/>
    </row>
    <row r="8" spans="1:16" ht="12.9" customHeight="1" x14ac:dyDescent="0.2">
      <c r="A8" s="97" t="s">
        <v>18</v>
      </c>
      <c r="B8" s="99" t="s">
        <v>19</v>
      </c>
      <c r="C8" s="20">
        <f>'[6]Hoja 1'!$C$54-225638</f>
        <v>1661493</v>
      </c>
      <c r="D8" s="130">
        <v>6758341</v>
      </c>
      <c r="E8" s="20" t="s">
        <v>183</v>
      </c>
      <c r="F8" s="20"/>
      <c r="G8" s="20"/>
      <c r="H8" s="22"/>
      <c r="I8" s="20"/>
      <c r="J8" s="20"/>
      <c r="K8" s="20"/>
      <c r="L8" s="20"/>
      <c r="M8" s="20"/>
      <c r="N8" s="20"/>
      <c r="O8" s="21">
        <f t="shared" si="1"/>
        <v>8419834</v>
      </c>
      <c r="P8" s="18"/>
    </row>
    <row r="9" spans="1:16" ht="12.9" customHeight="1" x14ac:dyDescent="0.2">
      <c r="A9" s="23"/>
      <c r="B9" s="19" t="s">
        <v>20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1">
        <f t="shared" si="1"/>
        <v>0</v>
      </c>
      <c r="P9" s="18"/>
    </row>
    <row r="10" spans="1:16" ht="12.9" customHeight="1" x14ac:dyDescent="0.2">
      <c r="A10" s="100">
        <v>51056301</v>
      </c>
      <c r="B10" s="99" t="s">
        <v>21</v>
      </c>
      <c r="C10" s="20">
        <f>'[6]Hoja 1'!$C$56</f>
        <v>8670200</v>
      </c>
      <c r="D10" s="116">
        <v>10288035</v>
      </c>
      <c r="E10" s="20"/>
      <c r="F10" s="20"/>
      <c r="G10" s="20"/>
      <c r="H10" s="20"/>
      <c r="I10" s="20"/>
      <c r="J10" s="20"/>
      <c r="K10" s="20"/>
      <c r="L10" s="20"/>
      <c r="M10" s="22"/>
      <c r="N10" s="20"/>
      <c r="O10" s="21">
        <f t="shared" si="1"/>
        <v>18958235</v>
      </c>
      <c r="P10" s="18"/>
    </row>
    <row r="11" spans="1:16" ht="12.9" customHeight="1" x14ac:dyDescent="0.2">
      <c r="A11" s="100" t="s">
        <v>22</v>
      </c>
      <c r="B11" s="99" t="s">
        <v>23</v>
      </c>
      <c r="C11" s="20">
        <f>'[6]Hoja 1'!$C$70</f>
        <v>96200</v>
      </c>
      <c r="D11" s="116">
        <v>1826000</v>
      </c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1">
        <f t="shared" si="1"/>
        <v>1922200</v>
      </c>
      <c r="P11" s="18"/>
    </row>
    <row r="12" spans="1:16" ht="12.9" customHeight="1" x14ac:dyDescent="0.2">
      <c r="A12" s="100" t="s">
        <v>24</v>
      </c>
      <c r="B12" s="99" t="s">
        <v>25</v>
      </c>
      <c r="C12" s="25"/>
      <c r="D12" s="117">
        <v>1634178</v>
      </c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1">
        <f t="shared" si="1"/>
        <v>1634178</v>
      </c>
      <c r="P12" s="18"/>
    </row>
    <row r="13" spans="1:16" s="14" customFormat="1" ht="15" customHeight="1" x14ac:dyDescent="0.2">
      <c r="A13" s="10"/>
      <c r="B13" s="11" t="s">
        <v>26</v>
      </c>
      <c r="C13" s="12">
        <f t="shared" ref="C13:O13" si="2">SUM(C14:C18)</f>
        <v>12419448</v>
      </c>
      <c r="D13" s="118">
        <f t="shared" si="2"/>
        <v>19759448</v>
      </c>
      <c r="E13" s="12">
        <f t="shared" si="2"/>
        <v>0</v>
      </c>
      <c r="F13" s="12">
        <f t="shared" si="2"/>
        <v>0</v>
      </c>
      <c r="G13" s="12">
        <f t="shared" si="2"/>
        <v>0</v>
      </c>
      <c r="H13" s="12">
        <f t="shared" si="2"/>
        <v>0</v>
      </c>
      <c r="I13" s="12">
        <f t="shared" si="2"/>
        <v>0</v>
      </c>
      <c r="J13" s="12">
        <f t="shared" si="2"/>
        <v>0</v>
      </c>
      <c r="K13" s="12">
        <f t="shared" si="2"/>
        <v>0</v>
      </c>
      <c r="L13" s="12">
        <f t="shared" si="2"/>
        <v>0</v>
      </c>
      <c r="M13" s="12">
        <f t="shared" si="2"/>
        <v>0</v>
      </c>
      <c r="N13" s="12">
        <f t="shared" si="2"/>
        <v>0</v>
      </c>
      <c r="O13" s="12">
        <f t="shared" si="2"/>
        <v>32178896</v>
      </c>
      <c r="P13" s="26"/>
    </row>
    <row r="14" spans="1:16" s="14" customFormat="1" ht="12.9" customHeight="1" x14ac:dyDescent="0.2">
      <c r="A14" s="100" t="s">
        <v>27</v>
      </c>
      <c r="B14" s="99" t="s">
        <v>28</v>
      </c>
      <c r="C14" s="27">
        <f>'[6]Hoja 1'!$C$73</f>
        <v>2896000</v>
      </c>
      <c r="D14" s="119">
        <v>2896000</v>
      </c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17">
        <f>+SUM(C14:N14)</f>
        <v>5792000</v>
      </c>
      <c r="P14" s="18"/>
    </row>
    <row r="15" spans="1:16" s="14" customFormat="1" ht="12.9" customHeight="1" x14ac:dyDescent="0.2">
      <c r="A15" s="23"/>
      <c r="B15" s="19" t="s">
        <v>29</v>
      </c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1">
        <f>+SUM(C15:N15)</f>
        <v>0</v>
      </c>
      <c r="P15" s="18"/>
    </row>
    <row r="16" spans="1:16" ht="12.9" customHeight="1" x14ac:dyDescent="0.2">
      <c r="A16" s="100" t="s">
        <v>30</v>
      </c>
      <c r="B16" s="99" t="s">
        <v>31</v>
      </c>
      <c r="C16" s="28">
        <f>'[6]Hoja 1'!$C$75+'[7]Hoja 1'!$G$13</f>
        <v>6485768</v>
      </c>
      <c r="D16" s="120">
        <v>6485768</v>
      </c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1">
        <f>+SUM(C16:N16)</f>
        <v>12971536</v>
      </c>
      <c r="P16" s="18"/>
    </row>
    <row r="17" spans="1:16" ht="12.9" customHeight="1" x14ac:dyDescent="0.2">
      <c r="A17" s="100" t="s">
        <v>32</v>
      </c>
      <c r="B17" s="99" t="s">
        <v>33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1">
        <f>+SUM(C17:N17)</f>
        <v>0</v>
      </c>
      <c r="P17" s="18"/>
    </row>
    <row r="18" spans="1:16" ht="12.9" customHeight="1" x14ac:dyDescent="0.2">
      <c r="A18" s="100" t="s">
        <v>34</v>
      </c>
      <c r="B18" s="99" t="s">
        <v>35</v>
      </c>
      <c r="C18" s="28">
        <f>'[6]Hoja 1'!$C$77</f>
        <v>3037680</v>
      </c>
      <c r="D18" s="120">
        <v>10377680</v>
      </c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9">
        <f>+SUM(C18:N18)</f>
        <v>13415360</v>
      </c>
      <c r="P18" s="18"/>
    </row>
    <row r="19" spans="1:16" s="14" customFormat="1" ht="15" customHeight="1" x14ac:dyDescent="0.2">
      <c r="A19" s="10"/>
      <c r="B19" s="11" t="s">
        <v>36</v>
      </c>
      <c r="C19" s="12">
        <f t="shared" ref="C19:O19" si="3">SUM(C20:C21)</f>
        <v>2676712</v>
      </c>
      <c r="D19" s="12">
        <f t="shared" si="3"/>
        <v>0</v>
      </c>
      <c r="E19" s="12">
        <f t="shared" si="3"/>
        <v>0</v>
      </c>
      <c r="F19" s="12">
        <f t="shared" si="3"/>
        <v>0</v>
      </c>
      <c r="G19" s="12">
        <f t="shared" si="3"/>
        <v>0</v>
      </c>
      <c r="H19" s="12">
        <f t="shared" si="3"/>
        <v>0</v>
      </c>
      <c r="I19" s="12">
        <f t="shared" si="3"/>
        <v>0</v>
      </c>
      <c r="J19" s="12">
        <f t="shared" si="3"/>
        <v>0</v>
      </c>
      <c r="K19" s="12">
        <f t="shared" si="3"/>
        <v>0</v>
      </c>
      <c r="L19" s="12">
        <f t="shared" si="3"/>
        <v>0</v>
      </c>
      <c r="M19" s="12">
        <f t="shared" si="3"/>
        <v>0</v>
      </c>
      <c r="N19" s="12">
        <f t="shared" si="3"/>
        <v>0</v>
      </c>
      <c r="O19" s="30">
        <f t="shared" si="3"/>
        <v>2676712</v>
      </c>
      <c r="P19" s="18"/>
    </row>
    <row r="20" spans="1:16" ht="12.9" customHeight="1" x14ac:dyDescent="0.2">
      <c r="A20" s="23"/>
      <c r="B20" s="31" t="s">
        <v>37</v>
      </c>
      <c r="C20" s="32"/>
      <c r="D20" s="33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>
        <f>+SUM(C20:N20)</f>
        <v>0</v>
      </c>
      <c r="P20" s="18"/>
    </row>
    <row r="21" spans="1:16" ht="12.9" customHeight="1" x14ac:dyDescent="0.2">
      <c r="A21" s="23"/>
      <c r="B21" s="35" t="s">
        <v>38</v>
      </c>
      <c r="C21" s="36">
        <v>2676712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>
        <f>+SUM(C21:N21)</f>
        <v>2676712</v>
      </c>
      <c r="P21" s="18"/>
    </row>
    <row r="22" spans="1:16" s="14" customFormat="1" ht="15" customHeight="1" x14ac:dyDescent="0.2">
      <c r="A22" s="10"/>
      <c r="B22" s="37" t="s">
        <v>39</v>
      </c>
      <c r="C22" s="12">
        <f t="shared" ref="C22:O22" si="4">SUM(C23:C27)</f>
        <v>94998312</v>
      </c>
      <c r="D22" s="118">
        <f t="shared" si="4"/>
        <v>109570912</v>
      </c>
      <c r="E22" s="12">
        <f t="shared" si="4"/>
        <v>0</v>
      </c>
      <c r="F22" s="12">
        <f t="shared" si="4"/>
        <v>0</v>
      </c>
      <c r="G22" s="12">
        <f t="shared" si="4"/>
        <v>0</v>
      </c>
      <c r="H22" s="12">
        <f t="shared" si="4"/>
        <v>0</v>
      </c>
      <c r="I22" s="12">
        <f t="shared" si="4"/>
        <v>0</v>
      </c>
      <c r="J22" s="12">
        <f t="shared" si="4"/>
        <v>0</v>
      </c>
      <c r="K22" s="12">
        <f t="shared" si="4"/>
        <v>0</v>
      </c>
      <c r="L22" s="12">
        <f t="shared" si="4"/>
        <v>0</v>
      </c>
      <c r="M22" s="12">
        <f t="shared" si="4"/>
        <v>0</v>
      </c>
      <c r="N22" s="12">
        <f t="shared" si="4"/>
        <v>0</v>
      </c>
      <c r="O22" s="30">
        <f t="shared" si="4"/>
        <v>204569224</v>
      </c>
      <c r="P22" s="26"/>
    </row>
    <row r="23" spans="1:16" s="14" customFormat="1" ht="12.9" customHeight="1" x14ac:dyDescent="0.2">
      <c r="A23" s="100" t="s">
        <v>40</v>
      </c>
      <c r="B23" s="99" t="s">
        <v>41</v>
      </c>
      <c r="C23" s="27">
        <f>'[6]Hoja 1'!$C$85+'[7]Hoja 1'!$G$15+'[7]Hoja 1'!$G$17</f>
        <v>82655581</v>
      </c>
      <c r="D23" s="119">
        <f>'[8]Hoja 1'!$C$84+'[9]Hoja 1'!$G$16+'[9]Hoja 1'!$G$18</f>
        <v>87589181</v>
      </c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17">
        <f>+SUM(C23:N23)</f>
        <v>170244762</v>
      </c>
      <c r="P23" s="18"/>
    </row>
    <row r="24" spans="1:16" ht="12.9" customHeight="1" x14ac:dyDescent="0.2">
      <c r="A24" s="100" t="s">
        <v>42</v>
      </c>
      <c r="B24" s="99" t="s">
        <v>43</v>
      </c>
      <c r="C24" s="28">
        <f>'[6]Hoja 1'!$C$87</f>
        <v>9106621</v>
      </c>
      <c r="D24" s="120">
        <v>10606021</v>
      </c>
      <c r="E24" s="28"/>
      <c r="F24" s="28"/>
      <c r="G24" s="28"/>
      <c r="H24" s="28"/>
      <c r="I24" s="28"/>
      <c r="J24" s="28"/>
      <c r="K24" s="28"/>
      <c r="L24" s="28"/>
      <c r="M24" s="28"/>
      <c r="N24" s="22"/>
      <c r="O24" s="21">
        <f>+SUM(C24:N24)</f>
        <v>19712642</v>
      </c>
      <c r="P24" s="18"/>
    </row>
    <row r="25" spans="1:16" ht="12.9" customHeight="1" x14ac:dyDescent="0.2">
      <c r="A25" s="100" t="s">
        <v>44</v>
      </c>
      <c r="B25" s="99" t="s">
        <v>45</v>
      </c>
      <c r="C25" s="28">
        <f>'[6]Hoja 1'!$C$89</f>
        <v>3236110</v>
      </c>
      <c r="D25" s="120">
        <v>3236110</v>
      </c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1">
        <f>+SUM(C25:N25)</f>
        <v>6472220</v>
      </c>
      <c r="P25" s="38"/>
    </row>
    <row r="26" spans="1:16" ht="12.9" customHeight="1" x14ac:dyDescent="0.2">
      <c r="A26" s="23"/>
      <c r="B26" s="19" t="s">
        <v>46</v>
      </c>
      <c r="C26" s="28"/>
      <c r="D26" s="120">
        <f>'[8]Hoja 1'!$C$90</f>
        <v>8139600</v>
      </c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1">
        <f>+SUM(C26:N26)</f>
        <v>8139600</v>
      </c>
      <c r="P26" s="18"/>
    </row>
    <row r="27" spans="1:16" ht="12.9" customHeight="1" x14ac:dyDescent="0.2">
      <c r="A27" s="23"/>
      <c r="B27" s="19" t="s">
        <v>47</v>
      </c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9">
        <f>+SUM(C27:N27)</f>
        <v>0</v>
      </c>
      <c r="P27" s="18"/>
    </row>
    <row r="28" spans="1:16" s="14" customFormat="1" ht="15" customHeight="1" x14ac:dyDescent="0.2">
      <c r="A28" s="10"/>
      <c r="B28" s="37" t="s">
        <v>48</v>
      </c>
      <c r="C28" s="12">
        <f t="shared" ref="C28:O28" si="5">SUM(C29:C31)</f>
        <v>0</v>
      </c>
      <c r="D28" s="118">
        <f t="shared" si="5"/>
        <v>8584300</v>
      </c>
      <c r="E28" s="12">
        <f t="shared" si="5"/>
        <v>0</v>
      </c>
      <c r="F28" s="12">
        <f t="shared" si="5"/>
        <v>0</v>
      </c>
      <c r="G28" s="12">
        <f t="shared" si="5"/>
        <v>0</v>
      </c>
      <c r="H28" s="12">
        <f t="shared" si="5"/>
        <v>0</v>
      </c>
      <c r="I28" s="12">
        <f t="shared" si="5"/>
        <v>0</v>
      </c>
      <c r="J28" s="12">
        <f t="shared" si="5"/>
        <v>0</v>
      </c>
      <c r="K28" s="12">
        <f t="shared" si="5"/>
        <v>0</v>
      </c>
      <c r="L28" s="12">
        <f t="shared" si="5"/>
        <v>0</v>
      </c>
      <c r="M28" s="12">
        <f t="shared" si="5"/>
        <v>0</v>
      </c>
      <c r="N28" s="12">
        <f t="shared" si="5"/>
        <v>0</v>
      </c>
      <c r="O28" s="30">
        <f t="shared" si="5"/>
        <v>8584300</v>
      </c>
      <c r="P28" s="18"/>
    </row>
    <row r="29" spans="1:16" ht="12.9" customHeight="1" x14ac:dyDescent="0.2">
      <c r="A29" s="23"/>
      <c r="B29" s="40" t="s">
        <v>49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41">
        <f>+SUM(C29:N29)</f>
        <v>0</v>
      </c>
      <c r="P29" s="18"/>
    </row>
    <row r="30" spans="1:16" ht="12.9" customHeight="1" x14ac:dyDescent="0.2">
      <c r="A30" s="23"/>
      <c r="B30" s="19" t="s">
        <v>50</v>
      </c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42">
        <f>+SUM(C30:N30)</f>
        <v>0</v>
      </c>
      <c r="P30" s="18"/>
    </row>
    <row r="31" spans="1:16" ht="12.9" customHeight="1" x14ac:dyDescent="0.2">
      <c r="A31" s="23"/>
      <c r="B31" s="43" t="s">
        <v>51</v>
      </c>
      <c r="C31" s="36"/>
      <c r="D31" s="121">
        <f>'[8]Hoja 1'!$C$95</f>
        <v>8584300</v>
      </c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9">
        <f>+SUM(C31:N31)</f>
        <v>8584300</v>
      </c>
      <c r="P31" s="18"/>
    </row>
    <row r="32" spans="1:16" s="14" customFormat="1" ht="15" customHeight="1" x14ac:dyDescent="0.2">
      <c r="A32" s="10"/>
      <c r="B32" s="11" t="s">
        <v>52</v>
      </c>
      <c r="C32" s="12">
        <f t="shared" ref="C32:O32" si="6">SUM(C33:C45)</f>
        <v>31751199</v>
      </c>
      <c r="D32" s="12">
        <f t="shared" si="6"/>
        <v>29334183</v>
      </c>
      <c r="E32" s="12">
        <f t="shared" si="6"/>
        <v>0</v>
      </c>
      <c r="F32" s="12">
        <f t="shared" si="6"/>
        <v>0</v>
      </c>
      <c r="G32" s="12">
        <f t="shared" si="6"/>
        <v>0</v>
      </c>
      <c r="H32" s="12">
        <f t="shared" si="6"/>
        <v>0</v>
      </c>
      <c r="I32" s="12">
        <f t="shared" si="6"/>
        <v>0</v>
      </c>
      <c r="J32" s="12">
        <f t="shared" si="6"/>
        <v>0</v>
      </c>
      <c r="K32" s="12">
        <f t="shared" si="6"/>
        <v>0</v>
      </c>
      <c r="L32" s="12">
        <f t="shared" si="6"/>
        <v>0</v>
      </c>
      <c r="M32" s="12">
        <f t="shared" si="6"/>
        <v>0</v>
      </c>
      <c r="N32" s="12">
        <f t="shared" si="6"/>
        <v>0</v>
      </c>
      <c r="O32" s="30">
        <f t="shared" si="6"/>
        <v>61085382</v>
      </c>
      <c r="P32" s="18"/>
    </row>
    <row r="33" spans="1:80" s="14" customFormat="1" ht="12.9" customHeight="1" x14ac:dyDescent="0.2">
      <c r="A33" s="23"/>
      <c r="B33" s="19" t="s">
        <v>53</v>
      </c>
      <c r="C33" s="27">
        <f>'[7]Hoja 1'!$G$22</f>
        <v>3084632</v>
      </c>
      <c r="D33" s="119">
        <f>'[9]Hoja 1'!$G$23</f>
        <v>4014671</v>
      </c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17">
        <f t="shared" ref="O33:O45" si="7">+SUM(C33:N33)</f>
        <v>7099303</v>
      </c>
      <c r="P33" s="38"/>
    </row>
    <row r="34" spans="1:80" s="45" customFormat="1" ht="12.9" customHeight="1" x14ac:dyDescent="0.2">
      <c r="A34" s="101" t="s">
        <v>54</v>
      </c>
      <c r="B34" s="99" t="s">
        <v>55</v>
      </c>
      <c r="C34" s="28">
        <f>'[6]Hoja 1'!$C$97</f>
        <v>2500000</v>
      </c>
      <c r="D34" s="120">
        <v>3807000</v>
      </c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1">
        <f t="shared" si="7"/>
        <v>6307000</v>
      </c>
      <c r="P34" s="4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</row>
    <row r="35" spans="1:80" s="45" customFormat="1" ht="12.9" customHeight="1" x14ac:dyDescent="0.2">
      <c r="A35" s="46"/>
      <c r="B35" s="24" t="s">
        <v>56</v>
      </c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47"/>
      <c r="O35" s="21">
        <f t="shared" si="7"/>
        <v>0</v>
      </c>
      <c r="P35" s="44"/>
      <c r="Q35" s="14"/>
      <c r="R35" s="14"/>
      <c r="S35" s="14"/>
      <c r="T35" s="14"/>
      <c r="U35" s="14"/>
      <c r="V35" s="14"/>
      <c r="W35" s="14"/>
      <c r="X35" s="14"/>
      <c r="Y35" s="14"/>
    </row>
    <row r="36" spans="1:80" ht="12.9" customHeight="1" x14ac:dyDescent="0.2">
      <c r="A36" s="100" t="s">
        <v>57</v>
      </c>
      <c r="B36" s="99" t="s">
        <v>58</v>
      </c>
      <c r="C36" s="28"/>
      <c r="D36" s="120">
        <v>789106</v>
      </c>
      <c r="E36" s="28"/>
      <c r="F36" s="28"/>
      <c r="G36" s="28"/>
      <c r="H36" s="28"/>
      <c r="I36" s="28"/>
      <c r="J36" s="28"/>
      <c r="K36" s="28"/>
      <c r="L36" s="28"/>
      <c r="M36" s="21"/>
      <c r="N36" s="22"/>
      <c r="O36" s="21">
        <f t="shared" si="7"/>
        <v>789106</v>
      </c>
      <c r="P36" s="18"/>
    </row>
    <row r="37" spans="1:80" ht="12.9" customHeight="1" x14ac:dyDescent="0.2">
      <c r="A37" s="100" t="s">
        <v>59</v>
      </c>
      <c r="B37" s="99" t="s">
        <v>60</v>
      </c>
      <c r="C37" s="28">
        <f>'[6]Hoja 1'!$C$99</f>
        <v>1261676</v>
      </c>
      <c r="D37" s="120">
        <v>1261676</v>
      </c>
      <c r="E37" s="28"/>
      <c r="F37" s="28"/>
      <c r="G37" s="28"/>
      <c r="H37" s="28"/>
      <c r="I37" s="28"/>
      <c r="J37" s="28"/>
      <c r="K37" s="28"/>
      <c r="L37" s="28"/>
      <c r="M37" s="28"/>
      <c r="N37" s="22"/>
      <c r="O37" s="21">
        <f t="shared" si="7"/>
        <v>2523352</v>
      </c>
      <c r="P37" s="18"/>
    </row>
    <row r="38" spans="1:80" ht="12.9" customHeight="1" x14ac:dyDescent="0.2">
      <c r="A38" s="100" t="s">
        <v>61</v>
      </c>
      <c r="B38" s="99" t="s">
        <v>62</v>
      </c>
      <c r="C38" s="28">
        <f>'[6]Hoja 1'!$C$101</f>
        <v>1110507</v>
      </c>
      <c r="D38" s="120">
        <v>735768</v>
      </c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1">
        <f t="shared" si="7"/>
        <v>1846275</v>
      </c>
      <c r="P38" s="18"/>
    </row>
    <row r="39" spans="1:80" ht="12.9" customHeight="1" x14ac:dyDescent="0.2">
      <c r="A39" s="100" t="s">
        <v>63</v>
      </c>
      <c r="B39" s="99" t="s">
        <v>64</v>
      </c>
      <c r="C39" s="28">
        <f>'[6]Hoja 1'!$C$103</f>
        <v>2061530</v>
      </c>
      <c r="D39" s="120">
        <v>2472150</v>
      </c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1">
        <f t="shared" si="7"/>
        <v>4533680</v>
      </c>
      <c r="P39" s="18"/>
    </row>
    <row r="40" spans="1:80" ht="12.9" customHeight="1" x14ac:dyDescent="0.2">
      <c r="A40" s="100" t="s">
        <v>65</v>
      </c>
      <c r="B40" s="99" t="s">
        <v>66</v>
      </c>
      <c r="C40" s="28">
        <f>'[6]Hoja 1'!C105</f>
        <v>5133313</v>
      </c>
      <c r="D40" s="128">
        <v>6615902</v>
      </c>
      <c r="E40" s="28" t="s">
        <v>183</v>
      </c>
      <c r="F40" s="28"/>
      <c r="G40" s="28"/>
      <c r="H40" s="28"/>
      <c r="I40" s="28"/>
      <c r="J40" s="28"/>
      <c r="K40" s="28"/>
      <c r="L40" s="28"/>
      <c r="M40" s="28"/>
      <c r="N40" s="28"/>
      <c r="O40" s="21">
        <f t="shared" si="7"/>
        <v>11749215</v>
      </c>
      <c r="P40" s="18"/>
    </row>
    <row r="41" spans="1:80" ht="12.9" customHeight="1" x14ac:dyDescent="0.2">
      <c r="A41" s="100" t="s">
        <v>67</v>
      </c>
      <c r="B41" s="99" t="s">
        <v>68</v>
      </c>
      <c r="C41" s="28">
        <f>'[6]Hoja 1'!C106</f>
        <v>477584</v>
      </c>
      <c r="D41" s="120">
        <v>477584</v>
      </c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1">
        <f t="shared" si="7"/>
        <v>955168</v>
      </c>
      <c r="P41" s="18"/>
    </row>
    <row r="42" spans="1:80" ht="12.9" customHeight="1" x14ac:dyDescent="0.2">
      <c r="A42" s="100" t="s">
        <v>69</v>
      </c>
      <c r="B42" s="99" t="s">
        <v>70</v>
      </c>
      <c r="C42" s="28">
        <f>'[6]Hoja 1'!$C$108</f>
        <v>44800</v>
      </c>
      <c r="D42" s="120">
        <v>37400</v>
      </c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1">
        <f t="shared" si="7"/>
        <v>82200</v>
      </c>
      <c r="P42" s="18"/>
    </row>
    <row r="43" spans="1:80" ht="12.9" customHeight="1" x14ac:dyDescent="0.2">
      <c r="A43" s="100" t="s">
        <v>71</v>
      </c>
      <c r="B43" s="99" t="s">
        <v>72</v>
      </c>
      <c r="C43" s="28">
        <f>'[7]Hoja 1'!$G$11</f>
        <v>318182</v>
      </c>
      <c r="D43" s="120">
        <v>404040</v>
      </c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1">
        <f t="shared" si="7"/>
        <v>722222</v>
      </c>
      <c r="P43" s="18"/>
    </row>
    <row r="44" spans="1:80" ht="12.9" customHeight="1" x14ac:dyDescent="0.2">
      <c r="A44" s="23"/>
      <c r="B44" s="24" t="s">
        <v>73</v>
      </c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1">
        <f t="shared" si="7"/>
        <v>0</v>
      </c>
      <c r="P44" s="18"/>
    </row>
    <row r="45" spans="1:80" ht="12.9" customHeight="1" x14ac:dyDescent="0.2">
      <c r="A45" s="100" t="s">
        <v>74</v>
      </c>
      <c r="B45" s="99" t="s">
        <v>75</v>
      </c>
      <c r="C45" s="36">
        <f>'[6]Hoja 1'!$C$112+'[10]Hoja 1'!$C$70+'[11]Hoja 1'!$C$109+'[12]Hoja 1'!$D$133+'[13]Hoja 1'!$C$101</f>
        <v>15758975</v>
      </c>
      <c r="D45" s="121">
        <v>8718886</v>
      </c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21">
        <f t="shared" si="7"/>
        <v>24477861</v>
      </c>
      <c r="P45" s="18"/>
    </row>
    <row r="46" spans="1:80" s="14" customFormat="1" ht="15" customHeight="1" x14ac:dyDescent="0.2">
      <c r="A46" s="10"/>
      <c r="B46" s="37" t="s">
        <v>76</v>
      </c>
      <c r="C46" s="48">
        <f t="shared" ref="C46:O46" si="8">SUM(C47:C51)</f>
        <v>326152</v>
      </c>
      <c r="D46" s="122">
        <f t="shared" si="8"/>
        <v>7847000</v>
      </c>
      <c r="E46" s="48">
        <f t="shared" si="8"/>
        <v>0</v>
      </c>
      <c r="F46" s="48">
        <f t="shared" si="8"/>
        <v>0</v>
      </c>
      <c r="G46" s="48">
        <f t="shared" si="8"/>
        <v>0</v>
      </c>
      <c r="H46" s="48">
        <f t="shared" si="8"/>
        <v>0</v>
      </c>
      <c r="I46" s="48">
        <f t="shared" si="8"/>
        <v>0</v>
      </c>
      <c r="J46" s="48">
        <f t="shared" si="8"/>
        <v>0</v>
      </c>
      <c r="K46" s="48">
        <f t="shared" si="8"/>
        <v>0</v>
      </c>
      <c r="L46" s="48">
        <f t="shared" si="8"/>
        <v>0</v>
      </c>
      <c r="M46" s="48">
        <f t="shared" si="8"/>
        <v>0</v>
      </c>
      <c r="N46" s="48">
        <f t="shared" si="8"/>
        <v>0</v>
      </c>
      <c r="O46" s="48">
        <f t="shared" si="8"/>
        <v>8173152</v>
      </c>
      <c r="P46" s="18"/>
    </row>
    <row r="47" spans="1:80" ht="12.9" customHeight="1" x14ac:dyDescent="0.2">
      <c r="A47" s="23"/>
      <c r="B47" s="40" t="s">
        <v>77</v>
      </c>
      <c r="C47" s="27">
        <f>'[6]Hoja 1'!$C$115</f>
        <v>12852</v>
      </c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49">
        <f>+SUM(C47:N47)</f>
        <v>12852</v>
      </c>
      <c r="P47" s="18"/>
    </row>
    <row r="48" spans="1:80" ht="12.9" customHeight="1" x14ac:dyDescent="0.2">
      <c r="A48" s="23"/>
      <c r="B48" s="50" t="s">
        <v>78</v>
      </c>
      <c r="C48" s="28"/>
      <c r="D48" s="120">
        <f>'[8]Hoja 1'!$C$120</f>
        <v>7663600</v>
      </c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>
        <f>+SUM(C48:N48)</f>
        <v>7663600</v>
      </c>
      <c r="P48" s="18"/>
    </row>
    <row r="49" spans="1:25" ht="12.9" customHeight="1" x14ac:dyDescent="0.2">
      <c r="A49" s="23"/>
      <c r="B49" s="50" t="s">
        <v>79</v>
      </c>
      <c r="C49" s="28">
        <f>'[6]Hoja 1'!$C$117</f>
        <v>16800</v>
      </c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>
        <f>+SUM(C49:N49)</f>
        <v>16800</v>
      </c>
      <c r="P49" s="18"/>
    </row>
    <row r="50" spans="1:25" ht="12.9" customHeight="1" x14ac:dyDescent="0.2">
      <c r="A50" s="23"/>
      <c r="B50" s="19" t="s">
        <v>80</v>
      </c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28">
        <f>+SUM(C50:N50)</f>
        <v>0</v>
      </c>
      <c r="P50" s="18"/>
    </row>
    <row r="51" spans="1:25" ht="12.9" customHeight="1" x14ac:dyDescent="0.2">
      <c r="A51" s="100" t="s">
        <v>81</v>
      </c>
      <c r="B51" s="102" t="s">
        <v>82</v>
      </c>
      <c r="C51" s="52">
        <f>'[6]Hoja 1'!$C$118</f>
        <v>296500</v>
      </c>
      <c r="D51" s="123">
        <v>183400</v>
      </c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3">
        <f>+SUM(C51:N51)</f>
        <v>479900</v>
      </c>
      <c r="P51" s="18"/>
    </row>
    <row r="52" spans="1:25" s="14" customFormat="1" ht="15" customHeight="1" x14ac:dyDescent="0.2">
      <c r="A52" s="10"/>
      <c r="B52" s="11" t="s">
        <v>83</v>
      </c>
      <c r="C52" s="12">
        <f t="shared" ref="C52:O52" si="9">SUM(C53:C58)</f>
        <v>9015375</v>
      </c>
      <c r="D52" s="12">
        <f t="shared" si="9"/>
        <v>6389638</v>
      </c>
      <c r="E52" s="12">
        <f t="shared" si="9"/>
        <v>0</v>
      </c>
      <c r="F52" s="12">
        <f t="shared" si="9"/>
        <v>0</v>
      </c>
      <c r="G52" s="12">
        <f t="shared" si="9"/>
        <v>0</v>
      </c>
      <c r="H52" s="12">
        <f t="shared" si="9"/>
        <v>0</v>
      </c>
      <c r="I52" s="12">
        <f t="shared" si="9"/>
        <v>0</v>
      </c>
      <c r="J52" s="12">
        <f t="shared" si="9"/>
        <v>0</v>
      </c>
      <c r="K52" s="12">
        <f t="shared" si="9"/>
        <v>0</v>
      </c>
      <c r="L52" s="12">
        <f t="shared" si="9"/>
        <v>0</v>
      </c>
      <c r="M52" s="12">
        <f t="shared" si="9"/>
        <v>0</v>
      </c>
      <c r="N52" s="12">
        <f t="shared" si="9"/>
        <v>0</v>
      </c>
      <c r="O52" s="12">
        <f t="shared" si="9"/>
        <v>15405013</v>
      </c>
      <c r="P52" s="18"/>
    </row>
    <row r="53" spans="1:25" ht="12.9" customHeight="1" x14ac:dyDescent="0.2">
      <c r="A53" s="100" t="s">
        <v>84</v>
      </c>
      <c r="B53" s="99" t="s">
        <v>41</v>
      </c>
      <c r="C53" s="27">
        <f>'[6]Hoja 1'!$C$123</f>
        <v>5372255</v>
      </c>
      <c r="D53" s="119">
        <v>1894710</v>
      </c>
      <c r="E53" s="27"/>
      <c r="F53" s="27"/>
      <c r="G53" s="27"/>
      <c r="H53" s="27"/>
      <c r="I53" s="27"/>
      <c r="J53" s="27"/>
      <c r="K53" s="27"/>
      <c r="L53" s="27"/>
      <c r="M53" s="27"/>
      <c r="N53" s="54"/>
      <c r="O53" s="28">
        <f t="shared" ref="O53:O58" si="10">+SUM(C53:N53)</f>
        <v>7266965</v>
      </c>
      <c r="P53" s="18"/>
    </row>
    <row r="54" spans="1:25" ht="12.9" customHeight="1" x14ac:dyDescent="0.2">
      <c r="A54" s="100" t="s">
        <v>85</v>
      </c>
      <c r="B54" s="99" t="s">
        <v>43</v>
      </c>
      <c r="C54" s="28"/>
      <c r="D54" s="120">
        <f>'[8]Hoja 1'!$C$128-318000+'[8]Hoja 1'!$C$129</f>
        <v>2114464</v>
      </c>
      <c r="E54" s="28"/>
      <c r="F54" s="28"/>
      <c r="G54" s="28"/>
      <c r="H54" s="28"/>
      <c r="I54" s="28"/>
      <c r="J54" s="28"/>
      <c r="K54" s="28"/>
      <c r="L54" s="28"/>
      <c r="M54" s="28"/>
      <c r="N54" s="22"/>
      <c r="O54" s="28">
        <f t="shared" si="10"/>
        <v>2114464</v>
      </c>
      <c r="P54" s="18"/>
    </row>
    <row r="55" spans="1:25" ht="12.9" customHeight="1" x14ac:dyDescent="0.2">
      <c r="A55" s="23"/>
      <c r="B55" s="19" t="s">
        <v>45</v>
      </c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>
        <f t="shared" si="10"/>
        <v>0</v>
      </c>
      <c r="P55" s="18"/>
    </row>
    <row r="56" spans="1:25" ht="12.9" customHeight="1" x14ac:dyDescent="0.2">
      <c r="A56" s="100" t="s">
        <v>86</v>
      </c>
      <c r="B56" s="99" t="s">
        <v>87</v>
      </c>
      <c r="C56" s="28">
        <f>'[6]Hoja 1'!$C$158</f>
        <v>253040</v>
      </c>
      <c r="D56" s="120">
        <v>318000</v>
      </c>
      <c r="E56" s="28"/>
      <c r="F56" s="28"/>
      <c r="G56" s="28"/>
      <c r="H56" s="28"/>
      <c r="I56" s="28"/>
      <c r="J56" s="28"/>
      <c r="K56" s="28"/>
      <c r="L56" s="28"/>
      <c r="M56" s="28"/>
      <c r="N56" s="22"/>
      <c r="O56" s="28">
        <f t="shared" si="10"/>
        <v>571040</v>
      </c>
      <c r="P56" s="18"/>
    </row>
    <row r="57" spans="1:25" ht="12.9" customHeight="1" x14ac:dyDescent="0.2">
      <c r="A57" s="100" t="s">
        <v>88</v>
      </c>
      <c r="B57" s="99" t="s">
        <v>89</v>
      </c>
      <c r="C57" s="53">
        <f>'[6]Hoja 1'!$C$127</f>
        <v>3115080</v>
      </c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28">
        <f t="shared" si="10"/>
        <v>3115080</v>
      </c>
      <c r="P57" s="55"/>
    </row>
    <row r="58" spans="1:25" ht="12.9" customHeight="1" x14ac:dyDescent="0.2">
      <c r="A58" s="100" t="s">
        <v>85</v>
      </c>
      <c r="B58" s="99" t="s">
        <v>90</v>
      </c>
      <c r="C58" s="36">
        <f>'[6]Hoja 1'!$C$125</f>
        <v>275000</v>
      </c>
      <c r="D58" s="127">
        <v>2062464</v>
      </c>
      <c r="E58" s="36" t="s">
        <v>184</v>
      </c>
      <c r="F58" s="36"/>
      <c r="G58" s="36"/>
      <c r="H58" s="36"/>
      <c r="I58" s="36"/>
      <c r="J58" s="36"/>
      <c r="K58" s="36"/>
      <c r="L58" s="36"/>
      <c r="M58" s="36"/>
      <c r="N58" s="36"/>
      <c r="O58" s="28">
        <f t="shared" si="10"/>
        <v>2337464</v>
      </c>
      <c r="P58" s="18"/>
    </row>
    <row r="59" spans="1:25" ht="15" customHeight="1" x14ac:dyDescent="0.2">
      <c r="A59" s="10"/>
      <c r="B59" s="56" t="s">
        <v>91</v>
      </c>
      <c r="C59" s="57">
        <f t="shared" ref="C59:O59" si="11">SUM(C60:C61)</f>
        <v>0</v>
      </c>
      <c r="D59" s="57">
        <f t="shared" si="11"/>
        <v>0</v>
      </c>
      <c r="E59" s="57">
        <f t="shared" si="11"/>
        <v>0</v>
      </c>
      <c r="F59" s="57">
        <f t="shared" si="11"/>
        <v>0</v>
      </c>
      <c r="G59" s="57">
        <f t="shared" si="11"/>
        <v>0</v>
      </c>
      <c r="H59" s="57">
        <f t="shared" si="11"/>
        <v>0</v>
      </c>
      <c r="I59" s="57">
        <f t="shared" si="11"/>
        <v>0</v>
      </c>
      <c r="J59" s="57">
        <f t="shared" si="11"/>
        <v>0</v>
      </c>
      <c r="K59" s="57">
        <f t="shared" si="11"/>
        <v>0</v>
      </c>
      <c r="L59" s="57">
        <f t="shared" si="11"/>
        <v>0</v>
      </c>
      <c r="M59" s="57">
        <f t="shared" si="11"/>
        <v>0</v>
      </c>
      <c r="N59" s="57">
        <f t="shared" si="11"/>
        <v>0</v>
      </c>
      <c r="O59" s="57">
        <f t="shared" si="11"/>
        <v>0</v>
      </c>
      <c r="P59" s="18"/>
    </row>
    <row r="60" spans="1:25" s="59" customFormat="1" ht="12.9" customHeight="1" x14ac:dyDescent="0.2">
      <c r="A60" s="46"/>
      <c r="B60" s="58" t="s">
        <v>92</v>
      </c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28">
        <f>+SUM(C60:N60)</f>
        <v>0</v>
      </c>
      <c r="P60" s="44"/>
      <c r="Q60" s="3"/>
      <c r="R60" s="3"/>
      <c r="S60" s="3"/>
      <c r="T60" s="3"/>
      <c r="U60" s="3"/>
      <c r="V60" s="3"/>
      <c r="W60" s="3"/>
      <c r="X60" s="3"/>
      <c r="Y60" s="3"/>
    </row>
    <row r="61" spans="1:25" s="59" customFormat="1" ht="12.9" customHeight="1" x14ac:dyDescent="0.2">
      <c r="A61" s="46"/>
      <c r="B61" s="60" t="s">
        <v>93</v>
      </c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8">
        <f>+SUM(C61:N61)</f>
        <v>0</v>
      </c>
      <c r="P61" s="44"/>
      <c r="Q61" s="3"/>
      <c r="R61" s="3"/>
      <c r="S61" s="3"/>
      <c r="T61" s="3"/>
      <c r="U61" s="3"/>
      <c r="V61" s="3"/>
      <c r="W61" s="3"/>
      <c r="X61" s="3"/>
      <c r="Y61" s="3"/>
    </row>
    <row r="62" spans="1:25" s="14" customFormat="1" ht="15" customHeight="1" x14ac:dyDescent="0.2">
      <c r="A62" s="10"/>
      <c r="B62" s="37" t="s">
        <v>94</v>
      </c>
      <c r="C62" s="12">
        <f t="shared" ref="C62:O62" si="12">SUM(C63:C65)</f>
        <v>0</v>
      </c>
      <c r="D62" s="12">
        <f t="shared" si="12"/>
        <v>0</v>
      </c>
      <c r="E62" s="12">
        <f t="shared" si="12"/>
        <v>0</v>
      </c>
      <c r="F62" s="12">
        <f t="shared" si="12"/>
        <v>0</v>
      </c>
      <c r="G62" s="12">
        <f t="shared" si="12"/>
        <v>0</v>
      </c>
      <c r="H62" s="12">
        <f t="shared" si="12"/>
        <v>0</v>
      </c>
      <c r="I62" s="12">
        <f t="shared" si="12"/>
        <v>0</v>
      </c>
      <c r="J62" s="12">
        <f t="shared" si="12"/>
        <v>0</v>
      </c>
      <c r="K62" s="12">
        <f t="shared" si="12"/>
        <v>0</v>
      </c>
      <c r="L62" s="12">
        <f t="shared" si="12"/>
        <v>0</v>
      </c>
      <c r="M62" s="12">
        <f t="shared" si="12"/>
        <v>0</v>
      </c>
      <c r="N62" s="12">
        <f t="shared" si="12"/>
        <v>0</v>
      </c>
      <c r="O62" s="12">
        <f t="shared" si="12"/>
        <v>0</v>
      </c>
      <c r="P62" s="18"/>
    </row>
    <row r="63" spans="1:25" ht="12.9" customHeight="1" x14ac:dyDescent="0.2">
      <c r="A63" s="100" t="s">
        <v>95</v>
      </c>
      <c r="B63" s="103" t="s">
        <v>96</v>
      </c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17">
        <f>+SUM(C63:N63)</f>
        <v>0</v>
      </c>
      <c r="P63" s="18"/>
    </row>
    <row r="64" spans="1:25" ht="12.9" customHeight="1" x14ac:dyDescent="0.2">
      <c r="A64" s="100" t="s">
        <v>97</v>
      </c>
      <c r="B64" s="104" t="s">
        <v>98</v>
      </c>
      <c r="C64" s="28"/>
      <c r="D64" s="28"/>
      <c r="E64" s="61"/>
      <c r="F64" s="28"/>
      <c r="G64" s="28"/>
      <c r="H64" s="28"/>
      <c r="I64" s="28"/>
      <c r="J64" s="28"/>
      <c r="K64" s="28"/>
      <c r="L64" s="28"/>
      <c r="M64" s="28"/>
      <c r="N64" s="28"/>
      <c r="O64" s="21">
        <f>+SUM(C64:N64)</f>
        <v>0</v>
      </c>
      <c r="P64" s="18"/>
    </row>
    <row r="65" spans="1:82" ht="12.9" customHeight="1" x14ac:dyDescent="0.2">
      <c r="A65" s="23"/>
      <c r="B65" s="43" t="s">
        <v>99</v>
      </c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29"/>
      <c r="N65" s="29"/>
      <c r="O65" s="29">
        <f>+SUM(C65:N65)</f>
        <v>0</v>
      </c>
      <c r="P65" s="18"/>
    </row>
    <row r="66" spans="1:82" s="14" customFormat="1" ht="15" customHeight="1" x14ac:dyDescent="0.2">
      <c r="A66" s="10"/>
      <c r="B66" s="62" t="s">
        <v>100</v>
      </c>
      <c r="C66" s="12">
        <f t="shared" ref="C66:O66" si="13">SUM(C67:C88)</f>
        <v>57576577.850000001</v>
      </c>
      <c r="D66" s="12">
        <f t="shared" si="13"/>
        <v>87017516</v>
      </c>
      <c r="E66" s="12">
        <f t="shared" si="13"/>
        <v>0</v>
      </c>
      <c r="F66" s="12">
        <f t="shared" si="13"/>
        <v>0</v>
      </c>
      <c r="G66" s="12">
        <f t="shared" si="13"/>
        <v>0</v>
      </c>
      <c r="H66" s="12">
        <f t="shared" si="13"/>
        <v>0</v>
      </c>
      <c r="I66" s="12">
        <f t="shared" si="13"/>
        <v>0</v>
      </c>
      <c r="J66" s="12">
        <f t="shared" si="13"/>
        <v>0</v>
      </c>
      <c r="K66" s="12">
        <f t="shared" si="13"/>
        <v>0</v>
      </c>
      <c r="L66" s="12">
        <f t="shared" si="13"/>
        <v>0</v>
      </c>
      <c r="M66" s="12">
        <f t="shared" si="13"/>
        <v>0</v>
      </c>
      <c r="N66" s="12">
        <f t="shared" si="13"/>
        <v>0</v>
      </c>
      <c r="O66" s="12">
        <f t="shared" si="13"/>
        <v>144594093.84999999</v>
      </c>
      <c r="P66" s="18"/>
    </row>
    <row r="67" spans="1:82" s="14" customFormat="1" ht="12.9" customHeight="1" x14ac:dyDescent="0.2">
      <c r="A67" s="100" t="s">
        <v>101</v>
      </c>
      <c r="B67" s="103" t="s">
        <v>102</v>
      </c>
      <c r="C67" s="27">
        <f>'[6]Hoja 1'!$C$133</f>
        <v>5120451</v>
      </c>
      <c r="D67" s="119">
        <v>1900000</v>
      </c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8">
        <f t="shared" ref="O67:O89" si="14">+SUM(C67:N67)</f>
        <v>7020451</v>
      </c>
      <c r="P67" s="18"/>
    </row>
    <row r="68" spans="1:82" s="14" customFormat="1" ht="12.9" customHeight="1" x14ac:dyDescent="0.2">
      <c r="A68" s="23"/>
      <c r="B68" s="50" t="s">
        <v>103</v>
      </c>
      <c r="C68" s="28"/>
      <c r="D68" s="28"/>
      <c r="E68" s="28"/>
      <c r="F68" s="28"/>
      <c r="G68" s="63"/>
      <c r="H68" s="28"/>
      <c r="I68" s="28"/>
      <c r="J68" s="28"/>
      <c r="K68" s="28"/>
      <c r="L68" s="28"/>
      <c r="M68" s="28"/>
      <c r="N68" s="28"/>
      <c r="O68" s="28">
        <f t="shared" si="14"/>
        <v>0</v>
      </c>
      <c r="P68" s="18"/>
    </row>
    <row r="69" spans="1:82" ht="12.9" customHeight="1" x14ac:dyDescent="0.2">
      <c r="A69" s="100" t="s">
        <v>104</v>
      </c>
      <c r="B69" s="104" t="s">
        <v>105</v>
      </c>
      <c r="C69" s="20">
        <f>'[6]Hoja 1'!$C$135</f>
        <v>3232020.85</v>
      </c>
      <c r="D69" s="116">
        <v>90000</v>
      </c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8">
        <f t="shared" si="14"/>
        <v>3322020.85</v>
      </c>
      <c r="P69" s="55"/>
    </row>
    <row r="70" spans="1:82" s="59" customFormat="1" ht="12.9" customHeight="1" x14ac:dyDescent="0.2">
      <c r="A70" s="100" t="s">
        <v>106</v>
      </c>
      <c r="B70" s="104" t="s">
        <v>107</v>
      </c>
      <c r="C70" s="20">
        <f>'[6]Hoja 1'!$C$137+'[6]Hoja 1'!$C$402</f>
        <v>1128406</v>
      </c>
      <c r="D70" s="116">
        <v>15441534</v>
      </c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8">
        <f t="shared" si="14"/>
        <v>16569940</v>
      </c>
      <c r="P70" s="18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</row>
    <row r="71" spans="1:82" s="59" customFormat="1" ht="12.9" customHeight="1" x14ac:dyDescent="0.2">
      <c r="A71" s="100" t="s">
        <v>108</v>
      </c>
      <c r="B71" s="104" t="s">
        <v>109</v>
      </c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8">
        <f t="shared" si="14"/>
        <v>0</v>
      </c>
      <c r="P71" s="18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</row>
    <row r="72" spans="1:82" ht="12.9" customHeight="1" x14ac:dyDescent="0.2">
      <c r="A72" s="100" t="s">
        <v>110</v>
      </c>
      <c r="B72" s="104" t="s">
        <v>111</v>
      </c>
      <c r="C72" s="20">
        <v>964175</v>
      </c>
      <c r="D72" s="116">
        <v>1186883</v>
      </c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8">
        <f t="shared" si="14"/>
        <v>2151058</v>
      </c>
      <c r="P72" s="18"/>
    </row>
    <row r="73" spans="1:82" ht="12.9" customHeight="1" x14ac:dyDescent="0.2">
      <c r="A73" s="100" t="s">
        <v>112</v>
      </c>
      <c r="B73" s="104" t="s">
        <v>113</v>
      </c>
      <c r="C73" s="20">
        <f>'[6]Hoja 1'!$C$141</f>
        <v>1213800</v>
      </c>
      <c r="D73" s="116">
        <v>1273497</v>
      </c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8">
        <f t="shared" si="14"/>
        <v>2487297</v>
      </c>
      <c r="P73" s="18"/>
    </row>
    <row r="74" spans="1:82" ht="12.9" customHeight="1" x14ac:dyDescent="0.2">
      <c r="A74" s="100" t="s">
        <v>114</v>
      </c>
      <c r="B74" s="104" t="s">
        <v>115</v>
      </c>
      <c r="C74" s="20">
        <f>'[6]Hoja 1'!$C$143</f>
        <v>485159</v>
      </c>
      <c r="D74" s="116">
        <v>679316</v>
      </c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8">
        <f t="shared" si="14"/>
        <v>1164475</v>
      </c>
      <c r="P74" s="18"/>
    </row>
    <row r="75" spans="1:82" ht="12.9" customHeight="1" x14ac:dyDescent="0.2">
      <c r="A75" s="100" t="s">
        <v>116</v>
      </c>
      <c r="B75" s="104" t="s">
        <v>117</v>
      </c>
      <c r="C75" s="20">
        <f>'[6]Hoja 1'!$C$145</f>
        <v>882585</v>
      </c>
      <c r="D75" s="131">
        <v>0</v>
      </c>
      <c r="E75" s="20" t="s">
        <v>185</v>
      </c>
      <c r="F75" s="20"/>
      <c r="G75" s="20"/>
      <c r="H75" s="20"/>
      <c r="I75" s="20"/>
      <c r="J75" s="20"/>
      <c r="K75" s="20"/>
      <c r="L75" s="20"/>
      <c r="M75" s="20"/>
      <c r="N75" s="20"/>
      <c r="O75" s="28">
        <f t="shared" si="14"/>
        <v>882585</v>
      </c>
      <c r="P75" s="18"/>
    </row>
    <row r="76" spans="1:82" ht="12.9" customHeight="1" x14ac:dyDescent="0.2">
      <c r="A76" s="100" t="s">
        <v>118</v>
      </c>
      <c r="B76" s="104" t="s">
        <v>119</v>
      </c>
      <c r="C76" s="20">
        <f>'[6]Hoja 1'!$C$148</f>
        <v>33900</v>
      </c>
      <c r="D76" s="116">
        <v>27100</v>
      </c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8">
        <f t="shared" si="14"/>
        <v>61000</v>
      </c>
      <c r="P76" s="18"/>
    </row>
    <row r="77" spans="1:82" ht="12.9" customHeight="1" x14ac:dyDescent="0.2">
      <c r="A77" s="100" t="s">
        <v>120</v>
      </c>
      <c r="B77" s="104" t="s">
        <v>121</v>
      </c>
      <c r="C77" s="20">
        <f>'[6]Hoja 1'!$C$150</f>
        <v>1927200</v>
      </c>
      <c r="D77" s="116">
        <f>'[8]Hoja 1'!$C$152</f>
        <v>2470200</v>
      </c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8">
        <f t="shared" si="14"/>
        <v>4397400</v>
      </c>
      <c r="P77" s="18"/>
    </row>
    <row r="78" spans="1:82" s="59" customFormat="1" ht="12.9" customHeight="1" x14ac:dyDescent="0.2">
      <c r="A78" s="100" t="s">
        <v>122</v>
      </c>
      <c r="B78" s="104" t="s">
        <v>123</v>
      </c>
      <c r="C78" s="65">
        <f>'[6]Hoja 1'!$C$152</f>
        <v>5349907</v>
      </c>
      <c r="D78" s="120">
        <v>508300</v>
      </c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>
        <f t="shared" si="14"/>
        <v>5858207</v>
      </c>
      <c r="P78" s="18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</row>
    <row r="79" spans="1:82" ht="13.5" customHeight="1" x14ac:dyDescent="0.2">
      <c r="A79" s="100" t="s">
        <v>124</v>
      </c>
      <c r="B79" s="104" t="s">
        <v>125</v>
      </c>
      <c r="C79" s="28">
        <f>'[6]Hoja 1'!$C$153</f>
        <v>3927000</v>
      </c>
      <c r="D79" s="120">
        <v>319799</v>
      </c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>
        <f t="shared" si="14"/>
        <v>4246799</v>
      </c>
      <c r="P79" s="18"/>
    </row>
    <row r="80" spans="1:82" ht="12.9" customHeight="1" x14ac:dyDescent="0.2">
      <c r="A80" s="100" t="s">
        <v>126</v>
      </c>
      <c r="B80" s="104" t="s">
        <v>127</v>
      </c>
      <c r="C80" s="28">
        <f>'[6]Hoja 1'!$C$154</f>
        <v>800000</v>
      </c>
      <c r="D80" s="120">
        <v>800000</v>
      </c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>
        <f t="shared" si="14"/>
        <v>1600000</v>
      </c>
      <c r="P80" s="18"/>
    </row>
    <row r="81" spans="1:80" ht="12.9" customHeight="1" x14ac:dyDescent="0.2">
      <c r="A81" s="100">
        <v>51959510</v>
      </c>
      <c r="B81" s="104" t="s">
        <v>128</v>
      </c>
      <c r="C81" s="28">
        <f>'[6]Hoja 1'!$C$156</f>
        <v>2178708</v>
      </c>
      <c r="D81" s="120">
        <v>4623150</v>
      </c>
      <c r="E81" s="28"/>
      <c r="F81" s="28"/>
      <c r="G81" s="28"/>
      <c r="H81" s="28"/>
      <c r="I81" s="28"/>
      <c r="J81" s="28"/>
      <c r="K81" s="28"/>
      <c r="L81" s="28"/>
      <c r="M81" s="28"/>
      <c r="N81" s="66"/>
      <c r="O81" s="28">
        <f t="shared" si="14"/>
        <v>6801858</v>
      </c>
      <c r="P81" s="18"/>
    </row>
    <row r="82" spans="1:80" s="59" customFormat="1" ht="12.9" customHeight="1" x14ac:dyDescent="0.2">
      <c r="A82" s="100" t="s">
        <v>129</v>
      </c>
      <c r="B82" s="104" t="s">
        <v>130</v>
      </c>
      <c r="C82" s="28">
        <f>'[6]Hoja 1'!$C$157</f>
        <v>2519100</v>
      </c>
      <c r="D82" s="120">
        <v>10566388</v>
      </c>
      <c r="E82" s="28"/>
      <c r="F82" s="28"/>
      <c r="G82" s="28"/>
      <c r="H82" s="28"/>
      <c r="I82" s="28"/>
      <c r="J82" s="28"/>
      <c r="K82" s="28"/>
      <c r="L82" s="28"/>
      <c r="M82" s="67"/>
      <c r="N82" s="68"/>
      <c r="O82" s="28">
        <f t="shared" si="14"/>
        <v>13085488</v>
      </c>
      <c r="P82" s="44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</row>
    <row r="83" spans="1:80" ht="12.9" customHeight="1" x14ac:dyDescent="0.2">
      <c r="A83" s="100" t="s">
        <v>131</v>
      </c>
      <c r="B83" s="104" t="s">
        <v>132</v>
      </c>
      <c r="C83" s="69">
        <f>'[6]Hoja 1'!$C$159</f>
        <v>342720</v>
      </c>
      <c r="D83" s="124">
        <v>5834000</v>
      </c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28">
        <f t="shared" si="14"/>
        <v>6176720</v>
      </c>
      <c r="P83" s="18"/>
    </row>
    <row r="84" spans="1:80" ht="12.9" customHeight="1" x14ac:dyDescent="0.2">
      <c r="A84" s="100" t="s">
        <v>133</v>
      </c>
      <c r="B84" s="104" t="s">
        <v>134</v>
      </c>
      <c r="C84" s="28">
        <f>'[6]Hoja 1'!$C$160</f>
        <v>22363060</v>
      </c>
      <c r="D84" s="120">
        <v>34962540</v>
      </c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>
        <f t="shared" si="14"/>
        <v>57325600</v>
      </c>
      <c r="P84" s="18"/>
    </row>
    <row r="85" spans="1:80" ht="12.9" customHeight="1" x14ac:dyDescent="0.2">
      <c r="A85" s="100" t="s">
        <v>135</v>
      </c>
      <c r="B85" s="104" t="s">
        <v>136</v>
      </c>
      <c r="C85" s="20">
        <f>'[6]Hoja 1'!$C$155</f>
        <v>4464808</v>
      </c>
      <c r="D85" s="116">
        <v>3939537</v>
      </c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8">
        <f t="shared" si="14"/>
        <v>8404345</v>
      </c>
      <c r="P85" s="18"/>
    </row>
    <row r="86" spans="1:80" ht="12.9" customHeight="1" x14ac:dyDescent="0.2">
      <c r="A86" s="23"/>
      <c r="B86" s="70" t="s">
        <v>137</v>
      </c>
      <c r="C86" s="65"/>
      <c r="D86" s="65"/>
      <c r="E86" s="65"/>
      <c r="F86" s="65"/>
      <c r="G86" s="65"/>
      <c r="H86" s="65"/>
      <c r="I86" s="65"/>
      <c r="J86" s="68"/>
      <c r="K86" s="65"/>
      <c r="L86" s="65"/>
      <c r="M86" s="65"/>
      <c r="N86" s="65"/>
      <c r="O86" s="67">
        <f t="shared" si="14"/>
        <v>0</v>
      </c>
      <c r="P86" s="18"/>
    </row>
    <row r="87" spans="1:80" ht="12.9" customHeight="1" x14ac:dyDescent="0.2">
      <c r="A87" s="105" t="s">
        <v>138</v>
      </c>
      <c r="B87" s="106" t="s">
        <v>139</v>
      </c>
      <c r="C87" s="65"/>
      <c r="D87" s="125">
        <v>1751694</v>
      </c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7">
        <f t="shared" si="14"/>
        <v>1751694</v>
      </c>
      <c r="P87" s="18"/>
    </row>
    <row r="88" spans="1:80" ht="12.9" customHeight="1" x14ac:dyDescent="0.2">
      <c r="A88" s="107" t="s">
        <v>140</v>
      </c>
      <c r="B88" s="108" t="s">
        <v>141</v>
      </c>
      <c r="C88" s="25">
        <f>'[6]Hoja 1'!$C$161</f>
        <v>643578</v>
      </c>
      <c r="D88" s="117">
        <v>643578</v>
      </c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36">
        <f t="shared" si="14"/>
        <v>1287156</v>
      </c>
      <c r="P88" s="38"/>
    </row>
    <row r="89" spans="1:80" ht="12.9" customHeight="1" x14ac:dyDescent="0.2">
      <c r="A89" s="23"/>
      <c r="B89" s="62" t="s">
        <v>142</v>
      </c>
      <c r="C89" s="12">
        <f>[1]CASINO!$C$144</f>
        <v>26472126.799999997</v>
      </c>
      <c r="D89" s="118">
        <f>[1]CASINO!$F$144</f>
        <v>29999600.399999999</v>
      </c>
      <c r="E89" s="71"/>
      <c r="F89" s="71"/>
      <c r="G89" s="71"/>
      <c r="H89" s="71"/>
      <c r="I89" s="71"/>
      <c r="J89" s="71"/>
      <c r="K89" s="71"/>
      <c r="L89" s="71"/>
      <c r="M89" s="71"/>
      <c r="N89" s="72"/>
      <c r="O89" s="36">
        <f t="shared" si="14"/>
        <v>56471727.199999996</v>
      </c>
      <c r="P89" s="18"/>
    </row>
    <row r="90" spans="1:80" ht="12.9" customHeight="1" x14ac:dyDescent="0.2">
      <c r="A90" s="23"/>
      <c r="B90" s="37" t="s">
        <v>143</v>
      </c>
      <c r="C90" s="12">
        <f t="shared" ref="C90:O90" si="15">SUM(C91:C95)</f>
        <v>8229146.4000000004</v>
      </c>
      <c r="D90" s="118">
        <f t="shared" si="15"/>
        <v>14270218.619999999</v>
      </c>
      <c r="E90" s="12">
        <f t="shared" si="15"/>
        <v>0</v>
      </c>
      <c r="F90" s="12">
        <f t="shared" si="15"/>
        <v>0</v>
      </c>
      <c r="G90" s="12">
        <f t="shared" si="15"/>
        <v>0</v>
      </c>
      <c r="H90" s="12">
        <f t="shared" si="15"/>
        <v>0</v>
      </c>
      <c r="I90" s="12">
        <f t="shared" si="15"/>
        <v>0</v>
      </c>
      <c r="J90" s="12">
        <f t="shared" si="15"/>
        <v>0</v>
      </c>
      <c r="K90" s="12">
        <f t="shared" si="15"/>
        <v>0</v>
      </c>
      <c r="L90" s="12">
        <f t="shared" si="15"/>
        <v>0</v>
      </c>
      <c r="M90" s="12">
        <f t="shared" si="15"/>
        <v>0</v>
      </c>
      <c r="N90" s="12">
        <f t="shared" si="15"/>
        <v>0</v>
      </c>
      <c r="O90" s="12">
        <f t="shared" si="15"/>
        <v>22499365.02</v>
      </c>
      <c r="P90" s="18"/>
    </row>
    <row r="91" spans="1:80" s="59" customFormat="1" ht="12.9" customHeight="1" x14ac:dyDescent="0.2">
      <c r="A91" s="23"/>
      <c r="B91" s="73" t="s">
        <v>144</v>
      </c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17">
        <f>+SUM(C91:N91)</f>
        <v>0</v>
      </c>
      <c r="P91" s="44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</row>
    <row r="92" spans="1:80" s="59" customFormat="1" ht="12.9" customHeight="1" x14ac:dyDescent="0.2">
      <c r="A92" s="23"/>
      <c r="B92" s="64" t="s">
        <v>145</v>
      </c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1">
        <f>+SUM(C92:N92)</f>
        <v>0</v>
      </c>
      <c r="P92" s="44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</row>
    <row r="93" spans="1:80" ht="12.9" customHeight="1" x14ac:dyDescent="0.2">
      <c r="A93" s="23"/>
      <c r="B93" s="64" t="s">
        <v>146</v>
      </c>
      <c r="C93" s="28">
        <f>'[6]Hoja 1'!$C$180</f>
        <v>929031</v>
      </c>
      <c r="D93" s="120">
        <f>'[8]Hoja 1'!$C$183</f>
        <v>5000000</v>
      </c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>
        <f>+SUM(C93:N93)</f>
        <v>5929031</v>
      </c>
      <c r="P93" s="18"/>
    </row>
    <row r="94" spans="1:80" ht="12.9" customHeight="1" x14ac:dyDescent="0.2">
      <c r="A94" s="100" t="s">
        <v>147</v>
      </c>
      <c r="B94" s="104" t="s">
        <v>148</v>
      </c>
      <c r="C94" s="28">
        <f>'[6]Hoja 1'!$C$146</f>
        <v>7300083.1900000004</v>
      </c>
      <c r="D94" s="120">
        <v>9270040.6699999999</v>
      </c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74">
        <f>+SUM(C94:N94)</f>
        <v>16570123.859999999</v>
      </c>
      <c r="P94" s="18"/>
    </row>
    <row r="95" spans="1:80" ht="12.9" customHeight="1" x14ac:dyDescent="0.2">
      <c r="A95" s="100" t="s">
        <v>149</v>
      </c>
      <c r="B95" s="108" t="s">
        <v>150</v>
      </c>
      <c r="C95" s="36">
        <f>'[6]Hoja 1'!$C$182</f>
        <v>32.21</v>
      </c>
      <c r="D95" s="132">
        <v>177.95</v>
      </c>
      <c r="E95" s="36" t="s">
        <v>186</v>
      </c>
      <c r="F95" s="36"/>
      <c r="G95" s="36"/>
      <c r="H95" s="36"/>
      <c r="I95" s="36"/>
      <c r="J95" s="36"/>
      <c r="K95" s="36"/>
      <c r="L95" s="36"/>
      <c r="M95" s="36"/>
      <c r="N95" s="36"/>
      <c r="O95" s="29">
        <f>+SUM(C95:N95)</f>
        <v>210.16</v>
      </c>
      <c r="P95" s="18"/>
    </row>
    <row r="96" spans="1:80" ht="15" customHeight="1" x14ac:dyDescent="0.2">
      <c r="A96" s="10"/>
      <c r="B96" s="75" t="s">
        <v>151</v>
      </c>
      <c r="C96" s="76">
        <f t="shared" ref="C96:O96" si="16">C5+C13+C19+C22+C28+C32+C46+C52+C59+C62+C66+C89+C90</f>
        <v>464211163.05000001</v>
      </c>
      <c r="D96" s="76">
        <f t="shared" si="16"/>
        <v>580930311.01999998</v>
      </c>
      <c r="E96" s="76">
        <f t="shared" si="16"/>
        <v>0</v>
      </c>
      <c r="F96" s="76">
        <f t="shared" si="16"/>
        <v>0</v>
      </c>
      <c r="G96" s="76">
        <f t="shared" si="16"/>
        <v>0</v>
      </c>
      <c r="H96" s="76">
        <f t="shared" si="16"/>
        <v>0</v>
      </c>
      <c r="I96" s="76">
        <f t="shared" si="16"/>
        <v>0</v>
      </c>
      <c r="J96" s="76">
        <f t="shared" si="16"/>
        <v>0</v>
      </c>
      <c r="K96" s="76">
        <f t="shared" si="16"/>
        <v>0</v>
      </c>
      <c r="L96" s="76">
        <f t="shared" si="16"/>
        <v>0</v>
      </c>
      <c r="M96" s="76">
        <f t="shared" si="16"/>
        <v>0</v>
      </c>
      <c r="N96" s="76">
        <f t="shared" si="16"/>
        <v>0</v>
      </c>
      <c r="O96" s="76">
        <f t="shared" si="16"/>
        <v>1045141474.0700001</v>
      </c>
      <c r="P96" s="18"/>
    </row>
    <row r="97" spans="1:16" ht="15" customHeight="1" x14ac:dyDescent="0.2">
      <c r="A97" s="4"/>
      <c r="B97" s="77"/>
      <c r="C97" s="78"/>
      <c r="D97" s="78"/>
      <c r="E97" s="78"/>
      <c r="F97" s="79"/>
      <c r="G97" s="78"/>
      <c r="H97" s="78"/>
      <c r="I97" s="78"/>
      <c r="J97" s="78"/>
      <c r="K97" s="78"/>
      <c r="L97" s="78"/>
      <c r="M97" s="78"/>
      <c r="N97" s="78"/>
      <c r="O97" s="78"/>
      <c r="P97" s="18"/>
    </row>
    <row r="98" spans="1:16" s="14" customFormat="1" ht="15" customHeight="1" x14ac:dyDescent="0.2">
      <c r="A98" s="80"/>
      <c r="B98" s="81" t="s">
        <v>152</v>
      </c>
      <c r="C98" s="82">
        <f t="shared" ref="C98:O98" si="17">SUM(C99:C107)</f>
        <v>19158553.5</v>
      </c>
      <c r="D98" s="82">
        <f t="shared" si="17"/>
        <v>33396664.289999999</v>
      </c>
      <c r="E98" s="82">
        <f t="shared" si="17"/>
        <v>0</v>
      </c>
      <c r="F98" s="82">
        <f t="shared" si="17"/>
        <v>0</v>
      </c>
      <c r="G98" s="82">
        <f t="shared" si="17"/>
        <v>0</v>
      </c>
      <c r="H98" s="82">
        <f t="shared" si="17"/>
        <v>0</v>
      </c>
      <c r="I98" s="82">
        <f t="shared" si="17"/>
        <v>0</v>
      </c>
      <c r="J98" s="82">
        <f t="shared" si="17"/>
        <v>0</v>
      </c>
      <c r="K98" s="82">
        <f t="shared" si="17"/>
        <v>0</v>
      </c>
      <c r="L98" s="82">
        <f t="shared" si="17"/>
        <v>0</v>
      </c>
      <c r="M98" s="82">
        <f t="shared" si="17"/>
        <v>0</v>
      </c>
      <c r="N98" s="82">
        <f t="shared" si="17"/>
        <v>0</v>
      </c>
      <c r="O98" s="82">
        <f t="shared" si="17"/>
        <v>52555217.790000007</v>
      </c>
      <c r="P98" s="18"/>
    </row>
    <row r="99" spans="1:16" ht="12.9" customHeight="1" x14ac:dyDescent="0.2">
      <c r="A99" s="109" t="s">
        <v>153</v>
      </c>
      <c r="B99" s="103" t="s">
        <v>154</v>
      </c>
      <c r="C99" s="16">
        <f>'[6]Hoja 1'!$C$164</f>
        <v>489046.66</v>
      </c>
      <c r="D99" s="126">
        <v>721868.2</v>
      </c>
      <c r="E99" s="16"/>
      <c r="F99" s="27"/>
      <c r="G99" s="27"/>
      <c r="H99" s="27"/>
      <c r="I99" s="27"/>
      <c r="J99" s="27"/>
      <c r="K99" s="27"/>
      <c r="L99" s="27"/>
      <c r="M99" s="17"/>
      <c r="N99" s="17"/>
      <c r="O99" s="17">
        <f t="shared" ref="O99:O108" si="18">+SUM(C99:N99)</f>
        <v>1210914.8599999999</v>
      </c>
      <c r="P99" s="18"/>
    </row>
    <row r="100" spans="1:16" ht="12.9" customHeight="1" x14ac:dyDescent="0.2">
      <c r="A100" s="109" t="s">
        <v>155</v>
      </c>
      <c r="B100" s="104" t="s">
        <v>156</v>
      </c>
      <c r="C100" s="20">
        <f>'[6]Hoja 1'!$C$167</f>
        <v>1697707.56</v>
      </c>
      <c r="D100" s="116">
        <v>2541356.16</v>
      </c>
      <c r="E100" s="20"/>
      <c r="F100" s="28"/>
      <c r="G100" s="28"/>
      <c r="H100" s="28"/>
      <c r="I100" s="28"/>
      <c r="J100" s="28"/>
      <c r="K100" s="28"/>
      <c r="L100" s="28"/>
      <c r="M100" s="21"/>
      <c r="N100" s="21"/>
      <c r="O100" s="21">
        <f t="shared" si="18"/>
        <v>4239063.7200000007</v>
      </c>
      <c r="P100" s="18"/>
    </row>
    <row r="101" spans="1:16" ht="12.9" customHeight="1" x14ac:dyDescent="0.2">
      <c r="A101" s="109" t="s">
        <v>157</v>
      </c>
      <c r="B101" s="110" t="s">
        <v>158</v>
      </c>
      <c r="C101" s="20">
        <f>'[6]Hoja 1'!$C$172</f>
        <v>6444863.9500000002</v>
      </c>
      <c r="D101" s="116">
        <v>2367762.52</v>
      </c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1">
        <f t="shared" si="18"/>
        <v>8812626.4700000007</v>
      </c>
      <c r="P101" s="18"/>
    </row>
    <row r="102" spans="1:16" ht="12.9" customHeight="1" x14ac:dyDescent="0.2">
      <c r="A102" s="109" t="s">
        <v>159</v>
      </c>
      <c r="B102" s="110" t="s">
        <v>160</v>
      </c>
      <c r="C102" s="20">
        <f>'[6]Hoja 1'!$C$173</f>
        <v>84553</v>
      </c>
      <c r="D102" s="20"/>
      <c r="E102" s="20"/>
      <c r="F102" s="20"/>
      <c r="G102" s="20"/>
      <c r="H102" s="20"/>
      <c r="I102" s="20"/>
      <c r="J102" s="20"/>
      <c r="K102" s="20"/>
      <c r="L102" s="20"/>
      <c r="M102" s="21"/>
      <c r="N102" s="21"/>
      <c r="O102" s="21">
        <f t="shared" si="18"/>
        <v>84553</v>
      </c>
      <c r="P102" s="18"/>
    </row>
    <row r="103" spans="1:16" ht="12.9" customHeight="1" x14ac:dyDescent="0.2">
      <c r="A103" s="4"/>
      <c r="B103" s="83" t="s">
        <v>161</v>
      </c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1"/>
      <c r="N103" s="21"/>
      <c r="O103" s="21">
        <f t="shared" si="18"/>
        <v>0</v>
      </c>
      <c r="P103" s="18"/>
    </row>
    <row r="104" spans="1:16" ht="12.9" customHeight="1" x14ac:dyDescent="0.2">
      <c r="A104" s="109" t="s">
        <v>162</v>
      </c>
      <c r="B104" s="110" t="s">
        <v>163</v>
      </c>
      <c r="C104" s="20"/>
      <c r="D104" s="116">
        <v>3769285</v>
      </c>
      <c r="E104" s="20"/>
      <c r="F104" s="20"/>
      <c r="G104" s="20"/>
      <c r="H104" s="20"/>
      <c r="I104" s="20"/>
      <c r="J104" s="20"/>
      <c r="K104" s="20"/>
      <c r="L104" s="20"/>
      <c r="M104" s="21"/>
      <c r="N104" s="21"/>
      <c r="O104" s="21">
        <f t="shared" si="18"/>
        <v>3769285</v>
      </c>
      <c r="P104" s="18"/>
    </row>
    <row r="105" spans="1:16" ht="12.9" customHeight="1" x14ac:dyDescent="0.2">
      <c r="A105" s="109" t="s">
        <v>164</v>
      </c>
      <c r="B105" s="110" t="s">
        <v>165</v>
      </c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1"/>
      <c r="N105" s="21"/>
      <c r="O105" s="21">
        <f t="shared" si="18"/>
        <v>0</v>
      </c>
      <c r="P105" s="18"/>
    </row>
    <row r="106" spans="1:16" ht="12.9" customHeight="1" x14ac:dyDescent="0.2">
      <c r="A106" s="109" t="s">
        <v>166</v>
      </c>
      <c r="B106" s="104" t="s">
        <v>167</v>
      </c>
      <c r="C106" s="20">
        <f>'[6]Hoja 1'!$C$82+'[6]Hoja 1'!$C$175</f>
        <v>10375136.550000001</v>
      </c>
      <c r="D106" s="20">
        <v>23996392.41</v>
      </c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1">
        <f t="shared" si="18"/>
        <v>34371528.960000001</v>
      </c>
      <c r="P106" s="18"/>
    </row>
    <row r="107" spans="1:16" ht="12.9" customHeight="1" x14ac:dyDescent="0.2">
      <c r="A107" s="109" t="s">
        <v>168</v>
      </c>
      <c r="B107" s="108" t="s">
        <v>169</v>
      </c>
      <c r="C107" s="25">
        <f>'[6]Hoja 1'!$C$177</f>
        <v>67245.78</v>
      </c>
      <c r="D107" s="25"/>
      <c r="E107" s="25"/>
      <c r="F107" s="36"/>
      <c r="G107" s="36"/>
      <c r="H107" s="36"/>
      <c r="I107" s="36"/>
      <c r="J107" s="36"/>
      <c r="K107" s="36"/>
      <c r="L107" s="36"/>
      <c r="M107" s="29"/>
      <c r="N107" s="29"/>
      <c r="O107" s="29">
        <f t="shared" si="18"/>
        <v>67245.78</v>
      </c>
      <c r="P107" s="18"/>
    </row>
    <row r="108" spans="1:16" ht="12.9" customHeight="1" x14ac:dyDescent="0.2">
      <c r="A108" s="4"/>
      <c r="B108" s="56" t="s">
        <v>170</v>
      </c>
      <c r="C108" s="12">
        <f>96313193+10045491</f>
        <v>106358684</v>
      </c>
      <c r="D108" s="118">
        <f>99151187+9611660</f>
        <v>108762847</v>
      </c>
      <c r="E108" s="12"/>
      <c r="F108" s="12"/>
      <c r="G108" s="12"/>
      <c r="H108" s="12"/>
      <c r="I108" s="12"/>
      <c r="J108" s="12"/>
      <c r="K108" s="12"/>
      <c r="L108" s="12"/>
      <c r="M108" s="84"/>
      <c r="N108" s="12"/>
      <c r="O108" s="85">
        <f t="shared" si="18"/>
        <v>215121531</v>
      </c>
      <c r="P108" s="18"/>
    </row>
    <row r="109" spans="1:16" s="14" customFormat="1" ht="15" customHeight="1" x14ac:dyDescent="0.2">
      <c r="A109" s="4"/>
      <c r="B109" s="81" t="s">
        <v>171</v>
      </c>
      <c r="C109" s="82">
        <f t="shared" ref="C109:O109" si="19">C98+C108</f>
        <v>125517237.5</v>
      </c>
      <c r="D109" s="82">
        <f t="shared" si="19"/>
        <v>142159511.28999999</v>
      </c>
      <c r="E109" s="82">
        <f t="shared" si="19"/>
        <v>0</v>
      </c>
      <c r="F109" s="82">
        <f t="shared" si="19"/>
        <v>0</v>
      </c>
      <c r="G109" s="82">
        <f t="shared" si="19"/>
        <v>0</v>
      </c>
      <c r="H109" s="82">
        <f t="shared" si="19"/>
        <v>0</v>
      </c>
      <c r="I109" s="82">
        <f t="shared" si="19"/>
        <v>0</v>
      </c>
      <c r="J109" s="82">
        <f t="shared" si="19"/>
        <v>0</v>
      </c>
      <c r="K109" s="82">
        <f t="shared" si="19"/>
        <v>0</v>
      </c>
      <c r="L109" s="82">
        <f t="shared" si="19"/>
        <v>0</v>
      </c>
      <c r="M109" s="82">
        <f t="shared" si="19"/>
        <v>0</v>
      </c>
      <c r="N109" s="82">
        <f t="shared" si="19"/>
        <v>0</v>
      </c>
      <c r="O109" s="82">
        <f t="shared" si="19"/>
        <v>267676748.79000002</v>
      </c>
      <c r="P109" s="18"/>
    </row>
    <row r="110" spans="1:16" ht="15" customHeight="1" x14ac:dyDescent="0.2">
      <c r="A110" s="4"/>
      <c r="B110" s="86"/>
      <c r="C110" s="87"/>
      <c r="D110" s="87"/>
      <c r="E110" s="87"/>
      <c r="F110" s="87"/>
      <c r="G110" s="87"/>
      <c r="H110" s="88"/>
      <c r="I110" s="88"/>
      <c r="J110" s="88"/>
      <c r="K110" s="88"/>
      <c r="L110" s="88"/>
      <c r="M110" s="88"/>
      <c r="N110" s="88"/>
      <c r="O110" s="87"/>
    </row>
    <row r="111" spans="1:16" s="14" customFormat="1" ht="15" hidden="1" customHeight="1" x14ac:dyDescent="0.2">
      <c r="A111" s="4"/>
      <c r="B111" s="81" t="s">
        <v>172</v>
      </c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>
        <f>+SUM(C111:N111)</f>
        <v>0</v>
      </c>
      <c r="P111" s="13"/>
    </row>
    <row r="112" spans="1:16" ht="15" customHeight="1" x14ac:dyDescent="0.2">
      <c r="B112" s="81" t="s">
        <v>173</v>
      </c>
      <c r="C112" s="82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</row>
    <row r="113" spans="2:15" ht="15" customHeight="1" x14ac:dyDescent="0.2">
      <c r="B113" s="73" t="s">
        <v>174</v>
      </c>
      <c r="C113" s="16">
        <v>15396000</v>
      </c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7">
        <f t="shared" ref="O113:O119" si="20">+SUM(C113:N113)</f>
        <v>15396000</v>
      </c>
    </row>
    <row r="114" spans="2:15" ht="15" customHeight="1" x14ac:dyDescent="0.2">
      <c r="B114" s="64" t="s">
        <v>175</v>
      </c>
      <c r="C114" s="20">
        <f>[1]RECREARTE!$C$141</f>
        <v>15474654</v>
      </c>
      <c r="D114" s="20">
        <f>[1]RECREARTE!$F$141</f>
        <v>-1777321</v>
      </c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1">
        <f t="shared" si="20"/>
        <v>13697333</v>
      </c>
    </row>
    <row r="115" spans="2:15" ht="15" customHeight="1" x14ac:dyDescent="0.2">
      <c r="B115" s="83" t="s">
        <v>176</v>
      </c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1">
        <f t="shared" si="20"/>
        <v>0</v>
      </c>
    </row>
    <row r="116" spans="2:15" ht="15" customHeight="1" x14ac:dyDescent="0.2">
      <c r="B116" s="83" t="s">
        <v>177</v>
      </c>
      <c r="C116" s="20"/>
      <c r="D116" s="20">
        <f>'[8]Hoja 1'!$E$23</f>
        <v>49000</v>
      </c>
      <c r="E116" s="20"/>
      <c r="F116" s="20"/>
      <c r="G116" s="20"/>
      <c r="H116" s="20"/>
      <c r="I116" s="20"/>
      <c r="J116" s="20"/>
      <c r="K116" s="20"/>
      <c r="L116" s="20"/>
      <c r="M116" s="21"/>
      <c r="N116" s="21"/>
      <c r="O116" s="21">
        <f t="shared" si="20"/>
        <v>49000</v>
      </c>
    </row>
    <row r="117" spans="2:15" ht="15" customHeight="1" x14ac:dyDescent="0.2">
      <c r="B117" s="83" t="s">
        <v>178</v>
      </c>
      <c r="C117" s="20"/>
      <c r="D117" s="20">
        <f>'[8]Hoja 1'!$E$28</f>
        <v>514.78</v>
      </c>
      <c r="E117" s="20"/>
      <c r="F117" s="20"/>
      <c r="G117" s="20"/>
      <c r="H117" s="20"/>
      <c r="I117" s="20"/>
      <c r="J117" s="20"/>
      <c r="K117" s="20"/>
      <c r="L117" s="20"/>
      <c r="M117" s="21"/>
      <c r="N117" s="21"/>
      <c r="O117" s="21">
        <f t="shared" si="20"/>
        <v>514.78</v>
      </c>
    </row>
    <row r="118" spans="2:15" ht="15" customHeight="1" x14ac:dyDescent="0.2">
      <c r="B118" s="83" t="s">
        <v>179</v>
      </c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1"/>
      <c r="N118" s="21"/>
      <c r="O118" s="21">
        <f t="shared" si="20"/>
        <v>0</v>
      </c>
    </row>
    <row r="119" spans="2:15" ht="15" customHeight="1" x14ac:dyDescent="0.2">
      <c r="B119" s="81" t="s">
        <v>180</v>
      </c>
      <c r="C119" s="82">
        <f t="shared" ref="C119:N119" si="21">SUM(C113:C115)-SUM(C116:C118)</f>
        <v>30870654</v>
      </c>
      <c r="D119" s="82">
        <f t="shared" si="21"/>
        <v>-1826835.78</v>
      </c>
      <c r="E119" s="82">
        <f t="shared" si="21"/>
        <v>0</v>
      </c>
      <c r="F119" s="82">
        <f t="shared" si="21"/>
        <v>0</v>
      </c>
      <c r="G119" s="82">
        <f t="shared" si="21"/>
        <v>0</v>
      </c>
      <c r="H119" s="82">
        <f t="shared" si="21"/>
        <v>0</v>
      </c>
      <c r="I119" s="82">
        <f t="shared" si="21"/>
        <v>0</v>
      </c>
      <c r="J119" s="82">
        <f t="shared" si="21"/>
        <v>0</v>
      </c>
      <c r="K119" s="82">
        <f t="shared" si="21"/>
        <v>0</v>
      </c>
      <c r="L119" s="82">
        <f t="shared" si="21"/>
        <v>0</v>
      </c>
      <c r="M119" s="82">
        <f t="shared" si="21"/>
        <v>0</v>
      </c>
      <c r="N119" s="82">
        <f t="shared" si="21"/>
        <v>0</v>
      </c>
      <c r="O119" s="82">
        <f t="shared" si="20"/>
        <v>29043818.219999999</v>
      </c>
    </row>
    <row r="120" spans="2:15" ht="15" customHeight="1" x14ac:dyDescent="0.2">
      <c r="D120" s="90"/>
      <c r="L120" s="92"/>
      <c r="M120" s="92"/>
      <c r="N120" s="92"/>
      <c r="O120" s="93"/>
    </row>
    <row r="121" spans="2:15" ht="15" customHeight="1" x14ac:dyDescent="0.2">
      <c r="C121" s="90"/>
      <c r="D121" s="90">
        <f>D96+D109+'[1]GASTOS OPERATIVOS'!D17+'[1]GASTOS VEHICULOS'!D25</f>
        <v>1143018937.3199999</v>
      </c>
      <c r="J121" s="92"/>
      <c r="M121" s="92"/>
      <c r="O121" s="94"/>
    </row>
    <row r="122" spans="2:15" ht="15" customHeight="1" x14ac:dyDescent="0.2">
      <c r="C122" s="90"/>
      <c r="D122" s="90">
        <f>'[8]Hoja 1'!$C$30+'[8]Hoja 1'!$C$199+'[8]Hoja 1'!$C$204+'[8]Hoja 1'!$C$240</f>
        <v>678143159.60000002</v>
      </c>
    </row>
    <row r="123" spans="2:15" ht="15" customHeight="1" x14ac:dyDescent="0.2">
      <c r="C123" s="90"/>
      <c r="D123" s="89">
        <f>D121-D122</f>
        <v>464875777.71999991</v>
      </c>
      <c r="O123" s="95"/>
    </row>
    <row r="124" spans="2:15" ht="11.4" customHeight="1" x14ac:dyDescent="0.2"/>
    <row r="125" spans="2:15" ht="15" customHeight="1" x14ac:dyDescent="0.2">
      <c r="E125" s="90"/>
      <c r="F125" s="90"/>
      <c r="G125" s="90"/>
      <c r="I125" s="92"/>
      <c r="J125" s="92"/>
      <c r="L125" s="92"/>
      <c r="M125" s="92"/>
      <c r="O125" s="94"/>
    </row>
    <row r="126" spans="2:15" ht="15" customHeight="1" x14ac:dyDescent="0.2">
      <c r="D126" s="90">
        <v>-55134543</v>
      </c>
      <c r="E126" s="90"/>
      <c r="F126" s="90"/>
      <c r="G126" s="90"/>
      <c r="J126" s="3"/>
      <c r="K126" s="92"/>
      <c r="L126" s="92"/>
      <c r="M126" s="92"/>
      <c r="O126" s="94" t="s">
        <v>181</v>
      </c>
    </row>
    <row r="127" spans="2:15" ht="15" customHeight="1" x14ac:dyDescent="0.2">
      <c r="D127" s="90">
        <v>-4115810</v>
      </c>
      <c r="F127" s="90"/>
      <c r="G127" s="90"/>
      <c r="J127" s="3"/>
      <c r="K127" s="92"/>
      <c r="L127" s="92"/>
      <c r="M127" s="92"/>
      <c r="O127" s="94" t="s">
        <v>142</v>
      </c>
    </row>
    <row r="128" spans="2:15" ht="15" customHeight="1" x14ac:dyDescent="0.2">
      <c r="D128" s="89">
        <f>SUM(D126:D127)</f>
        <v>-59250353</v>
      </c>
      <c r="F128" s="90"/>
      <c r="G128" s="90"/>
      <c r="J128" s="3"/>
      <c r="K128" s="92"/>
      <c r="L128" s="92"/>
      <c r="M128" s="92"/>
      <c r="O128" s="94"/>
    </row>
    <row r="129" spans="4:15" ht="15" customHeight="1" x14ac:dyDescent="0.2">
      <c r="F129" s="90"/>
      <c r="G129" s="90"/>
      <c r="J129" s="3"/>
      <c r="K129" s="92"/>
      <c r="L129" s="92"/>
      <c r="M129" s="92"/>
      <c r="O129" s="94"/>
    </row>
    <row r="130" spans="4:15" ht="15" customHeight="1" x14ac:dyDescent="0.2">
      <c r="D130" s="89">
        <f>D128-D123</f>
        <v>-524126130.71999991</v>
      </c>
      <c r="F130" s="90"/>
      <c r="G130" s="90"/>
      <c r="J130" s="3"/>
      <c r="K130" s="92"/>
      <c r="L130" s="92"/>
      <c r="M130" s="92"/>
      <c r="O130" s="94"/>
    </row>
    <row r="131" spans="4:15" ht="15" customHeight="1" x14ac:dyDescent="0.2">
      <c r="F131" s="90"/>
      <c r="G131" s="90"/>
      <c r="J131" s="3"/>
      <c r="K131" s="92"/>
      <c r="L131" s="92"/>
      <c r="O131" s="90"/>
    </row>
    <row r="132" spans="4:15" ht="15" customHeight="1" x14ac:dyDescent="0.2">
      <c r="G132" s="90"/>
      <c r="J132" s="92"/>
      <c r="K132" s="92"/>
      <c r="L132" s="92"/>
      <c r="O132" s="96"/>
    </row>
    <row r="133" spans="4:15" ht="15" customHeight="1" x14ac:dyDescent="0.2">
      <c r="J133" s="92"/>
      <c r="K133" s="3"/>
      <c r="L133" s="92"/>
      <c r="M133" s="92"/>
      <c r="O133" s="94"/>
    </row>
    <row r="134" spans="4:15" ht="15" customHeight="1" x14ac:dyDescent="0.2">
      <c r="J134" s="92"/>
      <c r="M134" s="92"/>
      <c r="O134" s="94"/>
    </row>
    <row r="135" spans="4:15" ht="15" customHeight="1" x14ac:dyDescent="0.2">
      <c r="J135" s="92"/>
      <c r="M135" s="92"/>
      <c r="O135" s="94"/>
    </row>
    <row r="136" spans="4:15" ht="15" customHeight="1" x14ac:dyDescent="0.2">
      <c r="J136" s="92"/>
      <c r="M136" s="92"/>
      <c r="O136" s="94"/>
    </row>
    <row r="137" spans="4:15" ht="15" customHeight="1" x14ac:dyDescent="0.2">
      <c r="J137" s="92"/>
      <c r="M137" s="92"/>
    </row>
    <row r="138" spans="4:15" ht="15" customHeight="1" x14ac:dyDescent="0.2">
      <c r="M138" s="92"/>
    </row>
    <row r="139" spans="4:15" ht="15" customHeight="1" x14ac:dyDescent="0.2">
      <c r="M139" s="92"/>
    </row>
    <row r="140" spans="4:15" ht="15" customHeight="1" x14ac:dyDescent="0.2">
      <c r="M140" s="92"/>
    </row>
    <row r="141" spans="4:15" ht="15" customHeight="1" x14ac:dyDescent="0.2">
      <c r="M141" s="92"/>
    </row>
    <row r="142" spans="4:15" ht="15" customHeight="1" x14ac:dyDescent="0.2">
      <c r="M142" s="92"/>
    </row>
    <row r="143" spans="4:15" ht="15" customHeight="1" x14ac:dyDescent="0.2">
      <c r="M143" s="92"/>
    </row>
    <row r="144" spans="4:15" ht="15" customHeight="1" x14ac:dyDescent="0.2">
      <c r="M144" s="92"/>
    </row>
    <row r="145" spans="13:13" ht="15" customHeight="1" x14ac:dyDescent="0.2">
      <c r="M145" s="92"/>
    </row>
    <row r="146" spans="13:13" ht="15" customHeight="1" x14ac:dyDescent="0.2">
      <c r="M146" s="92"/>
    </row>
    <row r="147" spans="13:13" ht="15" customHeight="1" x14ac:dyDescent="0.2">
      <c r="M147" s="92"/>
    </row>
    <row r="148" spans="13:13" ht="15" customHeight="1" x14ac:dyDescent="0.2">
      <c r="M148" s="92"/>
    </row>
    <row r="149" spans="13:13" ht="15" customHeight="1" x14ac:dyDescent="0.2">
      <c r="M149" s="92"/>
    </row>
    <row r="150" spans="13:13" ht="15" customHeight="1" x14ac:dyDescent="0.2">
      <c r="M150" s="92"/>
    </row>
    <row r="151" spans="13:13" ht="15" customHeight="1" x14ac:dyDescent="0.2">
      <c r="M151" s="92"/>
    </row>
    <row r="152" spans="13:13" ht="15" customHeight="1" x14ac:dyDescent="0.2">
      <c r="M152" s="92"/>
    </row>
    <row r="153" spans="13:13" ht="15" customHeight="1" x14ac:dyDescent="0.2">
      <c r="M153" s="92"/>
    </row>
    <row r="154" spans="13:13" ht="15" customHeight="1" x14ac:dyDescent="0.2">
      <c r="M154" s="92"/>
    </row>
    <row r="155" spans="13:13" ht="15" customHeight="1" x14ac:dyDescent="0.2">
      <c r="M155" s="92"/>
    </row>
    <row r="156" spans="13:13" ht="15" customHeight="1" x14ac:dyDescent="0.2">
      <c r="M156" s="92"/>
    </row>
    <row r="157" spans="13:13" ht="15" customHeight="1" x14ac:dyDescent="0.2">
      <c r="M157" s="92"/>
    </row>
    <row r="158" spans="13:13" ht="15" customHeight="1" x14ac:dyDescent="0.2">
      <c r="M158" s="92"/>
    </row>
    <row r="159" spans="13:13" ht="15" customHeight="1" x14ac:dyDescent="0.2">
      <c r="M159" s="92"/>
    </row>
    <row r="160" spans="13:13" ht="15" customHeight="1" x14ac:dyDescent="0.2">
      <c r="M160" s="92"/>
    </row>
    <row r="161" spans="13:13" ht="15" customHeight="1" x14ac:dyDescent="0.2">
      <c r="M161" s="92"/>
    </row>
    <row r="162" spans="13:13" ht="15" customHeight="1" x14ac:dyDescent="0.2">
      <c r="M162" s="92"/>
    </row>
    <row r="163" spans="13:13" ht="15" customHeight="1" x14ac:dyDescent="0.2">
      <c r="M163" s="92"/>
    </row>
    <row r="164" spans="13:13" ht="15" customHeight="1" x14ac:dyDescent="0.2">
      <c r="M164" s="92"/>
    </row>
    <row r="165" spans="13:13" ht="15" customHeight="1" x14ac:dyDescent="0.2">
      <c r="M165" s="92"/>
    </row>
    <row r="166" spans="13:13" ht="15" customHeight="1" x14ac:dyDescent="0.2">
      <c r="M166" s="92"/>
    </row>
    <row r="167" spans="13:13" ht="15" customHeight="1" x14ac:dyDescent="0.2">
      <c r="M167" s="92"/>
    </row>
    <row r="168" spans="13:13" ht="15" customHeight="1" x14ac:dyDescent="0.2">
      <c r="M168" s="92"/>
    </row>
    <row r="169" spans="13:13" ht="15" customHeight="1" x14ac:dyDescent="0.2">
      <c r="M169" s="92"/>
    </row>
    <row r="170" spans="13:13" ht="15" customHeight="1" x14ac:dyDescent="0.2">
      <c r="M170" s="92"/>
    </row>
    <row r="171" spans="13:13" ht="15" customHeight="1" x14ac:dyDescent="0.2">
      <c r="M171" s="92"/>
    </row>
    <row r="172" spans="13:13" ht="15" customHeight="1" x14ac:dyDescent="0.2">
      <c r="M172" s="92"/>
    </row>
    <row r="173" spans="13:13" ht="15" customHeight="1" x14ac:dyDescent="0.2">
      <c r="M173" s="92"/>
    </row>
    <row r="174" spans="13:13" ht="15" customHeight="1" x14ac:dyDescent="0.2">
      <c r="M174" s="92"/>
    </row>
    <row r="175" spans="13:13" ht="15" customHeight="1" x14ac:dyDescent="0.2">
      <c r="M175" s="92"/>
    </row>
    <row r="176" spans="13:13" ht="15" customHeight="1" x14ac:dyDescent="0.2">
      <c r="M176" s="92"/>
    </row>
    <row r="177" spans="13:13" ht="15" customHeight="1" x14ac:dyDescent="0.2">
      <c r="M177" s="92"/>
    </row>
    <row r="178" spans="13:13" ht="15" customHeight="1" x14ac:dyDescent="0.2">
      <c r="M178" s="92"/>
    </row>
    <row r="179" spans="13:13" ht="15" customHeight="1" x14ac:dyDescent="0.2">
      <c r="M179" s="92"/>
    </row>
    <row r="180" spans="13:13" ht="15" customHeight="1" x14ac:dyDescent="0.2">
      <c r="M180" s="92"/>
    </row>
    <row r="181" spans="13:13" ht="15" customHeight="1" x14ac:dyDescent="0.2">
      <c r="M181" s="92"/>
    </row>
    <row r="182" spans="13:13" ht="15" customHeight="1" x14ac:dyDescent="0.2">
      <c r="M182" s="92"/>
    </row>
    <row r="183" spans="13:13" ht="15" customHeight="1" x14ac:dyDescent="0.2">
      <c r="M183" s="92"/>
    </row>
    <row r="184" spans="13:13" ht="15" customHeight="1" x14ac:dyDescent="0.2">
      <c r="M184" s="92"/>
    </row>
    <row r="185" spans="13:13" ht="15" customHeight="1" x14ac:dyDescent="0.2">
      <c r="M185" s="92"/>
    </row>
    <row r="186" spans="13:13" ht="15" customHeight="1" x14ac:dyDescent="0.2">
      <c r="M186" s="92"/>
    </row>
    <row r="187" spans="13:13" ht="15" customHeight="1" x14ac:dyDescent="0.2">
      <c r="M187" s="92"/>
    </row>
    <row r="188" spans="13:13" ht="15" customHeight="1" x14ac:dyDescent="0.2">
      <c r="M188" s="92"/>
    </row>
    <row r="189" spans="13:13" ht="15" customHeight="1" x14ac:dyDescent="0.2">
      <c r="M189" s="92"/>
    </row>
    <row r="190" spans="13:13" ht="15" customHeight="1" x14ac:dyDescent="0.2">
      <c r="M190" s="92"/>
    </row>
    <row r="191" spans="13:13" ht="15" customHeight="1" x14ac:dyDescent="0.2">
      <c r="M191" s="92"/>
    </row>
    <row r="192" spans="13:13" ht="15" customHeight="1" x14ac:dyDescent="0.2">
      <c r="M192" s="92"/>
    </row>
    <row r="193" spans="13:13" ht="15" customHeight="1" x14ac:dyDescent="0.2">
      <c r="M193" s="92"/>
    </row>
    <row r="194" spans="13:13" ht="15" customHeight="1" x14ac:dyDescent="0.2">
      <c r="M194" s="92"/>
    </row>
    <row r="195" spans="13:13" ht="15" customHeight="1" x14ac:dyDescent="0.2">
      <c r="M195" s="92"/>
    </row>
    <row r="196" spans="13:13" ht="15" customHeight="1" x14ac:dyDescent="0.2">
      <c r="M196" s="92"/>
    </row>
    <row r="197" spans="13:13" ht="15" customHeight="1" x14ac:dyDescent="0.2">
      <c r="M197" s="92"/>
    </row>
    <row r="198" spans="13:13" ht="15" customHeight="1" x14ac:dyDescent="0.2">
      <c r="M198" s="92"/>
    </row>
    <row r="199" spans="13:13" ht="15" customHeight="1" x14ac:dyDescent="0.2">
      <c r="M199" s="92"/>
    </row>
    <row r="200" spans="13:13" ht="15" customHeight="1" x14ac:dyDescent="0.2">
      <c r="M200" s="92"/>
    </row>
    <row r="201" spans="13:13" ht="15" customHeight="1" x14ac:dyDescent="0.2">
      <c r="M201" s="92"/>
    </row>
    <row r="202" spans="13:13" ht="15" customHeight="1" x14ac:dyDescent="0.2">
      <c r="M202" s="92"/>
    </row>
    <row r="203" spans="13:13" ht="15" customHeight="1" x14ac:dyDescent="0.2">
      <c r="M203" s="92"/>
    </row>
    <row r="204" spans="13:13" ht="15" customHeight="1" x14ac:dyDescent="0.2">
      <c r="M204" s="92"/>
    </row>
    <row r="205" spans="13:13" ht="15" customHeight="1" x14ac:dyDescent="0.2">
      <c r="M205" s="92"/>
    </row>
    <row r="206" spans="13:13" ht="15" customHeight="1" x14ac:dyDescent="0.2">
      <c r="M206" s="92"/>
    </row>
    <row r="207" spans="13:13" ht="15" customHeight="1" x14ac:dyDescent="0.2">
      <c r="M207" s="92"/>
    </row>
    <row r="208" spans="13:13" ht="15" customHeight="1" x14ac:dyDescent="0.2">
      <c r="M208" s="92"/>
    </row>
    <row r="209" spans="13:13" ht="15" customHeight="1" x14ac:dyDescent="0.2">
      <c r="M209" s="92"/>
    </row>
    <row r="210" spans="13:13" ht="15" customHeight="1" x14ac:dyDescent="0.2">
      <c r="M210" s="92"/>
    </row>
    <row r="211" spans="13:13" ht="15" customHeight="1" x14ac:dyDescent="0.2">
      <c r="M211" s="92"/>
    </row>
    <row r="212" spans="13:13" ht="15" customHeight="1" x14ac:dyDescent="0.2">
      <c r="M212" s="92"/>
    </row>
    <row r="213" spans="13:13" ht="15" customHeight="1" x14ac:dyDescent="0.2">
      <c r="M213" s="92"/>
    </row>
    <row r="214" spans="13:13" ht="15" customHeight="1" x14ac:dyDescent="0.2">
      <c r="M214" s="92"/>
    </row>
    <row r="215" spans="13:13" ht="15" customHeight="1" x14ac:dyDescent="0.2">
      <c r="M215" s="92"/>
    </row>
    <row r="216" spans="13:13" ht="15" customHeight="1" x14ac:dyDescent="0.2">
      <c r="M216" s="92"/>
    </row>
    <row r="217" spans="13:13" ht="15" customHeight="1" x14ac:dyDescent="0.2">
      <c r="M217" s="92"/>
    </row>
    <row r="218" spans="13:13" ht="15" customHeight="1" x14ac:dyDescent="0.2">
      <c r="M218" s="92"/>
    </row>
    <row r="219" spans="13:13" ht="15" customHeight="1" x14ac:dyDescent="0.2">
      <c r="M219" s="92"/>
    </row>
    <row r="220" spans="13:13" ht="15" customHeight="1" x14ac:dyDescent="0.2">
      <c r="M220" s="92"/>
    </row>
    <row r="221" spans="13:13" ht="15" customHeight="1" x14ac:dyDescent="0.2">
      <c r="M221" s="92"/>
    </row>
    <row r="222" spans="13:13" ht="15" customHeight="1" x14ac:dyDescent="0.2">
      <c r="M222" s="92"/>
    </row>
    <row r="223" spans="13:13" ht="15" customHeight="1" x14ac:dyDescent="0.2">
      <c r="M223" s="92"/>
    </row>
    <row r="224" spans="13:13" ht="15" customHeight="1" x14ac:dyDescent="0.2">
      <c r="M224" s="92"/>
    </row>
    <row r="225" spans="13:13" ht="15" customHeight="1" x14ac:dyDescent="0.2">
      <c r="M225" s="92"/>
    </row>
    <row r="226" spans="13:13" ht="15" customHeight="1" x14ac:dyDescent="0.2">
      <c r="M226" s="92"/>
    </row>
    <row r="227" spans="13:13" ht="15" customHeight="1" x14ac:dyDescent="0.2">
      <c r="M227" s="92"/>
    </row>
    <row r="228" spans="13:13" ht="15" customHeight="1" x14ac:dyDescent="0.2">
      <c r="M228" s="92"/>
    </row>
    <row r="229" spans="13:13" ht="15" customHeight="1" x14ac:dyDescent="0.2">
      <c r="M229" s="92"/>
    </row>
    <row r="230" spans="13:13" ht="15" customHeight="1" x14ac:dyDescent="0.2">
      <c r="M230" s="92"/>
    </row>
    <row r="231" spans="13:13" ht="15" customHeight="1" x14ac:dyDescent="0.2">
      <c r="M231" s="92"/>
    </row>
    <row r="232" spans="13:13" ht="15" customHeight="1" x14ac:dyDescent="0.2">
      <c r="M232" s="92"/>
    </row>
    <row r="233" spans="13:13" ht="15" customHeight="1" x14ac:dyDescent="0.2">
      <c r="M233" s="92"/>
    </row>
    <row r="234" spans="13:13" ht="15" customHeight="1" x14ac:dyDescent="0.2">
      <c r="M234" s="92"/>
    </row>
  </sheetData>
  <mergeCells count="2">
    <mergeCell ref="C2:O3"/>
    <mergeCell ref="B2:B3"/>
  </mergeCells>
  <hyperlinks>
    <hyperlink ref="B98" r:id="rId1" location="Hoja1!B34" xr:uid="{00000000-0004-0000-0000-000000000000}"/>
    <hyperlink ref="B112" r:id="rId2" location="Hoja1!B34" display="FINANCIEROS" xr:uid="{00000000-0004-0000-0000-000001000000}"/>
  </hyperlinks>
  <pageMargins left="0.7" right="0.7" top="0.75" bottom="0.75" header="0.3" footer="0.3"/>
  <pageSetup orientation="portrait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GASTOS ADMINISTRATIVOS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lopez</dc:creator>
  <cp:lastModifiedBy>diego lopez</cp:lastModifiedBy>
  <dcterms:created xsi:type="dcterms:W3CDTF">2026-03-17T16:05:50Z</dcterms:created>
  <dcterms:modified xsi:type="dcterms:W3CDTF">2026-03-25T18:46:23Z</dcterms:modified>
</cp:coreProperties>
</file>