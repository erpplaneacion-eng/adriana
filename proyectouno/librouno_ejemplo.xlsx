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OneDrive\Desktop\CHVS\adriana\"/>
    </mc:Choice>
  </mc:AlternateContent>
  <xr:revisionPtr revIDLastSave="0" documentId="13_ncr:1_{C4347908-244A-4EC1-A3AB-2EB5C34C6C26}" xr6:coauthVersionLast="47" xr6:coauthVersionMax="47" xr10:uidLastSave="{00000000-0000-0000-0000-000000000000}"/>
  <bookViews>
    <workbookView minimized="1" xWindow="3624" yWindow="3624" windowWidth="17280" windowHeight="8880" xr2:uid="{B71850D0-43AF-4DD6-9D6B-44AA2F06220E}"/>
  </bookViews>
  <sheets>
    <sheet name="GASTOS ADMINISTRATIVOS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0" hidden="1">'GASTOS ADMINISTRATIVOS '!$A$4:$O$109</definedName>
    <definedName name="AUMENTO">'GASTOS ADMINISTRATIVOS '!#REF!</definedName>
    <definedName name="FACT">'[1]COMEDORES VALLE'!#REF!</definedName>
    <definedName name="INCREMENTO">'GASTOS ADMINISTRATIVOS '!#REF!</definedName>
    <definedName name="Total_Acqui">#REF!</definedName>
    <definedName name="Total_Bogotá">#REF!</definedName>
    <definedName name="Total_Par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6" i="1" l="1"/>
  <c r="C12" i="1"/>
  <c r="C11" i="1"/>
  <c r="C10" i="1"/>
  <c r="C8" i="1"/>
  <c r="C7" i="1"/>
  <c r="C6" i="1"/>
  <c r="C5" i="1" s="1"/>
  <c r="C128" i="1"/>
  <c r="C122" i="1"/>
  <c r="M119" i="1"/>
  <c r="L119" i="1"/>
  <c r="K119" i="1"/>
  <c r="J119" i="1"/>
  <c r="I119" i="1"/>
  <c r="H119" i="1"/>
  <c r="G119" i="1"/>
  <c r="F119" i="1"/>
  <c r="E119" i="1"/>
  <c r="D119" i="1"/>
  <c r="N118" i="1"/>
  <c r="C117" i="1"/>
  <c r="N117" i="1" s="1"/>
  <c r="C116" i="1"/>
  <c r="N115" i="1"/>
  <c r="C114" i="1"/>
  <c r="N113" i="1"/>
  <c r="N111" i="1"/>
  <c r="M109" i="1"/>
  <c r="D109" i="1"/>
  <c r="N108" i="1"/>
  <c r="C108" i="1"/>
  <c r="B108" i="1"/>
  <c r="B107" i="1"/>
  <c r="N107" i="1" s="1"/>
  <c r="B106" i="1"/>
  <c r="N105" i="1"/>
  <c r="C104" i="1"/>
  <c r="N104" i="1" s="1"/>
  <c r="N103" i="1"/>
  <c r="B102" i="1"/>
  <c r="N102" i="1" s="1"/>
  <c r="C101" i="1"/>
  <c r="B101" i="1"/>
  <c r="N101" i="1" s="1"/>
  <c r="C100" i="1"/>
  <c r="B100" i="1"/>
  <c r="C99" i="1"/>
  <c r="B99" i="1"/>
  <c r="B98" i="1" s="1"/>
  <c r="B109" i="1" s="1"/>
  <c r="M98" i="1"/>
  <c r="L98" i="1"/>
  <c r="L109" i="1" s="1"/>
  <c r="K98" i="1"/>
  <c r="K109" i="1" s="1"/>
  <c r="J98" i="1"/>
  <c r="J109" i="1" s="1"/>
  <c r="I98" i="1"/>
  <c r="I109" i="1" s="1"/>
  <c r="H98" i="1"/>
  <c r="H109" i="1" s="1"/>
  <c r="G98" i="1"/>
  <c r="G109" i="1" s="1"/>
  <c r="F98" i="1"/>
  <c r="F109" i="1" s="1"/>
  <c r="E98" i="1"/>
  <c r="E109" i="1" s="1"/>
  <c r="D98" i="1"/>
  <c r="C95" i="1"/>
  <c r="B95" i="1"/>
  <c r="C94" i="1"/>
  <c r="B94" i="1"/>
  <c r="N94" i="1" s="1"/>
  <c r="C93" i="1"/>
  <c r="B93" i="1"/>
  <c r="N93" i="1" s="1"/>
  <c r="N92" i="1"/>
  <c r="N91" i="1"/>
  <c r="M90" i="1"/>
  <c r="L90" i="1"/>
  <c r="K90" i="1"/>
  <c r="J90" i="1"/>
  <c r="I90" i="1"/>
  <c r="H90" i="1"/>
  <c r="G90" i="1"/>
  <c r="F90" i="1"/>
  <c r="E90" i="1"/>
  <c r="D90" i="1"/>
  <c r="C89" i="1"/>
  <c r="C88" i="1"/>
  <c r="B88" i="1"/>
  <c r="N88" i="1" s="1"/>
  <c r="C87" i="1"/>
  <c r="N87" i="1" s="1"/>
  <c r="N86" i="1"/>
  <c r="C85" i="1"/>
  <c r="B85" i="1"/>
  <c r="C84" i="1"/>
  <c r="B84" i="1"/>
  <c r="C83" i="1"/>
  <c r="B83" i="1"/>
  <c r="C82" i="1"/>
  <c r="B82" i="1"/>
  <c r="C81" i="1"/>
  <c r="B81" i="1"/>
  <c r="C80" i="1"/>
  <c r="B80" i="1"/>
  <c r="N80" i="1" s="1"/>
  <c r="C79" i="1"/>
  <c r="N79" i="1" s="1"/>
  <c r="B79" i="1"/>
  <c r="C78" i="1"/>
  <c r="B78" i="1"/>
  <c r="N78" i="1" s="1"/>
  <c r="C77" i="1"/>
  <c r="B77" i="1"/>
  <c r="N77" i="1" s="1"/>
  <c r="C76" i="1"/>
  <c r="B76" i="1"/>
  <c r="C75" i="1"/>
  <c r="B75" i="1"/>
  <c r="N75" i="1" s="1"/>
  <c r="C74" i="1"/>
  <c r="B74" i="1"/>
  <c r="N74" i="1" s="1"/>
  <c r="C73" i="1"/>
  <c r="B73" i="1"/>
  <c r="N72" i="1"/>
  <c r="N71" i="1"/>
  <c r="C70" i="1"/>
  <c r="N70" i="1" s="1"/>
  <c r="B70" i="1"/>
  <c r="C69" i="1"/>
  <c r="B69" i="1"/>
  <c r="N68" i="1"/>
  <c r="C67" i="1"/>
  <c r="B67" i="1"/>
  <c r="N67" i="1" s="1"/>
  <c r="M66" i="1"/>
  <c r="L66" i="1"/>
  <c r="K66" i="1"/>
  <c r="J66" i="1"/>
  <c r="I66" i="1"/>
  <c r="H66" i="1"/>
  <c r="G66" i="1"/>
  <c r="F66" i="1"/>
  <c r="E66" i="1"/>
  <c r="D66" i="1"/>
  <c r="N65" i="1"/>
  <c r="N64" i="1"/>
  <c r="N63" i="1"/>
  <c r="N62" i="1" s="1"/>
  <c r="M62" i="1"/>
  <c r="L62" i="1"/>
  <c r="K62" i="1"/>
  <c r="J62" i="1"/>
  <c r="I62" i="1"/>
  <c r="H62" i="1"/>
  <c r="G62" i="1"/>
  <c r="F62" i="1"/>
  <c r="E62" i="1"/>
  <c r="D62" i="1"/>
  <c r="C62" i="1"/>
  <c r="B62" i="1"/>
  <c r="N61" i="1"/>
  <c r="N60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B58" i="1"/>
  <c r="N58" i="1" s="1"/>
  <c r="B57" i="1"/>
  <c r="N57" i="1" s="1"/>
  <c r="B56" i="1"/>
  <c r="N56" i="1" s="1"/>
  <c r="N55" i="1"/>
  <c r="C54" i="1"/>
  <c r="N54" i="1" s="1"/>
  <c r="C53" i="1"/>
  <c r="B53" i="1"/>
  <c r="N53" i="1" s="1"/>
  <c r="M52" i="1"/>
  <c r="L52" i="1"/>
  <c r="K52" i="1"/>
  <c r="J52" i="1"/>
  <c r="I52" i="1"/>
  <c r="H52" i="1"/>
  <c r="G52" i="1"/>
  <c r="F52" i="1"/>
  <c r="E52" i="1"/>
  <c r="D52" i="1"/>
  <c r="C51" i="1"/>
  <c r="B51" i="1"/>
  <c r="N51" i="1" s="1"/>
  <c r="N50" i="1"/>
  <c r="B49" i="1"/>
  <c r="C48" i="1"/>
  <c r="N48" i="1" s="1"/>
  <c r="B47" i="1"/>
  <c r="N47" i="1" s="1"/>
  <c r="M46" i="1"/>
  <c r="L46" i="1"/>
  <c r="K46" i="1"/>
  <c r="J46" i="1"/>
  <c r="I46" i="1"/>
  <c r="H46" i="1"/>
  <c r="G46" i="1"/>
  <c r="F46" i="1"/>
  <c r="E46" i="1"/>
  <c r="D46" i="1"/>
  <c r="C45" i="1"/>
  <c r="B45" i="1"/>
  <c r="N44" i="1"/>
  <c r="C43" i="1"/>
  <c r="B43" i="1"/>
  <c r="C42" i="1"/>
  <c r="B42" i="1"/>
  <c r="C41" i="1"/>
  <c r="B41" i="1"/>
  <c r="C40" i="1"/>
  <c r="B40" i="1"/>
  <c r="N40" i="1" s="1"/>
  <c r="C39" i="1"/>
  <c r="B39" i="1"/>
  <c r="C38" i="1"/>
  <c r="N38" i="1" s="1"/>
  <c r="B38" i="1"/>
  <c r="C37" i="1"/>
  <c r="B37" i="1"/>
  <c r="C36" i="1"/>
  <c r="N36" i="1" s="1"/>
  <c r="N35" i="1"/>
  <c r="C34" i="1"/>
  <c r="B34" i="1"/>
  <c r="C33" i="1"/>
  <c r="B33" i="1"/>
  <c r="M32" i="1"/>
  <c r="L32" i="1"/>
  <c r="K32" i="1"/>
  <c r="J32" i="1"/>
  <c r="I32" i="1"/>
  <c r="H32" i="1"/>
  <c r="G32" i="1"/>
  <c r="F32" i="1"/>
  <c r="E32" i="1"/>
  <c r="D32" i="1"/>
  <c r="C31" i="1"/>
  <c r="N31" i="1" s="1"/>
  <c r="N28" i="1" s="1"/>
  <c r="N30" i="1"/>
  <c r="N29" i="1"/>
  <c r="M28" i="1"/>
  <c r="L28" i="1"/>
  <c r="K28" i="1"/>
  <c r="J28" i="1"/>
  <c r="I28" i="1"/>
  <c r="H28" i="1"/>
  <c r="G28" i="1"/>
  <c r="F28" i="1"/>
  <c r="E28" i="1"/>
  <c r="D28" i="1"/>
  <c r="B28" i="1"/>
  <c r="N27" i="1"/>
  <c r="C26" i="1"/>
  <c r="N26" i="1" s="1"/>
  <c r="C25" i="1"/>
  <c r="B25" i="1"/>
  <c r="C24" i="1"/>
  <c r="B24" i="1"/>
  <c r="C23" i="1"/>
  <c r="B23" i="1"/>
  <c r="M22" i="1"/>
  <c r="L22" i="1"/>
  <c r="L96" i="1" s="1"/>
  <c r="K22" i="1"/>
  <c r="J22" i="1"/>
  <c r="I22" i="1"/>
  <c r="H22" i="1"/>
  <c r="G22" i="1"/>
  <c r="F22" i="1"/>
  <c r="E22" i="1"/>
  <c r="D22" i="1"/>
  <c r="N21" i="1"/>
  <c r="N20" i="1"/>
  <c r="N19" i="1" s="1"/>
  <c r="M19" i="1"/>
  <c r="L19" i="1"/>
  <c r="K19" i="1"/>
  <c r="J19" i="1"/>
  <c r="I19" i="1"/>
  <c r="H19" i="1"/>
  <c r="G19" i="1"/>
  <c r="F19" i="1"/>
  <c r="E19" i="1"/>
  <c r="D19" i="1"/>
  <c r="C19" i="1"/>
  <c r="B19" i="1"/>
  <c r="C18" i="1"/>
  <c r="N18" i="1" s="1"/>
  <c r="B18" i="1"/>
  <c r="N17" i="1"/>
  <c r="C16" i="1"/>
  <c r="B16" i="1"/>
  <c r="N15" i="1"/>
  <c r="C14" i="1"/>
  <c r="C13" i="1" s="1"/>
  <c r="B14" i="1"/>
  <c r="M13" i="1"/>
  <c r="L13" i="1"/>
  <c r="K13" i="1"/>
  <c r="J13" i="1"/>
  <c r="I13" i="1"/>
  <c r="H13" i="1"/>
  <c r="G13" i="1"/>
  <c r="F13" i="1"/>
  <c r="E13" i="1"/>
  <c r="D13" i="1"/>
  <c r="N12" i="1"/>
  <c r="B11" i="1"/>
  <c r="N11" i="1" s="1"/>
  <c r="B10" i="1"/>
  <c r="N10" i="1" s="1"/>
  <c r="N9" i="1"/>
  <c r="B8" i="1"/>
  <c r="B7" i="1"/>
  <c r="D96" i="1"/>
  <c r="B6" i="1"/>
  <c r="M5" i="1"/>
  <c r="M96" i="1" s="1"/>
  <c r="L5" i="1"/>
  <c r="K5" i="1"/>
  <c r="K96" i="1" s="1"/>
  <c r="J5" i="1"/>
  <c r="J96" i="1" s="1"/>
  <c r="I5" i="1"/>
  <c r="I96" i="1" s="1"/>
  <c r="H5" i="1"/>
  <c r="H96" i="1" s="1"/>
  <c r="G5" i="1"/>
  <c r="G96" i="1" s="1"/>
  <c r="F96" i="1"/>
  <c r="E96" i="1"/>
  <c r="N84" i="1" l="1"/>
  <c r="C90" i="1"/>
  <c r="N23" i="1"/>
  <c r="N7" i="1"/>
  <c r="N14" i="1"/>
  <c r="N25" i="1"/>
  <c r="N100" i="1"/>
  <c r="N16" i="1"/>
  <c r="N83" i="1"/>
  <c r="B90" i="1"/>
  <c r="B32" i="1"/>
  <c r="B46" i="1"/>
  <c r="N49" i="1"/>
  <c r="N46" i="1" s="1"/>
  <c r="N73" i="1"/>
  <c r="N34" i="1"/>
  <c r="N41" i="1"/>
  <c r="N85" i="1"/>
  <c r="C46" i="1"/>
  <c r="C22" i="1"/>
  <c r="N42" i="1"/>
  <c r="C52" i="1"/>
  <c r="N24" i="1"/>
  <c r="N22" i="1" s="1"/>
  <c r="N37" i="1"/>
  <c r="N43" i="1"/>
  <c r="N81" i="1"/>
  <c r="C119" i="1"/>
  <c r="N106" i="1"/>
  <c r="C98" i="1"/>
  <c r="C109" i="1" s="1"/>
  <c r="C66" i="1"/>
  <c r="N69" i="1"/>
  <c r="N6" i="1"/>
  <c r="N5" i="1" s="1"/>
  <c r="N95" i="1"/>
  <c r="N90" i="1" s="1"/>
  <c r="N116" i="1"/>
  <c r="N39" i="1"/>
  <c r="N45" i="1"/>
  <c r="N76" i="1"/>
  <c r="C32" i="1"/>
  <c r="C28" i="1"/>
  <c r="N82" i="1"/>
  <c r="N99" i="1"/>
  <c r="N8" i="1"/>
  <c r="N52" i="1"/>
  <c r="B5" i="1"/>
  <c r="B52" i="1"/>
  <c r="B13" i="1"/>
  <c r="N33" i="1"/>
  <c r="B22" i="1"/>
  <c r="B66" i="1"/>
  <c r="N98" i="1" l="1"/>
  <c r="N109" i="1" s="1"/>
  <c r="N66" i="1"/>
  <c r="C96" i="1"/>
  <c r="C121" i="1" s="1"/>
  <c r="C123" i="1" s="1"/>
  <c r="C130" i="1" s="1"/>
  <c r="N13" i="1"/>
  <c r="N32" i="1"/>
  <c r="B114" i="1" l="1"/>
  <c r="N114" i="1" l="1"/>
  <c r="B119" i="1"/>
  <c r="N119" i="1" s="1"/>
  <c r="B89" i="1"/>
  <c r="N89" i="1" l="1"/>
  <c r="N96" i="1" s="1"/>
  <c r="B9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Adriana Becerra</author>
  </authors>
  <commentList>
    <comment ref="G6" authorId="0" shapeId="0" xr:uid="{9FD907E9-1CC8-43B1-AF87-70C2D6B9C281}">
      <text>
        <r>
          <rPr>
            <sz val="9"/>
            <color indexed="81"/>
            <rFont val="Tahoma"/>
            <family val="2"/>
          </rPr>
          <t xml:space="preserve">$15,481,270 personal pens
</t>
        </r>
      </text>
    </comment>
    <comment ref="B10" authorId="0" shapeId="0" xr:uid="{55653520-6CBD-4EA2-A98F-D3D6B9A7FAC6}">
      <text>
        <r>
          <rPr>
            <sz val="9"/>
            <color indexed="81"/>
            <rFont val="Tahoma"/>
            <family val="2"/>
          </rPr>
          <t xml:space="preserve">$2,397,200 Michael V
$6,273,000 Carlos O
</t>
        </r>
      </text>
    </comment>
    <comment ref="C11" authorId="0" shapeId="0" xr:uid="{35ACE025-199B-4E7B-8AEF-EAEAB1CD72E6}">
      <text>
        <r>
          <rPr>
            <b/>
            <sz val="9"/>
            <color indexed="81"/>
            <rFont val="Tahoma"/>
            <family val="2"/>
          </rPr>
          <t>$1,230,000</t>
        </r>
        <r>
          <rPr>
            <sz val="9"/>
            <color indexed="81"/>
            <rFont val="Tahoma"/>
            <family val="2"/>
          </rPr>
          <t xml:space="preserve"> Estudio puesto de trabajo
</t>
        </r>
        <r>
          <rPr>
            <b/>
            <sz val="9"/>
            <color indexed="81"/>
            <rFont val="Tahoma"/>
            <family val="2"/>
          </rPr>
          <t>$596,000</t>
        </r>
        <r>
          <rPr>
            <sz val="9"/>
            <color indexed="81"/>
            <rFont val="Tahoma"/>
            <family val="2"/>
          </rPr>
          <t xml:space="preserve"> Optica
</t>
        </r>
      </text>
    </comment>
    <comment ref="B18" authorId="0" shapeId="0" xr:uid="{671FA1E0-1014-4D7E-A46D-9B96C99118A8}">
      <text>
        <r>
          <rPr>
            <sz val="9"/>
            <color indexed="81"/>
            <rFont val="Tahoma"/>
            <family val="2"/>
          </rPr>
          <t xml:space="preserve">$2,000,000 Jhdez
$1,037,680 Auditorias SST
</t>
        </r>
      </text>
    </comment>
    <comment ref="C18" authorId="0" shapeId="0" xr:uid="{FC59E148-6F6F-4B47-B6DF-F81F0A941E12}">
      <text>
        <r>
          <rPr>
            <sz val="9"/>
            <color indexed="81"/>
            <rFont val="Tahoma"/>
            <family val="2"/>
          </rPr>
          <t>$6,000,000 Entrenador
$2,000,000 JH
$1,788,000 Interprete
$589,680 Pag Web</t>
        </r>
      </text>
    </comment>
    <comment ref="B21" authorId="0" shapeId="0" xr:uid="{55D7C86A-4134-44B2-9A5B-849D3E9BAAE0}">
      <text>
        <r>
          <rPr>
            <sz val="9"/>
            <color indexed="81"/>
            <rFont val="Tahoma"/>
            <family val="2"/>
          </rPr>
          <t xml:space="preserve">Pico y placa DTO
</t>
        </r>
      </text>
    </comment>
    <comment ref="B23" authorId="0" shapeId="0" xr:uid="{B6D828DC-ABC5-4F3B-88F7-EA2273ECCD98}">
      <text>
        <r>
          <rPr>
            <sz val="9"/>
            <color indexed="81"/>
            <rFont val="Tahoma"/>
            <family val="2"/>
          </rPr>
          <t xml:space="preserve">Arrend Bod $43,506,400
Admon: $1,205,957
Admon: $533,224
</t>
        </r>
      </text>
    </comment>
    <comment ref="C23" authorId="0" shapeId="0" xr:uid="{D8FE35D1-3BE0-4362-BB9D-E05BCB92449C}">
      <text>
        <r>
          <rPr>
            <sz val="9"/>
            <color indexed="81"/>
            <rFont val="Tahoma"/>
            <family val="2"/>
          </rPr>
          <t>Arrend Bod $35,700,000
          $49,300,000
Admon: $1,205,957
Admon: $533,224
Arrend Motos $850,000</t>
        </r>
      </text>
    </comment>
    <comment ref="C26" authorId="0" shapeId="0" xr:uid="{2603A03B-779A-4362-85D6-403018C18E6B}">
      <text>
        <r>
          <rPr>
            <b/>
            <sz val="9"/>
            <color indexed="81"/>
            <rFont val="Tahoma"/>
            <family val="2"/>
          </rPr>
          <t>WMS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3" authorId="0" shapeId="0" xr:uid="{0481926C-E2FF-43C6-98C1-C42F8691A4C5}">
      <text>
        <r>
          <rPr>
            <sz val="9"/>
            <color indexed="81"/>
            <rFont val="Tahoma"/>
            <family val="2"/>
          </rPr>
          <t xml:space="preserve">Escolta
</t>
        </r>
      </text>
    </comment>
    <comment ref="C34" authorId="0" shapeId="0" xr:uid="{76BF4D3F-C575-49B0-AFB1-B502140ACDE7}">
      <text>
        <r>
          <rPr>
            <sz val="9"/>
            <color indexed="81"/>
            <rFont val="Tahoma"/>
            <family val="2"/>
          </rPr>
          <t>$1,307,000 Dig WMS
$2,500,000 Chef</t>
        </r>
      </text>
    </comment>
    <comment ref="B43" authorId="0" shapeId="0" xr:uid="{DC38EC27-6BF3-4C8D-B00B-0EEDBF3090DF}">
      <text>
        <r>
          <rPr>
            <sz val="9"/>
            <color indexed="81"/>
            <rFont val="Tahoma"/>
            <family val="2"/>
          </rPr>
          <t xml:space="preserve">Transporte Almuerzos
</t>
        </r>
      </text>
    </comment>
    <comment ref="B45" authorId="0" shapeId="0" xr:uid="{9854F690-1EB4-4852-82EB-D035238300B9}">
      <text>
        <r>
          <rPr>
            <sz val="9"/>
            <color indexed="81"/>
            <rFont val="Tahoma"/>
            <family val="2"/>
          </rPr>
          <t xml:space="preserve">$8,589,420 Factura anual Siesa
</t>
        </r>
      </text>
    </comment>
    <comment ref="B53" authorId="0" shapeId="0" xr:uid="{BB70E8BF-B797-4CB7-94BF-51112FB2E453}">
      <text>
        <r>
          <rPr>
            <sz val="9"/>
            <color indexed="81"/>
            <rFont val="Tahoma"/>
            <family val="2"/>
          </rPr>
          <t xml:space="preserve">Mtto AA
Mtto Cuartos frios
</t>
        </r>
      </text>
    </comment>
    <comment ref="C54" authorId="0" shapeId="0" xr:uid="{0005AB8C-02AF-4E97-9C06-B972B8820B56}">
      <text>
        <r>
          <rPr>
            <sz val="9"/>
            <color indexed="81"/>
            <rFont val="Tahoma"/>
            <family val="2"/>
          </rPr>
          <t xml:space="preserve">Mtto Basculas + Cuarto Frio
</t>
        </r>
      </text>
    </comment>
    <comment ref="B56" authorId="0" shapeId="0" xr:uid="{00E17211-DDA7-456A-BD50-85D362014F7A}">
      <text>
        <r>
          <rPr>
            <sz val="9"/>
            <color indexed="81"/>
            <rFont val="Tahoma"/>
            <family val="2"/>
          </rPr>
          <t xml:space="preserve">Medidor PH y Cuchillos
</t>
        </r>
      </text>
    </comment>
    <comment ref="C56" authorId="0" shapeId="0" xr:uid="{AC56E770-641A-4C68-A1F2-C7F210C3CA74}">
      <text>
        <r>
          <rPr>
            <sz val="9"/>
            <color indexed="81"/>
            <rFont val="Tahoma"/>
            <family val="2"/>
          </rPr>
          <t xml:space="preserve">Cert ONAC Balanza dig
</t>
        </r>
      </text>
    </comment>
    <comment ref="B58" authorId="0" shapeId="0" xr:uid="{A5EC40A6-E2E0-4A81-87C5-12498CB2DEFA}">
      <text>
        <r>
          <rPr>
            <sz val="9"/>
            <color indexed="81"/>
            <rFont val="Tahoma"/>
            <family val="2"/>
          </rPr>
          <t xml:space="preserve">Recarga de extintores
</t>
        </r>
      </text>
    </comment>
    <comment ref="B67" authorId="0" shapeId="0" xr:uid="{690417F9-D7A5-4AF7-B375-D79FF95DD923}">
      <text>
        <r>
          <rPr>
            <sz val="9"/>
            <color indexed="81"/>
            <rFont val="Tahoma"/>
            <family val="2"/>
          </rPr>
          <t xml:space="preserve">DGNET Premium
</t>
        </r>
      </text>
    </comment>
    <comment ref="C67" authorId="0" shapeId="0" xr:uid="{A581D2CB-31A7-4370-BE45-408716CC9D8F}">
      <text>
        <r>
          <rPr>
            <sz val="9"/>
            <color indexed="81"/>
            <rFont val="Tahoma"/>
            <family val="2"/>
          </rPr>
          <t xml:space="preserve">LEGIS
</t>
        </r>
      </text>
    </comment>
    <comment ref="B78" authorId="0" shapeId="0" xr:uid="{143DE108-9D95-467E-BE7E-8EC55861DC9B}">
      <text>
        <r>
          <rPr>
            <sz val="9"/>
            <color indexed="81"/>
            <rFont val="Tahoma"/>
            <family val="2"/>
          </rPr>
          <t>$3,949,000 Elementos cuarto de bienestar</t>
        </r>
      </text>
    </comment>
    <comment ref="B79" authorId="0" shapeId="0" xr:uid="{CE088C96-AEB4-4317-A1FF-BF906A64FDD6}">
      <text>
        <r>
          <rPr>
            <b/>
            <sz val="9"/>
            <color indexed="81"/>
            <rFont val="Tahoma"/>
            <family val="2"/>
          </rPr>
          <t>Estanteria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9" authorId="0" shapeId="0" xr:uid="{9C535D5E-930F-4616-A6DC-3637E6252F60}">
      <text>
        <r>
          <rPr>
            <sz val="9"/>
            <color indexed="81"/>
            <rFont val="Tahoma"/>
            <family val="2"/>
          </rPr>
          <t>Mesas</t>
        </r>
      </text>
    </comment>
    <comment ref="B84" authorId="0" shapeId="0" xr:uid="{87D9361A-618F-4DA2-A5F5-11B3A0B6CF20}">
      <text>
        <r>
          <rPr>
            <sz val="9"/>
            <color indexed="81"/>
            <rFont val="Tahoma"/>
            <family val="2"/>
          </rPr>
          <t xml:space="preserve">$12,544,460 Compra Equipos
$8,258,600 Impresoras Wms
</t>
        </r>
      </text>
    </comment>
    <comment ref="B93" authorId="0" shapeId="0" xr:uid="{1279ED7F-FA39-4140-8ABF-649923D54C7F}">
      <text>
        <r>
          <rPr>
            <sz val="9"/>
            <color indexed="81"/>
            <rFont val="Tahoma"/>
            <family val="2"/>
          </rPr>
          <t xml:space="preserve">Multa Vehiculo VCO 277
</t>
        </r>
      </text>
    </comment>
    <comment ref="A111" authorId="1" shapeId="0" xr:uid="{2EF7ABC2-9C7A-4C2F-AEF2-914BC2DBE4BA}">
      <text>
        <r>
          <rPr>
            <sz val="9"/>
            <color indexed="81"/>
            <rFont val="Tahoma"/>
            <family val="2"/>
          </rPr>
          <t xml:space="preserve">Junta Directiva
</t>
        </r>
      </text>
    </comment>
  </commentList>
</comments>
</file>

<file path=xl/sharedStrings.xml><?xml version="1.0" encoding="utf-8"?>
<sst xmlns="http://schemas.openxmlformats.org/spreadsheetml/2006/main" count="130" uniqueCount="126">
  <si>
    <t xml:space="preserve">CORPORACIÓN HACIA UN VALLE SOLIDARIO </t>
  </si>
  <si>
    <t>GASTOS ADMINISTRATIVOS 2026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</si>
  <si>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</si>
  <si>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</si>
  <si>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</si>
  <si>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</si>
  <si>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</si>
  <si>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</si>
  <si>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</si>
  <si>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</si>
  <si>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</si>
  <si>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</si>
  <si>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</si>
  <si>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</si>
  <si>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ACUMULADO</t>
  </si>
  <si>
    <t>GASTOS DE PERSONAL</t>
  </si>
  <si>
    <t>Salarios</t>
  </si>
  <si>
    <t>Personal Decreto 1860/21</t>
  </si>
  <si>
    <t>Dotacion y Suministro</t>
  </si>
  <si>
    <t>Bonificaciones</t>
  </si>
  <si>
    <t>Capacitacion</t>
  </si>
  <si>
    <t>Gastos Medicos</t>
  </si>
  <si>
    <t>Incapacidades</t>
  </si>
  <si>
    <t>HONORARIOS</t>
  </si>
  <si>
    <t>Revisoria Fiscal</t>
  </si>
  <si>
    <t>Avaluos</t>
  </si>
  <si>
    <t>Asesoria Juridica</t>
  </si>
  <si>
    <t>Asesoria Financiera</t>
  </si>
  <si>
    <t>Asesoría Técnica</t>
  </si>
  <si>
    <t>IMPUESTOS</t>
  </si>
  <si>
    <t>Predial</t>
  </si>
  <si>
    <t>Impuestos vehiculos</t>
  </si>
  <si>
    <t>ARRENDAMIENTOS</t>
  </si>
  <si>
    <t>Construcciones y Edificaciones</t>
  </si>
  <si>
    <t>Maquinaria y Equipo</t>
  </si>
  <si>
    <t>Equipo de Oficina</t>
  </si>
  <si>
    <t>Equipo de Computacion y comunicaciones</t>
  </si>
  <si>
    <t>Flota y Equipo de Transporte</t>
  </si>
  <si>
    <t>SEGUROS</t>
  </si>
  <si>
    <t>Cumplimiento</t>
  </si>
  <si>
    <t>Responsabilidad Civil y Extracontractual</t>
  </si>
  <si>
    <t>OTROS - Funerarios</t>
  </si>
  <si>
    <t>SERVICIOS</t>
  </si>
  <si>
    <t>Aseo y Vigilancia</t>
  </si>
  <si>
    <t>Temporales</t>
  </si>
  <si>
    <t>Comunicaciones</t>
  </si>
  <si>
    <t>Laboratorio</t>
  </si>
  <si>
    <t>Fumigacion</t>
  </si>
  <si>
    <t>Acueducto y Alcantarillado</t>
  </si>
  <si>
    <t>Energía Electrica</t>
  </si>
  <si>
    <t>Telefono</t>
  </si>
  <si>
    <t>Internet</t>
  </si>
  <si>
    <t>Correo, Portes, telegramas</t>
  </si>
  <si>
    <t>Transporte, fletes y acarreos</t>
  </si>
  <si>
    <t>Gas</t>
  </si>
  <si>
    <t>Servicio Web-Hosting-Nube- Licencias Siesa y planeacion</t>
  </si>
  <si>
    <t>GASTOS LEGALES</t>
  </si>
  <si>
    <t>Notariales</t>
  </si>
  <si>
    <t>Registro Mercantil y proponentes</t>
  </si>
  <si>
    <t>Tramites y Licencias</t>
  </si>
  <si>
    <t>Servicio de Registro BMC</t>
  </si>
  <si>
    <t>Certificados Camara Comercio , proponentes y tradicion, JCC</t>
  </si>
  <si>
    <t>MANTENIMIENTO Y REPARACIONES</t>
  </si>
  <si>
    <t>Planta Plan Basico de Saneamiento</t>
  </si>
  <si>
    <t>Equipo de Computacion y Comunic</t>
  </si>
  <si>
    <t>Plan SST</t>
  </si>
  <si>
    <t>ADECUACIONES E INSTALACIONES</t>
  </si>
  <si>
    <t>Inversion infraestructura</t>
  </si>
  <si>
    <t>Reparaciones Locativas</t>
  </si>
  <si>
    <t>GASTOS DE VIAJE</t>
  </si>
  <si>
    <t>Alojamiento y Manutencion</t>
  </si>
  <si>
    <t>Pasajes Aereos</t>
  </si>
  <si>
    <t>Pasajes Terrestres</t>
  </si>
  <si>
    <t>DIVERSOS</t>
  </si>
  <si>
    <t>Libros, suscripciones, period</t>
  </si>
  <si>
    <t>Seguros Funerarios</t>
  </si>
  <si>
    <t>Elementos de Aseo y Cafeteria</t>
  </si>
  <si>
    <t>Papeleria</t>
  </si>
  <si>
    <t>Fotocopias</t>
  </si>
  <si>
    <t>Combustible y Lubricantes</t>
  </si>
  <si>
    <t>Envases y Empaques</t>
  </si>
  <si>
    <t>Taxis y Buses</t>
  </si>
  <si>
    <t>Casino y Restaurante (Refrigerios)</t>
  </si>
  <si>
    <t>Parqueaderos</t>
  </si>
  <si>
    <t>Peajes</t>
  </si>
  <si>
    <t>Otros</t>
  </si>
  <si>
    <t>Compra Equipos de Oficina</t>
  </si>
  <si>
    <t>Compra Suministros</t>
  </si>
  <si>
    <t>Herramientas y articulos ferreteria</t>
  </si>
  <si>
    <t>Reuniones Fiestas y Detalles</t>
  </si>
  <si>
    <t>Equipos de Bodega</t>
  </si>
  <si>
    <t>Compra Equipos de computo y comunicación</t>
  </si>
  <si>
    <t>Cuota de Apoyo y Sostenimiento (SENA)</t>
  </si>
  <si>
    <t>Menaje - Basculas-Canastillas-Estibas</t>
  </si>
  <si>
    <t>Compra Mercado IVH</t>
  </si>
  <si>
    <t>Convenios medicos - EMI</t>
  </si>
  <si>
    <t>CASINO</t>
  </si>
  <si>
    <t>OTROS GASTOS DIVERSOS</t>
  </si>
  <si>
    <t>Demandas por Incumplimiento de Contrato</t>
  </si>
  <si>
    <t>Indemnizaciones</t>
  </si>
  <si>
    <t>Multas, Sanciones y Litigios</t>
  </si>
  <si>
    <t>Donaciones</t>
  </si>
  <si>
    <t>Ajuste al peso</t>
  </si>
  <si>
    <t>TOTAL ADMINISTRATIVOS</t>
  </si>
  <si>
    <t>FINANCIEROS</t>
  </si>
  <si>
    <t>Gastos Bancarios</t>
  </si>
  <si>
    <t>Comisiones</t>
  </si>
  <si>
    <t>Intereses Corrientes Obligaciones</t>
  </si>
  <si>
    <t>Intereses  Moratorios</t>
  </si>
  <si>
    <t>Intereses Sobregiro</t>
  </si>
  <si>
    <t>Intereses corrientes Leasing</t>
  </si>
  <si>
    <t>Seguro Credito Leasing</t>
  </si>
  <si>
    <t>Gravámen a Movimientos Financieros</t>
  </si>
  <si>
    <t xml:space="preserve">Otros </t>
  </si>
  <si>
    <t>INTERESES SOCIOS</t>
  </si>
  <si>
    <t>TOTAL FINANCIEROS</t>
  </si>
  <si>
    <t>GASTOS DE PERSONAL DIRECTIVO</t>
  </si>
  <si>
    <t>GASTOS NO OPERACIONALES</t>
  </si>
  <si>
    <t>COSTO DE FACTURAS</t>
  </si>
  <si>
    <t>RECREARTE</t>
  </si>
  <si>
    <t>PROVISION 2025 - INDEMNIZACION DE PERSONAL</t>
  </si>
  <si>
    <t>(-) DESCUENTOS COMERCIALES</t>
  </si>
  <si>
    <t>(-) INGRESOS NO OPERACIONALES</t>
  </si>
  <si>
    <t>(-) INGRESOS INCAPACIDADES</t>
  </si>
  <si>
    <t>TOTAL GASTOS NO OPERACIONALES</t>
  </si>
  <si>
    <t>JUNTA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</si>
</sst>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Tahoma"/>
      <family val="2"/>
    </font>
    <font>
      <b/>
      <sz val="11"/>
      <color theme="1"/>
      <name val="Tahoma"/>
      <family val="2"/>
    </font>
    <font>
      <sz val="8"/>
      <color theme="0"/>
      <name val="Tahoma"/>
      <family val="2"/>
    </font>
    <font>
      <sz val="9"/>
      <color theme="1"/>
      <name val="Tahoma"/>
      <family val="2"/>
    </font>
    <font>
      <b/>
      <sz val="8"/>
      <color theme="0"/>
      <name val="Tahoma"/>
      <family val="2"/>
    </font>
    <font>
      <sz val="9"/>
      <name val="Tahoma"/>
      <family val="2"/>
    </font>
    <font>
      <sz val="9"/>
      <color indexed="8"/>
      <name val="Tahoma"/>
      <family val="2"/>
    </font>
    <font>
      <u/>
      <sz val="11"/>
      <color theme="10"/>
      <name val="Calibri"/>
      <family val="2"/>
    </font>
    <font>
      <u/>
      <sz val="9"/>
      <color theme="10"/>
      <name val="Tahoma"/>
      <family val="2"/>
    </font>
    <font>
      <sz val="8"/>
      <color rgb="FF0070C0"/>
      <name val="Tahoma"/>
      <family val="2"/>
    </font>
    <font>
      <sz val="9"/>
      <color rgb="FFFF000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9"/>
      <name val="Tahoma"/>
      <family val="2"/>
    </font>
    <font>
      <u val="singleAccounting"/>
      <sz val="9"/>
      <color theme="10"/>
      <name val="Tahoma"/>
      <family val="2"/>
    </font>
    <font>
      <b/>
      <sz val="10"/>
      <color theme="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FF9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</cellStyleXfs>
  <cellXfs count="97">
    <xf numFmtId="0" fontId="0" fillId="0" borderId="0" xfId="0"/>
    <xf numFmtId="4" fontId="4" fillId="2" borderId="0" xfId="0" applyNumberFormat="1" applyFont="1" applyFill="1" applyAlignment="1">
      <alignment horizontal="center"/>
    </xf>
    <xf numFmtId="0" fontId="5" fillId="2" borderId="0" xfId="0" applyFont="1" applyFill="1"/>
    <xf numFmtId="0" fontId="2" fillId="3" borderId="1" xfId="0" applyFont="1" applyFill="1" applyBorder="1" applyAlignment="1">
      <alignment horizontal="right" vertical="center"/>
    </xf>
    <xf numFmtId="165" fontId="2" fillId="3" borderId="1" xfId="1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65" fontId="2" fillId="0" borderId="1" xfId="1" applyNumberFormat="1" applyFont="1" applyFill="1" applyBorder="1" applyAlignment="1">
      <alignment vertical="center"/>
    </xf>
    <xf numFmtId="165" fontId="2" fillId="0" borderId="1" xfId="1" applyNumberFormat="1" applyFont="1" applyBorder="1" applyAlignment="1">
      <alignment vertical="center"/>
    </xf>
    <xf numFmtId="4" fontId="6" fillId="2" borderId="0" xfId="0" applyNumberFormat="1" applyFont="1" applyFill="1" applyAlignment="1">
      <alignment horizontal="center"/>
    </xf>
    <xf numFmtId="0" fontId="2" fillId="2" borderId="0" xfId="0" applyFont="1" applyFill="1"/>
    <xf numFmtId="0" fontId="5" fillId="2" borderId="2" xfId="0" applyFont="1" applyFill="1" applyBorder="1" applyAlignment="1">
      <alignment vertical="center"/>
    </xf>
    <xf numFmtId="165" fontId="7" fillId="0" borderId="3" xfId="1" applyNumberFormat="1" applyFont="1" applyFill="1" applyBorder="1" applyAlignment="1">
      <alignment vertical="center"/>
    </xf>
    <xf numFmtId="165" fontId="7" fillId="4" borderId="3" xfId="1" applyNumberFormat="1" applyFont="1" applyFill="1" applyBorder="1" applyAlignment="1">
      <alignment vertical="center"/>
    </xf>
    <xf numFmtId="165" fontId="5" fillId="0" borderId="4" xfId="1" applyNumberFormat="1" applyFont="1" applyFill="1" applyBorder="1" applyAlignment="1">
      <alignment vertical="center"/>
    </xf>
    <xf numFmtId="4" fontId="4" fillId="2" borderId="0" xfId="2" applyNumberFormat="1" applyFont="1" applyFill="1" applyAlignment="1">
      <alignment horizontal="center"/>
    </xf>
    <xf numFmtId="0" fontId="5" fillId="2" borderId="5" xfId="0" applyFont="1" applyFill="1" applyBorder="1" applyAlignment="1">
      <alignment vertical="center"/>
    </xf>
    <xf numFmtId="165" fontId="7" fillId="0" borderId="5" xfId="1" applyNumberFormat="1" applyFont="1" applyFill="1" applyBorder="1" applyAlignment="1">
      <alignment vertical="center"/>
    </xf>
    <xf numFmtId="165" fontId="5" fillId="0" borderId="6" xfId="1" applyNumberFormat="1" applyFont="1" applyFill="1" applyBorder="1" applyAlignment="1">
      <alignment vertical="center"/>
    </xf>
    <xf numFmtId="165" fontId="10" fillId="0" borderId="5" xfId="3" applyNumberFormat="1" applyFont="1" applyFill="1" applyBorder="1" applyAlignment="1" applyProtection="1">
      <alignment vertical="center"/>
    </xf>
    <xf numFmtId="0" fontId="5" fillId="0" borderId="5" xfId="0" applyFont="1" applyBorder="1" applyAlignment="1">
      <alignment vertical="center"/>
    </xf>
    <xf numFmtId="165" fontId="7" fillId="0" borderId="7" xfId="1" applyNumberFormat="1" applyFont="1" applyFill="1" applyBorder="1" applyAlignment="1">
      <alignment vertical="center"/>
    </xf>
    <xf numFmtId="4" fontId="11" fillId="2" borderId="0" xfId="2" applyNumberFormat="1" applyFont="1" applyFill="1" applyAlignment="1">
      <alignment horizontal="center"/>
    </xf>
    <xf numFmtId="165" fontId="5" fillId="0" borderId="3" xfId="1" applyNumberFormat="1" applyFont="1" applyFill="1" applyBorder="1" applyAlignment="1">
      <alignment vertical="center"/>
    </xf>
    <xf numFmtId="165" fontId="5" fillId="0" borderId="5" xfId="1" applyNumberFormat="1" applyFont="1" applyFill="1" applyBorder="1" applyAlignment="1">
      <alignment vertical="center"/>
    </xf>
    <xf numFmtId="165" fontId="5" fillId="0" borderId="8" xfId="1" applyNumberFormat="1" applyFont="1" applyFill="1" applyBorder="1" applyAlignment="1">
      <alignment vertical="center"/>
    </xf>
    <xf numFmtId="165" fontId="2" fillId="2" borderId="1" xfId="1" applyNumberFormat="1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165" fontId="7" fillId="0" borderId="10" xfId="1" applyNumberFormat="1" applyFont="1" applyFill="1" applyBorder="1" applyAlignment="1">
      <alignment vertical="center"/>
    </xf>
    <xf numFmtId="165" fontId="12" fillId="0" borderId="10" xfId="1" applyNumberFormat="1" applyFont="1" applyFill="1" applyBorder="1" applyAlignment="1">
      <alignment vertical="center"/>
    </xf>
    <xf numFmtId="165" fontId="5" fillId="0" borderId="10" xfId="1" applyNumberFormat="1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165" fontId="5" fillId="0" borderId="7" xfId="1" applyNumberFormat="1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4" fontId="13" fillId="2" borderId="0" xfId="1" applyNumberFormat="1" applyFont="1" applyFill="1" applyAlignment="1">
      <alignment horizontal="center"/>
    </xf>
    <xf numFmtId="165" fontId="5" fillId="2" borderId="8" xfId="1" applyNumberFormat="1" applyFont="1" applyFill="1" applyBorder="1" applyAlignment="1">
      <alignment vertical="center"/>
    </xf>
    <xf numFmtId="0" fontId="5" fillId="2" borderId="12" xfId="0" applyFont="1" applyFill="1" applyBorder="1" applyAlignment="1">
      <alignment vertical="center"/>
    </xf>
    <xf numFmtId="165" fontId="5" fillId="2" borderId="4" xfId="1" applyNumberFormat="1" applyFont="1" applyFill="1" applyBorder="1" applyAlignment="1">
      <alignment vertical="center"/>
    </xf>
    <xf numFmtId="165" fontId="5" fillId="2" borderId="6" xfId="1" applyNumberFormat="1" applyFont="1" applyFill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165" fontId="5" fillId="5" borderId="7" xfId="1" applyNumberFormat="1" applyFont="1" applyFill="1" applyBorder="1" applyAlignment="1">
      <alignment vertical="center"/>
    </xf>
    <xf numFmtId="4" fontId="4" fillId="0" borderId="0" xfId="2" applyNumberFormat="1" applyFont="1" applyFill="1" applyAlignment="1">
      <alignment horizontal="center"/>
    </xf>
    <xf numFmtId="0" fontId="2" fillId="0" borderId="0" xfId="0" applyFont="1"/>
    <xf numFmtId="165" fontId="9" fillId="0" borderId="5" xfId="3" applyNumberFormat="1" applyFill="1" applyBorder="1" applyAlignment="1" applyProtection="1">
      <alignment vertical="center"/>
    </xf>
    <xf numFmtId="165" fontId="2" fillId="0" borderId="14" xfId="1" applyNumberFormat="1" applyFont="1" applyFill="1" applyBorder="1" applyAlignment="1">
      <alignment vertical="center"/>
    </xf>
    <xf numFmtId="165" fontId="5" fillId="0" borderId="14" xfId="1" applyNumberFormat="1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165" fontId="5" fillId="0" borderId="15" xfId="1" applyNumberFormat="1" applyFont="1" applyFill="1" applyBorder="1" applyAlignment="1">
      <alignment vertical="center"/>
    </xf>
    <xf numFmtId="165" fontId="5" fillId="0" borderId="13" xfId="1" applyNumberFormat="1" applyFont="1" applyFill="1" applyBorder="1" applyAlignment="1">
      <alignment vertical="center"/>
    </xf>
    <xf numFmtId="165" fontId="5" fillId="0" borderId="2" xfId="1" applyNumberFormat="1" applyFont="1" applyFill="1" applyBorder="1" applyAlignment="1">
      <alignment vertical="center"/>
    </xf>
    <xf numFmtId="165" fontId="9" fillId="0" borderId="3" xfId="3" applyNumberFormat="1" applyFill="1" applyBorder="1" applyAlignment="1" applyProtection="1">
      <alignment vertical="center"/>
    </xf>
    <xf numFmtId="4" fontId="14" fillId="2" borderId="0" xfId="1" applyNumberFormat="1" applyFont="1" applyFill="1" applyAlignment="1">
      <alignment horizontal="center"/>
    </xf>
    <xf numFmtId="0" fontId="2" fillId="0" borderId="1" xfId="0" applyFont="1" applyBorder="1" applyAlignment="1">
      <alignment vertical="center"/>
    </xf>
    <xf numFmtId="165" fontId="15" fillId="0" borderId="1" xfId="1" applyNumberFormat="1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0" xfId="0" applyFont="1"/>
    <xf numFmtId="0" fontId="5" fillId="0" borderId="13" xfId="0" applyFont="1" applyBorder="1" applyAlignment="1">
      <alignment vertical="center"/>
    </xf>
    <xf numFmtId="165" fontId="5" fillId="0" borderId="0" xfId="1" applyNumberFormat="1" applyFont="1" applyFill="1"/>
    <xf numFmtId="0" fontId="2" fillId="0" borderId="11" xfId="0" applyFont="1" applyBorder="1" applyAlignment="1">
      <alignment vertical="center"/>
    </xf>
    <xf numFmtId="165" fontId="2" fillId="0" borderId="5" xfId="1" applyNumberFormat="1" applyFont="1" applyFill="1" applyBorder="1" applyAlignment="1">
      <alignment vertical="center"/>
    </xf>
    <xf numFmtId="0" fontId="5" fillId="0" borderId="15" xfId="0" applyFont="1" applyBorder="1" applyAlignment="1">
      <alignment vertical="center"/>
    </xf>
    <xf numFmtId="165" fontId="7" fillId="0" borderId="16" xfId="1" applyNumberFormat="1" applyFont="1" applyFill="1" applyBorder="1" applyAlignment="1">
      <alignment vertical="center"/>
    </xf>
    <xf numFmtId="165" fontId="16" fillId="0" borderId="5" xfId="3" applyNumberFormat="1" applyFont="1" applyFill="1" applyBorder="1" applyAlignment="1" applyProtection="1">
      <alignment vertical="center"/>
    </xf>
    <xf numFmtId="165" fontId="5" fillId="0" borderId="16" xfId="1" applyNumberFormat="1" applyFont="1" applyFill="1" applyBorder="1" applyAlignment="1">
      <alignment vertical="center"/>
    </xf>
    <xf numFmtId="165" fontId="10" fillId="0" borderId="16" xfId="3" applyNumberFormat="1" applyFont="1" applyFill="1" applyBorder="1" applyAlignment="1" applyProtection="1">
      <alignment vertical="center"/>
    </xf>
    <xf numFmtId="165" fontId="5" fillId="0" borderId="16" xfId="1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vertical="center"/>
    </xf>
    <xf numFmtId="165" fontId="5" fillId="0" borderId="1" xfId="1" applyNumberFormat="1" applyFont="1" applyFill="1" applyBorder="1" applyAlignment="1">
      <alignment vertical="center"/>
    </xf>
    <xf numFmtId="165" fontId="10" fillId="0" borderId="1" xfId="3" applyNumberFormat="1" applyFont="1" applyFill="1" applyBorder="1" applyAlignment="1" applyProtection="1">
      <alignment vertical="center"/>
    </xf>
    <xf numFmtId="0" fontId="5" fillId="0" borderId="12" xfId="0" applyFont="1" applyBorder="1" applyAlignment="1">
      <alignment vertical="center"/>
    </xf>
    <xf numFmtId="165" fontId="5" fillId="0" borderId="18" xfId="1" applyNumberFormat="1" applyFont="1" applyFill="1" applyBorder="1" applyAlignment="1">
      <alignment vertical="center"/>
    </xf>
    <xf numFmtId="0" fontId="2" fillId="3" borderId="19" xfId="0" applyFont="1" applyFill="1" applyBorder="1" applyAlignment="1">
      <alignment vertical="center"/>
    </xf>
    <xf numFmtId="165" fontId="17" fillId="3" borderId="20" xfId="1" applyNumberFormat="1" applyFont="1" applyFill="1" applyBorder="1" applyAlignment="1">
      <alignment vertical="center"/>
    </xf>
    <xf numFmtId="0" fontId="2" fillId="0" borderId="21" xfId="0" applyFont="1" applyBorder="1" applyAlignment="1">
      <alignment vertical="center"/>
    </xf>
    <xf numFmtId="165" fontId="5" fillId="0" borderId="21" xfId="1" applyNumberFormat="1" applyFont="1" applyFill="1" applyBorder="1" applyAlignment="1">
      <alignment vertical="center"/>
    </xf>
    <xf numFmtId="165" fontId="7" fillId="0" borderId="21" xfId="1" applyNumberFormat="1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165" fontId="2" fillId="3" borderId="1" xfId="1" applyNumberFormat="1" applyFont="1" applyFill="1" applyBorder="1" applyAlignment="1">
      <alignment vertical="center"/>
    </xf>
    <xf numFmtId="0" fontId="7" fillId="0" borderId="15" xfId="0" applyFont="1" applyBorder="1" applyAlignment="1">
      <alignment vertical="center"/>
    </xf>
    <xf numFmtId="165" fontId="15" fillId="0" borderId="5" xfId="1" applyNumberFormat="1" applyFont="1" applyFill="1" applyBorder="1" applyAlignment="1">
      <alignment vertical="center"/>
    </xf>
    <xf numFmtId="165" fontId="2" fillId="0" borderId="20" xfId="1" applyNumberFormat="1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165" fontId="5" fillId="2" borderId="0" xfId="1" applyNumberFormat="1" applyFont="1" applyFill="1" applyAlignment="1">
      <alignment vertical="center"/>
    </xf>
    <xf numFmtId="165" fontId="5" fillId="2" borderId="0" xfId="0" applyNumberFormat="1" applyFont="1" applyFill="1" applyAlignment="1">
      <alignment vertical="center"/>
    </xf>
    <xf numFmtId="165" fontId="5" fillId="2" borderId="0" xfId="1" applyNumberFormat="1" applyFont="1" applyFill="1"/>
    <xf numFmtId="165" fontId="12" fillId="2" borderId="0" xfId="1" applyNumberFormat="1" applyFont="1" applyFill="1"/>
    <xf numFmtId="165" fontId="5" fillId="2" borderId="0" xfId="0" applyNumberFormat="1" applyFont="1" applyFill="1"/>
    <xf numFmtId="165" fontId="12" fillId="2" borderId="0" xfId="0" applyNumberFormat="1" applyFont="1" applyFill="1"/>
    <xf numFmtId="165" fontId="12" fillId="2" borderId="0" xfId="1" applyNumberFormat="1" applyFont="1" applyFill="1" applyAlignment="1">
      <alignment vertical="center"/>
    </xf>
    <xf numFmtId="165" fontId="12" fillId="2" borderId="0" xfId="1" applyNumberFormat="1" applyFont="1" applyFill="1" applyAlignment="1">
      <alignment horizontal="center" vertical="center"/>
    </xf>
    <xf numFmtId="166" fontId="5" fillId="2" borderId="0" xfId="2" applyNumberFormat="1" applyFont="1" applyFill="1"/>
    <xf numFmtId="165" fontId="12" fillId="2" borderId="0" xfId="1" applyNumberFormat="1" applyFont="1" applyFill="1" applyAlignment="1">
      <alignment horizontal="center"/>
    </xf>
    <xf numFmtId="3" fontId="8" fillId="0" borderId="0" xfId="0" applyNumberFormat="1" applyFont="1"/>
    <xf numFmtId="164" fontId="2" fillId="2" borderId="0" xfId="1" applyFont="1" applyFill="1" applyAlignment="1">
      <alignment horizontal="center" vertical="center" wrapText="1"/>
    </xf>
    <xf numFmtId="165" fontId="3" fillId="2" borderId="0" xfId="1" applyNumberFormat="1" applyFont="1" applyFill="1" applyAlignment="1">
      <alignment horizontal="center" vertical="center" wrapText="1"/>
    </xf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INFORME%20REAL_2026%20-%20FORMATO.xlsx" TargetMode="External"/><Relationship Id="rId1" Type="http://schemas.openxmlformats.org/officeDocument/2006/relationships/externalLinkPath" Target="INFORME%20REAL_2026%20-%20FORMAT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5105_CHVS_ENE_2026.xls" TargetMode="External"/><Relationship Id="rId1" Type="http://schemas.openxmlformats.org/officeDocument/2006/relationships/externalLinkPath" Target="file:///C:\Users\USER\OneDrive\Escritorio\COSTOS\2026\INFORME%20REAL%202026\ENERO\5105_CHVS_ENE_2026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5105_UT%20ALIM%20YUMBO%202025_2026.xls" TargetMode="External"/><Relationship Id="rId1" Type="http://schemas.openxmlformats.org/officeDocument/2006/relationships/externalLinkPath" Target="file:///C:\Users\USER\OneDrive\Escritorio\COSTOS\2026\INFORME%20REAL%202026\ENERO\5105_UT%20ALIM%20YUMBO%202025_2026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5105_BUGA%202025_2026.xls" TargetMode="External"/><Relationship Id="rId1" Type="http://schemas.openxmlformats.org/officeDocument/2006/relationships/externalLinkPath" Target="file:///C:\Users\USER\OneDrive\Escritorio\COSTOS\2026\INFORME%20REAL%202026\ENERO\5105_BUGA%202025_2026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5105_CHVS_FEB_2026.xls" TargetMode="External"/><Relationship Id="rId1" Type="http://schemas.openxmlformats.org/officeDocument/2006/relationships/externalLinkPath" Target="FEBRERO/5105_CHVS_FEB_2026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5105_UTALIM%20YUMBO_FEB_2026.xls" TargetMode="External"/><Relationship Id="rId1" Type="http://schemas.openxmlformats.org/officeDocument/2006/relationships/externalLinkPath" Target="FEBRERO/5105_UTALIM%20YUMBO_FEB_2026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5105_UT%20ALIM%20BUGA%202026_2026.xls" TargetMode="External"/><Relationship Id="rId1" Type="http://schemas.openxmlformats.org/officeDocument/2006/relationships/externalLinkPath" Target="FEBRERO/5105_UT%20ALIM%20BUGA%202026_2026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5105_UT%20ALIM%20BUGA%202025_2026.xls" TargetMode="External"/><Relationship Id="rId1" Type="http://schemas.openxmlformats.org/officeDocument/2006/relationships/externalLinkPath" Target="FEBRERO/5105_UT%20ALIM%20BUGA%202025_2026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5105_CONS%20ALIM%20CALI%202026_2026.xls" TargetMode="External"/><Relationship Id="rId1" Type="http://schemas.openxmlformats.org/officeDocument/2006/relationships/externalLinkPath" Target="FEBRERO/5105_CONS%20ALIM%20CALI%202026_2026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ESTADO%20DE%20RESULTADOS_CHVS_ENE_2026.xls" TargetMode="External"/><Relationship Id="rId1" Type="http://schemas.openxmlformats.org/officeDocument/2006/relationships/externalLinkPath" Target="file:///C:\Users\USER\OneDrive\Escritorio\COSTOS\2026\INFORME%20REAL%202026\ENERO\ESTADO%20DE%20RESULTADOS_CHVS_ENE_2026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ESTADO%20DE%20RESULTADOS_CHVS_FEB_2026.xls" TargetMode="External"/><Relationship Id="rId1" Type="http://schemas.openxmlformats.org/officeDocument/2006/relationships/externalLinkPath" Target="FEBRERO/ESTADO%20DE%20RESULTADOS_CHVS_FEB_2026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ESTADO%20DE%20RESULTADOS_UTALIM%20YUMBO%202025_FEB_2026.xls" TargetMode="External"/><Relationship Id="rId1" Type="http://schemas.openxmlformats.org/officeDocument/2006/relationships/externalLinkPath" Target="FEBRERO/ESTADO%20DE%20RESULTADOS_UTALIM%20YUMBO%202025_FEB_2026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51355001_CHVS_ENE_2026.xls" TargetMode="External"/><Relationship Id="rId1" Type="http://schemas.openxmlformats.org/officeDocument/2006/relationships/externalLinkPath" Target="file:///C:\Users\USER\OneDrive\Escritorio\COSTOS\2026\INFORME%20REAL%202026\ENERO\51355001_CHVS_ENE_2026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51355001_CHVS_FEB_2026.xls" TargetMode="External"/><Relationship Id="rId1" Type="http://schemas.openxmlformats.org/officeDocument/2006/relationships/externalLinkPath" Target="FEBRERO/51355001_CHVS_FEB_2026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ESTADO%20DE%20RESULTADOS_UT%20ALIM%20YUMBO%202026_2026.xls" TargetMode="External"/><Relationship Id="rId1" Type="http://schemas.openxmlformats.org/officeDocument/2006/relationships/externalLinkPath" Target="file:///C:\Users\USER\OneDrive\Escritorio\COSTOS\2026\INFORME%20REAL%202026\ENERO\ESTADO%20DE%20RESULTADOS_UT%20ALIM%20YUMBO%202026_2026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ESTADO%20DE%20RESULTADOS_BUGA%202026_2026.xls" TargetMode="External"/><Relationship Id="rId1" Type="http://schemas.openxmlformats.org/officeDocument/2006/relationships/externalLinkPath" Target="file:///C:\Users\USER\OneDrive\Escritorio\COSTOS\2026\INFORME%20REAL%202026\ENERO\ESTADO%20DE%20RESULTADOS_BUGA%202026_2026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ESTADO%20DE%20RESULTADOS_CONS%20ALIM%20CALI%202026_ENE_2026.xls" TargetMode="External"/><Relationship Id="rId1" Type="http://schemas.openxmlformats.org/officeDocument/2006/relationships/externalLinkPath" Target="file:///C:\Users\USER\OneDrive\Escritorio\COSTOS\2026\INFORME%20REAL%202026\ENERO\ESTADO%20DE%20RESULTADOS_CONS%20ALIM%20CALI%202026_ENE_2026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ESTADO%20DE%20RESULTADOS_CONS%20ALIM%20CALI%202025_ENE_2026.xls" TargetMode="External"/><Relationship Id="rId1" Type="http://schemas.openxmlformats.org/officeDocument/2006/relationships/externalLinkPath" Target="file:///C:\Users\USER\OneDrive\Escritorio\COSTOS\2026\INFORME%20REAL%202026\ENERO\ESTADO%20DE%20RESULTADOS_CONS%20ALIM%20CALI%202025_ENE_2026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ESTADO%20DE%20RESULTADOS_UTALIM%20YUMBO_FEB_2026.xls" TargetMode="External"/><Relationship Id="rId1" Type="http://schemas.openxmlformats.org/officeDocument/2006/relationships/externalLinkPath" Target="FEBRERO/ESTADO%20DE%20RESULTADOS_UTALIM%20YUMBO_FEB_2026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ESTADO%20DE%20RESULTADOS_UT%20ALIM%20BUGA%202026_2026.xls" TargetMode="External"/><Relationship Id="rId1" Type="http://schemas.openxmlformats.org/officeDocument/2006/relationships/externalLinkPath" Target="FEBRERO/ESTADO%20DE%20RESULTADOS_UT%20ALIM%20BUGA%202026_2026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ESTADO%20DE%20RESULTADOS_CONS%20ALIM%20CALI%202026_2026.xls" TargetMode="External"/><Relationship Id="rId1" Type="http://schemas.openxmlformats.org/officeDocument/2006/relationships/externalLinkPath" Target="FEBRERO/ESTADO%20DE%20RESULTADOS_CONS%20ALIM%20CALI%202026_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STOS ADMINISTRATIVOS "/>
      <sheetName val="GASTOS OPERATIVOS"/>
      <sheetName val="GASTOS VEHICULOS"/>
      <sheetName val="%DIST"/>
      <sheetName val="CASINO"/>
      <sheetName val="HUNGRIA"/>
      <sheetName val="CALI"/>
      <sheetName val="YUMBO"/>
      <sheetName val="BUGA"/>
      <sheetName val="IMDERTY"/>
      <sheetName val="COMEDORES CALI"/>
      <sheetName val="CTAS EN PPACION"/>
      <sheetName val="COMEDORES PALMIRA"/>
      <sheetName val="COMEDORES VALLE"/>
      <sheetName val="ADULTO MAYOR"/>
      <sheetName val="PYG TOTAL"/>
      <sheetName val="RECREARTE"/>
    </sheetNames>
    <sheetDataSet>
      <sheetData sheetId="0"/>
      <sheetData sheetId="1">
        <row r="17">
          <cell r="D17">
            <v>334817612.00999999</v>
          </cell>
        </row>
      </sheetData>
      <sheetData sheetId="2">
        <row r="25">
          <cell r="D25">
            <v>85111503</v>
          </cell>
        </row>
      </sheetData>
      <sheetData sheetId="3"/>
      <sheetData sheetId="4">
        <row r="144">
          <cell r="C144">
            <v>26472126.799999997</v>
          </cell>
          <cell r="F144">
            <v>29999600.399999999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41">
          <cell r="C141">
            <v>15474654</v>
          </cell>
          <cell r="F141">
            <v>-1777321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9">
          <cell r="I9">
            <v>135991784</v>
          </cell>
        </row>
        <row r="12">
          <cell r="I12">
            <v>19735184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9">
          <cell r="I9">
            <v>42456276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8">
          <cell r="D8">
            <v>13055991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8">
          <cell r="L8">
            <v>163502037</v>
          </cell>
        </row>
        <row r="10">
          <cell r="L10">
            <v>19090050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9">
          <cell r="I9">
            <v>10667827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8">
          <cell r="D8">
            <v>41746824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10">
          <cell r="D10">
            <v>321319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9">
          <cell r="I9">
            <v>12322884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4">
          <cell r="E24">
            <v>1093270</v>
          </cell>
        </row>
        <row r="54">
          <cell r="C54">
            <v>1887131</v>
          </cell>
        </row>
        <row r="56">
          <cell r="C56">
            <v>8670200</v>
          </cell>
        </row>
        <row r="70">
          <cell r="C70">
            <v>96200</v>
          </cell>
        </row>
        <row r="73">
          <cell r="C73">
            <v>2896000</v>
          </cell>
        </row>
        <row r="75">
          <cell r="C75">
            <v>2912968</v>
          </cell>
        </row>
        <row r="77">
          <cell r="C77">
            <v>3037680</v>
          </cell>
        </row>
        <row r="82">
          <cell r="C82">
            <v>10286350.550000001</v>
          </cell>
        </row>
        <row r="85">
          <cell r="C85">
            <v>45245581</v>
          </cell>
        </row>
        <row r="87">
          <cell r="C87">
            <v>9106621</v>
          </cell>
        </row>
        <row r="89">
          <cell r="C89">
            <v>3236110</v>
          </cell>
        </row>
        <row r="97">
          <cell r="C97">
            <v>2500000</v>
          </cell>
        </row>
        <row r="99">
          <cell r="C99">
            <v>1261676</v>
          </cell>
        </row>
        <row r="101">
          <cell r="C101">
            <v>1110507</v>
          </cell>
        </row>
        <row r="103">
          <cell r="C103">
            <v>2061530</v>
          </cell>
        </row>
        <row r="105">
          <cell r="C105">
            <v>5133313</v>
          </cell>
        </row>
        <row r="106">
          <cell r="C106">
            <v>477584</v>
          </cell>
        </row>
        <row r="108">
          <cell r="C108">
            <v>44800</v>
          </cell>
        </row>
        <row r="112">
          <cell r="C112">
            <v>14481975</v>
          </cell>
        </row>
        <row r="115">
          <cell r="C115">
            <v>12852</v>
          </cell>
        </row>
        <row r="117">
          <cell r="C117">
            <v>16800</v>
          </cell>
        </row>
        <row r="118">
          <cell r="C118">
            <v>296500</v>
          </cell>
        </row>
        <row r="123">
          <cell r="C123">
            <v>5372255</v>
          </cell>
        </row>
        <row r="125">
          <cell r="C125">
            <v>275000</v>
          </cell>
        </row>
        <row r="127">
          <cell r="C127">
            <v>3115080</v>
          </cell>
        </row>
        <row r="133">
          <cell r="C133">
            <v>5120451</v>
          </cell>
        </row>
        <row r="135">
          <cell r="C135">
            <v>3232020.85</v>
          </cell>
        </row>
        <row r="137">
          <cell r="C137">
            <v>1032705</v>
          </cell>
        </row>
        <row r="141">
          <cell r="C141">
            <v>1213800</v>
          </cell>
        </row>
        <row r="143">
          <cell r="C143">
            <v>485159</v>
          </cell>
        </row>
        <row r="145">
          <cell r="C145">
            <v>882585</v>
          </cell>
        </row>
        <row r="146">
          <cell r="C146">
            <v>7300083.1900000004</v>
          </cell>
        </row>
        <row r="148">
          <cell r="C148">
            <v>33900</v>
          </cell>
        </row>
        <row r="150">
          <cell r="C150">
            <v>1927200</v>
          </cell>
        </row>
        <row r="152">
          <cell r="C152">
            <v>5349907</v>
          </cell>
        </row>
        <row r="153">
          <cell r="C153">
            <v>3927000</v>
          </cell>
        </row>
        <row r="154">
          <cell r="C154">
            <v>800000</v>
          </cell>
        </row>
        <row r="155">
          <cell r="C155">
            <v>4464808</v>
          </cell>
        </row>
        <row r="156">
          <cell r="C156">
            <v>2178708</v>
          </cell>
        </row>
        <row r="157">
          <cell r="C157">
            <v>2519100</v>
          </cell>
        </row>
        <row r="158">
          <cell r="C158">
            <v>253040</v>
          </cell>
        </row>
        <row r="159">
          <cell r="C159">
            <v>342720</v>
          </cell>
        </row>
        <row r="160">
          <cell r="C160">
            <v>22363060</v>
          </cell>
        </row>
        <row r="161">
          <cell r="C161">
            <v>643578</v>
          </cell>
        </row>
        <row r="164">
          <cell r="C164">
            <v>489046.66</v>
          </cell>
        </row>
        <row r="167">
          <cell r="C167">
            <v>1697707.56</v>
          </cell>
        </row>
        <row r="172">
          <cell r="C172">
            <v>6444863.9500000002</v>
          </cell>
        </row>
        <row r="173">
          <cell r="C173">
            <v>84553</v>
          </cell>
        </row>
        <row r="175">
          <cell r="C175">
            <v>88786</v>
          </cell>
        </row>
        <row r="177">
          <cell r="C177">
            <v>67245.78</v>
          </cell>
        </row>
        <row r="180">
          <cell r="C180">
            <v>929031</v>
          </cell>
        </row>
        <row r="182">
          <cell r="C182">
            <v>32.21</v>
          </cell>
        </row>
        <row r="402">
          <cell r="C402">
            <v>95701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3">
          <cell r="E23">
            <v>49000</v>
          </cell>
        </row>
        <row r="28">
          <cell r="E28">
            <v>514.78</v>
          </cell>
        </row>
        <row r="30">
          <cell r="C30">
            <v>606365627.59000003</v>
          </cell>
        </row>
        <row r="54">
          <cell r="C54">
            <v>6758341</v>
          </cell>
        </row>
        <row r="56">
          <cell r="C56">
            <v>10288035</v>
          </cell>
        </row>
        <row r="70">
          <cell r="C70">
            <v>1826000</v>
          </cell>
        </row>
        <row r="73">
          <cell r="C73">
            <v>2896000</v>
          </cell>
        </row>
        <row r="75">
          <cell r="C75">
            <v>2912968</v>
          </cell>
        </row>
        <row r="76">
          <cell r="C76">
            <v>10377680</v>
          </cell>
        </row>
        <row r="81">
          <cell r="C81">
            <v>23996392.41</v>
          </cell>
        </row>
        <row r="84">
          <cell r="C84">
            <v>37439181</v>
          </cell>
        </row>
        <row r="86">
          <cell r="C86">
            <v>10606021</v>
          </cell>
        </row>
        <row r="88">
          <cell r="C88">
            <v>3236110</v>
          </cell>
        </row>
        <row r="90">
          <cell r="C90">
            <v>8139600</v>
          </cell>
        </row>
        <row r="95">
          <cell r="C95">
            <v>8584300</v>
          </cell>
        </row>
        <row r="99">
          <cell r="C99">
            <v>3807000</v>
          </cell>
        </row>
        <row r="103">
          <cell r="C103">
            <v>789106</v>
          </cell>
        </row>
        <row r="104">
          <cell r="C104">
            <v>1261676</v>
          </cell>
        </row>
        <row r="106">
          <cell r="C106">
            <v>735768</v>
          </cell>
        </row>
        <row r="108">
          <cell r="C108">
            <v>2472150</v>
          </cell>
        </row>
        <row r="110">
          <cell r="C110">
            <v>6615902</v>
          </cell>
        </row>
        <row r="111">
          <cell r="C111">
            <v>477584</v>
          </cell>
        </row>
        <row r="113">
          <cell r="C113">
            <v>37400</v>
          </cell>
        </row>
        <row r="117">
          <cell r="C117">
            <v>5741346</v>
          </cell>
        </row>
        <row r="120">
          <cell r="C120">
            <v>7663600</v>
          </cell>
        </row>
        <row r="121">
          <cell r="C121">
            <v>183400</v>
          </cell>
        </row>
        <row r="126">
          <cell r="C126">
            <v>1894710</v>
          </cell>
        </row>
        <row r="128">
          <cell r="C128">
            <v>2062464</v>
          </cell>
        </row>
        <row r="129">
          <cell r="C129">
            <v>370000</v>
          </cell>
        </row>
        <row r="135">
          <cell r="C135">
            <v>1900000</v>
          </cell>
        </row>
        <row r="137">
          <cell r="C137">
            <v>90000</v>
          </cell>
        </row>
        <row r="139">
          <cell r="C139">
            <v>15441534</v>
          </cell>
        </row>
        <row r="143">
          <cell r="C143">
            <v>1273497</v>
          </cell>
        </row>
        <row r="145">
          <cell r="C145">
            <v>679316</v>
          </cell>
        </row>
        <row r="147">
          <cell r="C147">
            <v>2961768.68</v>
          </cell>
        </row>
        <row r="148">
          <cell r="C148">
            <v>9270040.6699999999</v>
          </cell>
        </row>
        <row r="150">
          <cell r="C150">
            <v>27100</v>
          </cell>
        </row>
        <row r="152">
          <cell r="C152">
            <v>2470200</v>
          </cell>
        </row>
        <row r="154">
          <cell r="C154">
            <v>508300</v>
          </cell>
        </row>
        <row r="155">
          <cell r="C155">
            <v>319799</v>
          </cell>
        </row>
        <row r="156">
          <cell r="C156">
            <v>800000</v>
          </cell>
        </row>
        <row r="157">
          <cell r="C157">
            <v>3939537</v>
          </cell>
        </row>
        <row r="159">
          <cell r="C159">
            <v>4623150</v>
          </cell>
        </row>
        <row r="160">
          <cell r="C160">
            <v>10566388</v>
          </cell>
        </row>
        <row r="161">
          <cell r="C161">
            <v>5834000</v>
          </cell>
        </row>
        <row r="162">
          <cell r="C162">
            <v>34962540</v>
          </cell>
        </row>
        <row r="163">
          <cell r="C163">
            <v>643578</v>
          </cell>
        </row>
        <row r="164">
          <cell r="C164">
            <v>1751694</v>
          </cell>
        </row>
        <row r="167">
          <cell r="C167">
            <v>721868.2</v>
          </cell>
        </row>
        <row r="170">
          <cell r="C170">
            <v>2541356.16</v>
          </cell>
        </row>
        <row r="175">
          <cell r="C175">
            <v>2367762.52</v>
          </cell>
        </row>
        <row r="176">
          <cell r="C176">
            <v>3769285</v>
          </cell>
        </row>
        <row r="180">
          <cell r="C180">
            <v>171828</v>
          </cell>
        </row>
        <row r="183">
          <cell r="C183">
            <v>5000000</v>
          </cell>
        </row>
        <row r="186">
          <cell r="C186">
            <v>26.95</v>
          </cell>
        </row>
        <row r="199">
          <cell r="C199">
            <v>5410656.4100000001</v>
          </cell>
        </row>
        <row r="204">
          <cell r="C204">
            <v>64611540</v>
          </cell>
        </row>
        <row r="240">
          <cell r="C240">
            <v>1755335.6</v>
          </cell>
        </row>
        <row r="312">
          <cell r="C312">
            <v>100000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7">
          <cell r="C27">
            <v>1634178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11">
          <cell r="G11">
            <v>318182</v>
          </cell>
        </row>
        <row r="13">
          <cell r="G13">
            <v>3572800</v>
          </cell>
        </row>
        <row r="15">
          <cell r="G15">
            <v>850000</v>
          </cell>
        </row>
        <row r="17">
          <cell r="G17">
            <v>36560000</v>
          </cell>
        </row>
        <row r="22">
          <cell r="G22">
            <v>3084632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  <sheetName val="Hoja 1 (2)"/>
    </sheetNames>
    <sheetDataSet>
      <sheetData sheetId="0">
        <row r="11">
          <cell r="G11">
            <v>404040</v>
          </cell>
        </row>
        <row r="14">
          <cell r="G14">
            <v>3572800</v>
          </cell>
        </row>
        <row r="16">
          <cell r="G16">
            <v>850000</v>
          </cell>
        </row>
        <row r="18">
          <cell r="G18">
            <v>49300000</v>
          </cell>
        </row>
        <row r="23">
          <cell r="G23">
            <v>4014671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15">
          <cell r="C15">
            <v>145591814</v>
          </cell>
        </row>
        <row r="70">
          <cell r="C70">
            <v>394000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17">
          <cell r="C17">
            <v>231151715</v>
          </cell>
        </row>
        <row r="109">
          <cell r="C109">
            <v>394000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3">
          <cell r="F23">
            <v>42350</v>
          </cell>
        </row>
        <row r="133">
          <cell r="D133">
            <v>394000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4">
          <cell r="E24">
            <v>28490</v>
          </cell>
        </row>
        <row r="101">
          <cell r="C101">
            <v>95000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92">
          <cell r="C92">
            <v>959180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89">
          <cell r="C89">
            <v>959180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97">
          <cell r="C97">
            <v>959180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INFO\PRESUPUESTO%20GASTOS%20FINANCIEROS_2021.xlsx" TargetMode="External"/><Relationship Id="rId1" Type="http://schemas.openxmlformats.org/officeDocument/2006/relationships/hyperlink" Target="INFO\PRESUPUESTO%20GASTOS%20FINANCIEROS_2021.xlsx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B9A90-AF2F-4C6B-9B0A-C20493D065E4}">
  <dimension ref="A2:CC234"/>
  <sheetViews>
    <sheetView tabSelected="1" zoomScaleNormal="100" workbookViewId="0">
      <pane xSplit="2" ySplit="5" topLeftCell="C6" activePane="bottomRight" state="frozen"/>
      <selection pane="topRight" activeCell="D1" sqref="D1"/>
      <selection pane="bottomLeft" activeCell="A6" sqref="A6"/>
      <selection pane="bottomRight" activeCell="C6" sqref="C6"/>
    </sheetView>
  </sheetViews>
  <sheetFormatPr baseColWidth="10" defaultColWidth="11.44140625" defaultRowHeight="15" customHeight="1" x14ac:dyDescent="0.2"/>
  <cols>
    <col min="1" max="1" width="50.33203125" style="2" customWidth="1"/>
    <col min="2" max="6" width="15.33203125" style="86" customWidth="1"/>
    <col min="7" max="12" width="15.33203125" style="88" customWidth="1"/>
    <col min="13" max="13" width="16.6640625" style="88" customWidth="1"/>
    <col min="14" max="14" width="17.88671875" style="86" customWidth="1"/>
    <col min="15" max="15" width="6" style="1" customWidth="1"/>
    <col min="16" max="16384" width="11.44140625" style="2"/>
  </cols>
  <sheetData>
    <row r="2" spans="1:15" ht="14.25" customHeight="1" x14ac:dyDescent="0.2">
      <c r="A2" s="95" t="s">
        <v>0</v>
      </c>
      <c r="B2" s="96" t="s">
        <v>1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</row>
    <row r="3" spans="1:15" ht="24" customHeight="1" x14ac:dyDescent="0.2">
      <c r="A3" s="95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</row>
    <row r="4" spans="1:15" s="7" customFormat="1" ht="24.9" customHeight="1" x14ac:dyDescent="0.3">
      <c r="A4" s="3"/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4" t="s">
        <v>14</v>
      </c>
      <c r="O4" s="6"/>
    </row>
    <row r="5" spans="1:15" s="12" customFormat="1" ht="15" customHeight="1" x14ac:dyDescent="0.2">
      <c r="A5" s="8" t="s">
        <v>15</v>
      </c>
      <c r="B5" s="9">
        <f t="shared" ref="B5:L5" si="0">SUM(B6:B12)</f>
        <v>220746114</v>
      </c>
      <c r="C5" s="9">
        <f t="shared" si="0"/>
        <v>261640004</v>
      </c>
      <c r="D5" s="9"/>
      <c r="E5" s="9"/>
      <c r="F5" s="9"/>
      <c r="G5" s="9">
        <f t="shared" si="0"/>
        <v>0</v>
      </c>
      <c r="H5" s="9">
        <f>SUM(H6:H12)</f>
        <v>0</v>
      </c>
      <c r="I5" s="9">
        <f>SUM(I6:I12)</f>
        <v>0</v>
      </c>
      <c r="J5" s="9">
        <f>SUM(J6:J12)</f>
        <v>0</v>
      </c>
      <c r="K5" s="9">
        <f>SUM(K6:K12)</f>
        <v>0</v>
      </c>
      <c r="L5" s="9">
        <f t="shared" si="0"/>
        <v>0</v>
      </c>
      <c r="M5" s="9">
        <f>SUM(M6:M12)</f>
        <v>0</v>
      </c>
      <c r="N5" s="10">
        <f>SUM(N6:N12)</f>
        <v>482386118</v>
      </c>
      <c r="O5" s="11"/>
    </row>
    <row r="6" spans="1:15" ht="12.9" customHeight="1" x14ac:dyDescent="0.2">
      <c r="A6" s="13" t="s">
        <v>16</v>
      </c>
      <c r="B6" s="14">
        <f>'[2]Hoja 1'!$I$9-921014+'[3]Hoja 1'!$I$9+'[4]Hoja 1'!$D$8</f>
        <v>190583037</v>
      </c>
      <c r="C6" s="15">
        <f>'[5]Hoja 1'!$L$8-6457629+'[6]Hoja 1'!$I$9+'[7]Hoja 1'!$D$8+'[8]Hoja 1'!$D$10+'[9]Hoja 1'!$I$9</f>
        <v>222103262</v>
      </c>
      <c r="D6" s="14"/>
      <c r="E6" s="94"/>
      <c r="F6" s="94"/>
      <c r="G6" s="14"/>
      <c r="H6" s="14"/>
      <c r="I6" s="14"/>
      <c r="J6" s="14"/>
      <c r="K6" s="14"/>
      <c r="L6" s="14"/>
      <c r="M6" s="14"/>
      <c r="N6" s="16">
        <f t="shared" ref="N6:N12" si="1">+SUM(B6:M6)</f>
        <v>412686299</v>
      </c>
      <c r="O6" s="17"/>
    </row>
    <row r="7" spans="1:15" ht="12.9" customHeight="1" x14ac:dyDescent="0.2">
      <c r="A7" s="18" t="s">
        <v>17</v>
      </c>
      <c r="B7" s="19">
        <f>'[2]Hoja 1'!$I$12</f>
        <v>19735184</v>
      </c>
      <c r="C7" s="19">
        <f>'[5]Hoja 1'!$L$10</f>
        <v>19090050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20">
        <f t="shared" si="1"/>
        <v>38825234</v>
      </c>
      <c r="O7" s="17"/>
    </row>
    <row r="8" spans="1:15" ht="12.9" customHeight="1" x14ac:dyDescent="0.2">
      <c r="A8" s="18" t="s">
        <v>18</v>
      </c>
      <c r="B8" s="19">
        <f>'[10]Hoja 1'!$C$54-225638</f>
        <v>1661493</v>
      </c>
      <c r="C8" s="19">
        <f>'[11]Hoja 1'!$C$54-59862</f>
        <v>6698479</v>
      </c>
      <c r="D8" s="19"/>
      <c r="E8" s="94"/>
      <c r="F8" s="94"/>
      <c r="G8" s="21"/>
      <c r="H8" s="19"/>
      <c r="I8" s="19"/>
      <c r="J8" s="19"/>
      <c r="K8" s="19"/>
      <c r="L8" s="19"/>
      <c r="M8" s="19"/>
      <c r="N8" s="20">
        <f t="shared" si="1"/>
        <v>8359972</v>
      </c>
      <c r="O8" s="17"/>
    </row>
    <row r="9" spans="1:15" ht="12.9" customHeight="1" x14ac:dyDescent="0.2">
      <c r="A9" s="18" t="s">
        <v>19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20">
        <f t="shared" si="1"/>
        <v>0</v>
      </c>
      <c r="O9" s="17"/>
    </row>
    <row r="10" spans="1:15" ht="12.9" customHeight="1" x14ac:dyDescent="0.2">
      <c r="A10" s="22" t="s">
        <v>20</v>
      </c>
      <c r="B10" s="19">
        <f>'[10]Hoja 1'!$C$56</f>
        <v>8670200</v>
      </c>
      <c r="C10" s="19">
        <f>'[11]Hoja 1'!$C$56</f>
        <v>10288035</v>
      </c>
      <c r="D10" s="19"/>
      <c r="E10" s="19"/>
      <c r="F10" s="19"/>
      <c r="G10" s="19"/>
      <c r="H10" s="19"/>
      <c r="I10" s="19"/>
      <c r="J10" s="19"/>
      <c r="K10" s="19"/>
      <c r="L10" s="21"/>
      <c r="M10" s="19"/>
      <c r="N10" s="20">
        <f t="shared" si="1"/>
        <v>18958235</v>
      </c>
      <c r="O10" s="17"/>
    </row>
    <row r="11" spans="1:15" ht="12.9" customHeight="1" x14ac:dyDescent="0.2">
      <c r="A11" s="18" t="s">
        <v>21</v>
      </c>
      <c r="B11" s="19">
        <f>'[10]Hoja 1'!$C$70</f>
        <v>96200</v>
      </c>
      <c r="C11" s="19">
        <f>'[11]Hoja 1'!$C$70</f>
        <v>1826000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>
        <f t="shared" si="1"/>
        <v>1922200</v>
      </c>
      <c r="O11" s="17"/>
    </row>
    <row r="12" spans="1:15" ht="12.9" customHeight="1" x14ac:dyDescent="0.2">
      <c r="A12" s="18" t="s">
        <v>22</v>
      </c>
      <c r="B12" s="23"/>
      <c r="C12" s="23">
        <f>'[12]Hoja 1'!$C$27</f>
        <v>1634178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0">
        <f t="shared" si="1"/>
        <v>1634178</v>
      </c>
      <c r="O12" s="17"/>
    </row>
    <row r="13" spans="1:15" s="12" customFormat="1" ht="15" customHeight="1" x14ac:dyDescent="0.2">
      <c r="A13" s="8" t="s">
        <v>23</v>
      </c>
      <c r="B13" s="9">
        <f t="shared" ref="B13:N13" si="2">SUM(B14:B18)</f>
        <v>12419448</v>
      </c>
      <c r="C13" s="9">
        <f t="shared" si="2"/>
        <v>19759448</v>
      </c>
      <c r="D13" s="9">
        <f t="shared" si="2"/>
        <v>0</v>
      </c>
      <c r="E13" s="9">
        <f t="shared" si="2"/>
        <v>0</v>
      </c>
      <c r="F13" s="9">
        <f t="shared" si="2"/>
        <v>0</v>
      </c>
      <c r="G13" s="9">
        <f t="shared" si="2"/>
        <v>0</v>
      </c>
      <c r="H13" s="9">
        <f>SUM(H14:H18)</f>
        <v>0</v>
      </c>
      <c r="I13" s="9">
        <f>SUM(I14:I18)</f>
        <v>0</v>
      </c>
      <c r="J13" s="9">
        <f>SUM(J14:J18)</f>
        <v>0</v>
      </c>
      <c r="K13" s="9">
        <f>SUM(K14:K18)</f>
        <v>0</v>
      </c>
      <c r="L13" s="9">
        <f t="shared" si="2"/>
        <v>0</v>
      </c>
      <c r="M13" s="9">
        <f>SUM(M14:M18)</f>
        <v>0</v>
      </c>
      <c r="N13" s="10">
        <f t="shared" si="2"/>
        <v>32178896</v>
      </c>
      <c r="O13" s="24"/>
    </row>
    <row r="14" spans="1:15" s="12" customFormat="1" ht="12.9" customHeight="1" x14ac:dyDescent="0.2">
      <c r="A14" s="18" t="s">
        <v>24</v>
      </c>
      <c r="B14" s="25">
        <f>'[10]Hoja 1'!$C$73</f>
        <v>2896000</v>
      </c>
      <c r="C14" s="25">
        <f>'[11]Hoja 1'!$C$73</f>
        <v>2896000</v>
      </c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16">
        <f>+SUM(B14:M14)</f>
        <v>5792000</v>
      </c>
      <c r="O14" s="17"/>
    </row>
    <row r="15" spans="1:15" s="12" customFormat="1" ht="12.9" customHeight="1" x14ac:dyDescent="0.2">
      <c r="A15" s="18" t="s">
        <v>25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0">
        <f>+SUM(B15:M15)</f>
        <v>0</v>
      </c>
      <c r="O15" s="17"/>
    </row>
    <row r="16" spans="1:15" ht="12.9" customHeight="1" x14ac:dyDescent="0.2">
      <c r="A16" s="18" t="s">
        <v>26</v>
      </c>
      <c r="B16" s="26">
        <f>'[10]Hoja 1'!$C$75+'[13]Hoja 1'!$G$13</f>
        <v>6485768</v>
      </c>
      <c r="C16" s="26">
        <f>'[11]Hoja 1'!$C$75 +'[14]Hoja 1'!$G$14</f>
        <v>6485768</v>
      </c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0">
        <f>+SUM(B16:M16)</f>
        <v>12971536</v>
      </c>
      <c r="O16" s="17"/>
    </row>
    <row r="17" spans="1:15" ht="12.9" customHeight="1" x14ac:dyDescent="0.2">
      <c r="A17" s="18" t="s">
        <v>27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0">
        <f>+SUM(B17:M17)</f>
        <v>0</v>
      </c>
      <c r="O17" s="17"/>
    </row>
    <row r="18" spans="1:15" ht="12.9" customHeight="1" x14ac:dyDescent="0.2">
      <c r="A18" s="18" t="s">
        <v>28</v>
      </c>
      <c r="B18" s="26">
        <f>'[10]Hoja 1'!$C$77</f>
        <v>3037680</v>
      </c>
      <c r="C18" s="26">
        <f>'[11]Hoja 1'!$C$76</f>
        <v>10377680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7">
        <f>+SUM(B18:M18)</f>
        <v>13415360</v>
      </c>
      <c r="O18" s="17"/>
    </row>
    <row r="19" spans="1:15" s="12" customFormat="1" ht="15" customHeight="1" x14ac:dyDescent="0.2">
      <c r="A19" s="8" t="s">
        <v>29</v>
      </c>
      <c r="B19" s="9">
        <f>SUM(B20:B21)</f>
        <v>2676712</v>
      </c>
      <c r="C19" s="9">
        <f t="shared" ref="C19:N19" si="3">SUM(C20:C21)</f>
        <v>0</v>
      </c>
      <c r="D19" s="9">
        <f t="shared" si="3"/>
        <v>0</v>
      </c>
      <c r="E19" s="9">
        <f t="shared" si="3"/>
        <v>0</v>
      </c>
      <c r="F19" s="9">
        <f t="shared" si="3"/>
        <v>0</v>
      </c>
      <c r="G19" s="9">
        <f t="shared" si="3"/>
        <v>0</v>
      </c>
      <c r="H19" s="9">
        <f t="shared" si="3"/>
        <v>0</v>
      </c>
      <c r="I19" s="9">
        <f t="shared" si="3"/>
        <v>0</v>
      </c>
      <c r="J19" s="9">
        <f t="shared" si="3"/>
        <v>0</v>
      </c>
      <c r="K19" s="9">
        <f t="shared" si="3"/>
        <v>0</v>
      </c>
      <c r="L19" s="9">
        <f t="shared" si="3"/>
        <v>0</v>
      </c>
      <c r="M19" s="9">
        <f t="shared" si="3"/>
        <v>0</v>
      </c>
      <c r="N19" s="28">
        <f t="shared" si="3"/>
        <v>2676712</v>
      </c>
      <c r="O19" s="17"/>
    </row>
    <row r="20" spans="1:15" ht="12.9" customHeight="1" x14ac:dyDescent="0.2">
      <c r="A20" s="29" t="s">
        <v>30</v>
      </c>
      <c r="B20" s="30"/>
      <c r="C20" s="31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>
        <f>+SUM(B20:M20)</f>
        <v>0</v>
      </c>
      <c r="O20" s="17"/>
    </row>
    <row r="21" spans="1:15" ht="12.9" customHeight="1" x14ac:dyDescent="0.2">
      <c r="A21" s="33" t="s">
        <v>31</v>
      </c>
      <c r="B21" s="34">
        <v>2676712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>
        <f>+SUM(B21:M21)</f>
        <v>2676712</v>
      </c>
      <c r="O21" s="17"/>
    </row>
    <row r="22" spans="1:15" s="12" customFormat="1" ht="15" customHeight="1" x14ac:dyDescent="0.2">
      <c r="A22" s="35" t="s">
        <v>32</v>
      </c>
      <c r="B22" s="9">
        <f t="shared" ref="B22:N22" si="4">SUM(B23:B27)</f>
        <v>94998312</v>
      </c>
      <c r="C22" s="9">
        <f t="shared" si="4"/>
        <v>109570912</v>
      </c>
      <c r="D22" s="9">
        <f t="shared" si="4"/>
        <v>0</v>
      </c>
      <c r="E22" s="9">
        <f t="shared" si="4"/>
        <v>0</v>
      </c>
      <c r="F22" s="9">
        <f t="shared" si="4"/>
        <v>0</v>
      </c>
      <c r="G22" s="9">
        <f t="shared" si="4"/>
        <v>0</v>
      </c>
      <c r="H22" s="9">
        <f>SUM(H23:H27)</f>
        <v>0</v>
      </c>
      <c r="I22" s="9">
        <f>SUM(I23:I27)</f>
        <v>0</v>
      </c>
      <c r="J22" s="9">
        <f>SUM(J23:J27)</f>
        <v>0</v>
      </c>
      <c r="K22" s="9">
        <f>SUM(K23:K27)</f>
        <v>0</v>
      </c>
      <c r="L22" s="9">
        <f t="shared" si="4"/>
        <v>0</v>
      </c>
      <c r="M22" s="9">
        <f>SUM(M23:M27)</f>
        <v>0</v>
      </c>
      <c r="N22" s="28">
        <f t="shared" si="4"/>
        <v>204569224</v>
      </c>
      <c r="O22" s="24"/>
    </row>
    <row r="23" spans="1:15" s="12" customFormat="1" ht="12.9" customHeight="1" x14ac:dyDescent="0.2">
      <c r="A23" s="18" t="s">
        <v>33</v>
      </c>
      <c r="B23" s="25">
        <f>'[10]Hoja 1'!$C$85+'[13]Hoja 1'!$G$15+'[13]Hoja 1'!$G$17</f>
        <v>82655581</v>
      </c>
      <c r="C23" s="25">
        <f>'[11]Hoja 1'!$C$84+'[14]Hoja 1'!$G$16+'[14]Hoja 1'!$G$18</f>
        <v>87589181</v>
      </c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16">
        <f>+SUM(B23:M23)</f>
        <v>170244762</v>
      </c>
      <c r="O23" s="17"/>
    </row>
    <row r="24" spans="1:15" ht="12.9" customHeight="1" x14ac:dyDescent="0.2">
      <c r="A24" s="18" t="s">
        <v>34</v>
      </c>
      <c r="B24" s="26">
        <f>'[10]Hoja 1'!$C$87</f>
        <v>9106621</v>
      </c>
      <c r="C24" s="26">
        <f>'[11]Hoja 1'!$C$86</f>
        <v>10606021</v>
      </c>
      <c r="D24" s="26"/>
      <c r="E24" s="26"/>
      <c r="F24" s="26"/>
      <c r="G24" s="26"/>
      <c r="H24" s="26"/>
      <c r="I24" s="26"/>
      <c r="J24" s="26"/>
      <c r="K24" s="26"/>
      <c r="L24" s="26"/>
      <c r="M24" s="21"/>
      <c r="N24" s="20">
        <f>+SUM(B24:M24)</f>
        <v>19712642</v>
      </c>
      <c r="O24" s="17"/>
    </row>
    <row r="25" spans="1:15" ht="12.9" customHeight="1" x14ac:dyDescent="0.2">
      <c r="A25" s="18" t="s">
        <v>35</v>
      </c>
      <c r="B25" s="26">
        <f>'[10]Hoja 1'!$C$89</f>
        <v>3236110</v>
      </c>
      <c r="C25" s="26">
        <f>'[11]Hoja 1'!$C$88</f>
        <v>3236110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0">
        <f>+SUM(B25:M25)</f>
        <v>6472220</v>
      </c>
      <c r="O25" s="36"/>
    </row>
    <row r="26" spans="1:15" ht="12.9" customHeight="1" x14ac:dyDescent="0.2">
      <c r="A26" s="18" t="s">
        <v>36</v>
      </c>
      <c r="B26" s="26"/>
      <c r="C26" s="26">
        <f>'[11]Hoja 1'!$C$90</f>
        <v>8139600</v>
      </c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0">
        <f>+SUM(B26:M26)</f>
        <v>8139600</v>
      </c>
      <c r="O26" s="17"/>
    </row>
    <row r="27" spans="1:15" ht="12.9" customHeight="1" x14ac:dyDescent="0.2">
      <c r="A27" s="18" t="s">
        <v>37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7">
        <f>+SUM(B27:M27)</f>
        <v>0</v>
      </c>
      <c r="O27" s="17"/>
    </row>
    <row r="28" spans="1:15" s="12" customFormat="1" ht="15" customHeight="1" x14ac:dyDescent="0.2">
      <c r="A28" s="35" t="s">
        <v>38</v>
      </c>
      <c r="B28" s="9">
        <f t="shared" ref="B28:N28" si="5">SUM(B29:B31)</f>
        <v>0</v>
      </c>
      <c r="C28" s="9">
        <f t="shared" si="5"/>
        <v>8584300</v>
      </c>
      <c r="D28" s="9">
        <f t="shared" si="5"/>
        <v>0</v>
      </c>
      <c r="E28" s="9">
        <f t="shared" si="5"/>
        <v>0</v>
      </c>
      <c r="F28" s="9">
        <f t="shared" si="5"/>
        <v>0</v>
      </c>
      <c r="G28" s="9">
        <f t="shared" si="5"/>
        <v>0</v>
      </c>
      <c r="H28" s="9">
        <f>SUM(H29:H31)</f>
        <v>0</v>
      </c>
      <c r="I28" s="9">
        <f>SUM(I29:I31)</f>
        <v>0</v>
      </c>
      <c r="J28" s="9">
        <f>SUM(J29:J31)</f>
        <v>0</v>
      </c>
      <c r="K28" s="9">
        <f>SUM(K29:K31)</f>
        <v>0</v>
      </c>
      <c r="L28" s="9">
        <f t="shared" si="5"/>
        <v>0</v>
      </c>
      <c r="M28" s="9">
        <f>SUM(M29:M31)</f>
        <v>0</v>
      </c>
      <c r="N28" s="28">
        <f t="shared" si="5"/>
        <v>8584300</v>
      </c>
      <c r="O28" s="17"/>
    </row>
    <row r="29" spans="1:15" ht="12.9" customHeight="1" x14ac:dyDescent="0.2">
      <c r="A29" s="38" t="s">
        <v>39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39">
        <f>+SUM(B29:M29)</f>
        <v>0</v>
      </c>
      <c r="O29" s="17"/>
    </row>
    <row r="30" spans="1:15" ht="12.9" customHeight="1" x14ac:dyDescent="0.2">
      <c r="A30" s="18" t="s">
        <v>40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40">
        <f>+SUM(B30:M30)</f>
        <v>0</v>
      </c>
      <c r="O30" s="17"/>
    </row>
    <row r="31" spans="1:15" ht="12.9" customHeight="1" x14ac:dyDescent="0.2">
      <c r="A31" s="41" t="s">
        <v>41</v>
      </c>
      <c r="B31" s="34"/>
      <c r="C31" s="42">
        <f>'[11]Hoja 1'!$C$95</f>
        <v>8584300</v>
      </c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7">
        <f>+SUM(B31:M31)</f>
        <v>8584300</v>
      </c>
      <c r="O31" s="17"/>
    </row>
    <row r="32" spans="1:15" s="12" customFormat="1" ht="15" customHeight="1" x14ac:dyDescent="0.2">
      <c r="A32" s="8" t="s">
        <v>42</v>
      </c>
      <c r="B32" s="9">
        <f t="shared" ref="B32:N32" si="6">SUM(B33:B45)</f>
        <v>31751199</v>
      </c>
      <c r="C32" s="9">
        <f t="shared" si="6"/>
        <v>29235933</v>
      </c>
      <c r="D32" s="9">
        <f t="shared" si="6"/>
        <v>0</v>
      </c>
      <c r="E32" s="9">
        <f t="shared" si="6"/>
        <v>0</v>
      </c>
      <c r="F32" s="9">
        <f t="shared" si="6"/>
        <v>0</v>
      </c>
      <c r="G32" s="9">
        <f t="shared" si="6"/>
        <v>0</v>
      </c>
      <c r="H32" s="9">
        <f>SUM(H33:H45)</f>
        <v>0</v>
      </c>
      <c r="I32" s="9">
        <f>SUM(I33:I45)</f>
        <v>0</v>
      </c>
      <c r="J32" s="9">
        <f>SUM(J33:J45)</f>
        <v>0</v>
      </c>
      <c r="K32" s="9">
        <f>SUM(K33:K45)</f>
        <v>0</v>
      </c>
      <c r="L32" s="9">
        <f t="shared" si="6"/>
        <v>0</v>
      </c>
      <c r="M32" s="9">
        <f>SUM(M33:M45)</f>
        <v>0</v>
      </c>
      <c r="N32" s="28">
        <f t="shared" si="6"/>
        <v>60987132</v>
      </c>
      <c r="O32" s="17"/>
    </row>
    <row r="33" spans="1:79" s="12" customFormat="1" ht="12.9" customHeight="1" x14ac:dyDescent="0.2">
      <c r="A33" s="18" t="s">
        <v>43</v>
      </c>
      <c r="B33" s="25">
        <f>'[13]Hoja 1'!$G$22</f>
        <v>3084632</v>
      </c>
      <c r="C33" s="25">
        <f>'[14]Hoja 1'!$G$23</f>
        <v>4014671</v>
      </c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16">
        <f t="shared" ref="N33:N45" si="7">+SUM(B33:M33)</f>
        <v>7099303</v>
      </c>
      <c r="O33" s="36"/>
    </row>
    <row r="34" spans="1:79" s="44" customFormat="1" ht="12.9" customHeight="1" x14ac:dyDescent="0.2">
      <c r="A34" s="22" t="s">
        <v>44</v>
      </c>
      <c r="B34" s="26">
        <f>'[10]Hoja 1'!$C$97</f>
        <v>2500000</v>
      </c>
      <c r="C34" s="26">
        <f>'[11]Hoja 1'!$C$99</f>
        <v>3807000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0">
        <f t="shared" si="7"/>
        <v>6307000</v>
      </c>
      <c r="O34" s="43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</row>
    <row r="35" spans="1:79" s="44" customFormat="1" ht="12.9" customHeight="1" x14ac:dyDescent="0.2">
      <c r="A35" s="22" t="s">
        <v>45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45"/>
      <c r="N35" s="20">
        <f t="shared" si="7"/>
        <v>0</v>
      </c>
      <c r="O35" s="43"/>
      <c r="P35" s="12"/>
      <c r="Q35" s="12"/>
      <c r="R35" s="12"/>
      <c r="S35" s="12"/>
      <c r="T35" s="12"/>
      <c r="U35" s="12"/>
      <c r="V35" s="12"/>
      <c r="W35" s="12"/>
      <c r="X35" s="12"/>
    </row>
    <row r="36" spans="1:79" ht="12.9" customHeight="1" x14ac:dyDescent="0.2">
      <c r="A36" s="18" t="s">
        <v>46</v>
      </c>
      <c r="B36" s="26"/>
      <c r="C36" s="26">
        <f>'[11]Hoja 1'!C103</f>
        <v>789106</v>
      </c>
      <c r="D36" s="26"/>
      <c r="E36" s="26"/>
      <c r="F36" s="26"/>
      <c r="G36" s="26"/>
      <c r="H36" s="26"/>
      <c r="I36" s="26"/>
      <c r="J36" s="26"/>
      <c r="K36" s="26"/>
      <c r="L36" s="20"/>
      <c r="M36" s="21"/>
      <c r="N36" s="20">
        <f t="shared" si="7"/>
        <v>789106</v>
      </c>
      <c r="O36" s="17"/>
    </row>
    <row r="37" spans="1:79" ht="12.9" customHeight="1" x14ac:dyDescent="0.2">
      <c r="A37" s="18" t="s">
        <v>47</v>
      </c>
      <c r="B37" s="26">
        <f>'[10]Hoja 1'!$C$99</f>
        <v>1261676</v>
      </c>
      <c r="C37" s="26">
        <f>'[11]Hoja 1'!C104</f>
        <v>1261676</v>
      </c>
      <c r="D37" s="26"/>
      <c r="E37" s="26"/>
      <c r="F37" s="26"/>
      <c r="G37" s="26"/>
      <c r="H37" s="26"/>
      <c r="I37" s="26"/>
      <c r="J37" s="26"/>
      <c r="K37" s="26"/>
      <c r="L37" s="26"/>
      <c r="M37" s="21"/>
      <c r="N37" s="20">
        <f t="shared" si="7"/>
        <v>2523352</v>
      </c>
      <c r="O37" s="17"/>
    </row>
    <row r="38" spans="1:79" ht="12.9" customHeight="1" x14ac:dyDescent="0.2">
      <c r="A38" s="18" t="s">
        <v>48</v>
      </c>
      <c r="B38" s="26">
        <f>'[10]Hoja 1'!$C$101</f>
        <v>1110507</v>
      </c>
      <c r="C38" s="26">
        <f>'[11]Hoja 1'!$C$106</f>
        <v>735768</v>
      </c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0">
        <f t="shared" si="7"/>
        <v>1846275</v>
      </c>
      <c r="O38" s="17"/>
    </row>
    <row r="39" spans="1:79" ht="12.9" customHeight="1" x14ac:dyDescent="0.2">
      <c r="A39" s="22" t="s">
        <v>49</v>
      </c>
      <c r="B39" s="26">
        <f>'[10]Hoja 1'!$C$103</f>
        <v>2061530</v>
      </c>
      <c r="C39" s="26">
        <f>'[11]Hoja 1'!$C$108</f>
        <v>2472150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0">
        <f t="shared" si="7"/>
        <v>4533680</v>
      </c>
      <c r="O39" s="17"/>
    </row>
    <row r="40" spans="1:79" ht="12.9" customHeight="1" x14ac:dyDescent="0.2">
      <c r="A40" s="22" t="s">
        <v>50</v>
      </c>
      <c r="B40" s="26">
        <f>'[10]Hoja 1'!C105</f>
        <v>5133313</v>
      </c>
      <c r="C40" s="26">
        <f>'[11]Hoja 1'!C110-98250</f>
        <v>6517652</v>
      </c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0">
        <f t="shared" si="7"/>
        <v>11650965</v>
      </c>
      <c r="O40" s="17"/>
    </row>
    <row r="41" spans="1:79" ht="12.9" customHeight="1" x14ac:dyDescent="0.2">
      <c r="A41" s="18" t="s">
        <v>51</v>
      </c>
      <c r="B41" s="26">
        <f>'[10]Hoja 1'!C106</f>
        <v>477584</v>
      </c>
      <c r="C41" s="26">
        <f>'[11]Hoja 1'!C111</f>
        <v>477584</v>
      </c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0">
        <f t="shared" si="7"/>
        <v>955168</v>
      </c>
      <c r="O41" s="17"/>
    </row>
    <row r="42" spans="1:79" ht="12.9" customHeight="1" x14ac:dyDescent="0.2">
      <c r="A42" s="18" t="s">
        <v>52</v>
      </c>
      <c r="B42" s="26">
        <f>'[10]Hoja 1'!$C$108</f>
        <v>44800</v>
      </c>
      <c r="C42" s="26">
        <f>'[11]Hoja 1'!$C$113</f>
        <v>37400</v>
      </c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0">
        <f t="shared" si="7"/>
        <v>82200</v>
      </c>
      <c r="O42" s="17"/>
    </row>
    <row r="43" spans="1:79" ht="12.9" customHeight="1" x14ac:dyDescent="0.2">
      <c r="A43" s="22" t="s">
        <v>53</v>
      </c>
      <c r="B43" s="26">
        <f>'[13]Hoja 1'!$G$11</f>
        <v>318182</v>
      </c>
      <c r="C43" s="26">
        <f>'[14]Hoja 1'!$G$11</f>
        <v>404040</v>
      </c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0">
        <f t="shared" si="7"/>
        <v>722222</v>
      </c>
      <c r="O43" s="17"/>
    </row>
    <row r="44" spans="1:79" ht="12.9" customHeight="1" x14ac:dyDescent="0.2">
      <c r="A44" s="22" t="s">
        <v>54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0">
        <f t="shared" si="7"/>
        <v>0</v>
      </c>
      <c r="O44" s="17"/>
    </row>
    <row r="45" spans="1:79" ht="12.9" customHeight="1" x14ac:dyDescent="0.2">
      <c r="A45" s="18" t="s">
        <v>55</v>
      </c>
      <c r="B45" s="34">
        <f>'[10]Hoja 1'!$C$112+'[15]Hoja 1'!$C$70+'[16]Hoja 1'!$C$109+'[17]Hoja 1'!$D$133+'[18]Hoja 1'!$C$101</f>
        <v>15758975</v>
      </c>
      <c r="C45" s="34">
        <f>'[11]Hoja 1'!$C$117+'[11]Hoja 1'!$C$312+'[19]Hoja 1'!$C$92+'[20]Hoja 1'!$C$89+'[21]Hoja 1'!$C$97</f>
        <v>8718886</v>
      </c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20">
        <f t="shared" si="7"/>
        <v>24477861</v>
      </c>
      <c r="O45" s="17"/>
    </row>
    <row r="46" spans="1:79" s="12" customFormat="1" ht="15" customHeight="1" x14ac:dyDescent="0.2">
      <c r="A46" s="35" t="s">
        <v>56</v>
      </c>
      <c r="B46" s="46">
        <f t="shared" ref="B46:N46" si="8">SUM(B47:B51)</f>
        <v>326152</v>
      </c>
      <c r="C46" s="46">
        <f t="shared" si="8"/>
        <v>7847000</v>
      </c>
      <c r="D46" s="46">
        <f t="shared" si="8"/>
        <v>0</v>
      </c>
      <c r="E46" s="46">
        <f t="shared" si="8"/>
        <v>0</v>
      </c>
      <c r="F46" s="46">
        <f t="shared" si="8"/>
        <v>0</v>
      </c>
      <c r="G46" s="46">
        <f t="shared" si="8"/>
        <v>0</v>
      </c>
      <c r="H46" s="46">
        <f>SUM(H47:H51)</f>
        <v>0</v>
      </c>
      <c r="I46" s="46">
        <f>SUM(I47:I51)</f>
        <v>0</v>
      </c>
      <c r="J46" s="46">
        <f>SUM(J47:J51)</f>
        <v>0</v>
      </c>
      <c r="K46" s="46">
        <f>SUM(K47:K51)</f>
        <v>0</v>
      </c>
      <c r="L46" s="46">
        <f t="shared" si="8"/>
        <v>0</v>
      </c>
      <c r="M46" s="46">
        <f>SUM(M47:M51)</f>
        <v>0</v>
      </c>
      <c r="N46" s="46">
        <f t="shared" si="8"/>
        <v>8173152</v>
      </c>
      <c r="O46" s="17"/>
    </row>
    <row r="47" spans="1:79" ht="12.9" customHeight="1" x14ac:dyDescent="0.2">
      <c r="A47" s="38" t="s">
        <v>57</v>
      </c>
      <c r="B47" s="25">
        <f>'[10]Hoja 1'!$C$115</f>
        <v>12852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47">
        <f>+SUM(B47:M47)</f>
        <v>12852</v>
      </c>
      <c r="O47" s="17"/>
    </row>
    <row r="48" spans="1:79" ht="12.9" customHeight="1" x14ac:dyDescent="0.2">
      <c r="A48" s="48" t="s">
        <v>58</v>
      </c>
      <c r="B48" s="26"/>
      <c r="C48" s="26">
        <f>'[11]Hoja 1'!$C$120</f>
        <v>7663600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>
        <f>+SUM(B48:M48)</f>
        <v>7663600</v>
      </c>
      <c r="O48" s="17"/>
    </row>
    <row r="49" spans="1:24" ht="12.9" customHeight="1" x14ac:dyDescent="0.2">
      <c r="A49" s="48" t="s">
        <v>59</v>
      </c>
      <c r="B49" s="26">
        <f>'[10]Hoja 1'!$C$117</f>
        <v>16800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>
        <f>+SUM(B49:M49)</f>
        <v>16800</v>
      </c>
      <c r="O49" s="17"/>
    </row>
    <row r="50" spans="1:24" ht="12.9" customHeight="1" x14ac:dyDescent="0.2">
      <c r="A50" s="18" t="s">
        <v>60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26">
        <f>+SUM(B50:M50)</f>
        <v>0</v>
      </c>
      <c r="O50" s="17"/>
    </row>
    <row r="51" spans="1:24" ht="12.9" customHeight="1" x14ac:dyDescent="0.2">
      <c r="A51" s="33" t="s">
        <v>61</v>
      </c>
      <c r="B51" s="50">
        <f>'[10]Hoja 1'!$C$118</f>
        <v>296500</v>
      </c>
      <c r="C51" s="50">
        <f>'[11]Hoja 1'!$C$121</f>
        <v>183400</v>
      </c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1">
        <f>+SUM(B51:M51)</f>
        <v>479900</v>
      </c>
      <c r="O51" s="17"/>
    </row>
    <row r="52" spans="1:24" s="12" customFormat="1" ht="15" customHeight="1" x14ac:dyDescent="0.2">
      <c r="A52" s="8" t="s">
        <v>62</v>
      </c>
      <c r="B52" s="9">
        <f t="shared" ref="B52:N52" si="9">SUM(B53:B58)</f>
        <v>9015375</v>
      </c>
      <c r="C52" s="9">
        <f t="shared" si="9"/>
        <v>4327174</v>
      </c>
      <c r="D52" s="9">
        <f t="shared" si="9"/>
        <v>0</v>
      </c>
      <c r="E52" s="9">
        <f t="shared" si="9"/>
        <v>0</v>
      </c>
      <c r="F52" s="9">
        <f t="shared" si="9"/>
        <v>0</v>
      </c>
      <c r="G52" s="9">
        <f t="shared" si="9"/>
        <v>0</v>
      </c>
      <c r="H52" s="9">
        <f t="shared" si="9"/>
        <v>0</v>
      </c>
      <c r="I52" s="9">
        <f t="shared" si="9"/>
        <v>0</v>
      </c>
      <c r="J52" s="9">
        <f t="shared" si="9"/>
        <v>0</v>
      </c>
      <c r="K52" s="9">
        <f t="shared" si="9"/>
        <v>0</v>
      </c>
      <c r="L52" s="9">
        <f t="shared" si="9"/>
        <v>0</v>
      </c>
      <c r="M52" s="9">
        <f t="shared" si="9"/>
        <v>0</v>
      </c>
      <c r="N52" s="9">
        <f t="shared" si="9"/>
        <v>13342549</v>
      </c>
      <c r="O52" s="17"/>
    </row>
    <row r="53" spans="1:24" ht="12.9" customHeight="1" x14ac:dyDescent="0.2">
      <c r="A53" s="18" t="s">
        <v>33</v>
      </c>
      <c r="B53" s="25">
        <f>'[10]Hoja 1'!$C$123</f>
        <v>5372255</v>
      </c>
      <c r="C53" s="25">
        <f>'[11]Hoja 1'!$C$126</f>
        <v>1894710</v>
      </c>
      <c r="D53" s="25"/>
      <c r="E53" s="25"/>
      <c r="F53" s="25"/>
      <c r="G53" s="25"/>
      <c r="H53" s="25"/>
      <c r="I53" s="25"/>
      <c r="J53" s="25"/>
      <c r="K53" s="25"/>
      <c r="L53" s="25"/>
      <c r="M53" s="52"/>
      <c r="N53" s="26">
        <f t="shared" ref="N53:N58" si="10">+SUM(B53:M53)</f>
        <v>7266965</v>
      </c>
      <c r="O53" s="17"/>
    </row>
    <row r="54" spans="1:24" ht="12.9" customHeight="1" x14ac:dyDescent="0.2">
      <c r="A54" s="18" t="s">
        <v>34</v>
      </c>
      <c r="B54" s="26"/>
      <c r="C54" s="26">
        <f>'[11]Hoja 1'!$C$128-318000+'[11]Hoja 1'!$C$129</f>
        <v>2114464</v>
      </c>
      <c r="D54" s="26"/>
      <c r="E54" s="26"/>
      <c r="F54" s="26"/>
      <c r="G54" s="26"/>
      <c r="H54" s="26"/>
      <c r="I54" s="26"/>
      <c r="J54" s="26"/>
      <c r="K54" s="26"/>
      <c r="L54" s="26"/>
      <c r="M54" s="21"/>
      <c r="N54" s="26">
        <f t="shared" si="10"/>
        <v>2114464</v>
      </c>
      <c r="O54" s="17"/>
    </row>
    <row r="55" spans="1:24" ht="12.9" customHeight="1" x14ac:dyDescent="0.2">
      <c r="A55" s="18" t="s">
        <v>35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>
        <f t="shared" si="10"/>
        <v>0</v>
      </c>
      <c r="O55" s="17"/>
    </row>
    <row r="56" spans="1:24" ht="12.9" customHeight="1" x14ac:dyDescent="0.2">
      <c r="A56" s="18" t="s">
        <v>63</v>
      </c>
      <c r="B56" s="26">
        <f>'[10]Hoja 1'!$C$158</f>
        <v>253040</v>
      </c>
      <c r="C56" s="26">
        <v>318000</v>
      </c>
      <c r="D56" s="26"/>
      <c r="E56" s="26"/>
      <c r="F56" s="26"/>
      <c r="G56" s="26"/>
      <c r="H56" s="26"/>
      <c r="I56" s="26"/>
      <c r="J56" s="26"/>
      <c r="K56" s="26"/>
      <c r="L56" s="26"/>
      <c r="M56" s="21"/>
      <c r="N56" s="26">
        <f t="shared" si="10"/>
        <v>571040</v>
      </c>
      <c r="O56" s="17"/>
    </row>
    <row r="57" spans="1:24" ht="12.9" customHeight="1" x14ac:dyDescent="0.2">
      <c r="A57" s="18" t="s">
        <v>64</v>
      </c>
      <c r="B57" s="51">
        <f>'[10]Hoja 1'!$C$127</f>
        <v>3115080</v>
      </c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26">
        <f t="shared" si="10"/>
        <v>3115080</v>
      </c>
      <c r="O57" s="53"/>
    </row>
    <row r="58" spans="1:24" ht="12.9" customHeight="1" x14ac:dyDescent="0.2">
      <c r="A58" s="18" t="s">
        <v>65</v>
      </c>
      <c r="B58" s="34">
        <f>'[10]Hoja 1'!$C$125</f>
        <v>275000</v>
      </c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26">
        <f t="shared" si="10"/>
        <v>275000</v>
      </c>
      <c r="O58" s="17"/>
    </row>
    <row r="59" spans="1:24" ht="15" customHeight="1" x14ac:dyDescent="0.2">
      <c r="A59" s="54" t="s">
        <v>66</v>
      </c>
      <c r="B59" s="55">
        <f t="shared" ref="B59:N59" si="11">SUM(B60:B61)</f>
        <v>0</v>
      </c>
      <c r="C59" s="55">
        <f t="shared" si="11"/>
        <v>0</v>
      </c>
      <c r="D59" s="55">
        <f t="shared" si="11"/>
        <v>0</v>
      </c>
      <c r="E59" s="55">
        <f t="shared" si="11"/>
        <v>0</v>
      </c>
      <c r="F59" s="55">
        <f t="shared" si="11"/>
        <v>0</v>
      </c>
      <c r="G59" s="55">
        <f t="shared" si="11"/>
        <v>0</v>
      </c>
      <c r="H59" s="55">
        <f>SUM(H60:H61)</f>
        <v>0</v>
      </c>
      <c r="I59" s="55">
        <f>SUM(I60:I61)</f>
        <v>0</v>
      </c>
      <c r="J59" s="55">
        <f>SUM(J60:J61)</f>
        <v>0</v>
      </c>
      <c r="K59" s="55">
        <f>SUM(K60:K61)</f>
        <v>0</v>
      </c>
      <c r="L59" s="55">
        <f t="shared" si="11"/>
        <v>0</v>
      </c>
      <c r="M59" s="55">
        <f>SUM(M60:M61)</f>
        <v>0</v>
      </c>
      <c r="N59" s="55">
        <f t="shared" si="11"/>
        <v>0</v>
      </c>
      <c r="O59" s="17"/>
    </row>
    <row r="60" spans="1:24" s="57" customFormat="1" ht="12.9" customHeight="1" x14ac:dyDescent="0.2">
      <c r="A60" s="56" t="s">
        <v>67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26">
        <f>+SUM(B60:M60)</f>
        <v>0</v>
      </c>
      <c r="O60" s="43"/>
      <c r="P60" s="2"/>
      <c r="Q60" s="2"/>
      <c r="R60" s="2"/>
      <c r="S60" s="2"/>
      <c r="T60" s="2"/>
      <c r="U60" s="2"/>
      <c r="V60" s="2"/>
      <c r="W60" s="2"/>
      <c r="X60" s="2"/>
    </row>
    <row r="61" spans="1:24" s="57" customFormat="1" ht="12.9" customHeight="1" x14ac:dyDescent="0.2">
      <c r="A61" s="58" t="s">
        <v>68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6">
        <f>+SUM(B61:M61)</f>
        <v>0</v>
      </c>
      <c r="O61" s="43"/>
      <c r="P61" s="2"/>
      <c r="Q61" s="2"/>
      <c r="R61" s="2"/>
      <c r="S61" s="2"/>
      <c r="T61" s="2"/>
      <c r="U61" s="2"/>
      <c r="V61" s="2"/>
      <c r="W61" s="2"/>
      <c r="X61" s="2"/>
    </row>
    <row r="62" spans="1:24" s="12" customFormat="1" ht="15" customHeight="1" x14ac:dyDescent="0.2">
      <c r="A62" s="35" t="s">
        <v>69</v>
      </c>
      <c r="B62" s="9">
        <f t="shared" ref="B62:N62" si="12">SUM(B63:B65)</f>
        <v>0</v>
      </c>
      <c r="C62" s="9">
        <f t="shared" si="12"/>
        <v>0</v>
      </c>
      <c r="D62" s="9">
        <f t="shared" si="12"/>
        <v>0</v>
      </c>
      <c r="E62" s="9">
        <f t="shared" si="12"/>
        <v>0</v>
      </c>
      <c r="F62" s="9">
        <f t="shared" si="12"/>
        <v>0</v>
      </c>
      <c r="G62" s="9">
        <f t="shared" si="12"/>
        <v>0</v>
      </c>
      <c r="H62" s="9">
        <f>SUM(H63:H65)</f>
        <v>0</v>
      </c>
      <c r="I62" s="9">
        <f>SUM(I63:I65)</f>
        <v>0</v>
      </c>
      <c r="J62" s="9">
        <f>SUM(J63:J65)</f>
        <v>0</v>
      </c>
      <c r="K62" s="9">
        <f>SUM(K63:K65)</f>
        <v>0</v>
      </c>
      <c r="L62" s="9">
        <f t="shared" si="12"/>
        <v>0</v>
      </c>
      <c r="M62" s="9">
        <f>SUM(M63:M65)</f>
        <v>0</v>
      </c>
      <c r="N62" s="9">
        <f t="shared" si="12"/>
        <v>0</v>
      </c>
      <c r="O62" s="17"/>
    </row>
    <row r="63" spans="1:24" ht="12.9" customHeight="1" x14ac:dyDescent="0.2">
      <c r="A63" s="38" t="s">
        <v>70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16">
        <f>+SUM(B63:M63)</f>
        <v>0</v>
      </c>
      <c r="O63" s="17"/>
    </row>
    <row r="64" spans="1:24" ht="12.9" customHeight="1" x14ac:dyDescent="0.2">
      <c r="A64" s="48" t="s">
        <v>71</v>
      </c>
      <c r="B64" s="26"/>
      <c r="C64" s="26"/>
      <c r="D64" s="59"/>
      <c r="E64" s="26"/>
      <c r="F64" s="26"/>
      <c r="G64" s="26"/>
      <c r="H64" s="26"/>
      <c r="I64" s="26"/>
      <c r="J64" s="26"/>
      <c r="K64" s="26"/>
      <c r="L64" s="26"/>
      <c r="M64" s="26"/>
      <c r="N64" s="20">
        <f>+SUM(B64:M64)</f>
        <v>0</v>
      </c>
      <c r="O64" s="17"/>
    </row>
    <row r="65" spans="1:81" ht="12.9" customHeight="1" x14ac:dyDescent="0.2">
      <c r="A65" s="41" t="s">
        <v>72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27"/>
      <c r="M65" s="27"/>
      <c r="N65" s="27">
        <f>+SUM(B65:M65)</f>
        <v>0</v>
      </c>
      <c r="O65" s="17"/>
    </row>
    <row r="66" spans="1:81" s="12" customFormat="1" ht="15" customHeight="1" x14ac:dyDescent="0.2">
      <c r="A66" s="60" t="s">
        <v>73</v>
      </c>
      <c r="B66" s="9">
        <f>SUM(B67:B88)</f>
        <v>57576577.850000001</v>
      </c>
      <c r="C66" s="9">
        <f>SUM(C67:C88)</f>
        <v>89979284.680000007</v>
      </c>
      <c r="D66" s="9">
        <f>SUM(D67:D88)</f>
        <v>0</v>
      </c>
      <c r="E66" s="9">
        <f t="shared" ref="E66:M66" si="13">SUM(E67:E88)</f>
        <v>0</v>
      </c>
      <c r="F66" s="9">
        <f t="shared" si="13"/>
        <v>0</v>
      </c>
      <c r="G66" s="9">
        <f t="shared" si="13"/>
        <v>0</v>
      </c>
      <c r="H66" s="9">
        <f t="shared" si="13"/>
        <v>0</v>
      </c>
      <c r="I66" s="9">
        <f>SUM(I67:I88)</f>
        <v>0</v>
      </c>
      <c r="J66" s="9">
        <f t="shared" si="13"/>
        <v>0</v>
      </c>
      <c r="K66" s="9">
        <f t="shared" si="13"/>
        <v>0</v>
      </c>
      <c r="L66" s="9">
        <f t="shared" si="13"/>
        <v>0</v>
      </c>
      <c r="M66" s="9">
        <f t="shared" si="13"/>
        <v>0</v>
      </c>
      <c r="N66" s="9">
        <f>SUM(N67:N88)</f>
        <v>147555862.53</v>
      </c>
      <c r="O66" s="17"/>
    </row>
    <row r="67" spans="1:81" s="12" customFormat="1" ht="12.9" customHeight="1" x14ac:dyDescent="0.2">
      <c r="A67" s="38" t="s">
        <v>74</v>
      </c>
      <c r="B67" s="25">
        <f>'[10]Hoja 1'!$C$133</f>
        <v>5120451</v>
      </c>
      <c r="C67" s="25">
        <f>'[11]Hoja 1'!$C$135</f>
        <v>1900000</v>
      </c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6">
        <f t="shared" ref="N67:N89" si="14">+SUM(B67:M67)</f>
        <v>7020451</v>
      </c>
      <c r="O67" s="17"/>
    </row>
    <row r="68" spans="1:81" s="12" customFormat="1" ht="12.9" customHeight="1" x14ac:dyDescent="0.2">
      <c r="A68" s="48" t="s">
        <v>75</v>
      </c>
      <c r="B68" s="26"/>
      <c r="C68" s="26"/>
      <c r="D68" s="26"/>
      <c r="E68" s="26"/>
      <c r="F68" s="61"/>
      <c r="G68" s="26"/>
      <c r="H68" s="26"/>
      <c r="I68" s="26"/>
      <c r="J68" s="26"/>
      <c r="K68" s="26"/>
      <c r="L68" s="26"/>
      <c r="M68" s="26"/>
      <c r="N68" s="26">
        <f t="shared" si="14"/>
        <v>0</v>
      </c>
      <c r="O68" s="17"/>
    </row>
    <row r="69" spans="1:81" ht="12.9" customHeight="1" x14ac:dyDescent="0.2">
      <c r="A69" s="48" t="s">
        <v>76</v>
      </c>
      <c r="B69" s="19">
        <f>'[10]Hoja 1'!$C$135</f>
        <v>3232020.85</v>
      </c>
      <c r="C69" s="19">
        <f>'[11]Hoja 1'!$C$137</f>
        <v>90000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26">
        <f t="shared" si="14"/>
        <v>3322020.85</v>
      </c>
      <c r="O69" s="53"/>
    </row>
    <row r="70" spans="1:81" s="57" customFormat="1" ht="12.9" customHeight="1" x14ac:dyDescent="0.2">
      <c r="A70" s="48" t="s">
        <v>77</v>
      </c>
      <c r="B70" s="19">
        <f>'[10]Hoja 1'!$C$137+'[10]Hoja 1'!$C$402</f>
        <v>1128406</v>
      </c>
      <c r="C70" s="19">
        <f>'[11]Hoja 1'!$C$139</f>
        <v>15441534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26">
        <f t="shared" si="14"/>
        <v>16569940</v>
      </c>
      <c r="O70" s="17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</row>
    <row r="71" spans="1:81" s="57" customFormat="1" ht="12.9" customHeight="1" x14ac:dyDescent="0.2">
      <c r="A71" s="48" t="s">
        <v>78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26">
        <f t="shared" si="14"/>
        <v>0</v>
      </c>
      <c r="O71" s="17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</row>
    <row r="72" spans="1:81" ht="12.9" customHeight="1" x14ac:dyDescent="0.2">
      <c r="A72" s="48" t="s">
        <v>79</v>
      </c>
      <c r="B72" s="19">
        <v>964175</v>
      </c>
      <c r="C72" s="19">
        <v>1186883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26">
        <f t="shared" si="14"/>
        <v>2151058</v>
      </c>
      <c r="O72" s="17"/>
    </row>
    <row r="73" spans="1:81" ht="12.9" customHeight="1" x14ac:dyDescent="0.2">
      <c r="A73" s="48" t="s">
        <v>80</v>
      </c>
      <c r="B73" s="19">
        <f>'[10]Hoja 1'!$C$141</f>
        <v>1213800</v>
      </c>
      <c r="C73" s="19">
        <f>'[11]Hoja 1'!$C$143</f>
        <v>1273497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26">
        <f t="shared" si="14"/>
        <v>2487297</v>
      </c>
      <c r="O73" s="17"/>
    </row>
    <row r="74" spans="1:81" ht="12.9" customHeight="1" x14ac:dyDescent="0.2">
      <c r="A74" s="48" t="s">
        <v>81</v>
      </c>
      <c r="B74" s="19">
        <f>'[10]Hoja 1'!$C$143</f>
        <v>485159</v>
      </c>
      <c r="C74" s="19">
        <f>'[11]Hoja 1'!$C$145</f>
        <v>679316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26">
        <f t="shared" si="14"/>
        <v>1164475</v>
      </c>
      <c r="O74" s="17"/>
    </row>
    <row r="75" spans="1:81" ht="12.9" customHeight="1" x14ac:dyDescent="0.2">
      <c r="A75" s="48" t="s">
        <v>82</v>
      </c>
      <c r="B75" s="19">
        <f>'[10]Hoja 1'!$C$145</f>
        <v>882585</v>
      </c>
      <c r="C75" s="19">
        <f>'[11]Hoja 1'!$C$147</f>
        <v>2961768.68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26">
        <f t="shared" si="14"/>
        <v>3844353.68</v>
      </c>
      <c r="O75" s="17"/>
    </row>
    <row r="76" spans="1:81" ht="12.9" customHeight="1" x14ac:dyDescent="0.2">
      <c r="A76" s="48" t="s">
        <v>83</v>
      </c>
      <c r="B76" s="19">
        <f>'[10]Hoja 1'!$C$148</f>
        <v>33900</v>
      </c>
      <c r="C76" s="19">
        <f>'[11]Hoja 1'!$C$150</f>
        <v>27100</v>
      </c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26">
        <f t="shared" si="14"/>
        <v>61000</v>
      </c>
      <c r="O76" s="17"/>
    </row>
    <row r="77" spans="1:81" ht="12.9" customHeight="1" x14ac:dyDescent="0.2">
      <c r="A77" s="48" t="s">
        <v>84</v>
      </c>
      <c r="B77" s="19">
        <f>'[10]Hoja 1'!$C$150</f>
        <v>1927200</v>
      </c>
      <c r="C77" s="19">
        <f>'[11]Hoja 1'!$C$152</f>
        <v>2470200</v>
      </c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26">
        <f t="shared" si="14"/>
        <v>4397400</v>
      </c>
      <c r="O77" s="17"/>
    </row>
    <row r="78" spans="1:81" s="57" customFormat="1" ht="12.9" customHeight="1" x14ac:dyDescent="0.2">
      <c r="A78" s="62" t="s">
        <v>85</v>
      </c>
      <c r="B78" s="63">
        <f>'[10]Hoja 1'!$C$152</f>
        <v>5349907</v>
      </c>
      <c r="C78" s="26">
        <f>'[11]Hoja 1'!$C$154</f>
        <v>508300</v>
      </c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>
        <f t="shared" si="14"/>
        <v>5858207</v>
      </c>
      <c r="O78" s="17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</row>
    <row r="79" spans="1:81" ht="13.5" customHeight="1" x14ac:dyDescent="0.2">
      <c r="A79" s="62" t="s">
        <v>86</v>
      </c>
      <c r="B79" s="26">
        <f>'[10]Hoja 1'!$C$153</f>
        <v>3927000</v>
      </c>
      <c r="C79" s="26">
        <f>'[11]Hoja 1'!$C$155</f>
        <v>319799</v>
      </c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>
        <f t="shared" si="14"/>
        <v>4246799</v>
      </c>
      <c r="O79" s="17"/>
    </row>
    <row r="80" spans="1:81" ht="12.9" customHeight="1" x14ac:dyDescent="0.2">
      <c r="A80" s="48" t="s">
        <v>87</v>
      </c>
      <c r="B80" s="26">
        <f>'[10]Hoja 1'!$C$154</f>
        <v>800000</v>
      </c>
      <c r="C80" s="26">
        <f>'[11]Hoja 1'!$C$156</f>
        <v>800000</v>
      </c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>
        <f t="shared" si="14"/>
        <v>1600000</v>
      </c>
      <c r="O80" s="17"/>
    </row>
    <row r="81" spans="1:79" ht="12.9" customHeight="1" x14ac:dyDescent="0.2">
      <c r="A81" s="48" t="s">
        <v>88</v>
      </c>
      <c r="B81" s="26">
        <f>'[10]Hoja 1'!$C$156</f>
        <v>2178708</v>
      </c>
      <c r="C81" s="26">
        <f>'[11]Hoja 1'!$C$159</f>
        <v>4623150</v>
      </c>
      <c r="D81" s="26"/>
      <c r="E81" s="26"/>
      <c r="F81" s="26"/>
      <c r="G81" s="26"/>
      <c r="H81" s="26"/>
      <c r="I81" s="26"/>
      <c r="J81" s="26"/>
      <c r="K81" s="26"/>
      <c r="L81" s="26"/>
      <c r="M81" s="64"/>
      <c r="N81" s="26">
        <f t="shared" si="14"/>
        <v>6801858</v>
      </c>
      <c r="O81" s="17"/>
    </row>
    <row r="82" spans="1:79" s="57" customFormat="1" ht="12.9" customHeight="1" x14ac:dyDescent="0.2">
      <c r="A82" s="62" t="s">
        <v>89</v>
      </c>
      <c r="B82" s="26">
        <f>'[10]Hoja 1'!$C$157</f>
        <v>2519100</v>
      </c>
      <c r="C82" s="26">
        <f>'[11]Hoja 1'!$C$160</f>
        <v>10566388</v>
      </c>
      <c r="D82" s="26"/>
      <c r="E82" s="26"/>
      <c r="F82" s="26"/>
      <c r="G82" s="26"/>
      <c r="H82" s="26"/>
      <c r="I82" s="26"/>
      <c r="J82" s="26"/>
      <c r="K82" s="26"/>
      <c r="L82" s="65"/>
      <c r="M82" s="66"/>
      <c r="N82" s="26">
        <f>+SUM(B82:M82)</f>
        <v>13085488</v>
      </c>
      <c r="O82" s="43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</row>
    <row r="83" spans="1:79" ht="12.9" customHeight="1" x14ac:dyDescent="0.2">
      <c r="A83" s="48" t="s">
        <v>90</v>
      </c>
      <c r="B83" s="67">
        <f>'[10]Hoja 1'!$C$159</f>
        <v>342720</v>
      </c>
      <c r="C83" s="67">
        <f>'[11]Hoja 1'!$C$161</f>
        <v>5834000</v>
      </c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26">
        <f>+SUM(B83:M83)</f>
        <v>6176720</v>
      </c>
      <c r="O83" s="17"/>
    </row>
    <row r="84" spans="1:79" ht="12.9" customHeight="1" x14ac:dyDescent="0.2">
      <c r="A84" s="48" t="s">
        <v>91</v>
      </c>
      <c r="B84" s="26">
        <f>'[10]Hoja 1'!$C$160</f>
        <v>22363060</v>
      </c>
      <c r="C84" s="26">
        <f>'[11]Hoja 1'!$C$162</f>
        <v>34962540</v>
      </c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>
        <f>+SUM(B84:M84)</f>
        <v>57325600</v>
      </c>
      <c r="O84" s="17"/>
    </row>
    <row r="85" spans="1:79" ht="12.9" customHeight="1" x14ac:dyDescent="0.2">
      <c r="A85" s="48" t="s">
        <v>92</v>
      </c>
      <c r="B85" s="19">
        <f>'[10]Hoja 1'!$C$155</f>
        <v>4464808</v>
      </c>
      <c r="C85" s="19">
        <f>'[11]Hoja 1'!$C$157</f>
        <v>3939537</v>
      </c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26">
        <f>+SUM(B85:M85)</f>
        <v>8404345</v>
      </c>
      <c r="O85" s="17"/>
    </row>
    <row r="86" spans="1:79" ht="12.9" customHeight="1" x14ac:dyDescent="0.2">
      <c r="A86" s="68" t="s">
        <v>93</v>
      </c>
      <c r="B86" s="63"/>
      <c r="C86" s="63"/>
      <c r="D86" s="63"/>
      <c r="E86" s="63"/>
      <c r="F86" s="63"/>
      <c r="G86" s="63"/>
      <c r="H86" s="63"/>
      <c r="I86" s="66"/>
      <c r="J86" s="63"/>
      <c r="K86" s="63"/>
      <c r="L86" s="63"/>
      <c r="M86" s="63"/>
      <c r="N86" s="65">
        <f t="shared" si="14"/>
        <v>0</v>
      </c>
      <c r="O86" s="17"/>
    </row>
    <row r="87" spans="1:79" ht="12.9" customHeight="1" x14ac:dyDescent="0.2">
      <c r="A87" s="68" t="s">
        <v>94</v>
      </c>
      <c r="B87" s="63"/>
      <c r="C87" s="63">
        <f>'[11]Hoja 1'!$C$164</f>
        <v>1751694</v>
      </c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5">
        <f t="shared" si="14"/>
        <v>1751694</v>
      </c>
      <c r="O87" s="17"/>
    </row>
    <row r="88" spans="1:79" ht="12.9" customHeight="1" x14ac:dyDescent="0.2">
      <c r="A88" s="58" t="s">
        <v>95</v>
      </c>
      <c r="B88" s="23">
        <f>'[10]Hoja 1'!$C$161</f>
        <v>643578</v>
      </c>
      <c r="C88" s="23">
        <f>'[11]Hoja 1'!$C$163</f>
        <v>643578</v>
      </c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34">
        <f t="shared" si="14"/>
        <v>1287156</v>
      </c>
      <c r="O88" s="36"/>
    </row>
    <row r="89" spans="1:79" ht="12.9" customHeight="1" x14ac:dyDescent="0.2">
      <c r="A89" s="60" t="s">
        <v>96</v>
      </c>
      <c r="B89" s="9">
        <f>[1]CASINO!$C$144</f>
        <v>26472126.799999997</v>
      </c>
      <c r="C89" s="9">
        <f>[1]CASINO!$F$144</f>
        <v>29999600.399999999</v>
      </c>
      <c r="D89" s="69"/>
      <c r="E89" s="69"/>
      <c r="F89" s="69"/>
      <c r="G89" s="69"/>
      <c r="H89" s="69"/>
      <c r="I89" s="69"/>
      <c r="J89" s="69"/>
      <c r="K89" s="69"/>
      <c r="L89" s="69"/>
      <c r="M89" s="70"/>
      <c r="N89" s="34">
        <f t="shared" si="14"/>
        <v>56471727.199999996</v>
      </c>
      <c r="O89" s="17"/>
    </row>
    <row r="90" spans="1:79" ht="12.9" customHeight="1" x14ac:dyDescent="0.2">
      <c r="A90" s="35" t="s">
        <v>97</v>
      </c>
      <c r="B90" s="9">
        <f>SUM(B91:B95)</f>
        <v>8229146.4000000004</v>
      </c>
      <c r="C90" s="9">
        <f t="shared" ref="C90:L90" si="15">SUM(C91:C95)</f>
        <v>14270067.619999999</v>
      </c>
      <c r="D90" s="9">
        <f t="shared" si="15"/>
        <v>0</v>
      </c>
      <c r="E90" s="9">
        <f t="shared" si="15"/>
        <v>0</v>
      </c>
      <c r="F90" s="9">
        <f t="shared" si="15"/>
        <v>0</v>
      </c>
      <c r="G90" s="9">
        <f t="shared" si="15"/>
        <v>0</v>
      </c>
      <c r="H90" s="9">
        <f>SUM(H91:H95)</f>
        <v>0</v>
      </c>
      <c r="I90" s="9">
        <f>SUM(I91:I95)</f>
        <v>0</v>
      </c>
      <c r="J90" s="9">
        <f>SUM(J91:J95)</f>
        <v>0</v>
      </c>
      <c r="K90" s="9">
        <f>SUM(K91:K95)</f>
        <v>0</v>
      </c>
      <c r="L90" s="9">
        <f t="shared" si="15"/>
        <v>0</v>
      </c>
      <c r="M90" s="9">
        <f>SUM(M91:M95)</f>
        <v>0</v>
      </c>
      <c r="N90" s="9">
        <f>SUM(N91:N95)</f>
        <v>22499214.02</v>
      </c>
      <c r="O90" s="17"/>
    </row>
    <row r="91" spans="1:79" s="57" customFormat="1" ht="12.9" customHeight="1" x14ac:dyDescent="0.2">
      <c r="A91" s="71" t="s">
        <v>98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16">
        <f>+SUM(B91:M91)</f>
        <v>0</v>
      </c>
      <c r="O91" s="43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</row>
    <row r="92" spans="1:79" s="57" customFormat="1" ht="12.9" customHeight="1" x14ac:dyDescent="0.2">
      <c r="A92" s="62" t="s">
        <v>99</v>
      </c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0">
        <f>+SUM(B92:M92)</f>
        <v>0</v>
      </c>
      <c r="O92" s="43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</row>
    <row r="93" spans="1:79" ht="12.9" customHeight="1" x14ac:dyDescent="0.2">
      <c r="A93" s="62" t="s">
        <v>100</v>
      </c>
      <c r="B93" s="26">
        <f>'[10]Hoja 1'!$C$180</f>
        <v>929031</v>
      </c>
      <c r="C93" s="26">
        <f>'[11]Hoja 1'!$C$183</f>
        <v>5000000</v>
      </c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>
        <f>+SUM(B93:M93)</f>
        <v>5929031</v>
      </c>
      <c r="O93" s="17"/>
    </row>
    <row r="94" spans="1:79" ht="12.9" customHeight="1" x14ac:dyDescent="0.2">
      <c r="A94" s="48" t="s">
        <v>101</v>
      </c>
      <c r="B94" s="26">
        <f>'[10]Hoja 1'!$C$146</f>
        <v>7300083.1900000004</v>
      </c>
      <c r="C94" s="26">
        <f>'[11]Hoja 1'!$C$148</f>
        <v>9270040.6699999999</v>
      </c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72">
        <f>+SUM(B94:M94)</f>
        <v>16570123.859999999</v>
      </c>
      <c r="O94" s="17"/>
    </row>
    <row r="95" spans="1:79" ht="12.9" customHeight="1" x14ac:dyDescent="0.2">
      <c r="A95" s="41" t="s">
        <v>102</v>
      </c>
      <c r="B95" s="34">
        <f>'[10]Hoja 1'!$C$182</f>
        <v>32.21</v>
      </c>
      <c r="C95" s="34">
        <f>'[11]Hoja 1'!$C$186</f>
        <v>26.95</v>
      </c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27">
        <f>+SUM(B95:M95)</f>
        <v>59.16</v>
      </c>
      <c r="O95" s="17"/>
    </row>
    <row r="96" spans="1:79" ht="15" customHeight="1" x14ac:dyDescent="0.2">
      <c r="A96" s="73" t="s">
        <v>103</v>
      </c>
      <c r="B96" s="74">
        <f>B5+B13+B19+B22+B28+B32+B46+B52+B59+B62+B66+B89+B90</f>
        <v>464211163.05000001</v>
      </c>
      <c r="C96" s="74">
        <f t="shared" ref="C96:N96" si="16">C5+C13+C19+C22+C28+C32+C46+C52+C59+C62+C66+C89+C90</f>
        <v>575213723.70000005</v>
      </c>
      <c r="D96" s="74">
        <f t="shared" si="16"/>
        <v>0</v>
      </c>
      <c r="E96" s="74">
        <f t="shared" si="16"/>
        <v>0</v>
      </c>
      <c r="F96" s="74">
        <f t="shared" si="16"/>
        <v>0</v>
      </c>
      <c r="G96" s="74">
        <f t="shared" si="16"/>
        <v>0</v>
      </c>
      <c r="H96" s="74">
        <f t="shared" si="16"/>
        <v>0</v>
      </c>
      <c r="I96" s="74">
        <f t="shared" si="16"/>
        <v>0</v>
      </c>
      <c r="J96" s="74">
        <f t="shared" si="16"/>
        <v>0</v>
      </c>
      <c r="K96" s="74">
        <f t="shared" si="16"/>
        <v>0</v>
      </c>
      <c r="L96" s="74">
        <f t="shared" si="16"/>
        <v>0</v>
      </c>
      <c r="M96" s="74">
        <f t="shared" si="16"/>
        <v>0</v>
      </c>
      <c r="N96" s="74">
        <f t="shared" si="16"/>
        <v>1039424886.75</v>
      </c>
      <c r="O96" s="17"/>
    </row>
    <row r="97" spans="1:15" ht="15" customHeight="1" x14ac:dyDescent="0.2">
      <c r="A97" s="75"/>
      <c r="B97" s="76"/>
      <c r="C97" s="76"/>
      <c r="D97" s="76"/>
      <c r="E97" s="77"/>
      <c r="F97" s="76"/>
      <c r="G97" s="76"/>
      <c r="H97" s="76"/>
      <c r="I97" s="76"/>
      <c r="J97" s="76"/>
      <c r="K97" s="76"/>
      <c r="L97" s="76"/>
      <c r="M97" s="76"/>
      <c r="N97" s="76"/>
      <c r="O97" s="17"/>
    </row>
    <row r="98" spans="1:15" s="12" customFormat="1" ht="15" customHeight="1" x14ac:dyDescent="0.2">
      <c r="A98" s="78" t="s">
        <v>104</v>
      </c>
      <c r="B98" s="79">
        <f t="shared" ref="B98:N98" si="17">SUM(B99:B107)</f>
        <v>19158553.5</v>
      </c>
      <c r="C98" s="79">
        <f t="shared" si="17"/>
        <v>33568492.289999999</v>
      </c>
      <c r="D98" s="79">
        <f t="shared" si="17"/>
        <v>0</v>
      </c>
      <c r="E98" s="79">
        <f t="shared" si="17"/>
        <v>0</v>
      </c>
      <c r="F98" s="79">
        <f t="shared" si="17"/>
        <v>0</v>
      </c>
      <c r="G98" s="79">
        <f>SUM(G99:G107)</f>
        <v>0</v>
      </c>
      <c r="H98" s="79">
        <f>SUM(H99:H107)</f>
        <v>0</v>
      </c>
      <c r="I98" s="79">
        <f>SUM(I99:I107)</f>
        <v>0</v>
      </c>
      <c r="J98" s="79">
        <f>SUM(J99:J107)</f>
        <v>0</v>
      </c>
      <c r="K98" s="79">
        <f>SUM(K99:K107)</f>
        <v>0</v>
      </c>
      <c r="L98" s="79">
        <f t="shared" si="17"/>
        <v>0</v>
      </c>
      <c r="M98" s="79">
        <f>SUM(M99:M107)</f>
        <v>0</v>
      </c>
      <c r="N98" s="79">
        <f t="shared" si="17"/>
        <v>52727045.790000007</v>
      </c>
      <c r="O98" s="17"/>
    </row>
    <row r="99" spans="1:15" ht="12.9" customHeight="1" x14ac:dyDescent="0.2">
      <c r="A99" s="71" t="s">
        <v>105</v>
      </c>
      <c r="B99" s="14">
        <f>'[10]Hoja 1'!$C$164</f>
        <v>489046.66</v>
      </c>
      <c r="C99" s="14">
        <f>'[11]Hoja 1'!$C$167</f>
        <v>721868.2</v>
      </c>
      <c r="D99" s="14"/>
      <c r="E99" s="25"/>
      <c r="F99" s="25"/>
      <c r="G99" s="25"/>
      <c r="H99" s="25"/>
      <c r="I99" s="25"/>
      <c r="J99" s="25"/>
      <c r="K99" s="25"/>
      <c r="L99" s="16"/>
      <c r="M99" s="16"/>
      <c r="N99" s="16">
        <f t="shared" ref="N99:N108" si="18">+SUM(B99:M99)</f>
        <v>1210914.8599999999</v>
      </c>
      <c r="O99" s="17"/>
    </row>
    <row r="100" spans="1:15" ht="12.9" customHeight="1" x14ac:dyDescent="0.2">
      <c r="A100" s="62" t="s">
        <v>106</v>
      </c>
      <c r="B100" s="19">
        <f>'[10]Hoja 1'!$C$167</f>
        <v>1697707.56</v>
      </c>
      <c r="C100" s="19">
        <f>'[11]Hoja 1'!$C$170</f>
        <v>2541356.16</v>
      </c>
      <c r="D100" s="19"/>
      <c r="E100" s="26"/>
      <c r="F100" s="26"/>
      <c r="G100" s="26"/>
      <c r="H100" s="26"/>
      <c r="I100" s="26"/>
      <c r="J100" s="26"/>
      <c r="K100" s="26"/>
      <c r="L100" s="20"/>
      <c r="M100" s="20"/>
      <c r="N100" s="20">
        <f t="shared" si="18"/>
        <v>4239063.7200000007</v>
      </c>
      <c r="O100" s="17"/>
    </row>
    <row r="101" spans="1:15" ht="12.9" customHeight="1" x14ac:dyDescent="0.2">
      <c r="A101" s="80" t="s">
        <v>107</v>
      </c>
      <c r="B101" s="19">
        <f>'[10]Hoja 1'!$C$172</f>
        <v>6444863.9500000002</v>
      </c>
      <c r="C101" s="19">
        <f>'[11]Hoja 1'!$C$175</f>
        <v>2367762.52</v>
      </c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20">
        <f t="shared" si="18"/>
        <v>8812626.4700000007</v>
      </c>
      <c r="O101" s="17"/>
    </row>
    <row r="102" spans="1:15" ht="12.9" customHeight="1" x14ac:dyDescent="0.2">
      <c r="A102" s="80" t="s">
        <v>108</v>
      </c>
      <c r="B102" s="19">
        <f>'[10]Hoja 1'!$C$173</f>
        <v>84553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20"/>
      <c r="M102" s="20"/>
      <c r="N102" s="20">
        <f t="shared" si="18"/>
        <v>84553</v>
      </c>
      <c r="O102" s="17"/>
    </row>
    <row r="103" spans="1:15" ht="12.9" customHeight="1" x14ac:dyDescent="0.2">
      <c r="A103" s="80" t="s">
        <v>109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20"/>
      <c r="M103" s="20"/>
      <c r="N103" s="20">
        <f t="shared" si="18"/>
        <v>0</v>
      </c>
      <c r="O103" s="17"/>
    </row>
    <row r="104" spans="1:15" ht="12.9" customHeight="1" x14ac:dyDescent="0.2">
      <c r="A104" s="80" t="s">
        <v>110</v>
      </c>
      <c r="B104" s="19"/>
      <c r="C104" s="19">
        <f>'[11]Hoja 1'!$C$176</f>
        <v>3769285</v>
      </c>
      <c r="D104" s="19"/>
      <c r="E104" s="19"/>
      <c r="F104" s="19"/>
      <c r="G104" s="19"/>
      <c r="H104" s="19"/>
      <c r="I104" s="19"/>
      <c r="J104" s="19"/>
      <c r="K104" s="19"/>
      <c r="L104" s="20"/>
      <c r="M104" s="20"/>
      <c r="N104" s="20">
        <f t="shared" si="18"/>
        <v>3769285</v>
      </c>
      <c r="O104" s="17"/>
    </row>
    <row r="105" spans="1:15" ht="12.9" customHeight="1" x14ac:dyDescent="0.2">
      <c r="A105" s="80" t="s">
        <v>111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20"/>
      <c r="M105" s="20"/>
      <c r="N105" s="20">
        <f t="shared" si="18"/>
        <v>0</v>
      </c>
      <c r="O105" s="17"/>
    </row>
    <row r="106" spans="1:15" ht="12.9" customHeight="1" x14ac:dyDescent="0.2">
      <c r="A106" s="62" t="s">
        <v>112</v>
      </c>
      <c r="B106" s="19">
        <f>'[10]Hoja 1'!$C$82+'[10]Hoja 1'!$C$175</f>
        <v>10375136.550000001</v>
      </c>
      <c r="C106" s="19">
        <f>'[11]Hoja 1'!$C$81+'[11]Hoja 1'!$C$180</f>
        <v>24168220.41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20">
        <f t="shared" si="18"/>
        <v>34543356.960000001</v>
      </c>
      <c r="O106" s="17"/>
    </row>
    <row r="107" spans="1:15" ht="12.9" customHeight="1" x14ac:dyDescent="0.2">
      <c r="A107" s="58" t="s">
        <v>113</v>
      </c>
      <c r="B107" s="23">
        <f>'[10]Hoja 1'!$C$177</f>
        <v>67245.78</v>
      </c>
      <c r="C107" s="23"/>
      <c r="D107" s="23"/>
      <c r="E107" s="34"/>
      <c r="F107" s="34"/>
      <c r="G107" s="34"/>
      <c r="H107" s="34"/>
      <c r="I107" s="34"/>
      <c r="J107" s="34"/>
      <c r="K107" s="34"/>
      <c r="L107" s="27"/>
      <c r="M107" s="27"/>
      <c r="N107" s="27">
        <f t="shared" si="18"/>
        <v>67245.78</v>
      </c>
      <c r="O107" s="17"/>
    </row>
    <row r="108" spans="1:15" ht="12.9" customHeight="1" x14ac:dyDescent="0.2">
      <c r="A108" s="54" t="s">
        <v>114</v>
      </c>
      <c r="B108" s="9">
        <f>96313193+10045491</f>
        <v>106358684</v>
      </c>
      <c r="C108" s="9">
        <f>99151187+9611660</f>
        <v>108762847</v>
      </c>
      <c r="D108" s="9"/>
      <c r="E108" s="9"/>
      <c r="F108" s="9"/>
      <c r="G108" s="9"/>
      <c r="H108" s="9"/>
      <c r="I108" s="9"/>
      <c r="J108" s="9"/>
      <c r="K108" s="9"/>
      <c r="L108" s="81"/>
      <c r="M108" s="9"/>
      <c r="N108" s="82">
        <f t="shared" si="18"/>
        <v>215121531</v>
      </c>
      <c r="O108" s="17"/>
    </row>
    <row r="109" spans="1:15" s="12" customFormat="1" ht="15" customHeight="1" x14ac:dyDescent="0.2">
      <c r="A109" s="78" t="s">
        <v>115</v>
      </c>
      <c r="B109" s="79">
        <f t="shared" ref="B109:N109" si="19">B98+B108</f>
        <v>125517237.5</v>
      </c>
      <c r="C109" s="79">
        <f t="shared" si="19"/>
        <v>142331339.28999999</v>
      </c>
      <c r="D109" s="79">
        <f t="shared" si="19"/>
        <v>0</v>
      </c>
      <c r="E109" s="79">
        <f t="shared" si="19"/>
        <v>0</v>
      </c>
      <c r="F109" s="79">
        <f t="shared" si="19"/>
        <v>0</v>
      </c>
      <c r="G109" s="79">
        <f t="shared" si="19"/>
        <v>0</v>
      </c>
      <c r="H109" s="79">
        <f>H98+H108</f>
        <v>0</v>
      </c>
      <c r="I109" s="79">
        <f>I98+I108</f>
        <v>0</v>
      </c>
      <c r="J109" s="79">
        <f>J98+J108</f>
        <v>0</v>
      </c>
      <c r="K109" s="79">
        <f>K98+K108</f>
        <v>0</v>
      </c>
      <c r="L109" s="79">
        <f t="shared" si="19"/>
        <v>0</v>
      </c>
      <c r="M109" s="79">
        <f>M98+M108</f>
        <v>0</v>
      </c>
      <c r="N109" s="79">
        <f t="shared" si="19"/>
        <v>267848576.79000002</v>
      </c>
      <c r="O109" s="17"/>
    </row>
    <row r="110" spans="1:15" ht="15" customHeight="1" x14ac:dyDescent="0.2">
      <c r="A110" s="83"/>
      <c r="B110" s="84"/>
      <c r="C110" s="84"/>
      <c r="D110" s="84"/>
      <c r="E110" s="84"/>
      <c r="F110" s="84"/>
      <c r="G110" s="85"/>
      <c r="H110" s="85"/>
      <c r="I110" s="85"/>
      <c r="J110" s="85"/>
      <c r="K110" s="85"/>
      <c r="L110" s="85"/>
      <c r="M110" s="85"/>
      <c r="N110" s="84"/>
    </row>
    <row r="111" spans="1:15" s="12" customFormat="1" ht="15" hidden="1" customHeight="1" x14ac:dyDescent="0.2">
      <c r="A111" s="78" t="s">
        <v>116</v>
      </c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>
        <f>+SUM(B111:M111)</f>
        <v>0</v>
      </c>
      <c r="O111" s="11"/>
    </row>
    <row r="112" spans="1:15" ht="15" customHeight="1" x14ac:dyDescent="0.2">
      <c r="A112" s="78" t="s">
        <v>117</v>
      </c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</row>
    <row r="113" spans="1:14" ht="15" customHeight="1" x14ac:dyDescent="0.2">
      <c r="A113" s="71" t="s">
        <v>118</v>
      </c>
      <c r="B113" s="14">
        <v>15396000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6">
        <f t="shared" ref="N113:N118" si="20">+SUM(B113:M113)</f>
        <v>15396000</v>
      </c>
    </row>
    <row r="114" spans="1:14" ht="15" customHeight="1" x14ac:dyDescent="0.2">
      <c r="A114" s="62" t="s">
        <v>119</v>
      </c>
      <c r="B114" s="19">
        <f>[1]RECREARTE!$C$141</f>
        <v>15474654</v>
      </c>
      <c r="C114" s="19">
        <f>[1]RECREARTE!$F$141</f>
        <v>-1777321</v>
      </c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20">
        <f t="shared" si="20"/>
        <v>13697333</v>
      </c>
    </row>
    <row r="115" spans="1:14" ht="15" customHeight="1" x14ac:dyDescent="0.2">
      <c r="A115" s="80" t="s">
        <v>120</v>
      </c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20">
        <f t="shared" si="20"/>
        <v>0</v>
      </c>
    </row>
    <row r="116" spans="1:14" ht="15" customHeight="1" x14ac:dyDescent="0.2">
      <c r="A116" s="80" t="s">
        <v>121</v>
      </c>
      <c r="B116" s="19"/>
      <c r="C116" s="19">
        <f>'[11]Hoja 1'!$E$23</f>
        <v>49000</v>
      </c>
      <c r="D116" s="19"/>
      <c r="E116" s="19"/>
      <c r="F116" s="19"/>
      <c r="G116" s="19"/>
      <c r="H116" s="19"/>
      <c r="I116" s="19"/>
      <c r="J116" s="19"/>
      <c r="K116" s="19"/>
      <c r="L116" s="20"/>
      <c r="M116" s="20"/>
      <c r="N116" s="20">
        <f t="shared" si="20"/>
        <v>49000</v>
      </c>
    </row>
    <row r="117" spans="1:14" ht="15" customHeight="1" x14ac:dyDescent="0.2">
      <c r="A117" s="80" t="s">
        <v>122</v>
      </c>
      <c r="B117" s="19"/>
      <c r="C117" s="19">
        <f>'[11]Hoja 1'!$E$28</f>
        <v>514.78</v>
      </c>
      <c r="D117" s="19"/>
      <c r="E117" s="19"/>
      <c r="F117" s="19"/>
      <c r="G117" s="19"/>
      <c r="H117" s="19"/>
      <c r="I117" s="19"/>
      <c r="J117" s="19"/>
      <c r="K117" s="19"/>
      <c r="L117" s="20"/>
      <c r="M117" s="20"/>
      <c r="N117" s="20">
        <f t="shared" si="20"/>
        <v>514.78</v>
      </c>
    </row>
    <row r="118" spans="1:14" ht="15" customHeight="1" x14ac:dyDescent="0.2">
      <c r="A118" s="80" t="s">
        <v>123</v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20"/>
      <c r="M118" s="20"/>
      <c r="N118" s="20">
        <f t="shared" si="20"/>
        <v>0</v>
      </c>
    </row>
    <row r="119" spans="1:14" ht="15" customHeight="1" x14ac:dyDescent="0.2">
      <c r="A119" s="78" t="s">
        <v>124</v>
      </c>
      <c r="B119" s="79">
        <f t="shared" ref="B119:M119" si="21">SUM(B113:B115)-SUM(B116:B118)</f>
        <v>30870654</v>
      </c>
      <c r="C119" s="79">
        <f t="shared" si="21"/>
        <v>-1826835.78</v>
      </c>
      <c r="D119" s="79">
        <f t="shared" si="21"/>
        <v>0</v>
      </c>
      <c r="E119" s="79">
        <f t="shared" si="21"/>
        <v>0</v>
      </c>
      <c r="F119" s="79">
        <f t="shared" si="21"/>
        <v>0</v>
      </c>
      <c r="G119" s="79">
        <f t="shared" si="21"/>
        <v>0</v>
      </c>
      <c r="H119" s="79">
        <f t="shared" si="21"/>
        <v>0</v>
      </c>
      <c r="I119" s="79">
        <f t="shared" si="21"/>
        <v>0</v>
      </c>
      <c r="J119" s="79">
        <f t="shared" si="21"/>
        <v>0</v>
      </c>
      <c r="K119" s="79">
        <f t="shared" si="21"/>
        <v>0</v>
      </c>
      <c r="L119" s="79">
        <f t="shared" si="21"/>
        <v>0</v>
      </c>
      <c r="M119" s="79">
        <f t="shared" si="21"/>
        <v>0</v>
      </c>
      <c r="N119" s="79">
        <f>+SUM(B119:M119)</f>
        <v>29043818.219999999</v>
      </c>
    </row>
    <row r="120" spans="1:14" ht="15" customHeight="1" x14ac:dyDescent="0.2">
      <c r="C120" s="87"/>
      <c r="K120" s="89"/>
      <c r="L120" s="89"/>
      <c r="M120" s="89"/>
      <c r="N120" s="90"/>
    </row>
    <row r="121" spans="1:14" ht="15" customHeight="1" x14ac:dyDescent="0.2">
      <c r="B121" s="87"/>
      <c r="C121" s="87">
        <f>C96+C109+'[1]GASTOS OPERATIVOS'!D17+'[1]GASTOS VEHICULOS'!D25</f>
        <v>1137474178</v>
      </c>
      <c r="I121" s="89"/>
      <c r="L121" s="89"/>
      <c r="N121" s="91"/>
    </row>
    <row r="122" spans="1:14" ht="15" customHeight="1" x14ac:dyDescent="0.2">
      <c r="B122" s="87"/>
      <c r="C122" s="87">
        <f>'[11]Hoja 1'!$C$30+'[11]Hoja 1'!$C$199+'[11]Hoja 1'!$C$204+'[11]Hoja 1'!$C$240</f>
        <v>678143159.60000002</v>
      </c>
    </row>
    <row r="123" spans="1:14" ht="15" customHeight="1" x14ac:dyDescent="0.2">
      <c r="B123" s="87"/>
      <c r="C123" s="86">
        <f>C121-C122</f>
        <v>459331018.39999998</v>
      </c>
      <c r="N123" s="92"/>
    </row>
    <row r="125" spans="1:14" ht="15" customHeight="1" x14ac:dyDescent="0.2">
      <c r="D125" s="87"/>
      <c r="E125" s="87"/>
      <c r="F125" s="87"/>
      <c r="H125" s="89"/>
      <c r="I125" s="89"/>
      <c r="K125" s="89"/>
      <c r="L125" s="89"/>
      <c r="N125" s="91"/>
    </row>
    <row r="126" spans="1:14" ht="15" customHeight="1" x14ac:dyDescent="0.2">
      <c r="C126" s="87">
        <v>-55134543</v>
      </c>
      <c r="D126" s="87"/>
      <c r="E126" s="87"/>
      <c r="F126" s="87"/>
      <c r="I126" s="2"/>
      <c r="J126" s="89"/>
      <c r="K126" s="89"/>
      <c r="L126" s="89"/>
      <c r="N126" s="91" t="s">
        <v>125</v>
      </c>
    </row>
    <row r="127" spans="1:14" ht="15" customHeight="1" x14ac:dyDescent="0.2">
      <c r="C127" s="87">
        <v>-4115810</v>
      </c>
      <c r="E127" s="87"/>
      <c r="F127" s="87"/>
      <c r="I127" s="2"/>
      <c r="J127" s="89"/>
      <c r="K127" s="89"/>
      <c r="L127" s="89"/>
      <c r="N127" s="91" t="s">
        <v>96</v>
      </c>
    </row>
    <row r="128" spans="1:14" ht="15" customHeight="1" x14ac:dyDescent="0.2">
      <c r="C128" s="86">
        <f>SUM(C126:C127)</f>
        <v>-59250353</v>
      </c>
      <c r="E128" s="87"/>
      <c r="F128" s="87"/>
      <c r="I128" s="2"/>
      <c r="J128" s="89"/>
      <c r="K128" s="89"/>
      <c r="L128" s="89"/>
      <c r="N128" s="91"/>
    </row>
    <row r="129" spans="3:14" ht="15" customHeight="1" x14ac:dyDescent="0.2">
      <c r="E129" s="87"/>
      <c r="F129" s="87"/>
      <c r="I129" s="2"/>
      <c r="J129" s="89"/>
      <c r="K129" s="89"/>
      <c r="L129" s="89"/>
      <c r="N129" s="91"/>
    </row>
    <row r="130" spans="3:14" ht="15" customHeight="1" x14ac:dyDescent="0.2">
      <c r="C130" s="86">
        <f>C128-C123</f>
        <v>-518581371.39999998</v>
      </c>
      <c r="E130" s="87"/>
      <c r="F130" s="87"/>
      <c r="I130" s="2"/>
      <c r="J130" s="89"/>
      <c r="K130" s="89"/>
      <c r="L130" s="89"/>
      <c r="N130" s="91"/>
    </row>
    <row r="131" spans="3:14" ht="15" customHeight="1" x14ac:dyDescent="0.2">
      <c r="E131" s="87"/>
      <c r="F131" s="87"/>
      <c r="I131" s="2"/>
      <c r="J131" s="89"/>
      <c r="K131" s="89"/>
      <c r="N131" s="87"/>
    </row>
    <row r="132" spans="3:14" ht="15" customHeight="1" x14ac:dyDescent="0.2">
      <c r="F132" s="87"/>
      <c r="I132" s="89"/>
      <c r="J132" s="89"/>
      <c r="K132" s="89"/>
      <c r="N132" s="93"/>
    </row>
    <row r="133" spans="3:14" ht="15" customHeight="1" x14ac:dyDescent="0.2">
      <c r="I133" s="89"/>
      <c r="J133" s="2"/>
      <c r="K133" s="89"/>
      <c r="L133" s="89"/>
      <c r="N133" s="91"/>
    </row>
    <row r="134" spans="3:14" ht="15" customHeight="1" x14ac:dyDescent="0.2">
      <c r="I134" s="89"/>
      <c r="L134" s="89"/>
      <c r="N134" s="91"/>
    </row>
    <row r="135" spans="3:14" ht="15" customHeight="1" x14ac:dyDescent="0.2">
      <c r="I135" s="89"/>
      <c r="L135" s="89"/>
      <c r="N135" s="91"/>
    </row>
    <row r="136" spans="3:14" ht="15" customHeight="1" x14ac:dyDescent="0.2">
      <c r="I136" s="89"/>
      <c r="L136" s="89"/>
      <c r="N136" s="91"/>
    </row>
    <row r="137" spans="3:14" ht="15" customHeight="1" x14ac:dyDescent="0.2">
      <c r="I137" s="89"/>
      <c r="L137" s="89"/>
    </row>
    <row r="138" spans="3:14" ht="15" customHeight="1" x14ac:dyDescent="0.2">
      <c r="L138" s="89"/>
    </row>
    <row r="139" spans="3:14" ht="15" customHeight="1" x14ac:dyDescent="0.2">
      <c r="L139" s="89"/>
    </row>
    <row r="140" spans="3:14" ht="15" customHeight="1" x14ac:dyDescent="0.2">
      <c r="L140" s="89"/>
    </row>
    <row r="141" spans="3:14" ht="15" customHeight="1" x14ac:dyDescent="0.2">
      <c r="L141" s="89"/>
    </row>
    <row r="142" spans="3:14" ht="15" customHeight="1" x14ac:dyDescent="0.2">
      <c r="L142" s="89"/>
    </row>
    <row r="143" spans="3:14" ht="15" customHeight="1" x14ac:dyDescent="0.2">
      <c r="L143" s="89"/>
    </row>
    <row r="144" spans="3:14" ht="15" customHeight="1" x14ac:dyDescent="0.2">
      <c r="L144" s="89"/>
    </row>
    <row r="145" spans="12:12" ht="15" customHeight="1" x14ac:dyDescent="0.2">
      <c r="L145" s="89"/>
    </row>
    <row r="146" spans="12:12" ht="15" customHeight="1" x14ac:dyDescent="0.2">
      <c r="L146" s="89"/>
    </row>
    <row r="147" spans="12:12" ht="15" customHeight="1" x14ac:dyDescent="0.2">
      <c r="L147" s="89"/>
    </row>
    <row r="148" spans="12:12" ht="15" customHeight="1" x14ac:dyDescent="0.2">
      <c r="L148" s="89"/>
    </row>
    <row r="149" spans="12:12" ht="15" customHeight="1" x14ac:dyDescent="0.2">
      <c r="L149" s="89"/>
    </row>
    <row r="150" spans="12:12" ht="15" customHeight="1" x14ac:dyDescent="0.2">
      <c r="L150" s="89"/>
    </row>
    <row r="151" spans="12:12" ht="15" customHeight="1" x14ac:dyDescent="0.2">
      <c r="L151" s="89"/>
    </row>
    <row r="152" spans="12:12" ht="15" customHeight="1" x14ac:dyDescent="0.2">
      <c r="L152" s="89"/>
    </row>
    <row r="153" spans="12:12" ht="15" customHeight="1" x14ac:dyDescent="0.2">
      <c r="L153" s="89"/>
    </row>
    <row r="154" spans="12:12" ht="15" customHeight="1" x14ac:dyDescent="0.2">
      <c r="L154" s="89"/>
    </row>
    <row r="155" spans="12:12" ht="15" customHeight="1" x14ac:dyDescent="0.2">
      <c r="L155" s="89"/>
    </row>
    <row r="156" spans="12:12" ht="15" customHeight="1" x14ac:dyDescent="0.2">
      <c r="L156" s="89"/>
    </row>
    <row r="157" spans="12:12" ht="15" customHeight="1" x14ac:dyDescent="0.2">
      <c r="L157" s="89"/>
    </row>
    <row r="158" spans="12:12" ht="15" customHeight="1" x14ac:dyDescent="0.2">
      <c r="L158" s="89"/>
    </row>
    <row r="159" spans="12:12" ht="15" customHeight="1" x14ac:dyDescent="0.2">
      <c r="L159" s="89"/>
    </row>
    <row r="160" spans="12:12" ht="15" customHeight="1" x14ac:dyDescent="0.2">
      <c r="L160" s="89"/>
    </row>
    <row r="161" spans="12:12" ht="15" customHeight="1" x14ac:dyDescent="0.2">
      <c r="L161" s="89"/>
    </row>
    <row r="162" spans="12:12" ht="15" customHeight="1" x14ac:dyDescent="0.2">
      <c r="L162" s="89"/>
    </row>
    <row r="163" spans="12:12" ht="15" customHeight="1" x14ac:dyDescent="0.2">
      <c r="L163" s="89"/>
    </row>
    <row r="164" spans="12:12" ht="15" customHeight="1" x14ac:dyDescent="0.2">
      <c r="L164" s="89"/>
    </row>
    <row r="165" spans="12:12" ht="15" customHeight="1" x14ac:dyDescent="0.2">
      <c r="L165" s="89"/>
    </row>
    <row r="166" spans="12:12" ht="15" customHeight="1" x14ac:dyDescent="0.2">
      <c r="L166" s="89"/>
    </row>
    <row r="167" spans="12:12" ht="15" customHeight="1" x14ac:dyDescent="0.2">
      <c r="L167" s="89"/>
    </row>
    <row r="168" spans="12:12" ht="15" customHeight="1" x14ac:dyDescent="0.2">
      <c r="L168" s="89"/>
    </row>
    <row r="169" spans="12:12" ht="15" customHeight="1" x14ac:dyDescent="0.2">
      <c r="L169" s="89"/>
    </row>
    <row r="170" spans="12:12" ht="15" customHeight="1" x14ac:dyDescent="0.2">
      <c r="L170" s="89"/>
    </row>
    <row r="171" spans="12:12" ht="15" customHeight="1" x14ac:dyDescent="0.2">
      <c r="L171" s="89"/>
    </row>
    <row r="172" spans="12:12" ht="15" customHeight="1" x14ac:dyDescent="0.2">
      <c r="L172" s="89"/>
    </row>
    <row r="173" spans="12:12" ht="15" customHeight="1" x14ac:dyDescent="0.2">
      <c r="L173" s="89"/>
    </row>
    <row r="174" spans="12:12" ht="15" customHeight="1" x14ac:dyDescent="0.2">
      <c r="L174" s="89"/>
    </row>
    <row r="175" spans="12:12" ht="15" customHeight="1" x14ac:dyDescent="0.2">
      <c r="L175" s="89"/>
    </row>
    <row r="176" spans="12:12" ht="15" customHeight="1" x14ac:dyDescent="0.2">
      <c r="L176" s="89"/>
    </row>
    <row r="177" spans="12:12" ht="15" customHeight="1" x14ac:dyDescent="0.2">
      <c r="L177" s="89"/>
    </row>
    <row r="178" spans="12:12" ht="15" customHeight="1" x14ac:dyDescent="0.2">
      <c r="L178" s="89"/>
    </row>
    <row r="179" spans="12:12" ht="15" customHeight="1" x14ac:dyDescent="0.2">
      <c r="L179" s="89"/>
    </row>
    <row r="180" spans="12:12" ht="15" customHeight="1" x14ac:dyDescent="0.2">
      <c r="L180" s="89"/>
    </row>
    <row r="181" spans="12:12" ht="15" customHeight="1" x14ac:dyDescent="0.2">
      <c r="L181" s="89"/>
    </row>
    <row r="182" spans="12:12" ht="15" customHeight="1" x14ac:dyDescent="0.2">
      <c r="L182" s="89"/>
    </row>
    <row r="183" spans="12:12" ht="15" customHeight="1" x14ac:dyDescent="0.2">
      <c r="L183" s="89"/>
    </row>
    <row r="184" spans="12:12" ht="15" customHeight="1" x14ac:dyDescent="0.2">
      <c r="L184" s="89"/>
    </row>
    <row r="185" spans="12:12" ht="15" customHeight="1" x14ac:dyDescent="0.2">
      <c r="L185" s="89"/>
    </row>
    <row r="186" spans="12:12" ht="15" customHeight="1" x14ac:dyDescent="0.2">
      <c r="L186" s="89"/>
    </row>
    <row r="187" spans="12:12" ht="15" customHeight="1" x14ac:dyDescent="0.2">
      <c r="L187" s="89"/>
    </row>
    <row r="188" spans="12:12" ht="15" customHeight="1" x14ac:dyDescent="0.2">
      <c r="L188" s="89"/>
    </row>
    <row r="189" spans="12:12" ht="15" customHeight="1" x14ac:dyDescent="0.2">
      <c r="L189" s="89"/>
    </row>
    <row r="190" spans="12:12" ht="15" customHeight="1" x14ac:dyDescent="0.2">
      <c r="L190" s="89"/>
    </row>
    <row r="191" spans="12:12" ht="15" customHeight="1" x14ac:dyDescent="0.2">
      <c r="L191" s="89"/>
    </row>
    <row r="192" spans="12:12" ht="15" customHeight="1" x14ac:dyDescent="0.2">
      <c r="L192" s="89"/>
    </row>
    <row r="193" spans="12:12" ht="15" customHeight="1" x14ac:dyDescent="0.2">
      <c r="L193" s="89"/>
    </row>
    <row r="194" spans="12:12" ht="15" customHeight="1" x14ac:dyDescent="0.2">
      <c r="L194" s="89"/>
    </row>
    <row r="195" spans="12:12" ht="15" customHeight="1" x14ac:dyDescent="0.2">
      <c r="L195" s="89"/>
    </row>
    <row r="196" spans="12:12" ht="15" customHeight="1" x14ac:dyDescent="0.2">
      <c r="L196" s="89"/>
    </row>
    <row r="197" spans="12:12" ht="15" customHeight="1" x14ac:dyDescent="0.2">
      <c r="L197" s="89"/>
    </row>
    <row r="198" spans="12:12" ht="15" customHeight="1" x14ac:dyDescent="0.2">
      <c r="L198" s="89"/>
    </row>
    <row r="199" spans="12:12" ht="15" customHeight="1" x14ac:dyDescent="0.2">
      <c r="L199" s="89"/>
    </row>
    <row r="200" spans="12:12" ht="15" customHeight="1" x14ac:dyDescent="0.2">
      <c r="L200" s="89"/>
    </row>
    <row r="201" spans="12:12" ht="15" customHeight="1" x14ac:dyDescent="0.2">
      <c r="L201" s="89"/>
    </row>
    <row r="202" spans="12:12" ht="15" customHeight="1" x14ac:dyDescent="0.2">
      <c r="L202" s="89"/>
    </row>
    <row r="203" spans="12:12" ht="15" customHeight="1" x14ac:dyDescent="0.2">
      <c r="L203" s="89"/>
    </row>
    <row r="204" spans="12:12" ht="15" customHeight="1" x14ac:dyDescent="0.2">
      <c r="L204" s="89"/>
    </row>
    <row r="205" spans="12:12" ht="15" customHeight="1" x14ac:dyDescent="0.2">
      <c r="L205" s="89"/>
    </row>
    <row r="206" spans="12:12" ht="15" customHeight="1" x14ac:dyDescent="0.2">
      <c r="L206" s="89"/>
    </row>
    <row r="207" spans="12:12" ht="15" customHeight="1" x14ac:dyDescent="0.2">
      <c r="L207" s="89"/>
    </row>
    <row r="208" spans="12:12" ht="15" customHeight="1" x14ac:dyDescent="0.2">
      <c r="L208" s="89"/>
    </row>
    <row r="209" spans="12:12" ht="15" customHeight="1" x14ac:dyDescent="0.2">
      <c r="L209" s="89"/>
    </row>
    <row r="210" spans="12:12" ht="15" customHeight="1" x14ac:dyDescent="0.2">
      <c r="L210" s="89"/>
    </row>
    <row r="211" spans="12:12" ht="15" customHeight="1" x14ac:dyDescent="0.2">
      <c r="L211" s="89"/>
    </row>
    <row r="212" spans="12:12" ht="15" customHeight="1" x14ac:dyDescent="0.2">
      <c r="L212" s="89"/>
    </row>
    <row r="213" spans="12:12" ht="15" customHeight="1" x14ac:dyDescent="0.2">
      <c r="L213" s="89"/>
    </row>
    <row r="214" spans="12:12" ht="15" customHeight="1" x14ac:dyDescent="0.2">
      <c r="L214" s="89"/>
    </row>
    <row r="215" spans="12:12" ht="15" customHeight="1" x14ac:dyDescent="0.2">
      <c r="L215" s="89"/>
    </row>
    <row r="216" spans="12:12" ht="15" customHeight="1" x14ac:dyDescent="0.2">
      <c r="L216" s="89"/>
    </row>
    <row r="217" spans="12:12" ht="15" customHeight="1" x14ac:dyDescent="0.2">
      <c r="L217" s="89"/>
    </row>
    <row r="218" spans="12:12" ht="15" customHeight="1" x14ac:dyDescent="0.2">
      <c r="L218" s="89"/>
    </row>
    <row r="219" spans="12:12" ht="15" customHeight="1" x14ac:dyDescent="0.2">
      <c r="L219" s="89"/>
    </row>
    <row r="220" spans="12:12" ht="15" customHeight="1" x14ac:dyDescent="0.2">
      <c r="L220" s="89"/>
    </row>
    <row r="221" spans="12:12" ht="15" customHeight="1" x14ac:dyDescent="0.2">
      <c r="L221" s="89"/>
    </row>
    <row r="222" spans="12:12" ht="15" customHeight="1" x14ac:dyDescent="0.2">
      <c r="L222" s="89"/>
    </row>
    <row r="223" spans="12:12" ht="15" customHeight="1" x14ac:dyDescent="0.2">
      <c r="L223" s="89"/>
    </row>
    <row r="224" spans="12:12" ht="15" customHeight="1" x14ac:dyDescent="0.2">
      <c r="L224" s="89"/>
    </row>
    <row r="225" spans="12:12" ht="15" customHeight="1" x14ac:dyDescent="0.2">
      <c r="L225" s="89"/>
    </row>
    <row r="226" spans="12:12" ht="15" customHeight="1" x14ac:dyDescent="0.2">
      <c r="L226" s="89"/>
    </row>
    <row r="227" spans="12:12" ht="15" customHeight="1" x14ac:dyDescent="0.2">
      <c r="L227" s="89"/>
    </row>
    <row r="228" spans="12:12" ht="15" customHeight="1" x14ac:dyDescent="0.2">
      <c r="L228" s="89"/>
    </row>
    <row r="229" spans="12:12" ht="15" customHeight="1" x14ac:dyDescent="0.2">
      <c r="L229" s="89"/>
    </row>
    <row r="230" spans="12:12" ht="15" customHeight="1" x14ac:dyDescent="0.2">
      <c r="L230" s="89"/>
    </row>
    <row r="231" spans="12:12" ht="15" customHeight="1" x14ac:dyDescent="0.2">
      <c r="L231" s="89"/>
    </row>
    <row r="232" spans="12:12" ht="15" customHeight="1" x14ac:dyDescent="0.2">
      <c r="L232" s="89"/>
    </row>
    <row r="233" spans="12:12" ht="15" customHeight="1" x14ac:dyDescent="0.2">
      <c r="L233" s="89"/>
    </row>
    <row r="234" spans="12:12" ht="15" customHeight="1" x14ac:dyDescent="0.2">
      <c r="L234" s="89"/>
    </row>
  </sheetData>
  <mergeCells count="2">
    <mergeCell ref="A2:A3"/>
    <mergeCell ref="B2:N3"/>
  </mergeCells>
  <hyperlinks>
    <hyperlink ref="A98" r:id="rId1" location="Hoja1!B34" xr:uid="{4DA363CD-7426-4372-89BB-2B498AA2B97D}"/>
    <hyperlink ref="A112" r:id="rId2" location="Hoja1!B34" display="FINANCIEROS" xr:uid="{CC581324-1272-4554-B170-0053FD41F135}"/>
  </hyperlinks>
  <pageMargins left="0.7" right="0.7" top="0.75" bottom="0.75" header="0.3" footer="0.3"/>
  <pageSetup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GASTOS ADMINISTRATIVOS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lopez</dc:creator>
  <cp:lastModifiedBy>diego lopez</cp:lastModifiedBy>
  <dcterms:created xsi:type="dcterms:W3CDTF">2026-03-15T18:05:10Z</dcterms:created>
  <dcterms:modified xsi:type="dcterms:W3CDTF">2026-03-16T13:16:35Z</dcterms:modified>
</cp:coreProperties>
</file>