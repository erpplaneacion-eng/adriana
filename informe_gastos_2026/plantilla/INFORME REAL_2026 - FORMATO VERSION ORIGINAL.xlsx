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66" firstSheet="1" activeTab="1" autoFilterDateGrouping="1"/>
  </bookViews>
  <sheets>
    <sheet xmlns:r="http://schemas.openxmlformats.org/officeDocument/2006/relationships" name="%DIST" sheetId="1" state="visible" r:id="rId1"/>
    <sheet xmlns:r="http://schemas.openxmlformats.org/officeDocument/2006/relationships" name="GASTOS ADMINISTRATIVOS" sheetId="2" state="visible" r:id="rId2"/>
    <sheet xmlns:r="http://schemas.openxmlformats.org/officeDocument/2006/relationships" name="GASTOS OPERATIVOS" sheetId="3" state="visible" r:id="rId3"/>
    <sheet xmlns:r="http://schemas.openxmlformats.org/officeDocument/2006/relationships" name="GASTOS VEHICULOS" sheetId="4" state="visible" r:id="rId4"/>
    <sheet xmlns:r="http://schemas.openxmlformats.org/officeDocument/2006/relationships" name="CASINO" sheetId="5" state="visible" r:id="rId5"/>
    <sheet xmlns:r="http://schemas.openxmlformats.org/officeDocument/2006/relationships" name="HUNGRIA" sheetId="6" state="hidden" r:id="rId6"/>
    <sheet xmlns:r="http://schemas.openxmlformats.org/officeDocument/2006/relationships" name="CALI" sheetId="7" state="visible" r:id="rId7"/>
    <sheet xmlns:r="http://schemas.openxmlformats.org/officeDocument/2006/relationships" name="YUMBO" sheetId="8" state="visible" r:id="rId8"/>
    <sheet xmlns:r="http://schemas.openxmlformats.org/officeDocument/2006/relationships" name="BUGA" sheetId="9" state="visible" r:id="rId9"/>
    <sheet xmlns:r="http://schemas.openxmlformats.org/officeDocument/2006/relationships" name="IMDERTY" sheetId="10" state="hidden" r:id="rId10"/>
    <sheet xmlns:r="http://schemas.openxmlformats.org/officeDocument/2006/relationships" name="COMEDORES CALI" sheetId="11" state="visible" r:id="rId11"/>
    <sheet xmlns:r="http://schemas.openxmlformats.org/officeDocument/2006/relationships" name="CTAS EN PPACION" sheetId="12" state="visible" r:id="rId12"/>
    <sheet xmlns:r="http://schemas.openxmlformats.org/officeDocument/2006/relationships" name="COMEDORES PALMIRA" sheetId="13" state="visible" r:id="rId13"/>
    <sheet xmlns:r="http://schemas.openxmlformats.org/officeDocument/2006/relationships" name="COMEDORES VALLE" sheetId="14" state="hidden" r:id="rId14"/>
    <sheet xmlns:r="http://schemas.openxmlformats.org/officeDocument/2006/relationships" name="ADULTO MAYOR" sheetId="15" state="hidden" r:id="rId15"/>
    <sheet xmlns:r="http://schemas.openxmlformats.org/officeDocument/2006/relationships" name="PYG TOTAL" sheetId="16" state="visible" r:id="rId16"/>
    <sheet xmlns:r="http://schemas.openxmlformats.org/officeDocument/2006/relationships" name="RECREARTE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</externalReferences>
  <definedNames>
    <definedName name="AUMENTO">'GASTOS ADMINISTRATIVOS'!#REF!</definedName>
    <definedName name="FACT">'COMEDORES VALLE'!#REF!</definedName>
    <definedName name="INCREMENTO">'GASTOS ADMINISTRATIVOS'!#REF!</definedName>
    <definedName name="Total_Acqui">#REF!</definedName>
    <definedName name="Total_Bogotá">#REF!</definedName>
    <definedName name="Total_Pari">#REF!</definedName>
    <definedName name="AUMENTO" localSheetId="9">'GASTOS ADMINISTRATIVOS'!#REF!</definedName>
    <definedName name="FACT" localSheetId="9">'COMEDORES VALLE'!#REF!</definedName>
    <definedName name="INCREMENTO" localSheetId="9">'GASTOS ADMINISTRATIVOS'!#REF!</definedName>
    <definedName name="AUMENTO" localSheetId="12">'GASTOS ADMINISTRATIVOS'!#REF!</definedName>
    <definedName name="FACT" localSheetId="12">'COMEDORES VALLE'!#REF!</definedName>
    <definedName name="INCREMENTO" localSheetId="12">'GASTOS ADMINISTRATIVOS'!#REF!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0.0%"/>
    <numFmt numFmtId="168" formatCode="&quot;$&quot;\ #,##0"/>
    <numFmt numFmtId="169" formatCode="_-* #,##0_-;\-* #,##0_-;_-* &quot;-&quot;_-;_-@_-"/>
    <numFmt numFmtId="170" formatCode="#,##0.0"/>
    <numFmt numFmtId="171" formatCode="0.0000%"/>
    <numFmt numFmtId="172" formatCode="0.000000000%"/>
    <numFmt numFmtId="173" formatCode="_(* #,##0.0_);_(* \(#,##0.0\);_(* &quot;-&quot;??_);_(@_)"/>
    <numFmt numFmtId="174" formatCode="[$$-240A]\ #,##0"/>
    <numFmt numFmtId="175" formatCode="_(* #,##0.000_);_(* \(#,##0.000\);_(* &quot;-&quot;??_);_(@_)"/>
    <numFmt numFmtId="176" formatCode="#,##0.000"/>
    <numFmt numFmtId="177" formatCode="0.000%"/>
    <numFmt numFmtId="178" formatCode="&quot;$&quot;\ #,##0;\-&quot;$&quot;\ #,##0"/>
    <numFmt numFmtId="179" formatCode="_-* #,##0.00\ _P_t_s_-;\-* #,##0.00\ _P_t_s_-;_-* &quot;-&quot;??\ _P_t_s_-;_-@_-"/>
    <numFmt numFmtId="180" formatCode="_-&quot;$&quot;* #,##0_-;\-&quot;$&quot;* #,##0_-;_-&quot;$&quot;* &quot;-&quot;_-;_-@_-"/>
    <numFmt numFmtId="181" formatCode="_-&quot;$&quot;* #,##0.00_-;\-&quot;$&quot;* #,##0.00_-;_-&quot;$&quot;* &quot;-&quot;??_-;_-@_-"/>
    <numFmt numFmtId="182" formatCode="_-* #,##0.00\ &quot;€&quot;_-;\-* #,##0.00\ &quot;€&quot;_-;_-* &quot;-&quot;??\ &quot;€&quot;_-;_-@_-"/>
    <numFmt numFmtId="183" formatCode="_(&quot;$&quot;\ * #,##0.00_);_(&quot;$&quot;\ * \(#,##0.00\);_(&quot;$&quot;\ * &quot;-&quot;??_);_(@_)"/>
  </numFmts>
  <fonts count="51"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sz val="9"/>
    </font>
    <font>
      <name val="Tahoma"/>
      <family val="2"/>
      <b val="1"/>
      <sz val="9"/>
    </font>
    <font>
      <name val="Tahoma"/>
      <family val="2"/>
      <b val="1"/>
      <sz val="7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Tahoma"/>
      <family val="2"/>
      <color theme="1"/>
      <sz val="9"/>
    </font>
    <font>
      <name val="Tahoma"/>
      <family val="2"/>
      <b val="1"/>
      <color theme="1"/>
      <sz val="9"/>
    </font>
    <font>
      <name val="Calibri"/>
      <family val="2"/>
      <b val="1"/>
      <color theme="1"/>
      <sz val="12"/>
      <scheme val="minor"/>
    </font>
    <font>
      <name val="Tahoma"/>
      <family val="2"/>
      <color theme="0"/>
      <sz val="8"/>
    </font>
    <font>
      <name val="Tahoma"/>
      <family val="2"/>
      <color theme="0"/>
      <sz val="9"/>
    </font>
    <font>
      <name val="Tahoma"/>
      <family val="2"/>
      <b val="1"/>
      <color theme="0"/>
      <sz val="8"/>
    </font>
    <font>
      <name val="Tahoma"/>
      <family val="2"/>
      <color rgb="FF0070C0"/>
      <sz val="8"/>
    </font>
    <font>
      <name val="Tahoma"/>
      <family val="2"/>
      <color theme="10"/>
      <sz val="8"/>
      <u val="single"/>
    </font>
    <font>
      <name val="Calibri"/>
      <family val="2"/>
      <b val="1"/>
      <color theme="1"/>
      <sz val="12"/>
      <u val="single"/>
      <scheme val="minor"/>
    </font>
    <font>
      <name val="Tahoma"/>
      <family val="2"/>
      <color rgb="FFFF0000"/>
      <sz val="8"/>
    </font>
    <font>
      <name val="Tahoma"/>
      <family val="2"/>
      <color rgb="FFFF0000"/>
      <sz val="9"/>
    </font>
    <font>
      <name val="Tahoma"/>
      <family val="2"/>
      <b val="1"/>
      <color rgb="FF002060"/>
      <sz val="8"/>
    </font>
    <font>
      <name val="Tahoma"/>
      <family val="2"/>
      <b val="1"/>
      <color rgb="FF0070C0"/>
      <sz val="8"/>
    </font>
    <font>
      <name val="Tahoma"/>
      <family val="2"/>
      <b val="1"/>
      <color theme="1"/>
      <sz val="10"/>
    </font>
    <font>
      <name val="Tahoma"/>
      <family val="2"/>
      <b val="1"/>
      <color rgb="FF00B050"/>
      <sz val="8"/>
    </font>
    <font>
      <name val="Tahoma"/>
      <family val="2"/>
      <b val="1"/>
      <color theme="4" tint="-0.249977111117893"/>
      <sz val="8"/>
    </font>
    <font>
      <name val="Tahoma"/>
      <family val="2"/>
      <color rgb="FF002060"/>
      <sz val="8"/>
    </font>
    <font>
      <name val="Tahoma"/>
      <family val="2"/>
      <color theme="1"/>
      <sz val="7"/>
    </font>
    <font>
      <name val="Tahoma"/>
      <family val="2"/>
      <color rgb="FF00B050"/>
      <sz val="8"/>
    </font>
    <font>
      <name val="Calibri"/>
      <family val="2"/>
      <b val="1"/>
      <color theme="0"/>
      <sz val="11"/>
    </font>
    <font>
      <name val="Tahoma"/>
      <family val="2"/>
      <b val="1"/>
      <color theme="0"/>
      <sz val="9"/>
    </font>
    <font>
      <name val="Tahoma"/>
      <family val="2"/>
      <b val="1"/>
      <color rgb="FFFF0000"/>
      <sz val="8"/>
    </font>
    <font>
      <name val="Tahoma"/>
      <family val="2"/>
      <b val="1"/>
      <color theme="1"/>
      <sz val="7"/>
    </font>
    <font>
      <name val="Tahoma"/>
      <family val="2"/>
      <b val="1"/>
      <color theme="1"/>
      <sz val="11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  <scheme val="minor"/>
    </font>
    <font>
      <name val="Tahoma"/>
      <family val="2"/>
      <color theme="0"/>
      <sz val="7"/>
    </font>
    <font>
      <name val="Tahoma"/>
      <family val="2"/>
      <b val="1"/>
      <color theme="0"/>
      <sz val="7"/>
    </font>
    <font>
      <name val="Tahoma"/>
      <family val="2"/>
      <b val="1"/>
      <color rgb="FF00B0F0"/>
      <sz val="8"/>
    </font>
    <font>
      <name val="Tahoma"/>
      <family val="2"/>
      <b val="1"/>
      <color theme="9" tint="-0.249977111117893"/>
      <sz val="8"/>
    </font>
    <font>
      <name val="Tahoma"/>
      <family val="2"/>
      <b val="1"/>
      <color theme="3" tint="0.5999938962981048"/>
      <sz val="7"/>
    </font>
    <font>
      <name val="Tahoma"/>
      <family val="2"/>
      <color rgb="FF92D050"/>
      <sz val="8"/>
    </font>
    <font>
      <name val="Tahoma"/>
      <family val="2"/>
      <b val="1"/>
      <color rgb="FF7030A0"/>
      <sz val="8"/>
    </font>
    <font>
      <name val="Tahoma"/>
      <family val="2"/>
      <color rgb="FF7030A0"/>
      <sz val="8"/>
    </font>
    <font>
      <name val="Tahoma"/>
      <family val="2"/>
      <color theme="10"/>
      <sz val="7"/>
      <u val="single"/>
    </font>
    <font>
      <name val="Tahoma"/>
      <family val="2"/>
      <color theme="10"/>
      <sz val="9"/>
      <u val="single"/>
    </font>
    <font>
      <name val="Calibri"/>
      <family val="2"/>
      <sz val="9"/>
      <scheme val="minor"/>
    </font>
    <font>
      <name val="Tahoma"/>
      <family val="2"/>
      <color theme="10"/>
      <sz val="9"/>
      <u val="singleAccounting"/>
    </font>
    <font>
      <name val="Tahoma"/>
      <family val="2"/>
      <b val="1"/>
      <color rgb="FF0070C0"/>
      <sz val="7"/>
    </font>
  </fonts>
  <fills count="2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3" tint="0.3999755851924192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/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55"/>
      </top>
      <bottom/>
      <diagonal/>
    </border>
    <border>
      <left style="thin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55"/>
      </top>
      <bottom style="dotted">
        <color indexed="55"/>
      </bottom>
      <diagonal/>
    </border>
    <border>
      <left/>
      <right style="double">
        <color indexed="64"/>
      </right>
      <top/>
      <bottom style="dotted">
        <color indexed="55"/>
      </bottom>
      <diagonal/>
    </border>
    <border>
      <left/>
      <right style="double">
        <color indexed="64"/>
      </right>
      <top style="dotted">
        <color indexed="55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tted">
        <color indexed="55"/>
      </bottom>
      <diagonal/>
    </border>
    <border>
      <left/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/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38">
    <xf numFmtId="0" fontId="7" fillId="0" borderId="0"/>
    <xf numFmtId="0" fontId="8" fillId="0" borderId="0" applyAlignment="1" applyProtection="1">
      <alignment vertical="top"/>
      <protection locked="0" hidden="0"/>
    </xf>
    <xf numFmtId="43" fontId="7" fillId="0" borderId="0"/>
    <xf numFmtId="41" fontId="7" fillId="0" borderId="0"/>
    <xf numFmtId="41" fontId="7" fillId="0" borderId="0"/>
    <xf numFmtId="43" fontId="7" fillId="0" borderId="0"/>
    <xf numFmtId="179" fontId="1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180" fontId="7" fillId="0" borderId="0"/>
    <xf numFmtId="181" fontId="7" fillId="0" borderId="0"/>
    <xf numFmtId="182" fontId="7" fillId="0" borderId="0"/>
    <xf numFmtId="181" fontId="7" fillId="0" borderId="0"/>
    <xf numFmtId="181" fontId="7" fillId="0" borderId="0"/>
    <xf numFmtId="183" fontId="7" fillId="0" borderId="0"/>
    <xf numFmtId="181" fontId="7" fillId="0" borderId="0"/>
    <xf numFmtId="181" fontId="7" fillId="0" borderId="0"/>
    <xf numFmtId="181" fontId="7" fillId="0" borderId="0"/>
    <xf numFmtId="0" fontId="1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9" fontId="7" fillId="0" borderId="0"/>
    <xf numFmtId="44" fontId="7" fillId="0" borderId="0"/>
  </cellStyleXfs>
  <cellXfs count="1248">
    <xf numFmtId="0" fontId="0" fillId="0" borderId="0" pivotButton="0" quotePrefix="0" xfId="0"/>
    <xf numFmtId="164" fontId="10" fillId="2" borderId="1" pivotButton="0" quotePrefix="0" xfId="2"/>
    <xf numFmtId="164" fontId="11" fillId="2" borderId="0" pivotButton="0" quotePrefix="0" xfId="2"/>
    <xf numFmtId="164" fontId="10" fillId="2" borderId="2" pivotButton="0" quotePrefix="0" xfId="2"/>
    <xf numFmtId="164" fontId="11" fillId="2" borderId="3" pivotButton="0" quotePrefix="0" xfId="2"/>
    <xf numFmtId="164" fontId="10" fillId="2" borderId="4" applyAlignment="1" pivotButton="0" quotePrefix="0" xfId="2">
      <alignment horizontal="center"/>
    </xf>
    <xf numFmtId="164" fontId="11" fillId="2" borderId="5" applyAlignment="1" pivotButton="0" quotePrefix="0" xfId="2">
      <alignment horizontal="center"/>
    </xf>
    <xf numFmtId="164" fontId="11" fillId="0" borderId="6" applyAlignment="1" pivotButton="0" quotePrefix="0" xfId="2">
      <alignment horizontal="center"/>
    </xf>
    <xf numFmtId="164" fontId="11" fillId="2" borderId="7" applyAlignment="1" pivotButton="0" quotePrefix="0" xfId="2">
      <alignment horizontal="center"/>
    </xf>
    <xf numFmtId="164" fontId="11" fillId="2" borderId="8" applyAlignment="1" pivotButton="0" quotePrefix="0" xfId="2">
      <alignment horizontal="center"/>
    </xf>
    <xf numFmtId="164" fontId="10" fillId="3" borderId="2" pivotButton="0" quotePrefix="0" xfId="2"/>
    <xf numFmtId="164" fontId="11" fillId="0" borderId="5" applyAlignment="1" pivotButton="0" quotePrefix="0" xfId="2">
      <alignment horizontal="center"/>
    </xf>
    <xf numFmtId="164" fontId="11" fillId="0" borderId="7" applyAlignment="1" pivotButton="0" quotePrefix="0" xfId="2">
      <alignment horizontal="center"/>
    </xf>
    <xf numFmtId="164" fontId="11" fillId="0" borderId="8" applyAlignment="1" pivotButton="0" quotePrefix="0" xfId="2">
      <alignment horizontal="center"/>
    </xf>
    <xf numFmtId="164" fontId="11" fillId="2" borderId="9" applyAlignment="1" pivotButton="0" quotePrefix="0" xfId="2">
      <alignment horizontal="right" vertical="center"/>
    </xf>
    <xf numFmtId="164" fontId="10" fillId="2" borderId="9" applyAlignment="1" pivotButton="0" quotePrefix="0" xfId="2">
      <alignment horizontal="right" vertical="center"/>
    </xf>
    <xf numFmtId="164" fontId="10" fillId="2" borderId="10" pivotButton="0" quotePrefix="0" xfId="2"/>
    <xf numFmtId="164" fontId="10" fillId="2" borderId="11" pivotButton="0" quotePrefix="0" xfId="2"/>
    <xf numFmtId="164" fontId="11" fillId="2" borderId="9" pivotButton="0" quotePrefix="0" xfId="2"/>
    <xf numFmtId="164" fontId="10" fillId="3" borderId="10" applyAlignment="1" pivotButton="0" quotePrefix="0" xfId="2">
      <alignment horizontal="center"/>
    </xf>
    <xf numFmtId="164" fontId="10" fillId="4" borderId="12" applyAlignment="1" pivotButton="0" quotePrefix="0" xfId="2">
      <alignment horizontal="center"/>
    </xf>
    <xf numFmtId="164" fontId="10" fillId="2" borderId="9" applyAlignment="1" pivotButton="0" quotePrefix="0" xfId="2">
      <alignment horizontal="center" vertical="center" wrapText="1"/>
    </xf>
    <xf numFmtId="164" fontId="3" fillId="0" borderId="13" pivotButton="0" quotePrefix="0" xfId="0"/>
    <xf numFmtId="164" fontId="3" fillId="0" borderId="14" pivotButton="0" quotePrefix="0" xfId="0"/>
    <xf numFmtId="164" fontId="3" fillId="0" borderId="15" pivotButton="0" quotePrefix="0" xfId="0"/>
    <xf numFmtId="164" fontId="3" fillId="0" borderId="16" pivotButton="0" quotePrefix="0" xfId="0"/>
    <xf numFmtId="164" fontId="3" fillId="0" borderId="17" pivotButton="0" quotePrefix="0" xfId="0"/>
    <xf numFmtId="164" fontId="3" fillId="0" borderId="18" pivotButton="0" quotePrefix="0" xfId="0"/>
    <xf numFmtId="164" fontId="3" fillId="0" borderId="19" pivotButton="0" quotePrefix="0" xfId="0"/>
    <xf numFmtId="164" fontId="2" fillId="0" borderId="11" pivotButton="0" quotePrefix="0" xfId="0"/>
    <xf numFmtId="164" fontId="3" fillId="0" borderId="9" applyAlignment="1" pivotButton="0" quotePrefix="0" xfId="0">
      <alignment horizontal="left" indent="1"/>
    </xf>
    <xf numFmtId="164" fontId="3" fillId="0" borderId="20" pivotButton="0" quotePrefix="0" xfId="0"/>
    <xf numFmtId="164" fontId="3" fillId="0" borderId="17" applyAlignment="1" pivotButton="0" quotePrefix="0" xfId="0">
      <alignment horizontal="left" indent="1"/>
    </xf>
    <xf numFmtId="164" fontId="3" fillId="0" borderId="21" pivotButton="0" quotePrefix="0" xfId="0"/>
    <xf numFmtId="164" fontId="3" fillId="0" borderId="22" pivotButton="0" quotePrefix="0" xfId="0"/>
    <xf numFmtId="164" fontId="3" fillId="0" borderId="23" pivotButton="0" quotePrefix="0" xfId="0"/>
    <xf numFmtId="164" fontId="2" fillId="0" borderId="24" applyAlignment="1" pivotButton="0" quotePrefix="0" xfId="0">
      <alignment horizontal="left"/>
    </xf>
    <xf numFmtId="164" fontId="3" fillId="0" borderId="24" pivotButton="0" quotePrefix="0" xfId="0"/>
    <xf numFmtId="164" fontId="3" fillId="0" borderId="11" pivotButton="0" quotePrefix="0" xfId="0"/>
    <xf numFmtId="164" fontId="3" fillId="0" borderId="25" pivotButton="0" quotePrefix="0" xfId="0"/>
    <xf numFmtId="165" fontId="11" fillId="2" borderId="26" pivotButton="0" quotePrefix="0" xfId="2"/>
    <xf numFmtId="164" fontId="11" fillId="0" borderId="27" applyAlignment="1" pivotButton="0" quotePrefix="0" xfId="2">
      <alignment horizontal="center" vertical="center"/>
    </xf>
    <xf numFmtId="164" fontId="3" fillId="0" borderId="3" pivotButton="0" quotePrefix="0" xfId="0"/>
    <xf numFmtId="164" fontId="3" fillId="0" borderId="8" pivotButton="0" quotePrefix="0" xfId="0"/>
    <xf numFmtId="164" fontId="11" fillId="0" borderId="13" applyAlignment="1" pivotButton="0" quotePrefix="0" xfId="2">
      <alignment horizontal="center" vertical="center"/>
    </xf>
    <xf numFmtId="164" fontId="3" fillId="0" borderId="28" pivotButton="0" quotePrefix="0" xfId="0"/>
    <xf numFmtId="164" fontId="2" fillId="0" borderId="24" pivotButton="0" quotePrefix="0" xfId="0"/>
    <xf numFmtId="164" fontId="2" fillId="0" borderId="2" pivotButton="0" quotePrefix="0" xfId="0"/>
    <xf numFmtId="164" fontId="10" fillId="3" borderId="24" pivotButton="0" quotePrefix="0" xfId="2"/>
    <xf numFmtId="164" fontId="10" fillId="2" borderId="24" pivotButton="0" quotePrefix="0" xfId="2"/>
    <xf numFmtId="164" fontId="11" fillId="0" borderId="27" applyAlignment="1" pivotButton="0" quotePrefix="0" xfId="2">
      <alignment horizontal="center"/>
    </xf>
    <xf numFmtId="164" fontId="11" fillId="0" borderId="29" applyAlignment="1" pivotButton="0" quotePrefix="0" xfId="2">
      <alignment horizontal="center"/>
    </xf>
    <xf numFmtId="164" fontId="3" fillId="0" borderId="30" pivotButton="0" quotePrefix="0" xfId="0"/>
    <xf numFmtId="166" fontId="11" fillId="0" borderId="27" applyAlignment="1" pivotButton="0" quotePrefix="0" xfId="2">
      <alignment horizontal="center"/>
    </xf>
    <xf numFmtId="164" fontId="10" fillId="4" borderId="31" pivotButton="0" quotePrefix="0" xfId="2"/>
    <xf numFmtId="164" fontId="10" fillId="4" borderId="32" pivotButton="0" quotePrefix="0" xfId="2"/>
    <xf numFmtId="9" fontId="3" fillId="0" borderId="33" pivotButton="0" quotePrefix="0" xfId="0"/>
    <xf numFmtId="9" fontId="3" fillId="0" borderId="34" pivotButton="0" quotePrefix="0" xfId="0"/>
    <xf numFmtId="9" fontId="3" fillId="0" borderId="35" pivotButton="0" quotePrefix="0" xfId="0"/>
    <xf numFmtId="9" fontId="2" fillId="0" borderId="4" pivotButton="0" quotePrefix="0" xfId="0"/>
    <xf numFmtId="9" fontId="10" fillId="3" borderId="4" pivotButton="0" quotePrefix="0" xfId="2"/>
    <xf numFmtId="9" fontId="10" fillId="2" borderId="4" pivotButton="0" quotePrefix="0" xfId="2"/>
    <xf numFmtId="9" fontId="3" fillId="0" borderId="36" pivotButton="0" quotePrefix="0" xfId="0"/>
    <xf numFmtId="9" fontId="10" fillId="4" borderId="37" pivotButton="0" quotePrefix="0" xfId="2"/>
    <xf numFmtId="9" fontId="11" fillId="2" borderId="0" pivotButton="0" quotePrefix="0" xfId="2"/>
    <xf numFmtId="164" fontId="10" fillId="0" borderId="38" applyAlignment="1" pivotButton="0" quotePrefix="0" xfId="2">
      <alignment horizontal="right"/>
    </xf>
    <xf numFmtId="164" fontId="2" fillId="0" borderId="19" pivotButton="0" quotePrefix="0" xfId="0"/>
    <xf numFmtId="164" fontId="3" fillId="0" borderId="2" pivotButton="0" quotePrefix="0" xfId="0"/>
    <xf numFmtId="9" fontId="3" fillId="0" borderId="4" pivotButton="0" quotePrefix="0" xfId="0"/>
    <xf numFmtId="164" fontId="3" fillId="0" borderId="39" pivotButton="0" quotePrefix="0" xfId="0"/>
    <xf numFmtId="9" fontId="3" fillId="0" borderId="40" pivotButton="0" quotePrefix="0" xfId="0"/>
    <xf numFmtId="164" fontId="3" fillId="0" borderId="41" pivotButton="0" quotePrefix="0" xfId="0"/>
    <xf numFmtId="164" fontId="3" fillId="0" borderId="42" pivotButton="0" quotePrefix="0" xfId="0"/>
    <xf numFmtId="9" fontId="3" fillId="0" borderId="43" pivotButton="0" quotePrefix="0" xfId="0"/>
    <xf numFmtId="164" fontId="11" fillId="0" borderId="16" applyAlignment="1" pivotButton="0" quotePrefix="0" xfId="2">
      <alignment horizontal="center" vertical="center"/>
    </xf>
    <xf numFmtId="164" fontId="11" fillId="0" borderId="16" applyAlignment="1" pivotButton="0" quotePrefix="0" xfId="2">
      <alignment horizontal="center"/>
    </xf>
    <xf numFmtId="164" fontId="11" fillId="0" borderId="13" applyAlignment="1" pivotButton="0" quotePrefix="0" xfId="2">
      <alignment horizontal="center"/>
    </xf>
    <xf numFmtId="164" fontId="11" fillId="2" borderId="16" applyAlignment="1" pivotButton="0" quotePrefix="0" xfId="2">
      <alignment horizontal="center"/>
    </xf>
    <xf numFmtId="164" fontId="3" fillId="0" borderId="44" pivotButton="0" quotePrefix="0" xfId="0"/>
    <xf numFmtId="164" fontId="3" fillId="0" borderId="45" pivotButton="0" quotePrefix="0" xfId="0"/>
    <xf numFmtId="9" fontId="3" fillId="0" borderId="46" pivotButton="0" quotePrefix="0" xfId="0"/>
    <xf numFmtId="164" fontId="3" fillId="0" borderId="47" pivotButton="0" quotePrefix="0" xfId="0"/>
    <xf numFmtId="164" fontId="3" fillId="0" borderId="16" applyAlignment="1" pivotButton="0" quotePrefix="0" xfId="2">
      <alignment horizontal="center"/>
    </xf>
    <xf numFmtId="164" fontId="3" fillId="0" borderId="48" pivotButton="0" quotePrefix="0" xfId="0"/>
    <xf numFmtId="164" fontId="3" fillId="0" borderId="49" pivotButton="0" quotePrefix="0" xfId="0"/>
    <xf numFmtId="9" fontId="3" fillId="0" borderId="50" pivotButton="0" quotePrefix="0" xfId="0"/>
    <xf numFmtId="9" fontId="3" fillId="0" borderId="51" pivotButton="0" quotePrefix="0" xfId="0"/>
    <xf numFmtId="9" fontId="3" fillId="0" borderId="52" pivotButton="0" quotePrefix="0" xfId="0"/>
    <xf numFmtId="9" fontId="3" fillId="0" borderId="53" pivotButton="0" quotePrefix="0" xfId="0"/>
    <xf numFmtId="164" fontId="3" fillId="0" borderId="54" pivotButton="0" quotePrefix="0" xfId="0"/>
    <xf numFmtId="164" fontId="10" fillId="0" borderId="24" pivotButton="0" quotePrefix="0" xfId="2"/>
    <xf numFmtId="164" fontId="3" fillId="0" borderId="55" pivotButton="0" quotePrefix="0" xfId="0"/>
    <xf numFmtId="164" fontId="3" fillId="0" borderId="56" pivotButton="0" quotePrefix="0" xfId="0"/>
    <xf numFmtId="164" fontId="10" fillId="2" borderId="57" pivotButton="0" quotePrefix="0" xfId="2"/>
    <xf numFmtId="164" fontId="10" fillId="2" borderId="45" pivotButton="0" quotePrefix="0" xfId="2"/>
    <xf numFmtId="164" fontId="10" fillId="2" borderId="5" applyAlignment="1" pivotButton="0" quotePrefix="0" xfId="2">
      <alignment horizontal="center"/>
    </xf>
    <xf numFmtId="9" fontId="10" fillId="2" borderId="58" pivotButton="0" quotePrefix="0" xfId="2"/>
    <xf numFmtId="164" fontId="3" fillId="0" borderId="9" pivotButton="0" quotePrefix="0" xfId="0"/>
    <xf numFmtId="164" fontId="3" fillId="0" borderId="59" pivotButton="0" quotePrefix="0" xfId="0"/>
    <xf numFmtId="164" fontId="3" fillId="0" borderId="60" pivotButton="0" quotePrefix="0" xfId="0"/>
    <xf numFmtId="164" fontId="11" fillId="2" borderId="9" applyAlignment="1" pivotButton="0" quotePrefix="0" xfId="2">
      <alignment horizontal="left" vertical="center"/>
    </xf>
    <xf numFmtId="164" fontId="11" fillId="2" borderId="15" applyAlignment="1" pivotButton="0" quotePrefix="0" xfId="2">
      <alignment horizontal="left" vertical="center"/>
    </xf>
    <xf numFmtId="164" fontId="11" fillId="0" borderId="48" applyAlignment="1" pivotButton="0" quotePrefix="0" xfId="2">
      <alignment horizontal="center" vertical="center"/>
    </xf>
    <xf numFmtId="164" fontId="11" fillId="0" borderId="44" applyAlignment="1" pivotButton="0" quotePrefix="0" xfId="2">
      <alignment horizontal="center"/>
    </xf>
    <xf numFmtId="164" fontId="3" fillId="0" borderId="15" applyAlignment="1" pivotButton="0" quotePrefix="0" xfId="0">
      <alignment horizontal="left" indent="1"/>
    </xf>
    <xf numFmtId="164" fontId="3" fillId="0" borderId="61" applyAlignment="1" pivotButton="0" quotePrefix="0" xfId="0">
      <alignment horizontal="left" indent="1"/>
    </xf>
    <xf numFmtId="164" fontId="10" fillId="0" borderId="10" pivotButton="0" quotePrefix="0" xfId="2"/>
    <xf numFmtId="164" fontId="11" fillId="2" borderId="14" pivotButton="0" quotePrefix="0" xfId="2"/>
    <xf numFmtId="164" fontId="11" fillId="0" borderId="0" pivotButton="0" quotePrefix="0" xfId="2"/>
    <xf numFmtId="0" fontId="12" fillId="2" borderId="0" applyAlignment="1" pivotButton="0" quotePrefix="0" xfId="0">
      <alignment horizontal="center" vertical="center"/>
    </xf>
    <xf numFmtId="0" fontId="13" fillId="2" borderId="58" applyAlignment="1" pivotButton="0" quotePrefix="0" xfId="0">
      <alignment vertical="center"/>
    </xf>
    <xf numFmtId="164" fontId="13" fillId="0" borderId="2" applyAlignment="1" pivotButton="0" quotePrefix="0" xfId="2">
      <alignment vertical="center"/>
    </xf>
    <xf numFmtId="164" fontId="13" fillId="2" borderId="2" applyAlignment="1" pivotButton="0" quotePrefix="0" xfId="2">
      <alignment vertical="center"/>
    </xf>
    <xf numFmtId="164" fontId="12" fillId="2" borderId="0" pivotButton="0" quotePrefix="0" xfId="0"/>
    <xf numFmtId="164" fontId="12" fillId="2" borderId="0" pivotButton="0" quotePrefix="0" xfId="2"/>
    <xf numFmtId="0" fontId="12" fillId="2" borderId="0" pivotButton="0" quotePrefix="0" xfId="0"/>
    <xf numFmtId="0" fontId="13" fillId="2" borderId="0" pivotButton="0" quotePrefix="0" xfId="0"/>
    <xf numFmtId="167" fontId="3" fillId="0" borderId="35" pivotButton="0" quotePrefix="0" xfId="0"/>
    <xf numFmtId="167" fontId="3" fillId="0" borderId="34" pivotButton="0" quotePrefix="0" xfId="0"/>
    <xf numFmtId="0" fontId="14" fillId="0" borderId="0" pivotButton="0" quotePrefix="0" xfId="0"/>
    <xf numFmtId="0" fontId="9" fillId="0" borderId="62" applyAlignment="1" pivotButton="0" quotePrefix="0" xfId="0">
      <alignment horizontal="center" vertical="center"/>
    </xf>
    <xf numFmtId="9" fontId="0" fillId="0" borderId="2" pivotButton="0" quotePrefix="0" xfId="0"/>
    <xf numFmtId="3" fontId="0" fillId="0" borderId="2" pivotButton="0" quotePrefix="0" xfId="0"/>
    <xf numFmtId="9" fontId="9" fillId="0" borderId="2" pivotButton="0" quotePrefix="0" xfId="0"/>
    <xf numFmtId="3" fontId="0" fillId="0" borderId="2" applyAlignment="1" pivotButton="0" quotePrefix="0" xfId="0">
      <alignment horizontal="center"/>
    </xf>
    <xf numFmtId="0" fontId="9" fillId="0" borderId="6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9" fontId="9" fillId="6" borderId="2" pivotButton="0" quotePrefix="0" xfId="0"/>
    <xf numFmtId="3" fontId="9" fillId="6" borderId="2" applyAlignment="1" pivotButton="0" quotePrefix="0" xfId="0">
      <alignment horizontal="center"/>
    </xf>
    <xf numFmtId="10" fontId="10" fillId="2" borderId="4" pivotButton="0" quotePrefix="0" xfId="2"/>
    <xf numFmtId="164" fontId="3" fillId="0" borderId="64" pivotButton="0" quotePrefix="0" xfId="0"/>
    <xf numFmtId="164" fontId="3" fillId="0" borderId="65" pivotButton="0" quotePrefix="0" xfId="0"/>
    <xf numFmtId="9" fontId="3" fillId="0" borderId="66" pivotButton="0" quotePrefix="0" xfId="0"/>
    <xf numFmtId="164" fontId="11" fillId="2" borderId="67" pivotButton="0" quotePrefix="0" xfId="2"/>
    <xf numFmtId="164" fontId="2" fillId="0" borderId="16" pivotButton="0" quotePrefix="0" xfId="0"/>
    <xf numFmtId="9" fontId="11" fillId="2" borderId="0" pivotButton="0" quotePrefix="0" xfId="36"/>
    <xf numFmtId="10" fontId="3" fillId="0" borderId="40" pivotButton="0" quotePrefix="0" xfId="0"/>
    <xf numFmtId="167" fontId="3" fillId="0" borderId="33" pivotButton="0" quotePrefix="0" xfId="0"/>
    <xf numFmtId="10" fontId="10" fillId="2" borderId="0" applyAlignment="1" pivotButton="0" quotePrefix="0" xfId="36">
      <alignment horizontal="center"/>
    </xf>
    <xf numFmtId="9" fontId="7" fillId="0" borderId="0" pivotButton="0" quotePrefix="0" xfId="36"/>
    <xf numFmtId="0" fontId="12" fillId="0" borderId="0" pivotButton="0" quotePrefix="0" xfId="0"/>
    <xf numFmtId="167" fontId="11" fillId="2" borderId="0" pivotButton="0" quotePrefix="0" xfId="36"/>
    <xf numFmtId="10" fontId="10" fillId="2" borderId="0" pivotButton="0" quotePrefix="0" xfId="36"/>
    <xf numFmtId="164" fontId="3" fillId="0" borderId="6" pivotButton="0" quotePrefix="0" xfId="0"/>
    <xf numFmtId="167" fontId="3" fillId="0" borderId="46" pivotButton="0" quotePrefix="0" xfId="0"/>
    <xf numFmtId="167" fontId="3" fillId="0" borderId="36" pivotButton="0" quotePrefix="0" xfId="0"/>
    <xf numFmtId="167" fontId="3" fillId="0" borderId="4" pivotButton="0" quotePrefix="0" xfId="0"/>
    <xf numFmtId="167" fontId="10" fillId="2" borderId="4" pivotButton="0" quotePrefix="0" xfId="2"/>
    <xf numFmtId="164" fontId="11" fillId="2" borderId="68" pivotButton="0" quotePrefix="0" xfId="2"/>
    <xf numFmtId="167" fontId="2" fillId="0" borderId="4" pivotButton="0" quotePrefix="0" xfId="0"/>
    <xf numFmtId="164" fontId="15" fillId="2" borderId="0" pivotButton="0" quotePrefix="0" xfId="2"/>
    <xf numFmtId="165" fontId="13" fillId="2" borderId="0" applyAlignment="1" pivotButton="0" quotePrefix="0" xfId="2">
      <alignment horizontal="center" vertical="center" wrapText="1"/>
    </xf>
    <xf numFmtId="164" fontId="13" fillId="2" borderId="0" applyAlignment="1" pivotButton="0" quotePrefix="0" xfId="2">
      <alignment horizontal="center" vertical="center" wrapText="1"/>
    </xf>
    <xf numFmtId="0" fontId="12" fillId="2" borderId="69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164" fontId="12" fillId="2" borderId="0" applyAlignment="1" pivotButton="0" quotePrefix="0" xfId="2">
      <alignment vertical="center"/>
    </xf>
    <xf numFmtId="164" fontId="12" fillId="2" borderId="70" applyAlignment="1" pivotButton="0" quotePrefix="0" xfId="2">
      <alignment vertical="center"/>
    </xf>
    <xf numFmtId="164" fontId="12" fillId="2" borderId="7" applyAlignment="1" pivotButton="0" quotePrefix="0" xfId="2">
      <alignment vertical="center"/>
    </xf>
    <xf numFmtId="164" fontId="12" fillId="2" borderId="71" applyAlignment="1" pivotButton="0" quotePrefix="0" xfId="2">
      <alignment vertical="center"/>
    </xf>
    <xf numFmtId="0" fontId="12" fillId="2" borderId="0" applyAlignment="1" pivotButton="0" quotePrefix="0" xfId="0">
      <alignment vertical="center"/>
    </xf>
    <xf numFmtId="164" fontId="12" fillId="2" borderId="0" applyAlignment="1" pivotButton="0" quotePrefix="0" xfId="0">
      <alignment vertical="center"/>
    </xf>
    <xf numFmtId="164" fontId="12" fillId="2" borderId="0" applyAlignment="1" pivotButton="0" quotePrefix="0" xfId="2">
      <alignment horizontal="center"/>
    </xf>
    <xf numFmtId="165" fontId="12" fillId="2" borderId="0" pivotButton="0" quotePrefix="0" xfId="2"/>
    <xf numFmtId="165" fontId="13" fillId="2" borderId="58" applyAlignment="1" pivotButton="0" quotePrefix="0" xfId="2">
      <alignment vertical="center"/>
    </xf>
    <xf numFmtId="164" fontId="13" fillId="0" borderId="2" applyAlignment="1" pivotButton="0" quotePrefix="0" xfId="2">
      <alignment horizontal="center" vertical="center"/>
    </xf>
    <xf numFmtId="0" fontId="13" fillId="2" borderId="72" applyAlignment="1" pivotButton="0" quotePrefix="0" xfId="0">
      <alignment vertical="center"/>
    </xf>
    <xf numFmtId="164" fontId="4" fillId="0" borderId="45" applyAlignment="1" pivotButton="0" quotePrefix="0" xfId="2">
      <alignment vertical="center"/>
    </xf>
    <xf numFmtId="164" fontId="12" fillId="0" borderId="8" applyAlignment="1" pivotButton="0" quotePrefix="0" xfId="2">
      <alignment vertical="center"/>
    </xf>
    <xf numFmtId="164" fontId="4" fillId="0" borderId="8" applyAlignment="1" pivotButton="0" quotePrefix="0" xfId="2">
      <alignment vertical="center"/>
    </xf>
    <xf numFmtId="0" fontId="12" fillId="2" borderId="73" applyAlignment="1" pivotButton="0" quotePrefix="0" xfId="0">
      <alignment vertical="center"/>
    </xf>
    <xf numFmtId="0" fontId="12" fillId="2" borderId="8" applyAlignment="1" pivotButton="0" quotePrefix="0" xfId="0">
      <alignment vertical="center"/>
    </xf>
    <xf numFmtId="0" fontId="12" fillId="2" borderId="74" applyAlignment="1" pivotButton="0" quotePrefix="0" xfId="0">
      <alignment vertical="center"/>
    </xf>
    <xf numFmtId="0" fontId="12" fillId="2" borderId="49" applyAlignment="1" pivotButton="0" quotePrefix="0" xfId="0">
      <alignment vertical="center"/>
    </xf>
    <xf numFmtId="0" fontId="12" fillId="0" borderId="75" applyAlignment="1" pivotButton="0" quotePrefix="0" xfId="0">
      <alignment vertical="center"/>
    </xf>
    <xf numFmtId="0" fontId="12" fillId="0" borderId="74" applyAlignment="1" pivotButton="0" quotePrefix="0" xfId="0">
      <alignment vertical="center"/>
    </xf>
    <xf numFmtId="0" fontId="12" fillId="2" borderId="75" applyAlignment="1" pivotButton="0" quotePrefix="0" xfId="0">
      <alignment vertical="center"/>
    </xf>
    <xf numFmtId="0" fontId="12" fillId="0" borderId="73" applyAlignment="1" pivotButton="0" quotePrefix="0" xfId="0">
      <alignment vertical="center"/>
    </xf>
    <xf numFmtId="164" fontId="13" fillId="2" borderId="65" applyAlignment="1" pivotButton="0" quotePrefix="0" xfId="2">
      <alignment horizontal="center" vertical="center"/>
    </xf>
    <xf numFmtId="165" fontId="13" fillId="2" borderId="0" pivotButton="0" quotePrefix="0" xfId="2"/>
    <xf numFmtId="164" fontId="16" fillId="2" borderId="0" pivotButton="0" quotePrefix="0" xfId="0"/>
    <xf numFmtId="165" fontId="13" fillId="2" borderId="2" applyAlignment="1" pivotButton="0" quotePrefix="0" xfId="2">
      <alignment vertical="center"/>
    </xf>
    <xf numFmtId="165" fontId="12" fillId="2" borderId="2" applyAlignment="1" pivotButton="0" quotePrefix="0" xfId="2">
      <alignment vertical="center"/>
    </xf>
    <xf numFmtId="165" fontId="12" fillId="2" borderId="1" applyAlignment="1" pivotButton="0" quotePrefix="0" xfId="2">
      <alignment vertical="center"/>
    </xf>
    <xf numFmtId="165" fontId="13" fillId="2" borderId="72" applyAlignment="1" pivotButton="0" quotePrefix="0" xfId="2">
      <alignment vertical="center"/>
    </xf>
    <xf numFmtId="0" fontId="15" fillId="2" borderId="0" pivotButton="0" quotePrefix="0" xfId="0"/>
    <xf numFmtId="0" fontId="15" fillId="2" borderId="0" pivotButton="0" quotePrefix="1" xfId="0"/>
    <xf numFmtId="0" fontId="15" fillId="2" borderId="0" applyAlignment="1" pivotButton="0" quotePrefix="0" xfId="0">
      <alignment horizontal="left"/>
    </xf>
    <xf numFmtId="165" fontId="15" fillId="2" borderId="0" pivotButton="0" quotePrefix="1" xfId="2"/>
    <xf numFmtId="165" fontId="17" fillId="2" borderId="0" pivotButton="0" quotePrefix="1" xfId="2"/>
    <xf numFmtId="165" fontId="15" fillId="2" borderId="0" pivotButton="0" quotePrefix="0" xfId="2"/>
    <xf numFmtId="164" fontId="10" fillId="0" borderId="38" applyAlignment="1" pivotButton="0" quotePrefix="0" xfId="2">
      <alignment horizontal="center"/>
    </xf>
    <xf numFmtId="164" fontId="3" fillId="0" borderId="76" pivotButton="0" quotePrefix="0" xfId="0"/>
    <xf numFmtId="164" fontId="3" fillId="0" borderId="77" pivotButton="0" quotePrefix="0" xfId="0"/>
    <xf numFmtId="164" fontId="2" fillId="0" borderId="78" pivotButton="0" quotePrefix="0" xfId="0"/>
    <xf numFmtId="164" fontId="10" fillId="2" borderId="78" pivotButton="0" quotePrefix="0" xfId="2"/>
    <xf numFmtId="164" fontId="3" fillId="0" borderId="79" pivotButton="0" quotePrefix="0" xfId="0"/>
    <xf numFmtId="164" fontId="3" fillId="0" borderId="78" pivotButton="0" quotePrefix="0" xfId="0"/>
    <xf numFmtId="164" fontId="3" fillId="0" borderId="80" pivotButton="0" quotePrefix="0" xfId="0"/>
    <xf numFmtId="164" fontId="3" fillId="0" borderId="81" pivotButton="0" quotePrefix="0" xfId="0"/>
    <xf numFmtId="164" fontId="3" fillId="0" borderId="82" pivotButton="0" quotePrefix="0" xfId="0"/>
    <xf numFmtId="164" fontId="3" fillId="0" borderId="83" pivotButton="0" quotePrefix="0" xfId="0"/>
    <xf numFmtId="164" fontId="3" fillId="0" borderId="84" pivotButton="0" quotePrefix="0" xfId="0"/>
    <xf numFmtId="164" fontId="3" fillId="0" borderId="61" pivotButton="0" quotePrefix="0" xfId="0"/>
    <xf numFmtId="164" fontId="3" fillId="0" borderId="85" pivotButton="0" quotePrefix="0" xfId="0"/>
    <xf numFmtId="164" fontId="2" fillId="0" borderId="10" pivotButton="0" quotePrefix="0" xfId="0"/>
    <xf numFmtId="164" fontId="10" fillId="3" borderId="10" pivotButton="0" quotePrefix="0" xfId="2"/>
    <xf numFmtId="164" fontId="3" fillId="0" borderId="86" pivotButton="0" quotePrefix="0" xfId="0"/>
    <xf numFmtId="164" fontId="10" fillId="4" borderId="12" pivotButton="0" quotePrefix="0" xfId="2"/>
    <xf numFmtId="164" fontId="3" fillId="0" borderId="10" pivotButton="0" quotePrefix="0" xfId="0"/>
    <xf numFmtId="164" fontId="3" fillId="0" borderId="87" pivotButton="0" quotePrefix="0" xfId="0"/>
    <xf numFmtId="164" fontId="3" fillId="0" borderId="88" pivotButton="0" quotePrefix="0" xfId="0"/>
    <xf numFmtId="164" fontId="3" fillId="0" borderId="89" pivotButton="0" quotePrefix="0" xfId="0"/>
    <xf numFmtId="164" fontId="11" fillId="2" borderId="0" applyAlignment="1" pivotButton="0" quotePrefix="0" xfId="2">
      <alignment horizontal="center" vertical="center" wrapText="1"/>
    </xf>
    <xf numFmtId="164" fontId="10" fillId="7" borderId="2" applyAlignment="1" pivotButton="0" quotePrefix="0" xfId="2">
      <alignment horizontal="center" vertical="center" wrapText="1"/>
    </xf>
    <xf numFmtId="164" fontId="11" fillId="7" borderId="1" applyAlignment="1" pivotButton="0" quotePrefix="0" xfId="2">
      <alignment horizontal="center" vertical="center"/>
    </xf>
    <xf numFmtId="168" fontId="11" fillId="2" borderId="1" applyAlignment="1" pivotButton="0" quotePrefix="0" xfId="2">
      <alignment horizontal="center" vertical="center"/>
    </xf>
    <xf numFmtId="167" fontId="11" fillId="2" borderId="1" applyAlignment="1" pivotButton="0" quotePrefix="0" xfId="2">
      <alignment horizontal="center" vertical="center"/>
    </xf>
    <xf numFmtId="3" fontId="11" fillId="2" borderId="1" applyAlignment="1" pivotButton="0" quotePrefix="0" xfId="2">
      <alignment horizontal="center" vertical="center"/>
    </xf>
    <xf numFmtId="3" fontId="11" fillId="2" borderId="8" applyAlignment="1" pivotButton="0" quotePrefix="0" xfId="2">
      <alignment horizontal="center" vertical="center"/>
    </xf>
    <xf numFmtId="3" fontId="11" fillId="2" borderId="65" applyAlignment="1" pivotButton="0" quotePrefix="0" xfId="2">
      <alignment horizontal="center" vertical="center"/>
    </xf>
    <xf numFmtId="164" fontId="11" fillId="2" borderId="0" applyAlignment="1" pivotButton="0" quotePrefix="0" xfId="2">
      <alignment horizontal="center" vertical="center"/>
    </xf>
    <xf numFmtId="3" fontId="11" fillId="2" borderId="69" applyAlignment="1" pivotButton="0" quotePrefix="0" xfId="2">
      <alignment horizontal="center" vertical="center"/>
    </xf>
    <xf numFmtId="164" fontId="10" fillId="0" borderId="69" applyAlignment="1" pivotButton="0" quotePrefix="0" xfId="2">
      <alignment horizontal="center" vertical="center" wrapText="1"/>
    </xf>
    <xf numFmtId="49" fontId="15" fillId="2" borderId="0" pivotButton="0" quotePrefix="0" xfId="2"/>
    <xf numFmtId="49" fontId="15" fillId="2" borderId="0" applyAlignment="1" pivotButton="0" quotePrefix="0" xfId="2">
      <alignment horizontal="center" vertical="center" wrapText="1"/>
    </xf>
    <xf numFmtId="49" fontId="15" fillId="2" borderId="0" applyAlignment="1" pivotButton="0" quotePrefix="0" xfId="2">
      <alignment horizontal="center" vertical="center"/>
    </xf>
    <xf numFmtId="49" fontId="15" fillId="0" borderId="0" pivotButton="0" quotePrefix="0" xfId="2"/>
    <xf numFmtId="164" fontId="11" fillId="2" borderId="90" applyAlignment="1" pivotButton="0" quotePrefix="0" xfId="2">
      <alignment horizontal="center"/>
    </xf>
    <xf numFmtId="169" fontId="11" fillId="0" borderId="55" applyAlignment="1" pivotButton="0" quotePrefix="0" xfId="3">
      <alignment horizontal="center"/>
    </xf>
    <xf numFmtId="169" fontId="11" fillId="0" borderId="16" applyAlignment="1" pivotButton="0" quotePrefix="0" xfId="3">
      <alignment horizontal="center"/>
    </xf>
    <xf numFmtId="164" fontId="11" fillId="0" borderId="89" applyAlignment="1" pivotButton="0" quotePrefix="0" xfId="2">
      <alignment horizontal="center"/>
    </xf>
    <xf numFmtId="164" fontId="11" fillId="0" borderId="91" applyAlignment="1" pivotButton="0" quotePrefix="0" xfId="2">
      <alignment horizontal="center"/>
    </xf>
    <xf numFmtId="164" fontId="11" fillId="2" borderId="0" applyAlignment="1" pivotButton="0" quotePrefix="0" xfId="2">
      <alignment horizontal="center"/>
    </xf>
    <xf numFmtId="164" fontId="10" fillId="2" borderId="0" applyAlignment="1" pivotButton="0" quotePrefix="0" xfId="2">
      <alignment horizontal="center" vertical="center" wrapText="1"/>
    </xf>
    <xf numFmtId="164" fontId="18" fillId="2" borderId="0" pivotButton="0" quotePrefix="0" xfId="2"/>
    <xf numFmtId="164" fontId="11" fillId="0" borderId="0" applyAlignment="1" pivotButton="0" quotePrefix="0" xfId="2">
      <alignment vertical="center"/>
    </xf>
    <xf numFmtId="164" fontId="11" fillId="0" borderId="0" applyAlignment="1" pivotButton="0" quotePrefix="0" xfId="2">
      <alignment horizontal="center" vertical="center"/>
    </xf>
    <xf numFmtId="9" fontId="11" fillId="2" borderId="34" applyAlignment="1" pivotButton="0" quotePrefix="0" xfId="2">
      <alignment horizontal="center"/>
    </xf>
    <xf numFmtId="164" fontId="11" fillId="2" borderId="91" applyAlignment="1" pivotButton="0" quotePrefix="0" xfId="2">
      <alignment horizontal="center"/>
    </xf>
    <xf numFmtId="164" fontId="11" fillId="2" borderId="89" applyAlignment="1" pivotButton="0" quotePrefix="0" xfId="2">
      <alignment horizontal="center"/>
    </xf>
    <xf numFmtId="9" fontId="11" fillId="2" borderId="92" applyAlignment="1" pivotButton="0" quotePrefix="0" xfId="2">
      <alignment horizontal="center"/>
    </xf>
    <xf numFmtId="167" fontId="11" fillId="2" borderId="0" pivotButton="0" quotePrefix="0" xfId="2"/>
    <xf numFmtId="9" fontId="11" fillId="2" borderId="93" applyAlignment="1" pivotButton="0" quotePrefix="0" xfId="2">
      <alignment horizontal="center"/>
    </xf>
    <xf numFmtId="9" fontId="11" fillId="0" borderId="34" applyAlignment="1" pivotButton="0" quotePrefix="0" xfId="2">
      <alignment horizontal="center"/>
    </xf>
    <xf numFmtId="9" fontId="11" fillId="0" borderId="92" applyAlignment="1" pivotButton="0" quotePrefix="0" xfId="2">
      <alignment horizontal="center"/>
    </xf>
    <xf numFmtId="164" fontId="11" fillId="2" borderId="15" applyAlignment="1" pivotButton="0" quotePrefix="0" xfId="2">
      <alignment horizontal="center"/>
    </xf>
    <xf numFmtId="164" fontId="11" fillId="2" borderId="59" applyAlignment="1" pivotButton="0" quotePrefix="0" xfId="2">
      <alignment horizontal="center"/>
    </xf>
    <xf numFmtId="164" fontId="11" fillId="2" borderId="82" applyAlignment="1" pivotButton="0" quotePrefix="0" xfId="2">
      <alignment horizontal="center"/>
    </xf>
    <xf numFmtId="164" fontId="11" fillId="7" borderId="2" applyAlignment="1" pivotButton="0" quotePrefix="0" xfId="2">
      <alignment horizontal="center" vertical="center"/>
    </xf>
    <xf numFmtId="9" fontId="11" fillId="2" borderId="2" applyAlignment="1" pivotButton="0" quotePrefix="0" xfId="2">
      <alignment horizontal="center" vertical="center"/>
    </xf>
    <xf numFmtId="164" fontId="11" fillId="2" borderId="2" applyAlignment="1" pivotButton="0" quotePrefix="0" xfId="2">
      <alignment horizontal="center" vertical="center"/>
    </xf>
    <xf numFmtId="9" fontId="11" fillId="2" borderId="0" applyAlignment="1" pivotButton="0" quotePrefix="0" xfId="2">
      <alignment horizontal="center" vertical="center"/>
    </xf>
    <xf numFmtId="167" fontId="18" fillId="2" borderId="0" pivotButton="0" quotePrefix="0" xfId="2"/>
    <xf numFmtId="167" fontId="11" fillId="2" borderId="0" applyAlignment="1" pivotButton="0" quotePrefix="0" xfId="2">
      <alignment horizontal="center"/>
    </xf>
    <xf numFmtId="164" fontId="11" fillId="0" borderId="95" applyAlignment="1" pivotButton="0" quotePrefix="0" xfId="2">
      <alignment horizontal="center" vertical="center"/>
    </xf>
    <xf numFmtId="164" fontId="11" fillId="2" borderId="61" applyAlignment="1" pivotButton="0" quotePrefix="0" xfId="2">
      <alignment horizontal="right" vertical="center"/>
    </xf>
    <xf numFmtId="164" fontId="11" fillId="0" borderId="44" applyAlignment="1" pivotButton="0" quotePrefix="0" xfId="2">
      <alignment horizontal="center" vertical="center"/>
    </xf>
    <xf numFmtId="164" fontId="3" fillId="0" borderId="96" pivotButton="0" quotePrefix="0" xfId="0"/>
    <xf numFmtId="164" fontId="3" fillId="0" borderId="97" pivotButton="0" quotePrefix="0" xfId="0"/>
    <xf numFmtId="164" fontId="3" fillId="0" borderId="87" applyAlignment="1" pivotButton="0" quotePrefix="0" xfId="0">
      <alignment horizontal="left" indent="1"/>
    </xf>
    <xf numFmtId="164" fontId="3" fillId="0" borderId="98" applyAlignment="1" pivotButton="0" quotePrefix="0" xfId="0">
      <alignment horizontal="left" indent="1"/>
    </xf>
    <xf numFmtId="166" fontId="11" fillId="0" borderId="44" applyAlignment="1" pivotButton="0" quotePrefix="0" xfId="2">
      <alignment horizontal="center"/>
    </xf>
    <xf numFmtId="166" fontId="11" fillId="0" borderId="16" applyAlignment="1" pivotButton="0" quotePrefix="0" xfId="2">
      <alignment horizontal="center"/>
    </xf>
    <xf numFmtId="164" fontId="11" fillId="2" borderId="27" pivotButton="0" quotePrefix="0" xfId="2"/>
    <xf numFmtId="164" fontId="3" fillId="0" borderId="99" pivotButton="0" quotePrefix="0" xfId="0"/>
    <xf numFmtId="164" fontId="11" fillId="2" borderId="100" pivotButton="0" quotePrefix="0" xfId="2"/>
    <xf numFmtId="164" fontId="3" fillId="0" borderId="91" pivotButton="0" quotePrefix="0" xfId="0"/>
    <xf numFmtId="164" fontId="3" fillId="0" borderId="101" pivotButton="0" quotePrefix="0" xfId="0"/>
    <xf numFmtId="9" fontId="3" fillId="0" borderId="92" pivotButton="0" quotePrefix="0" xfId="0"/>
    <xf numFmtId="164" fontId="3" fillId="0" borderId="7" pivotButton="0" quotePrefix="0" xfId="0"/>
    <xf numFmtId="164" fontId="3" fillId="0" borderId="29" pivotButton="0" quotePrefix="0" xfId="0"/>
    <xf numFmtId="164" fontId="11" fillId="2" borderId="102" pivotButton="0" quotePrefix="0" xfId="2"/>
    <xf numFmtId="164" fontId="3" fillId="0" borderId="103" pivotButton="0" quotePrefix="0" xfId="0"/>
    <xf numFmtId="164" fontId="3" fillId="0" borderId="104" pivotButton="0" quotePrefix="0" xfId="0"/>
    <xf numFmtId="9" fontId="3" fillId="0" borderId="105" pivotButton="0" quotePrefix="0" xfId="0"/>
    <xf numFmtId="164" fontId="3" fillId="0" borderId="98" pivotButton="0" quotePrefix="0" xfId="0"/>
    <xf numFmtId="164" fontId="3" fillId="0" borderId="106" pivotButton="0" quotePrefix="0" xfId="0"/>
    <xf numFmtId="164" fontId="3" fillId="0" borderId="107" pivotButton="0" quotePrefix="0" xfId="0"/>
    <xf numFmtId="164" fontId="19" fillId="0" borderId="16" pivotButton="0" quotePrefix="0" xfId="1"/>
    <xf numFmtId="164" fontId="11" fillId="2" borderId="61" pivotButton="0" quotePrefix="0" xfId="2"/>
    <xf numFmtId="164" fontId="11" fillId="2" borderId="7" pivotButton="0" quotePrefix="0" xfId="2"/>
    <xf numFmtId="164" fontId="3" fillId="0" borderId="108" pivotButton="0" quotePrefix="0" xfId="0"/>
    <xf numFmtId="164" fontId="11" fillId="2" borderId="15" pivotButton="0" quotePrefix="0" xfId="2"/>
    <xf numFmtId="9" fontId="11" fillId="2" borderId="94" applyAlignment="1" pivotButton="0" quotePrefix="0" xfId="36">
      <alignment horizontal="center"/>
    </xf>
    <xf numFmtId="164" fontId="11" fillId="2" borderId="26" applyAlignment="1" pivotButton="0" quotePrefix="0" xfId="2">
      <alignment horizontal="center"/>
    </xf>
    <xf numFmtId="164" fontId="11" fillId="2" borderId="94" applyAlignment="1" pivotButton="0" quotePrefix="0" xfId="2">
      <alignment horizontal="center"/>
    </xf>
    <xf numFmtId="164" fontId="11" fillId="2" borderId="109" applyAlignment="1" pivotButton="0" quotePrefix="0" xfId="2">
      <alignment horizontal="center"/>
    </xf>
    <xf numFmtId="164" fontId="11" fillId="2" borderId="38" applyAlignment="1" pivotButton="0" quotePrefix="0" xfId="2">
      <alignment horizontal="center"/>
    </xf>
    <xf numFmtId="165" fontId="11" fillId="2" borderId="59" pivotButton="0" quotePrefix="0" xfId="2"/>
    <xf numFmtId="164" fontId="11" fillId="0" borderId="88" applyAlignment="1" pivotButton="0" quotePrefix="0" xfId="2">
      <alignment horizontal="center"/>
    </xf>
    <xf numFmtId="9" fontId="11" fillId="0" borderId="92" applyAlignment="1" pivotButton="0" quotePrefix="0" xfId="36">
      <alignment horizontal="center"/>
    </xf>
    <xf numFmtId="164" fontId="11" fillId="0" borderId="61" applyAlignment="1" pivotButton="0" quotePrefix="0" xfId="2">
      <alignment horizontal="center"/>
    </xf>
    <xf numFmtId="9" fontId="11" fillId="0" borderId="34" applyAlignment="1" pivotButton="0" quotePrefix="0" xfId="36">
      <alignment horizontal="center"/>
    </xf>
    <xf numFmtId="164" fontId="11" fillId="0" borderId="15" applyAlignment="1" pivotButton="0" quotePrefix="0" xfId="2">
      <alignment horizontal="center"/>
    </xf>
    <xf numFmtId="164" fontId="11" fillId="2" borderId="77" applyAlignment="1" pivotButton="0" quotePrefix="0" xfId="2">
      <alignment horizontal="center"/>
    </xf>
    <xf numFmtId="164" fontId="3" fillId="0" borderId="110" pivotButton="0" quotePrefix="0" xfId="0"/>
    <xf numFmtId="164" fontId="3" fillId="0" borderId="111" pivotButton="0" quotePrefix="0" xfId="0"/>
    <xf numFmtId="164" fontId="3" fillId="0" borderId="112" pivotButton="0" quotePrefix="0" xfId="0"/>
    <xf numFmtId="164" fontId="3" fillId="0" borderId="113" pivotButton="0" quotePrefix="0" xfId="0"/>
    <xf numFmtId="164" fontId="3" fillId="0" borderId="114" pivotButton="0" quotePrefix="0" xfId="0"/>
    <xf numFmtId="167" fontId="3" fillId="0" borderId="52" pivotButton="0" quotePrefix="0" xfId="0"/>
    <xf numFmtId="164" fontId="3" fillId="0" borderId="27" pivotButton="0" quotePrefix="0" xfId="0"/>
    <xf numFmtId="164" fontId="3" fillId="0" borderId="1" pivotButton="0" quotePrefix="0" xfId="0"/>
    <xf numFmtId="167" fontId="3" fillId="0" borderId="40" pivotButton="0" quotePrefix="0" xfId="0"/>
    <xf numFmtId="167" fontId="3" fillId="0" borderId="92" pivotButton="0" quotePrefix="0" xfId="0"/>
    <xf numFmtId="167" fontId="3" fillId="0" borderId="115" pivotButton="0" quotePrefix="0" xfId="0"/>
    <xf numFmtId="167" fontId="3" fillId="0" borderId="77" pivotButton="0" quotePrefix="0" xfId="0"/>
    <xf numFmtId="167" fontId="3" fillId="0" borderId="116" pivotButton="0" quotePrefix="0" xfId="0"/>
    <xf numFmtId="167" fontId="2" fillId="0" borderId="78" pivotButton="0" quotePrefix="0" xfId="0"/>
    <xf numFmtId="167" fontId="10" fillId="3" borderId="78" pivotButton="0" quotePrefix="0" xfId="2"/>
    <xf numFmtId="167" fontId="10" fillId="2" borderId="78" pivotButton="0" quotePrefix="0" xfId="2"/>
    <xf numFmtId="167" fontId="3" fillId="0" borderId="117" pivotButton="0" quotePrefix="0" xfId="0"/>
    <xf numFmtId="167" fontId="3" fillId="0" borderId="76" pivotButton="0" quotePrefix="0" xfId="0"/>
    <xf numFmtId="167" fontId="3" fillId="0" borderId="79" pivotButton="0" quotePrefix="0" xfId="0"/>
    <xf numFmtId="167" fontId="10" fillId="4" borderId="118" pivotButton="0" quotePrefix="0" xfId="2"/>
    <xf numFmtId="167" fontId="3" fillId="0" borderId="78" pivotButton="0" quotePrefix="0" xfId="0"/>
    <xf numFmtId="167" fontId="3" fillId="0" borderId="80" pivotButton="0" quotePrefix="0" xfId="36"/>
    <xf numFmtId="167" fontId="3" fillId="0" borderId="78" pivotButton="0" quotePrefix="0" xfId="36"/>
    <xf numFmtId="167" fontId="10" fillId="2" borderId="78" pivotButton="0" quotePrefix="0" xfId="36"/>
    <xf numFmtId="167" fontId="3" fillId="0" borderId="81" pivotButton="0" quotePrefix="0" xfId="36"/>
    <xf numFmtId="167" fontId="3" fillId="0" borderId="82" pivotButton="0" quotePrefix="0" xfId="36"/>
    <xf numFmtId="167" fontId="3" fillId="0" borderId="81" pivotButton="0" quotePrefix="0" xfId="0"/>
    <xf numFmtId="167" fontId="3" fillId="0" borderId="80" pivotButton="0" quotePrefix="0" xfId="0"/>
    <xf numFmtId="167" fontId="3" fillId="0" borderId="107" pivotButton="0" quotePrefix="0" xfId="0"/>
    <xf numFmtId="167" fontId="3" fillId="0" borderId="83" pivotButton="0" quotePrefix="0" xfId="0"/>
    <xf numFmtId="167" fontId="11" fillId="2" borderId="84" pivotButton="0" quotePrefix="0" xfId="36"/>
    <xf numFmtId="167" fontId="11" fillId="2" borderId="77" pivotButton="0" quotePrefix="0" xfId="36"/>
    <xf numFmtId="167" fontId="3" fillId="0" borderId="82" pivotButton="0" quotePrefix="0" xfId="0"/>
    <xf numFmtId="167" fontId="3" fillId="0" borderId="114" pivotButton="0" quotePrefix="0" xfId="0"/>
    <xf numFmtId="167" fontId="11" fillId="2" borderId="38" applyAlignment="1" pivotButton="0" quotePrefix="0" xfId="2">
      <alignment horizontal="center"/>
    </xf>
    <xf numFmtId="167" fontId="11" fillId="0" borderId="77" applyAlignment="1" pivotButton="0" quotePrefix="0" xfId="36">
      <alignment horizontal="center"/>
    </xf>
    <xf numFmtId="167" fontId="11" fillId="0" borderId="82" applyAlignment="1" pivotButton="0" quotePrefix="0" xfId="36">
      <alignment horizontal="center"/>
    </xf>
    <xf numFmtId="164" fontId="3" fillId="0" borderId="108" applyAlignment="1" pivotButton="0" quotePrefix="0" xfId="0">
      <alignment horizontal="left" indent="1"/>
    </xf>
    <xf numFmtId="167" fontId="3" fillId="0" borderId="50" pivotButton="0" quotePrefix="0" xfId="0"/>
    <xf numFmtId="167" fontId="10" fillId="3" borderId="4" pivotButton="0" quotePrefix="0" xfId="2"/>
    <xf numFmtId="167" fontId="3" fillId="0" borderId="53" pivotButton="0" quotePrefix="0" xfId="0"/>
    <xf numFmtId="167" fontId="10" fillId="4" borderId="37" pivotButton="0" quotePrefix="0" xfId="2"/>
    <xf numFmtId="167" fontId="3" fillId="0" borderId="35" pivotButton="0" quotePrefix="0" xfId="36"/>
    <xf numFmtId="167" fontId="3" fillId="0" borderId="105" pivotButton="0" quotePrefix="0" xfId="0"/>
    <xf numFmtId="167" fontId="3" fillId="0" borderId="43" pivotButton="0" quotePrefix="0" xfId="0"/>
    <xf numFmtId="167" fontId="11" fillId="2" borderId="93" applyAlignment="1" pivotButton="0" quotePrefix="0" xfId="2">
      <alignment horizontal="center"/>
    </xf>
    <xf numFmtId="167" fontId="11" fillId="0" borderId="34" applyAlignment="1" pivotButton="0" quotePrefix="0" xfId="2">
      <alignment horizontal="center"/>
    </xf>
    <xf numFmtId="167" fontId="11" fillId="0" borderId="92" applyAlignment="1" pivotButton="0" quotePrefix="0" xfId="2">
      <alignment horizontal="center"/>
    </xf>
    <xf numFmtId="164" fontId="11" fillId="2" borderId="57" applyAlignment="1" pivotButton="0" quotePrefix="0" xfId="2">
      <alignment horizontal="center" vertical="center"/>
    </xf>
    <xf numFmtId="164" fontId="11" fillId="2" borderId="119" pivotButton="0" quotePrefix="0" xfId="2"/>
    <xf numFmtId="164" fontId="3" fillId="0" borderId="117" pivotButton="0" quotePrefix="0" xfId="0"/>
    <xf numFmtId="164" fontId="3" fillId="0" borderId="120" pivotButton="0" quotePrefix="0" xfId="0"/>
    <xf numFmtId="164" fontId="3" fillId="0" borderId="116" pivotButton="0" quotePrefix="0" xfId="0"/>
    <xf numFmtId="164" fontId="8" fillId="0" borderId="16" pivotButton="0" quotePrefix="0" xfId="1"/>
    <xf numFmtId="164" fontId="12" fillId="2" borderId="2" applyAlignment="1" pivotButton="0" quotePrefix="0" xfId="2">
      <alignment horizontal="center" vertical="center"/>
    </xf>
    <xf numFmtId="164" fontId="8" fillId="0" borderId="25" pivotButton="0" quotePrefix="0" xfId="1"/>
    <xf numFmtId="164" fontId="8" fillId="0" borderId="55" pivotButton="0" quotePrefix="0" xfId="1"/>
    <xf numFmtId="164" fontId="10" fillId="0" borderId="119" applyAlignment="1" pivotButton="0" quotePrefix="0" xfId="2">
      <alignment horizontal="center"/>
    </xf>
    <xf numFmtId="164" fontId="10" fillId="0" borderId="0" pivotButton="0" quotePrefix="0" xfId="2"/>
    <xf numFmtId="167" fontId="10" fillId="0" borderId="0" pivotButton="0" quotePrefix="0" xfId="2"/>
    <xf numFmtId="9" fontId="10" fillId="0" borderId="0" pivotButton="0" quotePrefix="0" xfId="2"/>
    <xf numFmtId="0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9" fontId="9" fillId="8" borderId="2" pivotButton="0" quotePrefix="0" xfId="0"/>
    <xf numFmtId="9" fontId="0" fillId="0" borderId="2" applyAlignment="1" pivotButton="0" quotePrefix="0" xfId="0">
      <alignment horizontal="center"/>
    </xf>
    <xf numFmtId="9" fontId="9" fillId="8" borderId="2" applyAlignment="1" pivotButton="0" quotePrefix="0" xfId="0">
      <alignment horizontal="center"/>
    </xf>
    <xf numFmtId="0" fontId="20" fillId="0" borderId="0" pivotButton="0" quotePrefix="0" xfId="0"/>
    <xf numFmtId="164" fontId="8" fillId="0" borderId="28" pivotButton="0" quotePrefix="0" xfId="1"/>
    <xf numFmtId="164" fontId="8" fillId="0" borderId="2" pivotButton="0" quotePrefix="0" xfId="1"/>
    <xf numFmtId="164" fontId="8" fillId="0" borderId="19" pivotButton="0" quotePrefix="0" xfId="1"/>
    <xf numFmtId="165" fontId="11" fillId="2" borderId="0" pivotButton="0" quotePrefix="0" xfId="2"/>
    <xf numFmtId="0" fontId="9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 wrapText="1"/>
    </xf>
    <xf numFmtId="0" fontId="9" fillId="9" borderId="57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/>
    </xf>
    <xf numFmtId="9" fontId="9" fillId="5" borderId="2" applyAlignment="1" pivotButton="0" quotePrefix="0" xfId="0">
      <alignment horizontal="center"/>
    </xf>
    <xf numFmtId="9" fontId="9" fillId="5" borderId="2" pivotButton="0" quotePrefix="0" xfId="0"/>
    <xf numFmtId="0" fontId="9" fillId="5" borderId="57" applyAlignment="1" pivotButton="0" quotePrefix="0" xfId="0">
      <alignment horizontal="center" vertical="center"/>
    </xf>
    <xf numFmtId="3" fontId="9" fillId="9" borderId="2" applyAlignment="1" pivotButton="0" quotePrefix="0" xfId="0">
      <alignment horizontal="center"/>
    </xf>
    <xf numFmtId="9" fontId="9" fillId="9" borderId="2" pivotButton="0" quotePrefix="0" xfId="0"/>
    <xf numFmtId="0" fontId="13" fillId="0" borderId="121" applyAlignment="1" pivotButton="0" quotePrefix="0" xfId="0">
      <alignment vertical="center"/>
    </xf>
    <xf numFmtId="164" fontId="12" fillId="0" borderId="121" applyAlignment="1" pivotButton="0" quotePrefix="0" xfId="2">
      <alignment vertical="center"/>
    </xf>
    <xf numFmtId="164" fontId="4" fillId="0" borderId="121" applyAlignment="1" pivotButton="0" quotePrefix="0" xfId="2">
      <alignment vertical="center"/>
    </xf>
    <xf numFmtId="164" fontId="11" fillId="2" borderId="48" pivotButton="0" quotePrefix="0" xfId="2"/>
    <xf numFmtId="164" fontId="10" fillId="2" borderId="122" pivotButton="0" quotePrefix="0" xfId="2"/>
    <xf numFmtId="164" fontId="10" fillId="2" borderId="29" pivotButton="0" quotePrefix="0" xfId="2"/>
    <xf numFmtId="164" fontId="10" fillId="2" borderId="65" pivotButton="0" quotePrefix="0" xfId="2"/>
    <xf numFmtId="167" fontId="10" fillId="2" borderId="66" pivotButton="0" quotePrefix="0" xfId="2"/>
    <xf numFmtId="164" fontId="10" fillId="0" borderId="29" pivotButton="0" quotePrefix="0" xfId="2"/>
    <xf numFmtId="9" fontId="10" fillId="2" borderId="66" pivotButton="0" quotePrefix="0" xfId="2"/>
    <xf numFmtId="167" fontId="10" fillId="2" borderId="123" pivotButton="0" quotePrefix="0" xfId="36"/>
    <xf numFmtId="3" fontId="8" fillId="0" borderId="0" pivotButton="0" quotePrefix="0" xfId="1"/>
    <xf numFmtId="0" fontId="9" fillId="6" borderId="0" applyAlignment="1" pivotButton="0" quotePrefix="0" xfId="0">
      <alignment horizontal="center" vertical="center" wrapText="1"/>
    </xf>
    <xf numFmtId="164" fontId="11" fillId="2" borderId="16" pivotButton="0" quotePrefix="0" xfId="2"/>
    <xf numFmtId="0" fontId="9" fillId="9" borderId="0" applyAlignment="1" pivotButton="0" quotePrefix="0" xfId="0">
      <alignment horizontal="center" vertical="center" wrapText="1"/>
    </xf>
    <xf numFmtId="164" fontId="12" fillId="0" borderId="56" applyAlignment="1" pivotButton="0" quotePrefix="0" xfId="2">
      <alignment horizontal="center" vertical="center"/>
    </xf>
    <xf numFmtId="167" fontId="15" fillId="2" borderId="0" applyAlignment="1" pivotButton="0" quotePrefix="0" xfId="2">
      <alignment horizontal="center"/>
    </xf>
    <xf numFmtId="164" fontId="10" fillId="2" borderId="0" applyAlignment="1" pivotButton="0" quotePrefix="0" xfId="2">
      <alignment horizontal="center"/>
    </xf>
    <xf numFmtId="167" fontId="0" fillId="0" borderId="2" pivotButton="0" quotePrefix="0" xfId="0"/>
    <xf numFmtId="10" fontId="0" fillId="0" borderId="2" pivotButton="0" quotePrefix="0" xfId="0"/>
    <xf numFmtId="9" fontId="0" fillId="0" borderId="3" pivotButton="0" quotePrefix="0" xfId="0"/>
    <xf numFmtId="9" fontId="10" fillId="2" borderId="2" pivotButton="0" quotePrefix="0" xfId="2"/>
    <xf numFmtId="164" fontId="15" fillId="2" borderId="0" applyAlignment="1" pivotButton="0" quotePrefix="0" xfId="2">
      <alignment horizontal="center"/>
    </xf>
    <xf numFmtId="0" fontId="9" fillId="5" borderId="0" applyAlignment="1" pivotButton="0" quotePrefix="0" xfId="0">
      <alignment horizontal="center" vertical="center"/>
    </xf>
    <xf numFmtId="164" fontId="21" fillId="2" borderId="0" applyAlignment="1" pivotButton="0" quotePrefix="0" xfId="2">
      <alignment horizontal="center"/>
    </xf>
    <xf numFmtId="164" fontId="12" fillId="0" borderId="45" applyAlignment="1" pivotButton="0" quotePrefix="0" xfId="2">
      <alignment horizontal="center" vertical="center"/>
    </xf>
    <xf numFmtId="164" fontId="12" fillId="0" borderId="7" applyAlignment="1" pivotButton="0" quotePrefix="0" xfId="2">
      <alignment vertical="center"/>
    </xf>
    <xf numFmtId="164" fontId="12" fillId="0" borderId="45" applyAlignment="1" pivotButton="0" quotePrefix="0" xfId="2">
      <alignment vertical="center"/>
    </xf>
    <xf numFmtId="164" fontId="12" fillId="0" borderId="49" applyAlignment="1" pivotButton="0" quotePrefix="0" xfId="2">
      <alignment vertical="center"/>
    </xf>
    <xf numFmtId="164" fontId="13" fillId="0" borderId="1" applyAlignment="1" pivotButton="0" quotePrefix="0" xfId="2">
      <alignment vertical="center"/>
    </xf>
    <xf numFmtId="164" fontId="5" fillId="0" borderId="2" applyAlignment="1" pivotButton="0" quotePrefix="0" xfId="2">
      <alignment vertical="center"/>
    </xf>
    <xf numFmtId="164" fontId="12" fillId="0" borderId="71" applyAlignment="1" pivotButton="0" quotePrefix="0" xfId="2">
      <alignment vertical="center"/>
    </xf>
    <xf numFmtId="164" fontId="13" fillId="0" borderId="65" applyAlignment="1" pivotButton="0" quotePrefix="0" xfId="2">
      <alignment vertical="center"/>
    </xf>
    <xf numFmtId="164" fontId="3" fillId="0" borderId="16" applyAlignment="1" pivotButton="0" quotePrefix="0" xfId="0">
      <alignment horizontal="right"/>
    </xf>
    <xf numFmtId="164" fontId="3" fillId="0" borderId="27" applyAlignment="1" pivotButton="0" quotePrefix="0" xfId="0">
      <alignment horizontal="left"/>
    </xf>
    <xf numFmtId="167" fontId="3" fillId="0" borderId="51" pivotButton="0" quotePrefix="0" xfId="0"/>
    <xf numFmtId="164" fontId="3" fillId="0" borderId="100" pivotButton="0" quotePrefix="0" xfId="0"/>
    <xf numFmtId="167" fontId="3" fillId="0" borderId="84" pivotButton="0" quotePrefix="0" xfId="0"/>
    <xf numFmtId="164" fontId="3" fillId="0" borderId="48" applyAlignment="1" pivotButton="0" quotePrefix="0" xfId="0">
      <alignment horizontal="left"/>
    </xf>
    <xf numFmtId="167" fontId="3" fillId="0" borderId="116" pivotButton="0" quotePrefix="0" xfId="36"/>
    <xf numFmtId="167" fontId="3" fillId="0" borderId="84" pivotButton="0" quotePrefix="0" xfId="36"/>
    <xf numFmtId="9" fontId="3" fillId="0" borderId="50" pivotButton="0" quotePrefix="0" xfId="36"/>
    <xf numFmtId="9" fontId="3" fillId="0" borderId="51" pivotButton="0" quotePrefix="0" xfId="36"/>
    <xf numFmtId="164" fontId="3" fillId="0" borderId="71" pivotButton="0" quotePrefix="0" xfId="0"/>
    <xf numFmtId="167" fontId="3" fillId="2" borderId="0" applyAlignment="1" pivotButton="0" quotePrefix="0" xfId="2">
      <alignment horizontal="center"/>
    </xf>
    <xf numFmtId="9" fontId="0" fillId="0" borderId="0" applyAlignment="1" pivotButton="0" quotePrefix="0" xfId="0">
      <alignment horizontal="center"/>
    </xf>
    <xf numFmtId="164" fontId="12" fillId="0" borderId="3" applyAlignment="1" pivotButton="0" quotePrefix="0" xfId="2">
      <alignment vertical="center"/>
    </xf>
    <xf numFmtId="164" fontId="12" fillId="0" borderId="54" applyAlignment="1" pivotButton="0" quotePrefix="0" xfId="2">
      <alignment horizontal="center" vertical="center"/>
    </xf>
    <xf numFmtId="164" fontId="12" fillId="0" borderId="49" applyAlignment="1" pivotButton="0" quotePrefix="0" xfId="2">
      <alignment horizontal="center" vertical="center"/>
    </xf>
    <xf numFmtId="167" fontId="11" fillId="2" borderId="83" pivotButton="0" quotePrefix="0" xfId="36"/>
    <xf numFmtId="164" fontId="3" fillId="0" borderId="95" pivotButton="0" quotePrefix="0" xfId="0"/>
    <xf numFmtId="167" fontId="3" fillId="0" borderId="66" pivotButton="0" quotePrefix="0" xfId="0"/>
    <xf numFmtId="164" fontId="3" fillId="0" borderId="122" pivotButton="0" quotePrefix="0" xfId="0"/>
    <xf numFmtId="164" fontId="11" fillId="2" borderId="61" applyAlignment="1" pivotButton="0" quotePrefix="0" xfId="2">
      <alignment horizontal="left" vertical="center"/>
    </xf>
    <xf numFmtId="164" fontId="3" fillId="0" borderId="16" applyAlignment="1" pivotButton="0" quotePrefix="0" xfId="0">
      <alignment horizontal="left"/>
    </xf>
    <xf numFmtId="164" fontId="3" fillId="0" borderId="9" applyAlignment="1" pivotButton="0" quotePrefix="0" xfId="0">
      <alignment horizontal="right" indent="1"/>
    </xf>
    <xf numFmtId="164" fontId="12" fillId="0" borderId="70" applyAlignment="1" pivotButton="0" quotePrefix="0" xfId="2">
      <alignment vertical="center"/>
    </xf>
    <xf numFmtId="164" fontId="12" fillId="0" borderId="1" applyAlignment="1" pivotButton="0" quotePrefix="0" xfId="2">
      <alignment vertical="center"/>
    </xf>
    <xf numFmtId="164" fontId="12" fillId="0" borderId="54" applyAlignment="1" pivotButton="0" quotePrefix="0" xfId="2">
      <alignment vertical="center"/>
    </xf>
    <xf numFmtId="164" fontId="12" fillId="0" borderId="56" applyAlignment="1" pivotButton="0" quotePrefix="0" xfId="2">
      <alignment vertical="center"/>
    </xf>
    <xf numFmtId="164" fontId="12" fillId="0" borderId="124" applyAlignment="1" pivotButton="0" quotePrefix="0" xfId="2">
      <alignment vertical="center"/>
    </xf>
    <xf numFmtId="164" fontId="10" fillId="7" borderId="32" pivotButton="0" quotePrefix="0" xfId="2"/>
    <xf numFmtId="167" fontId="10" fillId="7" borderId="37" pivotButton="0" quotePrefix="0" xfId="2"/>
    <xf numFmtId="164" fontId="10" fillId="7" borderId="128" pivotButton="0" quotePrefix="0" xfId="2"/>
    <xf numFmtId="164" fontId="10" fillId="7" borderId="129" pivotButton="0" quotePrefix="0" xfId="2"/>
    <xf numFmtId="167" fontId="10" fillId="7" borderId="130" pivotButton="0" quotePrefix="0" xfId="2"/>
    <xf numFmtId="10" fontId="10" fillId="7" borderId="31" pivotButton="0" quotePrefix="0" xfId="2"/>
    <xf numFmtId="167" fontId="10" fillId="7" borderId="127" pivotButton="0" quotePrefix="0" xfId="2"/>
    <xf numFmtId="10" fontId="10" fillId="7" borderId="126" pivotButton="0" quotePrefix="0" xfId="2"/>
    <xf numFmtId="9" fontId="10" fillId="7" borderId="130" pivotButton="0" quotePrefix="0" xfId="2"/>
    <xf numFmtId="164" fontId="11" fillId="0" borderId="16" applyAlignment="1" pivotButton="0" quotePrefix="0" xfId="6">
      <alignment horizontal="center"/>
    </xf>
    <xf numFmtId="9" fontId="9" fillId="0" borderId="0" pivotButton="0" quotePrefix="0" xfId="0"/>
    <xf numFmtId="164" fontId="7" fillId="0" borderId="0" pivotButton="0" quotePrefix="0" xfId="2"/>
    <xf numFmtId="164" fontId="11" fillId="2" borderId="29" pivotButton="0" quotePrefix="0" xfId="2"/>
    <xf numFmtId="167" fontId="10" fillId="2" borderId="4" pivotButton="0" quotePrefix="0" xfId="36"/>
    <xf numFmtId="167" fontId="3" fillId="0" borderId="40" pivotButton="0" quotePrefix="0" xfId="36"/>
    <xf numFmtId="10" fontId="11" fillId="0" borderId="82" applyAlignment="1" pivotButton="0" quotePrefix="0" xfId="36">
      <alignment horizontal="center"/>
    </xf>
    <xf numFmtId="10" fontId="2" fillId="7" borderId="125" pivotButton="0" quotePrefix="0" xfId="2"/>
    <xf numFmtId="167" fontId="10" fillId="7" borderId="131" pivotButton="0" quotePrefix="0" xfId="2"/>
    <xf numFmtId="169" fontId="3" fillId="0" borderId="16" applyAlignment="1" pivotButton="0" quotePrefix="0" xfId="3">
      <alignment horizontal="center"/>
    </xf>
    <xf numFmtId="170" fontId="8" fillId="0" borderId="0" pivotButton="0" quotePrefix="0" xfId="1"/>
    <xf numFmtId="164" fontId="12" fillId="2" borderId="0" pivotButton="0" quotePrefix="0" xfId="36"/>
    <xf numFmtId="164" fontId="12" fillId="0" borderId="1" applyAlignment="1" pivotButton="0" quotePrefix="0" xfId="2">
      <alignment horizontal="center" vertical="center"/>
    </xf>
    <xf numFmtId="164" fontId="12" fillId="0" borderId="8" applyAlignment="1" pivotButton="0" quotePrefix="0" xfId="2">
      <alignment horizontal="center" vertical="center"/>
    </xf>
    <xf numFmtId="164" fontId="12" fillId="0" borderId="65" applyAlignment="1" pivotButton="0" quotePrefix="0" xfId="2">
      <alignment horizontal="center" vertical="center"/>
    </xf>
    <xf numFmtId="164" fontId="12" fillId="0" borderId="3" applyAlignment="1" pivotButton="0" quotePrefix="0" xfId="2">
      <alignment horizontal="center" vertical="center"/>
    </xf>
    <xf numFmtId="165" fontId="11" fillId="2" borderId="0" applyAlignment="1" pivotButton="0" quotePrefix="0" xfId="2">
      <alignment horizontal="center"/>
    </xf>
    <xf numFmtId="164" fontId="3" fillId="2" borderId="0" applyAlignment="1" pivotButton="0" quotePrefix="0" xfId="2">
      <alignment horizontal="center"/>
    </xf>
    <xf numFmtId="3" fontId="8" fillId="0" borderId="16" pivotButton="0" quotePrefix="0" xfId="1"/>
    <xf numFmtId="164" fontId="10" fillId="7" borderId="8" applyAlignment="1" pivotButton="0" quotePrefix="0" xfId="2">
      <alignment horizontal="center" vertical="center"/>
    </xf>
    <xf numFmtId="164" fontId="10" fillId="7" borderId="65" applyAlignment="1" pivotButton="0" quotePrefix="0" xfId="2">
      <alignment horizontal="center" vertical="center"/>
    </xf>
    <xf numFmtId="164" fontId="10" fillId="7" borderId="125" applyAlignment="1" pivotButton="0" quotePrefix="0" xfId="2">
      <alignment horizontal="center" vertical="center" wrapText="1"/>
    </xf>
    <xf numFmtId="164" fontId="10" fillId="7" borderId="126" applyAlignment="1" pivotButton="0" quotePrefix="0" xfId="2">
      <alignment horizontal="center" vertical="center" wrapText="1"/>
    </xf>
    <xf numFmtId="167" fontId="10" fillId="7" borderId="127" applyAlignment="1" pivotButton="0" quotePrefix="0" xfId="2">
      <alignment horizontal="center" vertical="center" wrapText="1"/>
    </xf>
    <xf numFmtId="0" fontId="12" fillId="2" borderId="54" applyAlignment="1" pivotButton="0" quotePrefix="0" xfId="0">
      <alignment vertical="center"/>
    </xf>
    <xf numFmtId="164" fontId="23" fillId="2" borderId="0" applyAlignment="1" pivotButton="0" quotePrefix="0" xfId="2">
      <alignment horizontal="center"/>
    </xf>
    <xf numFmtId="0" fontId="3" fillId="0" borderId="47" pivotButton="0" quotePrefix="0" xfId="0"/>
    <xf numFmtId="0" fontId="3" fillId="0" borderId="15" pivotButton="0" quotePrefix="0" xfId="0"/>
    <xf numFmtId="164" fontId="24" fillId="2" borderId="0" applyAlignment="1" pivotButton="0" quotePrefix="0" xfId="2">
      <alignment horizontal="center"/>
    </xf>
    <xf numFmtId="164" fontId="13" fillId="10" borderId="2" applyAlignment="1" pivotButton="0" quotePrefix="0" xfId="2">
      <alignment horizontal="center" vertical="center"/>
    </xf>
    <xf numFmtId="164" fontId="13" fillId="10" borderId="65" applyAlignment="1" pivotButton="0" quotePrefix="0" xfId="2">
      <alignment horizontal="center" vertical="center"/>
    </xf>
    <xf numFmtId="1" fontId="10" fillId="10" borderId="125" applyAlignment="1" pivotButton="0" quotePrefix="0" xfId="0">
      <alignment horizontal="center" vertical="center"/>
    </xf>
    <xf numFmtId="164" fontId="10" fillId="10" borderId="126" applyAlignment="1" pivotButton="0" quotePrefix="0" xfId="0">
      <alignment horizontal="center"/>
    </xf>
    <xf numFmtId="167" fontId="10" fillId="10" borderId="127" applyAlignment="1" pivotButton="0" quotePrefix="0" xfId="0">
      <alignment horizontal="center"/>
    </xf>
    <xf numFmtId="164" fontId="10" fillId="10" borderId="91" applyAlignment="1" pivotButton="0" quotePrefix="0" xfId="2">
      <alignment horizontal="center" vertical="center" wrapText="1"/>
    </xf>
    <xf numFmtId="164" fontId="10" fillId="10" borderId="89" applyAlignment="1" pivotButton="0" quotePrefix="0" xfId="2">
      <alignment horizontal="center" vertical="center" wrapText="1"/>
    </xf>
    <xf numFmtId="167" fontId="10" fillId="10" borderId="92" applyAlignment="1" pivotButton="0" quotePrefix="0" xfId="2">
      <alignment horizontal="center" vertical="center" wrapText="1"/>
    </xf>
    <xf numFmtId="164" fontId="10" fillId="10" borderId="24" pivotButton="0" quotePrefix="0" xfId="2"/>
    <xf numFmtId="164" fontId="10" fillId="10" borderId="2" pivotButton="0" quotePrefix="0" xfId="2"/>
    <xf numFmtId="167" fontId="10" fillId="10" borderId="4" pivotButton="0" quotePrefix="0" xfId="2"/>
    <xf numFmtId="164" fontId="10" fillId="10" borderId="31" pivotButton="0" quotePrefix="0" xfId="2"/>
    <xf numFmtId="164" fontId="10" fillId="10" borderId="32" pivotButton="0" quotePrefix="0" xfId="2"/>
    <xf numFmtId="167" fontId="10" fillId="10" borderId="37" pivotButton="0" quotePrefix="0" xfId="2"/>
    <xf numFmtId="164" fontId="10" fillId="10" borderId="128" pivotButton="0" quotePrefix="0" xfId="2"/>
    <xf numFmtId="164" fontId="10" fillId="10" borderId="129" pivotButton="0" quotePrefix="0" xfId="2"/>
    <xf numFmtId="167" fontId="10" fillId="10" borderId="130" pivotButton="0" quotePrefix="0" xfId="2"/>
    <xf numFmtId="164" fontId="10" fillId="10" borderId="94" pivotButton="0" quotePrefix="0" xfId="2"/>
    <xf numFmtId="164" fontId="10" fillId="10" borderId="90" pivotButton="0" quotePrefix="0" xfId="2"/>
    <xf numFmtId="167" fontId="10" fillId="10" borderId="93" pivotButton="0" quotePrefix="0" xfId="2"/>
    <xf numFmtId="10" fontId="10" fillId="10" borderId="31" pivotButton="0" quotePrefix="0" xfId="2"/>
    <xf numFmtId="164" fontId="10" fillId="10" borderId="125" pivotButton="0" quotePrefix="0" xfId="2"/>
    <xf numFmtId="164" fontId="10" fillId="10" borderId="126" pivotButton="0" quotePrefix="0" xfId="2"/>
    <xf numFmtId="167" fontId="10" fillId="10" borderId="127" pivotButton="0" quotePrefix="0" xfId="2"/>
    <xf numFmtId="10" fontId="10" fillId="10" borderId="125" pivotButton="0" quotePrefix="0" xfId="2"/>
    <xf numFmtId="10" fontId="10" fillId="10" borderId="126" pivotButton="0" quotePrefix="0" xfId="2"/>
    <xf numFmtId="164" fontId="13" fillId="10" borderId="2" applyAlignment="1" pivotButton="0" quotePrefix="0" xfId="2">
      <alignment vertical="center"/>
    </xf>
    <xf numFmtId="164" fontId="25" fillId="10" borderId="65" applyAlignment="1" pivotButton="0" quotePrefix="0" xfId="2">
      <alignment vertical="center"/>
    </xf>
    <xf numFmtId="164" fontId="10" fillId="10" borderId="126" pivotButton="0" quotePrefix="0" xfId="0"/>
    <xf numFmtId="164" fontId="10" fillId="10" borderId="127" pivotButton="0" quotePrefix="0" xfId="0"/>
    <xf numFmtId="164" fontId="10" fillId="10" borderId="92" applyAlignment="1" pivotButton="0" quotePrefix="0" xfId="2">
      <alignment horizontal="center" vertical="center" wrapText="1"/>
    </xf>
    <xf numFmtId="9" fontId="10" fillId="10" borderId="4" pivotButton="0" quotePrefix="0" xfId="2"/>
    <xf numFmtId="9" fontId="10" fillId="10" borderId="93" pivotButton="0" quotePrefix="0" xfId="2"/>
    <xf numFmtId="9" fontId="10" fillId="10" borderId="37" pivotButton="0" quotePrefix="0" xfId="2"/>
    <xf numFmtId="9" fontId="10" fillId="10" borderId="130" pivotButton="0" quotePrefix="0" xfId="2"/>
    <xf numFmtId="9" fontId="10" fillId="10" borderId="127" pivotButton="0" quotePrefix="0" xfId="2"/>
    <xf numFmtId="10" fontId="10" fillId="10" borderId="127" pivotButton="0" quotePrefix="0" xfId="2"/>
    <xf numFmtId="171" fontId="3" fillId="0" borderId="34" pivotButton="0" quotePrefix="0" xfId="0"/>
    <xf numFmtId="164" fontId="11" fillId="2" borderId="94" applyAlignment="1" pivotButton="0" quotePrefix="0" xfId="36">
      <alignment horizontal="center"/>
    </xf>
    <xf numFmtId="0" fontId="13" fillId="10" borderId="2" applyAlignment="1" pivotButton="0" quotePrefix="0" xfId="0">
      <alignment horizontal="right" vertical="center"/>
    </xf>
    <xf numFmtId="0" fontId="13" fillId="10" borderId="72" applyAlignment="1" pivotButton="0" quotePrefix="0" xfId="0">
      <alignment vertical="center"/>
    </xf>
    <xf numFmtId="0" fontId="13" fillId="10" borderId="58" applyAlignment="1" pivotButton="0" quotePrefix="0" xfId="0">
      <alignment vertical="center"/>
    </xf>
    <xf numFmtId="165" fontId="13" fillId="10" borderId="58" applyAlignment="1" pivotButton="0" quotePrefix="0" xfId="2">
      <alignment horizontal="center" vertical="center" wrapText="1"/>
    </xf>
    <xf numFmtId="165" fontId="13" fillId="10" borderId="72" applyAlignment="1" pivotButton="0" quotePrefix="0" xfId="2">
      <alignment vertical="center"/>
    </xf>
    <xf numFmtId="165" fontId="13" fillId="10" borderId="132" applyAlignment="1" pivotButton="0" quotePrefix="0" xfId="2">
      <alignment horizontal="center" vertical="center" wrapText="1"/>
    </xf>
    <xf numFmtId="165" fontId="13" fillId="10" borderId="58" applyAlignment="1" pivotButton="0" quotePrefix="0" xfId="2">
      <alignment vertical="center"/>
    </xf>
    <xf numFmtId="164" fontId="10" fillId="10" borderId="133" applyAlignment="1" pivotButton="0" quotePrefix="0" xfId="2">
      <alignment horizontal="center" vertical="center" wrapText="1"/>
    </xf>
    <xf numFmtId="164" fontId="10" fillId="10" borderId="10" applyAlignment="1" pivotButton="0" quotePrefix="0" xfId="2">
      <alignment horizontal="center"/>
    </xf>
    <xf numFmtId="164" fontId="10" fillId="10" borderId="134" applyAlignment="1" pivotButton="0" quotePrefix="0" xfId="2">
      <alignment horizontal="right"/>
    </xf>
    <xf numFmtId="164" fontId="10" fillId="10" borderId="26" applyAlignment="1" pivotButton="0" quotePrefix="0" xfId="2">
      <alignment horizontal="center"/>
    </xf>
    <xf numFmtId="164" fontId="10" fillId="10" borderId="135" applyAlignment="1" pivotButton="0" quotePrefix="0" xfId="2">
      <alignment horizontal="center"/>
    </xf>
    <xf numFmtId="164" fontId="10" fillId="10" borderId="12" applyAlignment="1" pivotButton="0" quotePrefix="0" xfId="2">
      <alignment horizontal="center"/>
    </xf>
    <xf numFmtId="164" fontId="10" fillId="10" borderId="109" applyAlignment="1" pivotButton="0" quotePrefix="0" xfId="2">
      <alignment horizontal="right"/>
    </xf>
    <xf numFmtId="164" fontId="25" fillId="10" borderId="134" applyAlignment="1" pivotButton="0" quotePrefix="0" xfId="2">
      <alignment horizontal="right"/>
    </xf>
    <xf numFmtId="164" fontId="10" fillId="10" borderId="134" applyAlignment="1" pivotButton="0" quotePrefix="0" xfId="2">
      <alignment horizontal="center"/>
    </xf>
    <xf numFmtId="3" fontId="10" fillId="10" borderId="125" pivotButton="0" quotePrefix="0" xfId="2"/>
    <xf numFmtId="3" fontId="10" fillId="10" borderId="126" pivotButton="0" quotePrefix="0" xfId="2"/>
    <xf numFmtId="3" fontId="10" fillId="10" borderId="127" pivotButton="0" quotePrefix="0" xfId="2"/>
    <xf numFmtId="3" fontId="10" fillId="7" borderId="126" pivotButton="0" quotePrefix="0" xfId="2"/>
    <xf numFmtId="3" fontId="10" fillId="7" borderId="127" pivotButton="0" quotePrefix="0" xfId="2"/>
    <xf numFmtId="1" fontId="10" fillId="10" borderId="125" applyAlignment="1" pivotButton="0" quotePrefix="0" xfId="2">
      <alignment horizontal="center" vertical="center" wrapText="1"/>
    </xf>
    <xf numFmtId="164" fontId="10" fillId="10" borderId="127" applyAlignment="1" pivotButton="0" quotePrefix="0" xfId="0">
      <alignment horizontal="center"/>
    </xf>
    <xf numFmtId="164" fontId="10" fillId="10" borderId="127" pivotButton="0" quotePrefix="0" xfId="2"/>
    <xf numFmtId="10" fontId="2" fillId="10" borderId="125" pivotButton="0" quotePrefix="0" xfId="2"/>
    <xf numFmtId="167" fontId="0" fillId="0" borderId="2" applyAlignment="1" pivotButton="0" quotePrefix="0" xfId="0">
      <alignment horizontal="center"/>
    </xf>
    <xf numFmtId="167" fontId="11" fillId="2" borderId="0" applyAlignment="1" pivotButton="0" quotePrefix="0" xfId="36">
      <alignment horizontal="center"/>
    </xf>
    <xf numFmtId="10" fontId="10" fillId="10" borderId="125" applyAlignment="1" pivotButton="0" quotePrefix="0" xfId="2">
      <alignment horizontal="center"/>
    </xf>
    <xf numFmtId="164" fontId="10" fillId="10" borderId="125" applyAlignment="1" pivotButton="0" quotePrefix="0" xfId="2">
      <alignment horizontal="center" vertical="center" wrapText="1"/>
    </xf>
    <xf numFmtId="164" fontId="10" fillId="10" borderId="126" applyAlignment="1" pivotButton="0" quotePrefix="0" xfId="2">
      <alignment horizontal="center" vertical="center" wrapText="1"/>
    </xf>
    <xf numFmtId="167" fontId="10" fillId="10" borderId="127" applyAlignment="1" pivotButton="0" quotePrefix="0" xfId="2">
      <alignment horizontal="center" vertical="center" wrapText="1"/>
    </xf>
    <xf numFmtId="164" fontId="26" fillId="2" borderId="0" applyAlignment="1" pivotButton="0" quotePrefix="0" xfId="2">
      <alignment horizontal="center"/>
    </xf>
    <xf numFmtId="167" fontId="9" fillId="8" borderId="2" applyAlignment="1" pivotButton="0" quotePrefix="0" xfId="0">
      <alignment horizontal="center"/>
    </xf>
    <xf numFmtId="164" fontId="17" fillId="2" borderId="0" applyAlignment="1" pivotButton="0" quotePrefix="0" xfId="2">
      <alignment horizontal="center"/>
    </xf>
    <xf numFmtId="164" fontId="11" fillId="0" borderId="90" applyAlignment="1" pivotButton="0" quotePrefix="0" xfId="2">
      <alignment horizontal="center"/>
    </xf>
    <xf numFmtId="167" fontId="11" fillId="0" borderId="93" applyAlignment="1" pivotButton="0" quotePrefix="0" xfId="2">
      <alignment horizontal="center"/>
    </xf>
    <xf numFmtId="165" fontId="11" fillId="2" borderId="108" pivotButton="0" quotePrefix="0" xfId="2"/>
    <xf numFmtId="164" fontId="11" fillId="2" borderId="56" applyAlignment="1" pivotButton="0" quotePrefix="0" xfId="2">
      <alignment horizontal="center"/>
    </xf>
    <xf numFmtId="167" fontId="11" fillId="2" borderId="53" applyAlignment="1" pivotButton="0" quotePrefix="0" xfId="2">
      <alignment horizontal="center"/>
    </xf>
    <xf numFmtId="164" fontId="11" fillId="0" borderId="56" applyAlignment="1" pivotButton="0" quotePrefix="0" xfId="2">
      <alignment horizontal="center"/>
    </xf>
    <xf numFmtId="167" fontId="11" fillId="0" borderId="53" applyAlignment="1" pivotButton="0" quotePrefix="0" xfId="2">
      <alignment horizontal="center"/>
    </xf>
    <xf numFmtId="9" fontId="11" fillId="2" borderId="53" applyAlignment="1" pivotButton="0" quotePrefix="0" xfId="2">
      <alignment horizontal="center"/>
    </xf>
    <xf numFmtId="164" fontId="11" fillId="2" borderId="108" applyAlignment="1" pivotButton="0" quotePrefix="0" xfId="2">
      <alignment horizontal="center"/>
    </xf>
    <xf numFmtId="167" fontId="11" fillId="2" borderId="83" applyAlignment="1" pivotButton="0" quotePrefix="0" xfId="2">
      <alignment horizontal="center"/>
    </xf>
    <xf numFmtId="164" fontId="11" fillId="2" borderId="55" applyAlignment="1" pivotButton="0" quotePrefix="0" xfId="2">
      <alignment horizontal="center"/>
    </xf>
    <xf numFmtId="164" fontId="11" fillId="2" borderId="64" applyAlignment="1" pivotButton="0" quotePrefix="0" xfId="2">
      <alignment horizontal="center"/>
    </xf>
    <xf numFmtId="164" fontId="11" fillId="2" borderId="83" applyAlignment="1" pivotButton="0" quotePrefix="0" xfId="2">
      <alignment horizontal="center"/>
    </xf>
    <xf numFmtId="9" fontId="11" fillId="2" borderId="55" applyAlignment="1" pivotButton="0" quotePrefix="0" xfId="36">
      <alignment horizontal="center"/>
    </xf>
    <xf numFmtId="164" fontId="11" fillId="2" borderId="55" applyAlignment="1" pivotButton="0" quotePrefix="0" xfId="36">
      <alignment horizontal="center"/>
    </xf>
    <xf numFmtId="165" fontId="11" fillId="0" borderId="15" pivotButton="0" quotePrefix="0" xfId="2"/>
    <xf numFmtId="165" fontId="11" fillId="2" borderId="15" pivotButton="0" quotePrefix="0" xfId="2"/>
    <xf numFmtId="164" fontId="11" fillId="2" borderId="61" applyAlignment="1" pivotButton="0" quotePrefix="0" xfId="2">
      <alignment horizontal="center"/>
    </xf>
    <xf numFmtId="167" fontId="11" fillId="2" borderId="34" applyAlignment="1" pivotButton="0" quotePrefix="0" xfId="2">
      <alignment horizontal="center"/>
    </xf>
    <xf numFmtId="164" fontId="21" fillId="0" borderId="91" applyAlignment="1" pivotButton="0" quotePrefix="0" xfId="2">
      <alignment horizontal="center"/>
    </xf>
    <xf numFmtId="164" fontId="2" fillId="2" borderId="0" applyAlignment="1" pivotButton="0" quotePrefix="0" xfId="2">
      <alignment horizontal="center"/>
    </xf>
    <xf numFmtId="164" fontId="27" fillId="2" borderId="0" applyAlignment="1" pivotButton="0" quotePrefix="0" xfId="2">
      <alignment horizontal="center"/>
    </xf>
    <xf numFmtId="170" fontId="0" fillId="0" borderId="2" pivotButton="0" quotePrefix="0" xfId="0"/>
    <xf numFmtId="3" fontId="10" fillId="10" borderId="133" applyAlignment="1" pivotButton="0" quotePrefix="0" xfId="2">
      <alignment horizontal="center" vertical="center" wrapText="1"/>
    </xf>
    <xf numFmtId="3" fontId="10" fillId="10" borderId="126" applyAlignment="1" pivotButton="0" quotePrefix="0" xfId="2">
      <alignment horizontal="center" vertical="center" wrapText="1"/>
    </xf>
    <xf numFmtId="167" fontId="10" fillId="10" borderId="137" applyAlignment="1" pivotButton="0" quotePrefix="0" xfId="0">
      <alignment horizontal="center"/>
    </xf>
    <xf numFmtId="164" fontId="10" fillId="10" borderId="88" applyAlignment="1" pivotButton="0" quotePrefix="0" xfId="2">
      <alignment horizontal="center" vertical="center" wrapText="1"/>
    </xf>
    <xf numFmtId="167" fontId="10" fillId="10" borderId="82" applyAlignment="1" pivotButton="0" quotePrefix="0" xfId="2">
      <alignment horizontal="center" vertical="center" wrapText="1"/>
    </xf>
    <xf numFmtId="164" fontId="10" fillId="10" borderId="12" pivotButton="0" quotePrefix="0" xfId="2"/>
    <xf numFmtId="167" fontId="10" fillId="10" borderId="118" pivotButton="0" quotePrefix="0" xfId="2"/>
    <xf numFmtId="164" fontId="10" fillId="10" borderId="10" pivotButton="0" quotePrefix="0" xfId="2"/>
    <xf numFmtId="167" fontId="10" fillId="10" borderId="78" pivotButton="0" quotePrefix="0" xfId="2"/>
    <xf numFmtId="167" fontId="10" fillId="10" borderId="131" pivotButton="0" quotePrefix="0" xfId="2"/>
    <xf numFmtId="164" fontId="10" fillId="10" borderId="135" pivotButton="0" quotePrefix="0" xfId="2"/>
    <xf numFmtId="167" fontId="10" fillId="10" borderId="131" pivotButton="0" quotePrefix="0" xfId="36"/>
    <xf numFmtId="164" fontId="10" fillId="10" borderId="26" pivotButton="0" quotePrefix="0" xfId="2"/>
    <xf numFmtId="167" fontId="10" fillId="10" borderId="38" pivotButton="0" quotePrefix="0" xfId="2"/>
    <xf numFmtId="164" fontId="10" fillId="10" borderId="133" pivotButton="0" quotePrefix="0" xfId="2"/>
    <xf numFmtId="167" fontId="10" fillId="10" borderId="137" pivotButton="0" quotePrefix="0" xfId="2"/>
    <xf numFmtId="10" fontId="10" fillId="10" borderId="133" pivotButton="0" quotePrefix="0" xfId="2"/>
    <xf numFmtId="164" fontId="10" fillId="10" borderId="59" applyAlignment="1" pivotButton="0" quotePrefix="0" xfId="2">
      <alignment horizontal="center" vertical="center" wrapText="1"/>
    </xf>
    <xf numFmtId="164" fontId="10" fillId="10" borderId="82" applyAlignment="1" pivotButton="0" quotePrefix="0" xfId="2">
      <alignment horizontal="center" vertical="center" wrapText="1"/>
    </xf>
    <xf numFmtId="164" fontId="10" fillId="10" borderId="78" pivotButton="0" quotePrefix="0" xfId="2"/>
    <xf numFmtId="164" fontId="10" fillId="10" borderId="138" pivotButton="0" quotePrefix="0" xfId="2"/>
    <xf numFmtId="164" fontId="10" fillId="10" borderId="118" pivotButton="0" quotePrefix="0" xfId="2"/>
    <xf numFmtId="164" fontId="10" fillId="10" borderId="139" pivotButton="0" quotePrefix="0" xfId="2"/>
    <xf numFmtId="164" fontId="10" fillId="10" borderId="131" pivotButton="0" quotePrefix="0" xfId="2"/>
    <xf numFmtId="164" fontId="10" fillId="10" borderId="134" applyAlignment="1" pivotButton="0" quotePrefix="0" xfId="2">
      <alignment horizontal="center" vertical="center" wrapText="1"/>
    </xf>
    <xf numFmtId="164" fontId="10" fillId="10" borderId="137" applyAlignment="1" pivotButton="0" quotePrefix="0" xfId="2">
      <alignment horizontal="center" vertical="center" wrapText="1"/>
    </xf>
    <xf numFmtId="164" fontId="10" fillId="10" borderId="24" applyAlignment="1" pivotButton="0" quotePrefix="0" xfId="2">
      <alignment vertical="center"/>
    </xf>
    <xf numFmtId="164" fontId="10" fillId="10" borderId="2" applyAlignment="1" pivotButton="0" quotePrefix="0" xfId="2">
      <alignment vertical="center"/>
    </xf>
    <xf numFmtId="9" fontId="10" fillId="10" borderId="4" applyAlignment="1" pivotButton="0" quotePrefix="0" xfId="2">
      <alignment vertical="center"/>
    </xf>
    <xf numFmtId="164" fontId="10" fillId="10" borderId="11" applyAlignment="1" pivotButton="0" quotePrefix="0" xfId="2">
      <alignment vertical="center"/>
    </xf>
    <xf numFmtId="167" fontId="10" fillId="10" borderId="130" pivotButton="0" quotePrefix="0" xfId="36"/>
    <xf numFmtId="164" fontId="10" fillId="10" borderId="109" pivotButton="0" quotePrefix="0" xfId="2"/>
    <xf numFmtId="164" fontId="10" fillId="10" borderId="38" pivotButton="0" quotePrefix="0" xfId="2"/>
    <xf numFmtId="164" fontId="10" fillId="10" borderId="140" pivotButton="0" quotePrefix="0" xfId="2"/>
    <xf numFmtId="164" fontId="10" fillId="10" borderId="37" pivotButton="0" quotePrefix="0" xfId="2"/>
    <xf numFmtId="164" fontId="10" fillId="10" borderId="134" pivotButton="0" quotePrefix="0" xfId="2"/>
    <xf numFmtId="164" fontId="10" fillId="10" borderId="137" pivotButton="0" quotePrefix="0" xfId="2"/>
    <xf numFmtId="164" fontId="13" fillId="10" borderId="2" applyAlignment="1" pivotButton="0" quotePrefix="0" xfId="0">
      <alignment horizontal="center" vertical="center"/>
    </xf>
    <xf numFmtId="3" fontId="10" fillId="10" borderId="137" pivotButton="0" quotePrefix="0" xfId="2"/>
    <xf numFmtId="172" fontId="9" fillId="0" borderId="0" pivotButton="0" quotePrefix="0" xfId="0"/>
    <xf numFmtId="164" fontId="18" fillId="2" borderId="0" applyAlignment="1" pivotButton="0" quotePrefix="0" xfId="2">
      <alignment horizontal="center"/>
    </xf>
    <xf numFmtId="9" fontId="10" fillId="2" borderId="0" applyAlignment="1" pivotButton="0" quotePrefix="0" xfId="36">
      <alignment horizontal="center" vertical="center" wrapText="1"/>
    </xf>
    <xf numFmtId="173" fontId="18" fillId="2" borderId="0" pivotButton="0" quotePrefix="0" xfId="2"/>
    <xf numFmtId="10" fontId="11" fillId="2" borderId="83" applyAlignment="1" pivotButton="0" quotePrefix="0" xfId="2">
      <alignment horizontal="center"/>
    </xf>
    <xf numFmtId="167" fontId="10" fillId="2" borderId="0" applyAlignment="1" pivotButton="0" quotePrefix="0" xfId="36">
      <alignment horizontal="center"/>
    </xf>
    <xf numFmtId="164" fontId="28" fillId="2" borderId="0" applyAlignment="1" pivotButton="0" quotePrefix="0" xfId="2">
      <alignment horizontal="center"/>
    </xf>
    <xf numFmtId="164" fontId="22" fillId="2" borderId="0" pivotButton="0" quotePrefix="0" xfId="0"/>
    <xf numFmtId="164" fontId="13" fillId="13" borderId="2" applyAlignment="1" pivotButton="0" quotePrefix="0" xfId="2">
      <alignment horizontal="center" vertical="center"/>
    </xf>
    <xf numFmtId="164" fontId="11" fillId="2" borderId="110" pivotButton="0" quotePrefix="0" xfId="2"/>
    <xf numFmtId="164" fontId="11" fillId="0" borderId="59" applyAlignment="1" pivotButton="0" quotePrefix="0" xfId="2">
      <alignment horizontal="center"/>
    </xf>
    <xf numFmtId="3" fontId="10" fillId="13" borderId="134" applyAlignment="1" pivotButton="0" quotePrefix="0" xfId="2">
      <alignment horizontal="center" vertical="center" wrapText="1"/>
    </xf>
    <xf numFmtId="164" fontId="10" fillId="13" borderId="59" applyAlignment="1" pivotButton="0" quotePrefix="0" xfId="2">
      <alignment horizontal="center" vertical="center" wrapText="1"/>
    </xf>
    <xf numFmtId="164" fontId="10" fillId="13" borderId="11" pivotButton="0" quotePrefix="0" xfId="2"/>
    <xf numFmtId="164" fontId="10" fillId="13" borderId="138" pivotButton="0" quotePrefix="0" xfId="2"/>
    <xf numFmtId="164" fontId="10" fillId="13" borderId="139" pivotButton="0" quotePrefix="0" xfId="2"/>
    <xf numFmtId="164" fontId="10" fillId="13" borderId="109" pivotButton="0" quotePrefix="0" xfId="2"/>
    <xf numFmtId="10" fontId="10" fillId="13" borderId="138" pivotButton="0" quotePrefix="0" xfId="2"/>
    <xf numFmtId="164" fontId="10" fillId="13" borderId="134" pivotButton="0" quotePrefix="0" xfId="2"/>
    <xf numFmtId="10" fontId="10" fillId="13" borderId="134" pivotButton="0" quotePrefix="0" xfId="2"/>
    <xf numFmtId="10" fontId="29" fillId="2" borderId="0" pivotButton="0" quotePrefix="0" xfId="36"/>
    <xf numFmtId="10" fontId="10" fillId="2" borderId="67" pivotButton="0" quotePrefix="0" xfId="36"/>
    <xf numFmtId="164" fontId="29" fillId="2" borderId="0" pivotButton="0" quotePrefix="0" xfId="6"/>
    <xf numFmtId="164" fontId="29" fillId="2" borderId="0" pivotButton="0" quotePrefix="0" xfId="2"/>
    <xf numFmtId="9" fontId="11" fillId="0" borderId="94" applyAlignment="1" pivotButton="0" quotePrefix="0" xfId="36">
      <alignment horizontal="center"/>
    </xf>
    <xf numFmtId="164" fontId="24" fillId="0" borderId="56" applyAlignment="1" pivotButton="0" quotePrefix="0" xfId="2">
      <alignment horizontal="center"/>
    </xf>
    <xf numFmtId="167" fontId="24" fillId="0" borderId="53" applyAlignment="1" pivotButton="0" quotePrefix="0" xfId="2">
      <alignment horizontal="center"/>
    </xf>
    <xf numFmtId="167" fontId="3" fillId="0" borderId="123" pivotButton="0" quotePrefix="0" xfId="36"/>
    <xf numFmtId="167" fontId="3" fillId="0" borderId="117" pivotButton="0" quotePrefix="0" xfId="36"/>
    <xf numFmtId="164" fontId="30" fillId="2" borderId="0" applyAlignment="1" pivotButton="0" quotePrefix="0" xfId="2">
      <alignment horizontal="center"/>
    </xf>
    <xf numFmtId="165" fontId="12" fillId="2" borderId="49" applyAlignment="1" pivotButton="0" quotePrefix="0" xfId="2">
      <alignment vertical="center"/>
    </xf>
    <xf numFmtId="165" fontId="12" fillId="2" borderId="69" applyAlignment="1" pivotButton="0" quotePrefix="0" xfId="2">
      <alignment vertical="center"/>
    </xf>
    <xf numFmtId="165" fontId="12" fillId="2" borderId="56" applyAlignment="1" pivotButton="0" quotePrefix="0" xfId="2">
      <alignment vertical="center"/>
    </xf>
    <xf numFmtId="167" fontId="2" fillId="0" borderId="0" pivotButton="0" quotePrefix="0" xfId="2"/>
    <xf numFmtId="167" fontId="10" fillId="13" borderId="139" pivotButton="0" quotePrefix="0" xfId="2"/>
    <xf numFmtId="167" fontId="3" fillId="0" borderId="50" pivotButton="0" quotePrefix="0" xfId="36"/>
    <xf numFmtId="167" fontId="3" fillId="0" borderId="4" pivotButton="0" quotePrefix="0" xfId="36"/>
    <xf numFmtId="0" fontId="12" fillId="0" borderId="8" applyAlignment="1" pivotButton="0" quotePrefix="0" xfId="0">
      <alignment vertical="center"/>
    </xf>
    <xf numFmtId="167" fontId="10" fillId="2" borderId="11" pivotButton="0" quotePrefix="0" xfId="2"/>
    <xf numFmtId="167" fontId="3" fillId="0" borderId="11" pivotButton="0" quotePrefix="0" xfId="0"/>
    <xf numFmtId="167" fontId="3" fillId="0" borderId="14" pivotButton="0" quotePrefix="0" xfId="0"/>
    <xf numFmtId="167" fontId="3" fillId="0" borderId="15" pivotButton="0" quotePrefix="0" xfId="0"/>
    <xf numFmtId="167" fontId="2" fillId="0" borderId="11" pivotButton="0" quotePrefix="0" xfId="0"/>
    <xf numFmtId="167" fontId="3" fillId="0" borderId="110" pivotButton="0" quotePrefix="0" xfId="0"/>
    <xf numFmtId="167" fontId="3" fillId="0" borderId="120" pivotButton="0" quotePrefix="0" xfId="0"/>
    <xf numFmtId="167" fontId="3" fillId="0" borderId="47" pivotButton="0" quotePrefix="0" xfId="0"/>
    <xf numFmtId="167" fontId="3" fillId="0" borderId="18" pivotButton="0" quotePrefix="0" xfId="0"/>
    <xf numFmtId="167" fontId="11" fillId="2" borderId="110" pivotButton="0" quotePrefix="0" xfId="2"/>
    <xf numFmtId="167" fontId="3" fillId="0" borderId="59" pivotButton="0" quotePrefix="0" xfId="0"/>
    <xf numFmtId="167" fontId="3" fillId="0" borderId="20" pivotButton="0" quotePrefix="0" xfId="0"/>
    <xf numFmtId="167" fontId="3" fillId="0" borderId="106" pivotButton="0" quotePrefix="0" xfId="0"/>
    <xf numFmtId="167" fontId="3" fillId="0" borderId="64" pivotButton="0" quotePrefix="0" xfId="0"/>
    <xf numFmtId="167" fontId="10" fillId="13" borderId="109" pivotButton="0" quotePrefix="0" xfId="2"/>
    <xf numFmtId="167" fontId="10" fillId="13" borderId="138" pivotButton="0" quotePrefix="0" xfId="2"/>
    <xf numFmtId="167" fontId="3" fillId="0" borderId="112" pivotButton="0" quotePrefix="0" xfId="0"/>
    <xf numFmtId="167" fontId="10" fillId="13" borderId="134" pivotButton="0" quotePrefix="0" xfId="2"/>
    <xf numFmtId="167" fontId="11" fillId="2" borderId="109" applyAlignment="1" pivotButton="0" quotePrefix="0" xfId="2">
      <alignment horizontal="center"/>
    </xf>
    <xf numFmtId="167" fontId="11" fillId="2" borderId="64" applyAlignment="1" pivotButton="0" quotePrefix="0" xfId="2">
      <alignment horizontal="center"/>
    </xf>
    <xf numFmtId="167" fontId="11" fillId="0" borderId="59" applyAlignment="1" pivotButton="0" quotePrefix="0" xfId="2">
      <alignment horizontal="center"/>
    </xf>
    <xf numFmtId="167" fontId="11" fillId="2" borderId="67" pivotButton="0" quotePrefix="0" xfId="2"/>
    <xf numFmtId="167" fontId="10" fillId="2" borderId="67" pivotButton="0" quotePrefix="0" xfId="36"/>
    <xf numFmtId="167" fontId="11" fillId="0" borderId="15" applyAlignment="1" pivotButton="0" quotePrefix="0" xfId="2">
      <alignment horizontal="center"/>
    </xf>
    <xf numFmtId="167" fontId="11" fillId="2" borderId="15" applyAlignment="1" pivotButton="0" quotePrefix="0" xfId="2">
      <alignment horizontal="center"/>
    </xf>
    <xf numFmtId="9" fontId="3" fillId="0" borderId="112" pivotButton="0" quotePrefix="0" xfId="36"/>
    <xf numFmtId="165" fontId="11" fillId="2" borderId="9" pivotButton="0" quotePrefix="0" xfId="2"/>
    <xf numFmtId="164" fontId="11" fillId="2" borderId="3" applyAlignment="1" pivotButton="0" quotePrefix="0" xfId="2">
      <alignment horizontal="center"/>
    </xf>
    <xf numFmtId="167" fontId="11" fillId="2" borderId="33" applyAlignment="1" pivotButton="0" quotePrefix="0" xfId="2">
      <alignment horizontal="center"/>
    </xf>
    <xf numFmtId="164" fontId="11" fillId="0" borderId="3" applyAlignment="1" pivotButton="0" quotePrefix="0" xfId="2">
      <alignment horizontal="center"/>
    </xf>
    <xf numFmtId="167" fontId="11" fillId="0" borderId="33" applyAlignment="1" pivotButton="0" quotePrefix="0" xfId="2">
      <alignment horizontal="center"/>
    </xf>
    <xf numFmtId="9" fontId="11" fillId="2" borderId="33" applyAlignment="1" pivotButton="0" quotePrefix="0" xfId="2">
      <alignment horizontal="center"/>
    </xf>
    <xf numFmtId="164" fontId="11" fillId="2" borderId="9" applyAlignment="1" pivotButton="0" quotePrefix="0" xfId="2">
      <alignment horizontal="center"/>
    </xf>
    <xf numFmtId="167" fontId="11" fillId="2" borderId="76" applyAlignment="1" pivotButton="0" quotePrefix="0" xfId="2">
      <alignment horizontal="center"/>
    </xf>
    <xf numFmtId="164" fontId="11" fillId="2" borderId="14" applyAlignment="1" pivotButton="0" quotePrefix="0" xfId="2">
      <alignment horizontal="center"/>
    </xf>
    <xf numFmtId="164" fontId="11" fillId="2" borderId="13" applyAlignment="1" pivotButton="0" quotePrefix="0" xfId="2">
      <alignment horizontal="center"/>
    </xf>
    <xf numFmtId="164" fontId="11" fillId="2" borderId="76" applyAlignment="1" pivotButton="0" quotePrefix="0" xfId="2">
      <alignment horizontal="center"/>
    </xf>
    <xf numFmtId="9" fontId="11" fillId="2" borderId="13" applyAlignment="1" pivotButton="0" quotePrefix="0" xfId="36">
      <alignment horizontal="center"/>
    </xf>
    <xf numFmtId="9" fontId="11" fillId="2" borderId="9" applyAlignment="1" pivotButton="0" quotePrefix="0" xfId="36">
      <alignment horizontal="center"/>
    </xf>
    <xf numFmtId="164" fontId="11" fillId="2" borderId="13" applyAlignment="1" pivotButton="0" quotePrefix="0" xfId="36">
      <alignment horizontal="center"/>
    </xf>
    <xf numFmtId="169" fontId="11" fillId="0" borderId="9" applyAlignment="1" pivotButton="0" quotePrefix="0" xfId="3">
      <alignment horizontal="center"/>
    </xf>
    <xf numFmtId="165" fontId="11" fillId="2" borderId="61" pivotButton="0" quotePrefix="0" xfId="2"/>
    <xf numFmtId="167" fontId="11" fillId="2" borderId="77" applyAlignment="1" pivotButton="0" quotePrefix="0" xfId="2">
      <alignment horizontal="center"/>
    </xf>
    <xf numFmtId="9" fontId="11" fillId="2" borderId="16" applyAlignment="1" pivotButton="0" quotePrefix="0" xfId="36">
      <alignment horizontal="center"/>
    </xf>
    <xf numFmtId="9" fontId="11" fillId="2" borderId="61" applyAlignment="1" pivotButton="0" quotePrefix="0" xfId="36">
      <alignment horizontal="center"/>
    </xf>
    <xf numFmtId="169" fontId="11" fillId="0" borderId="61" applyAlignment="1" pivotButton="0" quotePrefix="0" xfId="3">
      <alignment horizontal="center"/>
    </xf>
    <xf numFmtId="164" fontId="11" fillId="2" borderId="16" applyAlignment="1" pivotButton="0" quotePrefix="0" xfId="36">
      <alignment horizontal="center"/>
    </xf>
    <xf numFmtId="164" fontId="17" fillId="2" borderId="0" pivotButton="0" quotePrefix="0" xfId="2"/>
    <xf numFmtId="164" fontId="31" fillId="2" borderId="0" pivotButton="0" quotePrefix="0" xfId="1"/>
    <xf numFmtId="165" fontId="32" fillId="2" borderId="0" pivotButton="0" quotePrefix="0" xfId="2"/>
    <xf numFmtId="164" fontId="10" fillId="2" borderId="0" pivotButton="0" quotePrefix="0" xfId="2"/>
    <xf numFmtId="167" fontId="17" fillId="2" borderId="0" applyAlignment="1" pivotButton="0" quotePrefix="0" xfId="2">
      <alignment horizontal="center"/>
    </xf>
    <xf numFmtId="164" fontId="33" fillId="2" borderId="0" applyAlignment="1" pivotButton="0" quotePrefix="0" xfId="2">
      <alignment horizontal="center"/>
    </xf>
    <xf numFmtId="167" fontId="10" fillId="2" borderId="0" pivotButton="0" quotePrefix="0" xfId="2"/>
    <xf numFmtId="165" fontId="10" fillId="2" borderId="0" pivotButton="0" quotePrefix="0" xfId="2"/>
    <xf numFmtId="164" fontId="2" fillId="0" borderId="0" pivotButton="0" quotePrefix="0" xfId="2"/>
    <xf numFmtId="164" fontId="2" fillId="0" borderId="67" pivotButton="0" quotePrefix="0" xfId="2"/>
    <xf numFmtId="164" fontId="11" fillId="0" borderId="16" applyAlignment="1" pivotButton="0" quotePrefix="0" xfId="36">
      <alignment horizontal="center"/>
    </xf>
    <xf numFmtId="10" fontId="10" fillId="2" borderId="0" pivotButton="0" quotePrefix="0" xfId="2"/>
    <xf numFmtId="10" fontId="34" fillId="2" borderId="0" pivotButton="0" quotePrefix="0" xfId="36"/>
    <xf numFmtId="173" fontId="3" fillId="0" borderId="45" pivotButton="0" quotePrefix="0" xfId="0"/>
    <xf numFmtId="10" fontId="10" fillId="10" borderId="137" pivotButton="0" quotePrefix="0" xfId="2"/>
    <xf numFmtId="10" fontId="10" fillId="10" borderId="134" pivotButton="0" quotePrefix="0" xfId="2"/>
    <xf numFmtId="0" fontId="12" fillId="0" borderId="141" applyAlignment="1" pivotButton="0" quotePrefix="0" xfId="0">
      <alignment vertical="center"/>
    </xf>
    <xf numFmtId="164" fontId="11" fillId="0" borderId="55" applyAlignment="1" pivotButton="0" quotePrefix="0" xfId="36">
      <alignment horizontal="center"/>
    </xf>
    <xf numFmtId="164" fontId="11" fillId="0" borderId="9" applyAlignment="1" pivotButton="0" quotePrefix="0" xfId="2">
      <alignment horizontal="center"/>
    </xf>
    <xf numFmtId="3" fontId="11" fillId="2" borderId="0" pivotButton="0" quotePrefix="0" xfId="2"/>
    <xf numFmtId="164" fontId="11" fillId="0" borderId="108" applyAlignment="1" pivotButton="0" quotePrefix="0" xfId="2">
      <alignment horizontal="center"/>
    </xf>
    <xf numFmtId="164" fontId="11" fillId="0" borderId="26" applyAlignment="1" pivotButton="0" quotePrefix="0" xfId="2">
      <alignment horizontal="center"/>
    </xf>
    <xf numFmtId="9" fontId="11" fillId="0" borderId="93" applyAlignment="1" pivotButton="0" quotePrefix="0" xfId="2">
      <alignment horizontal="center"/>
    </xf>
    <xf numFmtId="164" fontId="11" fillId="0" borderId="13" applyAlignment="1" pivotButton="0" quotePrefix="0" xfId="36">
      <alignment horizontal="center"/>
    </xf>
    <xf numFmtId="9" fontId="11" fillId="0" borderId="33" applyAlignment="1" pivotButton="0" quotePrefix="0" xfId="2">
      <alignment horizontal="center"/>
    </xf>
    <xf numFmtId="9" fontId="11" fillId="0" borderId="53" applyAlignment="1" pivotButton="0" quotePrefix="0" xfId="2">
      <alignment horizontal="center"/>
    </xf>
    <xf numFmtId="167" fontId="10" fillId="2" borderId="0" pivotButton="0" quotePrefix="0" xfId="36"/>
    <xf numFmtId="164" fontId="11" fillId="0" borderId="94" applyAlignment="1" pivotButton="0" quotePrefix="0" xfId="36">
      <alignment horizontal="center"/>
    </xf>
    <xf numFmtId="9" fontId="11" fillId="0" borderId="55" applyAlignment="1" pivotButton="0" quotePrefix="0" xfId="36">
      <alignment horizontal="center"/>
    </xf>
    <xf numFmtId="165" fontId="6" fillId="0" borderId="0" pivotButton="0" quotePrefix="0" xfId="2"/>
    <xf numFmtId="173" fontId="29" fillId="2" borderId="0" pivotButton="0" quotePrefix="0" xfId="2"/>
    <xf numFmtId="164" fontId="11" fillId="0" borderId="27" pivotButton="0" quotePrefix="0" xfId="2"/>
    <xf numFmtId="167" fontId="11" fillId="2" borderId="83" applyAlignment="1" pivotButton="0" quotePrefix="0" xfId="36">
      <alignment horizontal="center"/>
    </xf>
    <xf numFmtId="168" fontId="11" fillId="0" borderId="77" applyAlignment="1" pivotButton="0" quotePrefix="0" xfId="36">
      <alignment horizontal="center"/>
    </xf>
    <xf numFmtId="164" fontId="11" fillId="0" borderId="100" pivotButton="0" quotePrefix="0" xfId="2"/>
    <xf numFmtId="164" fontId="11" fillId="0" borderId="3" pivotButton="0" quotePrefix="0" xfId="2"/>
    <xf numFmtId="167" fontId="24" fillId="2" borderId="0" pivotButton="0" quotePrefix="0" xfId="2"/>
    <xf numFmtId="164" fontId="24" fillId="2" borderId="0" pivotButton="0" quotePrefix="0" xfId="2"/>
    <xf numFmtId="164" fontId="24" fillId="2" borderId="67" pivotButton="0" quotePrefix="0" xfId="2"/>
    <xf numFmtId="167" fontId="11" fillId="0" borderId="84" pivotButton="0" quotePrefix="0" xfId="36"/>
    <xf numFmtId="173" fontId="10" fillId="0" borderId="0" pivotButton="0" quotePrefix="0" xfId="2"/>
    <xf numFmtId="167" fontId="3" fillId="0" borderId="45" pivotButton="0" quotePrefix="0" xfId="0"/>
    <xf numFmtId="164" fontId="3" fillId="2" borderId="47" pivotButton="0" quotePrefix="0" xfId="0"/>
    <xf numFmtId="164" fontId="3" fillId="2" borderId="15" pivotButton="0" quotePrefix="0" xfId="0"/>
    <xf numFmtId="164" fontId="11" fillId="0" borderId="61" applyAlignment="1" pivotButton="0" quotePrefix="0" xfId="2">
      <alignment horizontal="right" vertical="center"/>
    </xf>
    <xf numFmtId="0" fontId="13" fillId="0" borderId="58" applyAlignment="1" pivotButton="0" quotePrefix="0" xfId="0">
      <alignment vertical="center"/>
    </xf>
    <xf numFmtId="164" fontId="18" fillId="2" borderId="0" applyAlignment="1" pivotButton="0" quotePrefix="0" xfId="2">
      <alignment horizontal="center" vertical="center" wrapText="1"/>
    </xf>
    <xf numFmtId="164" fontId="18" fillId="2" borderId="0" applyAlignment="1" pivotButton="0" quotePrefix="0" xfId="2">
      <alignment horizontal="center" vertical="center"/>
    </xf>
    <xf numFmtId="164" fontId="15" fillId="2" borderId="0" applyAlignment="1" pivotButton="0" quotePrefix="0" xfId="2">
      <alignment horizontal="center" vertical="center" wrapText="1"/>
    </xf>
    <xf numFmtId="164" fontId="15" fillId="2" borderId="0" applyAlignment="1" pivotButton="0" quotePrefix="0" xfId="2">
      <alignment horizontal="center" vertical="center"/>
    </xf>
    <xf numFmtId="164" fontId="15" fillId="0" borderId="0" pivotButton="0" quotePrefix="0" xfId="2"/>
    <xf numFmtId="164" fontId="13" fillId="13" borderId="2" applyAlignment="1" pivotButton="0" quotePrefix="0" xfId="2">
      <alignment horizontal="center" vertical="center" wrapText="1"/>
    </xf>
    <xf numFmtId="164" fontId="18" fillId="2" borderId="0" applyAlignment="1" pivotButton="0" quotePrefix="1" xfId="2">
      <alignment horizontal="center" vertical="center"/>
    </xf>
    <xf numFmtId="165" fontId="13" fillId="2" borderId="49" applyAlignment="1" pivotButton="0" quotePrefix="0" xfId="2">
      <alignment vertical="center"/>
    </xf>
    <xf numFmtId="164" fontId="10" fillId="0" borderId="11" pivotButton="0" quotePrefix="0" xfId="2"/>
    <xf numFmtId="164" fontId="3" fillId="15" borderId="16" pivotButton="0" quotePrefix="0" xfId="0"/>
    <xf numFmtId="164" fontId="22" fillId="2" borderId="0" applyAlignment="1" pivotButton="0" quotePrefix="0" xfId="2">
      <alignment vertical="center"/>
    </xf>
    <xf numFmtId="164" fontId="10" fillId="2" borderId="0" applyAlignment="1" pivotButton="0" quotePrefix="0" xfId="2">
      <alignment horizontal="right"/>
    </xf>
    <xf numFmtId="164" fontId="13" fillId="10" borderId="125" pivotButton="0" quotePrefix="0" xfId="2"/>
    <xf numFmtId="165" fontId="36" fillId="16" borderId="58" applyAlignment="1" pivotButton="0" quotePrefix="0" xfId="2">
      <alignment horizontal="center" vertical="center" wrapText="1"/>
    </xf>
    <xf numFmtId="165" fontId="36" fillId="16" borderId="63" applyAlignment="1" pivotButton="0" quotePrefix="0" xfId="2">
      <alignment horizontal="center" vertical="center"/>
    </xf>
    <xf numFmtId="3" fontId="37" fillId="0" borderId="2" applyAlignment="1" pivotButton="0" quotePrefix="0" xfId="2">
      <alignment horizontal="center" vertical="center"/>
    </xf>
    <xf numFmtId="174" fontId="37" fillId="0" borderId="2" applyAlignment="1" pivotButton="0" quotePrefix="0" xfId="2">
      <alignment horizontal="center" vertical="center"/>
    </xf>
    <xf numFmtId="174" fontId="37" fillId="2" borderId="0" applyAlignment="1" pivotButton="0" quotePrefix="0" xfId="2">
      <alignment horizontal="center" vertical="center"/>
    </xf>
    <xf numFmtId="175" fontId="11" fillId="2" borderId="0" pivotButton="0" quotePrefix="0" xfId="2"/>
    <xf numFmtId="176" fontId="17" fillId="14" borderId="0" applyAlignment="1" pivotButton="0" quotePrefix="0" xfId="2">
      <alignment horizontal="center" vertical="center"/>
    </xf>
    <xf numFmtId="164" fontId="10" fillId="0" borderId="2" pivotButton="0" quotePrefix="0" xfId="2"/>
    <xf numFmtId="167" fontId="10" fillId="0" borderId="4" pivotButton="0" quotePrefix="0" xfId="2"/>
    <xf numFmtId="164" fontId="3" fillId="0" borderId="15" applyAlignment="1" pivotButton="0" quotePrefix="0" xfId="0">
      <alignment horizontal="right" indent="1"/>
    </xf>
    <xf numFmtId="10" fontId="10" fillId="0" borderId="4" pivotButton="0" quotePrefix="0" xfId="2"/>
    <xf numFmtId="9" fontId="11" fillId="0" borderId="13" applyAlignment="1" pivotButton="0" quotePrefix="0" xfId="36">
      <alignment horizontal="center"/>
    </xf>
    <xf numFmtId="4" fontId="15" fillId="2" borderId="0" applyAlignment="1" pivotButton="0" quotePrefix="0" xfId="0">
      <alignment horizontal="center"/>
    </xf>
    <xf numFmtId="4" fontId="15" fillId="2" borderId="0" applyAlignment="1" pivotButton="0" quotePrefix="0" xfId="0">
      <alignment horizontal="center" vertical="center"/>
    </xf>
    <xf numFmtId="4" fontId="17" fillId="2" borderId="0" applyAlignment="1" pivotButton="0" quotePrefix="0" xfId="0">
      <alignment horizontal="center"/>
    </xf>
    <xf numFmtId="4" fontId="15" fillId="2" borderId="0" applyAlignment="1" pivotButton="0" quotePrefix="0" xfId="36">
      <alignment horizontal="center"/>
    </xf>
    <xf numFmtId="4" fontId="18" fillId="2" borderId="0" applyAlignment="1" pivotButton="0" quotePrefix="0" xfId="36">
      <alignment horizontal="center"/>
    </xf>
    <xf numFmtId="4" fontId="3" fillId="2" borderId="0" applyAlignment="1" pivotButton="0" quotePrefix="0" xfId="2">
      <alignment horizontal="center"/>
    </xf>
    <xf numFmtId="4" fontId="2" fillId="2" borderId="0" applyAlignment="1" pivotButton="0" quotePrefix="0" xfId="2">
      <alignment horizontal="center"/>
    </xf>
    <xf numFmtId="4" fontId="15" fillId="0" borderId="0" applyAlignment="1" pivotButton="0" quotePrefix="0" xfId="36">
      <alignment horizontal="center"/>
    </xf>
    <xf numFmtId="0" fontId="38" fillId="2" borderId="0" applyAlignment="1" pivotButton="0" quotePrefix="0" xfId="0">
      <alignment horizontal="left"/>
    </xf>
    <xf numFmtId="0" fontId="38" fillId="2" borderId="0" applyAlignment="1" pivotButton="0" quotePrefix="0" xfId="0">
      <alignment horizontal="left" vertical="center"/>
    </xf>
    <xf numFmtId="0" fontId="39" fillId="2" borderId="142" applyAlignment="1" pivotButton="0" quotePrefix="0" xfId="0">
      <alignment vertical="center"/>
    </xf>
    <xf numFmtId="0" fontId="38" fillId="2" borderId="142" pivotButton="0" quotePrefix="0" xfId="0"/>
    <xf numFmtId="0" fontId="38" fillId="2" borderId="142" applyAlignment="1" pivotButton="0" quotePrefix="0" xfId="0">
      <alignment vertical="center"/>
    </xf>
    <xf numFmtId="0" fontId="38" fillId="2" borderId="0" applyAlignment="1" pivotButton="0" quotePrefix="0" xfId="0">
      <alignment vertical="center"/>
    </xf>
    <xf numFmtId="0" fontId="38" fillId="2" borderId="0" applyAlignment="1" pivotButton="0" quotePrefix="1" xfId="0">
      <alignment horizontal="left" vertical="center"/>
    </xf>
    <xf numFmtId="164" fontId="19" fillId="0" borderId="48" pivotButton="0" quotePrefix="0" xfId="1"/>
    <xf numFmtId="164" fontId="19" fillId="0" borderId="19" pivotButton="0" quotePrefix="0" xfId="1"/>
    <xf numFmtId="164" fontId="19" fillId="0" borderId="25" pivotButton="0" quotePrefix="0" xfId="1"/>
    <xf numFmtId="164" fontId="19" fillId="0" borderId="44" pivotButton="0" quotePrefix="0" xfId="1"/>
    <xf numFmtId="164" fontId="19" fillId="0" borderId="29" pivotButton="0" quotePrefix="0" xfId="1"/>
    <xf numFmtId="164" fontId="19" fillId="0" borderId="13" pivotButton="0" quotePrefix="0" xfId="1"/>
    <xf numFmtId="10" fontId="11" fillId="2" borderId="77" applyAlignment="1" pivotButton="0" quotePrefix="0" xfId="2">
      <alignment horizontal="center"/>
    </xf>
    <xf numFmtId="9" fontId="12" fillId="2" borderId="0" applyAlignment="1" pivotButton="0" quotePrefix="0" xfId="36">
      <alignment horizontal="center"/>
    </xf>
    <xf numFmtId="164" fontId="12" fillId="11" borderId="0" applyAlignment="1" pivotButton="0" quotePrefix="0" xfId="2">
      <alignment horizontal="center"/>
    </xf>
    <xf numFmtId="9" fontId="11" fillId="2" borderId="0" applyAlignment="1" pivotButton="0" quotePrefix="0" xfId="36">
      <alignment horizontal="center"/>
    </xf>
    <xf numFmtId="164" fontId="3" fillId="17" borderId="91" pivotButton="0" quotePrefix="0" xfId="0"/>
    <xf numFmtId="164" fontId="3" fillId="17" borderId="89" pivotButton="0" quotePrefix="0" xfId="0"/>
    <xf numFmtId="167" fontId="3" fillId="17" borderId="92" pivotButton="0" quotePrefix="0" xfId="0"/>
    <xf numFmtId="164" fontId="19" fillId="17" borderId="91" pivotButton="0" quotePrefix="0" xfId="1"/>
    <xf numFmtId="167" fontId="11" fillId="0" borderId="77" pivotButton="0" quotePrefix="0" xfId="36"/>
    <xf numFmtId="3" fontId="0" fillId="0" borderId="0" pivotButton="0" quotePrefix="0" xfId="0"/>
    <xf numFmtId="165" fontId="12" fillId="0" borderId="1" applyAlignment="1" pivotButton="0" quotePrefix="0" xfId="2">
      <alignment vertical="center"/>
    </xf>
    <xf numFmtId="165" fontId="12" fillId="0" borderId="0" pivotButton="0" quotePrefix="0" xfId="2"/>
    <xf numFmtId="167" fontId="0" fillId="0" borderId="0" pivotButton="0" quotePrefix="0" xfId="36"/>
    <xf numFmtId="164" fontId="3" fillId="0" borderId="144" pivotButton="0" quotePrefix="0" xfId="0"/>
    <xf numFmtId="0" fontId="38" fillId="0" borderId="142" applyAlignment="1" pivotButton="0" quotePrefix="0" xfId="0">
      <alignment vertical="center"/>
    </xf>
    <xf numFmtId="0" fontId="38" fillId="0" borderId="143" applyAlignment="1" pivotButton="0" quotePrefix="0" xfId="0">
      <alignment vertical="center"/>
    </xf>
    <xf numFmtId="0" fontId="13" fillId="0" borderId="0" pivotButton="0" quotePrefix="0" xfId="0"/>
    <xf numFmtId="49" fontId="15" fillId="2" borderId="0" pivotButton="0" quotePrefix="1" xfId="2"/>
    <xf numFmtId="165" fontId="15" fillId="0" borderId="0" pivotButton="0" quotePrefix="0" xfId="2"/>
    <xf numFmtId="164" fontId="3" fillId="15" borderId="8" pivotButton="0" quotePrefix="0" xfId="0"/>
    <xf numFmtId="167" fontId="3" fillId="15" borderId="34" pivotButton="0" quotePrefix="0" xfId="0"/>
    <xf numFmtId="165" fontId="12" fillId="2" borderId="8" applyAlignment="1" pivotButton="0" quotePrefix="0" xfId="2">
      <alignment vertical="center"/>
    </xf>
    <xf numFmtId="166" fontId="11" fillId="0" borderId="55" applyAlignment="1" pivotButton="0" quotePrefix="0" xfId="2">
      <alignment horizontal="center"/>
    </xf>
    <xf numFmtId="164" fontId="11" fillId="0" borderId="42" applyAlignment="1" pivotButton="0" quotePrefix="0" xfId="2">
      <alignment horizontal="center"/>
    </xf>
    <xf numFmtId="164" fontId="19" fillId="0" borderId="91" pivotButton="0" quotePrefix="0" xfId="1"/>
    <xf numFmtId="164" fontId="22" fillId="2" borderId="0" pivotButton="0" quotePrefix="0" xfId="2"/>
    <xf numFmtId="167" fontId="2" fillId="15" borderId="78" pivotButton="0" quotePrefix="0" xfId="0"/>
    <xf numFmtId="167" fontId="2" fillId="15" borderId="4" pivotButton="0" quotePrefix="0" xfId="0"/>
    <xf numFmtId="167" fontId="24" fillId="15" borderId="0" pivotButton="0" quotePrefix="0" xfId="2"/>
    <xf numFmtId="167" fontId="10" fillId="17" borderId="0" pivotButton="0" quotePrefix="0" xfId="36"/>
    <xf numFmtId="167" fontId="10" fillId="15" borderId="0" pivotButton="0" quotePrefix="0" xfId="2"/>
    <xf numFmtId="167" fontId="2" fillId="15" borderId="0" pivotButton="0" quotePrefix="0" xfId="2"/>
    <xf numFmtId="167" fontId="10" fillId="15" borderId="0" pivotButton="0" quotePrefix="0" xfId="36"/>
    <xf numFmtId="164" fontId="11" fillId="0" borderId="136" applyAlignment="1" pivotButton="0" quotePrefix="0" xfId="2">
      <alignment horizontal="center"/>
    </xf>
    <xf numFmtId="164" fontId="3" fillId="2" borderId="0" pivotButton="0" quotePrefix="0" xfId="0"/>
    <xf numFmtId="3" fontId="10" fillId="2" borderId="0" applyAlignment="1" pivotButton="0" quotePrefix="0" xfId="2">
      <alignment horizontal="center" vertical="center" wrapText="1"/>
    </xf>
    <xf numFmtId="164" fontId="2" fillId="2" borderId="0" pivotButton="0" quotePrefix="0" xfId="0"/>
    <xf numFmtId="167" fontId="3" fillId="2" borderId="0" pivotButton="0" quotePrefix="0" xfId="0"/>
    <xf numFmtId="167" fontId="2" fillId="2" borderId="0" pivotButton="0" quotePrefix="0" xfId="0"/>
    <xf numFmtId="164" fontId="22" fillId="2" borderId="0" applyAlignment="1" pivotButton="0" quotePrefix="0" xfId="2">
      <alignment horizontal="center" vertical="center"/>
    </xf>
    <xf numFmtId="164" fontId="19" fillId="0" borderId="95" pivotButton="0" quotePrefix="0" xfId="1"/>
    <xf numFmtId="164" fontId="3" fillId="0" borderId="100" applyAlignment="1" pivotButton="0" quotePrefix="0" xfId="0">
      <alignment horizontal="left" indent="1"/>
    </xf>
    <xf numFmtId="164" fontId="2" fillId="0" borderId="29" applyAlignment="1" pivotButton="0" quotePrefix="0" xfId="0">
      <alignment horizontal="left"/>
    </xf>
    <xf numFmtId="167" fontId="3" fillId="0" borderId="123" pivotButton="0" quotePrefix="0" xfId="0"/>
    <xf numFmtId="164" fontId="3" fillId="0" borderId="41" applyAlignment="1" pivotButton="0" quotePrefix="0" xfId="0">
      <alignment horizontal="left"/>
    </xf>
    <xf numFmtId="167" fontId="3" fillId="0" borderId="114" pivotButton="0" quotePrefix="0" xfId="36"/>
    <xf numFmtId="164" fontId="3" fillId="18" borderId="16" pivotButton="0" quotePrefix="0" xfId="0"/>
    <xf numFmtId="164" fontId="3" fillId="18" borderId="8" pivotButton="0" quotePrefix="0" xfId="0"/>
    <xf numFmtId="167" fontId="3" fillId="18" borderId="34" pivotButton="0" quotePrefix="0" xfId="0"/>
    <xf numFmtId="164" fontId="3" fillId="18" borderId="13" pivotButton="0" quotePrefix="0" xfId="0"/>
    <xf numFmtId="164" fontId="3" fillId="18" borderId="3" pivotButton="0" quotePrefix="0" xfId="0"/>
    <xf numFmtId="167" fontId="3" fillId="18" borderId="33" pivotButton="0" quotePrefix="0" xfId="0"/>
    <xf numFmtId="164" fontId="11" fillId="0" borderId="61" applyAlignment="1" pivotButton="0" quotePrefix="0" xfId="36">
      <alignment horizontal="center"/>
    </xf>
    <xf numFmtId="164" fontId="11" fillId="0" borderId="9" applyAlignment="1" pivotButton="0" quotePrefix="0" xfId="36">
      <alignment horizontal="center"/>
    </xf>
    <xf numFmtId="164" fontId="11" fillId="0" borderId="7" applyAlignment="1" pivotButton="0" quotePrefix="0" xfId="36">
      <alignment horizontal="center"/>
    </xf>
    <xf numFmtId="167" fontId="11" fillId="0" borderId="76" applyAlignment="1" pivotButton="0" quotePrefix="0" xfId="2">
      <alignment horizontal="center"/>
    </xf>
    <xf numFmtId="167" fontId="24" fillId="0" borderId="83" applyAlignment="1" pivotButton="0" quotePrefix="0" xfId="2">
      <alignment horizontal="center"/>
    </xf>
    <xf numFmtId="167" fontId="11" fillId="0" borderId="77" applyAlignment="1" pivotButton="0" quotePrefix="0" xfId="2">
      <alignment horizontal="center"/>
    </xf>
    <xf numFmtId="164" fontId="11" fillId="0" borderId="8" applyAlignment="1" pivotButton="0" quotePrefix="0" xfId="36">
      <alignment horizontal="center"/>
    </xf>
    <xf numFmtId="164" fontId="11" fillId="0" borderId="102" pivotButton="0" quotePrefix="0" xfId="2"/>
    <xf numFmtId="164" fontId="11" fillId="0" borderId="94" applyAlignment="1" pivotButton="0" quotePrefix="0" xfId="2">
      <alignment horizontal="center"/>
    </xf>
    <xf numFmtId="164" fontId="11" fillId="0" borderId="55" applyAlignment="1" pivotButton="0" quotePrefix="0" xfId="2">
      <alignment horizontal="center"/>
    </xf>
    <xf numFmtId="9" fontId="11" fillId="0" borderId="61" applyAlignment="1" pivotButton="0" quotePrefix="0" xfId="36">
      <alignment horizontal="center"/>
    </xf>
    <xf numFmtId="164" fontId="25" fillId="2" borderId="0" applyAlignment="1" pivotButton="0" quotePrefix="0" xfId="2">
      <alignment horizontal="right"/>
    </xf>
    <xf numFmtId="9" fontId="10" fillId="2" borderId="0" pivotButton="0" quotePrefix="0" xfId="2"/>
    <xf numFmtId="164" fontId="13" fillId="2" borderId="0" pivotButton="0" quotePrefix="0" xfId="2"/>
    <xf numFmtId="164" fontId="25" fillId="10" borderId="109" applyAlignment="1" pivotButton="0" quotePrefix="0" xfId="2">
      <alignment horizontal="right"/>
    </xf>
    <xf numFmtId="164" fontId="13" fillId="10" borderId="94" pivotButton="0" quotePrefix="0" xfId="2"/>
    <xf numFmtId="10" fontId="10" fillId="10" borderId="38" pivotButton="0" quotePrefix="0" xfId="2"/>
    <xf numFmtId="164" fontId="25" fillId="17" borderId="134" applyAlignment="1" pivotButton="0" quotePrefix="0" xfId="2">
      <alignment horizontal="right"/>
    </xf>
    <xf numFmtId="164" fontId="10" fillId="17" borderId="125" pivotButton="0" quotePrefix="0" xfId="2"/>
    <xf numFmtId="164" fontId="10" fillId="17" borderId="126" pivotButton="0" quotePrefix="0" xfId="2"/>
    <xf numFmtId="9" fontId="10" fillId="17" borderId="127" pivotButton="0" quotePrefix="0" xfId="2"/>
    <xf numFmtId="164" fontId="13" fillId="17" borderId="125" pivotButton="0" quotePrefix="0" xfId="2"/>
    <xf numFmtId="164" fontId="10" fillId="17" borderId="134" pivotButton="0" quotePrefix="0" xfId="2"/>
    <xf numFmtId="10" fontId="10" fillId="17" borderId="137" pivotButton="0" quotePrefix="0" xfId="2"/>
    <xf numFmtId="10" fontId="10" fillId="17" borderId="125" applyAlignment="1" pivotButton="0" quotePrefix="0" xfId="36">
      <alignment horizontal="center"/>
    </xf>
    <xf numFmtId="164" fontId="10" fillId="17" borderId="126" applyAlignment="1" pivotButton="0" quotePrefix="0" xfId="2">
      <alignment horizontal="center"/>
    </xf>
    <xf numFmtId="9" fontId="10" fillId="17" borderId="127" applyAlignment="1" pivotButton="0" quotePrefix="0" xfId="2">
      <alignment horizontal="center"/>
    </xf>
    <xf numFmtId="167" fontId="15" fillId="2" borderId="0" applyAlignment="1" pivotButton="0" quotePrefix="0" xfId="36">
      <alignment horizontal="center"/>
    </xf>
    <xf numFmtId="9" fontId="10" fillId="0" borderId="4" pivotButton="0" quotePrefix="0" xfId="2"/>
    <xf numFmtId="164" fontId="33" fillId="2" borderId="0" pivotButton="0" quotePrefix="0" xfId="2"/>
    <xf numFmtId="9" fontId="15" fillId="2" borderId="0" applyAlignment="1" pivotButton="0" quotePrefix="0" xfId="36">
      <alignment horizontal="center"/>
    </xf>
    <xf numFmtId="164" fontId="11" fillId="0" borderId="102" applyAlignment="1" pivotButton="0" quotePrefix="0" xfId="36">
      <alignment horizontal="center"/>
    </xf>
    <xf numFmtId="164" fontId="3" fillId="15" borderId="55" pivotButton="0" quotePrefix="0" xfId="0"/>
    <xf numFmtId="164" fontId="3" fillId="15" borderId="48" pivotButton="0" quotePrefix="0" xfId="0"/>
    <xf numFmtId="164" fontId="3" fillId="15" borderId="49" pivotButton="0" quotePrefix="0" xfId="0"/>
    <xf numFmtId="167" fontId="3" fillId="15" borderId="50" pivotButton="0" quotePrefix="0" xfId="0"/>
    <xf numFmtId="164" fontId="3" fillId="15" borderId="56" pivotButton="0" quotePrefix="0" xfId="0"/>
    <xf numFmtId="167" fontId="3" fillId="15" borderId="53" pivotButton="0" quotePrefix="0" xfId="0"/>
    <xf numFmtId="177" fontId="10" fillId="2" borderId="4" pivotButton="0" quotePrefix="0" xfId="2"/>
    <xf numFmtId="164" fontId="11" fillId="0" borderId="95" applyAlignment="1" pivotButton="0" quotePrefix="0" xfId="36">
      <alignment horizontal="center"/>
    </xf>
    <xf numFmtId="164" fontId="22" fillId="2" borderId="0" applyAlignment="1" pivotButton="0" quotePrefix="0" xfId="2">
      <alignment horizontal="center"/>
    </xf>
    <xf numFmtId="164" fontId="41" fillId="2" borderId="0" applyAlignment="1" pivotButton="0" quotePrefix="0" xfId="2">
      <alignment horizontal="center"/>
    </xf>
    <xf numFmtId="9" fontId="18" fillId="2" borderId="0" applyAlignment="1" pivotButton="0" quotePrefix="0" xfId="36">
      <alignment horizontal="center"/>
    </xf>
    <xf numFmtId="10" fontId="11" fillId="2" borderId="56" applyAlignment="1" pivotButton="0" quotePrefix="0" xfId="36">
      <alignment horizontal="center"/>
    </xf>
    <xf numFmtId="164" fontId="42" fillId="0" borderId="0" pivotButton="0" quotePrefix="0" xfId="2"/>
    <xf numFmtId="167" fontId="42" fillId="0" borderId="0" pivotButton="0" quotePrefix="0" xfId="2"/>
    <xf numFmtId="3" fontId="11" fillId="2" borderId="94" applyAlignment="1" pivotButton="0" quotePrefix="0" xfId="2">
      <alignment horizontal="right"/>
    </xf>
    <xf numFmtId="3" fontId="11" fillId="2" borderId="7" applyAlignment="1" pivotButton="0" quotePrefix="0" xfId="2">
      <alignment horizontal="right"/>
    </xf>
    <xf numFmtId="3" fontId="11" fillId="2" borderId="6" applyAlignment="1" pivotButton="0" quotePrefix="0" xfId="2">
      <alignment horizontal="right"/>
    </xf>
    <xf numFmtId="3" fontId="11" fillId="2" borderId="136" applyAlignment="1" pivotButton="0" quotePrefix="0" xfId="2">
      <alignment horizontal="right"/>
    </xf>
    <xf numFmtId="3" fontId="11" fillId="2" borderId="8" applyAlignment="1" pivotButton="0" quotePrefix="0" xfId="2">
      <alignment horizontal="right"/>
    </xf>
    <xf numFmtId="3" fontId="11" fillId="2" borderId="91" applyAlignment="1" pivotButton="0" quotePrefix="0" xfId="2">
      <alignment horizontal="right"/>
    </xf>
    <xf numFmtId="165" fontId="21" fillId="2" borderId="0" applyAlignment="1" pivotButton="0" quotePrefix="0" xfId="2">
      <alignment horizontal="center"/>
    </xf>
    <xf numFmtId="164" fontId="11" fillId="0" borderId="0" applyAlignment="1" pivotButton="0" quotePrefix="0" xfId="2">
      <alignment horizontal="center"/>
    </xf>
    <xf numFmtId="164" fontId="43" fillId="2" borderId="0" applyAlignment="1" pivotButton="0" quotePrefix="0" xfId="2">
      <alignment horizontal="center"/>
    </xf>
    <xf numFmtId="164" fontId="13" fillId="13" borderId="139" applyAlignment="1" pivotButton="0" quotePrefix="0" xfId="2">
      <alignment horizontal="center" vertical="center"/>
    </xf>
    <xf numFmtId="164" fontId="19" fillId="0" borderId="6" applyAlignment="1" pivotButton="0" quotePrefix="0" xfId="1">
      <alignment horizontal="center"/>
    </xf>
    <xf numFmtId="9" fontId="45" fillId="2" borderId="0" applyAlignment="1" pivotButton="0" quotePrefix="0" xfId="36">
      <alignment horizontal="center"/>
    </xf>
    <xf numFmtId="164" fontId="46" fillId="0" borderId="16" pivotButton="0" quotePrefix="0" xfId="1"/>
    <xf numFmtId="165" fontId="44" fillId="2" borderId="0" pivotButton="0" quotePrefix="0" xfId="2"/>
    <xf numFmtId="164" fontId="19" fillId="19" borderId="48" pivotButton="0" quotePrefix="0" xfId="1"/>
    <xf numFmtId="164" fontId="19" fillId="19" borderId="44" pivotButton="0" quotePrefix="0" xfId="1"/>
    <xf numFmtId="164" fontId="12" fillId="0" borderId="2" applyAlignment="1" pivotButton="0" quotePrefix="0" xfId="2">
      <alignment vertical="center"/>
    </xf>
    <xf numFmtId="164" fontId="12" fillId="0" borderId="5" applyAlignment="1" pivotButton="0" quotePrefix="0" xfId="2">
      <alignment vertical="center"/>
    </xf>
    <xf numFmtId="164" fontId="13" fillId="0" borderId="65" applyAlignment="1" pivotButton="0" quotePrefix="0" xfId="2">
      <alignment horizontal="center" vertical="center"/>
    </xf>
    <xf numFmtId="164" fontId="12" fillId="0" borderId="73" applyAlignment="1" pivotButton="0" quotePrefix="0" xfId="2">
      <alignment vertical="center"/>
    </xf>
    <xf numFmtId="164" fontId="12" fillId="0" borderId="74" applyAlignment="1" pivotButton="0" quotePrefix="0" xfId="2">
      <alignment vertical="center"/>
    </xf>
    <xf numFmtId="175" fontId="10" fillId="2" borderId="0" pivotButton="0" quotePrefix="0" xfId="2"/>
    <xf numFmtId="164" fontId="47" fillId="0" borderId="1" applyAlignment="1" pivotButton="0" quotePrefix="0" xfId="1">
      <alignment vertical="center"/>
    </xf>
    <xf numFmtId="164" fontId="47" fillId="0" borderId="56" applyAlignment="1" pivotButton="0" quotePrefix="0" xfId="1">
      <alignment vertical="center"/>
    </xf>
    <xf numFmtId="3" fontId="37" fillId="2" borderId="0" applyAlignment="1" pivotButton="0" quotePrefix="0" xfId="2">
      <alignment horizontal="center" vertical="center"/>
    </xf>
    <xf numFmtId="165" fontId="11" fillId="0" borderId="26" pivotButton="0" quotePrefix="0" xfId="2"/>
    <xf numFmtId="164" fontId="19" fillId="0" borderId="55" pivotButton="0" quotePrefix="0" xfId="1"/>
    <xf numFmtId="164" fontId="10" fillId="0" borderId="0" applyAlignment="1" pivotButton="0" quotePrefix="0" xfId="2">
      <alignment horizontal="center"/>
    </xf>
    <xf numFmtId="167" fontId="48" fillId="2" borderId="2" applyAlignment="1" pivotButton="0" quotePrefix="0" xfId="36">
      <alignment horizontal="center" vertical="center"/>
    </xf>
    <xf numFmtId="167" fontId="48" fillId="2" borderId="2" applyAlignment="1" pivotButton="0" quotePrefix="0" xfId="36">
      <alignment horizontal="center" vertical="center" wrapText="1"/>
    </xf>
    <xf numFmtId="178" fontId="11" fillId="2" borderId="2" applyAlignment="1" pivotButton="0" quotePrefix="0" xfId="37">
      <alignment horizontal="center" vertical="center"/>
    </xf>
    <xf numFmtId="165" fontId="36" fillId="16" borderId="72" applyAlignment="1" pivotButton="0" quotePrefix="0" xfId="2">
      <alignment horizontal="center" vertical="center"/>
    </xf>
    <xf numFmtId="164" fontId="8" fillId="0" borderId="8" applyAlignment="1" pivotButton="0" quotePrefix="0" xfId="1">
      <alignment horizontal="center" vertical="center"/>
    </xf>
    <xf numFmtId="164" fontId="12" fillId="0" borderId="45" applyAlignment="1" pivotButton="0" quotePrefix="1" xfId="2">
      <alignment horizontal="center" vertical="center"/>
    </xf>
    <xf numFmtId="164" fontId="4" fillId="0" borderId="49" applyAlignment="1" pivotButton="0" quotePrefix="0" xfId="2">
      <alignment vertical="center"/>
    </xf>
    <xf numFmtId="164" fontId="4" fillId="0" borderId="3" applyAlignment="1" pivotButton="0" quotePrefix="0" xfId="2">
      <alignment vertical="center"/>
    </xf>
    <xf numFmtId="164" fontId="22" fillId="0" borderId="3" applyAlignment="1" pivotButton="0" quotePrefix="0" xfId="2">
      <alignment vertical="center"/>
    </xf>
    <xf numFmtId="164" fontId="12" fillId="0" borderId="75" applyAlignment="1" pivotButton="0" quotePrefix="0" xfId="2">
      <alignment vertical="center"/>
    </xf>
    <xf numFmtId="0" fontId="13" fillId="0" borderId="2" applyAlignment="1" pivotButton="0" quotePrefix="0" xfId="0">
      <alignment vertical="center"/>
    </xf>
    <xf numFmtId="164" fontId="12" fillId="0" borderId="0" pivotButton="0" quotePrefix="0" xfId="2"/>
    <xf numFmtId="164" fontId="13" fillId="0" borderId="8" applyAlignment="1" pivotButton="0" quotePrefix="0" xfId="2">
      <alignment vertical="center"/>
    </xf>
    <xf numFmtId="164" fontId="4" fillId="0" borderId="56" applyAlignment="1" pivotButton="0" quotePrefix="0" xfId="2">
      <alignment vertical="center"/>
    </xf>
    <xf numFmtId="164" fontId="47" fillId="0" borderId="8" applyAlignment="1" pivotButton="0" quotePrefix="0" xfId="1">
      <alignment vertical="center"/>
    </xf>
    <xf numFmtId="164" fontId="8" fillId="0" borderId="45" applyAlignment="1" pivotButton="0" quotePrefix="0" xfId="1">
      <alignment vertical="center"/>
    </xf>
    <xf numFmtId="164" fontId="49" fillId="0" borderId="8" applyAlignment="1" pivotButton="0" quotePrefix="0" xfId="1">
      <alignment vertical="center"/>
    </xf>
    <xf numFmtId="164" fontId="13" fillId="20" borderId="0" applyAlignment="1" pivotButton="0" quotePrefix="0" xfId="2">
      <alignment horizontal="center"/>
    </xf>
    <xf numFmtId="164" fontId="34" fillId="0" borderId="0" pivotButton="0" quotePrefix="0" xfId="2"/>
    <xf numFmtId="164" fontId="29" fillId="0" borderId="0" pivotButton="0" quotePrefix="0" xfId="2"/>
    <xf numFmtId="10" fontId="34" fillId="0" borderId="0" pivotButton="0" quotePrefix="0" xfId="2"/>
    <xf numFmtId="167" fontId="34" fillId="0" borderId="0" pivotButton="0" quotePrefix="0" xfId="2"/>
    <xf numFmtId="167" fontId="6" fillId="0" borderId="0" pivotButton="0" quotePrefix="0" xfId="2"/>
    <xf numFmtId="10" fontId="6" fillId="0" borderId="0" pivotButton="0" quotePrefix="0" xfId="2"/>
    <xf numFmtId="164" fontId="50" fillId="0" borderId="0" pivotButton="0" quotePrefix="0" xfId="2"/>
    <xf numFmtId="164" fontId="39" fillId="0" borderId="0" pivotButton="0" quotePrefix="0" xfId="2"/>
    <xf numFmtId="10" fontId="2" fillId="15" borderId="0" pivotButton="0" quotePrefix="0" xfId="2"/>
    <xf numFmtId="164" fontId="8" fillId="0" borderId="8" applyAlignment="1" pivotButton="0" quotePrefix="0" xfId="1">
      <alignment vertical="center"/>
    </xf>
    <xf numFmtId="0" fontId="12" fillId="0" borderId="45" applyAlignment="1" pivotButton="0" quotePrefix="0" xfId="0">
      <alignment vertical="center"/>
    </xf>
    <xf numFmtId="10" fontId="24" fillId="15" borderId="0" pivotButton="0" quotePrefix="0" xfId="2"/>
    <xf numFmtId="10" fontId="11" fillId="2" borderId="76" applyAlignment="1" pivotButton="0" quotePrefix="0" xfId="2">
      <alignment horizontal="center"/>
    </xf>
    <xf numFmtId="0" fontId="4" fillId="0" borderId="75" applyAlignment="1" pivotButton="0" quotePrefix="0" xfId="0">
      <alignment vertical="center"/>
    </xf>
    <xf numFmtId="164" fontId="5" fillId="0" borderId="8" applyAlignment="1" pivotButton="0" quotePrefix="0" xfId="2">
      <alignment vertical="center"/>
    </xf>
    <xf numFmtId="167" fontId="12" fillId="2" borderId="0" pivotButton="0" quotePrefix="0" xfId="36"/>
    <xf numFmtId="167" fontId="45" fillId="2" borderId="0" applyAlignment="1" pivotButton="0" quotePrefix="0" xfId="36">
      <alignment horizontal="center"/>
    </xf>
    <xf numFmtId="169" fontId="11" fillId="0" borderId="7" applyAlignment="1" pivotButton="0" quotePrefix="0" xfId="3">
      <alignment horizontal="center"/>
    </xf>
    <xf numFmtId="164" fontId="11" fillId="0" borderId="101" applyAlignment="1" pivotButton="0" quotePrefix="0" xfId="2">
      <alignment horizontal="center"/>
    </xf>
    <xf numFmtId="164" fontId="3" fillId="11" borderId="16" pivotButton="0" quotePrefix="0" xfId="0"/>
    <xf numFmtId="164" fontId="47" fillId="0" borderId="2" applyAlignment="1" pivotButton="0" quotePrefix="0" xfId="1">
      <alignment vertical="center"/>
    </xf>
    <xf numFmtId="164" fontId="17" fillId="23" borderId="0" pivotButton="0" quotePrefix="0" xfId="2"/>
    <xf numFmtId="164" fontId="17" fillId="21" borderId="0" applyAlignment="1" pivotButton="0" quotePrefix="0" xfId="2">
      <alignment horizontal="left"/>
    </xf>
    <xf numFmtId="164" fontId="24" fillId="2" borderId="0" applyAlignment="1" pivotButton="0" quotePrefix="0" xfId="2">
      <alignment horizontal="right"/>
    </xf>
    <xf numFmtId="164" fontId="44" fillId="22" borderId="0" applyAlignment="1" pivotButton="0" quotePrefix="0" xfId="2">
      <alignment horizontal="center"/>
    </xf>
    <xf numFmtId="164" fontId="10" fillId="15" borderId="0" applyAlignment="1" pivotButton="0" quotePrefix="0" xfId="2">
      <alignment horizontal="center"/>
    </xf>
    <xf numFmtId="164" fontId="44" fillId="15" borderId="0" applyAlignment="1" pivotButton="0" quotePrefix="0" xfId="2">
      <alignment horizontal="center"/>
    </xf>
    <xf numFmtId="164" fontId="40" fillId="19" borderId="0" applyAlignment="1" pivotButton="0" quotePrefix="0" xfId="2">
      <alignment horizontal="center"/>
    </xf>
    <xf numFmtId="164" fontId="40" fillId="2" borderId="0" applyAlignment="1" pivotButton="0" quotePrefix="0" xfId="2">
      <alignment horizontal="center"/>
    </xf>
    <xf numFmtId="164" fontId="3" fillId="12" borderId="19" pivotButton="0" quotePrefix="0" xfId="0"/>
    <xf numFmtId="164" fontId="3" fillId="12" borderId="86" pivotButton="0" quotePrefix="0" xfId="0"/>
    <xf numFmtId="164" fontId="3" fillId="12" borderId="25" pivotButton="0" quotePrefix="0" xfId="0"/>
    <xf numFmtId="164" fontId="11" fillId="12" borderId="13" applyAlignment="1" pivotButton="0" quotePrefix="0" xfId="2">
      <alignment horizontal="center"/>
    </xf>
    <xf numFmtId="10" fontId="34" fillId="15" borderId="0" pivotButton="0" quotePrefix="0" xfId="2"/>
    <xf numFmtId="167" fontId="3" fillId="15" borderId="33" pivotButton="0" quotePrefix="0" xfId="0"/>
    <xf numFmtId="164" fontId="12" fillId="13" borderId="49" applyAlignment="1" pivotButton="0" quotePrefix="0" xfId="2">
      <alignment vertical="center"/>
    </xf>
    <xf numFmtId="165" fontId="11" fillId="0" borderId="61" pivotButton="0" quotePrefix="0" xfId="2"/>
    <xf numFmtId="165" fontId="11" fillId="0" borderId="9" pivotButton="0" quotePrefix="0" xfId="2"/>
    <xf numFmtId="165" fontId="11" fillId="0" borderId="108" pivotButton="0" quotePrefix="0" xfId="2"/>
    <xf numFmtId="165" fontId="11" fillId="0" borderId="59" pivotButton="0" quotePrefix="0" xfId="2"/>
    <xf numFmtId="164" fontId="13" fillId="11" borderId="2" applyAlignment="1" pivotButton="0" quotePrefix="0" xfId="2">
      <alignment vertical="center"/>
    </xf>
    <xf numFmtId="164" fontId="13" fillId="11" borderId="1" applyAlignment="1" pivotButton="0" quotePrefix="0" xfId="2">
      <alignment vertical="center"/>
    </xf>
    <xf numFmtId="164" fontId="5" fillId="11" borderId="2" applyAlignment="1" pivotButton="0" quotePrefix="0" xfId="2">
      <alignment vertical="center"/>
    </xf>
    <xf numFmtId="164" fontId="25" fillId="11" borderId="65" applyAlignment="1" pivotButton="0" quotePrefix="0" xfId="2">
      <alignment vertical="center"/>
    </xf>
    <xf numFmtId="164" fontId="10" fillId="11" borderId="133" applyAlignment="1" pivotButton="0" quotePrefix="0" xfId="2">
      <alignment horizontal="center" vertical="center" wrapText="1"/>
    </xf>
    <xf numFmtId="1" fontId="10" fillId="11" borderId="125" applyAlignment="1" pivotButton="0" quotePrefix="0" xfId="2">
      <alignment horizontal="center" vertical="center" wrapText="1"/>
    </xf>
    <xf numFmtId="164" fontId="35" fillId="2" borderId="0" applyAlignment="1" pivotButton="0" quotePrefix="0" xfId="2">
      <alignment horizontal="center" vertical="center" wrapText="1"/>
    </xf>
    <xf numFmtId="164" fontId="12" fillId="2" borderId="0" pivotButton="0" quotePrefix="0" xfId="2"/>
    <xf numFmtId="164" fontId="12" fillId="2" borderId="0" pivotButton="0" quotePrefix="0" xfId="0"/>
    <xf numFmtId="165" fontId="13" fillId="2" borderId="0" applyAlignment="1" pivotButton="0" quotePrefix="0" xfId="2">
      <alignment horizontal="center" vertical="center" wrapText="1"/>
    </xf>
    <xf numFmtId="0" fontId="12" fillId="2" borderId="0" pivotButton="0" quotePrefix="0" xfId="0"/>
    <xf numFmtId="0" fontId="20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12" fillId="2" borderId="0" applyAlignment="1" pivotButton="0" quotePrefix="0" xfId="2">
      <alignment horizontal="center"/>
    </xf>
    <xf numFmtId="164" fontId="35" fillId="2" borderId="68" applyAlignment="1" pivotButton="0" quotePrefix="0" xfId="2">
      <alignment horizontal="center" vertical="center" wrapText="1"/>
    </xf>
    <xf numFmtId="0" fontId="0" fillId="0" borderId="68" pivotButton="0" quotePrefix="0" xfId="0"/>
    <xf numFmtId="164" fontId="11" fillId="2" borderId="0" applyAlignment="1" pivotButton="0" quotePrefix="0" xfId="2">
      <alignment horizontal="center"/>
    </xf>
    <xf numFmtId="167" fontId="11" fillId="2" borderId="0" applyAlignment="1" pivotButton="0" quotePrefix="0" xfId="2">
      <alignment horizontal="center"/>
    </xf>
    <xf numFmtId="174" fontId="8" fillId="0" borderId="65" applyAlignment="1" pivotButton="0" quotePrefix="0" xfId="1">
      <alignment vertical="center"/>
    </xf>
    <xf numFmtId="0" fontId="0" fillId="0" borderId="65" pivotButton="0" quotePrefix="0" xfId="0"/>
    <xf numFmtId="174" fontId="0" fillId="0" borderId="65" applyAlignment="1" pivotButton="0" quotePrefix="0" xfId="0">
      <alignment vertical="center"/>
    </xf>
    <xf numFmtId="164" fontId="27" fillId="2" borderId="0" applyAlignment="1" pivotButton="0" quotePrefix="0" xfId="2">
      <alignment horizontal="center"/>
    </xf>
    <xf numFmtId="164" fontId="3" fillId="2" borderId="0" applyAlignment="1" pivotButton="0" quotePrefix="0" xfId="2">
      <alignment horizontal="center"/>
    </xf>
    <xf numFmtId="164" fontId="15" fillId="2" borderId="0" applyAlignment="1" pivotButton="0" quotePrefix="0" xfId="2">
      <alignment horizontal="center"/>
    </xf>
    <xf numFmtId="164" fontId="4" fillId="11" borderId="8" applyAlignment="1" pivotButton="0" quotePrefix="0" xfId="2">
      <alignment vertical="center"/>
    </xf>
    <xf numFmtId="164" fontId="12" fillId="11" borderId="2" applyAlignment="1" pivotButton="0" quotePrefix="0" xfId="2">
      <alignment vertical="center"/>
    </xf>
    <xf numFmtId="164" fontId="12" fillId="11" borderId="8" applyAlignment="1" pivotButton="0" quotePrefix="0" xfId="2">
      <alignment vertical="center"/>
    </xf>
    <xf numFmtId="164" fontId="12" fillId="11" borderId="49" applyAlignment="1" pivotButton="0" quotePrefix="0" xfId="2">
      <alignment vertical="center"/>
    </xf>
    <xf numFmtId="172" fontId="9" fillId="0" borderId="0" pivotButton="0" quotePrefix="0" xfId="0"/>
    <xf numFmtId="167" fontId="0" fillId="0" borderId="2" applyAlignment="1" pivotButton="0" quotePrefix="0" xfId="0">
      <alignment horizontal="center"/>
    </xf>
    <xf numFmtId="167" fontId="0" fillId="0" borderId="2" pivotButton="0" quotePrefix="0" xfId="0"/>
    <xf numFmtId="167" fontId="9" fillId="8" borderId="2" applyAlignment="1" pivotButton="0" quotePrefix="0" xfId="0">
      <alignment horizontal="center"/>
    </xf>
    <xf numFmtId="170" fontId="0" fillId="0" borderId="2" pivotButton="0" quotePrefix="0" xfId="0"/>
    <xf numFmtId="167" fontId="0" fillId="0" borderId="0" pivotButton="0" quotePrefix="0" xfId="36"/>
    <xf numFmtId="165" fontId="13" fillId="2" borderId="0" applyAlignment="1" pivotButton="0" quotePrefix="0" xfId="2">
      <alignment horizontal="center" vertical="center" wrapText="1"/>
    </xf>
    <xf numFmtId="167" fontId="12" fillId="2" borderId="0" pivotButton="0" quotePrefix="0" xfId="36"/>
    <xf numFmtId="165" fontId="12" fillId="2" borderId="0" pivotButton="0" quotePrefix="0" xfId="2"/>
    <xf numFmtId="165" fontId="13" fillId="10" borderId="132" applyAlignment="1" pivotButton="0" quotePrefix="0" xfId="2">
      <alignment horizontal="center" vertical="center" wrapText="1"/>
    </xf>
    <xf numFmtId="165" fontId="13" fillId="2" borderId="58" applyAlignment="1" pivotButton="0" quotePrefix="0" xfId="2">
      <alignment vertical="center"/>
    </xf>
    <xf numFmtId="165" fontId="13" fillId="10" borderId="58" applyAlignment="1" pivotButton="0" quotePrefix="0" xfId="2">
      <alignment vertical="center"/>
    </xf>
    <xf numFmtId="165" fontId="13" fillId="10" borderId="58" applyAlignment="1" pivotButton="0" quotePrefix="0" xfId="2">
      <alignment horizontal="center" vertical="center" wrapText="1"/>
    </xf>
    <xf numFmtId="165" fontId="12" fillId="2" borderId="1" applyAlignment="1" pivotButton="0" quotePrefix="0" xfId="2">
      <alignment vertical="center"/>
    </xf>
    <xf numFmtId="165" fontId="12" fillId="2" borderId="56" applyAlignment="1" pivotButton="0" quotePrefix="0" xfId="2">
      <alignment vertical="center"/>
    </xf>
    <xf numFmtId="165" fontId="12" fillId="2" borderId="49" applyAlignment="1" pivotButton="0" quotePrefix="0" xfId="2">
      <alignment vertical="center"/>
    </xf>
    <xf numFmtId="165" fontId="13" fillId="2" borderId="0" pivotButton="0" quotePrefix="0" xfId="2"/>
    <xf numFmtId="165" fontId="15" fillId="2" borderId="0" pivotButton="0" quotePrefix="1" xfId="2"/>
    <xf numFmtId="165" fontId="13" fillId="2" borderId="2" applyAlignment="1" pivotButton="0" quotePrefix="0" xfId="2">
      <alignment vertical="center"/>
    </xf>
    <xf numFmtId="165" fontId="12" fillId="2" borderId="2" applyAlignment="1" pivotButton="0" quotePrefix="0" xfId="2">
      <alignment vertical="center"/>
    </xf>
    <xf numFmtId="165" fontId="13" fillId="2" borderId="72" applyAlignment="1" pivotButton="0" quotePrefix="0" xfId="2">
      <alignment vertical="center"/>
    </xf>
    <xf numFmtId="165" fontId="12" fillId="2" borderId="69" applyAlignment="1" pivotButton="0" quotePrefix="0" xfId="2">
      <alignment vertical="center"/>
    </xf>
    <xf numFmtId="165" fontId="10" fillId="2" borderId="0" pivotButton="0" quotePrefix="0" xfId="2"/>
    <xf numFmtId="165" fontId="12" fillId="2" borderId="8" applyAlignment="1" pivotButton="0" quotePrefix="0" xfId="2">
      <alignment vertical="center"/>
    </xf>
    <xf numFmtId="175" fontId="10" fillId="2" borderId="0" pivotButton="0" quotePrefix="0" xfId="2"/>
    <xf numFmtId="165" fontId="17" fillId="2" borderId="0" pivotButton="0" quotePrefix="1" xfId="2"/>
    <xf numFmtId="165" fontId="15" fillId="2" borderId="0" pivotButton="0" quotePrefix="0" xfId="2"/>
    <xf numFmtId="165" fontId="12" fillId="0" borderId="0" pivotButton="0" quotePrefix="0" xfId="2"/>
    <xf numFmtId="165" fontId="15" fillId="0" borderId="0" pivotButton="0" quotePrefix="0" xfId="2"/>
    <xf numFmtId="165" fontId="12" fillId="0" borderId="1" applyAlignment="1" pivotButton="0" quotePrefix="0" xfId="2">
      <alignment vertical="center"/>
    </xf>
    <xf numFmtId="165" fontId="13" fillId="2" borderId="49" applyAlignment="1" pivotButton="0" quotePrefix="0" xfId="2">
      <alignment vertical="center"/>
    </xf>
    <xf numFmtId="165" fontId="13" fillId="10" borderId="72" applyAlignment="1" pivotButton="0" quotePrefix="0" xfId="2">
      <alignment vertical="center"/>
    </xf>
    <xf numFmtId="167" fontId="11" fillId="2" borderId="0" applyAlignment="1" pivotButton="0" quotePrefix="0" xfId="2">
      <alignment horizontal="center"/>
    </xf>
    <xf numFmtId="167" fontId="18" fillId="2" borderId="0" pivotButton="0" quotePrefix="0" xfId="2"/>
    <xf numFmtId="167" fontId="10" fillId="10" borderId="127" applyAlignment="1" pivotButton="0" quotePrefix="0" xfId="0">
      <alignment horizontal="center"/>
    </xf>
    <xf numFmtId="167" fontId="10" fillId="10" borderId="137" applyAlignment="1" pivotButton="0" quotePrefix="0" xfId="0">
      <alignment horizontal="center"/>
    </xf>
    <xf numFmtId="167" fontId="10" fillId="10" borderId="92" applyAlignment="1" pivotButton="0" quotePrefix="0" xfId="2">
      <alignment horizontal="center" vertical="center" wrapText="1"/>
    </xf>
    <xf numFmtId="167" fontId="10" fillId="10" borderId="82" applyAlignment="1" pivotButton="0" quotePrefix="0" xfId="2">
      <alignment horizontal="center" vertical="center" wrapText="1"/>
    </xf>
    <xf numFmtId="168" fontId="11" fillId="2" borderId="1" applyAlignment="1" pivotButton="0" quotePrefix="0" xfId="2">
      <alignment horizontal="center" vertical="center"/>
    </xf>
    <xf numFmtId="167" fontId="11" fillId="2" borderId="1" applyAlignment="1" pivotButton="0" quotePrefix="0" xfId="2">
      <alignment horizontal="center" vertical="center"/>
    </xf>
    <xf numFmtId="167" fontId="3" fillId="0" borderId="52" pivotButton="0" quotePrefix="0" xfId="0"/>
    <xf numFmtId="167" fontId="3" fillId="0" borderId="115" pivotButton="0" quotePrefix="0" xfId="0"/>
    <xf numFmtId="174" fontId="0" fillId="0" borderId="65" applyAlignment="1" pivotButton="0" quotePrefix="0" xfId="0">
      <alignment vertical="center"/>
    </xf>
    <xf numFmtId="174" fontId="8" fillId="0" borderId="65" applyAlignment="1" pivotButton="0" quotePrefix="0" xfId="1">
      <alignment vertical="center"/>
    </xf>
    <xf numFmtId="167" fontId="3" fillId="0" borderId="34" pivotButton="0" quotePrefix="0" xfId="0"/>
    <xf numFmtId="167" fontId="3" fillId="0" borderId="77" pivotButton="0" quotePrefix="0" xfId="0"/>
    <xf numFmtId="167" fontId="3" fillId="0" borderId="50" pivotButton="0" quotePrefix="0" xfId="0"/>
    <xf numFmtId="167" fontId="3" fillId="0" borderId="116" pivotButton="0" quotePrefix="0" xfId="0"/>
    <xf numFmtId="167" fontId="2" fillId="0" borderId="4" pivotButton="0" quotePrefix="0" xfId="0"/>
    <xf numFmtId="167" fontId="2" fillId="0" borderId="78" pivotButton="0" quotePrefix="0" xfId="0"/>
    <xf numFmtId="167" fontId="10" fillId="10" borderId="4" pivotButton="0" quotePrefix="0" xfId="2"/>
    <xf numFmtId="167" fontId="10" fillId="10" borderId="78" pivotButton="0" quotePrefix="0" xfId="2"/>
    <xf numFmtId="167" fontId="10" fillId="2" borderId="4" pivotButton="0" quotePrefix="0" xfId="2"/>
    <xf numFmtId="167" fontId="10" fillId="2" borderId="78" pivotButton="0" quotePrefix="0" xfId="2"/>
    <xf numFmtId="167" fontId="3" fillId="0" borderId="46" pivotButton="0" quotePrefix="0" xfId="0"/>
    <xf numFmtId="167" fontId="3" fillId="0" borderId="117" pivotButton="0" quotePrefix="0" xfId="0"/>
    <xf numFmtId="167" fontId="3" fillId="0" borderId="33" pivotButton="0" quotePrefix="0" xfId="0"/>
    <xf numFmtId="167" fontId="3" fillId="0" borderId="76" pivotButton="0" quotePrefix="0" xfId="0"/>
    <xf numFmtId="167" fontId="3" fillId="0" borderId="36" pivotButton="0" quotePrefix="0" xfId="0"/>
    <xf numFmtId="167" fontId="3" fillId="0" borderId="79" pivotButton="0" quotePrefix="0" xfId="0"/>
    <xf numFmtId="166" fontId="11" fillId="0" borderId="44" applyAlignment="1" pivotButton="0" quotePrefix="0" xfId="2">
      <alignment horizontal="center"/>
    </xf>
    <xf numFmtId="166" fontId="11" fillId="0" borderId="16" applyAlignment="1" pivotButton="0" quotePrefix="0" xfId="2">
      <alignment horizontal="center"/>
    </xf>
    <xf numFmtId="167" fontId="3" fillId="0" borderId="53" pivotButton="0" quotePrefix="0" xfId="0"/>
    <xf numFmtId="167" fontId="3" fillId="0" borderId="83" pivotButton="0" quotePrefix="0" xfId="0"/>
    <xf numFmtId="167" fontId="10" fillId="10" borderId="37" pivotButton="0" quotePrefix="0" xfId="2"/>
    <xf numFmtId="167" fontId="10" fillId="10" borderId="118" pivotButton="0" quotePrefix="0" xfId="2"/>
    <xf numFmtId="167" fontId="11" fillId="2" borderId="0" pivotButton="0" quotePrefix="0" xfId="2"/>
    <xf numFmtId="167" fontId="11" fillId="2" borderId="0" pivotButton="0" quotePrefix="0" xfId="36"/>
    <xf numFmtId="167" fontId="10" fillId="10" borderId="130" pivotButton="0" quotePrefix="0" xfId="2"/>
    <xf numFmtId="167" fontId="10" fillId="10" borderId="131" pivotButton="0" quotePrefix="0" xfId="2"/>
    <xf numFmtId="167" fontId="3" fillId="0" borderId="4" pivotButton="0" quotePrefix="0" xfId="0"/>
    <xf numFmtId="167" fontId="3" fillId="0" borderId="78" pivotButton="0" quotePrefix="0" xfId="0"/>
    <xf numFmtId="167" fontId="3" fillId="0" borderId="35" pivotButton="0" quotePrefix="0" xfId="0"/>
    <xf numFmtId="167" fontId="3" fillId="0" borderId="80" pivotButton="0" quotePrefix="0" xfId="36"/>
    <xf numFmtId="167" fontId="3" fillId="0" borderId="78" pivotButton="0" quotePrefix="0" xfId="36"/>
    <xf numFmtId="167" fontId="10" fillId="2" borderId="78" pivotButton="0" quotePrefix="0" xfId="36"/>
    <xf numFmtId="167" fontId="3" fillId="0" borderId="40" pivotButton="0" quotePrefix="0" xfId="0"/>
    <xf numFmtId="167" fontId="3" fillId="0" borderId="81" pivotButton="0" quotePrefix="0" xfId="36"/>
    <xf numFmtId="167" fontId="3" fillId="0" borderId="92" pivotButton="0" quotePrefix="0" xfId="0"/>
    <xf numFmtId="167" fontId="3" fillId="0" borderId="82" pivotButton="0" quotePrefix="0" xfId="36"/>
    <xf numFmtId="167" fontId="10" fillId="10" borderId="131" pivotButton="0" quotePrefix="0" xfId="36"/>
    <xf numFmtId="167" fontId="3" fillId="0" borderId="81" pivotButton="0" quotePrefix="0" xfId="0"/>
    <xf numFmtId="167" fontId="3" fillId="0" borderId="80" pivotButton="0" quotePrefix="0" xfId="0"/>
    <xf numFmtId="167" fontId="3" fillId="0" borderId="105" pivotButton="0" quotePrefix="0" xfId="0"/>
    <xf numFmtId="167" fontId="3" fillId="0" borderId="107" pivotButton="0" quotePrefix="0" xfId="0"/>
    <xf numFmtId="167" fontId="3" fillId="0" borderId="43" pivotButton="0" quotePrefix="0" xfId="0"/>
    <xf numFmtId="167" fontId="3" fillId="0" borderId="114" pivotButton="0" quotePrefix="0" xfId="0"/>
    <xf numFmtId="167" fontId="10" fillId="2" borderId="66" pivotButton="0" quotePrefix="0" xfId="2"/>
    <xf numFmtId="167" fontId="10" fillId="2" borderId="123" pivotButton="0" quotePrefix="0" xfId="36"/>
    <xf numFmtId="167" fontId="11" fillId="2" borderId="84" pivotButton="0" quotePrefix="0" xfId="36"/>
    <xf numFmtId="167" fontId="11" fillId="2" borderId="77" pivotButton="0" quotePrefix="0" xfId="36"/>
    <xf numFmtId="167" fontId="3" fillId="0" borderId="82" pivotButton="0" quotePrefix="0" xfId="0"/>
    <xf numFmtId="167" fontId="10" fillId="10" borderId="127" pivotButton="0" quotePrefix="0" xfId="2"/>
    <xf numFmtId="167" fontId="10" fillId="10" borderId="137" pivotButton="0" quotePrefix="0" xfId="2"/>
    <xf numFmtId="167" fontId="10" fillId="0" borderId="0" pivotButton="0" quotePrefix="0" xfId="2"/>
    <xf numFmtId="173" fontId="18" fillId="2" borderId="0" pivotButton="0" quotePrefix="0" xfId="2"/>
    <xf numFmtId="173" fontId="3" fillId="0" borderId="45" pivotButton="0" quotePrefix="0" xfId="0"/>
    <xf numFmtId="171" fontId="3" fillId="0" borderId="34" pivotButton="0" quotePrefix="0" xfId="0"/>
    <xf numFmtId="165" fontId="11" fillId="2" borderId="0" pivotButton="0" quotePrefix="0" xfId="2"/>
    <xf numFmtId="167" fontId="10" fillId="2" borderId="0" pivotButton="0" quotePrefix="0" xfId="2"/>
    <xf numFmtId="167" fontId="2" fillId="0" borderId="0" pivotButton="0" quotePrefix="0" xfId="2"/>
    <xf numFmtId="167" fontId="10" fillId="2" borderId="0" pivotButton="0" quotePrefix="0" xfId="36"/>
    <xf numFmtId="167" fontId="10" fillId="7" borderId="130" pivotButton="0" quotePrefix="0" xfId="2"/>
    <xf numFmtId="167" fontId="10" fillId="13" borderId="139" pivotButton="0" quotePrefix="0" xfId="2"/>
    <xf numFmtId="167" fontId="10" fillId="2" borderId="11" pivotButton="0" quotePrefix="0" xfId="2"/>
    <xf numFmtId="167" fontId="3" fillId="0" borderId="11" pivotButton="0" quotePrefix="0" xfId="0"/>
    <xf numFmtId="167" fontId="3" fillId="0" borderId="14" pivotButton="0" quotePrefix="0" xfId="0"/>
    <xf numFmtId="167" fontId="3" fillId="0" borderId="15" pivotButton="0" quotePrefix="0" xfId="0"/>
    <xf numFmtId="170" fontId="8" fillId="0" borderId="0" pivotButton="0" quotePrefix="0" xfId="1"/>
    <xf numFmtId="167" fontId="2" fillId="0" borderId="11" pivotButton="0" quotePrefix="0" xfId="0"/>
    <xf numFmtId="167" fontId="3" fillId="0" borderId="51" pivotButton="0" quotePrefix="0" xfId="0"/>
    <xf numFmtId="167" fontId="3" fillId="0" borderId="84" pivotButton="0" quotePrefix="0" xfId="0"/>
    <xf numFmtId="167" fontId="3" fillId="0" borderId="110" pivotButton="0" quotePrefix="0" xfId="0"/>
    <xf numFmtId="167" fontId="3" fillId="0" borderId="116" pivotButton="0" quotePrefix="0" xfId="36"/>
    <xf numFmtId="167" fontId="3" fillId="0" borderId="120" pivotButton="0" quotePrefix="0" xfId="0"/>
    <xf numFmtId="167" fontId="3" fillId="0" borderId="47" pivotButton="0" quotePrefix="0" xfId="0"/>
    <xf numFmtId="167" fontId="3" fillId="0" borderId="84" pivotButton="0" quotePrefix="0" xfId="36"/>
    <xf numFmtId="167" fontId="3" fillId="0" borderId="66" pivotButton="0" quotePrefix="0" xfId="0"/>
    <xf numFmtId="167" fontId="3" fillId="0" borderId="18" pivotButton="0" quotePrefix="0" xfId="0"/>
    <xf numFmtId="167" fontId="11" fillId="2" borderId="110" pivotButton="0" quotePrefix="0" xfId="2"/>
    <xf numFmtId="167" fontId="3" fillId="0" borderId="59" pivotButton="0" quotePrefix="0" xfId="0"/>
    <xf numFmtId="167" fontId="11" fillId="2" borderId="67" pivotButton="0" quotePrefix="0" xfId="2"/>
    <xf numFmtId="167" fontId="3" fillId="0" borderId="20" pivotButton="0" quotePrefix="0" xfId="0"/>
    <xf numFmtId="165" fontId="32" fillId="2" borderId="0" pivotButton="0" quotePrefix="0" xfId="2"/>
    <xf numFmtId="167" fontId="3" fillId="0" borderId="106" pivotButton="0" quotePrefix="0" xfId="0"/>
    <xf numFmtId="167" fontId="3" fillId="0" borderId="64" pivotButton="0" quotePrefix="0" xfId="0"/>
    <xf numFmtId="167" fontId="11" fillId="2" borderId="83" pivotButton="0" quotePrefix="0" xfId="36"/>
    <xf numFmtId="167" fontId="10" fillId="10" borderId="93" pivotButton="0" quotePrefix="0" xfId="2"/>
    <xf numFmtId="167" fontId="10" fillId="10" borderId="38" pivotButton="0" quotePrefix="0" xfId="2"/>
    <xf numFmtId="167" fontId="10" fillId="13" borderId="109" pivotButton="0" quotePrefix="0" xfId="2"/>
    <xf numFmtId="167" fontId="10" fillId="13" borderId="138" pivotButton="0" quotePrefix="0" xfId="2"/>
    <xf numFmtId="167" fontId="10" fillId="2" borderId="67" pivotButton="0" quotePrefix="0" xfId="36"/>
    <xf numFmtId="167" fontId="3" fillId="0" borderId="112" pivotButton="0" quotePrefix="0" xfId="0"/>
    <xf numFmtId="167" fontId="10" fillId="13" borderId="134" pivotButton="0" quotePrefix="0" xfId="2"/>
    <xf numFmtId="165" fontId="11" fillId="2" borderId="26" pivotButton="0" quotePrefix="0" xfId="2"/>
    <xf numFmtId="167" fontId="11" fillId="2" borderId="93" applyAlignment="1" pivotButton="0" quotePrefix="0" xfId="2">
      <alignment horizontal="center"/>
    </xf>
    <xf numFmtId="167" fontId="11" fillId="2" borderId="38" applyAlignment="1" pivotButton="0" quotePrefix="0" xfId="2">
      <alignment horizontal="center"/>
    </xf>
    <xf numFmtId="167" fontId="11" fillId="2" borderId="109" applyAlignment="1" pivotButton="0" quotePrefix="0" xfId="2">
      <alignment horizontal="center"/>
    </xf>
    <xf numFmtId="165" fontId="11" fillId="2" borderId="61" pivotButton="0" quotePrefix="0" xfId="2"/>
    <xf numFmtId="167" fontId="11" fillId="2" borderId="34" applyAlignment="1" pivotButton="0" quotePrefix="0" xfId="2">
      <alignment horizontal="center"/>
    </xf>
    <xf numFmtId="167" fontId="11" fillId="2" borderId="77" applyAlignment="1" pivotButton="0" quotePrefix="0" xfId="2">
      <alignment horizontal="center"/>
    </xf>
    <xf numFmtId="167" fontId="11" fillId="2" borderId="15" applyAlignment="1" pivotButton="0" quotePrefix="0" xfId="2">
      <alignment horizontal="center"/>
    </xf>
    <xf numFmtId="165" fontId="11" fillId="2" borderId="9" pivotButton="0" quotePrefix="0" xfId="2"/>
    <xf numFmtId="167" fontId="11" fillId="2" borderId="33" applyAlignment="1" pivotButton="0" quotePrefix="0" xfId="2">
      <alignment horizontal="center"/>
    </xf>
    <xf numFmtId="167" fontId="11" fillId="2" borderId="76" applyAlignment="1" pivotButton="0" quotePrefix="0" xfId="2">
      <alignment horizontal="center"/>
    </xf>
    <xf numFmtId="165" fontId="11" fillId="2" borderId="108" pivotButton="0" quotePrefix="0" xfId="2"/>
    <xf numFmtId="167" fontId="11" fillId="2" borderId="53" applyAlignment="1" pivotButton="0" quotePrefix="0" xfId="2">
      <alignment horizontal="center"/>
    </xf>
    <xf numFmtId="169" fontId="11" fillId="0" borderId="16" applyAlignment="1" pivotButton="0" quotePrefix="0" xfId="3">
      <alignment horizontal="center"/>
    </xf>
    <xf numFmtId="167" fontId="11" fillId="2" borderId="64" applyAlignment="1" pivotButton="0" quotePrefix="0" xfId="2">
      <alignment horizontal="center"/>
    </xf>
    <xf numFmtId="165" fontId="11" fillId="0" borderId="15" pivotButton="0" quotePrefix="0" xfId="2"/>
    <xf numFmtId="167" fontId="11" fillId="0" borderId="34" applyAlignment="1" pivotButton="0" quotePrefix="0" xfId="2">
      <alignment horizontal="center"/>
    </xf>
    <xf numFmtId="167" fontId="11" fillId="0" borderId="77" applyAlignment="1" pivotButton="0" quotePrefix="0" xfId="36">
      <alignment horizontal="center"/>
    </xf>
    <xf numFmtId="167" fontId="11" fillId="0" borderId="15" applyAlignment="1" pivotButton="0" quotePrefix="0" xfId="2">
      <alignment horizontal="center"/>
    </xf>
    <xf numFmtId="165" fontId="11" fillId="2" borderId="59" pivotButton="0" quotePrefix="0" xfId="2"/>
    <xf numFmtId="167" fontId="11" fillId="0" borderId="92" applyAlignment="1" pivotButton="0" quotePrefix="0" xfId="2">
      <alignment horizontal="center"/>
    </xf>
    <xf numFmtId="167" fontId="11" fillId="0" borderId="82" applyAlignment="1" pivotButton="0" quotePrefix="0" xfId="36">
      <alignment horizontal="center"/>
    </xf>
    <xf numFmtId="167" fontId="11" fillId="0" borderId="59" applyAlignment="1" pivotButton="0" quotePrefix="0" xfId="2">
      <alignment horizontal="center"/>
    </xf>
    <xf numFmtId="167" fontId="10" fillId="10" borderId="127" applyAlignment="1" pivotButton="0" quotePrefix="0" xfId="2">
      <alignment horizontal="center" vertical="center" wrapText="1"/>
    </xf>
    <xf numFmtId="167" fontId="10" fillId="0" borderId="4" pivotButton="0" quotePrefix="0" xfId="2"/>
    <xf numFmtId="177" fontId="10" fillId="2" borderId="4" pivotButton="0" quotePrefix="0" xfId="2"/>
    <xf numFmtId="167" fontId="24" fillId="15" borderId="0" pivotButton="0" quotePrefix="0" xfId="2"/>
    <xf numFmtId="167" fontId="24" fillId="2" borderId="0" pivotButton="0" quotePrefix="0" xfId="2"/>
    <xf numFmtId="167" fontId="3" fillId="15" borderId="34" pivotButton="0" quotePrefix="0" xfId="0"/>
    <xf numFmtId="167" fontId="3" fillId="15" borderId="53" pivotButton="0" quotePrefix="0" xfId="0"/>
    <xf numFmtId="167" fontId="3" fillId="15" borderId="50" pivotButton="0" quotePrefix="0" xfId="0"/>
    <xf numFmtId="167" fontId="3" fillId="0" borderId="35" pivotButton="0" quotePrefix="0" xfId="36"/>
    <xf numFmtId="173" fontId="10" fillId="0" borderId="0" pivotButton="0" quotePrefix="0" xfId="2"/>
    <xf numFmtId="167" fontId="3" fillId="0" borderId="45" pivotButton="0" quotePrefix="0" xfId="0"/>
    <xf numFmtId="167" fontId="11" fillId="0" borderId="84" pivotButton="0" quotePrefix="0" xfId="36"/>
    <xf numFmtId="167" fontId="11" fillId="0" borderId="77" pivotButton="0" quotePrefix="0" xfId="36"/>
    <xf numFmtId="167" fontId="11" fillId="0" borderId="93" applyAlignment="1" pivotButton="0" quotePrefix="0" xfId="2">
      <alignment horizontal="center"/>
    </xf>
    <xf numFmtId="169" fontId="11" fillId="0" borderId="55" applyAlignment="1" pivotButton="0" quotePrefix="0" xfId="3">
      <alignment horizontal="center"/>
    </xf>
    <xf numFmtId="167" fontId="11" fillId="0" borderId="33" applyAlignment="1" pivotButton="0" quotePrefix="0" xfId="2">
      <alignment horizontal="center"/>
    </xf>
    <xf numFmtId="167" fontId="11" fillId="0" borderId="76" applyAlignment="1" pivotButton="0" quotePrefix="0" xfId="2">
      <alignment horizontal="center"/>
    </xf>
    <xf numFmtId="167" fontId="11" fillId="0" borderId="53" applyAlignment="1" pivotButton="0" quotePrefix="0" xfId="2">
      <alignment horizontal="center"/>
    </xf>
    <xf numFmtId="167" fontId="24" fillId="0" borderId="83" applyAlignment="1" pivotButton="0" quotePrefix="0" xfId="2">
      <alignment horizontal="center"/>
    </xf>
    <xf numFmtId="167" fontId="24" fillId="0" borderId="53" applyAlignment="1" pivotButton="0" quotePrefix="0" xfId="2">
      <alignment horizontal="center"/>
    </xf>
    <xf numFmtId="167" fontId="11" fillId="2" borderId="83" applyAlignment="1" pivotButton="0" quotePrefix="0" xfId="2">
      <alignment horizontal="center"/>
    </xf>
    <xf numFmtId="169" fontId="11" fillId="0" borderId="61" applyAlignment="1" pivotButton="0" quotePrefix="0" xfId="3">
      <alignment horizontal="center"/>
    </xf>
    <xf numFmtId="167" fontId="11" fillId="0" borderId="77" applyAlignment="1" pivotButton="0" quotePrefix="0" xfId="2">
      <alignment horizontal="center"/>
    </xf>
    <xf numFmtId="169" fontId="3" fillId="0" borderId="16" applyAlignment="1" pivotButton="0" quotePrefix="0" xfId="3">
      <alignment horizontal="center"/>
    </xf>
    <xf numFmtId="167" fontId="11" fillId="2" borderId="0" applyAlignment="1" pivotButton="0" quotePrefix="0" xfId="36">
      <alignment horizontal="center"/>
    </xf>
    <xf numFmtId="166" fontId="11" fillId="0" borderId="55" applyAlignment="1" pivotButton="0" quotePrefix="0" xfId="2">
      <alignment horizontal="center"/>
    </xf>
    <xf numFmtId="167" fontId="2" fillId="15" borderId="4" pivotButton="0" quotePrefix="0" xfId="0"/>
    <xf numFmtId="167" fontId="2" fillId="15" borderId="78" pivotButton="0" quotePrefix="0" xfId="0"/>
    <xf numFmtId="167" fontId="45" fillId="2" borderId="0" applyAlignment="1" pivotButton="0" quotePrefix="0" xfId="36">
      <alignment horizontal="center"/>
    </xf>
    <xf numFmtId="169" fontId="11" fillId="0" borderId="7" applyAlignment="1" pivotButton="0" quotePrefix="0" xfId="3">
      <alignment horizontal="center"/>
    </xf>
    <xf numFmtId="167" fontId="15" fillId="2" borderId="0" applyAlignment="1" pivotButton="0" quotePrefix="0" xfId="2">
      <alignment horizontal="center"/>
    </xf>
    <xf numFmtId="167" fontId="3" fillId="2" borderId="0" applyAlignment="1" pivotButton="0" quotePrefix="0" xfId="2">
      <alignment horizontal="center"/>
    </xf>
    <xf numFmtId="167" fontId="10" fillId="15" borderId="0" pivotButton="0" quotePrefix="0" xfId="2"/>
    <xf numFmtId="167" fontId="2" fillId="15" borderId="0" pivotButton="0" quotePrefix="0" xfId="2"/>
    <xf numFmtId="165" fontId="6" fillId="0" borderId="0" pivotButton="0" quotePrefix="0" xfId="2"/>
    <xf numFmtId="165" fontId="44" fillId="2" borderId="0" pivotButton="0" quotePrefix="0" xfId="2"/>
    <xf numFmtId="173" fontId="29" fillId="2" borderId="0" pivotButton="0" quotePrefix="0" xfId="2"/>
    <xf numFmtId="167" fontId="11" fillId="2" borderId="83" applyAlignment="1" pivotButton="0" quotePrefix="0" xfId="36">
      <alignment horizontal="center"/>
    </xf>
    <xf numFmtId="168" fontId="11" fillId="0" borderId="77" applyAlignment="1" pivotButton="0" quotePrefix="0" xfId="36">
      <alignment horizontal="center"/>
    </xf>
    <xf numFmtId="167" fontId="10" fillId="7" borderId="127" applyAlignment="1" pivotButton="0" quotePrefix="0" xfId="2">
      <alignment horizontal="center" vertical="center" wrapText="1"/>
    </xf>
    <xf numFmtId="167" fontId="10" fillId="7" borderId="37" pivotButton="0" quotePrefix="0" xfId="2"/>
    <xf numFmtId="169" fontId="11" fillId="0" borderId="9" applyAlignment="1" pivotButton="0" quotePrefix="0" xfId="3">
      <alignment horizontal="center"/>
    </xf>
    <xf numFmtId="167" fontId="10" fillId="7" borderId="127" pivotButton="0" quotePrefix="0" xfId="2"/>
    <xf numFmtId="167" fontId="42" fillId="0" borderId="0" pivotButton="0" quotePrefix="0" xfId="2"/>
    <xf numFmtId="167" fontId="3" fillId="15" borderId="33" pivotButton="0" quotePrefix="0" xfId="0"/>
    <xf numFmtId="175" fontId="11" fillId="2" borderId="0" pivotButton="0" quotePrefix="0" xfId="2"/>
    <xf numFmtId="165" fontId="11" fillId="0" borderId="26" pivotButton="0" quotePrefix="0" xfId="2"/>
    <xf numFmtId="165" fontId="11" fillId="0" borderId="61" pivotButton="0" quotePrefix="0" xfId="2"/>
    <xf numFmtId="165" fontId="11" fillId="0" borderId="9" pivotButton="0" quotePrefix="0" xfId="2"/>
    <xf numFmtId="165" fontId="11" fillId="0" borderId="108" pivotButton="0" quotePrefix="0" xfId="2"/>
    <xf numFmtId="165" fontId="11" fillId="0" borderId="59" pivotButton="0" quotePrefix="0" xfId="2"/>
    <xf numFmtId="167" fontId="3" fillId="0" borderId="114" pivotButton="0" quotePrefix="0" xfId="36"/>
    <xf numFmtId="167" fontId="3" fillId="0" borderId="123" pivotButton="0" quotePrefix="0" xfId="0"/>
    <xf numFmtId="167" fontId="3" fillId="17" borderId="92" pivotButton="0" quotePrefix="0" xfId="0"/>
    <xf numFmtId="167" fontId="3" fillId="0" borderId="117" pivotButton="0" quotePrefix="0" xfId="36"/>
    <xf numFmtId="167" fontId="3" fillId="0" borderId="123" pivotButton="0" quotePrefix="0" xfId="36"/>
    <xf numFmtId="167" fontId="17" fillId="2" borderId="0" applyAlignment="1" pivotButton="0" quotePrefix="0" xfId="2">
      <alignment horizontal="center"/>
    </xf>
    <xf numFmtId="165" fontId="11" fillId="2" borderId="0" applyAlignment="1" pivotButton="0" quotePrefix="0" xfId="2">
      <alignment horizontal="center"/>
    </xf>
    <xf numFmtId="176" fontId="17" fillId="14" borderId="0" applyAlignment="1" pivotButton="0" quotePrefix="0" xfId="2">
      <alignment horizontal="center" vertical="center"/>
    </xf>
    <xf numFmtId="165" fontId="36" fillId="16" borderId="63" applyAlignment="1" pivotButton="0" quotePrefix="0" xfId="2">
      <alignment horizontal="center" vertical="center"/>
    </xf>
    <xf numFmtId="165" fontId="36" fillId="16" borderId="58" applyAlignment="1" pivotButton="0" quotePrefix="0" xfId="2">
      <alignment horizontal="center" vertical="center" wrapText="1"/>
    </xf>
    <xf numFmtId="165" fontId="36" fillId="16" borderId="72" applyAlignment="1" pivotButton="0" quotePrefix="0" xfId="2">
      <alignment horizontal="center" vertical="center"/>
    </xf>
    <xf numFmtId="174" fontId="37" fillId="0" borderId="2" applyAlignment="1" pivotButton="0" quotePrefix="0" xfId="2">
      <alignment horizontal="center" vertical="center"/>
    </xf>
    <xf numFmtId="167" fontId="48" fillId="2" borderId="2" applyAlignment="1" pivotButton="0" quotePrefix="0" xfId="36">
      <alignment horizontal="center" vertical="center"/>
    </xf>
    <xf numFmtId="174" fontId="37" fillId="2" borderId="0" applyAlignment="1" pivotButton="0" quotePrefix="0" xfId="2">
      <alignment horizontal="center" vertical="center"/>
    </xf>
    <xf numFmtId="167" fontId="48" fillId="2" borderId="2" applyAlignment="1" pivotButton="0" quotePrefix="0" xfId="36">
      <alignment horizontal="center" vertical="center" wrapText="1"/>
    </xf>
    <xf numFmtId="178" fontId="11" fillId="2" borderId="2" applyAlignment="1" pivotButton="0" quotePrefix="0" xfId="37">
      <alignment horizontal="center" vertical="center"/>
    </xf>
    <xf numFmtId="167" fontId="10" fillId="17" borderId="0" pivotButton="0" quotePrefix="0" xfId="36"/>
    <xf numFmtId="165" fontId="21" fillId="2" borderId="0" applyAlignment="1" pivotButton="0" quotePrefix="0" xfId="2">
      <alignment horizontal="center"/>
    </xf>
    <xf numFmtId="167" fontId="3" fillId="18" borderId="34" pivotButton="0" quotePrefix="0" xfId="0"/>
    <xf numFmtId="167" fontId="3" fillId="18" borderId="33" pivotButton="0" quotePrefix="0" xfId="0"/>
    <xf numFmtId="167" fontId="10" fillId="15" borderId="0" pivotButton="0" quotePrefix="0" xfId="36"/>
    <xf numFmtId="167" fontId="3" fillId="2" borderId="0" pivotButton="0" quotePrefix="0" xfId="0"/>
    <xf numFmtId="167" fontId="2" fillId="2" borderId="0" pivotButton="0" quotePrefix="0" xfId="0"/>
    <xf numFmtId="166" fontId="11" fillId="0" borderId="27" applyAlignment="1" pivotButton="0" quotePrefix="0" xfId="2">
      <alignment horizontal="center"/>
    </xf>
    <xf numFmtId="167" fontId="34" fillId="0" borderId="0" pivotButton="0" quotePrefix="0" xfId="2"/>
    <xf numFmtId="167" fontId="6" fillId="0" borderId="0" pivotButton="0" quotePrefix="0" xfId="2"/>
    <xf numFmtId="167" fontId="3" fillId="0" borderId="50" pivotButton="0" quotePrefix="0" xfId="36"/>
    <xf numFmtId="167" fontId="3" fillId="0" borderId="4" pivotButton="0" quotePrefix="0" xfId="36"/>
    <xf numFmtId="167" fontId="10" fillId="2" borderId="4" pivotButton="0" quotePrefix="0" xfId="36"/>
    <xf numFmtId="167" fontId="3" fillId="0" borderId="40" pivotButton="0" quotePrefix="0" xfId="36"/>
    <xf numFmtId="167" fontId="10" fillId="10" borderId="130" pivotButton="0" quotePrefix="0" xfId="36"/>
    <xf numFmtId="167" fontId="10" fillId="2" borderId="0" applyAlignment="1" pivotButton="0" quotePrefix="0" xfId="36">
      <alignment horizontal="center"/>
    </xf>
    <xf numFmtId="165" fontId="11" fillId="2" borderId="15" pivotButton="0" quotePrefix="0" xfId="2"/>
    <xf numFmtId="167" fontId="15" fillId="2" borderId="0" applyAlignment="1" pivotButton="0" quotePrefix="0" xfId="36">
      <alignment horizontal="center"/>
    </xf>
    <xf numFmtId="167" fontId="10" fillId="3" borderId="4" pivotButton="0" quotePrefix="0" xfId="2"/>
    <xf numFmtId="167" fontId="10" fillId="3" borderId="78" pivotButton="0" quotePrefix="0" xfId="2"/>
    <xf numFmtId="167" fontId="10" fillId="4" borderId="37" pivotButton="0" quotePrefix="0" xfId="2"/>
    <xf numFmtId="167" fontId="10" fillId="4" borderId="118" pivotButton="0" quotePrefix="0" xfId="2"/>
    <xf numFmtId="167" fontId="10" fillId="7" borderId="131" pivotButton="0" quotePrefix="0" xfId="2"/>
  </cellXfs>
  <cellStyles count="38">
    <cellStyle name="Normal" xfId="0" builtinId="0"/>
    <cellStyle name="Hipervínculo" xfId="1" builtinId="8"/>
    <cellStyle name="Millares" xfId="2" builtinId="3"/>
    <cellStyle name="Millares [0]" xfId="3" builtinId="6"/>
    <cellStyle name="Millares [0] 2" xfId="4"/>
    <cellStyle name="Millares 10" xfId="5"/>
    <cellStyle name="Millares 2" xfId="6"/>
    <cellStyle name="Millares 2 2" xfId="7"/>
    <cellStyle name="Millares 3" xfId="8"/>
    <cellStyle name="Millares 3 3" xfId="9"/>
    <cellStyle name="Millares 4" xfId="10"/>
    <cellStyle name="Millares 5" xfId="11"/>
    <cellStyle name="Millares 6" xfId="12"/>
    <cellStyle name="Millares 7" xfId="13"/>
    <cellStyle name="Millares 8" xfId="14"/>
    <cellStyle name="Millares 8 2" xfId="15"/>
    <cellStyle name="Millares 9" xfId="16"/>
    <cellStyle name="Moneda [0] 2" xfId="17"/>
    <cellStyle name="Moneda 10" xfId="18"/>
    <cellStyle name="Moneda 2" xfId="19"/>
    <cellStyle name="Moneda 2 2" xfId="20"/>
    <cellStyle name="Moneda 2 2 2" xfId="21"/>
    <cellStyle name="Moneda 2 3" xfId="22"/>
    <cellStyle name="Moneda 2 4" xfId="23"/>
    <cellStyle name="Moneda 3" xfId="24"/>
    <cellStyle name="Moneda 4" xfId="25"/>
    <cellStyle name="Moneda 5" xfId="26"/>
    <cellStyle name="Moneda 6" xfId="27"/>
    <cellStyle name="Moneda 7" xfId="28"/>
    <cellStyle name="Moneda 8" xfId="29"/>
    <cellStyle name="Moneda 9" xfId="30"/>
    <cellStyle name="Normal 2" xfId="31"/>
    <cellStyle name="Normal 2 2" xfId="32"/>
    <cellStyle name="Normal 3" xfId="33"/>
    <cellStyle name="Normal 4 2" xfId="34"/>
    <cellStyle name="Normal 6" xfId="35"/>
    <cellStyle name="Porcentaje" xfId="36" builtinId="5"/>
    <cellStyle name="Moneda" xfId="37" builtinId="4"/>
  </cellStyles>
  <dxfs count="15"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medium">
          <color rgb="FF4F81BD"/>
        </top>
      </border>
    </dxf>
    <dxf>
      <font>
        <b val="1"/>
        <color rgb="FF000000"/>
      </font>
    </dxf>
    <dxf>
      <font>
        <color rgb="FF000000"/>
      </font>
      <fill>
        <patternFill patternType="solid">
          <fgColor rgb="FFDBE5F1"/>
          <bgColor rgb="FFDBE5F1"/>
        </patternFill>
      </fill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vertical style="thin">
          <color rgb="FF95B3D7"/>
        </vertical>
        <horizontal style="thin">
          <color rgb="FF95B3D7"/>
        </horizontal>
      </border>
    </dxf>
  </dxfs>
  <tableStyles count="1" defaultTableStyle="TableStyleMedium9" defaultPivotStyle="PivotStyleLight16">
    <tableStyle name="TableStyleMedium23 2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externalLink" Target="/xl/externalLinks/externalLink4.xml" Id="rId21"/><Relationship Type="http://schemas.openxmlformats.org/officeDocument/2006/relationships/externalLink" Target="/xl/externalLinks/externalLink5.xml" Id="rId22"/><Relationship Type="http://schemas.openxmlformats.org/officeDocument/2006/relationships/externalLink" Target="/xl/externalLinks/externalLink6.xml" Id="rId23"/><Relationship Type="http://schemas.openxmlformats.org/officeDocument/2006/relationships/externalLink" Target="/xl/externalLinks/externalLink7.xml" Id="rId24"/><Relationship Type="http://schemas.openxmlformats.org/officeDocument/2006/relationships/externalLink" Target="/xl/externalLinks/externalLink8.xml" Id="rId25"/><Relationship Type="http://schemas.openxmlformats.org/officeDocument/2006/relationships/externalLink" Target="/xl/externalLinks/externalLink9.xml" Id="rId26"/><Relationship Type="http://schemas.openxmlformats.org/officeDocument/2006/relationships/externalLink" Target="/xl/externalLinks/externalLink10.xml" Id="rId27"/><Relationship Type="http://schemas.openxmlformats.org/officeDocument/2006/relationships/externalLink" Target="/xl/externalLinks/externalLink11.xml" Id="rId28"/><Relationship Type="http://schemas.openxmlformats.org/officeDocument/2006/relationships/externalLink" Target="/xl/externalLinks/externalLink12.xml" Id="rId29"/><Relationship Type="http://schemas.openxmlformats.org/officeDocument/2006/relationships/externalLink" Target="/xl/externalLinks/externalLink13.xml" Id="rId30"/><Relationship Type="http://schemas.openxmlformats.org/officeDocument/2006/relationships/externalLink" Target="/xl/externalLinks/externalLink14.xml" Id="rId31"/><Relationship Type="http://schemas.openxmlformats.org/officeDocument/2006/relationships/externalLink" Target="/xl/externalLinks/externalLink15.xml" Id="rId32"/><Relationship Type="http://schemas.openxmlformats.org/officeDocument/2006/relationships/externalLink" Target="/xl/externalLinks/externalLink16.xml" Id="rId33"/><Relationship Type="http://schemas.openxmlformats.org/officeDocument/2006/relationships/externalLink" Target="/xl/externalLinks/externalLink17.xml" Id="rId34"/><Relationship Type="http://schemas.openxmlformats.org/officeDocument/2006/relationships/externalLink" Target="/xl/externalLinks/externalLink18.xml" Id="rId35"/><Relationship Type="http://schemas.openxmlformats.org/officeDocument/2006/relationships/externalLink" Target="/xl/externalLinks/externalLink19.xml" Id="rId36"/><Relationship Type="http://schemas.openxmlformats.org/officeDocument/2006/relationships/externalLink" Target="/xl/externalLinks/externalLink20.xml" Id="rId37"/><Relationship Type="http://schemas.openxmlformats.org/officeDocument/2006/relationships/externalLink" Target="/xl/externalLinks/externalLink21.xml" Id="rId38"/><Relationship Type="http://schemas.openxmlformats.org/officeDocument/2006/relationships/externalLink" Target="/xl/externalLinks/externalLink22.xml" Id="rId39"/><Relationship Type="http://schemas.openxmlformats.org/officeDocument/2006/relationships/externalLink" Target="/xl/externalLinks/externalLink23.xml" Id="rId40"/><Relationship Type="http://schemas.openxmlformats.org/officeDocument/2006/relationships/externalLink" Target="/xl/externalLinks/externalLink24.xml" Id="rId41"/><Relationship Type="http://schemas.openxmlformats.org/officeDocument/2006/relationships/externalLink" Target="/xl/externalLinks/externalLink25.xml" Id="rId42"/><Relationship Type="http://schemas.openxmlformats.org/officeDocument/2006/relationships/externalLink" Target="/xl/externalLinks/externalLink26.xml" Id="rId43"/><Relationship Type="http://schemas.openxmlformats.org/officeDocument/2006/relationships/externalLink" Target="/xl/externalLinks/externalLink27.xml" Id="rId44"/><Relationship Type="http://schemas.openxmlformats.org/officeDocument/2006/relationships/externalLink" Target="/xl/externalLinks/externalLink28.xml" Id="rId45"/><Relationship Type="http://schemas.openxmlformats.org/officeDocument/2006/relationships/externalLink" Target="/xl/externalLinks/externalLink29.xml" Id="rId46"/><Relationship Type="http://schemas.openxmlformats.org/officeDocument/2006/relationships/externalLink" Target="/xl/externalLinks/externalLink30.xml" Id="rId47"/><Relationship Type="http://schemas.openxmlformats.org/officeDocument/2006/relationships/externalLink" Target="/xl/externalLinks/externalLink31.xml" Id="rId48"/><Relationship Type="http://schemas.openxmlformats.org/officeDocument/2006/relationships/externalLink" Target="/xl/externalLinks/externalLink32.xml" Id="rId49"/><Relationship Type="http://schemas.openxmlformats.org/officeDocument/2006/relationships/externalLink" Target="/xl/externalLinks/externalLink33.xml" Id="rId50"/><Relationship Type="http://schemas.openxmlformats.org/officeDocument/2006/relationships/externalLink" Target="/xl/externalLinks/externalLink34.xml" Id="rId51"/><Relationship Type="http://schemas.openxmlformats.org/officeDocument/2006/relationships/externalLink" Target="/xl/externalLinks/externalLink35.xml" Id="rId52"/><Relationship Type="http://schemas.openxmlformats.org/officeDocument/2006/relationships/externalLink" Target="/xl/externalLinks/externalLink36.xml" Id="rId53"/><Relationship Type="http://schemas.openxmlformats.org/officeDocument/2006/relationships/externalLink" Target="/xl/externalLinks/externalLink37.xml" Id="rId54"/><Relationship Type="http://schemas.openxmlformats.org/officeDocument/2006/relationships/externalLink" Target="/xl/externalLinks/externalLink38.xml" Id="rId55"/><Relationship Type="http://schemas.openxmlformats.org/officeDocument/2006/relationships/externalLink" Target="/xl/externalLinks/externalLink39.xml" Id="rId56"/><Relationship Type="http://schemas.openxmlformats.org/officeDocument/2006/relationships/externalLink" Target="/xl/externalLinks/externalLink40.xml" Id="rId57"/><Relationship Type="http://schemas.openxmlformats.org/officeDocument/2006/relationships/externalLink" Target="/xl/externalLinks/externalLink41.xml" Id="rId58"/><Relationship Type="http://schemas.openxmlformats.org/officeDocument/2006/relationships/externalLink" Target="/xl/externalLinks/externalLink42.xml" Id="rId59"/><Relationship Type="http://schemas.openxmlformats.org/officeDocument/2006/relationships/externalLink" Target="/xl/externalLinks/externalLink43.xml" Id="rId60"/><Relationship Type="http://schemas.openxmlformats.org/officeDocument/2006/relationships/externalLink" Target="/xl/externalLinks/externalLink44.xml" Id="rId61"/><Relationship Type="http://schemas.openxmlformats.org/officeDocument/2006/relationships/externalLink" Target="/xl/externalLinks/externalLink45.xml" Id="rId62"/><Relationship Type="http://schemas.openxmlformats.org/officeDocument/2006/relationships/externalLink" Target="/xl/externalLinks/externalLink46.xml" Id="rId63"/><Relationship Type="http://schemas.openxmlformats.org/officeDocument/2006/relationships/externalLink" Target="/xl/externalLinks/externalLink47.xml" Id="rId64"/><Relationship Type="http://schemas.openxmlformats.org/officeDocument/2006/relationships/externalLink" Target="/xl/externalLinks/externalLink48.xml" Id="rId65"/><Relationship Type="http://schemas.openxmlformats.org/officeDocument/2006/relationships/externalLink" Target="/xl/externalLinks/externalLink49.xml" Id="rId66"/><Relationship Type="http://schemas.openxmlformats.org/officeDocument/2006/relationships/externalLink" Target="/xl/externalLinks/externalLink50.xml" Id="rId67"/><Relationship Type="http://schemas.openxmlformats.org/officeDocument/2006/relationships/externalLink" Target="/xl/externalLinks/externalLink51.xml" Id="rId68"/><Relationship Type="http://schemas.openxmlformats.org/officeDocument/2006/relationships/externalLink" Target="/xl/externalLinks/externalLink52.xml" Id="rId69"/><Relationship Type="http://schemas.openxmlformats.org/officeDocument/2006/relationships/externalLink" Target="/xl/externalLinks/externalLink53.xml" Id="rId70"/><Relationship Type="http://schemas.openxmlformats.org/officeDocument/2006/relationships/externalLink" Target="/xl/externalLinks/externalLink54.xml" Id="rId71"/><Relationship Type="http://schemas.openxmlformats.org/officeDocument/2006/relationships/externalLink" Target="/xl/externalLinks/externalLink55.xml" Id="rId72"/><Relationship Type="http://schemas.openxmlformats.org/officeDocument/2006/relationships/externalLink" Target="/xl/externalLinks/externalLink56.xml" Id="rId73"/><Relationship Type="http://schemas.openxmlformats.org/officeDocument/2006/relationships/externalLink" Target="/xl/externalLinks/externalLink57.xml" Id="rId74"/><Relationship Type="http://schemas.openxmlformats.org/officeDocument/2006/relationships/styles" Target="styles.xml" Id="rId75"/><Relationship Type="http://schemas.openxmlformats.org/officeDocument/2006/relationships/theme" Target="theme/theme1.xml" Id="rId76"/></Relationships>
</file>

<file path=xl/comments/comment1.xml><?xml version="1.0" encoding="utf-8"?>
<comments xmlns="http://schemas.openxmlformats.org/spreadsheetml/2006/main">
  <authors>
    <author>Script</author>
    <author>USER</author>
    <author>Adriana Becerra</author>
  </authors>
  <commentList>
    <comment ref="E6" authorId="0" shapeId="0">
      <text>
        <t>Archivo: 5105_CHVS_MAR_2026.xls
  Codigos: 99 GENERAL
  Celdas:  J18
  Valor:   $241,842,440
------------------------------
Total: $241,842,440
Generado: 2026-03-30</t>
      </text>
    </comment>
    <comment ref="H6" authorId="1" shapeId="0">
      <text>
        <t xml:space="preserve">$15,481,270 personal pens
</t>
      </text>
    </comment>
    <comment ref="E7" authorId="0" shapeId="0">
      <text>
        <t>Archivo: 5105_CHVS_MAR_2026.xls
  Codigos: 99 GENERAL
  Celdas:  J18
  Valor:   $241,842,440
------------------------------
Total: $241,842,440
Generado: 2026-03-30</t>
      </text>
    </comment>
    <comment ref="E8" authorId="0" shapeId="0">
      <text>
        <t>Archivo: 5105_CHVS_MAR_2026.xls
  Codigos: 99 GENERAL
  Celdas:  J18
  Valor:   $241,842,440
------------------------------
Total: $241,842,440
Generado: 2026-03-30</t>
      </text>
    </comment>
    <comment ref="E9" authorId="0" shapeId="0">
      <text>
        <t>Archivo: 5105_CHVS_MAR_2026.xls
  Codigos: 99 GENERAL
  Celdas:  J18
  Valor:   $241,842,440
------------------------------
Total: $241,842,440
Generado: 2026-03-30</t>
      </text>
    </comment>
    <comment ref="C10" authorId="1" shapeId="0">
      <text>
        <t xml:space="preserve">$2,397,200 Michael V
$6,273,000 Carlos O
</t>
      </text>
    </comment>
    <comment ref="E10" authorId="0" shapeId="0">
      <text>
        <t>Archivo: 5105_CHVS_MAR_2026.xls
  Codigos: 99 GENERAL
  Celdas:  J18
  Valor:   $241,842,440
------------------------------
Total: $241,842,440
Generado: 2026-03-30</t>
      </text>
    </comment>
    <comment ref="D11" authorId="1" shapeId="0">
      <text>
        <t xml:space="preserve">$1,230,000 Estudio puesto de trabajo
$596,000 Optica
</t>
      </text>
    </comment>
    <comment ref="E11" authorId="0" shapeId="0">
      <text>
        <t>Archivo: 5105_CHVS_MAR_2026.xls
  Codigos: 99 GENERAL
  Celdas:  J18
  Valor:   $241,842,440
------------------------------
Total: $241,842,440
Generado: 2026-03-30</t>
      </text>
    </comment>
    <comment ref="E12" authorId="0" shapeId="0">
      <text>
        <t>Archivo: 5105_CHVS_MAR_2026.xls
  Codigos: 99 GENERAL
  Celdas:  J18
  Valor:   $241,842,440
------------------------------
Total: $241,842,440
Generado: 2026-03-30</t>
      </text>
    </comment>
    <comment ref="E14" authorId="0" shapeId="0">
      <text>
        <t>Archivo: 5105_CHVS_MAR_2026.xls
  Codigos: 99 GENERAL
  Celdas:  J18
  Valor:   $241,842,440
------------------------------
Total: $241,842,440
Generado: 2026-03-30</t>
      </text>
    </comment>
    <comment ref="E15" authorId="0" shapeId="0">
      <text>
        <t>Archivo: 5105_CHVS_MAR_2026.xls
  Codigos: 99 GENERAL
  Celdas:  J18
  Valor:   $241,842,440
------------------------------
Total: $241,842,440
Generado: 2026-03-30</t>
      </text>
    </comment>
    <comment ref="E16" authorId="0" shapeId="0">
      <text>
        <t>Archivo: 5105_CHVS_MAR_2026.xls
  Codigos: 99 GENERAL
  Celdas:  J18
  Valor:   $241,842,440
------------------------------
Total: $241,842,440
Generado: 2026-03-30</t>
      </text>
    </comment>
    <comment ref="E17" authorId="0" shapeId="0">
      <text>
        <t>Archivo: 5105_CHVS_MAR_2026.xls
  Codigos: 99 GENERAL
  Celdas:  J18
  Valor:   $241,842,440
------------------------------
Total: $241,842,440
Generado: 2026-03-30</t>
      </text>
    </comment>
    <comment ref="C18" authorId="1" shapeId="0">
      <text>
        <t xml:space="preserve">$2,000,000 Jhdez
$1,037,680 Auditorias SST
</t>
      </text>
    </comment>
    <comment ref="D18" authorId="1" shapeId="0">
      <text>
        <t>$6,000,000 Entrenador
$2,000,000 JH
$1,788,000 Interprete
$589,680 Pag Web</t>
      </text>
    </comment>
    <comment ref="E18" authorId="0" shapeId="0">
      <text>
        <t>Archivo: 5105_CHVS_MAR_2026.xls
  Codigos: 99 GENERAL
  Celdas:  J18
  Valor:   $241,842,440
------------------------------
Total: $241,842,440
Generado: 2026-03-30</t>
      </text>
    </comment>
    <comment ref="E20" authorId="0" shapeId="0">
      <text>
        <t>Archivo: 5105_CHVS_MAR_2026.xls
  Codigos: 99 GENERAL
  Celdas:  J18
  Valor:   $241,842,440
------------------------------
Total: $241,842,440
Generado: 2026-03-30</t>
      </text>
    </comment>
    <comment ref="C21" authorId="1" shapeId="0">
      <text>
        <t xml:space="preserve">Pico y placa DTO
</t>
      </text>
    </comment>
    <comment ref="E21" authorId="0" shapeId="0">
      <text>
        <t>Archivo: 5105_CHVS_MAR_2026.xls
  Codigos: 99 GENERAL
  Celdas:  J18
  Valor:   $241,842,440
------------------------------
Total: $241,842,440
Generado: 2026-03-30</t>
      </text>
    </comment>
    <comment ref="C23" authorId="1" shapeId="0">
      <text>
        <t xml:space="preserve">Arrend Bod $43,506,400
Admon: $1,205,957
Admon: $533,224
</t>
      </text>
    </comment>
    <comment ref="D23" authorId="1" shapeId="0">
      <text>
        <t>Arrend Bod $35,700,000
          $49,300,000
Admon: $1,205,957
Admon: $533,224
Arrend Motos $850,000</t>
      </text>
    </comment>
    <comment ref="E23" authorId="0" shapeId="0">
      <text>
        <t>Archivo: 5105_CHVS_MAR_2026.xls
  Codigos: 99 GENERAL
  Celdas:  J18
  Valor:   $241,842,440
------------------------------
Total: $241,842,440
Generado: 2026-03-30</t>
      </text>
    </comment>
    <comment ref="E24" authorId="0" shapeId="0">
      <text>
        <t>Archivo: 5105_CHVS_MAR_2026.xls
  Codigos: 99 GENERAL
  Celdas:  J18
  Valor:   $241,842,440
------------------------------
Total: $241,842,440
Generado: 2026-03-30</t>
      </text>
    </comment>
    <comment ref="E25" authorId="0" shapeId="0">
      <text>
        <t>Archivo: 5105_CHVS_MAR_2026.xls
  Codigos: 99 GENERAL
  Celdas:  J18
  Valor:   $241,842,440
------------------------------
Total: $241,842,440
Generado: 2026-03-30</t>
      </text>
    </comment>
    <comment ref="D26" authorId="1" shapeId="0">
      <text>
        <t xml:space="preserve">WMS
</t>
      </text>
    </comment>
    <comment ref="E26" authorId="0" shapeId="0">
      <text>
        <t>Archivo: 5105_CHVS_MAR_2026.xls
  Codigos: 99 GENERAL
  Celdas:  J18
  Valor:   $241,842,440
------------------------------
Total: $241,842,440
Generado: 2026-03-30</t>
      </text>
    </comment>
    <comment ref="E27" authorId="0" shapeId="0">
      <text>
        <t>Archivo: 5105_CHVS_MAR_2026.xls
  Codigos: 99 GENERAL
  Celdas:  J18
  Valor:   $241,842,440
------------------------------
Total: $241,842,440
Generado: 2026-03-30</t>
      </text>
    </comment>
    <comment ref="E29" authorId="0" shapeId="0">
      <text>
        <t>Archivo: 5105_CHVS_MAR_2026.xls
  Codigos: 99 GENERAL
  Celdas:  J18
  Valor:   $241,842,440
------------------------------
Total: $241,842,440
Generado: 2026-03-30</t>
      </text>
    </comment>
    <comment ref="E30" authorId="0" shapeId="0">
      <text>
        <t>Archivo: 5105_CHVS_MAR_2026.xls
  Codigos: 99 GENERAL
  Celdas:  J18
  Valor:   $241,842,440
------------------------------
Total: $241,842,440
Generado: 2026-03-30</t>
      </text>
    </comment>
    <comment ref="E31" authorId="0" shapeId="0">
      <text>
        <t>Archivo: 5105_CHVS_MAR_2026.xls
  Codigos: 99 GENERAL
  Celdas:  J18
  Valor:   $241,842,440
------------------------------
Total: $241,842,440
Generado: 2026-03-30</t>
      </text>
    </comment>
    <comment ref="C33" authorId="1" shapeId="0">
      <text>
        <t xml:space="preserve">Escolta
</t>
      </text>
    </comment>
    <comment ref="E33" authorId="0" shapeId="0">
      <text>
        <t>Archivo: 5105_CHVS_MAR_2026.xls
  Codigos: 99 GENERAL
  Celdas:  J18
  Valor:   $241,842,440
------------------------------
Total: $241,842,440
Generado: 2026-03-30</t>
      </text>
    </comment>
    <comment ref="D34" authorId="1" shapeId="0">
      <text>
        <t>$1,307,000 Dig WMS
$2,500,000 Chef</t>
      </text>
    </comment>
    <comment ref="E34" authorId="0" shapeId="0">
      <text>
        <t>Archivo: 5105_CHVS_MAR_2026.xls
  Codigos: 99 GENERAL
  Celdas:  J18
  Valor:   $241,842,440
------------------------------
Total: $241,842,440
Generado: 2026-03-30</t>
      </text>
    </comment>
    <comment ref="E35" authorId="0" shapeId="0">
      <text>
        <t>Archivo: 5105_CHVS_MAR_2026.xls
  Codigos: 99 GENERAL
  Celdas:  J18
  Valor:   $241,842,440
------------------------------
Total: $241,842,440
Generado: 2026-03-30</t>
      </text>
    </comment>
    <comment ref="E36" authorId="0" shapeId="0">
      <text>
        <t>Archivo: 5105_CHVS_MAR_2026.xls
  Codigos: 99 GENERAL
  Celdas:  J18
  Valor:   $241,842,440
------------------------------
Total: $241,842,440
Generado: 2026-03-30</t>
      </text>
    </comment>
    <comment ref="E37" authorId="0" shapeId="0">
      <text>
        <t>Archivo: 5105_CHVS_MAR_2026.xls
  Codigos: 99 GENERAL
  Celdas:  J18
  Valor:   $241,842,440
------------------------------
Total: $241,842,440
Generado: 2026-03-30</t>
      </text>
    </comment>
    <comment ref="E38" authorId="0" shapeId="0">
      <text>
        <t>Archivo: 5105_CHVS_MAR_2026.xls
  Codigos: 99 GENERAL
  Celdas:  J18
  Valor:   $241,842,440
------------------------------
Total: $241,842,440
Generado: 2026-03-30</t>
      </text>
    </comment>
    <comment ref="E39" authorId="0" shapeId="0">
      <text>
        <t>Archivo: 5105_CHVS_MAR_2026.xls
  Codigos: 99 GENERAL
  Celdas:  J18
  Valor:   $241,842,440
------------------------------
Total: $241,842,440
Generado: 2026-03-30</t>
      </text>
    </comment>
    <comment ref="E40" authorId="0" shapeId="0">
      <text>
        <t>Archivo: 5105_CHVS_MAR_2026.xls
  Codigos: 99 GENERAL
  Celdas:  J18
  Valor:   $241,842,440
------------------------------
Total: $241,842,440
Generado: 2026-03-30</t>
      </text>
    </comment>
    <comment ref="E41" authorId="0" shapeId="0">
      <text>
        <t>Archivo: 5105_CHVS_MAR_2026.xls
  Codigos: 99 GENERAL
  Celdas:  J18
  Valor:   $241,842,440
------------------------------
Total: $241,842,440
Generado: 2026-03-30</t>
      </text>
    </comment>
    <comment ref="E42" authorId="0" shapeId="0">
      <text>
        <t>Archivo: 5105_CHVS_MAR_2026.xls
  Codigos: 99 GENERAL
  Celdas:  J18
  Valor:   $241,842,440
------------------------------
Total: $241,842,440
Generado: 2026-03-30</t>
      </text>
    </comment>
    <comment ref="C43" authorId="1" shapeId="0">
      <text>
        <t xml:space="preserve">Transporte Almuerzos
</t>
      </text>
    </comment>
    <comment ref="E43" authorId="0" shapeId="0">
      <text>
        <t>Archivo: 5105_CHVS_MAR_2026.xls
  Codigos: 99 GENERAL
  Celdas:  J18
  Valor:   $241,842,440
------------------------------
Total: $241,842,440
Generado: 2026-03-30</t>
      </text>
    </comment>
    <comment ref="E44" authorId="0" shapeId="0">
      <text>
        <t>Archivo: 5105_CHVS_MAR_2026.xls
  Codigos: 99 GENERAL
  Celdas:  J18
  Valor:   $241,842,440
------------------------------
Total: $241,842,440
Generado: 2026-03-30</t>
      </text>
    </comment>
    <comment ref="C45" authorId="1" shapeId="0">
      <text>
        <t xml:space="preserve">$8,589,420 Factura anual Siesa
</t>
      </text>
    </comment>
    <comment ref="E45" authorId="0" shapeId="0">
      <text>
        <t>Archivo: 5105_CHVS_MAR_2026.xls
  Codigos: 99 GENERAL
  Celdas:  J18
  Valor:   $241,842,440
------------------------------
Total: $241,842,440
Generado: 2026-03-30</t>
      </text>
    </comment>
    <comment ref="E47" authorId="0" shapeId="0">
      <text>
        <t>Archivo: 5105_CHVS_MAR_2026.xls
  Codigos: 99 GENERAL
  Celdas:  J18
  Valor:   $241,842,440
------------------------------
Total: $241,842,440
Generado: 2026-03-30</t>
      </text>
    </comment>
    <comment ref="E48" authorId="0" shapeId="0">
      <text>
        <t>Archivo: 5105_CHVS_MAR_2026.xls
  Codigos: 99 GENERAL
  Celdas:  J18
  Valor:   $241,842,440
------------------------------
Total: $241,842,440
Generado: 2026-03-30</t>
      </text>
    </comment>
    <comment ref="E49" authorId="0" shapeId="0">
      <text>
        <t>Archivo: 5105_CHVS_MAR_2026.xls
  Codigos: 99 GENERAL
  Celdas:  J18
  Valor:   $241,842,440
------------------------------
Total: $241,842,440
Generado: 2026-03-30</t>
      </text>
    </comment>
    <comment ref="E50" authorId="0" shapeId="0">
      <text>
        <t>Archivo: 5105_CHVS_MAR_2026.xls
  Codigos: 99 GENERAL
  Celdas:  J18
  Valor:   $241,842,440
------------------------------
Total: $241,842,440
Generado: 2026-03-30</t>
      </text>
    </comment>
    <comment ref="E51" authorId="0" shapeId="0">
      <text>
        <t>Archivo: 5105_CHVS_MAR_2026.xls
  Codigos: 99 GENERAL
  Celdas:  J18
  Valor:   $241,842,440
------------------------------
Total: $241,842,440
Generado: 2026-03-30</t>
      </text>
    </comment>
    <comment ref="C53" authorId="1" shapeId="0">
      <text>
        <t xml:space="preserve">Mtto AA
Mtto Cuartos frios
</t>
      </text>
    </comment>
    <comment ref="E53" authorId="0" shapeId="0">
      <text>
        <t>Archivo: 5105_CHVS_MAR_2026.xls
  Codigos: 99 GENERAL
  Celdas:  J18
  Valor:   $241,842,440
------------------------------
Total: $241,842,440
Generado: 2026-03-30</t>
      </text>
    </comment>
    <comment ref="D54" authorId="1" shapeId="0">
      <text>
        <t xml:space="preserve">Mtto Basculas + Cuarto Frio
</t>
      </text>
    </comment>
    <comment ref="E55" authorId="0" shapeId="0">
      <text>
        <t>Archivo: 5105_CHVS_MAR_2026.xls
  Codigos: 99 GENERAL
  Celdas:  J18
  Valor:   $241,842,440
------------------------------
Total: $241,842,440
Generado: 2026-03-30</t>
      </text>
    </comment>
    <comment ref="C56" authorId="1" shapeId="0">
      <text>
        <t xml:space="preserve">Medidor PH y Cuchillos
</t>
      </text>
    </comment>
    <comment ref="D56" authorId="1" shapeId="0">
      <text>
        <t xml:space="preserve">Cert ONAC Balanza dig
</t>
      </text>
    </comment>
    <comment ref="E56" authorId="0" shapeId="0">
      <text>
        <t>Archivo: 5105_CHVS_MAR_2026.xls
  Codigos: 99 GENERAL
  Celdas:  J18
  Valor:   $241,842,440
------------------------------
Total: $241,842,440
Generado: 2026-03-30</t>
      </text>
    </comment>
    <comment ref="E57" authorId="0" shapeId="0">
      <text>
        <t>Archivo: 5105_CHVS_MAR_2026.xls
  Codigos: 99 GENERAL
  Celdas:  J18
  Valor:   $241,842,440
------------------------------
Total: $241,842,440
Generado: 2026-03-30</t>
      </text>
    </comment>
    <comment ref="C58" authorId="1" shapeId="0">
      <text>
        <t xml:space="preserve">Recarga de extintores
</t>
      </text>
    </comment>
    <comment ref="E58" authorId="0" shapeId="0">
      <text>
        <t>Archivo: 5105_CHVS_MAR_2026.xls
  Codigos: 99 GENERAL
  Celdas:  J18
  Valor:   $241,842,440
Archivo: 5105_CHVS_MAR_2026.xls
  Codigos: 010302           SERVICIOS GENERALES
  Celdas:  J25
  Valor:   $24,156,759
Archivo: 5105_CHVS_MAR_2026.xls
  Codigos: 010102           GERENCIA
  Celdas:  J20
  Valor:   $23,992,227
Archivo: 5105_CHVS_MAR_2026.xls
  Codigos: 010301           TALENTO HUMANO
  Celdas:  J24
  Valor:   $35,002,114
------------------------------
Total: $324,993,540
Generado: 2026-03-30</t>
      </text>
    </comment>
    <comment ref="E60" authorId="0" shapeId="0">
      <text>
        <t>Archivo: 5105_CHVS_MAR_2026.xls
  Codigos: 99 GENERAL
  Celdas:  J18
  Valor:   $241,842,440
------------------------------
Total: $241,842,440
Generado: 2026-03-30</t>
      </text>
    </comment>
    <comment ref="E61" authorId="0" shapeId="0">
      <text>
        <t>Archivo: 5105_CHVS_MAR_2026.xls
  Codigos: 99 GENERAL
  Celdas:  J18
  Valor:   $241,842,440
------------------------------
Total: $241,842,440
Generado: 2026-03-30</t>
      </text>
    </comment>
    <comment ref="E63" authorId="0" shapeId="0">
      <text>
        <t>Archivo: 5105_CHVS_MAR_2026.xls
  Codigos: 99 GENERAL
  Celdas:  J18
  Valor:   $241,842,440
------------------------------
Total: $241,842,440
Generado: 2026-03-30</t>
      </text>
    </comment>
    <comment ref="E64" authorId="0" shapeId="0">
      <text>
        <t>Archivo: 5105_CHVS_MAR_2026.xls
  Codigos: 99 GENERAL
  Celdas:  J18
  Valor:   $241,842,440
------------------------------
Total: $241,842,440
Generado: 2026-03-30</t>
      </text>
    </comment>
    <comment ref="E65" authorId="0" shapeId="0">
      <text>
        <t>Archivo: 5105_CHVS_MAR_2026.xls
  Codigos: 99 GENERAL
  Celdas:  J18
  Valor:   $241,842,440
------------------------------
Total: $241,842,440
Generado: 2026-03-30</t>
      </text>
    </comment>
    <comment ref="C67" authorId="1" shapeId="0">
      <text>
        <t xml:space="preserve">DGNET Premium
</t>
      </text>
    </comment>
    <comment ref="D67" authorId="1" shapeId="0">
      <text>
        <t xml:space="preserve">LEGIS
</t>
      </text>
    </comment>
    <comment ref="E67" authorId="0" shapeId="0">
      <text>
        <t>Archivo: 5105_CHVS_MAR_2026.xls
  Codigos: 99 GENERAL
  Celdas:  J18
  Valor:   $241,842,440
------------------------------
Total: $241,842,440
Generado: 2026-03-30</t>
      </text>
    </comment>
    <comment ref="E68" authorId="0" shapeId="0">
      <text>
        <t>Archivo: 5105_CHVS_MAR_2026.xls
  Codigos: 99 GENERAL
  Celdas:  J18
  Valor:   $241,842,440
------------------------------
Total: $241,842,440
Generado: 2026-03-30</t>
      </text>
    </comment>
    <comment ref="E69" authorId="0" shapeId="0">
      <text>
        <t>Archivo: 5105_CHVS_MAR_2026.xls
  Codigos: 99 GENERAL
  Celdas:  J18
  Valor:   $241,842,440
------------------------------
Total: $241,842,440
Generado: 2026-03-30</t>
      </text>
    </comment>
    <comment ref="E70" authorId="0" shapeId="0">
      <text>
        <t>Archivo: 5105_CHVS_MAR_2026.xls
  Codigos: 99 GENERAL
  Celdas:  J18
  Valor:   $241,842,440
------------------------------
Total: $241,842,440
Generado: 2026-03-30</t>
      </text>
    </comment>
    <comment ref="E71" authorId="0" shapeId="0">
      <text>
        <t>Archivo: 5105_CHVS_MAR_2026.xls
  Codigos: 99 GENERAL
  Celdas:  J18
  Valor:   $241,842,440
------------------------------
Total: $241,842,440
Generado: 2026-03-30</t>
      </text>
    </comment>
    <comment ref="E72" authorId="0" shapeId="0">
      <text>
        <t>Archivo: 5105_CHVS_MAR_2026.xls
  Codigos: 99 GENERAL
  Celdas:  J18
  Valor:   $241,842,440
------------------------------
Total: $241,842,440
Generado: 2026-03-30</t>
      </text>
    </comment>
    <comment ref="E73" authorId="0" shapeId="0">
      <text>
        <t>Archivo: ESTADO DE RESULTADOS_CHVS_MAR_2026.xls
  Codigos: 51954001, 71100501
  Celdas:  J156
  Valor:   $1,273,497
Archivo: 5105_CHVS_MAR_2026.xls
  Codigos: 99 GENERAL
  Celdas:  J18
  Valor:   $241,842,440
------------------------------
Total: $243,115,937
Generado: 2026-03-30</t>
      </text>
    </comment>
    <comment ref="E74" authorId="0" shapeId="0">
      <text>
        <t>Archivo: 5105_CHVS_MAR_2026.xls
  Codigos: 99 GENERAL
  Celdas:  J18
  Valor:   $241,842,440
------------------------------
Total: $241,842,440
Generado: 2026-03-30</t>
      </text>
    </comment>
    <comment ref="E75" authorId="0" shapeId="0">
      <text>
        <t>Archivo: 5105_CHVS_MAR_2026.xls
  Codigos: 99 GENERAL
  Celdas:  J18
  Valor:   $241,842,440
------------------------------
Total: $241,842,440
Generado: 2026-03-30</t>
      </text>
    </comment>
    <comment ref="E76" authorId="0" shapeId="0">
      <text>
        <t>Archivo: 5105_CHVS_MAR_2026.xls
  Codigos: 99 GENERAL
  Celdas:  J18
  Valor:   $241,842,440
------------------------------
Total: $241,842,440
Generado: 2026-03-30</t>
      </text>
    </comment>
    <comment ref="E77" authorId="0" shapeId="0">
      <text>
        <t>Archivo: 5105_CHVS_MAR_2026.xls
  Codigos: 99 GENERAL
  Celdas:  J18
  Valor:   $241,842,440
------------------------------
Total: $241,842,440
Generado: 2026-03-30</t>
      </text>
    </comment>
    <comment ref="C78" authorId="1" shapeId="0">
      <text>
        <t>$3,949,000 Elementos cuarto de bienestar</t>
      </text>
    </comment>
    <comment ref="E78" authorId="0" shapeId="0">
      <text>
        <t>Archivo: 5105_CHVS_MAR_2026.xls
  Codigos: 99 GENERAL
  Celdas:  J18
  Valor:   $241,842,440
------------------------------
Total: $241,842,440
Generado: 2026-03-30</t>
      </text>
    </comment>
    <comment ref="C79" authorId="1" shapeId="0">
      <text>
        <t xml:space="preserve">Estanteria
</t>
      </text>
    </comment>
    <comment ref="D79" authorId="1" shapeId="0">
      <text>
        <t>Mesas</t>
      </text>
    </comment>
    <comment ref="E79" authorId="0" shapeId="0">
      <text>
        <t>Archivo: 5105_CHVS_MAR_2026.xls
  Codigos: 99 GENERAL
  Celdas:  J18
  Valor:   $241,842,440
------------------------------
Total: $241,842,440
Generado: 2026-03-30</t>
      </text>
    </comment>
    <comment ref="E80" authorId="0" shapeId="0">
      <text>
        <t>Archivo: 5105_CHVS_MAR_2026.xls
  Codigos: 99 GENERAL
  Celdas:  J18
  Valor:   $241,842,440
------------------------------
Total: $241,842,440
Generado: 2026-03-30</t>
      </text>
    </comment>
    <comment ref="E81" authorId="0" shapeId="0">
      <text>
        <t>Archivo: 5105_CHVS_MAR_2026.xls
  Codigos: 99 GENERAL
  Celdas:  J18
  Valor:   $241,842,440
------------------------------
Total: $241,842,440
Generado: 2026-03-30</t>
      </text>
    </comment>
    <comment ref="E82" authorId="0" shapeId="0">
      <text>
        <t>Archivo: 5105_CHVS_MAR_2026.xls
  Codigos: 99 GENERAL
  Celdas:  J18
  Valor:   $241,842,440
------------------------------
Total: $241,842,440
Generado: 2026-03-30</t>
      </text>
    </comment>
    <comment ref="E83" authorId="0" shapeId="0">
      <text>
        <t>Archivo: 5105_CHVS_MAR_2026.xls
  Codigos: 99 GENERAL
  Celdas:  J18
  Valor:   $241,842,440
------------------------------
Total: $241,842,440
Generado: 2026-03-30</t>
      </text>
    </comment>
    <comment ref="C84" authorId="1" shapeId="0">
      <text>
        <t xml:space="preserve">$12,544,460 Compra Equipos
$8,258,600 Impresoras Wms
</t>
      </text>
    </comment>
    <comment ref="E84" authorId="0" shapeId="0">
      <text>
        <t>Archivo: 5105_CHVS_MAR_2026.xls
  Codigos: 99 GENERAL
  Celdas:  J18
  Valor:   $241,842,440
------------------------------
Total: $241,842,440
Generado: 2026-03-30</t>
      </text>
    </comment>
    <comment ref="E85" authorId="0" shapeId="0">
      <text>
        <t>Archivo: 5105_CHVS_MAR_2026.xls
  Codigos: 99 GENERAL
  Celdas:  J18
  Valor:   $241,842,440
------------------------------
Total: $241,842,440
Generado: 2026-03-30</t>
      </text>
    </comment>
    <comment ref="E86" authorId="0" shapeId="0">
      <text>
        <t>Archivo: 5105_CHVS_MAR_2026.xls
  Codigos: 99 GENERAL
  Celdas:  J18
  Valor:   $241,842,440
------------------------------
Total: $241,842,440
Generado: 2026-03-30</t>
      </text>
    </comment>
    <comment ref="E87" authorId="0" shapeId="0">
      <text>
        <t>Archivo: 5105_CHVS_MAR_2026.xls
  Codigos: 99 GENERAL
  Celdas:  J18
  Valor:   $241,842,440
------------------------------
Total: $241,842,440
Generado: 2026-03-30</t>
      </text>
    </comment>
    <comment ref="E88" authorId="0" shapeId="0">
      <text>
        <t>Archivo: 5105_CHVS_MAR_2026.xls
  Codigos: 99 GENERAL
  Celdas:  J18
  Valor:   $241,842,440
------------------------------
Total: $241,842,440
Generado: 2026-03-30</t>
      </text>
    </comment>
    <comment ref="E91" authorId="0" shapeId="0">
      <text>
        <t>Archivo: 5105_CHVS_MAR_2026.xls
  Codigos: 99 GENERAL
  Celdas:  J18
  Valor:   $241,842,440
------------------------------
Total: $241,842,440
Generado: 2026-03-30</t>
      </text>
    </comment>
    <comment ref="E92" authorId="0" shapeId="0">
      <text>
        <t>Archivo: 5105_CHVS_MAR_2026.xls
  Codigos: 99 GENERAL
  Celdas:  J18
  Valor:   $241,842,440
------------------------------
Total: $241,842,440
Generado: 2026-03-30</t>
      </text>
    </comment>
    <comment ref="C93" authorId="1" shapeId="0">
      <text>
        <t xml:space="preserve">Multa Vehiculo VCO 277
</t>
      </text>
    </comment>
    <comment ref="E93" authorId="0" shapeId="0">
      <text>
        <t>Archivo: 5105_CHVS_MAR_2026.xls
  Codigos: 99 GENERAL
  Celdas:  J18
  Valor:   $241,842,440
------------------------------
Total: $241,842,440
Generado: 2026-03-30</t>
      </text>
    </comment>
    <comment ref="E94" authorId="0" shapeId="0">
      <text>
        <t>Archivo: 5105_CHVS_MAR_2026.xls
  Codigos: 99 GENERAL
  Celdas:  J18
  Valor:   $241,842,440
------------------------------
Total: $241,842,440
Generado: 2026-03-30</t>
      </text>
    </comment>
    <comment ref="E95" authorId="0" shapeId="0">
      <text>
        <t>Archivo: 5105_CHVS_MAR_2026.xls
  Codigos: 99 GENERAL
  Celdas:  J18
  Valor:   $241,842,440
------------------------------
Total: $241,842,440
Generado: 2026-03-30</t>
      </text>
    </comment>
    <comment ref="E99" authorId="0" shapeId="0">
      <text>
        <t>Archivo: 5105_CHVS_MAR_2026.xls
  Codigos: 99 GENERAL
  Celdas:  J18
  Valor:   $241,842,440
------------------------------
Total: $241,842,440
Generado: 2026-03-30</t>
      </text>
    </comment>
    <comment ref="E100" authorId="0" shapeId="0">
      <text>
        <t>Archivo: 5105_CHVS_MAR_2026.xls
  Codigos: 99 GENERAL
  Celdas:  J18
  Valor:   $241,842,440
------------------------------
Total: $241,842,440
Generado: 2026-03-30</t>
      </text>
    </comment>
    <comment ref="E101" authorId="0" shapeId="0">
      <text>
        <t>Archivo: 5105_CHVS_MAR_2026.xls
  Codigos: 99 GENERAL
  Celdas:  J18
  Valor:   $241,842,440
------------------------------
Total: $241,842,440
Generado: 2026-03-30</t>
      </text>
    </comment>
    <comment ref="E102" authorId="0" shapeId="0">
      <text>
        <t>Archivo: 5105_CHVS_MAR_2026.xls
  Codigos: 99 GENERAL
  Celdas:  J18
  Valor:   $241,842,440
------------------------------
Total: $241,842,440
Generado: 2026-03-30</t>
      </text>
    </comment>
    <comment ref="E103" authorId="0" shapeId="0">
      <text>
        <t>Archivo: 5105_CHVS_MAR_2026.xls
  Codigos: 99 GENERAL
  Celdas:  J18
  Valor:   $241,842,440
------------------------------
Total: $241,842,440
Generado: 2026-03-30</t>
      </text>
    </comment>
    <comment ref="E104" authorId="0" shapeId="0">
      <text>
        <t>Archivo: 5105_CHVS_MAR_2026.xls
  Codigos: 99 GENERAL
  Celdas:  J18
  Valor:   $241,842,440
------------------------------
Total: $241,842,440
Generado: 2026-03-30</t>
      </text>
    </comment>
    <comment ref="E105" authorId="0" shapeId="0">
      <text>
        <t>Archivo: 5105_CHVS_MAR_2026.xls
  Codigos: 99 GENERAL
  Celdas:  J18
  Valor:   $241,842,440
------------------------------
Total: $241,842,440
Generado: 2026-03-30</t>
      </text>
    </comment>
    <comment ref="E106" authorId="0" shapeId="0">
      <text>
        <t>Archivo: 5105_CHVS_MAR_2026.xls
  Codigos: 99 GENERAL
  Celdas:  J18
  Valor:   $241,842,440
------------------------------
Total: $241,842,440
Generado: 2026-03-30</t>
      </text>
    </comment>
    <comment ref="E107" authorId="0" shapeId="0">
      <text>
        <t>Archivo: 5105_CHVS_MAR_2026.xls
  Codigos: 99 GENERAL
  Celdas:  J18
  Valor:   $241,842,440
------------------------------
Total: $241,842,440
Generado: 2026-03-30</t>
      </text>
    </comment>
    <comment ref="E108" authorId="0" shapeId="0">
      <text>
        <t>Archivo: 5105_CHVS_MAR_2026.xls
  Codigos: 99 GENERAL
  Celdas:  J18
  Valor:   $241,842,440
------------------------------
Total: $241,842,440
Generado: 2026-03-30</t>
      </text>
    </comment>
    <comment ref="B111" authorId="2" shapeId="0">
      <text>
        <t xml:space="preserve">Junta Directiva
</t>
      </text>
    </comment>
    <comment ref="E111" authorId="0" shapeId="0">
      <text>
        <t>Archivo: 5105_CHVS_MAR_2026.xls
  Codigos: 99 GENERAL
  Celdas:  J18
  Valor:   $241,842,440
------------------------------
Total: $241,842,440
Generado: 2026-03-30</t>
      </text>
    </comment>
    <comment ref="E112" authorId="0" shapeId="0">
      <text>
        <t>Archivo: 5105_CHVS_MAR_2026.xls
  Codigos: 99 GENERAL
  Celdas:  J18
  Valor:   $241,842,440
------------------------------
Total: $241,842,440
Generado: 2026-03-30</t>
      </text>
    </comment>
    <comment ref="E113" authorId="0" shapeId="0">
      <text>
        <t>Archivo: 5105_CHVS_MAR_2026.xls
  Codigos: 99 GENERAL
  Celdas:  J18
  Valor:   $241,842,440
------------------------------
Total: $241,842,440
Generado: 2026-03-30</t>
      </text>
    </comment>
    <comment ref="E115" authorId="0" shapeId="0">
      <text>
        <t>Archivo: 5105_CHVS_MAR_2026.xls
  Codigos: 99 GENERAL
  Celdas:  J18
  Valor:   $241,842,440
------------------------------
Total: $241,842,440
Generado: 2026-03-30</t>
      </text>
    </comment>
    <comment ref="E116" authorId="0" shapeId="0">
      <text>
        <t>Archivo: 5105_CHVS_MAR_2026.xls
  Codigos: 99 GENERAL
  Celdas:  J18
  Valor:   $241,842,440
------------------------------
Total: $241,842,440
Generado: 2026-03-30</t>
      </text>
    </comment>
    <comment ref="E117" authorId="0" shapeId="0">
      <text>
        <t>Archivo: 5105_CHVS_MAR_2026.xls
  Codigos: 99 GENERAL
  Celdas:  J18
  Valor:   $241,842,440
------------------------------
Total: $241,842,440
Generado: 2026-03-30</t>
      </text>
    </comment>
    <comment ref="E118" authorId="0" shapeId="0">
      <text>
        <t>Archivo: 5105_CHVS_MAR_2026.xls
  Codigos: 99 GENERAL
  Celdas:  J18
  Valor:   $241,842,440
------------------------------
Total: $241,842,440
Generado: 2026-03-30</t>
      </text>
    </comment>
  </commentList>
</comments>
</file>

<file path=xl/comments/comment2.xml><?xml version="1.0" encoding="utf-8"?>
<comments xmlns="http://schemas.openxmlformats.org/spreadsheetml/2006/main">
  <authors>
    <author>Script</author>
  </authors>
  <commentList>
    <comment ref="C2" authorId="0" shapeId="0">
      <text>
        <t>Archivo: 5105_CHVS_MAR_2026.xls
  Codigos: 5105
  Celdas:  J19, J36
  Valor:   $242,070,540
------------------------------
Total: $242,070,540
Generado: 2026-03-30</t>
      </text>
    </comment>
    <comment ref="E6" authorId="0" shapeId="0">
      <text>
        <t>Archivo: 5105_CHVS_MAR_2026.xls
  Codigos: 010103           GERENCIA OPERATIVA
  Celdas:  J21
  Valor:   $55,134,543
------------------------------
Total: $55,134,543
Generado: 2026-03-30</t>
      </text>
    </comment>
    <comment ref="E7" authorId="0" shapeId="0">
      <text>
        <t>Archivo: 5105_CHVS_MAR_2026.xls
  Codigos: 99 GENERAL
  Celdas:  J18
  Valor:   $241,842,440
------------------------------
Total: $241,842,440
Generado: 2026-03-30</t>
      </text>
    </comment>
    <comment ref="E8" authorId="0" shapeId="0">
      <text>
        <t>Archivo: 5105_CHVS_MAR_2026.xls
  Codigos: 99 GENERAL
  Celdas:  J18
  Valor:   $241,842,440
------------------------------
Total: $241,842,440
Generado: 2026-03-30</t>
      </text>
    </comment>
    <comment ref="E9" authorId="0" shapeId="0">
      <text>
        <t>Archivo: 5105_CHVS_MAR_2026.xls
  Codigos: 010102           GERENCIA
  Celdas:  J20
  Valor:   $23,992,227
------------------------------
Total: $23,992,227
Generado: 2026-03-30</t>
      </text>
    </comment>
    <comment ref="E10" authorId="0" shapeId="0">
      <text>
        <t>Archivo: 5105_CHVS_MAR_2026.xls
  Codigos: 010102           GERENCIA
  Celdas:  J20
  Valor:   $23,992,227
------------------------------
Total: $23,992,227
Generado: 2026-03-30</t>
      </text>
    </comment>
    <comment ref="E11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E13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E15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E16" authorId="0" shapeId="0">
      <text>
        <t>Archivo: 5105_CHVS_MAR_2026.xls
  Codigos: 010303           CASINO EMPLEADOS
  Celdas:  J26
  Valor:   $4,115,810
------------------------------
Total: $4,115,810
Generado: 2026-03-30</t>
      </text>
    </comment>
  </commentList>
</comments>
</file>

<file path=xl/comments/comment3.xml><?xml version="1.0" encoding="utf-8"?>
<comments xmlns="http://schemas.openxmlformats.org/spreadsheetml/2006/main">
  <authors>
    <author>Script</author>
    <author>USER</author>
    <author>ADRIANA</author>
  </authors>
  <commentList>
    <comment ref="E10" authorId="0" shapeId="0">
      <text>
        <t>Archivo: 5105_CHVS_MAR_2026.xls
  Codigos: 99 GENERAL
  Celdas:  J18
  Valor:   $241,842,440
------------------------------
Total: $241,842,440
Generado: 2026-03-30</t>
      </text>
    </comment>
    <comment ref="E12" authorId="0" shapeId="0">
      <text>
        <t>Archivo: 5105_CHVS_MAR_2026.xls
  Codigos: 99 GENERAL
  Celdas:  J18
  Valor:   $241,842,440
------------------------------
Total: $241,842,440
Generado: 2026-03-30</t>
      </text>
    </comment>
    <comment ref="D13" authorId="1" shapeId="0">
      <text>
        <t>SXJ 966
SXJ 965</t>
      </text>
    </comment>
    <comment ref="E13" authorId="0" shapeId="0">
      <text>
        <t>Archivo: 5105_CHVS_MAR_2026.xls
  Codigos: 99 GENERAL
  Celdas:  J18
  Valor:   $241,842,440
------------------------------
Total: $241,842,440
Generado: 2026-03-30</t>
      </text>
    </comment>
    <comment ref="C14" authorId="1" shapeId="0">
      <text>
        <t>ZNN 054
ZNN 053</t>
      </text>
    </comment>
    <comment ref="E14" authorId="0" shapeId="0">
      <text>
        <t>Archivo: 5105_CHVS_MAR_2026.xls
  Codigos: 99 GENERAL
  Celdas:  J18
  Valor:   $241,842,440
------------------------------
Total: $241,842,440
Generado: 2026-03-30</t>
      </text>
    </comment>
    <comment ref="B16" authorId="2" shapeId="0">
      <text>
        <t xml:space="preserve">Tracking Solutions
</t>
      </text>
    </comment>
    <comment ref="E16" authorId="0" shapeId="0">
      <text>
        <t>Archivo: 5105_CHVS_MAR_2026.xls
  Codigos: 99 GENERAL
  Celdas:  J18
  Valor:   $241,842,440
------------------------------
Total: $241,842,440
Generado: 2026-03-30</t>
      </text>
    </comment>
    <comment ref="E17" authorId="0" shapeId="0">
      <text>
        <t>Archivo: 5105_CHVS_MAR_2026.xls
  Codigos: 99 GENERAL
  Celdas:  J18
  Valor:   $241,842,440
------------------------------
Total: $241,842,440
Generado: 2026-03-30</t>
      </text>
    </comment>
    <comment ref="B18" authorId="2" shapeId="0">
      <text>
        <t xml:space="preserve">Vehiculos JCVD
</t>
      </text>
    </comment>
    <comment ref="E20" authorId="0" shapeId="0">
      <text>
        <t>Archivo: 5105_CHVS_MAR_2026.xls
  Codigos: 99 GENERAL
  Celdas:  J18
  Valor:   $241,842,440
------------------------------
Total: $241,842,440
Generado: 2026-03-30</t>
      </text>
    </comment>
    <comment ref="E21" authorId="0" shapeId="0">
      <text>
        <t>Archivo: 5105_CHVS_MAR_2026.xls
  Codigos: 99 GENERAL
  Celdas:  J18
  Valor:   $241,842,440
------------------------------
Total: $241,842,440
Generado: 2026-03-30</t>
      </text>
    </comment>
    <comment ref="E24" authorId="0" shapeId="0">
      <text>
        <t>Archivo: 5105_CHVS_MAR_2026.xls
  Codigos: 99 GENERAL
  Celdas:  J18
  Valor:   $241,842,440
------------------------------
Total: $241,842,440
Generado: 2026-03-30</t>
      </text>
    </comment>
    <comment ref="E25" authorId="0" shapeId="0">
      <text>
        <t>Archivo: 5105_CHVS_MAR_2026.xls
  Codigos: 99 GENERAL
  Celdas:  J18
  Valor:   $241,842,440
------------------------------
Total: $241,842,440
Generado: 2026-03-30</t>
      </text>
    </comment>
  </commentList>
</comments>
</file>

<file path=xl/comments/comment4.xml><?xml version="1.0" encoding="utf-8"?>
<comments xmlns="http://schemas.openxmlformats.org/spreadsheetml/2006/main">
  <authors>
    <author>Script</author>
    <author>USER</author>
  </authors>
  <commentList>
    <comment ref="I16" authorId="0" shapeId="0">
      <text>
        <t>Archivo: 5105_CHVS_MAR_2026.xls
  Codigos: 99 GENERAL
  Celdas:  J18
  Valor:   $241,842,440
Op fija: + $1  -&gt; subtotal $241,842,441
------------------------------
Total: $241,842,441
Generado: 2026-03-30</t>
      </text>
    </comment>
    <comment ref="L16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I58" authorId="0" shapeId="0">
      <text>
        <t>Archivo: 5105_CHVS_MAR_2026.xls
  Codigos: 99 GENERAL
  Celdas:  J18
  Valor:   $241,842,440
Op fija: + $1  -&gt; subtotal $241,842,441
------------------------------
Total: $241,842,441
Generado: 2026-03-30</t>
      </text>
    </comment>
    <comment ref="L5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I62" authorId="0" shapeId="0">
      <text>
        <t>Archivo: 5105_CHVS_MAR_2026.xls
  Codigos: 99 GENERAL
  Celdas:  J18
  Valor:   $241,842,440
------------------------------
Total: $241,842,440
Generado: 2026-03-30</t>
      </text>
    </comment>
    <comment ref="L62" authorId="0" shapeId="0">
      <text>
        <t>Archivo: 5105_CHVS_ABR_2026.xls
  Codigos: 99 GENERAL
  Celdas:  J18
  Valor:   $241,842,440
------------------------------
Total: $241,842,440
Generado: 2026-03-30</t>
      </text>
    </comment>
    <comment ref="I63" authorId="0" shapeId="0">
      <text>
        <t>Archivo: 5105_CHVS_MAR_2026.xls
  Codigos: 99 GENERAL
  Celdas:  J18
  Valor:   $241,842,440
------------------------------
Total: $241,842,440
Generado: 2026-03-30</t>
      </text>
    </comment>
    <comment ref="L63" authorId="0" shapeId="0">
      <text>
        <t>Archivo: 5105_CHVS_ABR_2026.xls
  Codigos: 99 GENERAL
  Celdas:  J18
  Valor:   $241,842,440
------------------------------
Total: $241,842,440
Generado: 2026-03-30</t>
      </text>
    </comment>
    <comment ref="C76" authorId="1" shapeId="0">
      <text>
        <t xml:space="preserve">Cacerola </t>
      </text>
    </comment>
    <comment ref="I76" authorId="0" shapeId="0">
      <text>
        <t>Archivo: 5105_CHVS_MAR_2026.xls
  Codigos: 99 GENERAL
  Celdas:  J18
  Valor:   $241,842,440
------------------------------
Total: $241,842,440
Generado: 2026-03-30</t>
      </text>
    </comment>
    <comment ref="L76" authorId="0" shapeId="0">
      <text>
        <t>Archivo: 5105_CHVS_ABR_2026.xls
  Codigos: 99 GENERAL
  Celdas:  J18
  Valor:   $241,842,440
------------------------------
Total: $241,842,440
Generado: 2026-03-30</t>
      </text>
    </comment>
    <comment ref="R76" authorId="1" shapeId="0">
      <text>
        <t xml:space="preserve">Bandejas para horno
</t>
      </text>
    </comment>
    <comment ref="I77" authorId="0" shapeId="0">
      <text>
        <t>Archivo: 5105_CHVS_MAR_2026.xls
  Codigos: 99 GENERAL
  Celdas:  J18
  Valor:   $241,842,440
------------------------------
Total: $241,842,440
Generado: 2026-03-30</t>
      </text>
    </comment>
    <comment ref="L77" authorId="0" shapeId="0">
      <text>
        <t>Archivo: 5105_CHVS_ABR_2026.xls
  Codigos: 99 GENERAL
  Celdas:  J18
  Valor:   $241,842,440
------------------------------
Total: $241,842,440
Generado: 2026-03-30</t>
      </text>
    </comment>
    <comment ref="I79" authorId="0" shapeId="0">
      <text>
        <t>Archivo: 5105_CHVS_MAR_2026.xls
  Codigos: 99 GENERAL
  Celdas:  J18
  Valor:   $241,842,440
------------------------------
Total: $241,842,440
Generado: 2026-03-30</t>
      </text>
    </comment>
    <comment ref="L79" authorId="0" shapeId="0">
      <text>
        <t>Archivo: 5105_CHVS_ABR_2026.xls
  Codigos: 99 GENERAL
  Celdas:  J18
  Valor:   $241,842,440
------------------------------
Total: $241,842,440
Generado: 2026-03-30</t>
      </text>
    </comment>
    <comment ref="I85" authorId="0" shapeId="0">
      <text>
        <t>Archivo: 5105_CHVS_MAR_2026.xls
  Codigos: 99 GENERAL
  Celdas:  J18
  Valor:   $241,842,440
------------------------------
Total: $241,842,440
Generado: 2026-03-30</t>
      </text>
    </comment>
    <comment ref="L85" authorId="0" shapeId="0">
      <text>
        <t>Archivo: 5105_CHVS_ABR_2026.xls
  Codigos: 99 GENERAL
  Celdas:  J18
  Valor:   $241,842,440
------------------------------
Total: $241,842,440
Generado: 2026-03-30</t>
      </text>
    </comment>
    <comment ref="I86" authorId="0" shapeId="0">
      <text>
        <t>Archivo: 5105_CHVS_MAR_2026.xls
  Codigos: 99 GENERAL
  Celdas:  J18
  Valor:   $241,842,440
------------------------------
Total: $241,842,440
Generado: 2026-03-30</t>
      </text>
    </comment>
    <comment ref="L86" authorId="0" shapeId="0">
      <text>
        <t>Archivo: 5105_CHVS_ABR_2026.xls
  Codigos: 99 GENERAL
  Celdas:  J18
  Valor:   $241,842,440
------------------------------
Total: $241,842,440
Generado: 2026-03-30</t>
      </text>
    </comment>
    <comment ref="I87" authorId="0" shapeId="0">
      <text>
        <t>Archivo: 5105_CHVS_MAR_2026.xls
  Codigos: 99 GENERAL
  Celdas:  J18
  Valor:   $241,842,440
------------------------------
Total: $241,842,440
Generado: 2026-03-30</t>
      </text>
    </comment>
    <comment ref="L87" authorId="0" shapeId="0">
      <text>
        <t>Archivo: 5105_CHVS_ABR_2026.xls
  Codigos: 99 GENERAL
  Celdas:  J18
  Valor:   $241,842,440
------------------------------
Total: $241,842,440
Generado: 2026-03-30</t>
      </text>
    </comment>
    <comment ref="I89" authorId="0" shapeId="0">
      <text>
        <t>Archivo: 5105_CHVS_MAR_2026.xls
  Codigos: 99 GENERAL
  Celdas:  J18
  Valor:   $241,842,440
------------------------------
Total: $241,842,440
Generado: 2026-03-30</t>
      </text>
    </comment>
    <comment ref="L89" authorId="0" shapeId="0">
      <text>
        <t>Archivo: 5105_CHVS_ABR_2026.xls
  Codigos: 99 GENERAL
  Celdas:  J18
  Valor:   $241,842,440
------------------------------
Total: $241,842,440
Generado: 2026-03-30</t>
      </text>
    </comment>
    <comment ref="I90" authorId="0" shapeId="0">
      <text>
        <t>Archivo: 5105_CHVS_MAR_2026.xls
  Codigos: 99 GENERAL
  Celdas:  J18
  Valor:   $241,842,440
------------------------------
Total: $241,842,440
Generado: 2026-03-30</t>
      </text>
    </comment>
    <comment ref="L90" authorId="0" shapeId="0">
      <text>
        <t>Archivo: 5105_CHVS_ABR_2026.xls
  Codigos: 99 GENERAL
  Celdas:  J18
  Valor:   $241,842,440
------------------------------
Total: $241,842,440
Generado: 2026-03-30</t>
      </text>
    </comment>
    <comment ref="I96" authorId="0" shapeId="0">
      <text>
        <t>Archivo: 5105_CHVS_MAR_2026.xls
  Codigos: 99 GENERAL
  Celdas:  J18
  Valor:   $241,842,440
------------------------------
Total: $241,842,440
Generado: 2026-03-30</t>
      </text>
    </comment>
    <comment ref="L96" authorId="0" shapeId="0">
      <text>
        <t>Archivo: 5105_CHVS_ABR_2026.xls
  Codigos: 99 GENERAL
  Celdas:  J18
  Valor:   $241,842,440
------------------------------
Total: $241,842,440
Generado: 2026-03-30</t>
      </text>
    </comment>
    <comment ref="I97" authorId="0" shapeId="0">
      <text>
        <t>Archivo: 5105_CHVS_MAR_2026.xls
  Codigos: 99 GENERAL
  Celdas:  J18
  Valor:   $241,842,440
------------------------------
Total: $241,842,440
Generado: 2026-03-30</t>
      </text>
    </comment>
    <comment ref="L97" authorId="0" shapeId="0">
      <text>
        <t>Archivo: 5105_CHVS_ABR_2026.xls
  Codigos: 99 GENERAL
  Celdas:  J18
  Valor:   $241,842,440
------------------------------
Total: $241,842,440
Generado: 2026-03-30</t>
      </text>
    </comment>
    <comment ref="I99" authorId="0" shapeId="0">
      <text>
        <t>Archivo: 5105_CHVS_MAR_2026.xls
  Codigos: 99 GENERAL
  Celdas:  J18
  Valor:   $241,842,440
------------------------------
Total: $241,842,440
Generado: 2026-03-30</t>
      </text>
    </comment>
    <comment ref="L99" authorId="0" shapeId="0">
      <text>
        <t>Archivo: 5105_CHVS_ABR_2026.xls
  Codigos: 99 GENERAL
  Celdas:  J18
  Valor:   $241,842,440
------------------------------
Total: $241,842,440
Generado: 2026-03-30</t>
      </text>
    </comment>
    <comment ref="I100" authorId="0" shapeId="0">
      <text>
        <t>Archivo: 5105_CHVS_MAR_2026.xls
  Codigos: 99 GENERAL
  Celdas:  J18
  Valor:   $241,842,440
------------------------------
Total: $241,842,440
Generado: 2026-03-30</t>
      </text>
    </comment>
    <comment ref="L100" authorId="0" shapeId="0">
      <text>
        <t>Archivo: 5105_CHVS_ABR_2026.xls
  Codigos: 99 GENERAL
  Celdas:  J18
  Valor:   $241,842,440
------------------------------
Total: $241,842,440
Generado: 2026-03-30</t>
      </text>
    </comment>
    <comment ref="I101" authorId="0" shapeId="0">
      <text>
        <t>Archivo: 5105_CHVS_MAR_2026.xls
  Codigos: 99 GENERAL
  Celdas:  J18
  Valor:   $241,842,440
------------------------------
Total: $241,842,440
Generado: 2026-03-30</t>
      </text>
    </comment>
    <comment ref="L101" authorId="0" shapeId="0">
      <text>
        <t>Archivo: 5105_CHVS_ABR_2026.xls
  Codigos: 99 GENERAL
  Celdas:  J18
  Valor:   $241,842,440
------------------------------
Total: $241,842,440
Generado: 2026-03-30</t>
      </text>
    </comment>
    <comment ref="I102" authorId="0" shapeId="0">
      <text>
        <t>Archivo: 5105_CHVS_MAR_2026.xls
  Codigos: 99 GENERAL
  Celdas:  J18
  Valor:   $241,842,440
------------------------------
Total: $241,842,440
Generado: 2026-03-30</t>
      </text>
    </comment>
    <comment ref="L102" authorId="0" shapeId="0">
      <text>
        <t>Archivo: 5105_CHVS_ABR_2026.xls
  Codigos: 99 GENERAL
  Celdas:  J18
  Valor:   $241,842,440
------------------------------
Total: $241,842,440
Generado: 2026-03-30</t>
      </text>
    </comment>
    <comment ref="I103" authorId="0" shapeId="0">
      <text>
        <t>Archivo: 5105_CHVS_MAR_2026.xls
  Codigos: 99 GENERAL
  Celdas:  J18
  Valor:   $241,842,440
------------------------------
Total: $241,842,440
Generado: 2026-03-30</t>
      </text>
    </comment>
    <comment ref="L103" authorId="0" shapeId="0">
      <text>
        <t>Archivo: 5105_CHVS_ABR_2026.xls
  Codigos: 99 GENERAL
  Celdas:  J18
  Valor:   $241,842,440
------------------------------
Total: $241,842,440
Generado: 2026-03-30</t>
      </text>
    </comment>
    <comment ref="I104" authorId="0" shapeId="0">
      <text>
        <t>Archivo: 5105_CHVS_MAR_2026.xls
  Codigos: 99 GENERAL
  Celdas:  J18
  Valor:   $241,842,440
------------------------------
Total: $241,842,440
Generado: 2026-03-30</t>
      </text>
    </comment>
    <comment ref="L104" authorId="0" shapeId="0">
      <text>
        <t>Archivo: 5105_CHVS_ABR_2026.xls
  Codigos: 99 GENERAL
  Celdas:  J18
  Valor:   $241,842,440
------------------------------
Total: $241,842,440
Generado: 2026-03-30</t>
      </text>
    </comment>
    <comment ref="I105" authorId="0" shapeId="0">
      <text>
        <t>Archivo: 5105_CHVS_MAR_2026.xls
  Codigos: 99 GENERAL
  Celdas:  J18
  Valor:   $241,842,440
------------------------------
Total: $241,842,440
Generado: 2026-03-30</t>
      </text>
    </comment>
    <comment ref="L105" authorId="0" shapeId="0">
      <text>
        <t>Archivo: 5105_CHVS_ABR_2026.xls
  Codigos: 99 GENERAL
  Celdas:  J18
  Valor:   $241,842,440
------------------------------
Total: $241,842,440
Generado: 2026-03-30</t>
      </text>
    </comment>
    <comment ref="I106" authorId="0" shapeId="0">
      <text>
        <t>Archivo: 5105_CHVS_MAR_2026.xls
  Codigos: 99 GENERAL
  Celdas:  J18
  Valor:   $241,842,440
------------------------------
Total: $241,842,440
Generado: 2026-03-30</t>
      </text>
    </comment>
    <comment ref="L106" authorId="0" shapeId="0">
      <text>
        <t>Archivo: 5105_CHVS_ABR_2026.xls
  Codigos: 99 GENERAL
  Celdas:  J18
  Valor:   $241,842,440
------------------------------
Total: $241,842,440
Generado: 2026-03-30</t>
      </text>
    </comment>
    <comment ref="I107" authorId="0" shapeId="0">
      <text>
        <t>Archivo: 5105_CHVS_MAR_2026.xls
  Codigos: 99 GENERAL
  Celdas:  J18
  Valor:   $241,842,440
------------------------------
Total: $241,842,440
Generado: 2026-03-30</t>
      </text>
    </comment>
    <comment ref="L107" authorId="0" shapeId="0">
      <text>
        <t>Archivo: 5105_CHVS_ABR_2026.xls
  Codigos: 99 GENERAL
  Celdas:  J18
  Valor:   $241,842,440
------------------------------
Total: $241,842,440
Generado: 2026-03-30</t>
      </text>
    </comment>
    <comment ref="I109" authorId="0" shapeId="0">
      <text>
        <t>Archivo: 5105_CHVS_MAR_2026.xls
  Codigos: 99 GENERAL
  Celdas:  J18
  Valor:   $241,842,440
------------------------------
Total: $241,842,440
Generado: 2026-03-30</t>
      </text>
    </comment>
    <comment ref="L109" authorId="0" shapeId="0">
      <text>
        <t>Archivo: 5105_CHVS_ABR_2026.xls
  Codigos: 99 GENERAL
  Celdas:  J18
  Valor:   $241,842,440
------------------------------
Total: $241,842,440
Generado: 2026-03-30</t>
      </text>
    </comment>
    <comment ref="I110" authorId="0" shapeId="0">
      <text>
        <t>Archivo: 5105_CHVS_MAR_2026.xls
  Codigos: 99 GENERAL
  Celdas:  J18
  Valor:   $241,842,440
------------------------------
Total: $241,842,440
Generado: 2026-03-30</t>
      </text>
    </comment>
    <comment ref="L110" authorId="0" shapeId="0">
      <text>
        <t>Archivo: 5105_CHVS_ABR_2026.xls
  Codigos: 99 GENERAL
  Celdas:  J18
  Valor:   $241,842,440
------------------------------
Total: $241,842,440
Generado: 2026-03-30</t>
      </text>
    </comment>
    <comment ref="I111" authorId="0" shapeId="0">
      <text>
        <t>Archivo: 5105_CHVS_MAR_2026.xls
  Codigos: 99 GENERAL
  Celdas:  J18
  Valor:   $241,842,440
------------------------------
Total: $241,842,440
Generado: 2026-03-30</t>
      </text>
    </comment>
    <comment ref="L111" authorId="0" shapeId="0">
      <text>
        <t>Archivo: 5105_CHVS_ABR_2026.xls
  Codigos: 99 GENERAL
  Celdas:  J18
  Valor:   $241,842,440
------------------------------
Total: $241,842,440
Generado: 2026-03-30</t>
      </text>
    </comment>
    <comment ref="I112" authorId="0" shapeId="0">
      <text>
        <t>Archivo: 5105_CHVS_MAR_2026.xls
  Codigos: 99 GENERAL
  Celdas:  J18
  Valor:   $241,842,440
------------------------------
Total: $241,842,440
Generado: 2026-03-30</t>
      </text>
    </comment>
    <comment ref="L112" authorId="0" shapeId="0">
      <text>
        <t>Archivo: 5105_CHVS_ABR_2026.xls
  Codigos: 99 GENERAL
  Celdas:  J18
  Valor:   $241,842,440
------------------------------
Total: $241,842,440
Generado: 2026-03-30</t>
      </text>
    </comment>
    <comment ref="I114" authorId="0" shapeId="0">
      <text>
        <t>Archivo: 5105_CHVS_MAR_2026.xls
  Codigos: 99 GENERAL
  Celdas:  J18
  Valor:   $241,842,440
Archivo: 5105_CHVS_MAR_2026.xls
  Codigos: 010301           TALENTO HUMANO
  Celdas:  J24
  Valor:   $35,002,114
Archivo: 5105_CHVS_MAR_2026.xls
  Codigos: 010303           CASINO EMPLEADOS
  Celdas:  J26
  Valor:   $4,115,810
Archivo: 5105_CHVS_MAR_2026.xls
  Codigos: 010401           PLANEACION
  Celdas:  J28
  Valor:   $5,705,110
------------------------------
Total: $286,665,474
Generado: 2026-03-30</t>
      </text>
    </comment>
    <comment ref="L114" authorId="0" shapeId="0">
      <text>
        <t>Archivo: 5105_CHVS_ABR_2026.xls
  Codigos: 99 GENERAL
  Celdas:  J18
  Valor:   $241,842,440
Archivo: 5105_CHVS_ABR_2026.xls
  Codigos: 010301           TALENTO HUMANO
  Celdas:  J24
  Valor:   $35,002,114
Archivo: 5105_CHVS_ABR_2026.xls
  Codigos: 010303           CASINO EMPLEADOS
  Celdas:  J26
  Valor:   $4,115,810
Archivo: 5105_CHVS_ABR_2026.xls
  Codigos: 010401           PLANEACION
  Celdas:  J28
  Valor:   $5,705,110
------------------------------
Total: $286,665,474
Generado: 2026-03-30</t>
      </text>
    </comment>
    <comment ref="I115" authorId="0" shapeId="0">
      <text>
        <t>Archivo: 5105_CHVS_MAR_2026.xls
  Codigos: 99 GENERAL
  Celdas:  J18
  Valor:   $241,842,440
Archivo: 5105_CHVS_MAR_2026.xls
  Codigos: 010303           CASINO EMPLEADOS
  Celdas:  J26
  Valor:   $4,115,810
------------------------------
Total: $245,958,250
Generado: 2026-03-30</t>
      </text>
    </comment>
    <comment ref="L115" authorId="0" shapeId="0">
      <text>
        <t>Archivo: 5105_CHVS_ABR_2026.xls
  Codigos: 99 GENERAL
  Celdas:  J18
  Valor:   $241,842,440
Archivo: 5105_CHVS_ABR_2026.xls
  Codigos: 010303           CASINO EMPLEADOS
  Celdas:  J26
  Valor:   $4,115,810
------------------------------
Total: $245,958,250
Generado: 2026-03-30</t>
      </text>
    </comment>
    <comment ref="I116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16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17" authorId="0" shapeId="0">
      <text>
        <t>Archivo: 5105_CHVS_MAR_2026.xls
  Codigos: 99 GENERAL
  Celdas:  J18
  Valor:   $241,842,440
Archivo: 5105_CHVS_MAR_2026.xls
  Codigos: 010303           CASINO EMPLEADOS
  Celdas:  J26
  Valor:   $4,115,810
Archivo: 5105_CHVS_MAR_2026.xls
  Codigos: 010401           PLANEACION
  Celdas:  J28
  Valor:   $5,705,110
Archivo: 5105_CHVS_MAR_2026.xls
  Codigos: 010403           JURIDICA
  Celdas:  J30
  Valor:   $8,594,020
------------------------------
Total: $260,257,380
Generado: 2026-03-30</t>
      </text>
    </comment>
    <comment ref="L117" authorId="0" shapeId="0">
      <text>
        <t>Archivo: 5105_CHVS_ABR_2026.xls
  Codigos: 99 GENERAL
  Celdas:  J18
  Valor:   $241,842,440
Archivo: 5105_CHVS_ABR_2026.xls
  Codigos: 010303           CASINO EMPLEADOS
  Celdas:  J26
  Valor:   $4,115,810
Archivo: 5105_CHVS_ABR_2026.xls
  Codigos: 010401           PLANEACION
  Celdas:  J28
  Valor:   $5,705,110
Archivo: 5105_CHVS_ABR_2026.xls
  Codigos: 010403           JURIDICA
  Celdas:  J30
  Valor:   $8,594,020
------------------------------
Total: $260,257,380
Generado: 2026-03-30</t>
      </text>
    </comment>
    <comment ref="I118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18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20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20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21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1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23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3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24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4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25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25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27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27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28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8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29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29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30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30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I131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31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32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2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33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3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34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34" authorId="0" shapeId="0">
      <text>
        <t>Archivo: 5105_CHVS_ABR_2026.xls
  Codigos: 010403           JURIDICA
  Celdas:  J30
  Valor:   $8,594,020
------------------------------
Total: $8,594,020
Generado: 2026-03-30</t>
      </text>
    </comment>
    <comment ref="I135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5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36" authorId="0" shapeId="0">
      <text>
        <t>Archivo: 5105_CHVS_MAR_2026.xls
  Codigos: 020199           APRENDICES LOGIST
  Celdas:  J34
  Valor:   $228,100
------------------------------
Total: $228,100
Generado: 2026-03-30</t>
      </text>
    </comment>
    <comment ref="L136" authorId="0" shapeId="0">
      <text>
        <t>Archivo: 5105_CHVS_ABR_2026.xls
  Codigos: 020199           APRENDICES LOGIST
  Celdas:  J34
  Valor:   $228,100
------------------------------
Total: $228,100
Generado: 2026-03-30</t>
      </text>
    </comment>
    <comment ref="I137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7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38" authorId="0" shapeId="0">
      <text>
        <t>Archivo: 5105_CHVS_MAR_2026.xls
  Codigos: 020199           APRENDICES LOGIST
  Celdas:  J34
  Valor:   $228,100
------------------------------
Total: $228,100
Generado: 2026-03-30</t>
      </text>
    </comment>
    <comment ref="L138" authorId="0" shapeId="0">
      <text>
        <t>Archivo: 5105_CHVS_ABR_2026.xls
  Codigos: 020199           APRENDICES LOGIST
  Celdas:  J34
  Valor:   $228,100
------------------------------
Total: $228,100
Generado: 2026-03-30</t>
      </text>
    </comment>
    <comment ref="I142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42" authorId="0" shapeId="0">
      <text>
        <t>Archivo: 5105_CHVS_ABR_2026.xls
  Codigos: 010411           COMUNICACIONES
  Celdas:  J32
  Valor:   $6,422,662
------------------------------
Total: $6,422,662
Generado: 2026-03-30</t>
      </text>
    </comment>
  </commentList>
</comments>
</file>

<file path=xl/comments/comment5.xml><?xml version="1.0" encoding="utf-8"?>
<comments xmlns="http://schemas.openxmlformats.org/spreadsheetml/2006/main">
  <authors>
    <author>USER</author>
  </authors>
  <commentList>
    <comment ref="C3" authorId="0" shapeId="0">
      <text>
        <t xml:space="preserve">ENERO 26
</t>
      </text>
    </comment>
    <comment ref="C90" authorId="0" shapeId="0">
      <text>
        <t>$900,000 dic</t>
      </text>
    </comment>
    <comment ref="C97" authorId="0" shapeId="0">
      <text>
        <t xml:space="preserve">$21,002,713 dic
</t>
      </text>
    </comment>
    <comment ref="F119" authorId="0" shapeId="0">
      <text>
        <t xml:space="preserve">Mtto Basculas
</t>
      </text>
    </comment>
    <comment ref="B126" authorId="0" shapeId="0">
      <text>
        <t xml:space="preserve">Visita a Proveedores
</t>
      </text>
    </comment>
    <comment ref="B142" authorId="0" shapeId="0">
      <text>
        <t xml:space="preserve">Botiquin
</t>
      </text>
    </comment>
  </commentList>
</comments>
</file>

<file path=xl/comments/comment6.xml><?xml version="1.0" encoding="utf-8"?>
<comments xmlns="http://schemas.openxmlformats.org/spreadsheetml/2006/main">
  <authors>
    <author>USER</author>
    <author>ADRIANA</author>
  </authors>
  <commentList>
    <comment ref="C3" authorId="0" shapeId="0">
      <text>
        <t xml:space="preserve">Inicia 27 de enero
</t>
      </text>
    </comment>
    <comment ref="AD52" authorId="1" shapeId="0">
      <text>
        <t xml:space="preserve">$2,934,400 la locura
</t>
      </text>
    </comment>
    <comment ref="C101" authorId="0" shapeId="0">
      <text>
        <t xml:space="preserve">Natalia Ledesma
</t>
      </text>
    </comment>
  </commentList>
</comments>
</file>

<file path=xl/comments/comment7.xml><?xml version="1.0" encoding="utf-8"?>
<comments xmlns="http://schemas.openxmlformats.org/spreadsheetml/2006/main">
  <authors>
    <author>USER</author>
  </authors>
  <commentList>
    <comment ref="C3" authorId="0" shapeId="0">
      <text>
        <t xml:space="preserve">Inicia 20 de enero
</t>
      </text>
    </comment>
    <comment ref="C97" authorId="0" shapeId="0">
      <text>
        <t xml:space="preserve">$1,853,955 DIC
</t>
      </text>
    </comment>
    <comment ref="C113" authorId="0" shapeId="0">
      <text>
        <t xml:space="preserve">$167,200 DIC
</t>
      </text>
    </comment>
  </commentList>
</comments>
</file>

<file path=xl/comments/comment8.xml><?xml version="1.0" encoding="utf-8"?>
<comments xmlns="http://schemas.openxmlformats.org/spreadsheetml/2006/main">
  <authors>
    <author>USER</author>
  </authors>
  <commentList>
    <comment ref="C47" authorId="0" shapeId="0">
      <text>
        <t xml:space="preserve">$26,928,489 salidas de enero que cargaron en febrero.
***Descontar en febrero
</t>
      </text>
    </comment>
  </commentList>
</comments>
</file>

<file path=xl/comments/comment9.xml><?xml version="1.0" encoding="utf-8"?>
<comments xmlns="http://schemas.openxmlformats.org/spreadsheetml/2006/main">
  <authors>
    <author>ADRIANA</author>
    <author>USER</author>
  </authors>
  <commentList>
    <comment ref="I13" authorId="0" shapeId="0">
      <text>
        <t xml:space="preserve">$2,436,174,720
</t>
      </text>
    </comment>
    <comment ref="O114" authorId="1" shapeId="0">
      <text>
        <t xml:space="preserve">Serv de mtto estructura + compra de materiales
</t>
      </text>
    </comment>
    <comment ref="R135" authorId="1" shapeId="0">
      <text>
        <t>Electrodomesticos</t>
      </text>
    </comment>
    <comment ref="C139" authorId="1" shapeId="0">
      <text>
        <t>Donacion Morral de CTTO (Caminos creativos)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V&#237;nculoExternoRecuperado1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V&#237;nculoExternoRecuperado2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V&#237;nculoExternoRecuperado3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V&#237;nculoExternoRecuperado4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V&#237;nculoExternoRecuperado5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V&#237;nculoExternoRecuperado6" TargetMode="External" Id="rId1"/></Relationships>
</file>

<file path=xl/externalLinks/_rels/externalLink7.xml.rels><Relationships xmlns="http://schemas.openxmlformats.org/package/2006/relationships"><Relationship Type="http://schemas.microsoft.com/office/2006/relationships/xlExternalLinkPath/xlPathMissing" Target="V&#237;nculoExternoRecuperado7" TargetMode="External" Id="rId1"/></Relationships>
</file>

<file path=xl/externalLinks/_rels/externalLink8.xml.rels><Relationships xmlns="http://schemas.openxmlformats.org/package/2006/relationships"><Relationship Type="http://schemas.microsoft.com/office/2006/relationships/xlExternalLinkPath/xlPathMissing" Target="V&#237;nculoExternoRecuperado8" TargetMode="External" Id="rId1"/></Relationships>
</file>

<file path=xl/externalLinks/_rels/externalLink9.xml.rels><Relationships xmlns="http://schemas.openxmlformats.org/package/2006/relationships"><Relationship Type="http://schemas.microsoft.com/office/2006/relationships/xlExternalLinkPath/xlPathMissing" Target="V&#237;nculoExternoRecuperado9" TargetMode="External" Id="rId1"/></Relationships>
</file>

<file path=xl/externalLinks/_rels/externalLink10.xml.rels><Relationships xmlns="http://schemas.openxmlformats.org/package/2006/relationships"><Relationship Type="http://schemas.microsoft.com/office/2006/relationships/xlExternalLinkPath/xlPathMissing" Target="V&#237;nculoExternoRecuperado10" TargetMode="External" Id="rId1"/></Relationships>
</file>

<file path=xl/externalLinks/_rels/externalLink11.xml.rels><Relationships xmlns="http://schemas.openxmlformats.org/package/2006/relationships"><Relationship Type="http://schemas.microsoft.com/office/2006/relationships/xlExternalLinkPath/xlPathMissing" Target="V&#237;nculoExternoRecuperado11" TargetMode="External" Id="rId1"/></Relationships>
</file>

<file path=xl/externalLinks/_rels/externalLink12.xml.rels><Relationships xmlns="http://schemas.openxmlformats.org/package/2006/relationships"><Relationship Type="http://schemas.microsoft.com/office/2006/relationships/xlExternalLinkPath/xlPathMissing" Target="V&#237;nculoExternoRecuperado12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V&#237;nculoExternoRecuperado13" TargetMode="External" Id="rId1"/></Relationships>
</file>

<file path=xl/externalLinks/_rels/externalLink14.xml.rels><Relationships xmlns="http://schemas.openxmlformats.org/package/2006/relationships"><Relationship Type="http://schemas.microsoft.com/office/2006/relationships/xlExternalLinkPath/xlPathMissing" Target="V&#237;nculoExternoRecuperado14" TargetMode="External" Id="rId1"/></Relationships>
</file>

<file path=xl/externalLinks/_rels/externalLink15.xml.rels><Relationships xmlns="http://schemas.openxmlformats.org/package/2006/relationships"><Relationship Type="http://schemas.microsoft.com/office/2006/relationships/xlExternalLinkPath/xlPathMissing" Target="V&#237;nculoExternoRecuperado15" TargetMode="External" Id="rId1"/></Relationships>
</file>

<file path=xl/externalLinks/_rels/externalLink16.xml.rels><Relationships xmlns="http://schemas.openxmlformats.org/package/2006/relationships"><Relationship Type="http://schemas.microsoft.com/office/2006/relationships/xlExternalLinkPath/xlPathMissing" Target="V&#237;nculoExternoRecuperado16" TargetMode="External" Id="rId1"/></Relationships>
</file>

<file path=xl/externalLinks/_rels/externalLink17.xml.rels><Relationships xmlns="http://schemas.openxmlformats.org/package/2006/relationships"><Relationship Type="http://schemas.microsoft.com/office/2006/relationships/xlExternalLinkPath/xlPathMissing" Target="V&#237;nculoExternoRecuperado17" TargetMode="External" Id="rId1"/></Relationships>
</file>

<file path=xl/externalLinks/_rels/externalLink18.xml.rels><Relationships xmlns="http://schemas.openxmlformats.org/package/2006/relationships"><Relationship Type="http://schemas.microsoft.com/office/2006/relationships/xlExternalLinkPath/xlPathMissing" Target="V&#237;nculoExternoRecuperado18" TargetMode="External" Id="rId1"/></Relationships>
</file>

<file path=xl/externalLinks/_rels/externalLink19.xml.rels><Relationships xmlns="http://schemas.openxmlformats.org/package/2006/relationships"><Relationship Type="http://schemas.microsoft.com/office/2006/relationships/xlExternalLinkPath/xlPathMissing" Target="V&#237;nculoExternoRecuperado19" TargetMode="External" Id="rId1"/></Relationships>
</file>

<file path=xl/externalLinks/_rels/externalLink20.xml.rels><Relationships xmlns="http://schemas.openxmlformats.org/package/2006/relationships"><Relationship Type="http://schemas.microsoft.com/office/2006/relationships/xlExternalLinkPath/xlPathMissing" Target="V&#237;nculoExternoRecuperado20" TargetMode="External" Id="rId1"/></Relationships>
</file>

<file path=xl/externalLinks/_rels/externalLink21.xml.rels><Relationships xmlns="http://schemas.openxmlformats.org/package/2006/relationships"><Relationship Type="http://schemas.microsoft.com/office/2006/relationships/xlExternalLinkPath/xlPathMissing" Target="V&#237;nculoExternoRecuperado21" TargetMode="External" Id="rId1"/></Relationships>
</file>

<file path=xl/externalLinks/_rels/externalLink22.xml.rels><Relationships xmlns="http://schemas.openxmlformats.org/package/2006/relationships"><Relationship Type="http://schemas.microsoft.com/office/2006/relationships/xlExternalLinkPath/xlPathMissing" Target="V&#237;nculoExternoRecuperado22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V&#237;nculoExternoRecuperado23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V&#237;nculoExternoRecuperado24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V&#237;nculoExternoRecuperado25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V&#237;nculoExternoRecuperado26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V&#237;nculoExternoRecuperado27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V&#237;nculoExternoRecuperado28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V&#237;nculoExternoRecuperado29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V&#237;nculoExternoRecuperado30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V&#237;nculoExternoRecuperado31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V&#237;nculoExternoRecuperado32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V&#237;nculoExternoRecuperado33" TargetMode="External" Id="rId1"/></Relationships>
</file>

<file path=xl/externalLinks/_rels/externalLink34.xml.rels><Relationships xmlns="http://schemas.openxmlformats.org/package/2006/relationships"><Relationship Type="http://schemas.microsoft.com/office/2006/relationships/xlExternalLinkPath/xlPathMissing" Target="V&#237;nculoExternoRecuperado34" TargetMode="External" Id="rId1"/></Relationships>
</file>

<file path=xl/externalLinks/_rels/externalLink35.xml.rels><Relationships xmlns="http://schemas.openxmlformats.org/package/2006/relationships"><Relationship Type="http://schemas.microsoft.com/office/2006/relationships/xlExternalLinkPath/xlPathMissing" Target="V&#237;nculoExternoRecuperado35" TargetMode="External" Id="rId1"/></Relationships>
</file>

<file path=xl/externalLinks/_rels/externalLink36.xml.rels><Relationships xmlns="http://schemas.openxmlformats.org/package/2006/relationships"><Relationship Type="http://schemas.microsoft.com/office/2006/relationships/xlExternalLinkPath/xlPathMissing" Target="V&#237;nculoExternoRecuperado36" TargetMode="External" Id="rId1"/></Relationships>
</file>

<file path=xl/externalLinks/_rels/externalLink37.xml.rels><Relationships xmlns="http://schemas.openxmlformats.org/package/2006/relationships"><Relationship Type="http://schemas.microsoft.com/office/2006/relationships/xlExternalLinkPath/xlPathMissing" Target="V&#237;nculoExternoRecuperado37" TargetMode="External" Id="rId1"/></Relationships>
</file>

<file path=xl/externalLinks/_rels/externalLink38.xml.rels><Relationships xmlns="http://schemas.openxmlformats.org/package/2006/relationships"><Relationship Type="http://schemas.microsoft.com/office/2006/relationships/xlExternalLinkPath/xlPathMissing" Target="V&#237;nculoExternoRecuperado38" TargetMode="External" Id="rId1"/></Relationships>
</file>

<file path=xl/externalLinks/_rels/externalLink39.xml.rels><Relationships xmlns="http://schemas.openxmlformats.org/package/2006/relationships"><Relationship Type="http://schemas.microsoft.com/office/2006/relationships/xlExternalLinkPath/xlPathMissing" Target="V&#237;nculoExternoRecuperado39" TargetMode="External" Id="rId1"/></Relationships>
</file>

<file path=xl/externalLinks/_rels/externalLink40.xml.rels><Relationships xmlns="http://schemas.openxmlformats.org/package/2006/relationships"><Relationship Type="http://schemas.microsoft.com/office/2006/relationships/xlExternalLinkPath/xlPathMissing" Target="V&#237;nculoExternoRecuperado40" TargetMode="External" Id="rId1"/></Relationships>
</file>

<file path=xl/externalLinks/_rels/externalLink41.xml.rels><Relationships xmlns="http://schemas.openxmlformats.org/package/2006/relationships"><Relationship Type="http://schemas.microsoft.com/office/2006/relationships/xlExternalLinkPath/xlPathMissing" Target="V&#237;nculoExternoRecuperado41" TargetMode="External" Id="rId1"/></Relationships>
</file>

<file path=xl/externalLinks/_rels/externalLink42.xml.rels><Relationships xmlns="http://schemas.openxmlformats.org/package/2006/relationships"><Relationship Type="http://schemas.microsoft.com/office/2006/relationships/xlExternalLinkPath/xlPathMissing" Target="V&#237;nculoExternoRecuperado42" TargetMode="External" Id="rId1"/></Relationships>
</file>

<file path=xl/externalLinks/_rels/externalLink43.xml.rels><Relationships xmlns="http://schemas.openxmlformats.org/package/2006/relationships"><Relationship Type="http://schemas.microsoft.com/office/2006/relationships/xlExternalLinkPath/xlPathMissing" Target="V&#237;nculoExternoRecuperado43" TargetMode="External" Id="rId1"/></Relationships>
</file>

<file path=xl/externalLinks/_rels/externalLink44.xml.rels><Relationships xmlns="http://schemas.openxmlformats.org/package/2006/relationships"><Relationship Type="http://schemas.microsoft.com/office/2006/relationships/xlExternalLinkPath/xlPathMissing" Target="V&#237;nculoExternoRecuperado44" TargetMode="External" Id="rId1"/></Relationships>
</file>

<file path=xl/externalLinks/_rels/externalLink45.xml.rels><Relationships xmlns="http://schemas.openxmlformats.org/package/2006/relationships"><Relationship Type="http://schemas.microsoft.com/office/2006/relationships/xlExternalLinkPath/xlPathMissing" Target="V&#237;nculoExternoRecuperado45" TargetMode="External" Id="rId1"/></Relationships>
</file>

<file path=xl/externalLinks/_rels/externalLink46.xml.rels><Relationships xmlns="http://schemas.openxmlformats.org/package/2006/relationships"><Relationship Type="http://schemas.microsoft.com/office/2006/relationships/xlExternalLinkPath/xlPathMissing" Target="V&#237;nculoExternoRecuperado46" TargetMode="External" Id="rId1"/></Relationships>
</file>

<file path=xl/externalLinks/_rels/externalLink47.xml.rels><Relationships xmlns="http://schemas.openxmlformats.org/package/2006/relationships"><Relationship Type="http://schemas.microsoft.com/office/2006/relationships/xlExternalLinkPath/xlPathMissing" Target="V&#237;nculoExternoRecuperado47" TargetMode="External" Id="rId1"/></Relationships>
</file>

<file path=xl/externalLinks/_rels/externalLink48.xml.rels><Relationships xmlns="http://schemas.openxmlformats.org/package/2006/relationships"><Relationship Type="http://schemas.microsoft.com/office/2006/relationships/xlExternalLinkPath/xlPathMissing" Target="V&#237;nculoExternoRecuperado48" TargetMode="External" Id="rId1"/></Relationships>
</file>

<file path=xl/externalLinks/_rels/externalLink49.xml.rels><Relationships xmlns="http://schemas.openxmlformats.org/package/2006/relationships"><Relationship Type="http://schemas.microsoft.com/office/2006/relationships/xlExternalLinkPath/xlPathMissing" Target="V&#237;nculoExternoRecuperado49" TargetMode="External" Id="rId1"/></Relationships>
</file>

<file path=xl/externalLinks/_rels/externalLink50.xml.rels><Relationships xmlns="http://schemas.openxmlformats.org/package/2006/relationships"><Relationship Type="http://schemas.microsoft.com/office/2006/relationships/xlExternalLinkPath/xlPathMissing" Target="V&#237;nculoExternoRecuperado50" TargetMode="External" Id="rId1"/></Relationships>
</file>

<file path=xl/externalLinks/_rels/externalLink51.xml.rels><Relationships xmlns="http://schemas.openxmlformats.org/package/2006/relationships"><Relationship Type="http://schemas.microsoft.com/office/2006/relationships/xlExternalLinkPath/xlPathMissing" Target="V&#237;nculoExternoRecuperado51" TargetMode="External" Id="rId1"/></Relationships>
</file>

<file path=xl/externalLinks/_rels/externalLink52.xml.rels><Relationships xmlns="http://schemas.openxmlformats.org/package/2006/relationships"><Relationship Type="http://schemas.microsoft.com/office/2006/relationships/xlExternalLinkPath/xlPathMissing" Target="V&#237;nculoExternoRecuperado52" TargetMode="External" Id="rId1"/></Relationships>
</file>

<file path=xl/externalLinks/_rels/externalLink53.xml.rels><Relationships xmlns="http://schemas.openxmlformats.org/package/2006/relationships"><Relationship Type="http://schemas.microsoft.com/office/2006/relationships/xlExternalLinkPath/xlPathMissing" Target="V&#237;nculoExternoRecuperado53" TargetMode="External" Id="rId1"/></Relationships>
</file>

<file path=xl/externalLinks/_rels/externalLink54.xml.rels><Relationships xmlns="http://schemas.openxmlformats.org/package/2006/relationships"><Relationship Type="http://schemas.microsoft.com/office/2006/relationships/xlExternalLinkPath/xlPathMissing" Target="V&#237;nculoExternoRecuperado54" TargetMode="External" Id="rId1"/></Relationships>
</file>

<file path=xl/externalLinks/_rels/externalLink55.xml.rels><Relationships xmlns="http://schemas.openxmlformats.org/package/2006/relationships"><Relationship Type="http://schemas.microsoft.com/office/2006/relationships/xlExternalLinkPath/xlPathMissing" Target="V&#237;nculoExternoRecuperado55" TargetMode="External" Id="rId1"/></Relationships>
</file>

<file path=xl/externalLinks/_rels/externalLink56.xml.rels><Relationships xmlns="http://schemas.openxmlformats.org/package/2006/relationships"><Relationship Type="http://schemas.microsoft.com/office/2006/relationships/xlExternalLinkPath/xlPathMissing" Target="V&#237;nculoExternoRecuperado56" TargetMode="External" Id="rId1"/></Relationships>
</file>

<file path=xl/externalLinks/_rels/externalLink57.xml.rels><Relationships xmlns="http://schemas.openxmlformats.org/package/2006/relationships"><Relationship Type="http://schemas.microsoft.com/office/2006/relationships/xlExternalLinkPath/xlPathMissing" Target="V&#237;nculoExternoRecuperado57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135991784</v>
          </cell>
        </row>
        <row r="11">
          <cell r="I11">
            <v>3118957</v>
          </cell>
        </row>
        <row r="12">
          <cell r="I12">
            <v>19735184</v>
          </cell>
        </row>
        <row r="27">
          <cell r="D27">
            <v>53300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42456276</v>
          </cell>
        </row>
        <row r="10">
          <cell r="I10">
            <v>2614679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D8">
            <v>13055991</v>
          </cell>
        </row>
        <row r="15">
          <cell r="D15">
            <v>3910188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L8">
            <v>163502037</v>
          </cell>
        </row>
        <row r="10">
          <cell r="I10">
            <v>4115810</v>
          </cell>
          <cell r="L10">
            <v>19090050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10667827</v>
          </cell>
        </row>
        <row r="10">
          <cell r="I10">
            <v>3327240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D8">
            <v>41746824</v>
          </cell>
        </row>
        <row r="18">
          <cell r="D18">
            <v>13785635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D10">
            <v>321319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12322884</v>
          </cell>
        </row>
        <row r="10">
          <cell r="I10">
            <v>3014328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0">
          <cell r="C80">
            <v>3708812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2">
          <cell r="C92">
            <v>1776800</v>
          </cell>
        </row>
        <row r="95">
          <cell r="C95">
            <v>2777640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39">
          <cell r="C139">
            <v>5441527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196">
          <cell r="C196">
            <v>5625911.5999999996</v>
          </cell>
        </row>
        <row r="198">
          <cell r="C198">
            <v>130012</v>
          </cell>
        </row>
        <row r="218">
          <cell r="C218">
            <v>151011</v>
          </cell>
        </row>
        <row r="234">
          <cell r="C234">
            <v>1481598</v>
          </cell>
        </row>
        <row r="236">
          <cell r="C236">
            <v>188084.43</v>
          </cell>
        </row>
        <row r="245">
          <cell r="C245">
            <v>23737019.079999998</v>
          </cell>
        </row>
        <row r="251">
          <cell r="C251">
            <v>156567.26999999999</v>
          </cell>
        </row>
        <row r="254">
          <cell r="C254">
            <v>27341.4</v>
          </cell>
        </row>
        <row r="256">
          <cell r="C256">
            <v>35748</v>
          </cell>
        </row>
        <row r="260">
          <cell r="C260">
            <v>471859</v>
          </cell>
        </row>
        <row r="263">
          <cell r="C263">
            <v>457210</v>
          </cell>
        </row>
        <row r="265">
          <cell r="C265">
            <v>473884</v>
          </cell>
        </row>
        <row r="267">
          <cell r="C267">
            <v>391810.95</v>
          </cell>
        </row>
        <row r="278">
          <cell r="C278">
            <v>1879770.04</v>
          </cell>
        </row>
        <row r="287">
          <cell r="C287">
            <v>609.76</v>
          </cell>
        </row>
        <row r="299">
          <cell r="C299">
            <v>2682906256.4499998</v>
          </cell>
        </row>
        <row r="309">
          <cell r="C309">
            <v>9947928.1199999992</v>
          </cell>
        </row>
        <row r="311">
          <cell r="C311">
            <v>1910927.38</v>
          </cell>
        </row>
        <row r="315">
          <cell r="C315">
            <v>37395068</v>
          </cell>
        </row>
        <row r="318">
          <cell r="C318">
            <v>65000</v>
          </cell>
        </row>
        <row r="327">
          <cell r="E327">
            <v>49500</v>
          </cell>
        </row>
        <row r="330">
          <cell r="C330">
            <v>6594037</v>
          </cell>
        </row>
        <row r="370">
          <cell r="C370">
            <v>30740394.43</v>
          </cell>
        </row>
        <row r="381">
          <cell r="C381">
            <v>645062</v>
          </cell>
        </row>
        <row r="384">
          <cell r="C384">
            <v>3225038</v>
          </cell>
        </row>
        <row r="387">
          <cell r="C387">
            <v>28704000</v>
          </cell>
        </row>
        <row r="402">
          <cell r="C402">
            <v>95701</v>
          </cell>
        </row>
        <row r="405">
          <cell r="C405">
            <v>8519.99</v>
          </cell>
        </row>
        <row r="414">
          <cell r="C414">
            <v>309026.86</v>
          </cell>
        </row>
        <row r="425">
          <cell r="C425">
            <v>251609552.15000001</v>
          </cell>
        </row>
        <row r="436">
          <cell r="C436">
            <v>306408</v>
          </cell>
        </row>
        <row r="451">
          <cell r="C451">
            <v>10129458.51</v>
          </cell>
        </row>
        <row r="453">
          <cell r="C453">
            <v>360000</v>
          </cell>
        </row>
        <row r="455">
          <cell r="C455">
            <v>79048</v>
          </cell>
        </row>
        <row r="485">
          <cell r="C485">
            <v>42200</v>
          </cell>
        </row>
        <row r="489">
          <cell r="C489">
            <v>6401050</v>
          </cell>
        </row>
        <row r="492">
          <cell r="C492">
            <v>50000</v>
          </cell>
        </row>
        <row r="494">
          <cell r="C494">
            <v>296650</v>
          </cell>
        </row>
        <row r="496">
          <cell r="C496">
            <v>412201</v>
          </cell>
        </row>
        <row r="498">
          <cell r="C498">
            <v>409863</v>
          </cell>
        </row>
        <row r="501">
          <cell r="C501">
            <v>110776</v>
          </cell>
        </row>
        <row r="503">
          <cell r="C503">
            <v>39999</v>
          </cell>
        </row>
        <row r="505">
          <cell r="C505">
            <v>524600</v>
          </cell>
        </row>
        <row r="507">
          <cell r="C507">
            <v>21000</v>
          </cell>
        </row>
        <row r="509">
          <cell r="C509">
            <v>795683.29</v>
          </cell>
        </row>
        <row r="510">
          <cell r="C510">
            <v>39265</v>
          </cell>
        </row>
        <row r="513">
          <cell r="C513">
            <v>1690449</v>
          </cell>
        </row>
        <row r="540">
          <cell r="E540">
            <v>236500</v>
          </cell>
        </row>
        <row r="542">
          <cell r="C542">
            <v>612855080.30999994</v>
          </cell>
        </row>
        <row r="556">
          <cell r="C556">
            <v>9190123.1400000006</v>
          </cell>
        </row>
        <row r="558">
          <cell r="C558">
            <v>81149664</v>
          </cell>
        </row>
        <row r="592">
          <cell r="C592">
            <v>255000</v>
          </cell>
        </row>
        <row r="595">
          <cell r="C595">
            <v>55000</v>
          </cell>
        </row>
        <row r="604">
          <cell r="E604">
            <v>27500</v>
          </cell>
        </row>
        <row r="606">
          <cell r="C606">
            <v>4205658</v>
          </cell>
        </row>
        <row r="643">
          <cell r="E643">
            <v>77000</v>
          </cell>
        </row>
        <row r="645">
          <cell r="C645">
            <v>224304857.71000001</v>
          </cell>
        </row>
        <row r="687">
          <cell r="C687">
            <v>1436532</v>
          </cell>
        </row>
        <row r="690">
          <cell r="C690">
            <v>1423500</v>
          </cell>
        </row>
        <row r="692">
          <cell r="C692">
            <v>3042823</v>
          </cell>
        </row>
        <row r="695">
          <cell r="C695">
            <v>79000</v>
          </cell>
        </row>
        <row r="697">
          <cell r="C697">
            <v>4000</v>
          </cell>
        </row>
        <row r="699">
          <cell r="C699">
            <v>56000</v>
          </cell>
        </row>
        <row r="702">
          <cell r="C702">
            <v>15979704</v>
          </cell>
        </row>
        <row r="708">
          <cell r="C708">
            <v>2229102</v>
          </cell>
        </row>
        <row r="736">
          <cell r="C736">
            <v>631600</v>
          </cell>
        </row>
        <row r="738">
          <cell r="C738">
            <v>505050</v>
          </cell>
        </row>
        <row r="741">
          <cell r="C741">
            <v>4087650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49000</v>
          </cell>
        </row>
        <row r="26">
          <cell r="E26">
            <v>377025</v>
          </cell>
        </row>
        <row r="28">
          <cell r="E28">
            <v>514.78</v>
          </cell>
        </row>
        <row r="30">
          <cell r="C30">
            <v>606365627.59000003</v>
          </cell>
        </row>
        <row r="54">
          <cell r="C54">
            <v>6758341</v>
          </cell>
        </row>
        <row r="56">
          <cell r="C56">
            <v>10288035</v>
          </cell>
        </row>
        <row r="70">
          <cell r="C70">
            <v>1826000</v>
          </cell>
        </row>
        <row r="73">
          <cell r="C73">
            <v>2896000</v>
          </cell>
        </row>
        <row r="75">
          <cell r="C75">
            <v>2912968</v>
          </cell>
        </row>
        <row r="76">
          <cell r="C76">
            <v>10377680</v>
          </cell>
        </row>
        <row r="81">
          <cell r="C81">
            <v>23996392.41</v>
          </cell>
        </row>
        <row r="84">
          <cell r="C84">
            <v>37439181</v>
          </cell>
        </row>
        <row r="86">
          <cell r="C86">
            <v>10606021</v>
          </cell>
        </row>
        <row r="88">
          <cell r="C88">
            <v>3236110</v>
          </cell>
        </row>
        <row r="90">
          <cell r="C90">
            <v>8139600</v>
          </cell>
        </row>
        <row r="93">
          <cell r="C93">
            <v>3290861</v>
          </cell>
        </row>
        <row r="95">
          <cell r="C95">
            <v>8584300</v>
          </cell>
        </row>
        <row r="98">
          <cell r="C98">
            <v>2777640</v>
          </cell>
        </row>
        <row r="99">
          <cell r="C99">
            <v>3807000</v>
          </cell>
        </row>
        <row r="103">
          <cell r="C103">
            <v>789106</v>
          </cell>
        </row>
        <row r="104">
          <cell r="C104">
            <v>1261676</v>
          </cell>
        </row>
        <row r="106">
          <cell r="C106">
            <v>735768</v>
          </cell>
        </row>
        <row r="108">
          <cell r="C108">
            <v>2472150</v>
          </cell>
        </row>
        <row r="110">
          <cell r="C110">
            <v>6615902</v>
          </cell>
        </row>
        <row r="111">
          <cell r="C111">
            <v>477584</v>
          </cell>
        </row>
        <row r="113">
          <cell r="C113">
            <v>37400</v>
          </cell>
        </row>
        <row r="117">
          <cell r="C117">
            <v>5741346</v>
          </cell>
        </row>
        <row r="120">
          <cell r="C120">
            <v>7663600</v>
          </cell>
        </row>
        <row r="121">
          <cell r="C121">
            <v>183400</v>
          </cell>
        </row>
        <row r="126">
          <cell r="C126">
            <v>1894710</v>
          </cell>
        </row>
        <row r="128">
          <cell r="C128">
            <v>2062464</v>
          </cell>
        </row>
        <row r="129">
          <cell r="C129">
            <v>370000</v>
          </cell>
        </row>
        <row r="131">
          <cell r="C131">
            <v>1877008</v>
          </cell>
        </row>
        <row r="132">
          <cell r="C132">
            <v>2603524</v>
          </cell>
        </row>
        <row r="135">
          <cell r="C135">
            <v>1900000</v>
          </cell>
        </row>
        <row r="137">
          <cell r="C137">
            <v>90000</v>
          </cell>
        </row>
        <row r="139">
          <cell r="C139">
            <v>15441534</v>
          </cell>
        </row>
        <row r="141">
          <cell r="C141">
            <v>10096990</v>
          </cell>
        </row>
        <row r="143">
          <cell r="C143">
            <v>1273497</v>
          </cell>
        </row>
        <row r="145">
          <cell r="C145">
            <v>679316</v>
          </cell>
        </row>
        <row r="147">
          <cell r="C147">
            <v>2961768.68</v>
          </cell>
        </row>
        <row r="148">
          <cell r="C148">
            <v>9270040.6699999999</v>
          </cell>
        </row>
        <row r="150">
          <cell r="C150">
            <v>27100</v>
          </cell>
        </row>
        <row r="152">
          <cell r="C152">
            <v>2470200</v>
          </cell>
        </row>
        <row r="154">
          <cell r="C154">
            <v>508300</v>
          </cell>
        </row>
        <row r="155">
          <cell r="C155">
            <v>319799</v>
          </cell>
        </row>
        <row r="156">
          <cell r="C156">
            <v>800000</v>
          </cell>
        </row>
        <row r="157">
          <cell r="C157">
            <v>3939537</v>
          </cell>
        </row>
        <row r="158">
          <cell r="C158">
            <v>394900</v>
          </cell>
        </row>
        <row r="159">
          <cell r="C159">
            <v>4623150</v>
          </cell>
        </row>
        <row r="160">
          <cell r="C160">
            <v>10566388</v>
          </cell>
        </row>
        <row r="161">
          <cell r="C161">
            <v>5834000</v>
          </cell>
        </row>
        <row r="162">
          <cell r="C162">
            <v>34962540</v>
          </cell>
        </row>
        <row r="163">
          <cell r="C163">
            <v>643578</v>
          </cell>
        </row>
        <row r="164">
          <cell r="C164">
            <v>1751694</v>
          </cell>
        </row>
        <row r="167">
          <cell r="C167">
            <v>721868.2</v>
          </cell>
        </row>
        <row r="170">
          <cell r="C170">
            <v>2541356.16</v>
          </cell>
        </row>
        <row r="175">
          <cell r="C175">
            <v>2367762.52</v>
          </cell>
        </row>
        <row r="176">
          <cell r="C176">
            <v>3769285</v>
          </cell>
        </row>
        <row r="180">
          <cell r="C180">
            <v>171828</v>
          </cell>
        </row>
        <row r="183">
          <cell r="C183">
            <v>5000000</v>
          </cell>
        </row>
        <row r="186">
          <cell r="C186">
            <v>26.95</v>
          </cell>
        </row>
        <row r="199">
          <cell r="C199">
            <v>5410656.4100000001</v>
          </cell>
        </row>
        <row r="201">
          <cell r="C201">
            <v>5395856.4100000001</v>
          </cell>
        </row>
        <row r="203">
          <cell r="C203">
            <v>14800</v>
          </cell>
        </row>
        <row r="204">
          <cell r="C204">
            <v>64611540</v>
          </cell>
        </row>
        <row r="239">
          <cell r="C239">
            <v>3010800</v>
          </cell>
        </row>
        <row r="240">
          <cell r="C240">
            <v>1755335.6</v>
          </cell>
        </row>
        <row r="243">
          <cell r="C243">
            <v>1481598</v>
          </cell>
        </row>
        <row r="245">
          <cell r="C245">
            <v>273737.59999999998</v>
          </cell>
        </row>
        <row r="254">
          <cell r="C254">
            <v>21999955.57</v>
          </cell>
        </row>
        <row r="260">
          <cell r="C260">
            <v>107600.47</v>
          </cell>
        </row>
        <row r="263">
          <cell r="C263">
            <v>15464</v>
          </cell>
        </row>
        <row r="265">
          <cell r="C265">
            <v>795876</v>
          </cell>
        </row>
        <row r="269">
          <cell r="C269">
            <v>743878</v>
          </cell>
        </row>
        <row r="272">
          <cell r="C272">
            <v>427210</v>
          </cell>
        </row>
        <row r="274">
          <cell r="C274">
            <v>139390</v>
          </cell>
        </row>
        <row r="276">
          <cell r="C276">
            <v>2931276.64</v>
          </cell>
        </row>
        <row r="279">
          <cell r="C279">
            <v>2623101.92</v>
          </cell>
        </row>
        <row r="291">
          <cell r="C291">
            <v>3085829833.0999999</v>
          </cell>
        </row>
        <row r="304">
          <cell r="C304">
            <v>10303069.4</v>
          </cell>
        </row>
        <row r="306">
          <cell r="C306">
            <v>2028335.5</v>
          </cell>
        </row>
        <row r="310">
          <cell r="C310">
            <v>93442832</v>
          </cell>
        </row>
        <row r="312">
          <cell r="C312">
            <v>100000</v>
          </cell>
        </row>
        <row r="321">
          <cell r="E321">
            <v>13750</v>
          </cell>
        </row>
        <row r="324">
          <cell r="C324">
            <v>7176410</v>
          </cell>
        </row>
        <row r="356">
          <cell r="C356">
            <v>10009.9</v>
          </cell>
        </row>
        <row r="365">
          <cell r="C365">
            <v>80896410.650000006</v>
          </cell>
        </row>
        <row r="378">
          <cell r="C378">
            <v>2257717</v>
          </cell>
        </row>
        <row r="381">
          <cell r="C381">
            <v>35600</v>
          </cell>
        </row>
        <row r="383">
          <cell r="C383">
            <v>15000</v>
          </cell>
        </row>
        <row r="385">
          <cell r="C385">
            <v>450000</v>
          </cell>
        </row>
        <row r="387">
          <cell r="C387">
            <v>66150</v>
          </cell>
        </row>
        <row r="396">
          <cell r="C396">
            <v>329563000</v>
          </cell>
        </row>
        <row r="399">
          <cell r="C399">
            <v>607779178.82000005</v>
          </cell>
        </row>
        <row r="403">
          <cell r="C403">
            <v>228100</v>
          </cell>
        </row>
        <row r="410">
          <cell r="C410">
            <v>1313179</v>
          </cell>
        </row>
        <row r="426">
          <cell r="C426">
            <v>7983702.29</v>
          </cell>
        </row>
        <row r="428">
          <cell r="C428">
            <v>3619800</v>
          </cell>
        </row>
        <row r="458">
          <cell r="C458">
            <v>7440500</v>
          </cell>
        </row>
        <row r="462">
          <cell r="C462">
            <v>7221050</v>
          </cell>
        </row>
        <row r="465">
          <cell r="C465">
            <v>64000</v>
          </cell>
        </row>
        <row r="467">
          <cell r="C467">
            <v>301220</v>
          </cell>
        </row>
        <row r="469">
          <cell r="C469">
            <v>412201</v>
          </cell>
        </row>
        <row r="471">
          <cell r="C471">
            <v>848484</v>
          </cell>
        </row>
        <row r="474">
          <cell r="C474">
            <v>320250</v>
          </cell>
        </row>
        <row r="476">
          <cell r="C476">
            <v>163804</v>
          </cell>
        </row>
        <row r="478">
          <cell r="C478">
            <v>155000</v>
          </cell>
        </row>
        <row r="480">
          <cell r="C480">
            <v>69000</v>
          </cell>
        </row>
        <row r="482">
          <cell r="C482">
            <v>39650</v>
          </cell>
        </row>
        <row r="484">
          <cell r="C484">
            <v>869729.98</v>
          </cell>
        </row>
        <row r="485">
          <cell r="C485">
            <v>30000</v>
          </cell>
        </row>
        <row r="488">
          <cell r="C488">
            <v>-207923.20000000001</v>
          </cell>
        </row>
        <row r="503">
          <cell r="E503">
            <v>67100</v>
          </cell>
        </row>
        <row r="505">
          <cell r="C505">
            <v>2167478551.75</v>
          </cell>
        </row>
        <row r="519">
          <cell r="C519">
            <v>14862513.49</v>
          </cell>
        </row>
        <row r="521">
          <cell r="C521">
            <v>18636274</v>
          </cell>
        </row>
        <row r="553">
          <cell r="C553">
            <v>4926700</v>
          </cell>
        </row>
        <row r="557">
          <cell r="C557">
            <v>42000</v>
          </cell>
        </row>
        <row r="559">
          <cell r="C559">
            <v>1309625</v>
          </cell>
        </row>
        <row r="561">
          <cell r="C561">
            <v>60000</v>
          </cell>
        </row>
        <row r="563">
          <cell r="C563">
            <v>33000</v>
          </cell>
        </row>
        <row r="565">
          <cell r="C565">
            <v>313500</v>
          </cell>
        </row>
        <row r="566">
          <cell r="C566">
            <v>250000</v>
          </cell>
        </row>
        <row r="575">
          <cell r="E575">
            <v>23650</v>
          </cell>
        </row>
        <row r="577">
          <cell r="C577">
            <v>1056043730.86</v>
          </cell>
        </row>
        <row r="591">
          <cell r="C591">
            <v>11385919.880000001</v>
          </cell>
        </row>
        <row r="593">
          <cell r="C593">
            <v>51377547</v>
          </cell>
        </row>
        <row r="623">
          <cell r="C623">
            <v>17699100</v>
          </cell>
        </row>
        <row r="627">
          <cell r="C627">
            <v>222222</v>
          </cell>
        </row>
        <row r="629">
          <cell r="C629">
            <v>1815812</v>
          </cell>
        </row>
        <row r="632">
          <cell r="C632">
            <v>875063</v>
          </cell>
        </row>
        <row r="634">
          <cell r="C634">
            <v>34000</v>
          </cell>
        </row>
        <row r="636">
          <cell r="C636">
            <v>2300000</v>
          </cell>
        </row>
        <row r="638">
          <cell r="C638">
            <v>65000</v>
          </cell>
        </row>
        <row r="639">
          <cell r="C639">
            <v>68000</v>
          </cell>
        </row>
        <row r="642">
          <cell r="C642">
            <v>-1272271</v>
          </cell>
        </row>
        <row r="672">
          <cell r="C672">
            <v>631600</v>
          </cell>
        </row>
        <row r="674">
          <cell r="C674">
            <v>505050</v>
          </cell>
        </row>
        <row r="677">
          <cell r="C677">
            <v>142800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39875</v>
          </cell>
        </row>
        <row r="27">
          <cell r="C27">
            <v>1634178</v>
          </cell>
        </row>
        <row r="70">
          <cell r="C70">
            <v>233454</v>
          </cell>
        </row>
        <row r="72">
          <cell r="C72">
            <v>7677303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  <row r="26">
          <cell r="G26">
            <v>3030303</v>
          </cell>
        </row>
        <row r="29">
          <cell r="G29">
            <v>12870000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  <sheetName val="Hoja 1 (2)"/>
    </sheetNames>
    <sheetDataSet>
      <sheetData sheetId="0">
        <row r="11">
          <cell r="G11">
            <v>404040</v>
          </cell>
        </row>
        <row r="14">
          <cell r="G14">
            <v>3572800</v>
          </cell>
        </row>
        <row r="16">
          <cell r="G16">
            <v>850000</v>
          </cell>
        </row>
        <row r="18">
          <cell r="G18">
            <v>49300000</v>
          </cell>
        </row>
        <row r="23">
          <cell r="G23">
            <v>4014671</v>
          </cell>
        </row>
        <row r="26">
          <cell r="G26">
            <v>5050505</v>
          </cell>
        </row>
        <row r="29">
          <cell r="G29">
            <v>13000000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5">
          <cell r="C15">
            <v>145591814</v>
          </cell>
        </row>
        <row r="21">
          <cell r="C21">
            <v>58364</v>
          </cell>
        </row>
        <row r="59">
          <cell r="C59">
            <v>43601030</v>
          </cell>
        </row>
        <row r="61">
          <cell r="C61">
            <v>759463</v>
          </cell>
        </row>
        <row r="64">
          <cell r="C64">
            <v>3852125</v>
          </cell>
        </row>
        <row r="66">
          <cell r="C66">
            <v>2365998</v>
          </cell>
        </row>
        <row r="68">
          <cell r="C68">
            <v>1137000</v>
          </cell>
        </row>
        <row r="70">
          <cell r="C70">
            <v>394000</v>
          </cell>
        </row>
        <row r="73">
          <cell r="C73">
            <v>269892</v>
          </cell>
        </row>
        <row r="76">
          <cell r="C76">
            <v>1517000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7">
          <cell r="C17">
            <v>231151715</v>
          </cell>
        </row>
        <row r="48">
          <cell r="C48">
            <v>258000</v>
          </cell>
        </row>
        <row r="54">
          <cell r="C54">
            <v>120000</v>
          </cell>
        </row>
        <row r="88">
          <cell r="C88">
            <v>4209000</v>
          </cell>
        </row>
        <row r="92">
          <cell r="C92">
            <v>69783395</v>
          </cell>
        </row>
        <row r="94">
          <cell r="C94">
            <v>1628251</v>
          </cell>
        </row>
        <row r="97">
          <cell r="C97">
            <v>5611278</v>
          </cell>
        </row>
        <row r="99">
          <cell r="C99">
            <v>20690</v>
          </cell>
        </row>
        <row r="101">
          <cell r="C101">
            <v>1776460</v>
          </cell>
        </row>
        <row r="103">
          <cell r="C103">
            <v>43000</v>
          </cell>
        </row>
        <row r="105">
          <cell r="C105">
            <v>12297431</v>
          </cell>
        </row>
        <row r="107">
          <cell r="C107">
            <v>13084137</v>
          </cell>
        </row>
        <row r="109">
          <cell r="C109">
            <v>394000</v>
          </cell>
        </row>
        <row r="112">
          <cell r="C112">
            <v>1542000</v>
          </cell>
        </row>
        <row r="115">
          <cell r="C115">
            <v>171001</v>
          </cell>
        </row>
        <row r="117">
          <cell r="C117">
            <v>41900</v>
          </cell>
        </row>
        <row r="118">
          <cell r="C118">
            <v>98700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F23">
            <v>42350</v>
          </cell>
        </row>
        <row r="82">
          <cell r="D82">
            <v>324693964.79000002</v>
          </cell>
        </row>
        <row r="118">
          <cell r="D118">
            <v>9288000</v>
          </cell>
        </row>
        <row r="122">
          <cell r="D122">
            <v>173934159.21000001</v>
          </cell>
        </row>
        <row r="124">
          <cell r="D124">
            <v>9743579.5800000001</v>
          </cell>
        </row>
        <row r="127">
          <cell r="D127">
            <v>7332780</v>
          </cell>
        </row>
        <row r="129">
          <cell r="D129">
            <v>2876069</v>
          </cell>
        </row>
        <row r="131">
          <cell r="D131">
            <v>24140678</v>
          </cell>
        </row>
        <row r="133">
          <cell r="D133">
            <v>394000</v>
          </cell>
        </row>
        <row r="136">
          <cell r="D136">
            <v>174573</v>
          </cell>
        </row>
        <row r="139">
          <cell r="D139">
            <v>7125200</v>
          </cell>
        </row>
        <row r="142">
          <cell r="D142">
            <v>40000</v>
          </cell>
        </row>
        <row r="144">
          <cell r="D144">
            <v>448000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28490</v>
          </cell>
        </row>
        <row r="67">
          <cell r="C67">
            <v>2346382</v>
          </cell>
        </row>
        <row r="101">
          <cell r="C101">
            <v>95000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0">
          <cell r="E20">
            <v>538725</v>
          </cell>
        </row>
        <row r="76">
          <cell r="C76">
            <v>860132</v>
          </cell>
        </row>
        <row r="92">
          <cell r="C92">
            <v>959180</v>
          </cell>
        </row>
        <row r="101">
          <cell r="E101">
            <v>41250</v>
          </cell>
        </row>
        <row r="103">
          <cell r="C103">
            <v>15123113</v>
          </cell>
        </row>
        <row r="142">
          <cell r="E142">
            <v>9900</v>
          </cell>
        </row>
        <row r="148">
          <cell r="C148">
            <v>2334544</v>
          </cell>
        </row>
        <row r="150">
          <cell r="C150">
            <v>423376053</v>
          </cell>
        </row>
        <row r="174">
          <cell r="C174">
            <v>23031718</v>
          </cell>
        </row>
        <row r="190">
          <cell r="C190">
            <v>1716677</v>
          </cell>
        </row>
        <row r="191">
          <cell r="C191">
            <v>87548</v>
          </cell>
        </row>
        <row r="193">
          <cell r="C193">
            <v>29761537</v>
          </cell>
        </row>
        <row r="195">
          <cell r="C195">
            <v>14669260</v>
          </cell>
        </row>
        <row r="198">
          <cell r="C198">
            <v>5278000</v>
          </cell>
        </row>
        <row r="201">
          <cell r="C201">
            <v>24000</v>
          </cell>
        </row>
        <row r="203">
          <cell r="C203">
            <v>55000</v>
          </cell>
        </row>
        <row r="205">
          <cell r="C205">
            <v>16472151</v>
          </cell>
        </row>
        <row r="206">
          <cell r="C206">
            <v>2876175</v>
          </cell>
        </row>
        <row r="207">
          <cell r="C207">
            <v>12000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9">
          <cell r="E19">
            <v>129800</v>
          </cell>
        </row>
        <row r="89">
          <cell r="C89">
            <v>959180</v>
          </cell>
        </row>
        <row r="98">
          <cell r="E98">
            <v>13750</v>
          </cell>
        </row>
        <row r="127">
          <cell r="C127">
            <v>345815985</v>
          </cell>
        </row>
        <row r="151">
          <cell r="C151">
            <v>228123</v>
          </cell>
        </row>
        <row r="167">
          <cell r="C167">
            <v>875453</v>
          </cell>
        </row>
        <row r="193">
          <cell r="C193">
            <v>18167707</v>
          </cell>
        </row>
        <row r="209">
          <cell r="C209">
            <v>1196228</v>
          </cell>
        </row>
        <row r="210">
          <cell r="C210">
            <v>538034</v>
          </cell>
        </row>
        <row r="212">
          <cell r="C212">
            <v>20690</v>
          </cell>
        </row>
        <row r="214">
          <cell r="C214">
            <v>2864140</v>
          </cell>
        </row>
        <row r="216">
          <cell r="C216">
            <v>25000</v>
          </cell>
        </row>
        <row r="218">
          <cell r="C218">
            <v>33408739</v>
          </cell>
        </row>
        <row r="220">
          <cell r="C220">
            <v>8061415</v>
          </cell>
        </row>
        <row r="223">
          <cell r="C223">
            <v>5879000</v>
          </cell>
        </row>
        <row r="226">
          <cell r="C226">
            <v>85173</v>
          </cell>
        </row>
        <row r="228">
          <cell r="C228">
            <v>114000</v>
          </cell>
        </row>
        <row r="230">
          <cell r="C230">
            <v>12089336</v>
          </cell>
        </row>
        <row r="231">
          <cell r="C231">
            <v>258000</v>
          </cell>
        </row>
        <row r="232">
          <cell r="C232">
            <v>130000</v>
          </cell>
        </row>
        <row r="233">
          <cell r="C233">
            <v>60000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436700</v>
          </cell>
        </row>
        <row r="81">
          <cell r="C81">
            <v>988533</v>
          </cell>
        </row>
        <row r="97">
          <cell r="C97">
            <v>959180</v>
          </cell>
        </row>
        <row r="106">
          <cell r="E106">
            <v>13750</v>
          </cell>
        </row>
        <row r="108">
          <cell r="C108">
            <v>5271704</v>
          </cell>
        </row>
        <row r="147">
          <cell r="E147">
            <v>9900</v>
          </cell>
        </row>
        <row r="149">
          <cell r="C149">
            <v>116727</v>
          </cell>
        </row>
        <row r="153">
          <cell r="C153">
            <v>116727</v>
          </cell>
        </row>
        <row r="155">
          <cell r="C155">
            <v>484182702</v>
          </cell>
        </row>
        <row r="179">
          <cell r="C179">
            <v>25458943</v>
          </cell>
        </row>
        <row r="195">
          <cell r="C195">
            <v>535419</v>
          </cell>
        </row>
        <row r="197">
          <cell r="C197">
            <v>29663</v>
          </cell>
        </row>
        <row r="200">
          <cell r="C200">
            <v>29615777</v>
          </cell>
        </row>
        <row r="201">
          <cell r="C201">
            <v>185640</v>
          </cell>
        </row>
        <row r="203">
          <cell r="C203">
            <v>23459653</v>
          </cell>
        </row>
        <row r="205">
          <cell r="C205">
            <v>8581599</v>
          </cell>
        </row>
        <row r="208">
          <cell r="C208">
            <v>159526</v>
          </cell>
        </row>
        <row r="211">
          <cell r="C211">
            <v>3706850</v>
          </cell>
        </row>
        <row r="212">
          <cell r="C212">
            <v>5130000</v>
          </cell>
        </row>
        <row r="215">
          <cell r="C215">
            <v>35200</v>
          </cell>
        </row>
        <row r="217">
          <cell r="C217">
            <v>18868410</v>
          </cell>
        </row>
        <row r="218">
          <cell r="C218">
            <v>6000</v>
          </cell>
        </row>
        <row r="219">
          <cell r="C219">
            <v>15157078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50916718</v>
          </cell>
        </row>
        <row r="9">
          <cell r="I9">
            <v>5255115</v>
          </cell>
        </row>
        <row r="16">
          <cell r="D16">
            <v>6594037</v>
          </cell>
        </row>
        <row r="20">
          <cell r="D20">
            <v>1351147</v>
          </cell>
        </row>
        <row r="21">
          <cell r="D21">
            <v>5874884</v>
          </cell>
        </row>
        <row r="25">
          <cell r="D25">
            <v>1690449</v>
          </cell>
        </row>
        <row r="28">
          <cell r="D28">
            <v>28348593</v>
          </cell>
        </row>
        <row r="34">
          <cell r="D34">
            <v>4205658</v>
          </cell>
        </row>
        <row r="38">
          <cell r="D38">
            <v>5613210</v>
          </cell>
        </row>
        <row r="42">
          <cell r="D42">
            <v>8526302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128217592</v>
          </cell>
        </row>
        <row r="10">
          <cell r="I10">
            <v>23128879</v>
          </cell>
        </row>
        <row r="16">
          <cell r="D16">
            <v>4191482</v>
          </cell>
        </row>
        <row r="20">
          <cell r="D20">
            <v>13550804</v>
          </cell>
        </row>
        <row r="24">
          <cell r="D24">
            <v>5002010</v>
          </cell>
        </row>
        <row r="28">
          <cell r="D28">
            <v>5312541</v>
          </cell>
        </row>
        <row r="32">
          <cell r="D32">
            <v>4793924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2422731</v>
          </cell>
        </row>
        <row r="10">
          <cell r="D10">
            <v>900019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3007257</v>
          </cell>
        </row>
        <row r="16">
          <cell r="D16">
            <v>3068736</v>
          </cell>
        </row>
        <row r="22">
          <cell r="I22">
            <v>921510</v>
          </cell>
        </row>
        <row r="24">
          <cell r="I24">
            <v>2747919</v>
          </cell>
        </row>
        <row r="26">
          <cell r="I26">
            <v>761348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115940</v>
          </cell>
        </row>
        <row r="91">
          <cell r="C91">
            <v>114000</v>
          </cell>
        </row>
        <row r="110">
          <cell r="C110">
            <v>6978924</v>
          </cell>
        </row>
        <row r="177">
          <cell r="C177">
            <v>4430777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5928252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E9">
            <v>905782</v>
          </cell>
        </row>
        <row r="10">
          <cell r="E10">
            <v>1002434</v>
          </cell>
        </row>
        <row r="13">
          <cell r="E13">
            <v>89196926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E10">
            <v>2217935</v>
          </cell>
        </row>
        <row r="14">
          <cell r="E14">
            <v>2251382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55924780</v>
          </cell>
        </row>
        <row r="9">
          <cell r="I9">
            <v>5675960</v>
          </cell>
        </row>
        <row r="17">
          <cell r="D17">
            <v>7176410</v>
          </cell>
        </row>
        <row r="21">
          <cell r="D21">
            <v>1876413</v>
          </cell>
        </row>
        <row r="22">
          <cell r="D22">
            <v>7120201</v>
          </cell>
        </row>
        <row r="30">
          <cell r="D30">
            <v>5751356</v>
          </cell>
        </row>
        <row r="31">
          <cell r="D31">
            <v>40707248</v>
          </cell>
        </row>
        <row r="32">
          <cell r="D32">
            <v>1489512</v>
          </cell>
        </row>
        <row r="39">
          <cell r="D39">
            <v>15142433</v>
          </cell>
        </row>
        <row r="45">
          <cell r="H45">
            <v>-2551721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126316468</v>
          </cell>
        </row>
        <row r="9">
          <cell r="I9">
            <v>17135141</v>
          </cell>
        </row>
        <row r="14">
          <cell r="D14">
            <v>15123113</v>
          </cell>
        </row>
        <row r="18">
          <cell r="D18">
            <v>8540670</v>
          </cell>
        </row>
        <row r="19">
          <cell r="D19">
            <v>343883035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10301787</v>
          </cell>
        </row>
        <row r="10">
          <cell r="I10">
            <v>1347374</v>
          </cell>
        </row>
        <row r="33">
          <cell r="D33">
            <v>7677303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738677</v>
          </cell>
        </row>
        <row r="10">
          <cell r="D10">
            <v>991638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5528370</v>
          </cell>
        </row>
        <row r="13">
          <cell r="D13">
            <v>5295035</v>
          </cell>
        </row>
        <row r="17">
          <cell r="I17">
            <v>59737195</v>
          </cell>
        </row>
        <row r="19">
          <cell r="I19">
            <v>17192556</v>
          </cell>
        </row>
        <row r="20">
          <cell r="I20">
            <v>189495391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3403536</v>
          </cell>
        </row>
        <row r="21">
          <cell r="D21">
            <v>1810007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108093634</v>
          </cell>
        </row>
        <row r="10">
          <cell r="I10">
            <v>20146358</v>
          </cell>
        </row>
        <row r="15">
          <cell r="D15">
            <v>5271704</v>
          </cell>
        </row>
        <row r="19">
          <cell r="D19">
            <v>8640670</v>
          </cell>
        </row>
        <row r="20">
          <cell r="I20">
            <v>370071217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D10">
            <v>5781558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2597430</v>
          </cell>
        </row>
        <row r="64">
          <cell r="C64">
            <v>934271</v>
          </cell>
        </row>
        <row r="107">
          <cell r="E107">
            <v>49500</v>
          </cell>
        </row>
        <row r="144">
          <cell r="E144">
            <v>184250</v>
          </cell>
        </row>
        <row r="181">
          <cell r="E181">
            <v>49500</v>
          </cell>
        </row>
        <row r="214">
          <cell r="C214">
            <v>5312541</v>
          </cell>
        </row>
        <row r="253">
          <cell r="E253">
            <v>77000</v>
          </cell>
        </row>
        <row r="255">
          <cell r="C255">
            <v>4793924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18315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77330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10175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10175</v>
          </cell>
        </row>
        <row r="86">
          <cell r="C86">
            <v>1810007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E27">
            <v>20350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494548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2">
          <cell r="D22">
            <v>26870294.43</v>
          </cell>
        </row>
        <row r="26">
          <cell r="D26">
            <v>8519.99</v>
          </cell>
        </row>
        <row r="30">
          <cell r="D30">
            <v>309026.86</v>
          </cell>
        </row>
        <row r="34">
          <cell r="D34">
            <v>110843714.47</v>
          </cell>
        </row>
        <row r="35">
          <cell r="D35">
            <v>5867307.1600000001</v>
          </cell>
        </row>
        <row r="36">
          <cell r="D36">
            <v>107600997.72</v>
          </cell>
        </row>
        <row r="40">
          <cell r="I40">
            <v>246764712.54999998</v>
          </cell>
        </row>
        <row r="41">
          <cell r="I41">
            <v>67019940.729999997</v>
          </cell>
        </row>
        <row r="42">
          <cell r="I42">
            <v>98305218.700000003</v>
          </cell>
        </row>
        <row r="43">
          <cell r="I43">
            <v>81766828.189999998</v>
          </cell>
        </row>
        <row r="47">
          <cell r="I47">
            <v>92598048.179999992</v>
          </cell>
        </row>
        <row r="49">
          <cell r="I49">
            <v>69463450.939999998</v>
          </cell>
        </row>
        <row r="51">
          <cell r="I51">
            <v>50588293.590000004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D23">
            <v>10009.9</v>
          </cell>
        </row>
        <row r="39">
          <cell r="D39">
            <v>291167179.39999998</v>
          </cell>
        </row>
        <row r="40">
          <cell r="D40">
            <v>11355358.220000001</v>
          </cell>
        </row>
        <row r="41">
          <cell r="D41">
            <v>265180356.93000001</v>
          </cell>
        </row>
        <row r="45">
          <cell r="E45">
            <v>207923.20000000001</v>
          </cell>
        </row>
        <row r="49">
          <cell r="I49">
            <v>911343597.73000002</v>
          </cell>
        </row>
        <row r="50">
          <cell r="I50">
            <v>350930912.49000001</v>
          </cell>
        </row>
        <row r="51">
          <cell r="I51">
            <v>350443962.72000003</v>
          </cell>
        </row>
        <row r="52">
          <cell r="I52">
            <v>466378350.31999999</v>
          </cell>
        </row>
        <row r="56">
          <cell r="I56">
            <v>419907784.06</v>
          </cell>
        </row>
        <row r="58">
          <cell r="I58">
            <v>342290997.86000001</v>
          </cell>
        </row>
        <row r="60">
          <cell r="I60">
            <v>192859852.06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C27">
            <v>3689654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535">
          <cell r="C535">
            <v>1853955</v>
          </cell>
        </row>
        <row r="538">
          <cell r="C538">
            <v>167200</v>
          </cell>
        </row>
        <row r="646">
          <cell r="C646">
            <v>900000</v>
          </cell>
        </row>
        <row r="649">
          <cell r="C649">
            <v>21002713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91636942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7051967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13701026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C27">
            <v>7051967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8">
          <cell r="C18">
            <v>13701026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32614926</v>
          </cell>
        </row>
        <row r="11">
          <cell r="I11">
            <v>8501914</v>
          </cell>
        </row>
        <row r="12">
          <cell r="I12">
            <v>75562086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C23">
            <v>-925096</v>
          </cell>
        </row>
        <row r="24">
          <cell r="C24">
            <v>-925096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3393546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ENERO"/>
      <sheetName val="FEBRERO"/>
    </sheetNames>
    <sheetDataSet>
      <sheetData sheetId="0">
        <row r="22">
          <cell r="G22">
            <v>223236000</v>
          </cell>
        </row>
      </sheetData>
      <sheetData sheetId="1">
        <row r="22">
          <cell r="G22">
            <v>233532000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9">
          <cell r="G29">
            <v>51143454.690000005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INFO\PRESUPUESTO%20GASTOS%20FINANCIEROS_2021.xlsx" TargetMode="External" Id="rId1"/><Relationship Type="http://schemas.openxmlformats.org/officeDocument/2006/relationships/hyperlink" Target="INFO\PRESUPUESTO%20GASTOS%20FINANCIEROS_2021.xlsx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PLANTA%20GENERAL\COSTOS%20DEL%20PERSONAL%20PLANTA%20DESDE%20MARZO%202022.xlsx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CALI\COSTO%20MANIPULADORAS%20ZONA5%20-%20PAE%20CALI%202021.xlsx" TargetMode="Externa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INFO\Presupuesto%20transporte%202021.xls" TargetMode="External" Id="rId1"/><Relationship Type="http://schemas.openxmlformats.org/officeDocument/2006/relationships/hyperlink" Target="YUMBO\PROYECCION%20COSTOS%20YUMBO%20GAS-MTTO.xlsx" TargetMode="External" Id="rId2"/><Relationship Type="http://schemas.openxmlformats.org/officeDocument/2006/relationships/hyperlink" Target="INFO\FR-SST%2010%20Presupuesto%20UT%20YUMBO%202021.xls" TargetMode="External" Id="rId3"/><Relationship Type="http://schemas.openxmlformats.org/officeDocument/2006/relationships/hyperlink" Target="INFO\FR-SST%2010%20Presupuesto%20UT%20YUMBO%202021.xls" TargetMode="External" Id="rId4"/><Relationship Type="http://schemas.openxmlformats.org/officeDocument/2006/relationships/hyperlink" Target="YUMBO\PROYECCION%20COSTOS%20YUMBO%20GAS-MTTO.xlsx" TargetMode="External" Id="rId5"/><Relationship Type="http://schemas.openxmlformats.org/officeDocument/2006/relationships/hyperlink" Target="INFO\ASEO%20Y%20BIOSEGURIDAD%20CONTRATOS.xlsx" TargetMode="External" Id="rId6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NOMINA\INFORMACION%20ENTREGADA-FEB07\COMPARATIVO%20GASTOS%20FIJOS%20BUGA%20-MANIPULADORAS.xlsx" TargetMode="Externa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INFORMACION\PRESUPUESTO%20TECNICO%202020%20-%20PROYECTADO%20TOTAL.xlsx" TargetMode="External" Id="rId1"/><Relationship Type="http://schemas.openxmlformats.org/officeDocument/2006/relationships/hyperlink" Target="INFORMACION\PRESUPUESTO%20TECNICO%202020%20-%20PROYECTADO%20TOTAL.xlsx" TargetMode="External" Id="rId2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 codeName="Hoja4">
    <outlinePr summaryBelow="1" summaryRight="1"/>
    <pageSetUpPr/>
  </sheetPr>
  <dimension ref="A1:AA62"/>
  <sheetViews>
    <sheetView zoomScale="80" zoomScaleNormal="80" workbookViewId="0">
      <pane xSplit="1" ySplit="3" topLeftCell="B30" activePane="bottomRight" state="frozen"/>
      <selection activeCell="C17" sqref="C17"/>
      <selection pane="topRight" activeCell="C17" sqref="C17"/>
      <selection pane="bottomLeft" activeCell="C17" sqref="C17"/>
      <selection pane="bottomRight" activeCell="D4" sqref="D4:D13"/>
    </sheetView>
  </sheetViews>
  <sheetFormatPr baseColWidth="10" defaultRowHeight="14.4"/>
  <cols>
    <col width="23" customWidth="1" style="985" min="1" max="1"/>
    <col width="15.6640625" customWidth="1" style="985" min="2" max="2"/>
    <col width="7" customWidth="1" style="985" min="3" max="3"/>
    <col width="15.6640625" customWidth="1" style="985" min="4" max="4"/>
    <col width="10.5546875" customWidth="1" style="985" min="5" max="5"/>
    <col width="15.6640625" customWidth="1" style="985" min="6" max="6"/>
    <col width="9.44140625" customWidth="1" style="985" min="7" max="7"/>
    <col width="15.6640625" customWidth="1" style="985" min="8" max="8"/>
    <col width="8.109375" customWidth="1" style="985" min="9" max="9"/>
    <col width="15.6640625" customWidth="1" style="985" min="10" max="10"/>
    <col width="8.6640625" customWidth="1" style="985" min="11" max="11"/>
    <col width="15.6640625" customWidth="1" style="985" min="12" max="12"/>
    <col width="9.44140625" customWidth="1" style="985" min="13" max="13"/>
    <col width="15.6640625" customWidth="1" style="985" min="14" max="14"/>
    <col width="8.6640625" customWidth="1" style="985" min="15" max="15"/>
    <col width="15.6640625" customWidth="1" style="985" min="16" max="16"/>
    <col width="8.6640625" customWidth="1" style="985" min="17" max="17"/>
    <col width="15.6640625" customWidth="1" style="985" min="18" max="18"/>
    <col width="8.6640625" customWidth="1" style="985" min="19" max="19"/>
    <col width="15.6640625" customWidth="1" style="985" min="20" max="20"/>
    <col width="8.6640625" customWidth="1" style="985" min="21" max="21"/>
    <col width="15.6640625" customWidth="1" style="985" min="22" max="22"/>
    <col width="8.6640625" customWidth="1" style="985" min="23" max="23"/>
    <col width="15.6640625" customWidth="1" style="985" min="24" max="24"/>
    <col width="8.6640625" customWidth="1" style="985" min="25" max="25"/>
    <col width="17" bestFit="1" customWidth="1" style="985" min="26" max="26"/>
  </cols>
  <sheetData>
    <row r="1" ht="20.25" customHeight="1" s="985">
      <c r="A1" s="984" t="inlineStr">
        <is>
          <t>DISTRIBUCION PERSONAL OPERATIVO</t>
        </is>
      </c>
    </row>
    <row r="2">
      <c r="E2" s="142">
        <f>E5/2</f>
        <v/>
      </c>
      <c r="F2" s="142" t="n"/>
      <c r="G2" s="142">
        <f>G5/2</f>
        <v/>
      </c>
      <c r="H2" s="142" t="n"/>
      <c r="I2" s="142">
        <f>I5/2</f>
        <v/>
      </c>
      <c r="J2" s="142" t="n"/>
      <c r="K2" s="142">
        <f>K5/2</f>
        <v/>
      </c>
      <c r="L2" s="142" t="n"/>
      <c r="M2" s="142">
        <f>M5/2</f>
        <v/>
      </c>
      <c r="N2" s="142" t="n"/>
      <c r="O2" s="142">
        <f>O5/2</f>
        <v/>
      </c>
      <c r="P2" s="142" t="n"/>
      <c r="Q2" s="142">
        <f>Q5/2</f>
        <v/>
      </c>
      <c r="R2" s="142" t="n"/>
      <c r="S2" s="142">
        <f>S5/2</f>
        <v/>
      </c>
      <c r="T2" s="142" t="n"/>
      <c r="U2" s="142">
        <f>U5/2</f>
        <v/>
      </c>
      <c r="V2" s="142" t="n"/>
      <c r="W2" s="142">
        <f>W5/2</f>
        <v/>
      </c>
      <c r="X2" s="142" t="n"/>
      <c r="Y2" s="142" t="n"/>
    </row>
    <row r="3" ht="20.1" customHeight="1" s="985">
      <c r="A3" s="120" t="n"/>
      <c r="B3" s="128" t="inlineStr">
        <is>
          <t>ENE</t>
        </is>
      </c>
      <c r="C3" s="128" t="inlineStr">
        <is>
          <t>%</t>
        </is>
      </c>
      <c r="D3" s="128" t="inlineStr">
        <is>
          <t>FEB</t>
        </is>
      </c>
      <c r="E3" s="128" t="inlineStr">
        <is>
          <t>%</t>
        </is>
      </c>
      <c r="F3" s="128" t="inlineStr">
        <is>
          <t>MAR</t>
        </is>
      </c>
      <c r="G3" s="128" t="inlineStr">
        <is>
          <t>%</t>
        </is>
      </c>
      <c r="H3" s="129" t="inlineStr">
        <is>
          <t>ABR</t>
        </is>
      </c>
      <c r="I3" s="128" t="inlineStr">
        <is>
          <t>%</t>
        </is>
      </c>
      <c r="J3" s="129" t="inlineStr">
        <is>
          <t>MAY</t>
        </is>
      </c>
      <c r="K3" s="128" t="inlineStr">
        <is>
          <t>%</t>
        </is>
      </c>
      <c r="L3" s="129" t="inlineStr">
        <is>
          <t>JUN</t>
        </is>
      </c>
      <c r="M3" s="128" t="inlineStr">
        <is>
          <t>%</t>
        </is>
      </c>
      <c r="N3" s="129" t="inlineStr">
        <is>
          <t>JUL</t>
        </is>
      </c>
      <c r="O3" s="128" t="inlineStr">
        <is>
          <t>%</t>
        </is>
      </c>
      <c r="P3" s="129" t="inlineStr">
        <is>
          <t>AGO</t>
        </is>
      </c>
      <c r="Q3" s="128" t="inlineStr">
        <is>
          <t>%</t>
        </is>
      </c>
      <c r="R3" s="129" t="inlineStr">
        <is>
          <t>SEP</t>
        </is>
      </c>
      <c r="S3" s="128" t="inlineStr">
        <is>
          <t>%</t>
        </is>
      </c>
      <c r="T3" s="129" t="inlineStr">
        <is>
          <t>OCT</t>
        </is>
      </c>
      <c r="U3" s="128" t="inlineStr">
        <is>
          <t>%</t>
        </is>
      </c>
      <c r="V3" s="129" t="inlineStr">
        <is>
          <t>NOV</t>
        </is>
      </c>
      <c r="W3" s="128" t="inlineStr">
        <is>
          <t>%</t>
        </is>
      </c>
      <c r="X3" s="129" t="inlineStr">
        <is>
          <t>DIC</t>
        </is>
      </c>
      <c r="Y3" s="128" t="inlineStr">
        <is>
          <t>%</t>
        </is>
      </c>
    </row>
    <row r="4" ht="20.1" customHeight="1" s="985">
      <c r="A4" s="128" t="inlineStr">
        <is>
          <t>CALI</t>
        </is>
      </c>
      <c r="B4" s="124" t="n"/>
      <c r="C4" s="121" t="n">
        <v>0.1580263152796773</v>
      </c>
      <c r="D4" s="124" t="n"/>
      <c r="E4" s="121" t="n">
        <v>0.3507358881845311</v>
      </c>
      <c r="F4" s="124">
        <f>CALI!I$12</f>
        <v/>
      </c>
      <c r="G4" s="121">
        <f>F4/F$14</f>
        <v/>
      </c>
      <c r="H4" s="124">
        <f>CALI!L$12</f>
        <v/>
      </c>
      <c r="I4" s="121">
        <f>H4/H$14</f>
        <v/>
      </c>
      <c r="J4" s="124">
        <f>CALI!O$12</f>
        <v/>
      </c>
      <c r="K4" s="121">
        <f>J4/J$14</f>
        <v/>
      </c>
      <c r="L4" s="124">
        <f>CALI!R$12</f>
        <v/>
      </c>
      <c r="M4" s="121">
        <f>L4/L$14</f>
        <v/>
      </c>
      <c r="N4" s="124">
        <f>CALI!U$12</f>
        <v/>
      </c>
      <c r="O4" s="121">
        <f>N4/N$14</f>
        <v/>
      </c>
      <c r="P4" s="124">
        <f>CALI!X$12</f>
        <v/>
      </c>
      <c r="Q4" s="121">
        <f>P4/P$14</f>
        <v/>
      </c>
      <c r="R4" s="124">
        <f>CALI!AA$12</f>
        <v/>
      </c>
      <c r="S4" s="121">
        <f>R4/R$14</f>
        <v/>
      </c>
      <c r="T4" s="124">
        <f>CALI!AD$12</f>
        <v/>
      </c>
      <c r="U4" s="121">
        <f>T4/T$14</f>
        <v/>
      </c>
      <c r="V4" s="124">
        <f>CALI!AG$12</f>
        <v/>
      </c>
      <c r="W4" s="121">
        <f>V4/V$14</f>
        <v/>
      </c>
      <c r="X4" s="124">
        <f>CALI!AJ$12</f>
        <v/>
      </c>
      <c r="Y4" s="121">
        <f>X4/X$14</f>
        <v/>
      </c>
      <c r="Z4" s="142" t="n">
        <v>0.0823314738453476</v>
      </c>
    </row>
    <row r="5" ht="20.1" customHeight="1" s="985">
      <c r="A5" s="128" t="inlineStr">
        <is>
          <t>YUMBO</t>
        </is>
      </c>
      <c r="B5" s="124" t="n"/>
      <c r="C5" s="121" t="n">
        <v>0.09231560513132456</v>
      </c>
      <c r="D5" s="124" t="n"/>
      <c r="E5" s="121" t="n">
        <v>0.2158182182537991</v>
      </c>
      <c r="F5" s="124">
        <f>YUMBO!I$12</f>
        <v/>
      </c>
      <c r="G5" s="121">
        <f>F5/F$14</f>
        <v/>
      </c>
      <c r="H5" s="124">
        <f>YUMBO!L$12</f>
        <v/>
      </c>
      <c r="I5" s="121">
        <f>H5/H$14</f>
        <v/>
      </c>
      <c r="J5" s="124">
        <f>YUMBO!O$12</f>
        <v/>
      </c>
      <c r="K5" s="121">
        <f>J5/J$14</f>
        <v/>
      </c>
      <c r="L5" s="124">
        <f>YUMBO!R$12</f>
        <v/>
      </c>
      <c r="M5" s="121">
        <f>L5/L$14</f>
        <v/>
      </c>
      <c r="N5" s="124">
        <f>YUMBO!U$12</f>
        <v/>
      </c>
      <c r="O5" s="121">
        <f>N5/N$14</f>
        <v/>
      </c>
      <c r="P5" s="124">
        <f>YUMBO!X$12</f>
        <v/>
      </c>
      <c r="Q5" s="121">
        <f>P5/P$14</f>
        <v/>
      </c>
      <c r="R5" s="124">
        <f>YUMBO!AA$12</f>
        <v/>
      </c>
      <c r="S5" s="121">
        <f>R5/R$14</f>
        <v/>
      </c>
      <c r="T5" s="124">
        <f>YUMBO!AD$12</f>
        <v/>
      </c>
      <c r="U5" s="121">
        <f>T5/T$14</f>
        <v/>
      </c>
      <c r="V5" s="124">
        <f>YUMBO!AG$12</f>
        <v/>
      </c>
      <c r="W5" s="121">
        <f>V5/V$14</f>
        <v/>
      </c>
      <c r="X5" s="124">
        <f>YUMBO!AJ$12</f>
        <v/>
      </c>
      <c r="Y5" s="121">
        <f>X5/X$14</f>
        <v/>
      </c>
      <c r="Z5" s="142" t="n">
        <v>0.1546575691963978</v>
      </c>
    </row>
    <row r="6" ht="20.1" customHeight="1" s="985">
      <c r="A6" s="128" t="inlineStr">
        <is>
          <t>GOBERNACION</t>
        </is>
      </c>
      <c r="B6" s="124" t="n"/>
      <c r="C6" s="121" t="n">
        <v>0</v>
      </c>
      <c r="D6" s="122" t="n"/>
      <c r="E6" s="121" t="n">
        <v>0</v>
      </c>
      <c r="F6" s="122" t="n"/>
      <c r="G6" s="121">
        <f>F6/F$14</f>
        <v/>
      </c>
      <c r="H6" s="122" t="n"/>
      <c r="I6" s="121">
        <f>H6/H$14</f>
        <v/>
      </c>
      <c r="J6" s="122" t="n"/>
      <c r="K6" s="121">
        <f>J6/J$14</f>
        <v/>
      </c>
      <c r="L6" s="122" t="n"/>
      <c r="M6" s="121">
        <f>L6/L$14</f>
        <v/>
      </c>
      <c r="N6" s="122" t="n"/>
      <c r="O6" s="121">
        <f>N6/N$14</f>
        <v/>
      </c>
      <c r="P6" s="122" t="n"/>
      <c r="Q6" s="121">
        <f>P6/P$14</f>
        <v/>
      </c>
      <c r="R6" s="122" t="n"/>
      <c r="S6" s="121">
        <f>R6/R$14</f>
        <v/>
      </c>
      <c r="T6" s="122" t="n"/>
      <c r="U6" s="121">
        <f>T6/T$14</f>
        <v/>
      </c>
      <c r="V6" s="122" t="n"/>
      <c r="W6" s="121">
        <f>V6/V$14</f>
        <v/>
      </c>
      <c r="X6" s="122" t="n"/>
      <c r="Y6" s="121">
        <f>X6/X$14</f>
        <v/>
      </c>
      <c r="Z6" s="142" t="n">
        <v>0</v>
      </c>
    </row>
    <row r="7" ht="20.1" customHeight="1" s="985">
      <c r="A7" s="128" t="inlineStr">
        <is>
          <t>BUGA</t>
        </is>
      </c>
      <c r="B7" s="124" t="n"/>
      <c r="C7" s="121" t="n">
        <v>0</v>
      </c>
      <c r="D7" s="124" t="n"/>
      <c r="E7" s="121" t="n">
        <v>0</v>
      </c>
      <c r="F7" s="124" t="n"/>
      <c r="G7" s="121">
        <f>F7/F$14</f>
        <v/>
      </c>
      <c r="H7" s="124" t="n"/>
      <c r="I7" s="121">
        <f>H7/H$14</f>
        <v/>
      </c>
      <c r="J7" s="124" t="n"/>
      <c r="K7" s="121">
        <f>J7/J$14</f>
        <v/>
      </c>
      <c r="L7" s="124" t="n"/>
      <c r="M7" s="121">
        <f>L7/L$14</f>
        <v/>
      </c>
      <c r="N7" s="124" t="n"/>
      <c r="O7" s="121">
        <f>N7/N$14</f>
        <v/>
      </c>
      <c r="P7" s="124" t="n"/>
      <c r="Q7" s="121">
        <f>P7/P$14</f>
        <v/>
      </c>
      <c r="R7" s="124" t="n"/>
      <c r="S7" s="121">
        <f>R7/R$14</f>
        <v/>
      </c>
      <c r="T7" s="124" t="n"/>
      <c r="U7" s="121">
        <f>T7/T$14</f>
        <v/>
      </c>
      <c r="V7" s="124" t="n"/>
      <c r="W7" s="121">
        <f>V7/V$14</f>
        <v/>
      </c>
      <c r="X7" s="124" t="n"/>
      <c r="Y7" s="121">
        <f>X7/X$14</f>
        <v/>
      </c>
      <c r="Z7" s="142" t="n">
        <v>0</v>
      </c>
    </row>
    <row r="8" ht="20.1" customHeight="1" s="985">
      <c r="A8" s="129" t="inlineStr">
        <is>
          <t>HUNGRIA</t>
        </is>
      </c>
      <c r="B8" s="124" t="n"/>
      <c r="C8" s="121" t="n">
        <v>0</v>
      </c>
      <c r="D8" s="124" t="n"/>
      <c r="E8" s="121" t="n">
        <v>0</v>
      </c>
      <c r="F8" s="124">
        <f>HUNGRIA!I$12</f>
        <v/>
      </c>
      <c r="G8" s="121">
        <f>F8/F$14</f>
        <v/>
      </c>
      <c r="H8" s="124">
        <f>HUNGRIA!L$5</f>
        <v/>
      </c>
      <c r="I8" s="121">
        <f>H8/H$14</f>
        <v/>
      </c>
      <c r="J8" s="124">
        <f>HUNGRIA!O$5</f>
        <v/>
      </c>
      <c r="K8" s="121">
        <f>J8/J$14</f>
        <v/>
      </c>
      <c r="L8" s="124">
        <f>HUNGRIA!R$12</f>
        <v/>
      </c>
      <c r="M8" s="121">
        <f>L8/L$14</f>
        <v/>
      </c>
      <c r="N8" s="124">
        <f>HUNGRIA!U$12</f>
        <v/>
      </c>
      <c r="O8" s="121">
        <f>N8/N$14</f>
        <v/>
      </c>
      <c r="P8" s="124">
        <f>HUNGRIA!X$12</f>
        <v/>
      </c>
      <c r="Q8" s="121">
        <f>P8/P$14</f>
        <v/>
      </c>
      <c r="R8" s="124">
        <f>HUNGRIA!AA$12</f>
        <v/>
      </c>
      <c r="S8" s="121">
        <f>R8/R$14</f>
        <v/>
      </c>
      <c r="T8" s="124">
        <f>HUNGRIA!AD$12</f>
        <v/>
      </c>
      <c r="U8" s="121">
        <f>T8/T$14</f>
        <v/>
      </c>
      <c r="V8" s="124">
        <f>HUNGRIA!AG$12</f>
        <v/>
      </c>
      <c r="W8" s="121">
        <f>V8/V$14</f>
        <v/>
      </c>
      <c r="X8" s="124">
        <f>HUNGRIA!AJ$12</f>
        <v/>
      </c>
      <c r="Y8" s="121">
        <f>X8/X$14</f>
        <v/>
      </c>
      <c r="Z8" s="142" t="n"/>
    </row>
    <row r="9" ht="20.1" customHeight="1" s="985">
      <c r="A9" s="129" t="inlineStr">
        <is>
          <t>COMEDORES CALI</t>
        </is>
      </c>
      <c r="B9" s="124" t="n"/>
      <c r="C9" s="121" t="n">
        <v>0.7275737017679126</v>
      </c>
      <c r="D9" s="124" t="n"/>
      <c r="E9" s="121" t="n">
        <v>0.4231087297348518</v>
      </c>
      <c r="F9" s="124">
        <f>'COMEDORES CALI'!$I$12</f>
        <v/>
      </c>
      <c r="G9" s="121">
        <f>F9/F$14</f>
        <v/>
      </c>
      <c r="H9" s="124">
        <f>'COMEDORES CALI'!$L$12</f>
        <v/>
      </c>
      <c r="I9" s="121">
        <f>H9/H$14</f>
        <v/>
      </c>
      <c r="J9" s="124">
        <f>'COMEDORES CALI'!O$12</f>
        <v/>
      </c>
      <c r="K9" s="121">
        <f>J9/J$14</f>
        <v/>
      </c>
      <c r="L9" s="124">
        <f>'COMEDORES CALI'!R$12</f>
        <v/>
      </c>
      <c r="M9" s="121">
        <f>L9/L$14</f>
        <v/>
      </c>
      <c r="N9" s="124">
        <f>'COMEDORES CALI'!U$12</f>
        <v/>
      </c>
      <c r="O9" s="121">
        <f>N9/N$14</f>
        <v/>
      </c>
      <c r="P9" s="124">
        <f>'COMEDORES CALI'!X$12</f>
        <v/>
      </c>
      <c r="Q9" s="121">
        <f>P9/P$14</f>
        <v/>
      </c>
      <c r="R9" s="124">
        <f>'COMEDORES CALI'!AA$12</f>
        <v/>
      </c>
      <c r="S9" s="121">
        <f>R9/R$14</f>
        <v/>
      </c>
      <c r="T9" s="124">
        <f>'COMEDORES CALI'!AD$12</f>
        <v/>
      </c>
      <c r="U9" s="121">
        <f>T9/T$14</f>
        <v/>
      </c>
      <c r="V9" s="124">
        <f>'COMEDORES CALI'!AG$12</f>
        <v/>
      </c>
      <c r="W9" s="121">
        <f>V9/V$14</f>
        <v/>
      </c>
      <c r="X9" s="124">
        <f>'COMEDORES CALI'!AJ$12</f>
        <v/>
      </c>
      <c r="Y9" s="121">
        <f>X9/X$14</f>
        <v/>
      </c>
      <c r="Z9" s="142" t="n">
        <v>0.02828363972362814</v>
      </c>
    </row>
    <row r="10" ht="20.1" customHeight="1" s="985">
      <c r="A10" s="129" t="inlineStr">
        <is>
          <t>COMEDORES GOB</t>
        </is>
      </c>
      <c r="B10" s="124" t="n"/>
      <c r="C10" s="121" t="n"/>
      <c r="D10" s="124" t="n"/>
      <c r="E10" s="121" t="n"/>
      <c r="F10" s="124" t="n"/>
      <c r="G10" s="121">
        <f>F10/F$14</f>
        <v/>
      </c>
      <c r="H10" s="124" t="n"/>
      <c r="I10" s="121">
        <f>H10/H$14</f>
        <v/>
      </c>
      <c r="J10" s="124" t="n"/>
      <c r="K10" s="121">
        <f>J10/J$14</f>
        <v/>
      </c>
      <c r="L10" s="124" t="n"/>
      <c r="M10" s="121">
        <f>L10/L$14</f>
        <v/>
      </c>
      <c r="N10" s="124" t="n"/>
      <c r="O10" s="121">
        <f>N10/N$14</f>
        <v/>
      </c>
      <c r="P10" s="124" t="n"/>
      <c r="Q10" s="121">
        <f>P10/P$14</f>
        <v/>
      </c>
      <c r="R10" s="124" t="n"/>
      <c r="S10" s="121">
        <f>R10/R$14</f>
        <v/>
      </c>
      <c r="T10" s="124" t="n"/>
      <c r="U10" s="121">
        <f>T10/T$14</f>
        <v/>
      </c>
      <c r="V10" s="124" t="n"/>
      <c r="W10" s="121">
        <f>V10/V$14</f>
        <v/>
      </c>
      <c r="X10" s="124" t="n"/>
      <c r="Y10" s="121">
        <f>X10/X$14</f>
        <v/>
      </c>
      <c r="Z10" s="142" t="n">
        <v>0.001292907283032919</v>
      </c>
    </row>
    <row r="11" ht="20.1" customHeight="1" s="985">
      <c r="A11" s="390" t="inlineStr">
        <is>
          <t>COMEDORES PALMIRA</t>
        </is>
      </c>
      <c r="B11" s="124" t="n"/>
      <c r="C11" s="121" t="n">
        <v>0.02208437782108555</v>
      </c>
      <c r="D11" s="124" t="n"/>
      <c r="E11" s="121" t="n">
        <v>0.01033716382681805</v>
      </c>
      <c r="F11" s="124">
        <f>'COMEDORES PALMIRA'!I$12</f>
        <v/>
      </c>
      <c r="G11" s="121">
        <f>F11/F$14</f>
        <v/>
      </c>
      <c r="H11" s="124">
        <f>'COMEDORES PALMIRA'!L$12</f>
        <v/>
      </c>
      <c r="I11" s="121">
        <f>H11/H$14</f>
        <v/>
      </c>
      <c r="J11" s="124">
        <f>'COMEDORES PALMIRA'!O$12</f>
        <v/>
      </c>
      <c r="K11" s="121">
        <f>J11/J$14</f>
        <v/>
      </c>
      <c r="L11" s="124">
        <f>'COMEDORES PALMIRA'!R$12</f>
        <v/>
      </c>
      <c r="M11" s="121">
        <f>L11/L$14</f>
        <v/>
      </c>
      <c r="N11" s="124">
        <f>'COMEDORES PALMIRA'!U$12</f>
        <v/>
      </c>
      <c r="O11" s="121">
        <f>N11/N$14</f>
        <v/>
      </c>
      <c r="P11" s="124">
        <f>'COMEDORES PALMIRA'!X$12</f>
        <v/>
      </c>
      <c r="Q11" s="121">
        <f>P11/P$14</f>
        <v/>
      </c>
      <c r="R11" s="124">
        <f>'COMEDORES PALMIRA'!AA$12</f>
        <v/>
      </c>
      <c r="S11" s="121">
        <f>R11/R$14</f>
        <v/>
      </c>
      <c r="T11" s="124">
        <f>'COMEDORES PALMIRA'!AD$12</f>
        <v/>
      </c>
      <c r="U11" s="121">
        <f>T11/T$14</f>
        <v/>
      </c>
      <c r="V11" s="124">
        <f>'COMEDORES PALMIRA'!$AG$12</f>
        <v/>
      </c>
      <c r="W11" s="121">
        <f>V11/V$14</f>
        <v/>
      </c>
      <c r="X11" s="124">
        <f>'COMEDORES PALMIRA'!$AJ$12</f>
        <v/>
      </c>
      <c r="Y11" s="121">
        <f>X11/X$14</f>
        <v/>
      </c>
      <c r="Z11" s="142" t="n">
        <v>0.02904128339148543</v>
      </c>
    </row>
    <row r="12" ht="20.1" customHeight="1" s="985">
      <c r="A12" s="390" t="inlineStr">
        <is>
          <t>ADULTO MAYOR</t>
        </is>
      </c>
      <c r="B12" s="124" t="n"/>
      <c r="C12" s="121" t="n">
        <v>0</v>
      </c>
      <c r="D12" s="124" t="n"/>
      <c r="E12" s="121" t="n">
        <v>0</v>
      </c>
      <c r="F12" s="124">
        <f>'ADULTO MAYOR'!I$12*20</f>
        <v/>
      </c>
      <c r="G12" s="121">
        <f>F12/F$14</f>
        <v/>
      </c>
      <c r="H12" s="124">
        <f>'ADULTO MAYOR'!L$12*20</f>
        <v/>
      </c>
      <c r="I12" s="121">
        <f>H12/H$14</f>
        <v/>
      </c>
      <c r="J12" s="124">
        <f>'ADULTO MAYOR'!O$12*20</f>
        <v/>
      </c>
      <c r="K12" s="121">
        <f>J12/J$14</f>
        <v/>
      </c>
      <c r="L12" s="124">
        <f>'ADULTO MAYOR'!R$12*20</f>
        <v/>
      </c>
      <c r="M12" s="121">
        <f>L12/L$14</f>
        <v/>
      </c>
      <c r="N12" s="124">
        <f>'ADULTO MAYOR'!U$12*20</f>
        <v/>
      </c>
      <c r="O12" s="121">
        <f>N12/N$14</f>
        <v/>
      </c>
      <c r="P12" s="124">
        <f>'ADULTO MAYOR'!X$12*20</f>
        <v/>
      </c>
      <c r="Q12" s="121">
        <f>P12/P$14</f>
        <v/>
      </c>
      <c r="R12" s="124">
        <f>'ADULTO MAYOR'!AA$12*20</f>
        <v/>
      </c>
      <c r="S12" s="121">
        <f>R12/R$14</f>
        <v/>
      </c>
      <c r="T12" s="124">
        <f>'ADULTO MAYOR'!AD$12*20</f>
        <v/>
      </c>
      <c r="U12" s="121">
        <f>T12/T$14</f>
        <v/>
      </c>
      <c r="V12" s="124">
        <f>'ADULTO MAYOR'!AG$12*20</f>
        <v/>
      </c>
      <c r="W12" s="121">
        <f>V12/V$14</f>
        <v/>
      </c>
      <c r="X12" s="124">
        <f>'ADULTO MAYOR'!AJ$12*20</f>
        <v/>
      </c>
      <c r="Y12" s="121">
        <f>X12/X$14</f>
        <v/>
      </c>
      <c r="Z12" s="142" t="n">
        <v>0.6733633517673181</v>
      </c>
    </row>
    <row r="13" ht="20.1" customHeight="1" s="985">
      <c r="A13" s="390" t="inlineStr">
        <is>
          <t>IMDERTY</t>
        </is>
      </c>
      <c r="B13" s="124" t="n"/>
      <c r="C13" s="121" t="n">
        <v>0</v>
      </c>
      <c r="D13" s="124" t="n"/>
      <c r="E13" s="121" t="n">
        <v>0</v>
      </c>
      <c r="F13" s="124">
        <f>IMDERTY!I$12</f>
        <v/>
      </c>
      <c r="G13" s="121">
        <f>F13/F$14</f>
        <v/>
      </c>
      <c r="H13" s="124">
        <f>IMDERTY!L$12</f>
        <v/>
      </c>
      <c r="I13" s="121">
        <f>H13/H$14</f>
        <v/>
      </c>
      <c r="J13" s="124">
        <f>IMDERTY!O$12</f>
        <v/>
      </c>
      <c r="K13" s="121">
        <f>J13/J$14</f>
        <v/>
      </c>
      <c r="L13" s="124">
        <f>IMDERTY!R$12</f>
        <v/>
      </c>
      <c r="M13" s="121">
        <f>L13/L$14</f>
        <v/>
      </c>
      <c r="N13" s="124">
        <f>IMDERTY!$U$12</f>
        <v/>
      </c>
      <c r="O13" s="121">
        <f>N13/N$14</f>
        <v/>
      </c>
      <c r="P13" s="124">
        <f>IMDERTY!X$12</f>
        <v/>
      </c>
      <c r="Q13" s="121">
        <f>P13/P$14</f>
        <v/>
      </c>
      <c r="R13" s="122">
        <f>IMDERTY!AA$12</f>
        <v/>
      </c>
      <c r="S13" s="121">
        <f>R13/R$14</f>
        <v/>
      </c>
      <c r="T13" s="124">
        <f>IMDERTY!AD$12</f>
        <v/>
      </c>
      <c r="U13" s="121">
        <f>T13/T$14</f>
        <v/>
      </c>
      <c r="V13" s="124">
        <f>IMDERTY!AG$12</f>
        <v/>
      </c>
      <c r="W13" s="121">
        <f>V13/V$14</f>
        <v/>
      </c>
      <c r="X13" s="124">
        <f>IMDERTY!AJ$12</f>
        <v/>
      </c>
      <c r="Y13" s="121">
        <f>X13/X$14</f>
        <v/>
      </c>
      <c r="Z13" s="142" t="n">
        <v>0.03102977479279006</v>
      </c>
    </row>
    <row r="14" ht="20.1" customHeight="1" s="985">
      <c r="B14" s="131">
        <f>SUM(B4:B13)</f>
        <v/>
      </c>
      <c r="C14" s="130">
        <f>SUM(C4:C13)</f>
        <v/>
      </c>
      <c r="D14" s="131">
        <f>SUM(D4:D13)</f>
        <v/>
      </c>
      <c r="E14" s="130">
        <f>SUM(E4:E13)</f>
        <v/>
      </c>
      <c r="F14" s="131">
        <f>SUM(F4:F13)</f>
        <v/>
      </c>
      <c r="G14" s="130">
        <f>SUM(G4:G13)</f>
        <v/>
      </c>
      <c r="H14" s="131">
        <f>SUM(H4:H13)</f>
        <v/>
      </c>
      <c r="I14" s="130">
        <f>SUM(I4:I13)</f>
        <v/>
      </c>
      <c r="J14" s="131">
        <f>SUM(J4:J13)</f>
        <v/>
      </c>
      <c r="K14" s="130">
        <f>SUM(K4:K13)</f>
        <v/>
      </c>
      <c r="L14" s="131">
        <f>SUM(L4:L13)</f>
        <v/>
      </c>
      <c r="M14" s="130">
        <f>SUM(M4:M13)</f>
        <v/>
      </c>
      <c r="N14" s="131">
        <f>SUM(N4:N13)</f>
        <v/>
      </c>
      <c r="O14" s="130">
        <f>SUM(O4:O13)</f>
        <v/>
      </c>
      <c r="P14" s="131">
        <f>SUM(P4:P13)</f>
        <v/>
      </c>
      <c r="Q14" s="130">
        <f>SUM(Q4:Q13)</f>
        <v/>
      </c>
      <c r="R14" s="131">
        <f>SUM(R4:R13)</f>
        <v/>
      </c>
      <c r="S14" s="130">
        <f>SUM(S4:S13)</f>
        <v/>
      </c>
      <c r="T14" s="131">
        <f>SUM(T4:T13)</f>
        <v/>
      </c>
      <c r="U14" s="130">
        <f>SUM(U4:U13)</f>
        <v/>
      </c>
      <c r="V14" s="131">
        <f>SUM(V4:V13)</f>
        <v/>
      </c>
      <c r="W14" s="130">
        <f>SUM(W4:W13)</f>
        <v/>
      </c>
      <c r="X14" s="131">
        <f>SUM(X4:X13)</f>
        <v/>
      </c>
      <c r="Y14" s="130">
        <f>SUM(Y4:Y13)</f>
        <v/>
      </c>
    </row>
    <row r="16">
      <c r="F16" s="450" t="n"/>
      <c r="I16" s="449" t="n"/>
      <c r="J16" s="1001" t="n"/>
    </row>
    <row r="17" ht="15.6" customHeight="1" s="985">
      <c r="A17" s="364" t="inlineStr">
        <is>
          <t>DISTRIBUCION FLETES INTERNOS</t>
        </is>
      </c>
    </row>
    <row r="19" ht="20.1" customHeight="1" s="985">
      <c r="A19" s="120" t="n"/>
      <c r="B19" s="359" t="inlineStr">
        <is>
          <t>ENE</t>
        </is>
      </c>
      <c r="C19" s="359" t="n"/>
      <c r="D19" s="359" t="inlineStr">
        <is>
          <t>FEB</t>
        </is>
      </c>
      <c r="E19" s="359" t="n"/>
      <c r="F19" s="359" t="inlineStr">
        <is>
          <t>MAR</t>
        </is>
      </c>
      <c r="G19" s="359" t="n"/>
      <c r="H19" s="360" t="inlineStr">
        <is>
          <t>ABR</t>
        </is>
      </c>
      <c r="I19" s="359" t="n"/>
      <c r="J19" s="360" t="inlineStr">
        <is>
          <t>MAY</t>
        </is>
      </c>
      <c r="K19" s="359" t="n"/>
      <c r="L19" s="360" t="inlineStr">
        <is>
          <t>JUN</t>
        </is>
      </c>
      <c r="M19" s="359" t="n"/>
      <c r="N19" s="360" t="inlineStr">
        <is>
          <t>JUL</t>
        </is>
      </c>
      <c r="O19" s="359" t="n"/>
      <c r="P19" s="360" t="inlineStr">
        <is>
          <t>AGO</t>
        </is>
      </c>
      <c r="Q19" s="359" t="n"/>
      <c r="R19" s="360" t="inlineStr">
        <is>
          <t>SEP</t>
        </is>
      </c>
      <c r="S19" s="359" t="n"/>
      <c r="T19" s="360" t="inlineStr">
        <is>
          <t>OCT</t>
        </is>
      </c>
      <c r="U19" s="359" t="n"/>
      <c r="V19" s="360" t="inlineStr">
        <is>
          <t>NOV</t>
        </is>
      </c>
      <c r="W19" s="359" t="n"/>
      <c r="X19" s="360" t="inlineStr">
        <is>
          <t>DIC</t>
        </is>
      </c>
      <c r="Y19" s="359" t="n"/>
    </row>
    <row r="20" ht="20.1" customHeight="1" s="985">
      <c r="A20" s="359" t="inlineStr">
        <is>
          <t>CALI</t>
        </is>
      </c>
      <c r="B20" s="1002" t="n">
        <v>0.22</v>
      </c>
      <c r="C20" s="121" t="n"/>
      <c r="D20" s="1002" t="n">
        <v>0.6850000000000001</v>
      </c>
      <c r="E20" s="121" t="n"/>
      <c r="F20" s="1002" t="n">
        <v>0.64</v>
      </c>
      <c r="G20" s="123" t="n"/>
      <c r="H20" s="1002" t="n">
        <v>0.5649999999999999</v>
      </c>
      <c r="I20" s="121" t="n"/>
      <c r="J20" s="362" t="n">
        <v>0.47</v>
      </c>
      <c r="K20" s="121" t="n"/>
      <c r="L20" s="362" t="n">
        <v>0.6</v>
      </c>
      <c r="M20" s="121" t="n"/>
      <c r="N20" s="1002" t="n">
        <v>0.23</v>
      </c>
      <c r="O20" s="121" t="n"/>
      <c r="P20" s="1002" t="n">
        <v>0.495</v>
      </c>
      <c r="Q20" s="1003" t="n"/>
      <c r="R20" s="1002" t="n">
        <v>0.53</v>
      </c>
      <c r="S20" s="121" t="n"/>
      <c r="T20" s="1002" t="n">
        <v>0.38</v>
      </c>
      <c r="U20" s="121" t="n"/>
      <c r="V20" s="1002" t="n">
        <v>0.52</v>
      </c>
      <c r="W20" s="121" t="n"/>
      <c r="X20" s="362" t="n"/>
      <c r="Y20" s="121" t="n"/>
      <c r="AA20" s="362" t="n">
        <v>0.2</v>
      </c>
    </row>
    <row r="21" ht="20.1" customHeight="1" s="985">
      <c r="A21" s="359" t="inlineStr">
        <is>
          <t>YUMBO</t>
        </is>
      </c>
      <c r="B21" s="1002" t="n">
        <v>0.075</v>
      </c>
      <c r="C21" s="121" t="n"/>
      <c r="D21" s="1002" t="n">
        <v>0.2</v>
      </c>
      <c r="E21" s="121" t="n"/>
      <c r="F21" s="1002" t="n">
        <v>0.18</v>
      </c>
      <c r="G21" s="123" t="n"/>
      <c r="H21" s="1002" t="n">
        <v>0.19</v>
      </c>
      <c r="I21" s="121" t="n"/>
      <c r="J21" s="362" t="n">
        <v>0.19</v>
      </c>
      <c r="K21" s="121" t="n"/>
      <c r="L21" s="362" t="n">
        <v>0.09</v>
      </c>
      <c r="M21" s="121" t="n"/>
      <c r="N21" s="1002" t="n">
        <v>0.13</v>
      </c>
      <c r="O21" s="121" t="n"/>
      <c r="P21" s="1002" t="n">
        <v>0.175</v>
      </c>
      <c r="Q21" s="1003" t="n"/>
      <c r="R21" s="1002" t="n">
        <v>0.16</v>
      </c>
      <c r="S21" s="121" t="n"/>
      <c r="T21" s="1002" t="n">
        <v>0.12</v>
      </c>
      <c r="U21" s="121" t="n"/>
      <c r="V21" s="1002" t="n">
        <v>0.2</v>
      </c>
      <c r="W21" s="121" t="n"/>
      <c r="X21" s="362" t="n"/>
      <c r="Y21" s="121" t="n"/>
      <c r="AA21" s="362" t="n"/>
    </row>
    <row r="22" ht="20.1" customHeight="1" s="985">
      <c r="A22" s="359" t="inlineStr">
        <is>
          <t>GOBERNACION</t>
        </is>
      </c>
      <c r="B22" s="362" t="n"/>
      <c r="C22" s="121" t="n"/>
      <c r="D22" s="1002" t="n"/>
      <c r="E22" s="121" t="n"/>
      <c r="F22" s="1002" t="n"/>
      <c r="G22" s="123" t="n"/>
      <c r="H22" s="1002" t="n"/>
      <c r="I22" s="121" t="n"/>
      <c r="J22" s="1002" t="n"/>
      <c r="K22" s="121" t="n"/>
      <c r="L22" s="1002" t="n"/>
      <c r="M22" s="121" t="n"/>
      <c r="N22" s="362" t="n"/>
      <c r="O22" s="121" t="n"/>
      <c r="P22" s="1002" t="n"/>
      <c r="Q22" s="397" t="n"/>
      <c r="R22" s="1002" t="n"/>
      <c r="S22" s="121" t="n"/>
      <c r="T22" s="1002" t="n"/>
      <c r="U22" s="121" t="n"/>
      <c r="V22" s="1002" t="n"/>
      <c r="W22" s="121" t="n"/>
      <c r="X22" s="362" t="n"/>
      <c r="Y22" s="121" t="n"/>
      <c r="AA22" s="362" t="n"/>
    </row>
    <row r="23" ht="20.1" customHeight="1" s="985">
      <c r="A23" s="359" t="inlineStr">
        <is>
          <t>BUGA</t>
        </is>
      </c>
      <c r="B23" s="362" t="n">
        <v>0.015</v>
      </c>
      <c r="C23" s="121" t="n"/>
      <c r="D23" s="1002" t="n">
        <v>0.02</v>
      </c>
      <c r="E23" s="121" t="n"/>
      <c r="F23" s="1002" t="n">
        <v>0.02</v>
      </c>
      <c r="G23" s="123" t="n"/>
      <c r="H23" s="1002" t="n">
        <v>0.035</v>
      </c>
      <c r="I23" s="121" t="n"/>
      <c r="J23" s="362" t="n">
        <v>0.04</v>
      </c>
      <c r="K23" s="121" t="n"/>
      <c r="L23" s="362" t="n">
        <v>0.02</v>
      </c>
      <c r="M23" s="121" t="n"/>
      <c r="N23" s="362" t="n">
        <v>0.01</v>
      </c>
      <c r="O23" s="121" t="n"/>
      <c r="P23" s="1002" t="n">
        <v>0.015</v>
      </c>
      <c r="Q23" s="121" t="n"/>
      <c r="R23" s="1002" t="n">
        <v>0.01</v>
      </c>
      <c r="S23" s="121" t="n"/>
      <c r="T23" s="1002" t="n">
        <v>0.02</v>
      </c>
      <c r="U23" s="121" t="n"/>
      <c r="V23" s="1002" t="n">
        <v>0.01</v>
      </c>
      <c r="W23" s="121" t="n"/>
      <c r="X23" s="362" t="n"/>
      <c r="Y23" s="121" t="n"/>
      <c r="AA23" s="362" t="n">
        <v>0.15</v>
      </c>
    </row>
    <row r="24" ht="20.1" customHeight="1" s="985">
      <c r="A24" s="359" t="inlineStr">
        <is>
          <t>HUNGRIA</t>
        </is>
      </c>
      <c r="B24" s="362" t="n"/>
      <c r="C24" s="121" t="n"/>
      <c r="D24" s="1002" t="n"/>
      <c r="E24" s="121" t="n"/>
      <c r="F24" s="1002" t="n"/>
      <c r="G24" s="123" t="n"/>
      <c r="H24" s="1002" t="n"/>
      <c r="I24" s="121" t="n"/>
      <c r="J24" s="362" t="n"/>
      <c r="K24" s="121" t="n"/>
      <c r="L24" s="362" t="n"/>
      <c r="M24" s="121" t="n"/>
      <c r="N24" s="362" t="n"/>
      <c r="O24" s="121" t="n"/>
      <c r="P24" s="1002" t="n"/>
      <c r="Q24" s="397" t="n"/>
      <c r="R24" s="1002" t="n"/>
      <c r="S24" s="121" t="n"/>
      <c r="T24" s="1002" t="n"/>
      <c r="U24" s="121" t="n"/>
      <c r="V24" s="1002" t="n"/>
      <c r="W24" s="121" t="n"/>
      <c r="X24" s="362" t="n"/>
      <c r="Y24" s="121" t="n"/>
      <c r="AA24" s="362" t="n">
        <v>0.55</v>
      </c>
    </row>
    <row r="25" ht="20.1" customHeight="1" s="985">
      <c r="A25" s="359" t="inlineStr">
        <is>
          <t>COMEDORES CALI</t>
        </is>
      </c>
      <c r="B25" s="362" t="n">
        <v>0.67</v>
      </c>
      <c r="C25" s="121" t="n"/>
      <c r="D25" s="1002" t="n">
        <v>0.08500000000000001</v>
      </c>
      <c r="E25" s="121" t="n"/>
      <c r="F25" s="1002" t="n">
        <v>0.16</v>
      </c>
      <c r="G25" s="123" t="n"/>
      <c r="H25" s="1002" t="n">
        <v>0.175</v>
      </c>
      <c r="I25" s="121" t="n"/>
      <c r="J25" s="362" t="n">
        <v>0.1</v>
      </c>
      <c r="K25" s="121" t="n"/>
      <c r="L25" s="362" t="n">
        <v>0.09</v>
      </c>
      <c r="M25" s="121" t="n"/>
      <c r="N25" s="362" t="n">
        <v>0.32</v>
      </c>
      <c r="O25" s="121" t="n"/>
      <c r="P25" s="1002" t="n">
        <v>0.115</v>
      </c>
      <c r="Q25" s="1003" t="n"/>
      <c r="R25" s="1002" t="n">
        <v>0.13</v>
      </c>
      <c r="S25" s="121" t="n"/>
      <c r="T25" s="1002" t="n">
        <v>0.21</v>
      </c>
      <c r="U25" s="121" t="n"/>
      <c r="V25" s="1002" t="n">
        <v>0.09</v>
      </c>
      <c r="W25" s="121" t="n"/>
      <c r="X25" s="362" t="n">
        <v>0.89</v>
      </c>
      <c r="Y25" s="121" t="n"/>
      <c r="AA25" s="362" t="n"/>
    </row>
    <row r="26" ht="20.1" customHeight="1" s="985">
      <c r="A26" s="359" t="inlineStr">
        <is>
          <t>COMEDORES GOB</t>
        </is>
      </c>
      <c r="B26" s="362" t="n"/>
      <c r="C26" s="121" t="n"/>
      <c r="D26" s="1002" t="n"/>
      <c r="E26" s="121" t="n"/>
      <c r="F26" s="1002" t="n"/>
      <c r="G26" s="123" t="n"/>
      <c r="H26" s="1002" t="n"/>
      <c r="I26" s="121" t="n"/>
      <c r="J26" s="1002" t="n">
        <v>0.17</v>
      </c>
      <c r="K26" s="121" t="n"/>
      <c r="L26" s="1002" t="n">
        <v>0.15</v>
      </c>
      <c r="M26" s="121" t="n"/>
      <c r="N26" s="362" t="n">
        <v>0.25</v>
      </c>
      <c r="O26" s="121" t="n"/>
      <c r="P26" s="1002" t="n">
        <v>0.15</v>
      </c>
      <c r="Q26" s="1003" t="n"/>
      <c r="R26" s="1002" t="n">
        <v>0.13</v>
      </c>
      <c r="S26" s="121" t="n"/>
      <c r="T26" s="1002" t="n">
        <v>0.15</v>
      </c>
      <c r="U26" s="121" t="n"/>
      <c r="V26" s="1002" t="n">
        <v>0.15</v>
      </c>
      <c r="W26" s="121" t="n"/>
      <c r="X26" s="362" t="n"/>
      <c r="Y26" s="121" t="n"/>
      <c r="AA26" s="362" t="n">
        <v>0.04</v>
      </c>
    </row>
    <row r="27" ht="20.1" customHeight="1" s="985">
      <c r="A27" s="359" t="inlineStr">
        <is>
          <t>COMEDORES PALMIRA</t>
        </is>
      </c>
      <c r="B27" s="362" t="n">
        <v>0.02</v>
      </c>
      <c r="C27" s="121" t="n"/>
      <c r="D27" s="1002" t="n">
        <v>0.01</v>
      </c>
      <c r="E27" s="121" t="n"/>
      <c r="F27" s="1002" t="n"/>
      <c r="G27" s="123" t="n"/>
      <c r="H27" s="362" t="n"/>
      <c r="I27" s="121" t="n"/>
      <c r="J27" s="1002" t="n"/>
      <c r="K27" s="121" t="n"/>
      <c r="L27" s="1002" t="n"/>
      <c r="M27" s="121" t="n"/>
      <c r="N27" s="362" t="n">
        <v>0.01</v>
      </c>
      <c r="O27" s="121" t="n"/>
      <c r="P27" s="1002" t="n">
        <v>0.005</v>
      </c>
      <c r="Q27" s="1003" t="n"/>
      <c r="R27" s="1002" t="n">
        <v>0.03</v>
      </c>
      <c r="S27" s="121" t="n"/>
      <c r="T27" s="1002" t="n">
        <v>0.04</v>
      </c>
      <c r="U27" s="121" t="n"/>
      <c r="V27" s="1002" t="n">
        <v>0.03</v>
      </c>
      <c r="W27" s="121" t="n"/>
      <c r="X27" s="362" t="n">
        <v>0.11</v>
      </c>
      <c r="Y27" s="121" t="n"/>
      <c r="AA27" s="362" t="n"/>
    </row>
    <row r="28" ht="20.1" customHeight="1" s="985">
      <c r="A28" s="359" t="inlineStr">
        <is>
          <t>ADULTO MAYOR</t>
        </is>
      </c>
      <c r="B28" s="362" t="n"/>
      <c r="C28" s="121" t="n"/>
      <c r="D28" s="1002" t="n"/>
      <c r="E28" s="121" t="n"/>
      <c r="F28" s="1002" t="n"/>
      <c r="G28" s="123" t="n"/>
      <c r="H28" s="1002" t="n">
        <v>0.035</v>
      </c>
      <c r="I28" s="121" t="n"/>
      <c r="J28" s="362" t="n">
        <v>0.03</v>
      </c>
      <c r="K28" s="121" t="n"/>
      <c r="L28" s="362" t="n">
        <v>0.05</v>
      </c>
      <c r="M28" s="121" t="n"/>
      <c r="N28" s="362" t="n">
        <v>0.05</v>
      </c>
      <c r="O28" s="121" t="n"/>
      <c r="P28" s="1002" t="n">
        <v>0.045</v>
      </c>
      <c r="Q28" s="1003" t="n"/>
      <c r="R28" s="1002" t="n">
        <v>0.01</v>
      </c>
      <c r="S28" s="121" t="n"/>
      <c r="T28" s="362" t="n">
        <v>0.08</v>
      </c>
      <c r="U28" s="121" t="n"/>
      <c r="V28" s="1002" t="n"/>
      <c r="W28" s="121" t="n"/>
      <c r="X28" s="362" t="n"/>
      <c r="Y28" s="121" t="n"/>
      <c r="AA28" s="362" t="n"/>
    </row>
    <row r="29" ht="20.1" customHeight="1" s="985">
      <c r="A29" s="359" t="inlineStr">
        <is>
          <t>IMDERTY</t>
        </is>
      </c>
      <c r="B29" s="362" t="n"/>
      <c r="C29" s="121" t="n"/>
      <c r="D29" s="1002" t="n"/>
      <c r="E29" s="121" t="n"/>
      <c r="F29" s="1002" t="n"/>
      <c r="G29" s="123" t="n"/>
      <c r="H29" s="362" t="n"/>
      <c r="I29" s="121" t="n"/>
      <c r="J29" s="362" t="n"/>
      <c r="K29" s="121" t="n"/>
      <c r="L29" s="1002" t="n"/>
      <c r="M29" s="121" t="n"/>
      <c r="N29" s="1002" t="n"/>
      <c r="O29" s="121" t="n"/>
      <c r="P29" s="362" t="n"/>
      <c r="Q29" s="1003" t="n"/>
      <c r="R29" s="1002" t="n"/>
      <c r="S29" s="121" t="n"/>
      <c r="T29" s="1002" t="n"/>
      <c r="U29" s="121" t="n"/>
      <c r="V29" s="362" t="n"/>
      <c r="W29" s="121" t="n"/>
      <c r="X29" s="362" t="n"/>
      <c r="Y29" s="121" t="n"/>
      <c r="AA29" s="362" t="n"/>
    </row>
    <row r="30" ht="20.1" customHeight="1" s="985">
      <c r="B30" s="363">
        <f>SUM(B20:B29)</f>
        <v/>
      </c>
      <c r="C30" s="361" t="n"/>
      <c r="D30" s="1004">
        <f>SUM(D20:D29)</f>
        <v/>
      </c>
      <c r="E30" s="361" t="n"/>
      <c r="F30" s="363">
        <f>SUM(F20:F29)</f>
        <v/>
      </c>
      <c r="G30" s="361" t="n"/>
      <c r="H30" s="1004">
        <f>SUM(H20:H29)</f>
        <v/>
      </c>
      <c r="I30" s="361" t="n"/>
      <c r="J30" s="1004">
        <f>SUM(J20:J29)</f>
        <v/>
      </c>
      <c r="K30" s="361" t="n"/>
      <c r="L30" s="363">
        <f>SUM(L20:L29)</f>
        <v/>
      </c>
      <c r="M30" s="361" t="n"/>
      <c r="N30" s="1004">
        <f>SUM(N20:N29)</f>
        <v/>
      </c>
      <c r="O30" s="361" t="n"/>
      <c r="P30" s="1004">
        <f>SUM(P20:P29)</f>
        <v/>
      </c>
      <c r="Q30" s="361" t="n"/>
      <c r="R30" s="363">
        <f>SUM(R20:R29)</f>
        <v/>
      </c>
      <c r="S30" s="361" t="n"/>
      <c r="T30" s="363">
        <f>SUM(T20:T29)</f>
        <v/>
      </c>
      <c r="U30" s="361" t="n"/>
      <c r="V30" s="363">
        <f>SUM(V20:V29)</f>
        <v/>
      </c>
      <c r="W30" s="361" t="n"/>
      <c r="X30" s="363">
        <f>SUM(X20:X29)</f>
        <v/>
      </c>
      <c r="Y30" s="361" t="n"/>
    </row>
    <row r="31">
      <c r="S31" s="398" t="n"/>
    </row>
    <row r="33" ht="15.6" customHeight="1" s="985">
      <c r="A33" s="119" t="inlineStr">
        <is>
          <t>DISTRIBUCION PERSONAL ADMINISTRATIVO</t>
        </is>
      </c>
    </row>
    <row r="34">
      <c r="B34" s="125" t="n"/>
      <c r="C34" s="126" t="n"/>
      <c r="D34" s="125" t="n"/>
      <c r="E34" s="126" t="n"/>
      <c r="F34" s="125" t="n"/>
      <c r="G34" s="126" t="n"/>
      <c r="H34" s="125" t="n"/>
      <c r="I34" s="126" t="n"/>
      <c r="J34" s="125" t="n"/>
    </row>
    <row r="35" ht="20.1" customHeight="1" s="985">
      <c r="A35" s="120" t="n"/>
      <c r="B35" s="372" t="inlineStr">
        <is>
          <t>ENE</t>
        </is>
      </c>
      <c r="C35" s="372" t="n"/>
      <c r="D35" s="372" t="inlineStr">
        <is>
          <t>FEB</t>
        </is>
      </c>
      <c r="E35" s="372" t="n"/>
      <c r="F35" s="372" t="inlineStr">
        <is>
          <t>MAR</t>
        </is>
      </c>
      <c r="G35" s="372" t="n"/>
      <c r="H35" s="127" t="inlineStr">
        <is>
          <t>ABR</t>
        </is>
      </c>
      <c r="I35" s="372" t="n"/>
      <c r="J35" s="127" t="inlineStr">
        <is>
          <t>MAY</t>
        </is>
      </c>
      <c r="K35" s="372" t="n"/>
      <c r="L35" s="127" t="inlineStr">
        <is>
          <t>JUN</t>
        </is>
      </c>
      <c r="M35" s="372" t="n"/>
      <c r="N35" s="127" t="inlineStr">
        <is>
          <t>JUL</t>
        </is>
      </c>
      <c r="O35" s="372" t="n"/>
      <c r="P35" s="127" t="inlineStr">
        <is>
          <t>AGO</t>
        </is>
      </c>
      <c r="Q35" s="372" t="n"/>
      <c r="R35" s="127" t="inlineStr">
        <is>
          <t>SEP</t>
        </is>
      </c>
      <c r="S35" s="372" t="n"/>
      <c r="T35" s="127" t="inlineStr">
        <is>
          <t>OCT</t>
        </is>
      </c>
      <c r="U35" s="372" t="n"/>
      <c r="V35" s="127" t="inlineStr">
        <is>
          <t>NOV</t>
        </is>
      </c>
      <c r="W35" s="372" t="n"/>
      <c r="X35" s="127" t="inlineStr">
        <is>
          <t>DIC</t>
        </is>
      </c>
      <c r="Y35" s="372" t="n"/>
    </row>
    <row r="36" ht="20.1" customHeight="1" s="985">
      <c r="A36" s="372" t="inlineStr">
        <is>
          <t>CALI</t>
        </is>
      </c>
      <c r="B36" s="362">
        <f>C52</f>
        <v/>
      </c>
      <c r="C36" s="121" t="n"/>
      <c r="D36" s="362">
        <f>E52</f>
        <v/>
      </c>
      <c r="E36" s="121" t="n"/>
      <c r="F36" s="362">
        <f>G52</f>
        <v/>
      </c>
      <c r="G36" s="123" t="n"/>
      <c r="H36" s="362">
        <f>I52</f>
        <v/>
      </c>
      <c r="I36" s="121" t="n"/>
      <c r="J36" s="362">
        <f>K52</f>
        <v/>
      </c>
      <c r="K36" s="121" t="n"/>
      <c r="L36" s="362">
        <f>M52</f>
        <v/>
      </c>
      <c r="M36" s="121" t="n"/>
      <c r="N36" s="362">
        <f>O52</f>
        <v/>
      </c>
      <c r="O36" s="121" t="n"/>
      <c r="P36" s="362">
        <f>Q52</f>
        <v/>
      </c>
      <c r="Q36" s="121" t="n"/>
      <c r="R36" s="362">
        <f>S52</f>
        <v/>
      </c>
      <c r="S36" s="121" t="n"/>
      <c r="T36" s="362">
        <f>U52</f>
        <v/>
      </c>
      <c r="U36" s="121" t="n"/>
      <c r="V36" s="362">
        <f>W52</f>
        <v/>
      </c>
      <c r="W36" s="121" t="n"/>
      <c r="X36" s="362">
        <f>Y52</f>
        <v/>
      </c>
      <c r="Y36" s="121" t="n"/>
      <c r="Z36" s="423" t="n"/>
    </row>
    <row r="37" ht="20.1" customHeight="1" s="985">
      <c r="A37" s="372" t="inlineStr">
        <is>
          <t>YUMBO</t>
        </is>
      </c>
      <c r="B37" s="362">
        <f>C53</f>
        <v/>
      </c>
      <c r="C37" s="121" t="n"/>
      <c r="D37" s="362">
        <f>E53</f>
        <v/>
      </c>
      <c r="E37" s="121" t="n"/>
      <c r="F37" s="362">
        <f>G53</f>
        <v/>
      </c>
      <c r="G37" s="123" t="n"/>
      <c r="H37" s="362">
        <f>I53</f>
        <v/>
      </c>
      <c r="I37" s="121" t="n"/>
      <c r="J37" s="362">
        <f>K53</f>
        <v/>
      </c>
      <c r="K37" s="121" t="n"/>
      <c r="L37" s="362">
        <f>M53</f>
        <v/>
      </c>
      <c r="M37" s="121" t="n"/>
      <c r="N37" s="362">
        <f>O53</f>
        <v/>
      </c>
      <c r="O37" s="121" t="n"/>
      <c r="P37" s="362">
        <f>Q53</f>
        <v/>
      </c>
      <c r="Q37" s="121" t="n"/>
      <c r="R37" s="362">
        <f>S53</f>
        <v/>
      </c>
      <c r="S37" s="121" t="n"/>
      <c r="T37" s="362">
        <f>U53</f>
        <v/>
      </c>
      <c r="U37" s="121" t="n"/>
      <c r="V37" s="362">
        <f>W53</f>
        <v/>
      </c>
      <c r="W37" s="121" t="n"/>
      <c r="X37" s="362">
        <f>Y53</f>
        <v/>
      </c>
      <c r="Y37" s="121" t="n"/>
      <c r="Z37" s="423" t="n"/>
    </row>
    <row r="38" ht="20.1" customHeight="1" s="985">
      <c r="A38" s="372" t="inlineStr">
        <is>
          <t>GOBERNACION</t>
        </is>
      </c>
      <c r="B38" s="362">
        <f>C54</f>
        <v/>
      </c>
      <c r="C38" s="121" t="n"/>
      <c r="D38" s="362">
        <f>E54</f>
        <v/>
      </c>
      <c r="E38" s="121" t="n"/>
      <c r="F38" s="362">
        <f>G54</f>
        <v/>
      </c>
      <c r="G38" s="123" t="n"/>
      <c r="H38" s="362">
        <f>I54</f>
        <v/>
      </c>
      <c r="I38" s="121" t="n"/>
      <c r="J38" s="362">
        <f>K54</f>
        <v/>
      </c>
      <c r="K38" s="121" t="n"/>
      <c r="L38" s="362">
        <f>M54</f>
        <v/>
      </c>
      <c r="M38" s="121" t="n"/>
      <c r="N38" s="362">
        <f>O54</f>
        <v/>
      </c>
      <c r="O38" s="121" t="n"/>
      <c r="P38" s="362">
        <f>Q54</f>
        <v/>
      </c>
      <c r="Q38" s="121" t="n"/>
      <c r="R38" s="362">
        <f>S54</f>
        <v/>
      </c>
      <c r="S38" s="121" t="n"/>
      <c r="T38" s="362">
        <f>U54</f>
        <v/>
      </c>
      <c r="U38" s="121" t="n"/>
      <c r="V38" s="362">
        <f>W54</f>
        <v/>
      </c>
      <c r="W38" s="121" t="n"/>
      <c r="X38" s="362">
        <f>Y54</f>
        <v/>
      </c>
      <c r="Y38" s="121" t="n"/>
      <c r="Z38" s="423" t="n"/>
    </row>
    <row r="39" ht="20.1" customHeight="1" s="985">
      <c r="A39" s="372" t="inlineStr">
        <is>
          <t>BUGA</t>
        </is>
      </c>
      <c r="B39" s="362">
        <f>C55</f>
        <v/>
      </c>
      <c r="C39" s="121" t="n"/>
      <c r="D39" s="362">
        <f>E55</f>
        <v/>
      </c>
      <c r="E39" s="121" t="n"/>
      <c r="F39" s="362">
        <f>G55</f>
        <v/>
      </c>
      <c r="G39" s="123" t="n"/>
      <c r="H39" s="362">
        <f>I55</f>
        <v/>
      </c>
      <c r="I39" s="121" t="n"/>
      <c r="J39" s="362">
        <f>K55</f>
        <v/>
      </c>
      <c r="K39" s="121" t="n"/>
      <c r="L39" s="362">
        <f>M55</f>
        <v/>
      </c>
      <c r="M39" s="121" t="n"/>
      <c r="N39" s="362">
        <f>O55</f>
        <v/>
      </c>
      <c r="O39" s="121" t="n"/>
      <c r="P39" s="362">
        <f>Q55</f>
        <v/>
      </c>
      <c r="Q39" s="121" t="n"/>
      <c r="R39" s="362">
        <f>S55</f>
        <v/>
      </c>
      <c r="S39" s="121" t="n"/>
      <c r="T39" s="362">
        <f>U55</f>
        <v/>
      </c>
      <c r="U39" s="121" t="n"/>
      <c r="V39" s="362">
        <f>W55</f>
        <v/>
      </c>
      <c r="W39" s="121" t="n"/>
      <c r="X39" s="362">
        <f>Y55</f>
        <v/>
      </c>
      <c r="Y39" s="121" t="n"/>
      <c r="Z39" s="423" t="n"/>
    </row>
    <row r="40" ht="20.1" customHeight="1" s="985">
      <c r="A40" s="372" t="inlineStr">
        <is>
          <t>HUNGRIA</t>
        </is>
      </c>
      <c r="B40" s="362">
        <f>C56</f>
        <v/>
      </c>
      <c r="C40" s="121" t="n"/>
      <c r="D40" s="362">
        <f>E56</f>
        <v/>
      </c>
      <c r="E40" s="121" t="n"/>
      <c r="F40" s="362">
        <f>G56</f>
        <v/>
      </c>
      <c r="G40" s="123" t="n"/>
      <c r="H40" s="362">
        <f>I56</f>
        <v/>
      </c>
      <c r="I40" s="121" t="n"/>
      <c r="J40" s="362">
        <f>K56</f>
        <v/>
      </c>
      <c r="K40" s="121" t="n"/>
      <c r="L40" s="362">
        <f>M56</f>
        <v/>
      </c>
      <c r="M40" s="121" t="n"/>
      <c r="N40" s="362">
        <f>O56</f>
        <v/>
      </c>
      <c r="O40" s="121" t="n"/>
      <c r="P40" s="362">
        <f>Q56</f>
        <v/>
      </c>
      <c r="Q40" s="121" t="n"/>
      <c r="R40" s="362">
        <f>S56</f>
        <v/>
      </c>
      <c r="S40" s="121" t="n"/>
      <c r="T40" s="362">
        <f>U56</f>
        <v/>
      </c>
      <c r="U40" s="121" t="n"/>
      <c r="V40" s="362">
        <f>W56</f>
        <v/>
      </c>
      <c r="W40" s="121" t="n"/>
      <c r="X40" s="362">
        <f>Y56</f>
        <v/>
      </c>
      <c r="Y40" s="121" t="n"/>
      <c r="Z40" s="423" t="n"/>
    </row>
    <row r="41" ht="20.1" customHeight="1" s="985">
      <c r="A41" s="375" t="inlineStr">
        <is>
          <t>COMEDORES CALI</t>
        </is>
      </c>
      <c r="B41" s="362">
        <f>C57-B45</f>
        <v/>
      </c>
      <c r="C41" s="121" t="n"/>
      <c r="D41" s="362">
        <f>E57-D45</f>
        <v/>
      </c>
      <c r="E41" s="121" t="n"/>
      <c r="F41" s="362">
        <f>G57-F45</f>
        <v/>
      </c>
      <c r="G41" s="123" t="n"/>
      <c r="H41" s="362">
        <f>I57-H45</f>
        <v/>
      </c>
      <c r="I41" s="121" t="n"/>
      <c r="J41" s="362">
        <f>K57-J45</f>
        <v/>
      </c>
      <c r="K41" s="121" t="n"/>
      <c r="L41" s="362">
        <f>M57-L45</f>
        <v/>
      </c>
      <c r="M41" s="121" t="n"/>
      <c r="N41" s="362">
        <f>O57-N45</f>
        <v/>
      </c>
      <c r="O41" s="121" t="n"/>
      <c r="P41" s="362">
        <f>Q57-P45</f>
        <v/>
      </c>
      <c r="Q41" s="121" t="n"/>
      <c r="R41" s="362">
        <f>S57-R45</f>
        <v/>
      </c>
      <c r="S41" s="121" t="n"/>
      <c r="T41" s="362">
        <f>U57-T45</f>
        <v/>
      </c>
      <c r="U41" s="121" t="n"/>
      <c r="V41" s="362">
        <f>W57-V45</f>
        <v/>
      </c>
      <c r="W41" s="121" t="n"/>
      <c r="X41" s="362">
        <f>Y57-X45</f>
        <v/>
      </c>
      <c r="Y41" s="121" t="n"/>
      <c r="Z41" s="423" t="n"/>
    </row>
    <row r="42" ht="20.1" customHeight="1" s="985">
      <c r="A42" s="372" t="inlineStr">
        <is>
          <t>COMEDORES GOB</t>
        </is>
      </c>
      <c r="B42" s="362">
        <f>C58</f>
        <v/>
      </c>
      <c r="C42" s="121" t="n"/>
      <c r="D42" s="362">
        <f>E58</f>
        <v/>
      </c>
      <c r="E42" s="121" t="n"/>
      <c r="F42" s="362">
        <f>G58</f>
        <v/>
      </c>
      <c r="G42" s="123" t="n"/>
      <c r="H42" s="362">
        <f>I58</f>
        <v/>
      </c>
      <c r="I42" s="121" t="n"/>
      <c r="J42" s="362">
        <f>K58</f>
        <v/>
      </c>
      <c r="K42" s="121" t="n"/>
      <c r="L42" s="362">
        <f>M58</f>
        <v/>
      </c>
      <c r="M42" s="121" t="n"/>
      <c r="N42" s="362">
        <f>O58</f>
        <v/>
      </c>
      <c r="O42" s="121" t="n"/>
      <c r="P42" s="362">
        <f>Q58</f>
        <v/>
      </c>
      <c r="Q42" s="121" t="n"/>
      <c r="R42" s="362">
        <f>S58</f>
        <v/>
      </c>
      <c r="S42" s="121" t="n"/>
      <c r="T42" s="362">
        <f>U58</f>
        <v/>
      </c>
      <c r="U42" s="121" t="n"/>
      <c r="V42" s="362">
        <f>W58</f>
        <v/>
      </c>
      <c r="W42" s="121" t="n"/>
      <c r="X42" s="362">
        <f>Y58</f>
        <v/>
      </c>
      <c r="Y42" s="121" t="n"/>
    </row>
    <row r="43" ht="20.1" customHeight="1" s="985">
      <c r="A43" s="375" t="inlineStr">
        <is>
          <t>COMEDORES PALMIRA</t>
        </is>
      </c>
      <c r="B43" s="362">
        <f>C59</f>
        <v/>
      </c>
      <c r="C43" s="121" t="n"/>
      <c r="D43" s="362">
        <f>E59</f>
        <v/>
      </c>
      <c r="E43" s="121" t="n"/>
      <c r="F43" s="362">
        <f>G59</f>
        <v/>
      </c>
      <c r="G43" s="123" t="n"/>
      <c r="H43" s="362">
        <f>I59</f>
        <v/>
      </c>
      <c r="I43" s="121" t="n"/>
      <c r="J43" s="362">
        <f>K59</f>
        <v/>
      </c>
      <c r="K43" s="121" t="n"/>
      <c r="L43" s="362">
        <f>M59</f>
        <v/>
      </c>
      <c r="M43" s="121" t="n"/>
      <c r="N43" s="362">
        <f>O59</f>
        <v/>
      </c>
      <c r="O43" s="121" t="n"/>
      <c r="P43" s="362">
        <f>Q59</f>
        <v/>
      </c>
      <c r="Q43" s="121" t="n"/>
      <c r="R43" s="362">
        <f>S59</f>
        <v/>
      </c>
      <c r="S43" s="121" t="n"/>
      <c r="T43" s="362">
        <f>U59</f>
        <v/>
      </c>
      <c r="U43" s="121" t="n"/>
      <c r="V43" s="362">
        <f>W59</f>
        <v/>
      </c>
      <c r="W43" s="121" t="n"/>
      <c r="X43" s="362">
        <f>Y59</f>
        <v/>
      </c>
      <c r="Y43" s="121" t="n"/>
    </row>
    <row r="44" ht="20.1" customHeight="1" s="985">
      <c r="A44" s="375" t="inlineStr">
        <is>
          <t>ADULTO MAYOR</t>
        </is>
      </c>
      <c r="B44" s="362">
        <f>C60</f>
        <v/>
      </c>
      <c r="C44" s="121" t="n"/>
      <c r="D44" s="362">
        <f>E60</f>
        <v/>
      </c>
      <c r="E44" s="121" t="n"/>
      <c r="F44" s="362">
        <f>G60</f>
        <v/>
      </c>
      <c r="G44" s="123" t="n"/>
      <c r="H44" s="362">
        <f>I60</f>
        <v/>
      </c>
      <c r="I44" s="121" t="n"/>
      <c r="J44" s="362">
        <f>K60</f>
        <v/>
      </c>
      <c r="K44" s="121" t="n"/>
      <c r="L44" s="362">
        <f>M60</f>
        <v/>
      </c>
      <c r="M44" s="121" t="n"/>
      <c r="N44" s="362">
        <f>O60</f>
        <v/>
      </c>
      <c r="O44" s="121" t="n"/>
      <c r="P44" s="362">
        <f>Q60</f>
        <v/>
      </c>
      <c r="Q44" s="121" t="n"/>
      <c r="R44" s="362">
        <f>S60</f>
        <v/>
      </c>
      <c r="S44" s="121" t="n"/>
      <c r="T44" s="362">
        <f>U60</f>
        <v/>
      </c>
      <c r="U44" s="121" t="n"/>
      <c r="V44" s="362">
        <f>W60</f>
        <v/>
      </c>
      <c r="W44" s="121" t="n"/>
      <c r="X44" s="362">
        <f>Y60</f>
        <v/>
      </c>
      <c r="Y44" s="121" t="n"/>
    </row>
    <row r="45" ht="20.1" customHeight="1" s="985">
      <c r="A45" s="401" t="inlineStr">
        <is>
          <t>CTAS PPACION</t>
        </is>
      </c>
      <c r="B45" s="362" t="n">
        <v>0.01</v>
      </c>
      <c r="C45" s="121" t="n"/>
      <c r="D45" s="362" t="n">
        <v>0.01</v>
      </c>
      <c r="E45" s="121" t="n"/>
      <c r="F45" s="362" t="n">
        <v>0.01</v>
      </c>
      <c r="G45" s="123" t="n"/>
      <c r="H45" s="362" t="n">
        <v>0.01</v>
      </c>
      <c r="I45" s="121" t="n"/>
      <c r="J45" s="362" t="n">
        <v>0.01</v>
      </c>
      <c r="K45" s="121" t="n"/>
      <c r="L45" s="362" t="n">
        <v>0.01</v>
      </c>
      <c r="M45" s="121" t="n"/>
      <c r="N45" s="362" t="n">
        <v>0.01</v>
      </c>
      <c r="O45" s="121" t="n"/>
      <c r="P45" s="362" t="n">
        <v>0.01</v>
      </c>
      <c r="Q45" s="121" t="n"/>
      <c r="R45" s="362" t="n">
        <v>0.01</v>
      </c>
      <c r="S45" s="121" t="n"/>
      <c r="T45" s="362" t="n">
        <v>0.01</v>
      </c>
      <c r="U45" s="121" t="n"/>
      <c r="V45" s="362" t="n">
        <v>0.01</v>
      </c>
      <c r="W45" s="121" t="n"/>
      <c r="X45" s="362" t="n">
        <v>0.01</v>
      </c>
      <c r="Y45" s="121" t="n"/>
    </row>
    <row r="46" ht="20.1" customHeight="1" s="985">
      <c r="B46" s="373">
        <f>SUM(B36:B45)</f>
        <v/>
      </c>
      <c r="C46" s="374" t="n"/>
      <c r="D46" s="373">
        <f>SUM(D36:D45)</f>
        <v/>
      </c>
      <c r="E46" s="374" t="n"/>
      <c r="F46" s="373">
        <f>SUM(F36:F45)</f>
        <v/>
      </c>
      <c r="G46" s="374" t="n"/>
      <c r="H46" s="373">
        <f>SUM(H36:H45)</f>
        <v/>
      </c>
      <c r="I46" s="374" t="n"/>
      <c r="J46" s="373">
        <f>SUM(J36:J45)</f>
        <v/>
      </c>
      <c r="K46" s="374" t="n"/>
      <c r="L46" s="373">
        <f>SUM(L36:L45)</f>
        <v/>
      </c>
      <c r="M46" s="374" t="n"/>
      <c r="N46" s="373">
        <f>SUM(N36:N45)</f>
        <v/>
      </c>
      <c r="O46" s="373" t="n"/>
      <c r="P46" s="373">
        <f>SUM(P36:P45)</f>
        <v/>
      </c>
      <c r="Q46" s="373" t="n"/>
      <c r="R46" s="373">
        <f>SUM(R36:R45)</f>
        <v/>
      </c>
      <c r="S46" s="373" t="n"/>
      <c r="T46" s="373">
        <f>SUM(T36:T45)</f>
        <v/>
      </c>
      <c r="U46" s="373" t="n"/>
      <c r="V46" s="373">
        <f>SUM(V36:V45)</f>
        <v/>
      </c>
      <c r="W46" s="373" t="n"/>
      <c r="X46" s="373">
        <f>SUM(X36:X45)</f>
        <v/>
      </c>
      <c r="Y46" s="374" t="n"/>
    </row>
    <row r="49" ht="15.6" customHeight="1" s="985">
      <c r="A49" s="984" t="inlineStr">
        <is>
          <t>DISTRIBUCION GASTOS FINANCIEROS</t>
        </is>
      </c>
    </row>
    <row r="51" ht="20.1" customHeight="1" s="985">
      <c r="A51" s="120" t="n"/>
      <c r="B51" s="369" t="inlineStr">
        <is>
          <t>ENE</t>
        </is>
      </c>
      <c r="C51" s="369" t="inlineStr">
        <is>
          <t>%</t>
        </is>
      </c>
      <c r="D51" s="369" t="inlineStr">
        <is>
          <t>FEB</t>
        </is>
      </c>
      <c r="E51" s="369" t="inlineStr">
        <is>
          <t>%</t>
        </is>
      </c>
      <c r="F51" s="369" t="inlineStr">
        <is>
          <t>MAR</t>
        </is>
      </c>
      <c r="G51" s="369" t="inlineStr">
        <is>
          <t>%</t>
        </is>
      </c>
      <c r="H51" s="370" t="inlineStr">
        <is>
          <t>ABR</t>
        </is>
      </c>
      <c r="I51" s="369" t="inlineStr">
        <is>
          <t>%</t>
        </is>
      </c>
      <c r="J51" s="370" t="inlineStr">
        <is>
          <t>MAY</t>
        </is>
      </c>
      <c r="K51" s="369" t="inlineStr">
        <is>
          <t>%</t>
        </is>
      </c>
      <c r="L51" s="370" t="inlineStr">
        <is>
          <t>JUN</t>
        </is>
      </c>
      <c r="M51" s="369" t="inlineStr">
        <is>
          <t>%</t>
        </is>
      </c>
      <c r="N51" s="370" t="inlineStr">
        <is>
          <t>JUL</t>
        </is>
      </c>
      <c r="O51" s="369" t="inlineStr">
        <is>
          <t>%</t>
        </is>
      </c>
      <c r="P51" s="370" t="inlineStr">
        <is>
          <t>AGO</t>
        </is>
      </c>
      <c r="Q51" s="369" t="inlineStr">
        <is>
          <t>%</t>
        </is>
      </c>
      <c r="R51" s="370" t="inlineStr">
        <is>
          <t>SEP</t>
        </is>
      </c>
      <c r="S51" s="369" t="inlineStr">
        <is>
          <t>%</t>
        </is>
      </c>
      <c r="T51" s="370" t="inlineStr">
        <is>
          <t>OCT</t>
        </is>
      </c>
      <c r="U51" s="369" t="inlineStr">
        <is>
          <t>%</t>
        </is>
      </c>
      <c r="V51" s="370" t="inlineStr">
        <is>
          <t>NOV</t>
        </is>
      </c>
      <c r="W51" s="369" t="inlineStr">
        <is>
          <t>%</t>
        </is>
      </c>
      <c r="X51" s="370" t="inlineStr">
        <is>
          <t>DIC</t>
        </is>
      </c>
      <c r="Y51" s="369" t="inlineStr">
        <is>
          <t>%</t>
        </is>
      </c>
    </row>
    <row r="52" ht="20.1" customHeight="1" s="985">
      <c r="A52" s="369" t="inlineStr">
        <is>
          <t>CALI</t>
        </is>
      </c>
      <c r="B52" s="124" t="n"/>
      <c r="C52" s="121" t="n">
        <v>0.1346187955938014</v>
      </c>
      <c r="D52" s="122" t="n"/>
      <c r="E52" s="121" t="n">
        <v>0.2990442245774799</v>
      </c>
      <c r="F52" s="122">
        <f>CALI!$I$42</f>
        <v/>
      </c>
      <c r="G52" s="121">
        <f>F52/F$62</f>
        <v/>
      </c>
      <c r="H52" s="1005">
        <f>CALI!$L$42</f>
        <v/>
      </c>
      <c r="I52" s="121">
        <f>H52/H$62</f>
        <v/>
      </c>
      <c r="J52" s="122">
        <f>CALI!$O$42</f>
        <v/>
      </c>
      <c r="K52" s="121">
        <f>J52/J$62</f>
        <v/>
      </c>
      <c r="L52" s="122">
        <f>CALI!$R$42</f>
        <v/>
      </c>
      <c r="M52" s="121">
        <f>L52/L$62</f>
        <v/>
      </c>
      <c r="N52" s="122">
        <f>CALI!$U$42</f>
        <v/>
      </c>
      <c r="O52" s="121">
        <f>N52/N$62</f>
        <v/>
      </c>
      <c r="P52" s="122">
        <f>CALI!$X$42</f>
        <v/>
      </c>
      <c r="Q52" s="121">
        <f>P52/P$62</f>
        <v/>
      </c>
      <c r="R52" s="122">
        <f>CALI!$AA$42</f>
        <v/>
      </c>
      <c r="S52" s="121">
        <f>R52/R$62</f>
        <v/>
      </c>
      <c r="T52" s="122">
        <f>CALI!$AD$42</f>
        <v/>
      </c>
      <c r="U52" s="121">
        <f>T52/T$62</f>
        <v/>
      </c>
      <c r="V52" s="122">
        <f>CALI!$AG$42</f>
        <v/>
      </c>
      <c r="W52" s="121">
        <f>V52/V$62</f>
        <v/>
      </c>
      <c r="X52" s="122">
        <f>CALI!$AJ$42</f>
        <v/>
      </c>
      <c r="Y52" s="121">
        <f>X52/X$62</f>
        <v/>
      </c>
      <c r="Z52" s="798" t="n"/>
      <c r="AA52" s="1006" t="n"/>
    </row>
    <row r="53" ht="20.1" customHeight="1" s="985">
      <c r="A53" s="369" t="inlineStr">
        <is>
          <t>YUMBO</t>
        </is>
      </c>
      <c r="B53" s="124" t="n"/>
      <c r="C53" s="121" t="n">
        <v>0.08114911530609946</v>
      </c>
      <c r="D53" s="122" t="n"/>
      <c r="E53" s="121" t="n">
        <v>0.1912849176477693</v>
      </c>
      <c r="F53" s="122">
        <f>YUMBO!$I$42</f>
        <v/>
      </c>
      <c r="G53" s="121">
        <f>F53/F$62</f>
        <v/>
      </c>
      <c r="H53" s="1005">
        <f>YUMBO!$L$42</f>
        <v/>
      </c>
      <c r="I53" s="121">
        <f>H53/H$62</f>
        <v/>
      </c>
      <c r="J53" s="122">
        <f>YUMBO!$O$42</f>
        <v/>
      </c>
      <c r="K53" s="121">
        <f>J53/J$62</f>
        <v/>
      </c>
      <c r="L53" s="122">
        <f>YUMBO!$R$42</f>
        <v/>
      </c>
      <c r="M53" s="121">
        <f>L53/L$62</f>
        <v/>
      </c>
      <c r="N53" s="122">
        <f>YUMBO!$U$42</f>
        <v/>
      </c>
      <c r="O53" s="121">
        <f>N53/N$62</f>
        <v/>
      </c>
      <c r="P53" s="122">
        <f>YUMBO!$X$42</f>
        <v/>
      </c>
      <c r="Q53" s="121">
        <f>P53/P$62</f>
        <v/>
      </c>
      <c r="R53" s="122">
        <f>YUMBO!$AA$42</f>
        <v/>
      </c>
      <c r="S53" s="121">
        <f>R53/R$62</f>
        <v/>
      </c>
      <c r="T53" s="122">
        <f>YUMBO!$AD$42</f>
        <v/>
      </c>
      <c r="U53" s="121">
        <f>T53/T$62</f>
        <v/>
      </c>
      <c r="V53" s="122">
        <f>YUMBO!$AG$42</f>
        <v/>
      </c>
      <c r="W53" s="121">
        <f>V53/V$62</f>
        <v/>
      </c>
      <c r="X53" s="122">
        <f>YUMBO!$AJ$42</f>
        <v/>
      </c>
      <c r="Y53" s="121">
        <f>X53/X$62</f>
        <v/>
      </c>
      <c r="Z53" s="798" t="n"/>
      <c r="AA53" s="1006" t="n"/>
    </row>
    <row r="54" ht="20.1" customHeight="1" s="985">
      <c r="A54" s="369" t="inlineStr">
        <is>
          <t>GOBERNACION</t>
        </is>
      </c>
      <c r="B54" s="124" t="n"/>
      <c r="C54" s="121" t="n">
        <v>0</v>
      </c>
      <c r="D54" s="122" t="n"/>
      <c r="E54" s="121" t="n">
        <v>0</v>
      </c>
      <c r="F54" s="122" t="n"/>
      <c r="G54" s="121">
        <f>F54/F$62</f>
        <v/>
      </c>
      <c r="H54" s="1005" t="n"/>
      <c r="I54" s="121">
        <f>H54/H$62</f>
        <v/>
      </c>
      <c r="J54" s="122" t="n"/>
      <c r="K54" s="121">
        <f>J54/J$62</f>
        <v/>
      </c>
      <c r="L54" s="122" t="n"/>
      <c r="M54" s="121">
        <f>L54/L$62</f>
        <v/>
      </c>
      <c r="N54" s="122" t="n"/>
      <c r="O54" s="121">
        <f>N54/N$62</f>
        <v/>
      </c>
      <c r="P54" s="122" t="n"/>
      <c r="Q54" s="121">
        <f>P54/P$62</f>
        <v/>
      </c>
      <c r="R54" s="122" t="n"/>
      <c r="S54" s="121">
        <f>R54/R$62</f>
        <v/>
      </c>
      <c r="T54" s="122" t="n"/>
      <c r="U54" s="121">
        <f>T54/T$62</f>
        <v/>
      </c>
      <c r="V54" s="122" t="n"/>
      <c r="W54" s="121">
        <f>V54/V$62</f>
        <v/>
      </c>
      <c r="X54" s="122" t="n"/>
      <c r="Y54" s="121">
        <f>X54/X$62</f>
        <v/>
      </c>
      <c r="Z54" s="798" t="n"/>
      <c r="AA54" s="1006" t="n"/>
    </row>
    <row r="55" ht="20.1" customHeight="1" s="985">
      <c r="A55" s="369" t="inlineStr">
        <is>
          <t>BUGA</t>
        </is>
      </c>
      <c r="B55" s="124" t="n"/>
      <c r="C55" s="121" t="n">
        <v>0.09887078843627888</v>
      </c>
      <c r="D55" s="122" t="n"/>
      <c r="E55" s="121" t="n">
        <v>0.1194998010538489</v>
      </c>
      <c r="F55" s="122">
        <f>BUGA!$I$42</f>
        <v/>
      </c>
      <c r="G55" s="121">
        <f>F55/F$62</f>
        <v/>
      </c>
      <c r="H55" s="1005">
        <f>BUGA!L42</f>
        <v/>
      </c>
      <c r="I55" s="121">
        <f>H55/H$62</f>
        <v/>
      </c>
      <c r="J55" s="122">
        <f>BUGA!O42</f>
        <v/>
      </c>
      <c r="K55" s="121">
        <f>J55/J$62</f>
        <v/>
      </c>
      <c r="L55" s="122">
        <f>BUGA!R42</f>
        <v/>
      </c>
      <c r="M55" s="121">
        <f>L55/L$62</f>
        <v/>
      </c>
      <c r="N55" s="122">
        <f>BUGA!U42</f>
        <v/>
      </c>
      <c r="O55" s="121">
        <f>N55/N$62</f>
        <v/>
      </c>
      <c r="P55" s="122">
        <f>BUGA!X42</f>
        <v/>
      </c>
      <c r="Q55" s="121">
        <f>P55/P$62</f>
        <v/>
      </c>
      <c r="R55" s="122">
        <f>BUGA!AA42</f>
        <v/>
      </c>
      <c r="S55" s="121">
        <f>R55/R$62</f>
        <v/>
      </c>
      <c r="T55" s="122">
        <f>BUGA!AD42</f>
        <v/>
      </c>
      <c r="U55" s="121">
        <f>T55/T$62</f>
        <v/>
      </c>
      <c r="V55" s="122">
        <f>BUGA!AG42</f>
        <v/>
      </c>
      <c r="W55" s="121">
        <f>V55/V$62</f>
        <v/>
      </c>
      <c r="X55" s="122">
        <f>BUGA!AJ42</f>
        <v/>
      </c>
      <c r="Y55" s="121">
        <f>X55/X$62</f>
        <v/>
      </c>
      <c r="Z55" s="798" t="n"/>
      <c r="AA55" s="1006" t="n"/>
    </row>
    <row r="56" ht="20.1" customHeight="1" s="985">
      <c r="A56" s="370" t="inlineStr">
        <is>
          <t>HUNGRIA</t>
        </is>
      </c>
      <c r="B56" s="124" t="n"/>
      <c r="C56" s="121" t="n">
        <v>0</v>
      </c>
      <c r="D56" s="122" t="n"/>
      <c r="E56" s="121" t="n">
        <v>0</v>
      </c>
      <c r="F56" s="122">
        <f>HUNGRIA!I42</f>
        <v/>
      </c>
      <c r="G56" s="121">
        <f>F56/F$62</f>
        <v/>
      </c>
      <c r="H56" s="122">
        <f>HUNGRIA!L42</f>
        <v/>
      </c>
      <c r="I56" s="121">
        <f>H56/H$62</f>
        <v/>
      </c>
      <c r="J56" s="122">
        <f>HUNGRIA!O42</f>
        <v/>
      </c>
      <c r="K56" s="121">
        <f>J56/J$62</f>
        <v/>
      </c>
      <c r="L56" s="122">
        <f>HUNGRIA!R42</f>
        <v/>
      </c>
      <c r="M56" s="121">
        <f>L56/L$62</f>
        <v/>
      </c>
      <c r="N56" s="122">
        <f>HUNGRIA!U42</f>
        <v/>
      </c>
      <c r="O56" s="121">
        <f>N56/N$62</f>
        <v/>
      </c>
      <c r="P56" s="122">
        <f>HUNGRIA!X42</f>
        <v/>
      </c>
      <c r="Q56" s="121">
        <f>P56/P$62</f>
        <v/>
      </c>
      <c r="R56" s="122">
        <f>HUNGRIA!AA42</f>
        <v/>
      </c>
      <c r="S56" s="121">
        <f>R56/R$62</f>
        <v/>
      </c>
      <c r="T56" s="122">
        <f>HUNGRIA!AD42</f>
        <v/>
      </c>
      <c r="U56" s="121">
        <f>T56/T$62</f>
        <v/>
      </c>
      <c r="V56" s="122">
        <f>HUNGRIA!AG42</f>
        <v/>
      </c>
      <c r="W56" s="121">
        <f>V56/V$62</f>
        <v/>
      </c>
      <c r="X56" s="122">
        <f>HUNGRIA!AJ42</f>
        <v/>
      </c>
      <c r="Y56" s="121">
        <f>X56/X$62</f>
        <v/>
      </c>
      <c r="Z56" s="798" t="n"/>
      <c r="AA56" s="1006" t="n"/>
    </row>
    <row r="57" ht="20.1" customHeight="1" s="985">
      <c r="A57" s="370" t="inlineStr">
        <is>
          <t>COMEDORES CALI</t>
        </is>
      </c>
      <c r="B57" s="124" t="n"/>
      <c r="C57" s="121" t="n">
        <v>0.6652272402020626</v>
      </c>
      <c r="D57" s="124" t="n"/>
      <c r="E57" s="121" t="n">
        <v>0.3808160437524272</v>
      </c>
      <c r="F57" s="124">
        <f>'COMEDORES CALI'!I$42+'CTAS EN PPACION'!$I$42</f>
        <v/>
      </c>
      <c r="G57" s="121">
        <f>F57/F$62</f>
        <v/>
      </c>
      <c r="H57" s="124">
        <f>'COMEDORES CALI'!L$42+'CTAS EN PPACION'!L$42</f>
        <v/>
      </c>
      <c r="I57" s="121">
        <f>H57/H$62</f>
        <v/>
      </c>
      <c r="J57" s="124">
        <f>'COMEDORES CALI'!O$42+'CTAS EN PPACION'!$O$13</f>
        <v/>
      </c>
      <c r="K57" s="121">
        <f>J57/J$62</f>
        <v/>
      </c>
      <c r="L57" s="124">
        <f>'COMEDORES CALI'!R$42+'CTAS EN PPACION'!R$42</f>
        <v/>
      </c>
      <c r="M57" s="121">
        <f>L57/L$62</f>
        <v/>
      </c>
      <c r="N57" s="124">
        <f>'COMEDORES CALI'!U$42+'CTAS EN PPACION'!U$42</f>
        <v/>
      </c>
      <c r="O57" s="121">
        <f>N57/N$62</f>
        <v/>
      </c>
      <c r="P57" s="124">
        <f>'COMEDORES CALI'!X$42+'CTAS EN PPACION'!X$42</f>
        <v/>
      </c>
      <c r="Q57" s="121">
        <f>P57/P$62</f>
        <v/>
      </c>
      <c r="R57" s="124">
        <f>'COMEDORES CALI'!AA$42+'CTAS EN PPACION'!AA$42</f>
        <v/>
      </c>
      <c r="S57" s="121">
        <f>R57/R$62</f>
        <v/>
      </c>
      <c r="T57" s="124">
        <f>'COMEDORES CALI'!AD$42+'CTAS EN PPACION'!AD$42</f>
        <v/>
      </c>
      <c r="U57" s="121">
        <f>T57/T$62</f>
        <v/>
      </c>
      <c r="V57" s="124">
        <f>'COMEDORES CALI'!AG$42+'CTAS EN PPACION'!AG$42</f>
        <v/>
      </c>
      <c r="W57" s="121">
        <f>V57/V$62</f>
        <v/>
      </c>
      <c r="X57" s="124">
        <f>'COMEDORES CALI'!AJ$42+'CTAS EN PPACION'!AJ$42</f>
        <v/>
      </c>
      <c r="Y57" s="121">
        <f>X57/X$62</f>
        <v/>
      </c>
      <c r="Z57" s="798" t="n"/>
      <c r="AA57" s="1006" t="n"/>
    </row>
    <row r="58" ht="20.1" customHeight="1" s="985">
      <c r="A58" s="371" t="inlineStr">
        <is>
          <t>COMEDORES GOB</t>
        </is>
      </c>
      <c r="B58" s="124" t="n"/>
      <c r="C58" s="121" t="n">
        <v>0</v>
      </c>
      <c r="D58" s="124" t="n"/>
      <c r="E58" s="121" t="n">
        <v>0</v>
      </c>
      <c r="F58" s="124" t="n"/>
      <c r="G58" s="121">
        <f>F58/F$62</f>
        <v/>
      </c>
      <c r="H58" s="124" t="n"/>
      <c r="I58" s="121">
        <f>H58/H$62</f>
        <v/>
      </c>
      <c r="J58" s="124">
        <f>'COMEDORES VALLE'!O13</f>
        <v/>
      </c>
      <c r="K58" s="121">
        <f>J58/J$62</f>
        <v/>
      </c>
      <c r="L58" s="124">
        <f>'COMEDORES VALLE'!R13</f>
        <v/>
      </c>
      <c r="M58" s="121">
        <f>L58/L$62</f>
        <v/>
      </c>
      <c r="N58" s="124">
        <f>'COMEDORES VALLE'!U13</f>
        <v/>
      </c>
      <c r="O58" s="121">
        <f>N58/N$62</f>
        <v/>
      </c>
      <c r="P58" s="124">
        <f>'COMEDORES VALLE'!$X$13</f>
        <v/>
      </c>
      <c r="Q58" s="121">
        <f>P58/P$62</f>
        <v/>
      </c>
      <c r="R58" s="124">
        <f>'COMEDORES VALLE'!$AA$13</f>
        <v/>
      </c>
      <c r="S58" s="121">
        <f>R58/R$62</f>
        <v/>
      </c>
      <c r="T58" s="124">
        <f>'COMEDORES VALLE'!$AD$13</f>
        <v/>
      </c>
      <c r="U58" s="121">
        <f>T58/T$62</f>
        <v/>
      </c>
      <c r="V58" s="124">
        <f>'COMEDORES VALLE'!AG13</f>
        <v/>
      </c>
      <c r="W58" s="121">
        <f>V58/V$62</f>
        <v/>
      </c>
      <c r="X58" s="124" t="n"/>
      <c r="Y58" s="121">
        <f>X58/X$62</f>
        <v/>
      </c>
      <c r="Z58" s="798" t="n"/>
      <c r="AA58" s="1006" t="n"/>
    </row>
    <row r="59" ht="20.1" customHeight="1" s="985">
      <c r="A59" s="392" t="inlineStr">
        <is>
          <t>COMEDORES PALMIRA</t>
        </is>
      </c>
      <c r="B59" s="124" t="n"/>
      <c r="C59" s="121" t="n">
        <v>0.02013406046175775</v>
      </c>
      <c r="D59" s="124" t="n"/>
      <c r="E59" s="121" t="n">
        <v>0.009355012968474864</v>
      </c>
      <c r="F59" s="124">
        <f>'COMEDORES PALMIRA'!I$42</f>
        <v/>
      </c>
      <c r="G59" s="121">
        <f>F59/F$62</f>
        <v/>
      </c>
      <c r="H59" s="124">
        <f>'COMEDORES PALMIRA'!L$42</f>
        <v/>
      </c>
      <c r="I59" s="121">
        <f>H59/H$62</f>
        <v/>
      </c>
      <c r="J59" s="124">
        <f>'COMEDORES PALMIRA'!O$42</f>
        <v/>
      </c>
      <c r="K59" s="121">
        <f>J59/J$62</f>
        <v/>
      </c>
      <c r="L59" s="124">
        <f>'COMEDORES PALMIRA'!R$42</f>
        <v/>
      </c>
      <c r="M59" s="121">
        <f>L59/L$62</f>
        <v/>
      </c>
      <c r="N59" s="124">
        <f>'COMEDORES PALMIRA'!U$42</f>
        <v/>
      </c>
      <c r="O59" s="121">
        <f>N59/N$62</f>
        <v/>
      </c>
      <c r="P59" s="124">
        <f>'COMEDORES PALMIRA'!X$42</f>
        <v/>
      </c>
      <c r="Q59" s="121">
        <f>P59/P$62</f>
        <v/>
      </c>
      <c r="R59" s="124">
        <f>'COMEDORES PALMIRA'!AA$42</f>
        <v/>
      </c>
      <c r="S59" s="121">
        <f>R59/R$62</f>
        <v/>
      </c>
      <c r="T59" s="124">
        <f>'COMEDORES PALMIRA'!AD$42</f>
        <v/>
      </c>
      <c r="U59" s="121">
        <f>T59/T$62</f>
        <v/>
      </c>
      <c r="V59" s="124">
        <f>'COMEDORES PALMIRA'!AG$42</f>
        <v/>
      </c>
      <c r="W59" s="121">
        <f>V59/V$62</f>
        <v/>
      </c>
      <c r="X59" s="124">
        <f>'COMEDORES PALMIRA'!AJ$42</f>
        <v/>
      </c>
      <c r="Y59" s="121">
        <f>X59/X$62</f>
        <v/>
      </c>
      <c r="Z59" s="798" t="n"/>
      <c r="AA59" s="1006" t="n"/>
    </row>
    <row r="60" ht="20.1" customHeight="1" s="985">
      <c r="A60" s="392" t="inlineStr">
        <is>
          <t>ADULTO MAYOR</t>
        </is>
      </c>
      <c r="B60" s="122" t="n"/>
      <c r="C60" s="121" t="n">
        <v>0</v>
      </c>
      <c r="D60" s="122" t="n"/>
      <c r="E60" s="121" t="n">
        <v>0</v>
      </c>
      <c r="F60" s="122">
        <f>'ADULTO MAYOR'!I$42</f>
        <v/>
      </c>
      <c r="G60" s="121">
        <f>F60/F$62</f>
        <v/>
      </c>
      <c r="H60" s="122">
        <f>'ADULTO MAYOR'!L$42</f>
        <v/>
      </c>
      <c r="I60" s="121">
        <f>H60/H$62</f>
        <v/>
      </c>
      <c r="J60" s="122">
        <f>'ADULTO MAYOR'!O$42</f>
        <v/>
      </c>
      <c r="K60" s="121">
        <f>J60/J$62</f>
        <v/>
      </c>
      <c r="L60" s="122">
        <f>'ADULTO MAYOR'!R$42</f>
        <v/>
      </c>
      <c r="M60" s="121">
        <f>L60/L$62</f>
        <v/>
      </c>
      <c r="N60" s="122">
        <f>'ADULTO MAYOR'!U$42</f>
        <v/>
      </c>
      <c r="O60" s="121">
        <f>N60/N$62</f>
        <v/>
      </c>
      <c r="P60" s="122">
        <f>'ADULTO MAYOR'!X$42</f>
        <v/>
      </c>
      <c r="Q60" s="121">
        <f>P60/P$62</f>
        <v/>
      </c>
      <c r="R60" s="122">
        <f>'ADULTO MAYOR'!AA$42</f>
        <v/>
      </c>
      <c r="S60" s="121">
        <f>R60/R$62</f>
        <v/>
      </c>
      <c r="T60" s="122">
        <f>'ADULTO MAYOR'!AD$42</f>
        <v/>
      </c>
      <c r="U60" s="121">
        <f>T60/T$62</f>
        <v/>
      </c>
      <c r="V60" s="122">
        <f>'ADULTO MAYOR'!AG$42</f>
        <v/>
      </c>
      <c r="W60" s="121">
        <f>V60/V$62</f>
        <v/>
      </c>
      <c r="X60" s="122">
        <f>'ADULTO MAYOR'!AJ$42</f>
        <v/>
      </c>
      <c r="Y60" s="121">
        <f>X60/X$62</f>
        <v/>
      </c>
      <c r="Z60" s="798" t="n"/>
      <c r="AA60" s="1006" t="n"/>
    </row>
    <row r="61" ht="20.1" customHeight="1" s="985">
      <c r="A61" s="392" t="inlineStr">
        <is>
          <t>IMDERTY</t>
        </is>
      </c>
      <c r="B61" s="122" t="n"/>
      <c r="C61" s="121" t="n">
        <v>0</v>
      </c>
      <c r="D61" s="122" t="n"/>
      <c r="E61" s="121" t="n">
        <v>0</v>
      </c>
      <c r="F61" s="122">
        <f>IMDERTY!I$42</f>
        <v/>
      </c>
      <c r="G61" s="121">
        <f>F61/F$62</f>
        <v/>
      </c>
      <c r="H61" s="122">
        <f>IMDERTY!L$42</f>
        <v/>
      </c>
      <c r="I61" s="121">
        <f>H61/H$62</f>
        <v/>
      </c>
      <c r="J61" s="122" t="n"/>
      <c r="K61" s="121">
        <f>J61/J$62</f>
        <v/>
      </c>
      <c r="L61" s="122">
        <f>IMDERTY!R$42</f>
        <v/>
      </c>
      <c r="M61" s="121">
        <f>L61/L$62</f>
        <v/>
      </c>
      <c r="N61" s="122">
        <f>IMDERTY!U$42</f>
        <v/>
      </c>
      <c r="O61" s="121">
        <f>N61/N$62</f>
        <v/>
      </c>
      <c r="P61" s="122">
        <f>IMDERTY!X$42</f>
        <v/>
      </c>
      <c r="Q61" s="121">
        <f>P61/P$62</f>
        <v/>
      </c>
      <c r="R61" s="122">
        <f>IMDERTY!AA$42</f>
        <v/>
      </c>
      <c r="S61" s="121">
        <f>R61/R$62</f>
        <v/>
      </c>
      <c r="T61" s="122">
        <f>IMDERTY!AD$42</f>
        <v/>
      </c>
      <c r="U61" s="121">
        <f>T61/T$62</f>
        <v/>
      </c>
      <c r="V61" s="122">
        <f>IMDERTY!AG$42</f>
        <v/>
      </c>
      <c r="W61" s="121">
        <f>V61/V$62</f>
        <v/>
      </c>
      <c r="X61" s="122">
        <f>IMDERTY!AJ$42</f>
        <v/>
      </c>
      <c r="Y61" s="121">
        <f>X61/X$62</f>
        <v/>
      </c>
      <c r="Z61" s="798" t="n"/>
      <c r="AA61" s="1006" t="n"/>
    </row>
    <row r="62" ht="20.1" customHeight="1" s="985">
      <c r="B62" s="376">
        <f>SUM(B52:B61)</f>
        <v/>
      </c>
      <c r="C62" s="377">
        <f>SUM(C52:C61)</f>
        <v/>
      </c>
      <c r="D62" s="376">
        <f>SUM(D52:D61)</f>
        <v/>
      </c>
      <c r="E62" s="377">
        <f>SUM(E52:E61)</f>
        <v/>
      </c>
      <c r="F62" s="376">
        <f>SUM(F52:F61)</f>
        <v/>
      </c>
      <c r="G62" s="377">
        <f>SUM(G52:G61)</f>
        <v/>
      </c>
      <c r="H62" s="376">
        <f>SUM(H52:H61)</f>
        <v/>
      </c>
      <c r="I62" s="377">
        <f>SUM(I52:I61)</f>
        <v/>
      </c>
      <c r="J62" s="376">
        <f>SUM(J52:J61)</f>
        <v/>
      </c>
      <c r="K62" s="377">
        <f>SUM(K52:K61)</f>
        <v/>
      </c>
      <c r="L62" s="376">
        <f>SUM(L52:L61)</f>
        <v/>
      </c>
      <c r="M62" s="377">
        <f>SUM(M52:M61)</f>
        <v/>
      </c>
      <c r="N62" s="376">
        <f>SUM(N52:N61)</f>
        <v/>
      </c>
      <c r="O62" s="377">
        <f>SUM(O52:O61)</f>
        <v/>
      </c>
      <c r="P62" s="376">
        <f>SUM(P52:P61)</f>
        <v/>
      </c>
      <c r="Q62" s="377">
        <f>SUM(Q52:Q61)</f>
        <v/>
      </c>
      <c r="R62" s="376">
        <f>SUM(R52:R61)</f>
        <v/>
      </c>
      <c r="S62" s="377">
        <f>SUM(S52:S61)</f>
        <v/>
      </c>
      <c r="T62" s="376">
        <f>SUM(T52:T61)</f>
        <v/>
      </c>
      <c r="U62" s="377">
        <f>SUM(U52:U61)</f>
        <v/>
      </c>
      <c r="V62" s="376">
        <f>SUM(V52:V61)</f>
        <v/>
      </c>
      <c r="W62" s="377">
        <f>SUM(W52:W61)</f>
        <v/>
      </c>
      <c r="X62" s="376">
        <f>SUM(X52:X61)</f>
        <v/>
      </c>
      <c r="Y62" s="377">
        <f>SUM(Y52:Y61)</f>
        <v/>
      </c>
      <c r="Z62" s="798" t="n"/>
    </row>
  </sheetData>
  <mergeCells count="2">
    <mergeCell ref="A49:F49"/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Hoja7">
    <outlinePr summaryBelow="1" summaryRight="1"/>
    <pageSetUpPr/>
  </sheetPr>
  <dimension ref="A1:CD234"/>
  <sheetViews>
    <sheetView tabSelected="1" zoomScaleNormal="100" workbookViewId="0">
      <pane xSplit="3" ySplit="5" topLeftCell="D44" activePane="bottomRight" state="frozen"/>
      <selection pane="topRight" activeCell="D1" sqref="D1"/>
      <selection pane="bottomLeft" activeCell="A6" sqref="A6"/>
      <selection pane="bottomRight" activeCell="E58" sqref="B57:E58"/>
    </sheetView>
  </sheetViews>
  <sheetFormatPr baseColWidth="10" defaultColWidth="11.44140625" defaultRowHeight="15" customHeight="1"/>
  <cols>
    <col width="6" customWidth="1" style="776" min="1" max="1"/>
    <col width="50.33203125" customWidth="1" style="983" min="2" max="2"/>
    <col width="15.33203125" customWidth="1" style="980" min="3" max="4"/>
    <col width="18" bestFit="1" customWidth="1" style="980" min="5" max="5"/>
    <col width="15.33203125" customWidth="1" style="980" min="6" max="7"/>
    <col width="15.33203125" customWidth="1" style="981" min="8" max="13"/>
    <col width="16.6640625" customWidth="1" style="981" min="14" max="14"/>
    <col width="17.88671875" customWidth="1" style="980" min="15" max="15"/>
    <col width="6" customWidth="1" style="768" min="16" max="16"/>
    <col width="11.44140625" customWidth="1" style="983" min="17" max="21"/>
    <col width="11.44140625" customWidth="1" style="983" min="22" max="16384"/>
  </cols>
  <sheetData>
    <row r="1" ht="11.4" customHeight="1" s="985"/>
    <row r="2" ht="14.25" customHeight="1" s="985">
      <c r="B2" s="1007" t="inlineStr">
        <is>
          <t xml:space="preserve">CORPORACIÓN HACIA UN VALLE SOLIDARIO </t>
        </is>
      </c>
      <c r="C2" s="979" t="inlineStr">
        <is>
          <t>GASTOS ADMINISTRATIVOS 2026</t>
        </is>
      </c>
    </row>
    <row r="3" ht="24" customHeight="1" s="985"/>
    <row r="4" ht="24.9" customFormat="1" customHeight="1" s="109">
      <c r="A4" s="777" t="n"/>
      <c r="B4" s="516" t="n"/>
      <c r="C4" s="477" t="inlineStr">
        <is>
          <t>ENE</t>
        </is>
      </c>
      <c r="D4" s="477" t="inlineStr">
        <is>
          <t>FEB</t>
        </is>
      </c>
      <c r="E4" s="477" t="inlineStr">
        <is>
          <t>MAR</t>
        </is>
      </c>
      <c r="F4" s="477" t="inlineStr">
        <is>
          <t>ABR</t>
        </is>
      </c>
      <c r="G4" s="477" t="inlineStr">
        <is>
          <t>MAY</t>
        </is>
      </c>
      <c r="H4" s="477" t="inlineStr">
        <is>
          <t>JUN</t>
        </is>
      </c>
      <c r="I4" s="610" t="inlineStr">
        <is>
          <t>JUL</t>
        </is>
      </c>
      <c r="J4" s="610" t="inlineStr">
        <is>
          <t>AGO</t>
        </is>
      </c>
      <c r="K4" s="610" t="inlineStr">
        <is>
          <t>SEP</t>
        </is>
      </c>
      <c r="L4" s="610" t="inlineStr">
        <is>
          <t>OCT</t>
        </is>
      </c>
      <c r="M4" s="610" t="inlineStr">
        <is>
          <t>NOV</t>
        </is>
      </c>
      <c r="N4" s="610" t="inlineStr">
        <is>
          <t>DIC</t>
        </is>
      </c>
      <c r="O4" s="477" t="inlineStr">
        <is>
          <t>ACUMULADO</t>
        </is>
      </c>
      <c r="P4" s="769" t="n"/>
    </row>
    <row r="5" ht="15" customFormat="1" customHeight="1" s="116">
      <c r="A5" s="778" t="n"/>
      <c r="B5" s="157" t="inlineStr">
        <is>
          <t>GASTOS DE PERSONAL</t>
        </is>
      </c>
      <c r="C5" s="111">
        <f>SUM(C6:C12)</f>
        <v/>
      </c>
      <c r="D5" s="973">
        <f>SUM(D6:D12)</f>
        <v/>
      </c>
      <c r="E5" s="111">
        <f>SUM(E6:E12)</f>
        <v/>
      </c>
      <c r="F5" s="111">
        <f>SUM(F6:F12)</f>
        <v/>
      </c>
      <c r="G5" s="111">
        <f>SUM(G6:G12)</f>
        <v/>
      </c>
      <c r="H5" s="111">
        <f>SUM(H6:H12)</f>
        <v/>
      </c>
      <c r="I5" s="111">
        <f>SUM(I6:I12)</f>
        <v/>
      </c>
      <c r="J5" s="111">
        <f>SUM(J6:J12)</f>
        <v/>
      </c>
      <c r="K5" s="111">
        <f>SUM(K6:K12)</f>
        <v/>
      </c>
      <c r="L5" s="111">
        <f>SUM(L6:L12)</f>
        <v/>
      </c>
      <c r="M5" s="111">
        <f>SUM(M6:M12)</f>
        <v/>
      </c>
      <c r="N5" s="111">
        <f>SUM(N6:N12)</f>
        <v/>
      </c>
      <c r="O5" s="111">
        <f>SUM(O6:O12)</f>
        <v/>
      </c>
      <c r="P5" s="770" t="n"/>
    </row>
    <row r="6" ht="12.9" customHeight="1" s="985">
      <c r="A6" s="779" t="inlineStr">
        <is>
          <t xml:space="preserve">5105                </t>
        </is>
      </c>
      <c r="B6" s="472" t="inlineStr">
        <is>
          <t>Salarios</t>
        </is>
      </c>
      <c r="C6" s="169">
        <f>'[1]Hoja 1'!$I$9-921014+'[2]Hoja 1'!$I$9+'[3]Hoja 1'!$D$8</f>
        <v/>
      </c>
      <c r="D6" s="169">
        <f>'[4]Hoja 1'!$L$8-6457629+'[5]Hoja 1'!$I$9+'[6]Hoja 1'!$D$8+'[7]Hoja 1'!$D$10+'[8]Hoja 1'!$I$9</f>
        <v/>
      </c>
      <c r="E6" s="169" t="n">
        <v>241842440</v>
      </c>
      <c r="F6" s="169" t="n"/>
      <c r="G6" s="169" t="n"/>
      <c r="H6" s="169" t="n"/>
      <c r="I6" s="169" t="n"/>
      <c r="J6" s="169" t="n"/>
      <c r="K6" s="169" t="n"/>
      <c r="L6" s="169" t="n"/>
      <c r="M6" s="169" t="n"/>
      <c r="N6" s="169" t="n"/>
      <c r="O6" s="434">
        <f>+SUM(C6:N6)</f>
        <v/>
      </c>
      <c r="P6" s="771" t="n"/>
    </row>
    <row r="7" ht="12.9" customHeight="1" s="985">
      <c r="A7" s="779" t="n"/>
      <c r="B7" s="173" t="inlineStr">
        <is>
          <t>Personal Decreto 1860/21</t>
        </is>
      </c>
      <c r="C7" s="171">
        <f>'[1]Hoja 1'!$I$12</f>
        <v/>
      </c>
      <c r="D7" s="171">
        <f>'[4]Hoja 1'!$L$10</f>
        <v/>
      </c>
      <c r="E7" s="171" t="n">
        <v>241842440</v>
      </c>
      <c r="F7" s="171" t="n"/>
      <c r="G7" s="171" t="n"/>
      <c r="H7" s="171" t="n"/>
      <c r="I7" s="171" t="n"/>
      <c r="J7" s="171" t="n"/>
      <c r="K7" s="171" t="n"/>
      <c r="L7" s="171" t="n"/>
      <c r="M7" s="171" t="n"/>
      <c r="N7" s="171" t="n"/>
      <c r="O7" s="404">
        <f>+SUM(C7:N7)</f>
        <v/>
      </c>
      <c r="P7" s="771" t="n"/>
    </row>
    <row r="8" ht="12.9" customHeight="1" s="985">
      <c r="A8" s="779" t="inlineStr">
        <is>
          <t xml:space="preserve">51055101            </t>
        </is>
      </c>
      <c r="B8" s="173" t="inlineStr">
        <is>
          <t>Dotacion y Suministro</t>
        </is>
      </c>
      <c r="C8" s="171">
        <f>'[9]Hoja 1'!$C$54-225638</f>
        <v/>
      </c>
      <c r="D8" s="171">
        <f>'[10]Hoja 1'!$C$54-59862</f>
        <v/>
      </c>
      <c r="E8" s="171" t="n">
        <v>241842440</v>
      </c>
      <c r="F8" s="171" t="n"/>
      <c r="G8" s="171" t="n"/>
      <c r="H8" s="929" t="n"/>
      <c r="I8" s="171" t="n"/>
      <c r="J8" s="171" t="n"/>
      <c r="K8" s="171" t="n"/>
      <c r="L8" s="171" t="n"/>
      <c r="M8" s="171" t="n"/>
      <c r="N8" s="171" t="n"/>
      <c r="O8" s="404">
        <f>+SUM(C8:N8)</f>
        <v/>
      </c>
      <c r="P8" s="771" t="n"/>
    </row>
    <row r="9" ht="12.9" customHeight="1" s="985">
      <c r="A9" s="780" t="n"/>
      <c r="B9" s="173" t="inlineStr">
        <is>
          <t>Bonificaciones</t>
        </is>
      </c>
      <c r="C9" s="171" t="n"/>
      <c r="D9" s="171" t="n"/>
      <c r="E9" s="171" t="n">
        <v>241842440</v>
      </c>
      <c r="F9" s="171" t="n"/>
      <c r="G9" s="171" t="n"/>
      <c r="H9" s="171" t="n"/>
      <c r="I9" s="171" t="n"/>
      <c r="J9" s="171" t="n"/>
      <c r="K9" s="171" t="n"/>
      <c r="L9" s="171" t="n"/>
      <c r="M9" s="171" t="n"/>
      <c r="N9" s="171" t="n"/>
      <c r="O9" s="404">
        <f>+SUM(C9:N9)</f>
        <v/>
      </c>
      <c r="P9" s="771" t="n"/>
    </row>
    <row r="10" ht="12.9" customHeight="1" s="985">
      <c r="A10" s="780" t="inlineStr">
        <is>
          <t xml:space="preserve">51056301            </t>
        </is>
      </c>
      <c r="B10" s="649" t="inlineStr">
        <is>
          <t>Capacitacion</t>
        </is>
      </c>
      <c r="C10" s="171">
        <f>'[9]Hoja 1'!$C$56</f>
        <v/>
      </c>
      <c r="D10" s="171">
        <f>'[10]Hoja 1'!$C$56</f>
        <v/>
      </c>
      <c r="E10" s="171" t="n">
        <v>241842440</v>
      </c>
      <c r="F10" s="171" t="n"/>
      <c r="G10" s="171" t="n"/>
      <c r="H10" s="171" t="n"/>
      <c r="I10" s="171" t="n"/>
      <c r="J10" s="171" t="n"/>
      <c r="K10" s="171" t="n"/>
      <c r="L10" s="171" t="n"/>
      <c r="M10" s="929" t="n"/>
      <c r="N10" s="171" t="n"/>
      <c r="O10" s="404">
        <f>+SUM(C10:N10)</f>
        <v/>
      </c>
      <c r="P10" s="771" t="n"/>
    </row>
    <row r="11" ht="12.9" customHeight="1" s="985">
      <c r="A11" s="780" t="inlineStr">
        <is>
          <t xml:space="preserve">51058401            </t>
        </is>
      </c>
      <c r="B11" s="173" t="inlineStr">
        <is>
          <t>Gastos Medicos</t>
        </is>
      </c>
      <c r="C11" s="171">
        <f>'[9]Hoja 1'!$C$70</f>
        <v/>
      </c>
      <c r="D11" s="171">
        <f>'[10]Hoja 1'!$C$70</f>
        <v/>
      </c>
      <c r="E11" s="171" t="n">
        <v>241842440</v>
      </c>
      <c r="F11" s="171" t="n"/>
      <c r="G11" s="171" t="n"/>
      <c r="H11" s="171" t="n"/>
      <c r="I11" s="171" t="n"/>
      <c r="J11" s="171" t="n"/>
      <c r="K11" s="171" t="n"/>
      <c r="L11" s="171" t="n"/>
      <c r="M11" s="171" t="n"/>
      <c r="N11" s="171" t="n"/>
      <c r="O11" s="404">
        <f>+SUM(C11:N11)</f>
        <v/>
      </c>
      <c r="P11" s="771" t="n"/>
    </row>
    <row r="12" ht="12.9" customHeight="1" s="985">
      <c r="A12" s="780" t="inlineStr">
        <is>
          <t xml:space="preserve">53954002            </t>
        </is>
      </c>
      <c r="B12" s="173" t="inlineStr">
        <is>
          <t>Incapacidades</t>
        </is>
      </c>
      <c r="C12" s="921" t="n"/>
      <c r="D12" s="921">
        <f>'[11]Hoja 1'!$C$27</f>
        <v/>
      </c>
      <c r="E12" s="921" t="n">
        <v>241842440</v>
      </c>
      <c r="F12" s="921" t="n"/>
      <c r="G12" s="921" t="n"/>
      <c r="H12" s="921" t="n"/>
      <c r="I12" s="921" t="n"/>
      <c r="J12" s="921" t="n"/>
      <c r="K12" s="921" t="n"/>
      <c r="L12" s="921" t="n"/>
      <c r="M12" s="921" t="n"/>
      <c r="N12" s="921" t="n"/>
      <c r="O12" s="404">
        <f>+SUM(C12:N12)</f>
        <v/>
      </c>
      <c r="P12" s="771" t="n"/>
    </row>
    <row r="13" ht="15" customFormat="1" customHeight="1" s="116">
      <c r="A13" s="778" t="n"/>
      <c r="B13" s="157" t="inlineStr">
        <is>
          <t>HONORARIOS</t>
        </is>
      </c>
      <c r="C13" s="111">
        <f>SUM(C14:C18)</f>
        <v/>
      </c>
      <c r="D13" s="973">
        <f>SUM(D14:D18)</f>
        <v/>
      </c>
      <c r="E13" s="111">
        <f>SUM(E14:E18)</f>
        <v/>
      </c>
      <c r="F13" s="111">
        <f>SUM(F14:F18)</f>
        <v/>
      </c>
      <c r="G13" s="111">
        <f>SUM(G14:G18)</f>
        <v/>
      </c>
      <c r="H13" s="111">
        <f>SUM(H14:H18)</f>
        <v/>
      </c>
      <c r="I13" s="111">
        <f>SUM(I14:I18)</f>
        <v/>
      </c>
      <c r="J13" s="111">
        <f>SUM(J14:J18)</f>
        <v/>
      </c>
      <c r="K13" s="111">
        <f>SUM(K14:K18)</f>
        <v/>
      </c>
      <c r="L13" s="111">
        <f>SUM(L14:L18)</f>
        <v/>
      </c>
      <c r="M13" s="111">
        <f>SUM(M14:M18)</f>
        <v/>
      </c>
      <c r="N13" s="111">
        <f>SUM(N14:N18)</f>
        <v/>
      </c>
      <c r="O13" s="111">
        <f>SUM(O14:O18)</f>
        <v/>
      </c>
      <c r="P13" s="772" t="n"/>
    </row>
    <row r="14" ht="12.9" customFormat="1" customHeight="1" s="116">
      <c r="A14" s="780" t="inlineStr">
        <is>
          <t xml:space="preserve">51101001            </t>
        </is>
      </c>
      <c r="B14" s="173" t="inlineStr">
        <is>
          <t>Revisoria Fiscal</t>
        </is>
      </c>
      <c r="C14" s="405">
        <f>'[9]Hoja 1'!$C$73</f>
        <v/>
      </c>
      <c r="D14" s="405">
        <f>'[10]Hoja 1'!$C$73</f>
        <v/>
      </c>
      <c r="E14" s="405" t="n">
        <v>241842440</v>
      </c>
      <c r="F14" s="405" t="n"/>
      <c r="G14" s="405" t="n"/>
      <c r="H14" s="405" t="n"/>
      <c r="I14" s="405" t="n"/>
      <c r="J14" s="405" t="n"/>
      <c r="K14" s="405" t="n"/>
      <c r="L14" s="405" t="n"/>
      <c r="M14" s="405" t="n"/>
      <c r="N14" s="405" t="n"/>
      <c r="O14" s="434">
        <f>+SUM(C14:N14)</f>
        <v/>
      </c>
      <c r="P14" s="771" t="n"/>
    </row>
    <row r="15" ht="12.9" customFormat="1" customHeight="1" s="116">
      <c r="A15" s="780" t="n"/>
      <c r="B15" s="173" t="inlineStr">
        <is>
          <t>Avaluos</t>
        </is>
      </c>
      <c r="C15" s="170" t="n"/>
      <c r="D15" s="170" t="n"/>
      <c r="E15" s="170" t="n">
        <v>241842440</v>
      </c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404">
        <f>+SUM(C15:N15)</f>
        <v/>
      </c>
      <c r="P15" s="771" t="n"/>
    </row>
    <row r="16" ht="12.9" customHeight="1" s="985">
      <c r="A16" s="780" t="inlineStr">
        <is>
          <t xml:space="preserve">51102001            </t>
        </is>
      </c>
      <c r="B16" s="173" t="inlineStr">
        <is>
          <t>Asesoria Juridica</t>
        </is>
      </c>
      <c r="C16" s="170">
        <f>'[9]Hoja 1'!$C$75+'[12]Hoja 1'!$G$13</f>
        <v/>
      </c>
      <c r="D16" s="170">
        <f>'[10]Hoja 1'!$C$75+'[13]Hoja 1'!$G$14</f>
        <v/>
      </c>
      <c r="E16" s="170" t="n">
        <v>241842440</v>
      </c>
      <c r="F16" s="170" t="n"/>
      <c r="G16" s="170" t="n"/>
      <c r="H16" s="170" t="n"/>
      <c r="I16" s="170" t="n"/>
      <c r="J16" s="170" t="n"/>
      <c r="K16" s="170" t="n"/>
      <c r="L16" s="170" t="n"/>
      <c r="M16" s="170" t="n"/>
      <c r="N16" s="170" t="n"/>
      <c r="O16" s="404">
        <f>+SUM(C16:N16)</f>
        <v/>
      </c>
      <c r="P16" s="771" t="n"/>
    </row>
    <row r="17" ht="12.9" customHeight="1" s="985">
      <c r="A17" s="780" t="inlineStr">
        <is>
          <t xml:space="preserve">51103001            </t>
        </is>
      </c>
      <c r="B17" s="173" t="inlineStr">
        <is>
          <t>Asesoria Financiera</t>
        </is>
      </c>
      <c r="C17" s="170" t="n"/>
      <c r="D17" s="170" t="n"/>
      <c r="E17" s="170" t="n">
        <v>241842440</v>
      </c>
      <c r="F17" s="170" t="n"/>
      <c r="G17" s="170" t="n"/>
      <c r="H17" s="170" t="n"/>
      <c r="I17" s="170" t="n"/>
      <c r="J17" s="170" t="n"/>
      <c r="K17" s="170" t="n"/>
      <c r="L17" s="170" t="n"/>
      <c r="M17" s="170" t="n"/>
      <c r="N17" s="170" t="n"/>
      <c r="O17" s="404">
        <f>+SUM(C17:N17)</f>
        <v/>
      </c>
      <c r="P17" s="771" t="n"/>
    </row>
    <row r="18" ht="12.9" customHeight="1" s="985">
      <c r="A18" s="780" t="inlineStr">
        <is>
          <t xml:space="preserve">51103508            </t>
        </is>
      </c>
      <c r="B18" s="173" t="inlineStr">
        <is>
          <t>Asesoría Técnica</t>
        </is>
      </c>
      <c r="C18" s="170">
        <f>'[9]Hoja 1'!$C$77</f>
        <v/>
      </c>
      <c r="D18" s="170">
        <f>'[10]Hoja 1'!$C$76</f>
        <v/>
      </c>
      <c r="E18" s="170" t="n">
        <v>241842440</v>
      </c>
      <c r="F18" s="170" t="n"/>
      <c r="G18" s="170" t="n"/>
      <c r="H18" s="170" t="n"/>
      <c r="I18" s="170" t="n"/>
      <c r="J18" s="170" t="n"/>
      <c r="K18" s="170" t="n"/>
      <c r="L18" s="170" t="n"/>
      <c r="M18" s="170" t="n"/>
      <c r="N18" s="170" t="n"/>
      <c r="O18" s="409">
        <f>+SUM(C18:N18)</f>
        <v/>
      </c>
      <c r="P18" s="771" t="n"/>
    </row>
    <row r="19" ht="15" customFormat="1" customHeight="1" s="116">
      <c r="A19" s="778" t="n"/>
      <c r="B19" s="157" t="inlineStr">
        <is>
          <t>IMPUESTOS</t>
        </is>
      </c>
      <c r="C19" s="111">
        <f>SUM(C20:C21)</f>
        <v/>
      </c>
      <c r="D19" s="973">
        <f>SUM(D20:D21)</f>
        <v/>
      </c>
      <c r="E19" s="111">
        <f>SUM(E20:E21)</f>
        <v/>
      </c>
      <c r="F19" s="111">
        <f>SUM(F20:F21)</f>
        <v/>
      </c>
      <c r="G19" s="111">
        <f>SUM(G20:G21)</f>
        <v/>
      </c>
      <c r="H19" s="111">
        <f>SUM(H20:H21)</f>
        <v/>
      </c>
      <c r="I19" s="111">
        <f>SUM(I20:I21)</f>
        <v/>
      </c>
      <c r="J19" s="111">
        <f>SUM(J20:J21)</f>
        <v/>
      </c>
      <c r="K19" s="111">
        <f>SUM(K20:K21)</f>
        <v/>
      </c>
      <c r="L19" s="111">
        <f>SUM(L20:L21)</f>
        <v/>
      </c>
      <c r="M19" s="111">
        <f>SUM(M20:M21)</f>
        <v/>
      </c>
      <c r="N19" s="111">
        <f>SUM(N20:N21)</f>
        <v/>
      </c>
      <c r="O19" s="112">
        <f>SUM(O20:O21)</f>
        <v/>
      </c>
      <c r="P19" s="771" t="n"/>
    </row>
    <row r="20" ht="12.9" customHeight="1" s="985">
      <c r="A20" s="780" t="n"/>
      <c r="B20" s="156" t="inlineStr">
        <is>
          <t>Predial</t>
        </is>
      </c>
      <c r="C20" s="922" t="n"/>
      <c r="D20" s="923" t="n"/>
      <c r="E20" s="424" t="n">
        <v>241842440</v>
      </c>
      <c r="F20" s="424" t="n"/>
      <c r="G20" s="424" t="n"/>
      <c r="H20" s="424" t="n"/>
      <c r="I20" s="424" t="n"/>
      <c r="J20" s="424" t="n"/>
      <c r="K20" s="424" t="n"/>
      <c r="L20" s="424" t="n"/>
      <c r="M20" s="424" t="n"/>
      <c r="N20" s="424" t="n"/>
      <c r="O20" s="424">
        <f>+SUM(C20:N20)</f>
        <v/>
      </c>
      <c r="P20" s="771" t="n"/>
    </row>
    <row r="21" ht="12.9" customHeight="1" s="985">
      <c r="A21" s="780" t="n"/>
      <c r="B21" s="175" t="inlineStr">
        <is>
          <t>Impuestos vehiculos</t>
        </is>
      </c>
      <c r="C21" s="406" t="n">
        <v>2676712</v>
      </c>
      <c r="D21" s="406" t="n"/>
      <c r="E21" s="406" t="n">
        <v>241842440</v>
      </c>
      <c r="F21" s="406" t="n"/>
      <c r="G21" s="406" t="n"/>
      <c r="H21" s="406" t="n"/>
      <c r="I21" s="406" t="n"/>
      <c r="J21" s="406" t="n"/>
      <c r="K21" s="406" t="n"/>
      <c r="L21" s="406" t="n"/>
      <c r="M21" s="406" t="n"/>
      <c r="N21" s="406" t="n"/>
      <c r="O21" s="406">
        <f>+SUM(C21:N21)</f>
        <v/>
      </c>
      <c r="P21" s="771" t="n"/>
    </row>
    <row r="22" ht="15" customFormat="1" customHeight="1" s="116">
      <c r="A22" s="778" t="n"/>
      <c r="B22" s="110" t="inlineStr">
        <is>
          <t>ARRENDAMIENTOS</t>
        </is>
      </c>
      <c r="C22" s="111">
        <f>SUM(C23:C27)</f>
        <v/>
      </c>
      <c r="D22" s="973">
        <f>SUM(D23:D27)</f>
        <v/>
      </c>
      <c r="E22" s="111">
        <f>SUM(E23:E27)</f>
        <v/>
      </c>
      <c r="F22" s="111">
        <f>SUM(F23:F27)</f>
        <v/>
      </c>
      <c r="G22" s="111">
        <f>SUM(G23:G27)</f>
        <v/>
      </c>
      <c r="H22" s="111">
        <f>SUM(H23:H27)</f>
        <v/>
      </c>
      <c r="I22" s="111">
        <f>SUM(I23:I27)</f>
        <v/>
      </c>
      <c r="J22" s="111">
        <f>SUM(J23:J27)</f>
        <v/>
      </c>
      <c r="K22" s="111">
        <f>SUM(K23:K27)</f>
        <v/>
      </c>
      <c r="L22" s="111">
        <f>SUM(L23:L27)</f>
        <v/>
      </c>
      <c r="M22" s="111">
        <f>SUM(M23:M27)</f>
        <v/>
      </c>
      <c r="N22" s="111">
        <f>SUM(N23:N27)</f>
        <v/>
      </c>
      <c r="O22" s="112">
        <f>SUM(O23:O27)</f>
        <v/>
      </c>
      <c r="P22" s="772" t="n"/>
    </row>
    <row r="23" ht="12.9" customFormat="1" customHeight="1" s="116">
      <c r="A23" s="780" t="inlineStr">
        <is>
          <t>51201001   - 51355001</t>
        </is>
      </c>
      <c r="B23" s="173" t="inlineStr">
        <is>
          <t>Construcciones y Edificaciones</t>
        </is>
      </c>
      <c r="C23" s="405">
        <f>'[9]Hoja 1'!$C$85+'[12]Hoja 1'!$G$15+'[12]Hoja 1'!$G$17</f>
        <v/>
      </c>
      <c r="D23" s="405">
        <f>'[10]Hoja 1'!$C$84+'[13]Hoja 1'!$G$16+'[13]Hoja 1'!$G$18</f>
        <v/>
      </c>
      <c r="E23" s="405" t="n">
        <v>241842440</v>
      </c>
      <c r="F23" s="405" t="n"/>
      <c r="G23" s="405" t="n"/>
      <c r="H23" s="405" t="n"/>
      <c r="I23" s="405" t="n"/>
      <c r="J23" s="405" t="n"/>
      <c r="K23" s="405" t="n"/>
      <c r="L23" s="405" t="n"/>
      <c r="M23" s="405" t="n"/>
      <c r="N23" s="405" t="n"/>
      <c r="O23" s="434">
        <f>+SUM(C23:N23)</f>
        <v/>
      </c>
      <c r="P23" s="771" t="n"/>
    </row>
    <row r="24" ht="12.9" customHeight="1" s="985">
      <c r="A24" s="780" t="inlineStr">
        <is>
          <t xml:space="preserve">51201501 - 73201501 </t>
        </is>
      </c>
      <c r="B24" s="173" t="inlineStr">
        <is>
          <t>Maquinaria y Equipo</t>
        </is>
      </c>
      <c r="C24" s="170">
        <f>'[9]Hoja 1'!$C$87</f>
        <v/>
      </c>
      <c r="D24" s="170">
        <f>'[10]Hoja 1'!$C$86</f>
        <v/>
      </c>
      <c r="E24" s="170" t="n">
        <v>241842440</v>
      </c>
      <c r="F24" s="170" t="n"/>
      <c r="G24" s="170" t="n"/>
      <c r="H24" s="170" t="n"/>
      <c r="I24" s="170" t="n"/>
      <c r="J24" s="170" t="n"/>
      <c r="K24" s="170" t="n"/>
      <c r="L24" s="170" t="n"/>
      <c r="M24" s="170" t="n"/>
      <c r="N24" s="929" t="n"/>
      <c r="O24" s="404">
        <f>+SUM(C24:N24)</f>
        <v/>
      </c>
      <c r="P24" s="771" t="n"/>
    </row>
    <row r="25" ht="12.9" customHeight="1" s="985">
      <c r="A25" s="780" t="inlineStr">
        <is>
          <t xml:space="preserve">51202001            </t>
        </is>
      </c>
      <c r="B25" s="173" t="inlineStr">
        <is>
          <t>Equipo de Oficina</t>
        </is>
      </c>
      <c r="C25" s="170">
        <f>'[9]Hoja 1'!$C$89</f>
        <v/>
      </c>
      <c r="D25" s="170">
        <f>'[10]Hoja 1'!$C$88</f>
        <v/>
      </c>
      <c r="E25" s="170" t="n">
        <v>241842440</v>
      </c>
      <c r="F25" s="170" t="n"/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404">
        <f>+SUM(C25:N25)</f>
        <v/>
      </c>
      <c r="P25" s="773" t="n"/>
    </row>
    <row r="26" ht="12.9" customHeight="1" s="985">
      <c r="A26" s="780" t="n"/>
      <c r="B26" s="173" t="inlineStr">
        <is>
          <t>Equipo de Computacion y comunicaciones</t>
        </is>
      </c>
      <c r="C26" s="170" t="n"/>
      <c r="D26" s="170">
        <f>'[10]Hoja 1'!$C$90</f>
        <v/>
      </c>
      <c r="E26" s="170" t="n">
        <v>241842440</v>
      </c>
      <c r="F26" s="170" t="n"/>
      <c r="G26" s="170" t="n"/>
      <c r="H26" s="170" t="n"/>
      <c r="I26" s="170" t="n"/>
      <c r="J26" s="170" t="n"/>
      <c r="K26" s="170" t="n"/>
      <c r="L26" s="170" t="n"/>
      <c r="M26" s="170" t="n"/>
      <c r="N26" s="170" t="n"/>
      <c r="O26" s="404">
        <f>+SUM(C26:N26)</f>
        <v/>
      </c>
      <c r="P26" s="771" t="n"/>
    </row>
    <row r="27" ht="12.9" customHeight="1" s="985">
      <c r="A27" s="780" t="n"/>
      <c r="B27" s="173" t="inlineStr">
        <is>
          <t>Flota y Equipo de Transporte</t>
        </is>
      </c>
      <c r="C27" s="406" t="n"/>
      <c r="D27" s="406" t="n"/>
      <c r="E27" s="406" t="n">
        <v>241842440</v>
      </c>
      <c r="F27" s="406" t="n"/>
      <c r="G27" s="406" t="n"/>
      <c r="H27" s="406" t="n"/>
      <c r="I27" s="406" t="n"/>
      <c r="J27" s="406" t="n"/>
      <c r="K27" s="406" t="n"/>
      <c r="L27" s="406" t="n"/>
      <c r="M27" s="406" t="n"/>
      <c r="N27" s="406" t="n"/>
      <c r="O27" s="161">
        <f>+SUM(C27:N27)</f>
        <v/>
      </c>
      <c r="P27" s="771" t="n"/>
    </row>
    <row r="28" ht="15" customFormat="1" customHeight="1" s="116">
      <c r="A28" s="778" t="n"/>
      <c r="B28" s="110" t="inlineStr">
        <is>
          <t>SEGUROS</t>
        </is>
      </c>
      <c r="C28" s="111">
        <f>SUM(C29:C31)</f>
        <v/>
      </c>
      <c r="D28" s="973">
        <f>SUM(D29:D31)</f>
        <v/>
      </c>
      <c r="E28" s="111">
        <f>SUM(E29:E31)</f>
        <v/>
      </c>
      <c r="F28" s="111">
        <f>SUM(F29:F31)</f>
        <v/>
      </c>
      <c r="G28" s="111">
        <f>SUM(G29:G31)</f>
        <v/>
      </c>
      <c r="H28" s="111">
        <f>SUM(H29:H31)</f>
        <v/>
      </c>
      <c r="I28" s="111">
        <f>SUM(I29:I31)</f>
        <v/>
      </c>
      <c r="J28" s="111">
        <f>SUM(J29:J31)</f>
        <v/>
      </c>
      <c r="K28" s="111">
        <f>SUM(K29:K31)</f>
        <v/>
      </c>
      <c r="L28" s="111">
        <f>SUM(L29:L31)</f>
        <v/>
      </c>
      <c r="M28" s="111">
        <f>SUM(M29:M31)</f>
        <v/>
      </c>
      <c r="N28" s="111">
        <f>SUM(N29:N31)</f>
        <v/>
      </c>
      <c r="O28" s="112">
        <f>SUM(O29:O31)</f>
        <v/>
      </c>
      <c r="P28" s="771" t="n"/>
    </row>
    <row r="29" ht="12.9" customHeight="1" s="985">
      <c r="A29" s="780" t="n"/>
      <c r="B29" s="172" t="inlineStr">
        <is>
          <t>Cumplimiento</t>
        </is>
      </c>
      <c r="C29" s="405" t="n"/>
      <c r="D29" s="405" t="n"/>
      <c r="E29" s="405" t="n">
        <v>241842440</v>
      </c>
      <c r="F29" s="405" t="n"/>
      <c r="G29" s="405" t="n"/>
      <c r="H29" s="405" t="n"/>
      <c r="I29" s="405" t="n"/>
      <c r="J29" s="405" t="n"/>
      <c r="K29" s="405" t="n"/>
      <c r="L29" s="405" t="n"/>
      <c r="M29" s="405" t="n"/>
      <c r="N29" s="405" t="n"/>
      <c r="O29" s="159">
        <f>+SUM(C29:N29)</f>
        <v/>
      </c>
      <c r="P29" s="771" t="n"/>
    </row>
    <row r="30" ht="12.9" customHeight="1" s="985">
      <c r="A30" s="780" t="n"/>
      <c r="B30" s="173" t="inlineStr">
        <is>
          <t>Responsabilidad Civil y Extracontractual</t>
        </is>
      </c>
      <c r="C30" s="170" t="n"/>
      <c r="D30" s="170" t="n"/>
      <c r="E30" s="170" t="n">
        <v>241842440</v>
      </c>
      <c r="F30" s="170" t="n"/>
      <c r="G30" s="170" t="n"/>
      <c r="H30" s="170" t="n"/>
      <c r="I30" s="170" t="n"/>
      <c r="J30" s="170" t="n"/>
      <c r="K30" s="170" t="n"/>
      <c r="L30" s="170" t="n"/>
      <c r="M30" s="170" t="n"/>
      <c r="N30" s="170" t="n"/>
      <c r="O30" s="160">
        <f>+SUM(C30:N30)</f>
        <v/>
      </c>
      <c r="P30" s="771" t="n"/>
    </row>
    <row r="31" ht="12.9" customHeight="1" s="985">
      <c r="A31" s="780" t="n"/>
      <c r="B31" s="174" t="inlineStr">
        <is>
          <t>OTROS - Funerarios</t>
        </is>
      </c>
      <c r="C31" s="406" t="n"/>
      <c r="D31" s="968">
        <f>'[10]Hoja 1'!$C$95</f>
        <v/>
      </c>
      <c r="E31" s="406" t="n">
        <v>241842440</v>
      </c>
      <c r="F31" s="406" t="n"/>
      <c r="G31" s="406" t="n"/>
      <c r="H31" s="406" t="n"/>
      <c r="I31" s="406" t="n"/>
      <c r="J31" s="406" t="n"/>
      <c r="K31" s="406" t="n"/>
      <c r="L31" s="406" t="n"/>
      <c r="M31" s="406" t="n"/>
      <c r="N31" s="406" t="n"/>
      <c r="O31" s="161">
        <f>+SUM(C31:N31)</f>
        <v/>
      </c>
      <c r="P31" s="771" t="n"/>
    </row>
    <row r="32" ht="15" customFormat="1" customHeight="1" s="116">
      <c r="A32" s="778" t="n"/>
      <c r="B32" s="157" t="inlineStr">
        <is>
          <t>SERVICIOS</t>
        </is>
      </c>
      <c r="C32" s="111">
        <f>SUM(C33:C45)</f>
        <v/>
      </c>
      <c r="D32" s="973">
        <f>SUM(D33:D45)</f>
        <v/>
      </c>
      <c r="E32" s="111">
        <f>SUM(E33:E45)</f>
        <v/>
      </c>
      <c r="F32" s="111">
        <f>SUM(F33:F45)</f>
        <v/>
      </c>
      <c r="G32" s="111">
        <f>SUM(G33:G45)</f>
        <v/>
      </c>
      <c r="H32" s="111">
        <f>SUM(H33:H45)</f>
        <v/>
      </c>
      <c r="I32" s="111">
        <f>SUM(I33:I45)</f>
        <v/>
      </c>
      <c r="J32" s="111">
        <f>SUM(J33:J45)</f>
        <v/>
      </c>
      <c r="K32" s="111">
        <f>SUM(K33:K45)</f>
        <v/>
      </c>
      <c r="L32" s="111">
        <f>SUM(L33:L45)</f>
        <v/>
      </c>
      <c r="M32" s="111">
        <f>SUM(M33:M45)</f>
        <v/>
      </c>
      <c r="N32" s="111">
        <f>SUM(N33:N45)</f>
        <v/>
      </c>
      <c r="O32" s="112">
        <f>SUM(O33:O45)</f>
        <v/>
      </c>
      <c r="P32" s="771" t="n"/>
    </row>
    <row r="33" ht="12.9" customFormat="1" customHeight="1" s="116">
      <c r="A33" s="780" t="n"/>
      <c r="B33" s="173" t="inlineStr">
        <is>
          <t>Aseo y Vigilancia</t>
        </is>
      </c>
      <c r="C33" s="405">
        <f>'[12]Hoja 1'!$G$22</f>
        <v/>
      </c>
      <c r="D33" s="405">
        <f>'[13]Hoja 1'!$G$23</f>
        <v/>
      </c>
      <c r="E33" s="405" t="n">
        <v>241842440</v>
      </c>
      <c r="F33" s="405" t="n"/>
      <c r="G33" s="405" t="n"/>
      <c r="H33" s="405" t="n"/>
      <c r="I33" s="405" t="n"/>
      <c r="J33" s="405" t="n"/>
      <c r="K33" s="405" t="n"/>
      <c r="L33" s="405" t="n"/>
      <c r="M33" s="405" t="n"/>
      <c r="N33" s="405" t="n"/>
      <c r="O33" s="434">
        <f>+SUM(C33:N33)</f>
        <v/>
      </c>
      <c r="P33" s="773" t="n"/>
    </row>
    <row r="34" ht="12.9" customFormat="1" customHeight="1" s="805">
      <c r="A34" s="804" t="inlineStr">
        <is>
          <t xml:space="preserve">51351001   -   51351004        </t>
        </is>
      </c>
      <c r="B34" s="649" t="inlineStr">
        <is>
          <t>Temporales</t>
        </is>
      </c>
      <c r="C34" s="170">
        <f>'[9]Hoja 1'!$C$97</f>
        <v/>
      </c>
      <c r="D34" s="170">
        <f>'[10]Hoja 1'!$C$99</f>
        <v/>
      </c>
      <c r="E34" s="170" t="n">
        <v>241842440</v>
      </c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404">
        <f>+SUM(C34:N34)</f>
        <v/>
      </c>
      <c r="P34" s="775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  <c r="AA34" s="116" t="n"/>
      <c r="AB34" s="116" t="n"/>
      <c r="AC34" s="116" t="n"/>
      <c r="AD34" s="116" t="n"/>
      <c r="AE34" s="116" t="n"/>
      <c r="AF34" s="116" t="n"/>
      <c r="AG34" s="116" t="n"/>
      <c r="AH34" s="116" t="n"/>
      <c r="AI34" s="116" t="n"/>
      <c r="AJ34" s="116" t="n"/>
      <c r="AK34" s="116" t="n"/>
      <c r="AL34" s="116" t="n"/>
      <c r="AM34" s="116" t="n"/>
      <c r="AN34" s="116" t="n"/>
      <c r="AO34" s="116" t="n"/>
      <c r="AP34" s="116" t="n"/>
      <c r="AQ34" s="116" t="n"/>
      <c r="AR34" s="116" t="n"/>
      <c r="AS34" s="116" t="n"/>
      <c r="AT34" s="116" t="n"/>
      <c r="AU34" s="116" t="n"/>
      <c r="AV34" s="116" t="n"/>
      <c r="AW34" s="116" t="n"/>
      <c r="AX34" s="116" t="n"/>
      <c r="AY34" s="116" t="n"/>
      <c r="AZ34" s="116" t="n"/>
      <c r="BA34" s="116" t="n"/>
      <c r="BB34" s="116" t="n"/>
      <c r="BC34" s="116" t="n"/>
      <c r="BD34" s="116" t="n"/>
      <c r="BE34" s="116" t="n"/>
      <c r="BF34" s="116" t="n"/>
      <c r="BG34" s="116" t="n"/>
      <c r="BH34" s="116" t="n"/>
      <c r="BI34" s="116" t="n"/>
      <c r="BJ34" s="116" t="n"/>
      <c r="BK34" s="116" t="n"/>
      <c r="BL34" s="116" t="n"/>
      <c r="BM34" s="116" t="n"/>
      <c r="BN34" s="116" t="n"/>
      <c r="BO34" s="116" t="n"/>
      <c r="BP34" s="116" t="n"/>
      <c r="BQ34" s="116" t="n"/>
      <c r="BR34" s="116" t="n"/>
      <c r="BS34" s="116" t="n"/>
      <c r="BT34" s="116" t="n"/>
      <c r="BU34" s="116" t="n"/>
      <c r="BV34" s="116" t="n"/>
      <c r="BW34" s="116" t="n"/>
      <c r="BX34" s="116" t="n"/>
      <c r="BY34" s="116" t="n"/>
      <c r="BZ34" s="116" t="n"/>
      <c r="CA34" s="116" t="n"/>
      <c r="CB34" s="116" t="n"/>
    </row>
    <row r="35" ht="12.9" customFormat="1" customHeight="1" s="805">
      <c r="A35" s="803" t="n"/>
      <c r="B35" s="649" t="inlineStr">
        <is>
          <t>Comunicaciones</t>
        </is>
      </c>
      <c r="C35" s="170" t="n"/>
      <c r="D35" s="170" t="n"/>
      <c r="E35" s="170" t="n">
        <v>241842440</v>
      </c>
      <c r="F35" s="170" t="n"/>
      <c r="G35" s="170" t="n"/>
      <c r="H35" s="170" t="n"/>
      <c r="I35" s="170" t="n"/>
      <c r="J35" s="170" t="n"/>
      <c r="K35" s="170" t="n"/>
      <c r="L35" s="170" t="n"/>
      <c r="M35" s="170" t="n"/>
      <c r="N35" s="942" t="n"/>
      <c r="O35" s="404">
        <f>+SUM(C35:N35)</f>
        <v/>
      </c>
      <c r="P35" s="775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</row>
    <row r="36" ht="12.9" customHeight="1" s="985">
      <c r="A36" s="780" t="inlineStr">
        <is>
          <t xml:space="preserve">51351502            </t>
        </is>
      </c>
      <c r="B36" s="173" t="inlineStr">
        <is>
          <t>Laboratorio</t>
        </is>
      </c>
      <c r="C36" s="170" t="n"/>
      <c r="D36" s="170">
        <f>'[10]Hoja 1'!C103</f>
        <v/>
      </c>
      <c r="E36" s="170" t="n">
        <v>241842440</v>
      </c>
      <c r="F36" s="170" t="n"/>
      <c r="G36" s="170" t="n"/>
      <c r="H36" s="170" t="n"/>
      <c r="I36" s="170" t="n"/>
      <c r="J36" s="170" t="n"/>
      <c r="K36" s="170" t="n"/>
      <c r="L36" s="170" t="n"/>
      <c r="M36" s="404" t="n"/>
      <c r="N36" s="929" t="n"/>
      <c r="O36" s="404">
        <f>+SUM(C36:N36)</f>
        <v/>
      </c>
      <c r="P36" s="771" t="n"/>
    </row>
    <row r="37" ht="12.9" customHeight="1" s="985">
      <c r="A37" s="780" t="inlineStr">
        <is>
          <t xml:space="preserve">51351503            </t>
        </is>
      </c>
      <c r="B37" s="173" t="inlineStr">
        <is>
          <t>Fumigacion</t>
        </is>
      </c>
      <c r="C37" s="170">
        <f>'[9]Hoja 1'!$C$99</f>
        <v/>
      </c>
      <c r="D37" s="170">
        <f>'[10]Hoja 1'!C104</f>
        <v/>
      </c>
      <c r="E37" s="170" t="n">
        <v>241842440</v>
      </c>
      <c r="F37" s="170" t="n"/>
      <c r="G37" s="170" t="n"/>
      <c r="H37" s="170" t="n"/>
      <c r="I37" s="170" t="n"/>
      <c r="J37" s="170" t="n"/>
      <c r="K37" s="170" t="n"/>
      <c r="L37" s="170" t="n"/>
      <c r="M37" s="170" t="n"/>
      <c r="N37" s="929" t="n"/>
      <c r="O37" s="404">
        <f>+SUM(C37:N37)</f>
        <v/>
      </c>
      <c r="P37" s="771" t="n"/>
    </row>
    <row r="38" ht="12.9" customHeight="1" s="985">
      <c r="A38" s="780" t="inlineStr">
        <is>
          <t xml:space="preserve">51352501            </t>
        </is>
      </c>
      <c r="B38" s="173" t="inlineStr">
        <is>
          <t>Acueducto y Alcantarillado</t>
        </is>
      </c>
      <c r="C38" s="170">
        <f>'[9]Hoja 1'!$C$101</f>
        <v/>
      </c>
      <c r="D38" s="170">
        <f>'[10]Hoja 1'!$C$106</f>
        <v/>
      </c>
      <c r="E38" s="170" t="n">
        <v>241842440</v>
      </c>
      <c r="F38" s="170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404">
        <f>+SUM(C38:N38)</f>
        <v/>
      </c>
      <c r="P38" s="771" t="n"/>
    </row>
    <row r="39" ht="12.9" customHeight="1" s="985">
      <c r="A39" s="780" t="inlineStr">
        <is>
          <t xml:space="preserve">51353001            </t>
        </is>
      </c>
      <c r="B39" s="649" t="inlineStr">
        <is>
          <t>Energía Electrica</t>
        </is>
      </c>
      <c r="C39" s="170">
        <f>'[9]Hoja 1'!$C$103</f>
        <v/>
      </c>
      <c r="D39" s="170">
        <f>'[10]Hoja 1'!$C$108</f>
        <v/>
      </c>
      <c r="E39" s="170" t="n">
        <v>241842440</v>
      </c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404">
        <f>+SUM(C39:N39)</f>
        <v/>
      </c>
      <c r="P39" s="771" t="n"/>
    </row>
    <row r="40" ht="12.9" customHeight="1" s="985">
      <c r="A40" s="780" t="inlineStr">
        <is>
          <t xml:space="preserve">51353501            </t>
        </is>
      </c>
      <c r="B40" s="649" t="inlineStr">
        <is>
          <t>Telefono</t>
        </is>
      </c>
      <c r="C40" s="170">
        <f>'[9]Hoja 1'!C105</f>
        <v/>
      </c>
      <c r="D40" s="170">
        <f>'[10]Hoja 1'!C110-98250</f>
        <v/>
      </c>
      <c r="E40" s="170" t="n">
        <v>241842440</v>
      </c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404">
        <f>+SUM(C40:N40)</f>
        <v/>
      </c>
      <c r="P40" s="771" t="n"/>
    </row>
    <row r="41" ht="12.9" customHeight="1" s="985">
      <c r="A41" s="780" t="inlineStr">
        <is>
          <t xml:space="preserve">51353502            </t>
        </is>
      </c>
      <c r="B41" s="173" t="inlineStr">
        <is>
          <t>Internet</t>
        </is>
      </c>
      <c r="C41" s="170">
        <f>'[9]Hoja 1'!C106</f>
        <v/>
      </c>
      <c r="D41" s="170">
        <f>'[10]Hoja 1'!C111</f>
        <v/>
      </c>
      <c r="E41" s="170" t="n">
        <v>241842440</v>
      </c>
      <c r="F41" s="170" t="n"/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404">
        <f>+SUM(C41:N41)</f>
        <v/>
      </c>
      <c r="P41" s="771" t="n"/>
    </row>
    <row r="42" ht="12.9" customHeight="1" s="985">
      <c r="A42" s="780" t="inlineStr">
        <is>
          <t xml:space="preserve">51354001            </t>
        </is>
      </c>
      <c r="B42" s="173" t="inlineStr">
        <is>
          <t>Correo, Portes, telegramas</t>
        </is>
      </c>
      <c r="C42" s="170">
        <f>'[9]Hoja 1'!$C$108</f>
        <v/>
      </c>
      <c r="D42" s="170">
        <f>'[10]Hoja 1'!$C$113</f>
        <v/>
      </c>
      <c r="E42" s="170" t="n">
        <v>241842440</v>
      </c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404">
        <f>+SUM(C42:N42)</f>
        <v/>
      </c>
      <c r="P42" s="771" t="n"/>
    </row>
    <row r="43" ht="12.9" customHeight="1" s="985">
      <c r="A43" s="780" t="inlineStr">
        <is>
          <t>51355001</t>
        </is>
      </c>
      <c r="B43" s="649" t="inlineStr">
        <is>
          <t>Transporte, fletes y acarreos</t>
        </is>
      </c>
      <c r="C43" s="170">
        <f>'[12]Hoja 1'!$G$11</f>
        <v/>
      </c>
      <c r="D43" s="170">
        <f>'[13]Hoja 1'!$G$11</f>
        <v/>
      </c>
      <c r="E43" s="170" t="n">
        <v>241842440</v>
      </c>
      <c r="F43" s="170" t="n"/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404">
        <f>+SUM(C43:N43)</f>
        <v/>
      </c>
      <c r="P43" s="771" t="n"/>
    </row>
    <row r="44" ht="12.9" customHeight="1" s="985">
      <c r="A44" s="780" t="n"/>
      <c r="B44" s="649" t="inlineStr">
        <is>
          <t>Gas</t>
        </is>
      </c>
      <c r="C44" s="170" t="n"/>
      <c r="D44" s="170" t="n"/>
      <c r="E44" s="170" t="n">
        <v>241842440</v>
      </c>
      <c r="F44" s="170" t="n"/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404">
        <f>+SUM(C44:N44)</f>
        <v/>
      </c>
      <c r="P44" s="771" t="n"/>
    </row>
    <row r="45" ht="12.9" customHeight="1" s="985">
      <c r="A45" s="780" t="inlineStr">
        <is>
          <t xml:space="preserve">51356501            </t>
        </is>
      </c>
      <c r="B45" s="173" t="inlineStr">
        <is>
          <t>Servicio Web-Hosting-Nube- Licencias Siesa y planeacion</t>
        </is>
      </c>
      <c r="C45" s="406">
        <f>'[9]Hoja 1'!$C$112+'[14]Hoja 1'!$C$70+'[15]Hoja 1'!$C$109+'[16]Hoja 1'!$D$133+'[17]Hoja 1'!$C$101</f>
        <v/>
      </c>
      <c r="D45" s="406">
        <f>'[10]Hoja 1'!$C$117+'[10]Hoja 1'!$C$312+'[18]Hoja 1'!$C$92+'[19]Hoja 1'!$C$89+'[20]Hoja 1'!$C$97</f>
        <v/>
      </c>
      <c r="E45" s="406" t="n">
        <v>241842440</v>
      </c>
      <c r="F45" s="406" t="n"/>
      <c r="G45" s="406" t="n"/>
      <c r="H45" s="406" t="n"/>
      <c r="I45" s="406" t="n"/>
      <c r="J45" s="406" t="n"/>
      <c r="K45" s="406" t="n"/>
      <c r="L45" s="406" t="n"/>
      <c r="M45" s="406" t="n"/>
      <c r="N45" s="406" t="n"/>
      <c r="O45" s="404">
        <f>+SUM(C45:N45)</f>
        <v/>
      </c>
      <c r="P45" s="771" t="n"/>
    </row>
    <row r="46" ht="15" customFormat="1" customHeight="1" s="116">
      <c r="A46" s="778" t="n"/>
      <c r="B46" s="110" t="inlineStr">
        <is>
          <t>GASTOS LEGALES</t>
        </is>
      </c>
      <c r="C46" s="407">
        <f>SUM(C47:C51)</f>
        <v/>
      </c>
      <c r="D46" s="974">
        <f>SUM(D47:D51)</f>
        <v/>
      </c>
      <c r="E46" s="407">
        <f>SUM(E47:E51)</f>
        <v/>
      </c>
      <c r="F46" s="407">
        <f>SUM(F47:F51)</f>
        <v/>
      </c>
      <c r="G46" s="407">
        <f>SUM(G47:G51)</f>
        <v/>
      </c>
      <c r="H46" s="407">
        <f>SUM(H47:H51)</f>
        <v/>
      </c>
      <c r="I46" s="407">
        <f>SUM(I47:I51)</f>
        <v/>
      </c>
      <c r="J46" s="407">
        <f>SUM(J47:J51)</f>
        <v/>
      </c>
      <c r="K46" s="407">
        <f>SUM(K47:K51)</f>
        <v/>
      </c>
      <c r="L46" s="407">
        <f>SUM(L47:L51)</f>
        <v/>
      </c>
      <c r="M46" s="407">
        <f>SUM(M47:M51)</f>
        <v/>
      </c>
      <c r="N46" s="407">
        <f>SUM(N47:N51)</f>
        <v/>
      </c>
      <c r="O46" s="407">
        <f>SUM(O47:O51)</f>
        <v/>
      </c>
      <c r="P46" s="771" t="n"/>
    </row>
    <row r="47" ht="12.9" customHeight="1" s="985">
      <c r="A47" s="780" t="n"/>
      <c r="B47" s="172" t="inlineStr">
        <is>
          <t>Notariales</t>
        </is>
      </c>
      <c r="C47" s="405">
        <f>'[9]Hoja 1'!$C$115</f>
        <v/>
      </c>
      <c r="D47" s="405" t="n"/>
      <c r="E47" s="405" t="n">
        <v>241842440</v>
      </c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35">
        <f>+SUM(C47:N47)</f>
        <v/>
      </c>
      <c r="P47" s="771" t="n"/>
    </row>
    <row r="48" ht="12.9" customHeight="1" s="985">
      <c r="A48" s="780" t="n"/>
      <c r="B48" s="178" t="inlineStr">
        <is>
          <t>Registro Mercantil y proponentes</t>
        </is>
      </c>
      <c r="C48" s="170" t="n"/>
      <c r="D48" s="170">
        <f>'[10]Hoja 1'!$C$120</f>
        <v/>
      </c>
      <c r="E48" s="170" t="n">
        <v>241842440</v>
      </c>
      <c r="F48" s="170" t="n"/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>
        <f>+SUM(C48:N48)</f>
        <v/>
      </c>
      <c r="P48" s="771" t="n"/>
    </row>
    <row r="49" ht="12.9" customHeight="1" s="985">
      <c r="A49" s="780" t="n"/>
      <c r="B49" s="178" t="inlineStr">
        <is>
          <t>Tramites y Licencias</t>
        </is>
      </c>
      <c r="C49" s="170">
        <f>'[9]Hoja 1'!$C$117</f>
        <v/>
      </c>
      <c r="D49" s="170" t="n"/>
      <c r="E49" s="170" t="n">
        <v>241842440</v>
      </c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>
        <f>+SUM(C49:N49)</f>
        <v/>
      </c>
      <c r="P49" s="771" t="n"/>
    </row>
    <row r="50" ht="12.9" customHeight="1" s="985">
      <c r="A50" s="780" t="n"/>
      <c r="B50" s="173" t="inlineStr">
        <is>
          <t>Servicio de Registro BMC</t>
        </is>
      </c>
      <c r="C50" s="924" t="n"/>
      <c r="D50" s="924" t="n"/>
      <c r="E50" s="924" t="n">
        <v>241842440</v>
      </c>
      <c r="F50" s="924" t="n"/>
      <c r="G50" s="924" t="n"/>
      <c r="H50" s="924" t="n"/>
      <c r="I50" s="924" t="n"/>
      <c r="J50" s="924" t="n"/>
      <c r="K50" s="924" t="n"/>
      <c r="L50" s="924" t="n"/>
      <c r="M50" s="924" t="n"/>
      <c r="N50" s="924" t="n"/>
      <c r="O50" s="170">
        <f>+SUM(C50:N50)</f>
        <v/>
      </c>
      <c r="P50" s="771" t="n"/>
    </row>
    <row r="51" ht="12.9" customHeight="1" s="985">
      <c r="A51" s="780" t="inlineStr">
        <is>
          <t xml:space="preserve">514095              </t>
        </is>
      </c>
      <c r="B51" s="175" t="inlineStr">
        <is>
          <t>Certificados Camara Comercio , proponentes y tradicion, JCC</t>
        </is>
      </c>
      <c r="C51" s="907">
        <f>'[9]Hoja 1'!$C$118</f>
        <v/>
      </c>
      <c r="D51" s="907">
        <f>'[10]Hoja 1'!$C$121</f>
        <v/>
      </c>
      <c r="E51" s="907" t="n">
        <v>241842440</v>
      </c>
      <c r="F51" s="907" t="n"/>
      <c r="G51" s="907" t="n"/>
      <c r="H51" s="907" t="n"/>
      <c r="I51" s="907" t="n"/>
      <c r="J51" s="907" t="n"/>
      <c r="K51" s="907" t="n"/>
      <c r="L51" s="907" t="n"/>
      <c r="M51" s="907" t="n"/>
      <c r="N51" s="907" t="n"/>
      <c r="O51" s="436">
        <f>+SUM(C51:N51)</f>
        <v/>
      </c>
      <c r="P51" s="771" t="n"/>
    </row>
    <row r="52" ht="15" customFormat="1" customHeight="1" s="116">
      <c r="A52" s="778" t="n"/>
      <c r="B52" s="157" t="inlineStr">
        <is>
          <t>MANTENIMIENTO Y REPARACIONES</t>
        </is>
      </c>
      <c r="C52" s="111">
        <f>SUM(C53:C58)</f>
        <v/>
      </c>
      <c r="D52" s="973">
        <f>SUM(D53:D58)</f>
        <v/>
      </c>
      <c r="E52" s="111">
        <f>SUM(E53:E58)</f>
        <v/>
      </c>
      <c r="F52" s="111">
        <f>SUM(F53:F58)</f>
        <v/>
      </c>
      <c r="G52" s="111">
        <f>SUM(G53:G58)</f>
        <v/>
      </c>
      <c r="H52" s="111">
        <f>SUM(H53:H58)</f>
        <v/>
      </c>
      <c r="I52" s="111">
        <f>SUM(I53:I58)</f>
        <v/>
      </c>
      <c r="J52" s="111">
        <f>SUM(J53:J58)</f>
        <v/>
      </c>
      <c r="K52" s="111">
        <f>SUM(K53:K58)</f>
        <v/>
      </c>
      <c r="L52" s="111">
        <f>SUM(L53:L58)</f>
        <v/>
      </c>
      <c r="M52" s="111">
        <f>SUM(M53:M58)</f>
        <v/>
      </c>
      <c r="N52" s="111">
        <f>SUM(N53:N58)</f>
        <v/>
      </c>
      <c r="O52" s="111">
        <f>SUM(O53:O58)</f>
        <v/>
      </c>
      <c r="P52" s="771" t="n"/>
    </row>
    <row r="53" ht="12.9" customHeight="1" s="985">
      <c r="A53" s="780" t="inlineStr">
        <is>
          <t xml:space="preserve">51451001            </t>
        </is>
      </c>
      <c r="B53" s="173" t="inlineStr">
        <is>
          <t>Construcciones y Edificaciones</t>
        </is>
      </c>
      <c r="C53" s="405">
        <f>'[9]Hoja 1'!$C$123</f>
        <v/>
      </c>
      <c r="D53" s="405">
        <f>'[10]Hoja 1'!$C$126</f>
        <v/>
      </c>
      <c r="E53" s="405" t="n">
        <v>241842440</v>
      </c>
      <c r="F53" s="405" t="n"/>
      <c r="G53" s="405" t="n"/>
      <c r="H53" s="405" t="n"/>
      <c r="I53" s="405" t="n"/>
      <c r="J53" s="405" t="n"/>
      <c r="K53" s="405" t="n"/>
      <c r="L53" s="405" t="n"/>
      <c r="M53" s="405" t="n"/>
      <c r="N53" s="930" t="n"/>
      <c r="O53" s="170">
        <f>+SUM(C53:N53)</f>
        <v/>
      </c>
      <c r="P53" s="771" t="n"/>
    </row>
    <row r="54" ht="12.9" customHeight="1" s="985">
      <c r="A54" s="780" t="inlineStr">
        <is>
          <t xml:space="preserve">51451501            </t>
        </is>
      </c>
      <c r="B54" s="173" t="inlineStr">
        <is>
          <t>Maquinaria y Equipo</t>
        </is>
      </c>
      <c r="C54" s="170" t="n"/>
      <c r="D54" s="170">
        <f>'[10]Hoja 1'!$C$128-318000+'[10]Hoja 1'!$C$129</f>
        <v/>
      </c>
      <c r="E54" s="999" t="n"/>
      <c r="F54" s="170" t="n"/>
      <c r="G54" s="170" t="n"/>
      <c r="H54" s="170" t="n"/>
      <c r="I54" s="170" t="n"/>
      <c r="J54" s="170" t="n"/>
      <c r="K54" s="170" t="n"/>
      <c r="L54" s="170" t="n"/>
      <c r="M54" s="170" t="n"/>
      <c r="N54" s="929" t="n"/>
      <c r="O54" s="170">
        <f>+SUM(C54:N54)</f>
        <v/>
      </c>
      <c r="P54" s="771" t="n"/>
    </row>
    <row r="55" ht="12.9" customHeight="1" s="985">
      <c r="A55" s="780" t="n"/>
      <c r="B55" s="173" t="inlineStr">
        <is>
          <t>Equipo de Oficina</t>
        </is>
      </c>
      <c r="C55" s="170" t="n"/>
      <c r="D55" s="170" t="n"/>
      <c r="E55" s="170" t="n">
        <v>241842440</v>
      </c>
      <c r="F55" s="170" t="n"/>
      <c r="G55" s="170" t="n"/>
      <c r="H55" s="170" t="n"/>
      <c r="I55" s="170" t="n"/>
      <c r="J55" s="170" t="n"/>
      <c r="K55" s="170" t="n"/>
      <c r="L55" s="170" t="n"/>
      <c r="M55" s="170" t="n"/>
      <c r="N55" s="170" t="n"/>
      <c r="O55" s="170">
        <f>+SUM(C55:N55)</f>
        <v/>
      </c>
      <c r="P55" s="771" t="n"/>
    </row>
    <row r="56" ht="12.9" customHeight="1" s="985">
      <c r="A56" s="780" t="inlineStr">
        <is>
          <t xml:space="preserve">51451001      -   51451501  </t>
        </is>
      </c>
      <c r="B56" s="173" t="inlineStr">
        <is>
          <t>Planta Plan Basico de Saneamiento</t>
        </is>
      </c>
      <c r="C56" s="170">
        <f>'[9]Hoja 1'!$C$158</f>
        <v/>
      </c>
      <c r="D56" s="170" t="n">
        <v>318000</v>
      </c>
      <c r="E56" s="170" t="n">
        <v>241842440</v>
      </c>
      <c r="F56" s="170" t="n"/>
      <c r="G56" s="170" t="n"/>
      <c r="H56" s="170" t="n"/>
      <c r="I56" s="170" t="n"/>
      <c r="J56" s="170" t="n"/>
      <c r="K56" s="170" t="n"/>
      <c r="L56" s="170" t="n"/>
      <c r="M56" s="170" t="n"/>
      <c r="N56" s="929" t="n"/>
      <c r="O56" s="170">
        <f>+SUM(C56:N56)</f>
        <v/>
      </c>
      <c r="P56" s="771" t="n"/>
    </row>
    <row r="57" ht="12.9" customHeight="1" s="985">
      <c r="A57" s="780" t="inlineStr">
        <is>
          <t xml:space="preserve">51452501            </t>
        </is>
      </c>
      <c r="B57" s="173" t="inlineStr">
        <is>
          <t>Equipo de Computacion y Comunic</t>
        </is>
      </c>
      <c r="C57" s="436">
        <f>'[9]Hoja 1'!$C$127</f>
        <v/>
      </c>
      <c r="D57" s="436" t="n"/>
      <c r="E57" s="436" t="n">
        <v>241842440</v>
      </c>
      <c r="F57" s="436" t="n"/>
      <c r="G57" s="436" t="n"/>
      <c r="H57" s="436" t="n"/>
      <c r="I57" s="436" t="n"/>
      <c r="J57" s="436" t="n"/>
      <c r="K57" s="436" t="n"/>
      <c r="L57" s="436" t="n"/>
      <c r="M57" s="436" t="n"/>
      <c r="N57" s="436" t="n"/>
      <c r="O57" s="170">
        <f>+SUM(C57:N57)</f>
        <v/>
      </c>
      <c r="P57" s="774" t="n"/>
    </row>
    <row r="58" ht="12.9" customHeight="1" s="985">
      <c r="A58" s="780" t="inlineStr">
        <is>
          <t xml:space="preserve">51451501            </t>
        </is>
      </c>
      <c r="B58" s="173" t="inlineStr">
        <is>
          <t>Plan SST</t>
        </is>
      </c>
      <c r="C58" s="406">
        <f>'[9]Hoja 1'!$C$125</f>
        <v/>
      </c>
      <c r="D58" s="406" t="n"/>
      <c r="E58" s="1000" t="n">
        <v>324993540</v>
      </c>
      <c r="F58" s="406" t="n"/>
      <c r="G58" s="406" t="n"/>
      <c r="H58" s="406" t="n"/>
      <c r="I58" s="406" t="n"/>
      <c r="J58" s="406" t="n"/>
      <c r="K58" s="406" t="n"/>
      <c r="L58" s="406" t="n"/>
      <c r="M58" s="406" t="n"/>
      <c r="N58" s="406" t="n"/>
      <c r="O58" s="170">
        <f>+SUM(C58:N58)</f>
        <v/>
      </c>
      <c r="P58" s="771" t="n"/>
    </row>
    <row r="59" ht="15" customHeight="1" s="985">
      <c r="A59" s="778" t="n"/>
      <c r="B59" s="925" t="inlineStr">
        <is>
          <t>ADECUACIONES E INSTALACIONES</t>
        </is>
      </c>
      <c r="C59" s="408">
        <f>SUM(C60:C61)</f>
        <v/>
      </c>
      <c r="D59" s="975">
        <f>SUM(D60:D61)</f>
        <v/>
      </c>
      <c r="E59" s="408">
        <f>SUM(E60:E61)</f>
        <v/>
      </c>
      <c r="F59" s="408">
        <f>SUM(F60:F61)</f>
        <v/>
      </c>
      <c r="G59" s="408">
        <f>SUM(G60:G61)</f>
        <v/>
      </c>
      <c r="H59" s="408">
        <f>SUM(H60:H61)</f>
        <v/>
      </c>
      <c r="I59" s="408">
        <f>SUM(I60:I61)</f>
        <v/>
      </c>
      <c r="J59" s="408">
        <f>SUM(J60:J61)</f>
        <v/>
      </c>
      <c r="K59" s="408">
        <f>SUM(K60:K61)</f>
        <v/>
      </c>
      <c r="L59" s="408">
        <f>SUM(L60:L61)</f>
        <v/>
      </c>
      <c r="M59" s="408">
        <f>SUM(M60:M61)</f>
        <v/>
      </c>
      <c r="N59" s="408">
        <f>SUM(N60:N61)</f>
        <v/>
      </c>
      <c r="O59" s="408">
        <f>SUM(O60:O61)</f>
        <v/>
      </c>
      <c r="P59" s="771" t="n"/>
    </row>
    <row r="60" ht="12.9" customFormat="1" customHeight="1" s="143">
      <c r="A60" s="803" t="n"/>
      <c r="B60" s="943" t="inlineStr">
        <is>
          <t>Inversion infraestructura</t>
        </is>
      </c>
      <c r="C60" s="169" t="n"/>
      <c r="D60" s="169" t="n"/>
      <c r="E60" s="169" t="n">
        <v>241842440</v>
      </c>
      <c r="F60" s="169" t="n"/>
      <c r="G60" s="169" t="n"/>
      <c r="H60" s="169" t="n"/>
      <c r="I60" s="169" t="n"/>
      <c r="J60" s="169" t="n"/>
      <c r="K60" s="169" t="n"/>
      <c r="L60" s="169" t="n"/>
      <c r="M60" s="169" t="n"/>
      <c r="N60" s="169" t="n"/>
      <c r="O60" s="170">
        <f>+SUM(C60:N60)</f>
        <v/>
      </c>
      <c r="P60" s="775" t="n"/>
      <c r="Q60" s="983" t="n"/>
      <c r="R60" s="983" t="n"/>
      <c r="S60" s="983" t="n"/>
      <c r="T60" s="983" t="n"/>
      <c r="U60" s="983" t="n"/>
      <c r="V60" s="983" t="n"/>
      <c r="W60" s="983" t="n"/>
      <c r="X60" s="983" t="n"/>
      <c r="Y60" s="983" t="n"/>
    </row>
    <row r="61" ht="12.9" customFormat="1" customHeight="1" s="143">
      <c r="A61" s="803" t="n"/>
      <c r="B61" s="177" t="inlineStr">
        <is>
          <t>Reparaciones Locativas</t>
        </is>
      </c>
      <c r="C61" s="921" t="n"/>
      <c r="D61" s="921" t="n"/>
      <c r="E61" s="921" t="n">
        <v>241842440</v>
      </c>
      <c r="F61" s="921" t="n"/>
      <c r="G61" s="921" t="n"/>
      <c r="H61" s="921" t="n"/>
      <c r="I61" s="921" t="n"/>
      <c r="J61" s="921" t="n"/>
      <c r="K61" s="921" t="n"/>
      <c r="L61" s="921" t="n"/>
      <c r="M61" s="921" t="n"/>
      <c r="N61" s="921" t="n"/>
      <c r="O61" s="170">
        <f>+SUM(C61:N61)</f>
        <v/>
      </c>
      <c r="P61" s="775" t="n"/>
      <c r="Q61" s="983" t="n"/>
      <c r="R61" s="983" t="n"/>
      <c r="S61" s="983" t="n"/>
      <c r="T61" s="983" t="n"/>
      <c r="U61" s="983" t="n"/>
      <c r="V61" s="983" t="n"/>
      <c r="W61" s="983" t="n"/>
      <c r="X61" s="983" t="n"/>
      <c r="Y61" s="983" t="n"/>
    </row>
    <row r="62" ht="15" customFormat="1" customHeight="1" s="116">
      <c r="A62" s="778" t="n"/>
      <c r="B62" s="110" t="inlineStr">
        <is>
          <t>GASTOS DE VIAJE</t>
        </is>
      </c>
      <c r="C62" s="111">
        <f>SUM(C63:C65)</f>
        <v/>
      </c>
      <c r="D62" s="973">
        <f>SUM(D63:D65)</f>
        <v/>
      </c>
      <c r="E62" s="111">
        <f>SUM(E63:E65)</f>
        <v/>
      </c>
      <c r="F62" s="111">
        <f>SUM(F63:F65)</f>
        <v/>
      </c>
      <c r="G62" s="111">
        <f>SUM(G63:G65)</f>
        <v/>
      </c>
      <c r="H62" s="111">
        <f>SUM(H63:H65)</f>
        <v/>
      </c>
      <c r="I62" s="111">
        <f>SUM(I63:I65)</f>
        <v/>
      </c>
      <c r="J62" s="111">
        <f>SUM(J63:J65)</f>
        <v/>
      </c>
      <c r="K62" s="111">
        <f>SUM(K63:K65)</f>
        <v/>
      </c>
      <c r="L62" s="111">
        <f>SUM(L63:L65)</f>
        <v/>
      </c>
      <c r="M62" s="111">
        <f>SUM(M63:M65)</f>
        <v/>
      </c>
      <c r="N62" s="111">
        <f>SUM(N63:N65)</f>
        <v/>
      </c>
      <c r="O62" s="111">
        <f>SUM(O63:O65)</f>
        <v/>
      </c>
      <c r="P62" s="771" t="n"/>
    </row>
    <row r="63" ht="12.9" customHeight="1" s="985">
      <c r="A63" s="780" t="inlineStr">
        <is>
          <t xml:space="preserve">51550501            </t>
        </is>
      </c>
      <c r="B63" s="172" t="inlineStr">
        <is>
          <t>Alojamiento y Manutencion</t>
        </is>
      </c>
      <c r="C63" s="405" t="n"/>
      <c r="D63" s="405" t="n"/>
      <c r="E63" s="405" t="n">
        <v>241842440</v>
      </c>
      <c r="F63" s="405" t="n"/>
      <c r="G63" s="405" t="n"/>
      <c r="H63" s="405" t="n"/>
      <c r="I63" s="405" t="n"/>
      <c r="J63" s="405" t="n"/>
      <c r="K63" s="405" t="n"/>
      <c r="L63" s="405" t="n"/>
      <c r="M63" s="405" t="n"/>
      <c r="N63" s="405" t="n"/>
      <c r="O63" s="434">
        <f>+SUM(C63:N63)</f>
        <v/>
      </c>
      <c r="P63" s="771" t="n"/>
    </row>
    <row r="64" ht="12.9" customHeight="1" s="985">
      <c r="A64" s="780" t="inlineStr">
        <is>
          <t xml:space="preserve">51551501            </t>
        </is>
      </c>
      <c r="B64" s="178" t="inlineStr">
        <is>
          <t>Pasajes Aereos</t>
        </is>
      </c>
      <c r="C64" s="170" t="n"/>
      <c r="D64" s="170" t="n"/>
      <c r="E64" s="926" t="n">
        <v>241842440</v>
      </c>
      <c r="F64" s="170" t="n"/>
      <c r="G64" s="170" t="n"/>
      <c r="H64" s="170" t="n"/>
      <c r="I64" s="170" t="n"/>
      <c r="J64" s="170" t="n"/>
      <c r="K64" s="170" t="n"/>
      <c r="L64" s="170" t="n"/>
      <c r="M64" s="170" t="n"/>
      <c r="N64" s="170" t="n"/>
      <c r="O64" s="404">
        <f>+SUM(C64:N64)</f>
        <v/>
      </c>
      <c r="P64" s="771" t="n"/>
    </row>
    <row r="65" ht="12.9" customHeight="1" s="985">
      <c r="A65" s="780" t="n"/>
      <c r="B65" s="174" t="inlineStr">
        <is>
          <t>Pasajes Terrestres</t>
        </is>
      </c>
      <c r="C65" s="406" t="n"/>
      <c r="D65" s="406" t="n"/>
      <c r="E65" s="406" t="n">
        <v>241842440</v>
      </c>
      <c r="F65" s="406" t="n"/>
      <c r="G65" s="406" t="n"/>
      <c r="H65" s="406" t="n"/>
      <c r="I65" s="406" t="n"/>
      <c r="J65" s="406" t="n"/>
      <c r="K65" s="406" t="n"/>
      <c r="L65" s="406" t="n"/>
      <c r="M65" s="409" t="n"/>
      <c r="N65" s="409" t="n"/>
      <c r="O65" s="409">
        <f>+SUM(C65:N65)</f>
        <v/>
      </c>
      <c r="P65" s="771" t="n"/>
    </row>
    <row r="66" ht="15" customFormat="1" customHeight="1" s="116">
      <c r="A66" s="778" t="n"/>
      <c r="B66" s="742" t="inlineStr">
        <is>
          <t>DIVERSOS</t>
        </is>
      </c>
      <c r="C66" s="111">
        <f>SUM(C67:C88)</f>
        <v/>
      </c>
      <c r="D66" s="973">
        <f>SUM(D67:D88)</f>
        <v/>
      </c>
      <c r="E66" s="111">
        <f>SUM(E67:E88)</f>
        <v/>
      </c>
      <c r="F66" s="111">
        <f>SUM(F67:F88)</f>
        <v/>
      </c>
      <c r="G66" s="111">
        <f>SUM(G67:G88)</f>
        <v/>
      </c>
      <c r="H66" s="111">
        <f>SUM(H67:H88)</f>
        <v/>
      </c>
      <c r="I66" s="111">
        <f>SUM(I67:I88)</f>
        <v/>
      </c>
      <c r="J66" s="111">
        <f>SUM(J67:J88)</f>
        <v/>
      </c>
      <c r="K66" s="111">
        <f>SUM(K67:K88)</f>
        <v/>
      </c>
      <c r="L66" s="111">
        <f>SUM(L67:L88)</f>
        <v/>
      </c>
      <c r="M66" s="111">
        <f>SUM(M67:M88)</f>
        <v/>
      </c>
      <c r="N66" s="111">
        <f>SUM(N67:N88)</f>
        <v/>
      </c>
      <c r="O66" s="111">
        <f>SUM(O67:O88)</f>
        <v/>
      </c>
      <c r="P66" s="771" t="n"/>
    </row>
    <row r="67" ht="12.9" customFormat="1" customHeight="1" s="116">
      <c r="A67" s="780" t="inlineStr">
        <is>
          <t xml:space="preserve">51951001            </t>
        </is>
      </c>
      <c r="B67" s="172" t="inlineStr">
        <is>
          <t>Libros, suscripciones, period</t>
        </is>
      </c>
      <c r="C67" s="405">
        <f>'[9]Hoja 1'!$C$133</f>
        <v/>
      </c>
      <c r="D67" s="405">
        <f>'[10]Hoja 1'!$C$135</f>
        <v/>
      </c>
      <c r="E67" s="405" t="n">
        <v>241842440</v>
      </c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170">
        <f>+SUM(C67:N67)</f>
        <v/>
      </c>
      <c r="P67" s="771" t="n"/>
    </row>
    <row r="68" ht="12.9" customFormat="1" customHeight="1" s="116">
      <c r="A68" s="780" t="n"/>
      <c r="B68" s="178" t="inlineStr">
        <is>
          <t>Seguros Funerarios</t>
        </is>
      </c>
      <c r="C68" s="170" t="n"/>
      <c r="D68" s="170" t="n"/>
      <c r="E68" s="170" t="n">
        <v>241842440</v>
      </c>
      <c r="F68" s="170" t="n"/>
      <c r="G68" s="927" t="n"/>
      <c r="H68" s="170" t="n"/>
      <c r="I68" s="170" t="n"/>
      <c r="J68" s="170" t="n"/>
      <c r="K68" s="170" t="n"/>
      <c r="L68" s="170" t="n"/>
      <c r="M68" s="170" t="n"/>
      <c r="N68" s="170" t="n"/>
      <c r="O68" s="170">
        <f>+SUM(C68:N68)</f>
        <v/>
      </c>
      <c r="P68" s="771" t="n"/>
    </row>
    <row r="69" ht="12.9" customHeight="1" s="985">
      <c r="A69" s="780" t="inlineStr">
        <is>
          <t xml:space="preserve">51952501            </t>
        </is>
      </c>
      <c r="B69" s="178" t="inlineStr">
        <is>
          <t>Elementos de Aseo y Cafeteria</t>
        </is>
      </c>
      <c r="C69" s="171">
        <f>'[9]Hoja 1'!$C$135</f>
        <v/>
      </c>
      <c r="D69" s="171">
        <f>'[10]Hoja 1'!$C$137</f>
        <v/>
      </c>
      <c r="E69" s="171" t="n">
        <v>241842440</v>
      </c>
      <c r="F69" s="171" t="n"/>
      <c r="G69" s="171" t="n"/>
      <c r="H69" s="171" t="n"/>
      <c r="I69" s="171" t="n"/>
      <c r="J69" s="171" t="n"/>
      <c r="K69" s="171" t="n"/>
      <c r="L69" s="171" t="n"/>
      <c r="M69" s="171" t="n"/>
      <c r="N69" s="171" t="n"/>
      <c r="O69" s="170">
        <f>+SUM(C69:N69)</f>
        <v/>
      </c>
      <c r="P69" s="774" t="n"/>
    </row>
    <row r="70" ht="12.9" customFormat="1" customHeight="1" s="143">
      <c r="A70" s="780" t="inlineStr">
        <is>
          <t xml:space="preserve">51953001            </t>
        </is>
      </c>
      <c r="B70" s="178" t="inlineStr">
        <is>
          <t>Papeleria</t>
        </is>
      </c>
      <c r="C70" s="171">
        <f>'[9]Hoja 1'!$C$137+'[9]Hoja 1'!$C$402</f>
        <v/>
      </c>
      <c r="D70" s="171">
        <f>'[10]Hoja 1'!$C$139</f>
        <v/>
      </c>
      <c r="E70" s="171" t="n">
        <v>241842440</v>
      </c>
      <c r="F70" s="171" t="n"/>
      <c r="G70" s="171" t="n"/>
      <c r="H70" s="171" t="n"/>
      <c r="I70" s="171" t="n"/>
      <c r="J70" s="171" t="n"/>
      <c r="K70" s="171" t="n"/>
      <c r="L70" s="171" t="n"/>
      <c r="M70" s="171" t="n"/>
      <c r="N70" s="171" t="n"/>
      <c r="O70" s="170">
        <f>+SUM(C70:N70)</f>
        <v/>
      </c>
      <c r="P70" s="771" t="n"/>
      <c r="Q70" s="983" t="n"/>
      <c r="R70" s="983" t="n"/>
      <c r="S70" s="983" t="n"/>
      <c r="T70" s="983" t="n"/>
      <c r="U70" s="983" t="n"/>
      <c r="V70" s="983" t="n"/>
      <c r="W70" s="983" t="n"/>
      <c r="X70" s="983" t="n"/>
      <c r="Y70" s="983" t="n"/>
      <c r="Z70" s="983" t="n"/>
      <c r="AA70" s="983" t="n"/>
      <c r="AB70" s="983" t="n"/>
      <c r="AC70" s="983" t="n"/>
      <c r="AD70" s="983" t="n"/>
      <c r="AE70" s="983" t="n"/>
      <c r="AF70" s="983" t="n"/>
      <c r="AG70" s="983" t="n"/>
      <c r="AH70" s="983" t="n"/>
      <c r="AI70" s="983" t="n"/>
      <c r="AJ70" s="983" t="n"/>
      <c r="AK70" s="983" t="n"/>
      <c r="AL70" s="983" t="n"/>
      <c r="AM70" s="983" t="n"/>
      <c r="AN70" s="983" t="n"/>
      <c r="AO70" s="983" t="n"/>
      <c r="AP70" s="983" t="n"/>
      <c r="AQ70" s="983" t="n"/>
      <c r="AR70" s="983" t="n"/>
      <c r="AS70" s="983" t="n"/>
      <c r="AT70" s="983" t="n"/>
      <c r="AU70" s="983" t="n"/>
      <c r="AV70" s="983" t="n"/>
      <c r="AW70" s="983" t="n"/>
      <c r="AX70" s="983" t="n"/>
      <c r="AY70" s="983" t="n"/>
      <c r="AZ70" s="983" t="n"/>
      <c r="BA70" s="983" t="n"/>
      <c r="BB70" s="983" t="n"/>
      <c r="BC70" s="983" t="n"/>
      <c r="BD70" s="983" t="n"/>
      <c r="BE70" s="983" t="n"/>
      <c r="BF70" s="983" t="n"/>
      <c r="BG70" s="983" t="n"/>
      <c r="BH70" s="983" t="n"/>
      <c r="BI70" s="983" t="n"/>
      <c r="BJ70" s="983" t="n"/>
      <c r="BK70" s="983" t="n"/>
      <c r="BL70" s="983" t="n"/>
      <c r="BM70" s="983" t="n"/>
      <c r="BN70" s="983" t="n"/>
      <c r="BO70" s="983" t="n"/>
      <c r="BP70" s="983" t="n"/>
      <c r="BQ70" s="983" t="n"/>
      <c r="BR70" s="983" t="n"/>
      <c r="BS70" s="983" t="n"/>
      <c r="BT70" s="983" t="n"/>
      <c r="BU70" s="983" t="n"/>
      <c r="BV70" s="983" t="n"/>
      <c r="BW70" s="983" t="n"/>
      <c r="BX70" s="983" t="n"/>
      <c r="BY70" s="983" t="n"/>
      <c r="BZ70" s="983" t="n"/>
      <c r="CA70" s="983" t="n"/>
      <c r="CB70" s="983" t="n"/>
      <c r="CC70" s="983" t="n"/>
      <c r="CD70" s="983" t="n"/>
    </row>
    <row r="71" ht="12.9" customFormat="1" customHeight="1" s="143">
      <c r="A71" s="780" t="inlineStr">
        <is>
          <t xml:space="preserve">51953002            </t>
        </is>
      </c>
      <c r="B71" s="178" t="inlineStr">
        <is>
          <t>Fotocopias</t>
        </is>
      </c>
      <c r="C71" s="171" t="n"/>
      <c r="D71" s="171" t="n"/>
      <c r="E71" s="171" t="n">
        <v>241842440</v>
      </c>
      <c r="F71" s="171" t="n"/>
      <c r="G71" s="171" t="n"/>
      <c r="H71" s="171" t="n"/>
      <c r="I71" s="171" t="n"/>
      <c r="J71" s="171" t="n"/>
      <c r="K71" s="171" t="n"/>
      <c r="L71" s="171" t="n"/>
      <c r="M71" s="171" t="n"/>
      <c r="N71" s="171" t="n"/>
      <c r="O71" s="170">
        <f>+SUM(C71:N71)</f>
        <v/>
      </c>
      <c r="P71" s="771" t="n"/>
      <c r="Q71" s="983" t="n"/>
      <c r="R71" s="983" t="n"/>
      <c r="S71" s="983" t="n"/>
      <c r="T71" s="983" t="n"/>
      <c r="U71" s="983" t="n"/>
      <c r="V71" s="983" t="n"/>
      <c r="W71" s="983" t="n"/>
      <c r="X71" s="983" t="n"/>
      <c r="Y71" s="983" t="n"/>
      <c r="Z71" s="983" t="n"/>
      <c r="AA71" s="983" t="n"/>
      <c r="AB71" s="983" t="n"/>
      <c r="AC71" s="983" t="n"/>
      <c r="AD71" s="983" t="n"/>
      <c r="AE71" s="983" t="n"/>
      <c r="AF71" s="983" t="n"/>
      <c r="AG71" s="983" t="n"/>
      <c r="AH71" s="983" t="n"/>
      <c r="AI71" s="983" t="n"/>
      <c r="AJ71" s="983" t="n"/>
      <c r="AK71" s="983" t="n"/>
      <c r="AL71" s="983" t="n"/>
      <c r="AM71" s="983" t="n"/>
      <c r="AN71" s="983" t="n"/>
      <c r="AO71" s="983" t="n"/>
      <c r="AP71" s="983" t="n"/>
      <c r="AQ71" s="983" t="n"/>
      <c r="AR71" s="983" t="n"/>
      <c r="AS71" s="983" t="n"/>
      <c r="AT71" s="983" t="n"/>
      <c r="AU71" s="983" t="n"/>
      <c r="AV71" s="983" t="n"/>
      <c r="AW71" s="983" t="n"/>
      <c r="AX71" s="983" t="n"/>
      <c r="AY71" s="983" t="n"/>
      <c r="AZ71" s="983" t="n"/>
      <c r="BA71" s="983" t="n"/>
      <c r="BB71" s="983" t="n"/>
      <c r="BC71" s="983" t="n"/>
      <c r="BD71" s="983" t="n"/>
      <c r="BE71" s="983" t="n"/>
      <c r="BF71" s="983" t="n"/>
      <c r="BG71" s="983" t="n"/>
      <c r="BH71" s="983" t="n"/>
      <c r="BI71" s="983" t="n"/>
      <c r="BJ71" s="983" t="n"/>
      <c r="BK71" s="983" t="n"/>
      <c r="BL71" s="983" t="n"/>
      <c r="BM71" s="983" t="n"/>
      <c r="BN71" s="983" t="n"/>
      <c r="BO71" s="983" t="n"/>
      <c r="BP71" s="983" t="n"/>
      <c r="BQ71" s="983" t="n"/>
      <c r="BR71" s="983" t="n"/>
      <c r="BS71" s="983" t="n"/>
      <c r="BT71" s="983" t="n"/>
      <c r="BU71" s="983" t="n"/>
      <c r="BV71" s="983" t="n"/>
      <c r="BW71" s="983" t="n"/>
      <c r="BX71" s="983" t="n"/>
      <c r="BY71" s="983" t="n"/>
      <c r="BZ71" s="983" t="n"/>
      <c r="CA71" s="983" t="n"/>
      <c r="CB71" s="983" t="n"/>
      <c r="CC71" s="983" t="n"/>
      <c r="CD71" s="983" t="n"/>
    </row>
    <row r="72" ht="12.9" customHeight="1" s="985">
      <c r="A72" s="780" t="inlineStr">
        <is>
          <t xml:space="preserve">51953501            </t>
        </is>
      </c>
      <c r="B72" s="178" t="inlineStr">
        <is>
          <t>Combustible y Lubricantes</t>
        </is>
      </c>
      <c r="C72" s="171" t="n">
        <v>964175</v>
      </c>
      <c r="D72" s="171" t="n">
        <v>1186883</v>
      </c>
      <c r="E72" s="171" t="n">
        <v>241842440</v>
      </c>
      <c r="F72" s="171" t="n"/>
      <c r="G72" s="171" t="n"/>
      <c r="H72" s="171" t="n"/>
      <c r="I72" s="171" t="n"/>
      <c r="J72" s="171" t="n"/>
      <c r="K72" s="171" t="n"/>
      <c r="L72" s="171" t="n"/>
      <c r="M72" s="171" t="n"/>
      <c r="N72" s="171" t="n"/>
      <c r="O72" s="170">
        <f>+SUM(C72:N72)</f>
        <v/>
      </c>
      <c r="P72" s="771" t="n"/>
    </row>
    <row r="73" ht="12.9" customHeight="1" s="985">
      <c r="A73" s="780" t="inlineStr">
        <is>
          <t>51954001   - '71100501</t>
        </is>
      </c>
      <c r="B73" s="178" t="inlineStr">
        <is>
          <t>Envases y Empaques</t>
        </is>
      </c>
      <c r="C73" s="171">
        <f>'[9]Hoja 1'!$C$141</f>
        <v/>
      </c>
      <c r="D73" s="171">
        <f>'[10]Hoja 1'!$C$143</f>
        <v/>
      </c>
      <c r="E73" s="171" t="n">
        <v>243115937</v>
      </c>
      <c r="F73" s="171" t="n"/>
      <c r="G73" s="171" t="n"/>
      <c r="H73" s="171" t="n"/>
      <c r="I73" s="171" t="n"/>
      <c r="J73" s="171" t="n"/>
      <c r="K73" s="171" t="n"/>
      <c r="L73" s="171" t="n"/>
      <c r="M73" s="171" t="n"/>
      <c r="N73" s="171" t="n"/>
      <c r="O73" s="170">
        <f>+SUM(C73:N73)</f>
        <v/>
      </c>
      <c r="P73" s="771" t="n"/>
    </row>
    <row r="74" ht="12.9" customHeight="1" s="985">
      <c r="A74" s="780" t="inlineStr">
        <is>
          <t xml:space="preserve">51954501            </t>
        </is>
      </c>
      <c r="B74" s="178" t="inlineStr">
        <is>
          <t>Taxis y Buses</t>
        </is>
      </c>
      <c r="C74" s="171">
        <f>'[9]Hoja 1'!$C$143</f>
        <v/>
      </c>
      <c r="D74" s="171">
        <f>'[10]Hoja 1'!$C$145</f>
        <v/>
      </c>
      <c r="E74" s="171" t="n">
        <v>241842440</v>
      </c>
      <c r="F74" s="171" t="n"/>
      <c r="G74" s="171" t="n"/>
      <c r="H74" s="171" t="n"/>
      <c r="I74" s="171" t="n"/>
      <c r="J74" s="171" t="n"/>
      <c r="K74" s="171" t="n"/>
      <c r="L74" s="171" t="n"/>
      <c r="M74" s="171" t="n"/>
      <c r="N74" s="171" t="n"/>
      <c r="O74" s="170">
        <f>+SUM(C74:N74)</f>
        <v/>
      </c>
      <c r="P74" s="771" t="n"/>
    </row>
    <row r="75" ht="12.9" customHeight="1" s="985">
      <c r="A75" s="780" t="inlineStr">
        <is>
          <t xml:space="preserve">51956001            </t>
        </is>
      </c>
      <c r="B75" s="178" t="inlineStr">
        <is>
          <t>Casino y Restaurante (Refrigerios)</t>
        </is>
      </c>
      <c r="C75" s="171">
        <f>'[9]Hoja 1'!$C$145</f>
        <v/>
      </c>
      <c r="D75" s="171">
        <f>'[10]Hoja 1'!$C$147</f>
        <v/>
      </c>
      <c r="E75" s="171" t="n">
        <v>241842440</v>
      </c>
      <c r="F75" s="171" t="n"/>
      <c r="G75" s="171" t="n"/>
      <c r="H75" s="171" t="n"/>
      <c r="I75" s="171" t="n"/>
      <c r="J75" s="171" t="n"/>
      <c r="K75" s="171" t="n"/>
      <c r="L75" s="171" t="n"/>
      <c r="M75" s="171" t="n"/>
      <c r="N75" s="171" t="n"/>
      <c r="O75" s="170">
        <f>+SUM(C75:N75)</f>
        <v/>
      </c>
      <c r="P75" s="771" t="n"/>
    </row>
    <row r="76" ht="12.9" customHeight="1" s="985">
      <c r="A76" s="780" t="inlineStr">
        <is>
          <t xml:space="preserve">51956501            </t>
        </is>
      </c>
      <c r="B76" s="178" t="inlineStr">
        <is>
          <t>Parqueaderos</t>
        </is>
      </c>
      <c r="C76" s="171">
        <f>'[9]Hoja 1'!$C$148</f>
        <v/>
      </c>
      <c r="D76" s="171">
        <f>'[10]Hoja 1'!$C$150</f>
        <v/>
      </c>
      <c r="E76" s="171" t="n">
        <v>241842440</v>
      </c>
      <c r="F76" s="171" t="n"/>
      <c r="G76" s="171" t="n"/>
      <c r="H76" s="171" t="n"/>
      <c r="I76" s="171" t="n"/>
      <c r="J76" s="171" t="n"/>
      <c r="K76" s="171" t="n"/>
      <c r="L76" s="171" t="n"/>
      <c r="M76" s="171" t="n"/>
      <c r="N76" s="171" t="n"/>
      <c r="O76" s="170">
        <f>+SUM(C76:N76)</f>
        <v/>
      </c>
      <c r="P76" s="771" t="n"/>
    </row>
    <row r="77" ht="12.9" customHeight="1" s="985">
      <c r="A77" s="780" t="inlineStr">
        <is>
          <t xml:space="preserve">51956601            </t>
        </is>
      </c>
      <c r="B77" s="178" t="inlineStr">
        <is>
          <t>Peajes</t>
        </is>
      </c>
      <c r="C77" s="171">
        <f>'[9]Hoja 1'!$C$150</f>
        <v/>
      </c>
      <c r="D77" s="171">
        <f>'[10]Hoja 1'!$C$152</f>
        <v/>
      </c>
      <c r="E77" s="171" t="n">
        <v>241842440</v>
      </c>
      <c r="F77" s="171" t="n"/>
      <c r="G77" s="171" t="n"/>
      <c r="H77" s="171" t="n"/>
      <c r="I77" s="171" t="n"/>
      <c r="J77" s="171" t="n"/>
      <c r="K77" s="171" t="n"/>
      <c r="L77" s="171" t="n"/>
      <c r="M77" s="171" t="n"/>
      <c r="N77" s="171" t="n"/>
      <c r="O77" s="170">
        <f>+SUM(C77:N77)</f>
        <v/>
      </c>
      <c r="P77" s="771" t="n"/>
    </row>
    <row r="78" ht="12.9" customFormat="1" customHeight="1" s="143">
      <c r="A78" s="780" t="inlineStr">
        <is>
          <t xml:space="preserve">51959501            </t>
        </is>
      </c>
      <c r="B78" s="176" t="inlineStr">
        <is>
          <t>Otros</t>
        </is>
      </c>
      <c r="C78" s="928">
        <f>'[9]Hoja 1'!$C$152</f>
        <v/>
      </c>
      <c r="D78" s="170">
        <f>'[10]Hoja 1'!$C$154</f>
        <v/>
      </c>
      <c r="E78" s="170" t="n">
        <v>241842440</v>
      </c>
      <c r="F78" s="170" t="n"/>
      <c r="G78" s="170" t="n"/>
      <c r="H78" s="170" t="n"/>
      <c r="I78" s="170" t="n"/>
      <c r="J78" s="170" t="n"/>
      <c r="K78" s="170" t="n"/>
      <c r="L78" s="170" t="n"/>
      <c r="M78" s="170" t="n"/>
      <c r="N78" s="170" t="n"/>
      <c r="O78" s="170">
        <f>+SUM(C78:N78)</f>
        <v/>
      </c>
      <c r="P78" s="771" t="n"/>
      <c r="Q78" s="983" t="n"/>
      <c r="R78" s="983" t="n"/>
      <c r="S78" s="983" t="n"/>
      <c r="T78" s="983" t="n"/>
      <c r="U78" s="983" t="n"/>
      <c r="V78" s="983" t="n"/>
      <c r="W78" s="983" t="n"/>
      <c r="X78" s="983" t="n"/>
      <c r="Y78" s="983" t="n"/>
      <c r="Z78" s="983" t="n"/>
      <c r="AA78" s="983" t="n"/>
      <c r="AB78" s="983" t="n"/>
      <c r="AC78" s="983" t="n"/>
      <c r="AD78" s="983" t="n"/>
      <c r="AE78" s="983" t="n"/>
      <c r="AF78" s="983" t="n"/>
      <c r="AG78" s="983" t="n"/>
      <c r="AH78" s="983" t="n"/>
      <c r="AI78" s="983" t="n"/>
      <c r="AJ78" s="983" t="n"/>
      <c r="AK78" s="983" t="n"/>
      <c r="AL78" s="983" t="n"/>
      <c r="AM78" s="983" t="n"/>
      <c r="AN78" s="983" t="n"/>
      <c r="AO78" s="983" t="n"/>
      <c r="AP78" s="983" t="n"/>
      <c r="AQ78" s="983" t="n"/>
      <c r="AR78" s="983" t="n"/>
      <c r="AS78" s="983" t="n"/>
      <c r="AT78" s="983" t="n"/>
      <c r="AU78" s="983" t="n"/>
      <c r="AV78" s="983" t="n"/>
      <c r="AW78" s="983" t="n"/>
      <c r="AX78" s="983" t="n"/>
      <c r="AY78" s="983" t="n"/>
      <c r="AZ78" s="983" t="n"/>
      <c r="BA78" s="983" t="n"/>
      <c r="BB78" s="983" t="n"/>
      <c r="BC78" s="983" t="n"/>
      <c r="BD78" s="983" t="n"/>
      <c r="BE78" s="983" t="n"/>
      <c r="BF78" s="983" t="n"/>
      <c r="BG78" s="983" t="n"/>
      <c r="BH78" s="983" t="n"/>
      <c r="BI78" s="983" t="n"/>
      <c r="BJ78" s="983" t="n"/>
      <c r="BK78" s="983" t="n"/>
      <c r="BL78" s="983" t="n"/>
      <c r="BM78" s="983" t="n"/>
      <c r="BN78" s="983" t="n"/>
      <c r="BO78" s="983" t="n"/>
      <c r="BP78" s="983" t="n"/>
      <c r="BQ78" s="983" t="n"/>
      <c r="BR78" s="983" t="n"/>
      <c r="BS78" s="983" t="n"/>
      <c r="BT78" s="983" t="n"/>
      <c r="BU78" s="983" t="n"/>
      <c r="BV78" s="983" t="n"/>
      <c r="BW78" s="983" t="n"/>
      <c r="BX78" s="983" t="n"/>
      <c r="BY78" s="983" t="n"/>
      <c r="BZ78" s="983" t="n"/>
      <c r="CA78" s="983" t="n"/>
      <c r="CB78" s="983" t="n"/>
      <c r="CC78" s="983" t="n"/>
      <c r="CD78" s="983" t="n"/>
    </row>
    <row r="79" ht="13.5" customHeight="1" s="985">
      <c r="A79" s="780" t="inlineStr">
        <is>
          <t xml:space="preserve">51959502            </t>
        </is>
      </c>
      <c r="B79" s="176" t="inlineStr">
        <is>
          <t>Compra Equipos de Oficina</t>
        </is>
      </c>
      <c r="C79" s="170">
        <f>'[9]Hoja 1'!$C$153</f>
        <v/>
      </c>
      <c r="D79" s="170">
        <f>'[10]Hoja 1'!$C$155</f>
        <v/>
      </c>
      <c r="E79" s="170" t="n">
        <v>241842440</v>
      </c>
      <c r="F79" s="170" t="n"/>
      <c r="G79" s="170" t="n"/>
      <c r="H79" s="170" t="n"/>
      <c r="I79" s="170" t="n"/>
      <c r="J79" s="170" t="n"/>
      <c r="K79" s="170" t="n"/>
      <c r="L79" s="170" t="n"/>
      <c r="M79" s="170" t="n"/>
      <c r="N79" s="170" t="n"/>
      <c r="O79" s="170">
        <f>+SUM(C79:N79)</f>
        <v/>
      </c>
      <c r="P79" s="771" t="n"/>
    </row>
    <row r="80" ht="12.9" customHeight="1" s="985">
      <c r="A80" s="780" t="inlineStr">
        <is>
          <t xml:space="preserve">51959503            </t>
        </is>
      </c>
      <c r="B80" s="178" t="inlineStr">
        <is>
          <t>Compra Suministros</t>
        </is>
      </c>
      <c r="C80" s="170">
        <f>'[9]Hoja 1'!$C$154</f>
        <v/>
      </c>
      <c r="D80" s="170">
        <f>'[10]Hoja 1'!$C$156</f>
        <v/>
      </c>
      <c r="E80" s="170" t="n">
        <v>241842440</v>
      </c>
      <c r="F80" s="170" t="n"/>
      <c r="G80" s="170" t="n"/>
      <c r="H80" s="170" t="n"/>
      <c r="I80" s="170" t="n"/>
      <c r="J80" s="170" t="n"/>
      <c r="K80" s="170" t="n"/>
      <c r="L80" s="170" t="n"/>
      <c r="M80" s="170" t="n"/>
      <c r="N80" s="170" t="n"/>
      <c r="O80" s="170">
        <f>+SUM(C80:N80)</f>
        <v/>
      </c>
      <c r="P80" s="771" t="n"/>
    </row>
    <row r="81" ht="12.9" customHeight="1" s="985">
      <c r="A81" s="780" t="n">
        <v>51959510</v>
      </c>
      <c r="B81" s="178" t="inlineStr">
        <is>
          <t>Herramientas y articulos ferreteria</t>
        </is>
      </c>
      <c r="C81" s="170">
        <f>'[9]Hoja 1'!$C$156</f>
        <v/>
      </c>
      <c r="D81" s="170">
        <f>'[10]Hoja 1'!$C$159</f>
        <v/>
      </c>
      <c r="E81" s="170" t="n">
        <v>241842440</v>
      </c>
      <c r="F81" s="170" t="n"/>
      <c r="G81" s="170" t="n"/>
      <c r="H81" s="170" t="n"/>
      <c r="I81" s="170" t="n"/>
      <c r="J81" s="170" t="n"/>
      <c r="K81" s="170" t="n"/>
      <c r="L81" s="170" t="n"/>
      <c r="M81" s="170" t="n"/>
      <c r="N81" s="931" t="n"/>
      <c r="O81" s="170">
        <f>+SUM(C81:N81)</f>
        <v/>
      </c>
      <c r="P81" s="771" t="n"/>
    </row>
    <row r="82" ht="12.9" customFormat="1" customHeight="1" s="143">
      <c r="A82" s="803" t="inlineStr">
        <is>
          <t xml:space="preserve">51959512            </t>
        </is>
      </c>
      <c r="B82" s="176" t="inlineStr">
        <is>
          <t>Reuniones Fiestas y Detalles</t>
        </is>
      </c>
      <c r="C82" s="170">
        <f>'[9]Hoja 1'!$C$157</f>
        <v/>
      </c>
      <c r="D82" s="170">
        <f>'[10]Hoja 1'!$C$160</f>
        <v/>
      </c>
      <c r="E82" s="170" t="n">
        <v>241842440</v>
      </c>
      <c r="F82" s="170" t="n"/>
      <c r="G82" s="170" t="n"/>
      <c r="H82" s="170" t="n"/>
      <c r="I82" s="170" t="n"/>
      <c r="J82" s="170" t="n"/>
      <c r="K82" s="170" t="n"/>
      <c r="L82" s="170" t="n"/>
      <c r="M82" s="437" t="n"/>
      <c r="N82" s="910" t="n"/>
      <c r="O82" s="170">
        <f>+SUM(C82:N82)</f>
        <v/>
      </c>
      <c r="P82" s="775" t="n"/>
      <c r="Q82" s="983" t="n"/>
      <c r="R82" s="983" t="n"/>
      <c r="S82" s="983" t="n"/>
      <c r="T82" s="983" t="n"/>
      <c r="U82" s="983" t="n"/>
      <c r="V82" s="983" t="n"/>
      <c r="W82" s="983" t="n"/>
      <c r="X82" s="983" t="n"/>
      <c r="Y82" s="983" t="n"/>
      <c r="Z82" s="983" t="n"/>
      <c r="AA82" s="983" t="n"/>
      <c r="AB82" s="983" t="n"/>
      <c r="AC82" s="983" t="n"/>
      <c r="AD82" s="983" t="n"/>
      <c r="AE82" s="983" t="n"/>
      <c r="AF82" s="983" t="n"/>
      <c r="AG82" s="983" t="n"/>
      <c r="AH82" s="983" t="n"/>
      <c r="AI82" s="983" t="n"/>
      <c r="AJ82" s="983" t="n"/>
      <c r="AK82" s="983" t="n"/>
      <c r="AL82" s="983" t="n"/>
      <c r="AM82" s="983" t="n"/>
      <c r="AN82" s="983" t="n"/>
      <c r="AO82" s="983" t="n"/>
      <c r="AP82" s="983" t="n"/>
      <c r="AQ82" s="983" t="n"/>
      <c r="AR82" s="983" t="n"/>
      <c r="AS82" s="983" t="n"/>
      <c r="AT82" s="983" t="n"/>
      <c r="AU82" s="983" t="n"/>
      <c r="AV82" s="983" t="n"/>
      <c r="AW82" s="983" t="n"/>
      <c r="AX82" s="983" t="n"/>
      <c r="AY82" s="983" t="n"/>
      <c r="AZ82" s="983" t="n"/>
      <c r="BA82" s="983" t="n"/>
      <c r="BB82" s="983" t="n"/>
      <c r="BC82" s="983" t="n"/>
      <c r="BD82" s="983" t="n"/>
      <c r="BE82" s="983" t="n"/>
      <c r="BF82" s="983" t="n"/>
      <c r="BG82" s="983" t="n"/>
      <c r="BH82" s="983" t="n"/>
      <c r="BI82" s="983" t="n"/>
      <c r="BJ82" s="983" t="n"/>
      <c r="BK82" s="983" t="n"/>
      <c r="BL82" s="983" t="n"/>
      <c r="BM82" s="983" t="n"/>
      <c r="BN82" s="983" t="n"/>
      <c r="BO82" s="983" t="n"/>
      <c r="BP82" s="983" t="n"/>
      <c r="BQ82" s="983" t="n"/>
      <c r="BR82" s="983" t="n"/>
      <c r="BS82" s="983" t="n"/>
      <c r="BT82" s="983" t="n"/>
      <c r="BU82" s="983" t="n"/>
      <c r="BV82" s="983" t="n"/>
      <c r="BW82" s="983" t="n"/>
      <c r="BX82" s="983" t="n"/>
      <c r="BY82" s="983" t="n"/>
      <c r="BZ82" s="983" t="n"/>
      <c r="CA82" s="983" t="n"/>
      <c r="CB82" s="983" t="n"/>
    </row>
    <row r="83" ht="12.9" customHeight="1" s="985">
      <c r="A83" s="780" t="inlineStr">
        <is>
          <t xml:space="preserve">51959514            </t>
        </is>
      </c>
      <c r="B83" s="178" t="inlineStr">
        <is>
          <t>Equipos de Bodega</t>
        </is>
      </c>
      <c r="C83" s="393">
        <f>'[9]Hoja 1'!$C$159</f>
        <v/>
      </c>
      <c r="D83" s="393">
        <f>'[10]Hoja 1'!$C$161</f>
        <v/>
      </c>
      <c r="E83" s="393" t="n">
        <v>241842440</v>
      </c>
      <c r="F83" s="393" t="n"/>
      <c r="G83" s="393" t="n"/>
      <c r="H83" s="393" t="n"/>
      <c r="I83" s="393" t="n"/>
      <c r="J83" s="393" t="n"/>
      <c r="K83" s="393" t="n"/>
      <c r="L83" s="393" t="n"/>
      <c r="M83" s="393" t="n"/>
      <c r="N83" s="393" t="n"/>
      <c r="O83" s="170">
        <f>+SUM(C83:N83)</f>
        <v/>
      </c>
      <c r="P83" s="771" t="n"/>
    </row>
    <row r="84" ht="12.9" customHeight="1" s="985">
      <c r="A84" s="780" t="inlineStr">
        <is>
          <t xml:space="preserve">51959515            </t>
        </is>
      </c>
      <c r="B84" s="178" t="inlineStr">
        <is>
          <t>Compra Equipos de computo y comunicación</t>
        </is>
      </c>
      <c r="C84" s="170">
        <f>'[9]Hoja 1'!$C$160</f>
        <v/>
      </c>
      <c r="D84" s="170">
        <f>'[10]Hoja 1'!$C$162</f>
        <v/>
      </c>
      <c r="E84" s="170" t="n">
        <v>241842440</v>
      </c>
      <c r="F84" s="170" t="n"/>
      <c r="G84" s="170" t="n"/>
      <c r="H84" s="170" t="n"/>
      <c r="I84" s="170" t="n"/>
      <c r="J84" s="170" t="n"/>
      <c r="K84" s="170" t="n"/>
      <c r="L84" s="170" t="n"/>
      <c r="M84" s="170" t="n"/>
      <c r="N84" s="170" t="n"/>
      <c r="O84" s="170">
        <f>+SUM(C84:N84)</f>
        <v/>
      </c>
      <c r="P84" s="771" t="n"/>
    </row>
    <row r="85" ht="12.9" customHeight="1" s="985">
      <c r="A85" s="780" t="inlineStr">
        <is>
          <t xml:space="preserve">51959504            </t>
        </is>
      </c>
      <c r="B85" s="178" t="inlineStr">
        <is>
          <t>Cuota de Apoyo y Sostenimiento (SENA)</t>
        </is>
      </c>
      <c r="C85" s="171">
        <f>'[9]Hoja 1'!$C$155</f>
        <v/>
      </c>
      <c r="D85" s="171">
        <f>'[10]Hoja 1'!$C$157</f>
        <v/>
      </c>
      <c r="E85" s="171" t="n">
        <v>241842440</v>
      </c>
      <c r="F85" s="171" t="n"/>
      <c r="G85" s="171" t="n"/>
      <c r="H85" s="171" t="n"/>
      <c r="I85" s="171" t="n"/>
      <c r="J85" s="171" t="n"/>
      <c r="K85" s="171" t="n"/>
      <c r="L85" s="171" t="n"/>
      <c r="M85" s="171" t="n"/>
      <c r="N85" s="171" t="n"/>
      <c r="O85" s="170">
        <f>+SUM(C85:N85)</f>
        <v/>
      </c>
      <c r="P85" s="771" t="n"/>
    </row>
    <row r="86" ht="12.9" customHeight="1" s="985">
      <c r="A86" s="780" t="n"/>
      <c r="B86" s="713" t="inlineStr">
        <is>
          <t>Menaje - Basculas-Canastillas-Estibas</t>
        </is>
      </c>
      <c r="C86" s="928" t="n"/>
      <c r="D86" s="928" t="n"/>
      <c r="E86" s="928" t="n">
        <v>241842440</v>
      </c>
      <c r="F86" s="928" t="n"/>
      <c r="G86" s="928" t="n"/>
      <c r="H86" s="928" t="n"/>
      <c r="I86" s="928" t="n"/>
      <c r="J86" s="910" t="n"/>
      <c r="K86" s="928" t="n"/>
      <c r="L86" s="928" t="n"/>
      <c r="M86" s="928" t="n"/>
      <c r="N86" s="928" t="n"/>
      <c r="O86" s="437">
        <f>+SUM(C86:N86)</f>
        <v/>
      </c>
      <c r="P86" s="771" t="n"/>
    </row>
    <row r="87" ht="12.9" customHeight="1" s="985">
      <c r="A87" s="781" t="inlineStr">
        <is>
          <t xml:space="preserve">51959518            </t>
        </is>
      </c>
      <c r="B87" s="713" t="inlineStr">
        <is>
          <t>Compra Mercado IVH</t>
        </is>
      </c>
      <c r="C87" s="928" t="n"/>
      <c r="D87" s="928">
        <f>'[10]Hoja 1'!$C$164</f>
        <v/>
      </c>
      <c r="E87" s="928" t="n">
        <v>241842440</v>
      </c>
      <c r="F87" s="928" t="n"/>
      <c r="G87" s="928" t="n"/>
      <c r="H87" s="928" t="n"/>
      <c r="I87" s="928" t="n"/>
      <c r="J87" s="928" t="n"/>
      <c r="K87" s="928" t="n"/>
      <c r="L87" s="928" t="n"/>
      <c r="M87" s="928" t="n"/>
      <c r="N87" s="928" t="n"/>
      <c r="O87" s="437">
        <f>+SUM(C87:N87)</f>
        <v/>
      </c>
      <c r="P87" s="771" t="n"/>
    </row>
    <row r="88" ht="12.9" customHeight="1" s="985">
      <c r="A88" s="776" t="inlineStr">
        <is>
          <t xml:space="preserve">51959517            </t>
        </is>
      </c>
      <c r="B88" s="177" t="inlineStr">
        <is>
          <t>Convenios medicos - EMI</t>
        </is>
      </c>
      <c r="C88" s="921">
        <f>'[9]Hoja 1'!$C$161</f>
        <v/>
      </c>
      <c r="D88" s="921">
        <f>'[10]Hoja 1'!$C$163</f>
        <v/>
      </c>
      <c r="E88" s="921" t="n">
        <v>241842440</v>
      </c>
      <c r="F88" s="921" t="n"/>
      <c r="G88" s="921" t="n"/>
      <c r="H88" s="921" t="n"/>
      <c r="I88" s="921" t="n"/>
      <c r="J88" s="921" t="n"/>
      <c r="K88" s="921" t="n"/>
      <c r="L88" s="921" t="n"/>
      <c r="M88" s="921" t="n"/>
      <c r="N88" s="921" t="n"/>
      <c r="O88" s="406">
        <f>+SUM(C88:N88)</f>
        <v/>
      </c>
      <c r="P88" s="773" t="n"/>
    </row>
    <row r="89" ht="12.9" customHeight="1" s="985">
      <c r="A89" s="780" t="n"/>
      <c r="B89" s="742" t="inlineStr">
        <is>
          <t>CASINO</t>
        </is>
      </c>
      <c r="C89" s="111">
        <f>CASINO!$C$144</f>
        <v/>
      </c>
      <c r="D89" s="973">
        <f>CASINO!$F$144</f>
        <v/>
      </c>
      <c r="E89" s="998" t="n"/>
      <c r="F89" s="903" t="n"/>
      <c r="G89" s="903" t="n"/>
      <c r="H89" s="903" t="n"/>
      <c r="I89" s="903" t="n"/>
      <c r="J89" s="903" t="n"/>
      <c r="K89" s="903" t="n"/>
      <c r="L89" s="903" t="n"/>
      <c r="M89" s="903" t="n"/>
      <c r="N89" s="953" t="n"/>
      <c r="O89" s="406">
        <f>+SUM(C89:N89)</f>
        <v/>
      </c>
      <c r="P89" s="771" t="n"/>
    </row>
    <row r="90" ht="12.9" customHeight="1" s="985">
      <c r="A90" s="780" t="n"/>
      <c r="B90" s="110" t="inlineStr">
        <is>
          <t>OTROS GASTOS DIVERSOS</t>
        </is>
      </c>
      <c r="C90" s="111">
        <f>SUM(C91:C95)</f>
        <v/>
      </c>
      <c r="D90" s="973">
        <f>SUM(D91:D95)</f>
        <v/>
      </c>
      <c r="E90" s="111">
        <f>SUM(E91:E95)</f>
        <v/>
      </c>
      <c r="F90" s="111">
        <f>SUM(F91:F95)</f>
        <v/>
      </c>
      <c r="G90" s="111">
        <f>SUM(G91:G95)</f>
        <v/>
      </c>
      <c r="H90" s="111">
        <f>SUM(H91:H95)</f>
        <v/>
      </c>
      <c r="I90" s="111">
        <f>SUM(I91:I95)</f>
        <v/>
      </c>
      <c r="J90" s="111">
        <f>SUM(J91:J95)</f>
        <v/>
      </c>
      <c r="K90" s="111">
        <f>SUM(K91:K95)</f>
        <v/>
      </c>
      <c r="L90" s="111">
        <f>SUM(L91:L95)</f>
        <v/>
      </c>
      <c r="M90" s="111">
        <f>SUM(M91:M95)</f>
        <v/>
      </c>
      <c r="N90" s="111">
        <f>SUM(N91:N95)</f>
        <v/>
      </c>
      <c r="O90" s="111">
        <f>SUM(O91:O95)</f>
        <v/>
      </c>
      <c r="P90" s="771" t="n"/>
    </row>
    <row r="91" ht="12.9" customFormat="1" customHeight="1" s="143">
      <c r="A91" s="780" t="n"/>
      <c r="B91" s="179" t="inlineStr">
        <is>
          <t>Demandas por Incumplimiento de Contrato</t>
        </is>
      </c>
      <c r="C91" s="405" t="n"/>
      <c r="D91" s="405" t="n"/>
      <c r="E91" s="405" t="n">
        <v>241842440</v>
      </c>
      <c r="F91" s="405" t="n"/>
      <c r="G91" s="405" t="n"/>
      <c r="H91" s="405" t="n"/>
      <c r="I91" s="405" t="n"/>
      <c r="J91" s="405" t="n"/>
      <c r="K91" s="405" t="n"/>
      <c r="L91" s="405" t="n"/>
      <c r="M91" s="405" t="n"/>
      <c r="N91" s="405" t="n"/>
      <c r="O91" s="434">
        <f>+SUM(C91:N91)</f>
        <v/>
      </c>
      <c r="P91" s="775" t="n"/>
      <c r="Q91" s="983" t="n"/>
      <c r="R91" s="983" t="n"/>
      <c r="S91" s="983" t="n"/>
      <c r="T91" s="983" t="n"/>
      <c r="U91" s="983" t="n"/>
      <c r="V91" s="983" t="n"/>
      <c r="W91" s="983" t="n"/>
      <c r="X91" s="983" t="n"/>
      <c r="Y91" s="983" t="n"/>
      <c r="Z91" s="983" t="n"/>
      <c r="AA91" s="983" t="n"/>
      <c r="AB91" s="983" t="n"/>
      <c r="AC91" s="983" t="n"/>
      <c r="AD91" s="983" t="n"/>
      <c r="AE91" s="983" t="n"/>
      <c r="AF91" s="983" t="n"/>
      <c r="AG91" s="983" t="n"/>
      <c r="AH91" s="983" t="n"/>
      <c r="AI91" s="983" t="n"/>
      <c r="AJ91" s="983" t="n"/>
      <c r="AK91" s="983" t="n"/>
      <c r="AL91" s="983" t="n"/>
      <c r="AM91" s="983" t="n"/>
      <c r="AN91" s="983" t="n"/>
      <c r="AO91" s="983" t="n"/>
      <c r="AP91" s="983" t="n"/>
      <c r="AQ91" s="983" t="n"/>
      <c r="AR91" s="983" t="n"/>
      <c r="AS91" s="983" t="n"/>
      <c r="AT91" s="983" t="n"/>
      <c r="AU91" s="983" t="n"/>
      <c r="AV91" s="983" t="n"/>
      <c r="AW91" s="983" t="n"/>
      <c r="AX91" s="983" t="n"/>
      <c r="AY91" s="983" t="n"/>
      <c r="AZ91" s="983" t="n"/>
      <c r="BA91" s="983" t="n"/>
      <c r="BB91" s="983" t="n"/>
      <c r="BC91" s="983" t="n"/>
      <c r="BD91" s="983" t="n"/>
      <c r="BE91" s="983" t="n"/>
      <c r="BF91" s="983" t="n"/>
      <c r="BG91" s="983" t="n"/>
      <c r="BH91" s="983" t="n"/>
      <c r="BI91" s="983" t="n"/>
      <c r="BJ91" s="983" t="n"/>
      <c r="BK91" s="983" t="n"/>
      <c r="BL91" s="983" t="n"/>
      <c r="BM91" s="983" t="n"/>
      <c r="BN91" s="983" t="n"/>
      <c r="BO91" s="983" t="n"/>
      <c r="BP91" s="983" t="n"/>
      <c r="BQ91" s="983" t="n"/>
      <c r="BR91" s="983" t="n"/>
      <c r="BS91" s="983" t="n"/>
      <c r="BT91" s="983" t="n"/>
      <c r="BU91" s="983" t="n"/>
      <c r="BV91" s="983" t="n"/>
      <c r="BW91" s="983" t="n"/>
      <c r="BX91" s="983" t="n"/>
      <c r="BY91" s="983" t="n"/>
      <c r="BZ91" s="983" t="n"/>
      <c r="CA91" s="983" t="n"/>
      <c r="CB91" s="983" t="n"/>
    </row>
    <row r="92" ht="12.9" customFormat="1" customHeight="1" s="143">
      <c r="A92" s="780" t="n"/>
      <c r="B92" s="176" t="inlineStr">
        <is>
          <t>Indemnizaciones</t>
        </is>
      </c>
      <c r="C92" s="170" t="n"/>
      <c r="D92" s="170" t="n"/>
      <c r="E92" s="170" t="n">
        <v>241842440</v>
      </c>
      <c r="F92" s="170" t="n"/>
      <c r="G92" s="170" t="n"/>
      <c r="H92" s="170" t="n"/>
      <c r="I92" s="170" t="n"/>
      <c r="J92" s="170" t="n"/>
      <c r="K92" s="170" t="n"/>
      <c r="L92" s="170" t="n"/>
      <c r="M92" s="170" t="n"/>
      <c r="N92" s="170" t="n"/>
      <c r="O92" s="404">
        <f>+SUM(C92:N92)</f>
        <v/>
      </c>
      <c r="P92" s="775" t="n"/>
      <c r="Q92" s="983" t="n"/>
      <c r="R92" s="983" t="n"/>
      <c r="S92" s="983" t="n"/>
      <c r="T92" s="983" t="n"/>
      <c r="U92" s="983" t="n"/>
      <c r="V92" s="983" t="n"/>
      <c r="W92" s="983" t="n"/>
      <c r="X92" s="983" t="n"/>
      <c r="Y92" s="983" t="n"/>
      <c r="Z92" s="983" t="n"/>
      <c r="AA92" s="983" t="n"/>
      <c r="AB92" s="983" t="n"/>
      <c r="AC92" s="983" t="n"/>
      <c r="AD92" s="983" t="n"/>
      <c r="AE92" s="983" t="n"/>
      <c r="AF92" s="983" t="n"/>
      <c r="AG92" s="983" t="n"/>
      <c r="AH92" s="983" t="n"/>
      <c r="AI92" s="983" t="n"/>
      <c r="AJ92" s="983" t="n"/>
      <c r="AK92" s="983" t="n"/>
      <c r="AL92" s="983" t="n"/>
      <c r="AM92" s="983" t="n"/>
      <c r="AN92" s="983" t="n"/>
      <c r="AO92" s="983" t="n"/>
      <c r="AP92" s="983" t="n"/>
      <c r="AQ92" s="983" t="n"/>
      <c r="AR92" s="983" t="n"/>
      <c r="AS92" s="983" t="n"/>
      <c r="AT92" s="983" t="n"/>
      <c r="AU92" s="983" t="n"/>
      <c r="AV92" s="983" t="n"/>
      <c r="AW92" s="983" t="n"/>
      <c r="AX92" s="983" t="n"/>
      <c r="AY92" s="983" t="n"/>
      <c r="AZ92" s="983" t="n"/>
      <c r="BA92" s="983" t="n"/>
      <c r="BB92" s="983" t="n"/>
      <c r="BC92" s="983" t="n"/>
      <c r="BD92" s="983" t="n"/>
      <c r="BE92" s="983" t="n"/>
      <c r="BF92" s="983" t="n"/>
      <c r="BG92" s="983" t="n"/>
      <c r="BH92" s="983" t="n"/>
      <c r="BI92" s="983" t="n"/>
      <c r="BJ92" s="983" t="n"/>
      <c r="BK92" s="983" t="n"/>
      <c r="BL92" s="983" t="n"/>
      <c r="BM92" s="983" t="n"/>
      <c r="BN92" s="983" t="n"/>
      <c r="BO92" s="983" t="n"/>
      <c r="BP92" s="983" t="n"/>
      <c r="BQ92" s="983" t="n"/>
      <c r="BR92" s="983" t="n"/>
      <c r="BS92" s="983" t="n"/>
      <c r="BT92" s="983" t="n"/>
      <c r="BU92" s="983" t="n"/>
      <c r="BV92" s="983" t="n"/>
      <c r="BW92" s="983" t="n"/>
      <c r="BX92" s="983" t="n"/>
      <c r="BY92" s="983" t="n"/>
      <c r="BZ92" s="983" t="n"/>
      <c r="CA92" s="983" t="n"/>
      <c r="CB92" s="983" t="n"/>
    </row>
    <row r="93" ht="12.9" customHeight="1" s="985">
      <c r="A93" s="780" t="n"/>
      <c r="B93" s="176" t="inlineStr">
        <is>
          <t>Multas, Sanciones y Litigios</t>
        </is>
      </c>
      <c r="C93" s="170">
        <f>'[9]Hoja 1'!$C$180</f>
        <v/>
      </c>
      <c r="D93" s="170">
        <f>'[10]Hoja 1'!$C$183</f>
        <v/>
      </c>
      <c r="E93" s="170" t="n">
        <v>241842440</v>
      </c>
      <c r="F93" s="170" t="n"/>
      <c r="G93" s="170" t="n"/>
      <c r="H93" s="170" t="n"/>
      <c r="I93" s="170" t="n"/>
      <c r="J93" s="170" t="n"/>
      <c r="K93" s="170" t="n"/>
      <c r="L93" s="170" t="n"/>
      <c r="M93" s="170" t="n"/>
      <c r="N93" s="170" t="n"/>
      <c r="O93" s="170">
        <f>+SUM(C93:N93)</f>
        <v/>
      </c>
      <c r="P93" s="771" t="n"/>
    </row>
    <row r="94" ht="12.9" customHeight="1" s="985">
      <c r="A94" s="780" t="inlineStr">
        <is>
          <t xml:space="preserve">51956002            </t>
        </is>
      </c>
      <c r="B94" s="178" t="inlineStr">
        <is>
          <t>Donaciones</t>
        </is>
      </c>
      <c r="C94" s="170">
        <f>'[9]Hoja 1'!$C$146</f>
        <v/>
      </c>
      <c r="D94" s="170">
        <f>'[10]Hoja 1'!$C$148</f>
        <v/>
      </c>
      <c r="E94" s="170" t="n">
        <v>241842440</v>
      </c>
      <c r="F94" s="170" t="n"/>
      <c r="G94" s="170" t="n"/>
      <c r="H94" s="170" t="n"/>
      <c r="I94" s="170" t="n"/>
      <c r="J94" s="170" t="n"/>
      <c r="K94" s="170" t="n"/>
      <c r="L94" s="170" t="n"/>
      <c r="M94" s="170" t="n"/>
      <c r="N94" s="170" t="n"/>
      <c r="O94" s="438">
        <f>+SUM(C94:N94)</f>
        <v/>
      </c>
      <c r="P94" s="771" t="n"/>
    </row>
    <row r="95" ht="12.9" customHeight="1" s="985">
      <c r="A95" s="780" t="inlineStr">
        <is>
          <t xml:space="preserve">53954001            </t>
        </is>
      </c>
      <c r="B95" s="174" t="inlineStr">
        <is>
          <t>Ajuste al peso</t>
        </is>
      </c>
      <c r="C95" s="406">
        <f>'[9]Hoja 1'!$C$182</f>
        <v/>
      </c>
      <c r="D95" s="406">
        <f>'[10]Hoja 1'!$C$186</f>
        <v/>
      </c>
      <c r="E95" s="406" t="n">
        <v>241842440</v>
      </c>
      <c r="F95" s="406" t="n"/>
      <c r="G95" s="406" t="n"/>
      <c r="H95" s="406" t="n"/>
      <c r="I95" s="406" t="n"/>
      <c r="J95" s="406" t="n"/>
      <c r="K95" s="406" t="n"/>
      <c r="L95" s="406" t="n"/>
      <c r="M95" s="406" t="n"/>
      <c r="N95" s="406" t="n"/>
      <c r="O95" s="409">
        <f>+SUM(C95:N95)</f>
        <v/>
      </c>
      <c r="P95" s="771" t="n"/>
    </row>
    <row r="96" ht="15" customHeight="1" s="985">
      <c r="A96" s="778" t="n"/>
      <c r="B96" s="517" t="inlineStr">
        <is>
          <t>TOTAL ADMINISTRATIVOS</t>
        </is>
      </c>
      <c r="C96" s="504">
        <f>C5+C13+C19+C22+C28+C32+C46+C52+C59+C62+C66+C89+C90</f>
        <v/>
      </c>
      <c r="D96" s="976">
        <f>D5+D13+D19+D22+D28+D32+D46+D52+D59+D62+D66+D89+D90</f>
        <v/>
      </c>
      <c r="E96" s="504">
        <f>E5+E13+E19+E22+E28+E32+E46+E52+E59+E62+E66+E89+E90</f>
        <v/>
      </c>
      <c r="F96" s="504">
        <f>F5+F13+F19+F22+F28+F32+F46+F52+F59+F62+F66+F89+F90</f>
        <v/>
      </c>
      <c r="G96" s="504">
        <f>G5+G13+G19+G22+G28+G32+G46+G52+G59+G62+G66+G89+G90</f>
        <v/>
      </c>
      <c r="H96" s="504">
        <f>H5+H13+H19+H22+H28+H32+H46+H52+H59+H62+H66+H89+H90</f>
        <v/>
      </c>
      <c r="I96" s="504">
        <f>I5+I13+I19+I22+I28+I32+I46+I52+I59+I62+I66+I89+I90</f>
        <v/>
      </c>
      <c r="J96" s="504">
        <f>J5+J13+J19+J22+J28+J32+J46+J52+J59+J62+J66+J89+J90</f>
        <v/>
      </c>
      <c r="K96" s="504">
        <f>K5+K13+K19+K22+K28+K32+K46+K52+K59+K62+K66+K89+K90</f>
        <v/>
      </c>
      <c r="L96" s="504">
        <f>L5+L13+L19+L22+L28+L32+L46+L52+L59+L62+L66+L89+L90</f>
        <v/>
      </c>
      <c r="M96" s="504">
        <f>M5+M13+M19+M22+M28+M32+M46+M52+M59+M62+M66+M89+M90</f>
        <v/>
      </c>
      <c r="N96" s="504">
        <f>N5+N13+N19+N22+N28+N32+N46+N52+N59+N62+N66+N89+N90</f>
        <v/>
      </c>
      <c r="O96" s="504">
        <f>O5+O13+O19+O22+O28+O32+O46+O52+O59+O62+O66+O89+O90</f>
        <v/>
      </c>
      <c r="P96" s="771" t="n"/>
    </row>
    <row r="97" ht="15" customHeight="1" s="985">
      <c r="A97" s="777" t="n"/>
      <c r="B97" s="378" t="n"/>
      <c r="C97" s="379" t="n"/>
      <c r="D97" s="379" t="n"/>
      <c r="E97" s="379" t="n"/>
      <c r="F97" s="380" t="n"/>
      <c r="G97" s="379" t="n"/>
      <c r="H97" s="379" t="n"/>
      <c r="I97" s="379" t="n"/>
      <c r="J97" s="379" t="n"/>
      <c r="K97" s="379" t="n"/>
      <c r="L97" s="379" t="n"/>
      <c r="M97" s="379" t="n"/>
      <c r="N97" s="379" t="n"/>
      <c r="O97" s="379" t="n"/>
      <c r="P97" s="771" t="n"/>
    </row>
    <row r="98" ht="15" customFormat="1" customHeight="1" s="116">
      <c r="A98" s="782" t="n"/>
      <c r="B98" s="518" t="inlineStr">
        <is>
          <t>FINANCIEROS</t>
        </is>
      </c>
      <c r="C98" s="503">
        <f>SUM(C99:C107)</f>
        <v/>
      </c>
      <c r="D98" s="973">
        <f>SUM(D99:D107)</f>
        <v/>
      </c>
      <c r="E98" s="503">
        <f>SUM(E99:E107)</f>
        <v/>
      </c>
      <c r="F98" s="503">
        <f>SUM(F99:F107)</f>
        <v/>
      </c>
      <c r="G98" s="503">
        <f>SUM(G99:G107)</f>
        <v/>
      </c>
      <c r="H98" s="503">
        <f>SUM(H99:H107)</f>
        <v/>
      </c>
      <c r="I98" s="503">
        <f>SUM(I99:I107)</f>
        <v/>
      </c>
      <c r="J98" s="503">
        <f>SUM(J99:J107)</f>
        <v/>
      </c>
      <c r="K98" s="503">
        <f>SUM(K99:K107)</f>
        <v/>
      </c>
      <c r="L98" s="503">
        <f>SUM(L99:L107)</f>
        <v/>
      </c>
      <c r="M98" s="503">
        <f>SUM(M99:M107)</f>
        <v/>
      </c>
      <c r="N98" s="503">
        <f>SUM(N99:N107)</f>
        <v/>
      </c>
      <c r="O98" s="503">
        <f>SUM(O99:O107)</f>
        <v/>
      </c>
      <c r="P98" s="771" t="n"/>
    </row>
    <row r="99" ht="12.9" customHeight="1" s="985">
      <c r="A99" s="777" t="inlineStr">
        <is>
          <t xml:space="preserve">530505              </t>
        </is>
      </c>
      <c r="B99" s="179" t="inlineStr">
        <is>
          <t>Gastos Bancarios</t>
        </is>
      </c>
      <c r="C99" s="169">
        <f>'[9]Hoja 1'!$C$164</f>
        <v/>
      </c>
      <c r="D99" s="169">
        <f>'[10]Hoja 1'!$C$167</f>
        <v/>
      </c>
      <c r="E99" s="169" t="n">
        <v>241842440</v>
      </c>
      <c r="F99" s="405" t="n"/>
      <c r="G99" s="405" t="n"/>
      <c r="H99" s="405" t="n"/>
      <c r="I99" s="405" t="n"/>
      <c r="J99" s="405" t="n"/>
      <c r="K99" s="405" t="n"/>
      <c r="L99" s="405" t="n"/>
      <c r="M99" s="434" t="n"/>
      <c r="N99" s="434" t="n"/>
      <c r="O99" s="434">
        <f>+SUM(C99:N99)</f>
        <v/>
      </c>
      <c r="P99" s="771" t="n"/>
    </row>
    <row r="100" ht="12.9" customHeight="1" s="985">
      <c r="A100" s="777" t="inlineStr">
        <is>
          <t xml:space="preserve">530515              </t>
        </is>
      </c>
      <c r="B100" s="176" t="inlineStr">
        <is>
          <t>Comisiones</t>
        </is>
      </c>
      <c r="C100" s="171">
        <f>'[9]Hoja 1'!$C$167</f>
        <v/>
      </c>
      <c r="D100" s="171">
        <f>'[10]Hoja 1'!$C$170</f>
        <v/>
      </c>
      <c r="E100" s="171" t="n">
        <v>241842440</v>
      </c>
      <c r="F100" s="170" t="n"/>
      <c r="G100" s="170" t="n"/>
      <c r="H100" s="170" t="n"/>
      <c r="I100" s="170" t="n"/>
      <c r="J100" s="170" t="n"/>
      <c r="K100" s="170" t="n"/>
      <c r="L100" s="170" t="n"/>
      <c r="M100" s="404" t="n"/>
      <c r="N100" s="404" t="n"/>
      <c r="O100" s="404">
        <f>+SUM(C100:N100)</f>
        <v/>
      </c>
      <c r="P100" s="771" t="n"/>
    </row>
    <row r="101" ht="12.9" customHeight="1" s="985">
      <c r="A101" s="777" t="inlineStr">
        <is>
          <t xml:space="preserve">53052001            </t>
        </is>
      </c>
      <c r="B101" s="946" t="inlineStr">
        <is>
          <t>Intereses Corrientes Obligaciones</t>
        </is>
      </c>
      <c r="C101" s="171">
        <f>'[9]Hoja 1'!$C$172</f>
        <v/>
      </c>
      <c r="D101" s="171">
        <f>'[10]Hoja 1'!$C$175</f>
        <v/>
      </c>
      <c r="E101" s="171" t="n">
        <v>241842440</v>
      </c>
      <c r="F101" s="171" t="n"/>
      <c r="G101" s="171" t="n"/>
      <c r="H101" s="171" t="n"/>
      <c r="I101" s="171" t="n"/>
      <c r="J101" s="171" t="n"/>
      <c r="K101" s="171" t="n"/>
      <c r="L101" s="171" t="n"/>
      <c r="M101" s="171" t="n"/>
      <c r="N101" s="171" t="n"/>
      <c r="O101" s="404">
        <f>+SUM(C101:N101)</f>
        <v/>
      </c>
      <c r="P101" s="771" t="n"/>
    </row>
    <row r="102" ht="12.9" customHeight="1" s="985">
      <c r="A102" s="777" t="inlineStr">
        <is>
          <t xml:space="preserve">53052002            </t>
        </is>
      </c>
      <c r="B102" s="946" t="inlineStr">
        <is>
          <t>Intereses  Moratorios</t>
        </is>
      </c>
      <c r="C102" s="171">
        <f>'[9]Hoja 1'!$C$173</f>
        <v/>
      </c>
      <c r="D102" s="171" t="n"/>
      <c r="E102" s="171" t="n">
        <v>241842440</v>
      </c>
      <c r="F102" s="171" t="n"/>
      <c r="G102" s="171" t="n"/>
      <c r="H102" s="171" t="n"/>
      <c r="I102" s="171" t="n"/>
      <c r="J102" s="171" t="n"/>
      <c r="K102" s="171" t="n"/>
      <c r="L102" s="171" t="n"/>
      <c r="M102" s="404" t="n"/>
      <c r="N102" s="404" t="n"/>
      <c r="O102" s="404">
        <f>+SUM(C102:N102)</f>
        <v/>
      </c>
      <c r="P102" s="771" t="n"/>
    </row>
    <row r="103" ht="12.9" customHeight="1" s="985">
      <c r="A103" s="777" t="n"/>
      <c r="B103" s="946" t="inlineStr">
        <is>
          <t>Intereses Sobregiro</t>
        </is>
      </c>
      <c r="C103" s="171" t="n"/>
      <c r="D103" s="171" t="n"/>
      <c r="E103" s="171" t="n">
        <v>241842440</v>
      </c>
      <c r="F103" s="171" t="n"/>
      <c r="G103" s="171" t="n"/>
      <c r="H103" s="171" t="n"/>
      <c r="I103" s="171" t="n"/>
      <c r="J103" s="171" t="n"/>
      <c r="K103" s="171" t="n"/>
      <c r="L103" s="171" t="n"/>
      <c r="M103" s="404" t="n"/>
      <c r="N103" s="404" t="n"/>
      <c r="O103" s="404">
        <f>+SUM(C103:N103)</f>
        <v/>
      </c>
      <c r="P103" s="771" t="n"/>
    </row>
    <row r="104" ht="12.9" customHeight="1" s="985">
      <c r="A104" s="777" t="inlineStr">
        <is>
          <t xml:space="preserve">53052004            </t>
        </is>
      </c>
      <c r="B104" s="946" t="inlineStr">
        <is>
          <t>Intereses corrientes Leasing</t>
        </is>
      </c>
      <c r="C104" s="171" t="n"/>
      <c r="D104" s="171">
        <f>'[10]Hoja 1'!$C$176</f>
        <v/>
      </c>
      <c r="E104" s="171" t="n">
        <v>241842440</v>
      </c>
      <c r="F104" s="171" t="n"/>
      <c r="G104" s="171" t="n"/>
      <c r="H104" s="171" t="n"/>
      <c r="I104" s="171" t="n"/>
      <c r="J104" s="171" t="n"/>
      <c r="K104" s="171" t="n"/>
      <c r="L104" s="171" t="n"/>
      <c r="M104" s="404" t="n"/>
      <c r="N104" s="404" t="n"/>
      <c r="O104" s="404">
        <f>+SUM(C104:N104)</f>
        <v/>
      </c>
      <c r="P104" s="771" t="n"/>
    </row>
    <row r="105" ht="12.9" customHeight="1" s="985">
      <c r="A105" s="777" t="inlineStr">
        <is>
          <t xml:space="preserve">53059502            </t>
        </is>
      </c>
      <c r="B105" s="946" t="inlineStr">
        <is>
          <t>Seguro Credito Leasing</t>
        </is>
      </c>
      <c r="C105" s="171" t="n"/>
      <c r="D105" s="171" t="n"/>
      <c r="E105" s="171" t="n">
        <v>241842440</v>
      </c>
      <c r="F105" s="171" t="n"/>
      <c r="G105" s="171" t="n"/>
      <c r="H105" s="171" t="n"/>
      <c r="I105" s="171" t="n"/>
      <c r="J105" s="171" t="n"/>
      <c r="K105" s="171" t="n"/>
      <c r="L105" s="171" t="n"/>
      <c r="M105" s="404" t="n"/>
      <c r="N105" s="404" t="n"/>
      <c r="O105" s="404">
        <f>+SUM(C105:N105)</f>
        <v/>
      </c>
      <c r="P105" s="771" t="n"/>
    </row>
    <row r="106" ht="12.9" customHeight="1" s="985">
      <c r="A106" s="777" t="inlineStr">
        <is>
          <t xml:space="preserve">51159502            </t>
        </is>
      </c>
      <c r="B106" s="176" t="inlineStr">
        <is>
          <t>Gravámen a Movimientos Financieros</t>
        </is>
      </c>
      <c r="C106" s="171">
        <f>'[9]Hoja 1'!$C$82+'[9]Hoja 1'!$C$175</f>
        <v/>
      </c>
      <c r="D106" s="171">
        <f>'[10]Hoja 1'!$C$81+'[10]Hoja 1'!$C$180</f>
        <v/>
      </c>
      <c r="E106" s="171" t="n">
        <v>241842440</v>
      </c>
      <c r="F106" s="171" t="n"/>
      <c r="G106" s="171" t="n"/>
      <c r="H106" s="171" t="n"/>
      <c r="I106" s="171" t="n"/>
      <c r="J106" s="171" t="n"/>
      <c r="K106" s="171" t="n"/>
      <c r="L106" s="171" t="n"/>
      <c r="M106" s="171" t="n"/>
      <c r="N106" s="171" t="n"/>
      <c r="O106" s="404">
        <f>+SUM(C106:N106)</f>
        <v/>
      </c>
      <c r="P106" s="771" t="n"/>
    </row>
    <row r="107" ht="12.9" customHeight="1" s="985">
      <c r="A107" s="777" t="inlineStr">
        <is>
          <t xml:space="preserve">530595              </t>
        </is>
      </c>
      <c r="B107" s="177" t="inlineStr">
        <is>
          <t xml:space="preserve">Otros </t>
        </is>
      </c>
      <c r="C107" s="921">
        <f>'[9]Hoja 1'!$C$177</f>
        <v/>
      </c>
      <c r="D107" s="921" t="n"/>
      <c r="E107" s="921" t="n">
        <v>241842440</v>
      </c>
      <c r="F107" s="406" t="n"/>
      <c r="G107" s="406" t="n"/>
      <c r="H107" s="406" t="n"/>
      <c r="I107" s="406" t="n"/>
      <c r="J107" s="406" t="n"/>
      <c r="K107" s="406" t="n"/>
      <c r="L107" s="406" t="n"/>
      <c r="M107" s="409" t="n"/>
      <c r="N107" s="409" t="n"/>
      <c r="O107" s="409">
        <f>+SUM(C107:N107)</f>
        <v/>
      </c>
      <c r="P107" s="771" t="n"/>
    </row>
    <row r="108" ht="12.9" customHeight="1" s="985">
      <c r="A108" s="777" t="n"/>
      <c r="B108" s="925" t="inlineStr">
        <is>
          <t>INTERESES SOCIOS</t>
        </is>
      </c>
      <c r="C108" s="111">
        <f>96313193+10045491</f>
        <v/>
      </c>
      <c r="D108" s="973">
        <f>99151187+9611660</f>
        <v/>
      </c>
      <c r="E108" s="973" t="n">
        <v>241842440</v>
      </c>
      <c r="F108" s="111" t="n"/>
      <c r="G108" s="111" t="n"/>
      <c r="H108" s="111" t="n"/>
      <c r="I108" s="111" t="n"/>
      <c r="J108" s="111" t="n"/>
      <c r="K108" s="111" t="n"/>
      <c r="L108" s="111" t="n"/>
      <c r="M108" s="947" t="n"/>
      <c r="N108" s="111" t="n"/>
      <c r="O108" s="410">
        <f>+SUM(C108:N108)</f>
        <v/>
      </c>
      <c r="P108" s="771" t="n"/>
    </row>
    <row r="109" ht="15" customFormat="1" customHeight="1" s="116">
      <c r="A109" s="777" t="n"/>
      <c r="B109" s="518" t="inlineStr">
        <is>
          <t>TOTAL FINANCIEROS</t>
        </is>
      </c>
      <c r="C109" s="503">
        <f>C98+C108</f>
        <v/>
      </c>
      <c r="D109" s="973">
        <f>D98+D108</f>
        <v/>
      </c>
      <c r="E109" s="503">
        <f>E98+E108</f>
        <v/>
      </c>
      <c r="F109" s="503">
        <f>F98+F108</f>
        <v/>
      </c>
      <c r="G109" s="503">
        <f>G98+G108</f>
        <v/>
      </c>
      <c r="H109" s="503">
        <f>H98+H108</f>
        <v/>
      </c>
      <c r="I109" s="503">
        <f>I98+I108</f>
        <v/>
      </c>
      <c r="J109" s="503">
        <f>J98+J108</f>
        <v/>
      </c>
      <c r="K109" s="503">
        <f>K98+K108</f>
        <v/>
      </c>
      <c r="L109" s="503">
        <f>L98+L108</f>
        <v/>
      </c>
      <c r="M109" s="503">
        <f>M98+M108</f>
        <v/>
      </c>
      <c r="N109" s="503">
        <f>N98+N108</f>
        <v/>
      </c>
      <c r="O109" s="503">
        <f>O98+O108</f>
        <v/>
      </c>
      <c r="P109" s="771" t="n"/>
    </row>
    <row r="110" ht="15" customHeight="1" s="985">
      <c r="A110" s="777" t="n"/>
      <c r="B110" s="162" t="n"/>
      <c r="C110" s="158" t="n"/>
      <c r="D110" s="158" t="n"/>
      <c r="E110" s="158" t="n"/>
      <c r="F110" s="158" t="n"/>
      <c r="G110" s="158" t="n"/>
      <c r="H110" s="163" t="n"/>
      <c r="I110" s="163" t="n"/>
      <c r="J110" s="163" t="n"/>
      <c r="K110" s="163" t="n"/>
      <c r="L110" s="163" t="n"/>
      <c r="M110" s="163" t="n"/>
      <c r="N110" s="163" t="n"/>
      <c r="O110" s="158" t="n"/>
    </row>
    <row r="111" hidden="1" ht="15" customFormat="1" customHeight="1" s="116">
      <c r="A111" s="777" t="n"/>
      <c r="B111" s="518" t="inlineStr">
        <is>
          <t>GASTOS DE PERSONAL DIRECTIVO</t>
        </is>
      </c>
      <c r="C111" s="503" t="n"/>
      <c r="D111" s="503" t="n"/>
      <c r="E111" s="503" t="n">
        <v>241842440</v>
      </c>
      <c r="F111" s="503" t="n"/>
      <c r="G111" s="503" t="n"/>
      <c r="H111" s="503" t="n"/>
      <c r="I111" s="503" t="n"/>
      <c r="J111" s="503" t="n"/>
      <c r="K111" s="503" t="n"/>
      <c r="L111" s="503" t="n"/>
      <c r="M111" s="503" t="n"/>
      <c r="N111" s="503" t="n"/>
      <c r="O111" s="503">
        <f>+SUM(C111:N111)</f>
        <v/>
      </c>
      <c r="P111" s="770" t="n"/>
    </row>
    <row r="112" ht="15" customHeight="1" s="985">
      <c r="B112" s="518" t="inlineStr">
        <is>
          <t>GASTOS NO OPERACIONALES</t>
        </is>
      </c>
      <c r="C112" s="503" t="n"/>
      <c r="D112" s="503" t="n"/>
      <c r="E112" s="503" t="n">
        <v>241842440</v>
      </c>
      <c r="F112" s="503" t="n"/>
      <c r="G112" s="503" t="n"/>
      <c r="H112" s="503" t="n"/>
      <c r="I112" s="503" t="n"/>
      <c r="J112" s="503" t="n"/>
      <c r="K112" s="503" t="n"/>
      <c r="L112" s="503" t="n"/>
      <c r="M112" s="503" t="n"/>
      <c r="N112" s="503" t="n"/>
      <c r="O112" s="503" t="n"/>
    </row>
    <row r="113" ht="15" customHeight="1" s="985">
      <c r="B113" s="179" t="inlineStr">
        <is>
          <t>COSTO DE FACTURAS</t>
        </is>
      </c>
      <c r="C113" s="169" t="n">
        <v>15396000</v>
      </c>
      <c r="D113" s="169" t="n"/>
      <c r="E113" s="169" t="n">
        <v>241842440</v>
      </c>
      <c r="F113" s="169" t="n"/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434">
        <f>+SUM(C113:N113)</f>
        <v/>
      </c>
    </row>
    <row r="114" ht="15" customHeight="1" s="985">
      <c r="B114" s="176" t="inlineStr">
        <is>
          <t>RECREARTE</t>
        </is>
      </c>
      <c r="C114" s="171">
        <f>RECREARTE!$C$141</f>
        <v/>
      </c>
      <c r="D114" s="171">
        <f>RECREARTE!$F$141</f>
        <v/>
      </c>
      <c r="E114" s="997" t="n"/>
      <c r="F114" s="171" t="n"/>
      <c r="G114" s="171" t="n"/>
      <c r="H114" s="171" t="n"/>
      <c r="I114" s="171" t="n"/>
      <c r="J114" s="171" t="n"/>
      <c r="K114" s="171" t="n"/>
      <c r="L114" s="171" t="n"/>
      <c r="M114" s="171" t="n"/>
      <c r="N114" s="171" t="n"/>
      <c r="O114" s="404">
        <f>+SUM(C114:N114)</f>
        <v/>
      </c>
    </row>
    <row r="115" ht="15" customHeight="1" s="985">
      <c r="B115" s="946" t="inlineStr">
        <is>
          <t>PROVISION 2025 - INDEMNIZACION DE PERSONAL</t>
        </is>
      </c>
      <c r="C115" s="171" t="n"/>
      <c r="D115" s="171" t="n"/>
      <c r="E115" s="171" t="n">
        <v>241842440</v>
      </c>
      <c r="F115" s="171" t="n"/>
      <c r="G115" s="171" t="n"/>
      <c r="H115" s="171" t="n"/>
      <c r="I115" s="171" t="n"/>
      <c r="J115" s="171" t="n"/>
      <c r="K115" s="171" t="n"/>
      <c r="L115" s="171" t="n"/>
      <c r="M115" s="171" t="n"/>
      <c r="N115" s="171" t="n"/>
      <c r="O115" s="404">
        <f>+SUM(C115:N115)</f>
        <v/>
      </c>
    </row>
    <row r="116" ht="15" customHeight="1" s="985">
      <c r="B116" s="946" t="inlineStr">
        <is>
          <t>(-) DESCUENTOS COMERCIALES</t>
        </is>
      </c>
      <c r="C116" s="171" t="n"/>
      <c r="D116" s="171">
        <f>'[10]Hoja 1'!$E$23</f>
        <v/>
      </c>
      <c r="E116" s="171" t="n">
        <v>241842440</v>
      </c>
      <c r="F116" s="171" t="n"/>
      <c r="G116" s="171" t="n"/>
      <c r="H116" s="171" t="n"/>
      <c r="I116" s="171" t="n"/>
      <c r="J116" s="171" t="n"/>
      <c r="K116" s="171" t="n"/>
      <c r="L116" s="171" t="n"/>
      <c r="M116" s="404" t="n"/>
      <c r="N116" s="404" t="n"/>
      <c r="O116" s="404">
        <f>+SUM(C116:N116)</f>
        <v/>
      </c>
    </row>
    <row r="117" ht="15" customHeight="1" s="985">
      <c r="B117" s="946" t="inlineStr">
        <is>
          <t>(-) INGRESOS NO OPERACIONALES</t>
        </is>
      </c>
      <c r="C117" s="171" t="n"/>
      <c r="D117" s="171">
        <f>'[10]Hoja 1'!$E$28</f>
        <v/>
      </c>
      <c r="E117" s="171" t="n">
        <v>241842440</v>
      </c>
      <c r="F117" s="171" t="n"/>
      <c r="G117" s="171" t="n"/>
      <c r="H117" s="171" t="n"/>
      <c r="I117" s="171" t="n"/>
      <c r="J117" s="171" t="n"/>
      <c r="K117" s="171" t="n"/>
      <c r="L117" s="171" t="n"/>
      <c r="M117" s="404" t="n"/>
      <c r="N117" s="404" t="n"/>
      <c r="O117" s="404">
        <f>+SUM(C117:N117)</f>
        <v/>
      </c>
    </row>
    <row r="118" ht="15" customHeight="1" s="985">
      <c r="B118" s="946" t="inlineStr">
        <is>
          <t>(-) INGRESOS INCAPACIDADES</t>
        </is>
      </c>
      <c r="C118" s="171" t="n"/>
      <c r="D118" s="171" t="n"/>
      <c r="E118" s="171" t="n">
        <v>241842440</v>
      </c>
      <c r="F118" s="171" t="n"/>
      <c r="G118" s="171" t="n"/>
      <c r="H118" s="171" t="n"/>
      <c r="I118" s="171" t="n"/>
      <c r="J118" s="171" t="n"/>
      <c r="K118" s="171" t="n"/>
      <c r="L118" s="171" t="n"/>
      <c r="M118" s="404" t="n"/>
      <c r="N118" s="404" t="n"/>
      <c r="O118" s="404">
        <f>+SUM(C118:N118)</f>
        <v/>
      </c>
    </row>
    <row r="119" ht="15" customHeight="1" s="985">
      <c r="B119" s="518" t="inlineStr">
        <is>
          <t>TOTAL GASTOS NO OPERACIONALES</t>
        </is>
      </c>
      <c r="C119" s="503">
        <f>SUM(C113:C115)-SUM(C116:C118)</f>
        <v/>
      </c>
      <c r="D119" s="973">
        <f>SUM(D113:D115)-SUM(D116:D118)</f>
        <v/>
      </c>
      <c r="E119" s="503">
        <f>SUM(E113:E115)-SUM(E116:E118)</f>
        <v/>
      </c>
      <c r="F119" s="503">
        <f>SUM(F113:F115)-SUM(F116:F118)</f>
        <v/>
      </c>
      <c r="G119" s="503">
        <f>SUM(G113:G115)-SUM(G116:G118)</f>
        <v/>
      </c>
      <c r="H119" s="503">
        <f>SUM(H113:H115)-SUM(H116:H118)</f>
        <v/>
      </c>
      <c r="I119" s="503">
        <f>SUM(I113:I115)-SUM(I116:I118)</f>
        <v/>
      </c>
      <c r="J119" s="503">
        <f>SUM(J113:J115)-SUM(J116:J118)</f>
        <v/>
      </c>
      <c r="K119" s="503">
        <f>SUM(K113:K115)-SUM(K116:K118)</f>
        <v/>
      </c>
      <c r="L119" s="503">
        <f>SUM(L113:L115)-SUM(L116:L118)</f>
        <v/>
      </c>
      <c r="M119" s="503">
        <f>SUM(M113:M115)-SUM(M116:M118)</f>
        <v/>
      </c>
      <c r="N119" s="503">
        <f>SUM(N113:N115)-SUM(N116:N118)</f>
        <v/>
      </c>
      <c r="O119" s="503">
        <f>+SUM(C119:N119)</f>
        <v/>
      </c>
    </row>
    <row r="120" ht="15" customHeight="1" s="985">
      <c r="D120" s="814" t="n"/>
      <c r="L120" s="619" t="n"/>
      <c r="M120" s="619" t="n"/>
      <c r="N120" s="619" t="n"/>
      <c r="O120" s="753" t="n"/>
    </row>
    <row r="121" ht="15" customHeight="1" s="985">
      <c r="C121" s="814" t="n"/>
      <c r="D121" s="814">
        <f>D96+D109+'GASTOS OPERATIVOS'!D17+'GASTOS VEHICULOS'!D25</f>
        <v/>
      </c>
      <c r="J121" s="619" t="n"/>
      <c r="M121" s="619" t="n"/>
      <c r="O121" s="828" t="n"/>
    </row>
    <row r="122" ht="15" customHeight="1" s="985">
      <c r="C122" s="814" t="n"/>
      <c r="D122" s="814">
        <f>'[10]Hoja 1'!$C$30+'[10]Hoja 1'!$C$199+'[10]Hoja 1'!$C$204+'[10]Hoja 1'!$C$240</f>
        <v/>
      </c>
    </row>
    <row r="123" ht="15" customHeight="1" s="985">
      <c r="C123" s="814" t="n"/>
      <c r="D123" s="980">
        <f>D121-D122</f>
        <v/>
      </c>
      <c r="O123" s="1008" t="n"/>
    </row>
    <row r="124" ht="11.4" customHeight="1" s="985"/>
    <row r="125" ht="15" customHeight="1" s="985">
      <c r="E125" s="814" t="n"/>
      <c r="F125" s="814" t="n"/>
      <c r="G125" s="814" t="n"/>
      <c r="I125" s="619" t="n"/>
      <c r="J125" s="619" t="n"/>
      <c r="L125" s="619" t="n"/>
      <c r="M125" s="619" t="n"/>
      <c r="O125" s="828" t="n"/>
    </row>
    <row r="126" ht="15" customHeight="1" s="985">
      <c r="D126" s="814" t="n">
        <v>-55134543</v>
      </c>
      <c r="E126" s="814" t="n"/>
      <c r="F126" s="814" t="n"/>
      <c r="G126" s="814" t="n"/>
      <c r="J126" s="983" t="n"/>
      <c r="K126" s="619" t="n"/>
      <c r="L126" s="619" t="n"/>
      <c r="M126" s="619" t="n"/>
      <c r="O126" s="828" t="inlineStr">
        <is>
          <t>JUNTA</t>
        </is>
      </c>
    </row>
    <row r="127" ht="15" customHeight="1" s="985">
      <c r="D127" s="814" t="n">
        <v>-4115810</v>
      </c>
      <c r="F127" s="814" t="n"/>
      <c r="G127" s="814" t="n"/>
      <c r="J127" s="983" t="n"/>
      <c r="K127" s="619" t="n"/>
      <c r="L127" s="619" t="n"/>
      <c r="M127" s="619" t="n"/>
      <c r="O127" s="828" t="inlineStr">
        <is>
          <t>CASINO</t>
        </is>
      </c>
    </row>
    <row r="128" ht="15" customHeight="1" s="985">
      <c r="D128" s="980">
        <f>SUM(D126:D127)</f>
        <v/>
      </c>
      <c r="F128" s="814" t="n"/>
      <c r="G128" s="814" t="n"/>
      <c r="J128" s="983" t="n"/>
      <c r="K128" s="619" t="n"/>
      <c r="L128" s="619" t="n"/>
      <c r="M128" s="619" t="n"/>
      <c r="O128" s="828" t="n"/>
    </row>
    <row r="129" ht="15" customHeight="1" s="985">
      <c r="F129" s="814" t="n"/>
      <c r="G129" s="814" t="n"/>
      <c r="J129" s="983" t="n"/>
      <c r="K129" s="619" t="n"/>
      <c r="L129" s="619" t="n"/>
      <c r="M129" s="619" t="n"/>
      <c r="O129" s="828" t="n"/>
    </row>
    <row r="130" ht="15" customHeight="1" s="985">
      <c r="D130" s="980">
        <f>D128-D123</f>
        <v/>
      </c>
      <c r="F130" s="814" t="n"/>
      <c r="G130" s="814" t="n"/>
      <c r="J130" s="983" t="n"/>
      <c r="K130" s="619" t="n"/>
      <c r="L130" s="619" t="n"/>
      <c r="M130" s="619" t="n"/>
      <c r="O130" s="828" t="n"/>
    </row>
    <row r="131" ht="15" customHeight="1" s="985">
      <c r="F131" s="814" t="n"/>
      <c r="G131" s="814" t="n"/>
      <c r="J131" s="983" t="n"/>
      <c r="K131" s="619" t="n"/>
      <c r="L131" s="619" t="n"/>
      <c r="O131" s="814" t="n"/>
    </row>
    <row r="132" ht="15" customHeight="1" s="985">
      <c r="G132" s="814" t="n"/>
      <c r="J132" s="619" t="n"/>
      <c r="K132" s="619" t="n"/>
      <c r="L132" s="619" t="n"/>
      <c r="O132" s="881" t="n"/>
    </row>
    <row r="133" ht="15" customHeight="1" s="985">
      <c r="J133" s="619" t="n"/>
      <c r="K133" s="983" t="n"/>
      <c r="L133" s="619" t="n"/>
      <c r="M133" s="619" t="n"/>
      <c r="O133" s="828" t="n"/>
    </row>
    <row r="134" ht="15" customHeight="1" s="985">
      <c r="J134" s="619" t="n"/>
      <c r="M134" s="619" t="n"/>
      <c r="O134" s="828" t="n"/>
    </row>
    <row r="135" ht="15" customHeight="1" s="985">
      <c r="J135" s="619" t="n"/>
      <c r="M135" s="619" t="n"/>
      <c r="O135" s="828" t="n"/>
    </row>
    <row r="136" ht="15" customHeight="1" s="985">
      <c r="J136" s="619" t="n"/>
      <c r="M136" s="619" t="n"/>
      <c r="O136" s="828" t="n"/>
    </row>
    <row r="137" ht="15" customHeight="1" s="985">
      <c r="J137" s="619" t="n"/>
      <c r="M137" s="619" t="n"/>
    </row>
    <row r="138" ht="15" customHeight="1" s="985">
      <c r="M138" s="619" t="n"/>
    </row>
    <row r="139" ht="15" customHeight="1" s="985">
      <c r="M139" s="619" t="n"/>
    </row>
    <row r="140" ht="15" customHeight="1" s="985">
      <c r="M140" s="619" t="n"/>
    </row>
    <row r="141" ht="15" customHeight="1" s="985">
      <c r="M141" s="619" t="n"/>
    </row>
    <row r="142" ht="15" customHeight="1" s="985">
      <c r="M142" s="619" t="n"/>
    </row>
    <row r="143" ht="15" customHeight="1" s="985">
      <c r="M143" s="619" t="n"/>
    </row>
    <row r="144" ht="15" customHeight="1" s="985">
      <c r="M144" s="619" t="n"/>
    </row>
    <row r="145" ht="15" customHeight="1" s="985">
      <c r="M145" s="619" t="n"/>
    </row>
    <row r="146" ht="15" customHeight="1" s="985">
      <c r="M146" s="619" t="n"/>
    </row>
    <row r="147" ht="15" customHeight="1" s="985">
      <c r="M147" s="619" t="n"/>
    </row>
    <row r="148" ht="15" customHeight="1" s="985">
      <c r="M148" s="619" t="n"/>
    </row>
    <row r="149" ht="15" customHeight="1" s="985">
      <c r="M149" s="619" t="n"/>
    </row>
    <row r="150" ht="15" customHeight="1" s="985">
      <c r="M150" s="619" t="n"/>
    </row>
    <row r="151" ht="15" customHeight="1" s="985">
      <c r="M151" s="619" t="n"/>
    </row>
    <row r="152" ht="15" customHeight="1" s="985">
      <c r="M152" s="619" t="n"/>
    </row>
    <row r="153" ht="15" customHeight="1" s="985">
      <c r="M153" s="619" t="n"/>
    </row>
    <row r="154" ht="15" customHeight="1" s="985">
      <c r="M154" s="619" t="n"/>
    </row>
    <row r="155" ht="15" customHeight="1" s="985">
      <c r="M155" s="619" t="n"/>
    </row>
    <row r="156" ht="15" customHeight="1" s="985">
      <c r="M156" s="619" t="n"/>
    </row>
    <row r="157" ht="15" customHeight="1" s="985">
      <c r="M157" s="619" t="n"/>
    </row>
    <row r="158" ht="15" customHeight="1" s="985">
      <c r="M158" s="619" t="n"/>
    </row>
    <row r="159" ht="15" customHeight="1" s="985">
      <c r="M159" s="619" t="n"/>
    </row>
    <row r="160" ht="15" customHeight="1" s="985">
      <c r="M160" s="619" t="n"/>
    </row>
    <row r="161" ht="15" customHeight="1" s="985">
      <c r="M161" s="619" t="n"/>
    </row>
    <row r="162" ht="15" customHeight="1" s="985">
      <c r="M162" s="619" t="n"/>
    </row>
    <row r="163" ht="15" customHeight="1" s="985">
      <c r="M163" s="619" t="n"/>
    </row>
    <row r="164" ht="15" customHeight="1" s="985">
      <c r="M164" s="619" t="n"/>
    </row>
    <row r="165" ht="15" customHeight="1" s="985">
      <c r="M165" s="619" t="n"/>
    </row>
    <row r="166" ht="15" customHeight="1" s="985">
      <c r="M166" s="619" t="n"/>
    </row>
    <row r="167" ht="15" customHeight="1" s="985">
      <c r="M167" s="619" t="n"/>
    </row>
    <row r="168" ht="15" customHeight="1" s="985">
      <c r="M168" s="619" t="n"/>
    </row>
    <row r="169" ht="15" customHeight="1" s="985">
      <c r="M169" s="619" t="n"/>
    </row>
    <row r="170" ht="15" customHeight="1" s="985">
      <c r="M170" s="619" t="n"/>
    </row>
    <row r="171" ht="15" customHeight="1" s="985">
      <c r="M171" s="619" t="n"/>
    </row>
    <row r="172" ht="15" customHeight="1" s="985">
      <c r="M172" s="619" t="n"/>
    </row>
    <row r="173" ht="15" customHeight="1" s="985">
      <c r="M173" s="619" t="n"/>
    </row>
    <row r="174" ht="15" customHeight="1" s="985">
      <c r="M174" s="619" t="n"/>
    </row>
    <row r="175" ht="15" customHeight="1" s="985">
      <c r="M175" s="619" t="n"/>
    </row>
    <row r="176" ht="15" customHeight="1" s="985">
      <c r="M176" s="619" t="n"/>
    </row>
    <row r="177" ht="15" customHeight="1" s="985">
      <c r="M177" s="619" t="n"/>
    </row>
    <row r="178" ht="15" customHeight="1" s="985">
      <c r="M178" s="619" t="n"/>
    </row>
    <row r="179" ht="15" customHeight="1" s="985">
      <c r="M179" s="619" t="n"/>
    </row>
    <row r="180" ht="15" customHeight="1" s="985">
      <c r="M180" s="619" t="n"/>
    </row>
    <row r="181" ht="15" customHeight="1" s="985">
      <c r="M181" s="619" t="n"/>
    </row>
    <row r="182" ht="15" customHeight="1" s="985">
      <c r="M182" s="619" t="n"/>
    </row>
    <row r="183" ht="15" customHeight="1" s="985">
      <c r="M183" s="619" t="n"/>
    </row>
    <row r="184" ht="15" customHeight="1" s="985">
      <c r="M184" s="619" t="n"/>
    </row>
    <row r="185" ht="15" customHeight="1" s="985">
      <c r="M185" s="619" t="n"/>
    </row>
    <row r="186" ht="15" customHeight="1" s="985">
      <c r="M186" s="619" t="n"/>
    </row>
    <row r="187" ht="15" customHeight="1" s="985">
      <c r="M187" s="619" t="n"/>
    </row>
    <row r="188" ht="15" customHeight="1" s="985">
      <c r="M188" s="619" t="n"/>
    </row>
    <row r="189" ht="15" customHeight="1" s="985">
      <c r="M189" s="619" t="n"/>
    </row>
    <row r="190" ht="15" customHeight="1" s="985">
      <c r="M190" s="619" t="n"/>
    </row>
    <row r="191" ht="15" customHeight="1" s="985">
      <c r="M191" s="619" t="n"/>
    </row>
    <row r="192" ht="15" customHeight="1" s="985">
      <c r="M192" s="619" t="n"/>
    </row>
    <row r="193" ht="15" customHeight="1" s="985">
      <c r="M193" s="619" t="n"/>
    </row>
    <row r="194" ht="15" customHeight="1" s="985">
      <c r="M194" s="619" t="n"/>
    </row>
    <row r="195" ht="15" customHeight="1" s="985">
      <c r="M195" s="619" t="n"/>
    </row>
    <row r="196" ht="15" customHeight="1" s="985">
      <c r="M196" s="619" t="n"/>
    </row>
    <row r="197" ht="15" customHeight="1" s="985">
      <c r="M197" s="619" t="n"/>
    </row>
    <row r="198" ht="15" customHeight="1" s="985">
      <c r="M198" s="619" t="n"/>
    </row>
    <row r="199" ht="15" customHeight="1" s="985">
      <c r="M199" s="619" t="n"/>
    </row>
    <row r="200" ht="15" customHeight="1" s="985">
      <c r="M200" s="619" t="n"/>
    </row>
    <row r="201" ht="15" customHeight="1" s="985">
      <c r="M201" s="619" t="n"/>
    </row>
    <row r="202" ht="15" customHeight="1" s="985">
      <c r="M202" s="619" t="n"/>
    </row>
    <row r="203" ht="15" customHeight="1" s="985">
      <c r="M203" s="619" t="n"/>
    </row>
    <row r="204" ht="15" customHeight="1" s="985">
      <c r="M204" s="619" t="n"/>
    </row>
    <row r="205" ht="15" customHeight="1" s="985">
      <c r="M205" s="619" t="n"/>
    </row>
    <row r="206" ht="15" customHeight="1" s="985">
      <c r="M206" s="619" t="n"/>
    </row>
    <row r="207" ht="15" customHeight="1" s="985">
      <c r="M207" s="619" t="n"/>
    </row>
    <row r="208" ht="15" customHeight="1" s="985">
      <c r="M208" s="619" t="n"/>
    </row>
    <row r="209" ht="15" customHeight="1" s="985">
      <c r="M209" s="619" t="n"/>
    </row>
    <row r="210" ht="15" customHeight="1" s="985">
      <c r="M210" s="619" t="n"/>
    </row>
    <row r="211" ht="15" customHeight="1" s="985">
      <c r="M211" s="619" t="n"/>
    </row>
    <row r="212" ht="15" customHeight="1" s="985">
      <c r="M212" s="619" t="n"/>
    </row>
    <row r="213" ht="15" customHeight="1" s="985">
      <c r="M213" s="619" t="n"/>
    </row>
    <row r="214" ht="15" customHeight="1" s="985">
      <c r="M214" s="619" t="n"/>
    </row>
    <row r="215" ht="15" customHeight="1" s="985">
      <c r="M215" s="619" t="n"/>
    </row>
    <row r="216" ht="15" customHeight="1" s="985">
      <c r="M216" s="619" t="n"/>
    </row>
    <row r="217" ht="15" customHeight="1" s="985">
      <c r="M217" s="619" t="n"/>
    </row>
    <row r="218" ht="15" customHeight="1" s="985">
      <c r="M218" s="619" t="n"/>
    </row>
    <row r="219" ht="15" customHeight="1" s="985">
      <c r="M219" s="619" t="n"/>
    </row>
    <row r="220" ht="15" customHeight="1" s="985">
      <c r="M220" s="619" t="n"/>
    </row>
    <row r="221" ht="15" customHeight="1" s="985">
      <c r="M221" s="619" t="n"/>
    </row>
    <row r="222" ht="15" customHeight="1" s="985">
      <c r="M222" s="619" t="n"/>
    </row>
    <row r="223" ht="15" customHeight="1" s="985">
      <c r="M223" s="619" t="n"/>
    </row>
    <row r="224" ht="15" customHeight="1" s="985">
      <c r="M224" s="619" t="n"/>
    </row>
    <row r="225" ht="15" customHeight="1" s="985">
      <c r="M225" s="619" t="n"/>
    </row>
    <row r="226" ht="15" customHeight="1" s="985">
      <c r="M226" s="619" t="n"/>
    </row>
    <row r="227" ht="15" customHeight="1" s="985">
      <c r="M227" s="619" t="n"/>
    </row>
    <row r="228" ht="15" customHeight="1" s="985">
      <c r="M228" s="619" t="n"/>
    </row>
    <row r="229" ht="15" customHeight="1" s="985">
      <c r="M229" s="619" t="n"/>
    </row>
    <row r="230" ht="15" customHeight="1" s="985">
      <c r="M230" s="619" t="n"/>
    </row>
    <row r="231" ht="15" customHeight="1" s="985">
      <c r="M231" s="619" t="n"/>
    </row>
    <row r="232" ht="15" customHeight="1" s="985">
      <c r="M232" s="619" t="n"/>
    </row>
    <row r="233" ht="15" customHeight="1" s="985">
      <c r="M233" s="619" t="n"/>
    </row>
    <row r="234" ht="15" customHeight="1" s="985">
      <c r="M234" s="619" t="n"/>
    </row>
  </sheetData>
  <mergeCells count="2">
    <mergeCell ref="C2:O3"/>
    <mergeCell ref="B2:B3"/>
  </mergeCells>
  <hyperlinks>
    <hyperlink xmlns:r="http://schemas.openxmlformats.org/officeDocument/2006/relationships" ref="B98" location="Hoja1!B34" r:id="rId1"/>
    <hyperlink xmlns:r="http://schemas.openxmlformats.org/officeDocument/2006/relationships" ref="B112" location="Hoja1!B34" display="FINANCIEROS" r:id="rId2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2">
    <outlinePr summaryBelow="1" summaryRight="1"/>
    <pageSetUpPr/>
  </sheetPr>
  <dimension ref="A1:O54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E11" sqref="E11"/>
    </sheetView>
  </sheetViews>
  <sheetFormatPr baseColWidth="10" defaultColWidth="11.44140625" defaultRowHeight="11.4"/>
  <cols>
    <col width="10.33203125" customWidth="1" style="187" min="1" max="1"/>
    <col width="34.5546875" bestFit="1" customWidth="1" style="1009" min="2" max="2"/>
    <col width="14.44140625" customWidth="1" style="986" min="3" max="14"/>
    <col width="16.33203125" bestFit="1" customWidth="1" style="986" min="15" max="15"/>
    <col width="5.33203125" customWidth="1" style="983" min="16" max="16"/>
    <col width="11.44140625" customWidth="1" style="983" min="17" max="21"/>
    <col width="11.44140625" customWidth="1" style="983" min="22" max="16384"/>
  </cols>
  <sheetData>
    <row r="1"/>
    <row r="2" ht="33" customHeight="1" s="985">
      <c r="B2" s="1007" t="inlineStr">
        <is>
          <t xml:space="preserve">CORPORACIÓN HACIA UN VALLE SOLIDARIO </t>
        </is>
      </c>
      <c r="C2" s="979" t="n">
        <v>242070540</v>
      </c>
    </row>
    <row r="3">
      <c r="B3" s="1007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</row>
    <row r="4" ht="24.9" customHeight="1" s="985">
      <c r="B4" s="1010" t="n"/>
      <c r="C4" s="477" t="inlineStr">
        <is>
          <t>ENE</t>
        </is>
      </c>
      <c r="D4" s="477" t="inlineStr">
        <is>
          <t>FEB</t>
        </is>
      </c>
      <c r="E4" s="477" t="inlineStr">
        <is>
          <t>MAR</t>
        </is>
      </c>
      <c r="F4" s="477" t="inlineStr">
        <is>
          <t>ABR</t>
        </is>
      </c>
      <c r="G4" s="477" t="inlineStr">
        <is>
          <t>MAY</t>
        </is>
      </c>
      <c r="H4" s="477" t="inlineStr">
        <is>
          <t>JUN</t>
        </is>
      </c>
      <c r="I4" s="610" t="inlineStr">
        <is>
          <t>JUL</t>
        </is>
      </c>
      <c r="J4" s="610" t="inlineStr">
        <is>
          <t>AGO</t>
        </is>
      </c>
      <c r="K4" s="610" t="inlineStr">
        <is>
          <t>SEP</t>
        </is>
      </c>
      <c r="L4" s="610" t="inlineStr">
        <is>
          <t>OCT</t>
        </is>
      </c>
      <c r="M4" s="610" t="inlineStr">
        <is>
          <t>NOV</t>
        </is>
      </c>
      <c r="N4" s="610" t="inlineStr">
        <is>
          <t>DIC</t>
        </is>
      </c>
      <c r="O4" s="477" t="inlineStr">
        <is>
          <t>ACUMULADO</t>
        </is>
      </c>
    </row>
    <row r="5" ht="15" customHeight="1" s="985">
      <c r="B5" s="1011" t="inlineStr">
        <is>
          <t>GASTOS DE PERSONAL</t>
        </is>
      </c>
      <c r="C5" s="167">
        <f>SUM(C6:C10)</f>
        <v/>
      </c>
      <c r="D5" s="167">
        <f>SUM(D6:D10)</f>
        <v/>
      </c>
      <c r="E5" s="167" t="n"/>
      <c r="F5" s="167" t="n"/>
      <c r="G5" s="167">
        <f>SUM(G6:G10)</f>
        <v/>
      </c>
      <c r="H5" s="167">
        <f>SUM(H6:H10)</f>
        <v/>
      </c>
      <c r="I5" s="167">
        <f>SUM(I6:I10)</f>
        <v/>
      </c>
      <c r="J5" s="167">
        <f>SUM(J6:J10)</f>
        <v/>
      </c>
      <c r="K5" s="167">
        <f>SUM(K6:K10)</f>
        <v/>
      </c>
      <c r="L5" s="167">
        <f>SUM(L6:L10)</f>
        <v/>
      </c>
      <c r="M5" s="167">
        <f>SUM(M6:M10)</f>
        <v/>
      </c>
      <c r="N5" s="167">
        <f>SUM(N6:N10)</f>
        <v/>
      </c>
      <c r="O5" s="167">
        <f>SUM(O6:O10)</f>
        <v/>
      </c>
    </row>
    <row r="6" ht="12.9" customHeight="1" s="985">
      <c r="A6" s="189" t="inlineStr">
        <is>
          <t xml:space="preserve">7205                </t>
        </is>
      </c>
      <c r="B6" s="176" t="inlineStr">
        <is>
          <t>Salarios</t>
        </is>
      </c>
      <c r="C6" s="460">
        <f>'[21]Hoja 1'!$I$8-C9+'[22]Hoja 1'!$I$9+'[23]Hoja 1'!$D$9+'[24]Hoja 1'!$D$9+'[25]Hoja 1'!$C$91+'[26]Hoja 1'!$D$9+'[27]Hoja 1'!$E$9+'[28]Hoja 1'!$E$10</f>
        <v/>
      </c>
      <c r="D6" s="460">
        <f>'[29]Hoja 1'!$I$8+'[30]Hoja 1'!$I$8-D9+'[31]Hoja 1'!$I$9+'[32]Hoja 1'!$D$9+'[33]Hoja 1'!$D$9+'[34]Hoja 1'!$D$9+'[35]Hoja 1'!$I$9</f>
        <v/>
      </c>
      <c r="E6" s="460" t="n">
        <v>55134543</v>
      </c>
      <c r="F6" s="403" t="n"/>
      <c r="G6" s="403" t="n"/>
      <c r="H6" s="403" t="n"/>
      <c r="I6" s="403" t="n"/>
      <c r="J6" s="403" t="n"/>
      <c r="K6" s="403" t="n"/>
      <c r="L6" s="403" t="n"/>
      <c r="M6" s="403" t="n"/>
      <c r="N6" s="403" t="n"/>
      <c r="O6" s="460">
        <f>SUM(C6:N6)</f>
        <v/>
      </c>
    </row>
    <row r="7" ht="12.9" customHeight="1" s="985">
      <c r="A7" s="189" t="n"/>
      <c r="B7" s="176" t="inlineStr">
        <is>
          <t>Casos Especiales</t>
        </is>
      </c>
      <c r="C7" s="461">
        <f>'[21]Hoja 1'!$I$9+'[23]Hoja 1'!$D$10</f>
        <v/>
      </c>
      <c r="D7" s="461">
        <f>'[29]Hoja 1'!$I$9+'[29]Hoja 1'!$D$32+'[32]Hoja 1'!$D$10+'[36]Hoja 1'!$D$10</f>
        <v/>
      </c>
      <c r="E7" s="461" t="n">
        <v>241842440</v>
      </c>
      <c r="F7" s="461" t="n"/>
      <c r="G7" s="461" t="n"/>
      <c r="H7" s="461" t="n"/>
      <c r="I7" s="461" t="n"/>
      <c r="J7" s="461" t="n"/>
      <c r="K7" s="461" t="n"/>
      <c r="L7" s="461" t="n"/>
      <c r="M7" s="461" t="n"/>
      <c r="N7" s="461" t="n"/>
      <c r="O7" s="393">
        <f>SUM(C7:N7)</f>
        <v/>
      </c>
    </row>
    <row r="8" ht="12.9" customHeight="1" s="985">
      <c r="A8" s="189" t="n"/>
      <c r="B8" s="176" t="inlineStr">
        <is>
          <t>Incapacidades Especiales</t>
        </is>
      </c>
      <c r="C8" s="461" t="n"/>
      <c r="D8" s="919" t="n"/>
      <c r="E8" s="461" t="n">
        <v>241842440</v>
      </c>
      <c r="F8" s="461" t="n"/>
      <c r="G8" s="461" t="n"/>
      <c r="H8" s="461" t="n"/>
      <c r="I8" s="461" t="n"/>
      <c r="J8" s="461" t="n"/>
      <c r="K8" s="461" t="n"/>
      <c r="L8" s="461" t="n"/>
      <c r="M8" s="461" t="n"/>
      <c r="N8" s="461" t="n"/>
      <c r="O8" s="461">
        <f>SUM(C8:N8)</f>
        <v/>
      </c>
    </row>
    <row r="9" ht="12.9" customHeight="1" s="985">
      <c r="A9" s="189" t="inlineStr">
        <is>
          <t xml:space="preserve">72055101            </t>
        </is>
      </c>
      <c r="B9" s="176" t="inlineStr">
        <is>
          <t>Dotacion y Suministro</t>
        </is>
      </c>
      <c r="C9" s="461">
        <f>'[9]Hoja 1'!$C$218</f>
        <v/>
      </c>
      <c r="D9" s="461">
        <f>'[18]Hoja 1'!$C$76+'[20]Hoja 1'!$C$81-152082</f>
        <v/>
      </c>
      <c r="E9" s="461" t="n">
        <v>23992227</v>
      </c>
      <c r="F9" s="461" t="n"/>
      <c r="G9" s="461" t="n"/>
      <c r="H9" s="461" t="n"/>
      <c r="I9" s="461" t="n"/>
      <c r="J9" s="461" t="n"/>
      <c r="K9" s="461" t="n"/>
      <c r="L9" s="461" t="n"/>
      <c r="M9" s="461" t="n"/>
      <c r="N9" s="461" t="n"/>
      <c r="O9" s="461">
        <f>SUM(C9:N9)</f>
        <v/>
      </c>
    </row>
    <row r="10" ht="12.9" customHeight="1" s="985">
      <c r="A10" s="189" t="inlineStr">
        <is>
          <t xml:space="preserve">72058401            </t>
        </is>
      </c>
      <c r="B10" s="176" t="inlineStr">
        <is>
          <t>Gastos Medicos</t>
        </is>
      </c>
      <c r="C10" s="171" t="n"/>
      <c r="D10" s="425">
        <f>'[10]Hoja 1'!$C$239</f>
        <v/>
      </c>
      <c r="E10" s="393" t="n">
        <v>23992227</v>
      </c>
      <c r="F10" s="393" t="n"/>
      <c r="G10" s="393" t="n"/>
      <c r="H10" s="393" t="n"/>
      <c r="I10" s="393" t="n"/>
      <c r="J10" s="393" t="n"/>
      <c r="K10" s="393" t="n"/>
      <c r="L10" s="393" t="n"/>
      <c r="M10" s="393" t="n"/>
      <c r="N10" s="393" t="n"/>
      <c r="O10" s="425">
        <f>SUM(C10:N10)</f>
        <v/>
      </c>
    </row>
    <row r="11" ht="15" customHeight="1" s="985">
      <c r="A11" s="189" t="n"/>
      <c r="B11" s="157" t="inlineStr">
        <is>
          <t>CUOTA DE APOYO Y SOSTENIMIENTO</t>
        </is>
      </c>
      <c r="C11" s="167" t="n"/>
      <c r="D11" s="167" t="n"/>
      <c r="E11" s="167" t="n">
        <v>23734730</v>
      </c>
      <c r="F11" s="167" t="n"/>
      <c r="G11" s="167" t="n"/>
      <c r="H11" s="167" t="n"/>
      <c r="I11" s="167" t="n"/>
      <c r="J11" s="167" t="n"/>
      <c r="K11" s="167" t="n">
        <v>0</v>
      </c>
      <c r="L11" s="167" t="n"/>
      <c r="M11" s="167" t="n"/>
      <c r="N11" s="167" t="n"/>
      <c r="O11" s="167" t="n"/>
    </row>
    <row r="12" ht="15" customHeight="1" s="985">
      <c r="A12" s="189" t="n"/>
      <c r="B12" s="168" t="inlineStr">
        <is>
          <t>DIVERSOS</t>
        </is>
      </c>
      <c r="C12" s="905">
        <f>SUM(C13:C16)</f>
        <v/>
      </c>
      <c r="D12" s="905">
        <f>SUM(D13:D16)</f>
        <v/>
      </c>
      <c r="E12" s="905" t="n"/>
      <c r="F12" s="905" t="n"/>
      <c r="G12" s="905">
        <f>SUM(G13:G16)</f>
        <v/>
      </c>
      <c r="H12" s="905">
        <f>SUM(H13:H16)</f>
        <v/>
      </c>
      <c r="I12" s="905">
        <f>SUM(I13:I16)</f>
        <v/>
      </c>
      <c r="J12" s="905">
        <f>SUM(J13:J16)</f>
        <v/>
      </c>
      <c r="K12" s="905">
        <f>SUM(K13:K16)</f>
        <v/>
      </c>
      <c r="L12" s="905">
        <f>SUM(L13:L16)</f>
        <v/>
      </c>
      <c r="M12" s="905">
        <f>SUM(M13:M16)</f>
        <v/>
      </c>
      <c r="N12" s="905">
        <f>SUM(N13:N16)</f>
        <v/>
      </c>
      <c r="O12" s="180">
        <f>SUM(O13:O16)</f>
        <v/>
      </c>
    </row>
    <row r="13" ht="12.9" customHeight="1" s="985">
      <c r="A13" s="189" t="inlineStr">
        <is>
          <t xml:space="preserve">71101001  - 73952501 </t>
        </is>
      </c>
      <c r="B13" s="178" t="inlineStr">
        <is>
          <t>Aseo</t>
        </is>
      </c>
      <c r="C13" s="920">
        <f>'[9]Hoja 1'!$C$196+'[9]Hoja 1'!$C$234</f>
        <v/>
      </c>
      <c r="D13" s="920">
        <f>'[10]Hoja 1'!$C$201+'[10]Hoja 1'!$C$243</f>
        <v/>
      </c>
      <c r="E13" s="920" t="n">
        <v>23734730</v>
      </c>
      <c r="F13" s="920" t="n"/>
      <c r="G13" s="920" t="n"/>
      <c r="H13" s="920" t="n"/>
      <c r="I13" s="920" t="n"/>
      <c r="J13" s="920" t="n"/>
      <c r="K13" s="920" t="n"/>
      <c r="L13" s="920" t="n"/>
      <c r="M13" s="920" t="n"/>
      <c r="N13" s="920" t="n"/>
      <c r="O13" s="425">
        <f>SUM(C13:N13)</f>
        <v/>
      </c>
    </row>
    <row r="14" ht="12.9" customHeight="1" s="985">
      <c r="A14" s="189" t="inlineStr">
        <is>
          <t xml:space="preserve">73959504            </t>
        </is>
      </c>
      <c r="B14" s="178" t="inlineStr">
        <is>
          <t>Averias</t>
        </is>
      </c>
      <c r="C14" s="425">
        <f>'[9]Hoja 1'!$C$236</f>
        <v/>
      </c>
      <c r="D14" s="425">
        <f>'[10]Hoja 1'!$C$245</f>
        <v/>
      </c>
      <c r="E14" s="425" t="n"/>
      <c r="F14" s="425" t="n"/>
      <c r="G14" s="425" t="n"/>
      <c r="H14" s="425" t="n"/>
      <c r="I14" s="425" t="n"/>
      <c r="J14" s="425" t="n"/>
      <c r="K14" s="425" t="n"/>
      <c r="L14" s="425" t="n"/>
      <c r="M14" s="425" t="n"/>
      <c r="N14" s="425" t="n"/>
      <c r="O14" s="425">
        <f>SUM(C14:N14)</f>
        <v/>
      </c>
    </row>
    <row r="15" ht="12.9" customHeight="1" s="985">
      <c r="A15" s="189" t="n"/>
      <c r="B15" s="178" t="inlineStr">
        <is>
          <t>Equipos de Bodega</t>
        </is>
      </c>
      <c r="C15" s="393" t="n"/>
      <c r="D15" s="393" t="n"/>
      <c r="E15" s="393" t="n">
        <v>23734730</v>
      </c>
      <c r="F15" s="393" t="n"/>
      <c r="G15" s="393" t="n"/>
      <c r="H15" s="393" t="n"/>
      <c r="I15" s="393" t="n"/>
      <c r="J15" s="393" t="n"/>
      <c r="K15" s="393" t="n"/>
      <c r="L15" s="393" t="n"/>
      <c r="M15" s="393" t="n"/>
      <c r="N15" s="393" t="n"/>
      <c r="O15" s="393">
        <f>SUM(C15:N15)</f>
        <v/>
      </c>
    </row>
    <row r="16" ht="12.9" customHeight="1" s="985">
      <c r="A16" s="189" t="inlineStr">
        <is>
          <t xml:space="preserve">51959509  -  71102001  </t>
        </is>
      </c>
      <c r="B16" s="178" t="inlineStr">
        <is>
          <t>Bioseguridad + EPP</t>
        </is>
      </c>
      <c r="C16" s="426">
        <f>'[9]Hoja 1'!$C$198</f>
        <v/>
      </c>
      <c r="D16" s="426">
        <f>'[10]Hoja 1'!$C$158+'[10]Hoja 1'!$C$203</f>
        <v/>
      </c>
      <c r="E16" s="426" t="n">
        <v>4115810</v>
      </c>
      <c r="F16" s="426" t="n"/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393">
        <f>SUM(C16:N16)</f>
        <v/>
      </c>
    </row>
    <row r="17" ht="15" customHeight="1" s="985">
      <c r="A17" s="189" t="n"/>
      <c r="B17" s="1012" t="inlineStr">
        <is>
          <t>TOTAL GASTOS</t>
        </is>
      </c>
      <c r="C17" s="477">
        <f>C5+C11+C12</f>
        <v/>
      </c>
      <c r="D17" s="477">
        <f>D5+D11+D12</f>
        <v/>
      </c>
      <c r="E17" s="477" t="n"/>
      <c r="F17" s="477" t="n"/>
      <c r="G17" s="477">
        <f>G5+G11+G12</f>
        <v/>
      </c>
      <c r="H17" s="477">
        <f>H5+H11+H12</f>
        <v/>
      </c>
      <c r="I17" s="477">
        <f>I5+I11+I12</f>
        <v/>
      </c>
      <c r="J17" s="477">
        <f>J5+J11+J12</f>
        <v/>
      </c>
      <c r="K17" s="477">
        <f>K5+K11+K12</f>
        <v/>
      </c>
      <c r="L17" s="477">
        <f>L5+L11+L12</f>
        <v/>
      </c>
      <c r="M17" s="477">
        <f>M5+M11+M12</f>
        <v/>
      </c>
      <c r="N17" s="477">
        <f>N5+N11+N12</f>
        <v/>
      </c>
      <c r="O17" s="477">
        <f>O5+O11+O12</f>
        <v/>
      </c>
    </row>
    <row r="18"/>
    <row r="19"/>
    <row r="20" hidden="1" s="985">
      <c r="C20" s="986" t="n">
        <v>83159889</v>
      </c>
      <c r="D20" s="986" t="n">
        <v>148056842</v>
      </c>
      <c r="E20" s="986" t="n">
        <v>166932975</v>
      </c>
      <c r="F20" s="986" t="n">
        <v>194850261</v>
      </c>
      <c r="G20" s="986" t="n">
        <v>219335066</v>
      </c>
      <c r="I20" s="986" t="n">
        <v>177744901</v>
      </c>
      <c r="J20" s="986" t="n">
        <v>217896905</v>
      </c>
      <c r="K20" s="986" t="n">
        <v>262294276</v>
      </c>
      <c r="L20" s="986" t="n">
        <v>262819240</v>
      </c>
      <c r="M20" s="986" t="n">
        <v>251102591</v>
      </c>
      <c r="N20" s="986" t="n">
        <v>223519101</v>
      </c>
      <c r="O20" s="986">
        <f>SUM(C20:N20)</f>
        <v/>
      </c>
    </row>
    <row r="21" hidden="1" s="985">
      <c r="C21" s="986">
        <f>C6-C20</f>
        <v/>
      </c>
      <c r="D21" s="986">
        <f>D6-D20</f>
        <v/>
      </c>
      <c r="E21" s="986">
        <f>E6-E20</f>
        <v/>
      </c>
      <c r="F21" s="986">
        <f>F6-F20</f>
        <v/>
      </c>
      <c r="G21" s="986">
        <f>G6-G20</f>
        <v/>
      </c>
      <c r="I21" s="986">
        <f>I6-I20</f>
        <v/>
      </c>
      <c r="J21" s="986">
        <f>J6-J20</f>
        <v/>
      </c>
      <c r="K21" s="986">
        <f>K6-K20</f>
        <v/>
      </c>
      <c r="L21" s="986">
        <f>L6-L20</f>
        <v/>
      </c>
      <c r="M21" s="986">
        <f>M6-M20</f>
        <v/>
      </c>
      <c r="N21" s="986">
        <f>N6-N20</f>
        <v/>
      </c>
      <c r="O21" s="986">
        <f>SUM(C21:N21)</f>
        <v/>
      </c>
    </row>
    <row r="22" hidden="1" s="985">
      <c r="C22" s="790">
        <f>C21/C20</f>
        <v/>
      </c>
      <c r="D22" s="790">
        <f>D21/D20</f>
        <v/>
      </c>
      <c r="E22" s="790">
        <f>E21/E20</f>
        <v/>
      </c>
      <c r="F22" s="790">
        <f>F21/F20</f>
        <v/>
      </c>
      <c r="G22" s="790">
        <f>G21/G20</f>
        <v/>
      </c>
      <c r="H22" s="790" t="n"/>
      <c r="I22" s="790">
        <f>I21/I20</f>
        <v/>
      </c>
      <c r="J22" s="790">
        <f>J21/J20</f>
        <v/>
      </c>
      <c r="K22" s="790">
        <f>K21/K20</f>
        <v/>
      </c>
      <c r="L22" s="790">
        <f>L21/L20</f>
        <v/>
      </c>
      <c r="M22" s="790">
        <f>M21/M20</f>
        <v/>
      </c>
      <c r="N22" s="790">
        <f>N21/N20</f>
        <v/>
      </c>
      <c r="O22" s="790">
        <f>O21/O20</f>
        <v/>
      </c>
    </row>
    <row r="23" hidden="1" s="985"/>
    <row r="24" hidden="1" s="985"/>
    <row r="25" hidden="1" s="985">
      <c r="K25" s="986">
        <f>K20-J20</f>
        <v/>
      </c>
      <c r="L25" s="986" t="inlineStr">
        <is>
          <t>dif ago y sep 2024</t>
        </is>
      </c>
    </row>
    <row r="26" hidden="1" s="985"/>
    <row r="27" hidden="1" s="985">
      <c r="K27" s="986">
        <f>K25*8</f>
        <v/>
      </c>
      <c r="L27" s="986" t="inlineStr">
        <is>
          <t>dif * 8 meses</t>
        </is>
      </c>
    </row>
    <row r="28" hidden="1" s="985">
      <c r="K28" s="986">
        <f>K27+O20</f>
        <v/>
      </c>
      <c r="L28" s="986" t="inlineStr">
        <is>
          <t>2024+dif</t>
        </is>
      </c>
    </row>
    <row r="29" hidden="1" s="985">
      <c r="K29" s="986">
        <f>K28*11%</f>
        <v/>
      </c>
      <c r="L29" s="986" t="inlineStr">
        <is>
          <t>incremento 11%</t>
        </is>
      </c>
    </row>
    <row r="30" hidden="1" s="985">
      <c r="K30" s="986">
        <f>K28+K29</f>
        <v/>
      </c>
      <c r="L30" s="986" t="inlineStr">
        <is>
          <t>incr + 2024</t>
        </is>
      </c>
    </row>
    <row r="31" hidden="1" s="985">
      <c r="K31" s="986" t="n">
        <v>535655289</v>
      </c>
      <c r="L31" s="986" t="inlineStr">
        <is>
          <t>17 personas</t>
        </is>
      </c>
    </row>
    <row r="32" hidden="1" s="985">
      <c r="K32" s="791">
        <f>K30+K31</f>
        <v/>
      </c>
      <c r="L32" s="986" t="inlineStr">
        <is>
          <t>17 p +inc +2024</t>
        </is>
      </c>
    </row>
    <row r="33" hidden="1" s="985">
      <c r="K33" s="986">
        <f>O6-K32</f>
        <v/>
      </c>
      <c r="L33" s="986" t="inlineStr">
        <is>
          <t>dif 2024 vs ppto</t>
        </is>
      </c>
    </row>
    <row r="34" hidden="1" s="985">
      <c r="K34" s="986">
        <f>8%*K6*12</f>
        <v/>
      </c>
      <c r="L34" s="790" t="inlineStr">
        <is>
          <t>bonificacion 2025</t>
        </is>
      </c>
    </row>
    <row r="35" hidden="1" s="985">
      <c r="K35" s="986">
        <f>K33-K34</f>
        <v/>
      </c>
      <c r="L35" s="986" t="inlineStr">
        <is>
          <t>dif + bonificacion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H54" s="986" t="inlineStr">
        <is>
          <t xml:space="preserve"> </t>
        </is>
      </c>
    </row>
  </sheetData>
  <mergeCells count="1">
    <mergeCell ref="C2:O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Hoja3">
    <outlinePr summaryBelow="1" summaryRight="1"/>
    <pageSetUpPr/>
  </sheetPr>
  <dimension ref="A1:Y35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E20" sqref="E20"/>
    </sheetView>
  </sheetViews>
  <sheetFormatPr baseColWidth="10" defaultColWidth="11.44140625" defaultRowHeight="11.4"/>
  <cols>
    <col width="9" customWidth="1" style="187" min="1" max="1"/>
    <col width="37.6640625" customWidth="1" style="983" min="2" max="2"/>
    <col width="15.5546875" customWidth="1" style="981" min="3" max="3"/>
    <col width="14.109375" customWidth="1" style="981" min="4" max="4"/>
    <col width="13.33203125" customWidth="1" style="981" min="5" max="5"/>
    <col width="13.88671875" customWidth="1" style="981" min="6" max="10"/>
    <col width="14.33203125" customWidth="1" style="981" min="11" max="11"/>
    <col width="13.88671875" customWidth="1" style="981" min="12" max="12"/>
    <col width="13.6640625" customWidth="1" style="981" min="13" max="13"/>
    <col width="13.88671875" customWidth="1" style="981" min="14" max="14"/>
    <col width="16.109375" customWidth="1" style="981" min="15" max="15"/>
    <col width="7.5546875" customWidth="1" style="983" min="16" max="16"/>
    <col width="11.44140625" customWidth="1" style="983" min="17" max="21"/>
    <col width="11.44140625" customWidth="1" style="983" min="22" max="16384"/>
  </cols>
  <sheetData>
    <row r="1">
      <c r="B1" s="1009" t="n"/>
      <c r="C1" s="986" t="n"/>
      <c r="D1" s="986" t="n"/>
      <c r="E1" s="986" t="n"/>
      <c r="F1" s="986" t="n"/>
      <c r="G1" s="986" t="n"/>
      <c r="H1" s="986" t="n"/>
      <c r="I1" s="986" t="n"/>
      <c r="J1" s="986" t="n"/>
      <c r="K1" s="986" t="n"/>
      <c r="L1" s="986" t="n"/>
      <c r="M1" s="986" t="n"/>
      <c r="N1" s="986" t="n"/>
      <c r="O1" s="986" t="n"/>
    </row>
    <row r="2" ht="30" customHeight="1" s="985">
      <c r="B2" s="1007" t="inlineStr">
        <is>
          <t xml:space="preserve">CORPORACIÓN HACIA UN VALLE SOLIDARIO </t>
        </is>
      </c>
      <c r="C2" s="979" t="inlineStr">
        <is>
          <t>PRESUPUESTO GASTOS VEHICULOS 2026</t>
        </is>
      </c>
    </row>
    <row r="3">
      <c r="B3" s="1007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</row>
    <row r="4" ht="24.9" customHeight="1" s="985">
      <c r="B4" s="1013" t="n"/>
      <c r="C4" s="477" t="inlineStr">
        <is>
          <t>ENE</t>
        </is>
      </c>
      <c r="D4" s="477" t="inlineStr">
        <is>
          <t>FEB</t>
        </is>
      </c>
      <c r="E4" s="477" t="inlineStr">
        <is>
          <t>MAR</t>
        </is>
      </c>
      <c r="F4" s="477" t="inlineStr">
        <is>
          <t>ABR</t>
        </is>
      </c>
      <c r="G4" s="477" t="inlineStr">
        <is>
          <t>MAY</t>
        </is>
      </c>
      <c r="H4" s="477" t="inlineStr">
        <is>
          <t>JUN</t>
        </is>
      </c>
      <c r="I4" s="610" t="inlineStr">
        <is>
          <t>JUL</t>
        </is>
      </c>
      <c r="J4" s="610" t="inlineStr">
        <is>
          <t>AGO</t>
        </is>
      </c>
      <c r="K4" s="610" t="inlineStr">
        <is>
          <t>SEP</t>
        </is>
      </c>
      <c r="L4" s="610" t="inlineStr">
        <is>
          <t>OCT</t>
        </is>
      </c>
      <c r="M4" s="610" t="inlineStr">
        <is>
          <t>NOV</t>
        </is>
      </c>
      <c r="N4" s="610" t="inlineStr">
        <is>
          <t>DIC</t>
        </is>
      </c>
      <c r="O4" s="477" t="inlineStr">
        <is>
          <t>ACUMULADO</t>
        </is>
      </c>
    </row>
    <row r="5" ht="15" customHeight="1" s="985">
      <c r="A5" s="188" t="n"/>
      <c r="B5" s="1011" t="inlineStr">
        <is>
          <t>GASTOS DE PERSONAL</t>
        </is>
      </c>
      <c r="C5" s="167">
        <f>SUM(C6:C8)</f>
        <v/>
      </c>
      <c r="D5" s="167">
        <f>SUM(D6:D8)</f>
        <v/>
      </c>
      <c r="E5" s="167">
        <f>SUM(E6:E8)</f>
        <v/>
      </c>
      <c r="F5" s="167">
        <f>SUM(F6:F8)</f>
        <v/>
      </c>
      <c r="G5" s="167">
        <f>SUM(G6:G8)</f>
        <v/>
      </c>
      <c r="H5" s="167">
        <f>SUM(H6:H8)</f>
        <v/>
      </c>
      <c r="I5" s="167">
        <f>SUM(I6:I8)</f>
        <v/>
      </c>
      <c r="J5" s="167">
        <f>SUM(J6:J8)</f>
        <v/>
      </c>
      <c r="K5" s="167">
        <f>SUM(K6:K8)</f>
        <v/>
      </c>
      <c r="L5" s="167">
        <f>SUM(L6:L8)</f>
        <v/>
      </c>
      <c r="M5" s="167">
        <f>SUM(M6:M8)</f>
        <v/>
      </c>
      <c r="N5" s="167">
        <f>SUM(N6:N8)</f>
        <v/>
      </c>
      <c r="O5" s="167">
        <f>SUM(O6:O8)</f>
        <v/>
      </c>
    </row>
    <row r="6" ht="12.9" customHeight="1" s="985">
      <c r="A6" s="189" t="inlineStr">
        <is>
          <t>7205</t>
        </is>
      </c>
      <c r="B6" s="1014" t="inlineStr">
        <is>
          <t>Salarios</t>
        </is>
      </c>
      <c r="C6" s="424">
        <f>'[22]Hoja 1'!$I$10+'[27]Hoja 1'!$E$10</f>
        <v/>
      </c>
      <c r="D6" s="424">
        <f>'[30]Hoja 1'!$I$9+'[31]Hoja 1'!$I$10+'[35]Hoja 1'!$I$10-D7</f>
        <v/>
      </c>
      <c r="E6" s="424" t="n"/>
      <c r="F6" s="435" t="n"/>
      <c r="G6" s="435" t="n"/>
      <c r="H6" s="435" t="n"/>
      <c r="I6" s="435" t="n"/>
      <c r="J6" s="435" t="n"/>
      <c r="K6" s="435" t="n"/>
      <c r="L6" s="435" t="n"/>
      <c r="M6" s="435" t="n"/>
      <c r="N6" s="909" t="n"/>
      <c r="O6" s="460">
        <f>SUM(C6:N6)</f>
        <v/>
      </c>
    </row>
    <row r="7" ht="12.9" customHeight="1" s="985">
      <c r="A7" s="189" t="n">
        <v>72055101</v>
      </c>
      <c r="B7" s="1015" t="inlineStr">
        <is>
          <t>Dotacion</t>
        </is>
      </c>
      <c r="C7" s="437" t="n"/>
      <c r="D7" s="437" t="n">
        <v>152082</v>
      </c>
      <c r="E7" s="437" t="n"/>
      <c r="F7" s="437" t="n"/>
      <c r="G7" s="437" t="n"/>
      <c r="H7" s="437" t="n"/>
      <c r="I7" s="437" t="n"/>
      <c r="J7" s="910" t="n"/>
      <c r="K7" s="437" t="n"/>
      <c r="L7" s="437" t="n"/>
      <c r="M7" s="437" t="n"/>
      <c r="N7" s="437" t="n"/>
      <c r="O7" s="393">
        <f>SUM(C7:N7)</f>
        <v/>
      </c>
    </row>
    <row r="8" ht="12.9" customHeight="1" s="985">
      <c r="A8" s="189" t="n"/>
      <c r="B8" s="1016" t="inlineStr">
        <is>
          <t>Gastos Medicos</t>
        </is>
      </c>
      <c r="C8" s="406" t="n"/>
      <c r="D8" s="406" t="n"/>
      <c r="E8" s="406" t="n"/>
      <c r="F8" s="406" t="n"/>
      <c r="G8" s="406" t="n"/>
      <c r="H8" s="406" t="n"/>
      <c r="I8" s="406" t="n"/>
      <c r="J8" s="406" t="n"/>
      <c r="K8" s="406" t="n"/>
      <c r="L8" s="406" t="n"/>
      <c r="M8" s="406" t="n"/>
      <c r="N8" s="406" t="n"/>
      <c r="O8" s="426">
        <f>SUM(C8:N8)</f>
        <v/>
      </c>
    </row>
    <row r="9" ht="15" customFormat="1" customHeight="1" s="1017">
      <c r="A9" s="1018" t="n"/>
      <c r="B9" s="1019" t="inlineStr">
        <is>
          <t>IMPUESTOS</t>
        </is>
      </c>
      <c r="C9" s="111">
        <f>SUM(C10)</f>
        <v/>
      </c>
      <c r="D9" s="111">
        <f>SUM(D10)</f>
        <v/>
      </c>
      <c r="E9" s="111" t="n"/>
      <c r="F9" s="111" t="n"/>
      <c r="G9" s="111">
        <f>SUM(G10)</f>
        <v/>
      </c>
      <c r="H9" s="111">
        <f>SUM(H10)</f>
        <v/>
      </c>
      <c r="I9" s="111">
        <f>SUM(I10)</f>
        <v/>
      </c>
      <c r="J9" s="111">
        <f>SUM(J10)</f>
        <v/>
      </c>
      <c r="K9" s="111">
        <f>SUM(K10)</f>
        <v/>
      </c>
      <c r="L9" s="111">
        <f>SUM(L10)</f>
        <v/>
      </c>
      <c r="M9" s="111">
        <f>SUM(M10)</f>
        <v/>
      </c>
      <c r="N9" s="111">
        <f>SUM(N10)</f>
        <v/>
      </c>
      <c r="O9" s="111">
        <f>SUM(O10)</f>
        <v/>
      </c>
    </row>
    <row r="10" ht="12.9" customFormat="1" customHeight="1" s="1017">
      <c r="A10" s="1018" t="n"/>
      <c r="B10" s="1020" t="inlineStr">
        <is>
          <t>Impuestos Vehiculo</t>
        </is>
      </c>
      <c r="C10" s="903">
        <f>'[9]Hoja 1'!$C$80-2676712</f>
        <v/>
      </c>
      <c r="D10" s="903" t="n"/>
      <c r="E10" s="903" t="n">
        <v>241842440</v>
      </c>
      <c r="F10" s="903" t="n"/>
      <c r="G10" s="903" t="n"/>
      <c r="H10" s="903" t="n"/>
      <c r="I10" s="903" t="n"/>
      <c r="J10" s="903" t="n"/>
      <c r="K10" s="903" t="n"/>
      <c r="L10" s="903" t="n"/>
      <c r="M10" s="903" t="n"/>
      <c r="N10" s="903" t="n"/>
      <c r="O10" s="352">
        <f>SUM(C10:N10)</f>
        <v/>
      </c>
    </row>
    <row r="11" ht="15" customFormat="1" customHeight="1" s="1009">
      <c r="A11" s="1018" t="n"/>
      <c r="B11" s="1019" t="inlineStr">
        <is>
          <t>SEGUROS</t>
        </is>
      </c>
      <c r="C11" s="167">
        <f>SUM(C12:C14)</f>
        <v/>
      </c>
      <c r="D11" s="167">
        <f>SUM(D12:D14)</f>
        <v/>
      </c>
      <c r="E11" s="167" t="n"/>
      <c r="F11" s="167" t="n"/>
      <c r="G11" s="167">
        <f>SUM(G12:G14)</f>
        <v/>
      </c>
      <c r="H11" s="167">
        <f>SUM(H12:H14)</f>
        <v/>
      </c>
      <c r="I11" s="167">
        <f>SUM(I12:I14)</f>
        <v/>
      </c>
      <c r="J11" s="167">
        <f>SUM(J12:J14)</f>
        <v/>
      </c>
      <c r="K11" s="167">
        <f>SUM(K12:K14)</f>
        <v/>
      </c>
      <c r="L11" s="167">
        <f>SUM(L12:L14)</f>
        <v/>
      </c>
      <c r="M11" s="167">
        <f>SUM(M12:M14)</f>
        <v/>
      </c>
      <c r="N11" s="167">
        <f>SUM(N12:N14)</f>
        <v/>
      </c>
      <c r="O11" s="167">
        <f>SUM(O12:O14)</f>
        <v/>
      </c>
    </row>
    <row r="12" hidden="1" ht="12.9" customHeight="1" s="985">
      <c r="A12" s="187" t="inlineStr">
        <is>
          <t xml:space="preserve">51303501            </t>
        </is>
      </c>
      <c r="B12" s="1014" t="inlineStr">
        <is>
          <t>Sustraccion y Hurto</t>
        </is>
      </c>
      <c r="C12" s="904" t="n"/>
      <c r="D12" s="904" t="n"/>
      <c r="E12" s="904" t="n">
        <v>241842440</v>
      </c>
      <c r="F12" s="904" t="n"/>
      <c r="G12" s="904" t="n"/>
      <c r="H12" s="904" t="n"/>
      <c r="I12" s="904" t="n"/>
      <c r="J12" s="904" t="n"/>
      <c r="K12" s="904" t="n"/>
      <c r="L12" s="904" t="n"/>
      <c r="M12" s="904" t="n"/>
      <c r="N12" s="904" t="n"/>
      <c r="O12" s="460">
        <f>SUM(C12:N12)</f>
        <v/>
      </c>
    </row>
    <row r="13" ht="12.9" customHeight="1" s="985">
      <c r="A13" s="187" t="inlineStr">
        <is>
          <t xml:space="preserve">51304001            </t>
        </is>
      </c>
      <c r="B13" s="1014" t="inlineStr">
        <is>
          <t>Flota y Equipo de Transporte</t>
        </is>
      </c>
      <c r="C13" s="404" t="n"/>
      <c r="D13" s="404">
        <f>'[10]Hoja 1'!$C$93</f>
        <v/>
      </c>
      <c r="E13" s="404" t="n">
        <v>241842440</v>
      </c>
      <c r="F13" s="404" t="n"/>
      <c r="G13" s="404" t="n"/>
      <c r="H13" s="404" t="n"/>
      <c r="I13" s="404" t="n"/>
      <c r="J13" s="404" t="n"/>
      <c r="K13" s="404" t="n"/>
      <c r="L13" s="404" t="n"/>
      <c r="M13" s="404" t="n"/>
      <c r="N13" s="404" t="n"/>
      <c r="O13" s="461">
        <f>SUM(C13:N13)</f>
        <v/>
      </c>
    </row>
    <row r="14" ht="12.9" customFormat="1" customHeight="1" s="1017">
      <c r="A14" s="1018" t="n"/>
      <c r="B14" s="1016" t="inlineStr">
        <is>
          <t>Obligatorio Accidente de transito</t>
        </is>
      </c>
      <c r="C14" s="406">
        <f>'[9]Hoja 1'!$C$92</f>
        <v/>
      </c>
      <c r="D14" s="406" t="n"/>
      <c r="E14" s="406" t="n">
        <v>241842440</v>
      </c>
      <c r="F14" s="406" t="n"/>
      <c r="G14" s="406" t="n"/>
      <c r="H14" s="406" t="n"/>
      <c r="I14" s="406" t="n"/>
      <c r="J14" s="406" t="n"/>
      <c r="K14" s="406" t="n"/>
      <c r="L14" s="406" t="n"/>
      <c r="M14" s="406" t="n"/>
      <c r="N14" s="406" t="n"/>
      <c r="O14" s="462">
        <f>SUM(C14:N14)</f>
        <v/>
      </c>
    </row>
    <row r="15" ht="12.9" customFormat="1" customHeight="1" s="1017">
      <c r="A15" s="1018" t="n"/>
      <c r="B15" s="1021" t="inlineStr">
        <is>
          <t>SERVICIOS</t>
        </is>
      </c>
      <c r="C15" s="410">
        <f>SUM(C16:C18)</f>
        <v/>
      </c>
      <c r="D15" s="410">
        <f>SUM(D16:D18)</f>
        <v/>
      </c>
      <c r="E15" s="410" t="n"/>
      <c r="F15" s="410" t="n"/>
      <c r="G15" s="410">
        <f>SUM(G16:G18)</f>
        <v/>
      </c>
      <c r="H15" s="410">
        <f>SUM(H16:H18)</f>
        <v/>
      </c>
      <c r="I15" s="410">
        <f>SUM(I16:I18)</f>
        <v/>
      </c>
      <c r="J15" s="410">
        <f>SUM(J16:J18)</f>
        <v/>
      </c>
      <c r="K15" s="410">
        <f>SUM(K16:K18)</f>
        <v/>
      </c>
      <c r="L15" s="410">
        <f>SUM(L16:L18)</f>
        <v/>
      </c>
      <c r="M15" s="410">
        <f>SUM(M16:M18)</f>
        <v/>
      </c>
      <c r="N15" s="410">
        <f>SUM(N16:N18)</f>
        <v/>
      </c>
      <c r="O15" s="410">
        <f>SUM(O16:O18)</f>
        <v/>
      </c>
    </row>
    <row r="16" ht="12.9" customFormat="1" customHeight="1" s="1017">
      <c r="A16" s="1018" t="inlineStr">
        <is>
          <t xml:space="preserve">51350502            </t>
        </is>
      </c>
      <c r="B16" s="1022" t="inlineStr">
        <is>
          <t>Monitoreo</t>
        </is>
      </c>
      <c r="C16" s="424">
        <f>'[9]Hoja 1'!$C$95</f>
        <v/>
      </c>
      <c r="D16" s="424">
        <f>'[10]Hoja 1'!$C$98</f>
        <v/>
      </c>
      <c r="E16" s="424" t="n">
        <v>241842440</v>
      </c>
      <c r="F16" s="424" t="n"/>
      <c r="G16" s="424" t="n"/>
      <c r="H16" s="424" t="n"/>
      <c r="I16" s="424" t="n"/>
      <c r="J16" s="424" t="n"/>
      <c r="K16" s="424" t="n"/>
      <c r="L16" s="424" t="n"/>
      <c r="M16" s="424" t="n"/>
      <c r="N16" s="424" t="n"/>
      <c r="O16" s="424">
        <f>SUM(C16:N16)</f>
        <v/>
      </c>
      <c r="P16" s="1023" t="n"/>
    </row>
    <row r="17" ht="12.9" customFormat="1" customHeight="1" s="1017">
      <c r="A17" s="1018" t="n"/>
      <c r="B17" s="1024" t="inlineStr">
        <is>
          <t>Seguridad</t>
        </is>
      </c>
      <c r="C17" s="424">
        <f>'[12]Hoja 1'!$G$26</f>
        <v/>
      </c>
      <c r="D17" s="424">
        <f>'[13]Hoja 1'!$G$26</f>
        <v/>
      </c>
      <c r="E17" s="424" t="n">
        <v>241842440</v>
      </c>
      <c r="F17" s="424" t="n"/>
      <c r="G17" s="424" t="n"/>
      <c r="H17" s="424" t="n"/>
      <c r="I17" s="424" t="n"/>
      <c r="J17" s="424" t="n"/>
      <c r="K17" s="424" t="n"/>
      <c r="L17" s="424" t="n"/>
      <c r="M17" s="424" t="n"/>
      <c r="N17" s="424" t="n"/>
      <c r="O17" s="424">
        <f>SUM(C17:N17)</f>
        <v/>
      </c>
      <c r="P17" s="1023" t="n"/>
    </row>
    <row r="18" ht="12.9" customFormat="1" customHeight="1" s="1017">
      <c r="A18" s="806" t="n">
        <v>51355001</v>
      </c>
      <c r="B18" s="1016" t="inlineStr">
        <is>
          <t>Transporte, fletes y acarreos</t>
        </is>
      </c>
      <c r="C18" s="406">
        <f>'[12]Hoja 1'!$G$29</f>
        <v/>
      </c>
      <c r="D18" s="406">
        <f>'[13]Hoja 1'!$G$29</f>
        <v/>
      </c>
      <c r="E18" s="406" t="n"/>
      <c r="F18" s="406" t="n"/>
      <c r="G18" s="406" t="n"/>
      <c r="H18" s="406" t="n"/>
      <c r="I18" s="406" t="n"/>
      <c r="J18" s="406" t="n"/>
      <c r="K18" s="406" t="n"/>
      <c r="L18" s="406" t="n"/>
      <c r="M18" s="406" t="n"/>
      <c r="N18" s="406" t="n"/>
      <c r="O18" s="426">
        <f>SUM(C18:N18)</f>
        <v/>
      </c>
      <c r="P18" s="1025" t="n"/>
    </row>
    <row r="19" ht="12.9" customFormat="1" customHeight="1" s="1017">
      <c r="A19" s="1026" t="n"/>
      <c r="B19" s="1021" t="inlineStr">
        <is>
          <t>MANTENIMIENTO Y REPARACIONES</t>
        </is>
      </c>
      <c r="C19" s="905">
        <f>SUM(C20:C21)</f>
        <v/>
      </c>
      <c r="D19" s="905">
        <f>SUM(D20:D21)</f>
        <v/>
      </c>
      <c r="E19" s="905" t="n"/>
      <c r="F19" s="905" t="n"/>
      <c r="G19" s="905">
        <f>SUM(G20:G21)</f>
        <v/>
      </c>
      <c r="H19" s="905">
        <f>SUM(H20:H21)</f>
        <v/>
      </c>
      <c r="I19" s="905">
        <f>SUM(I20:I21)</f>
        <v/>
      </c>
      <c r="J19" s="905">
        <f>SUM(J20:J21)</f>
        <v/>
      </c>
      <c r="K19" s="905">
        <f>SUM(K20:K21)</f>
        <v/>
      </c>
      <c r="L19" s="905">
        <f>SUM(L20:L21)</f>
        <v/>
      </c>
      <c r="M19" s="905">
        <f>SUM(M20:M21)</f>
        <v/>
      </c>
      <c r="N19" s="905">
        <f>SUM(N20:N21)</f>
        <v/>
      </c>
      <c r="O19" s="167">
        <f>SUM(O20:O21)</f>
        <v/>
      </c>
    </row>
    <row r="20" ht="12.9" customFormat="1" customHeight="1" s="1009">
      <c r="A20" s="1027" t="inlineStr">
        <is>
          <t xml:space="preserve">51454001            </t>
        </is>
      </c>
      <c r="B20" s="1014" t="inlineStr">
        <is>
          <t>Mtto Preventivo</t>
        </is>
      </c>
      <c r="C20" s="906" t="n">
        <v>3549011</v>
      </c>
      <c r="D20" s="906">
        <f>'[10]Hoja 1'!C131</f>
        <v/>
      </c>
      <c r="E20" s="906" t="n">
        <v>241842440</v>
      </c>
      <c r="F20" s="906" t="n"/>
      <c r="G20" s="906" t="n"/>
      <c r="H20" s="906" t="n"/>
      <c r="I20" s="906" t="n"/>
      <c r="J20" s="906" t="n"/>
      <c r="K20" s="906" t="n"/>
      <c r="L20" s="906" t="n"/>
      <c r="M20" s="906" t="n"/>
      <c r="N20" s="906" t="n"/>
      <c r="O20" s="403">
        <f>SUM(C20:N20)</f>
        <v/>
      </c>
    </row>
    <row r="21" ht="12.9" customFormat="1" customHeight="1" s="1009">
      <c r="A21" s="1027" t="inlineStr">
        <is>
          <t xml:space="preserve">51454002            </t>
        </is>
      </c>
      <c r="B21" s="1016" t="inlineStr">
        <is>
          <t>Mtto Correctivo</t>
        </is>
      </c>
      <c r="C21" s="907" t="n">
        <v>2232440</v>
      </c>
      <c r="D21" s="907">
        <f>'[10]Hoja 1'!C132</f>
        <v/>
      </c>
      <c r="E21" s="907" t="n">
        <v>241842440</v>
      </c>
      <c r="F21" s="907" t="n"/>
      <c r="G21" s="907" t="n"/>
      <c r="H21" s="907" t="n"/>
      <c r="I21" s="907" t="n"/>
      <c r="J21" s="907" t="n"/>
      <c r="K21" s="907" t="n"/>
      <c r="L21" s="907" t="n"/>
      <c r="M21" s="907" t="n"/>
      <c r="N21" s="907" t="n"/>
      <c r="O21" s="462">
        <f>SUM(C21:N21)</f>
        <v/>
      </c>
    </row>
    <row r="22" ht="12.9" customFormat="1" customHeight="1" s="1009">
      <c r="A22" s="1027" t="n"/>
      <c r="B22" s="1021" t="inlineStr">
        <is>
          <t>DIVERSOS</t>
        </is>
      </c>
      <c r="C22" s="111">
        <f>SUM(C23:C24)</f>
        <v/>
      </c>
      <c r="D22" s="111">
        <f>SUM(D23:D24)</f>
        <v/>
      </c>
      <c r="E22" s="111" t="n"/>
      <c r="F22" s="111" t="n"/>
      <c r="G22" s="111">
        <f>SUM(G23:G24)</f>
        <v/>
      </c>
      <c r="H22" s="111">
        <f>SUM(H23:H24)</f>
        <v/>
      </c>
      <c r="I22" s="111">
        <f>SUM(I23:I24)</f>
        <v/>
      </c>
      <c r="J22" s="111">
        <f>SUM(J23:J24)</f>
        <v/>
      </c>
      <c r="K22" s="111">
        <f>SUM(K23:K24)</f>
        <v/>
      </c>
      <c r="L22" s="111">
        <f>SUM(L23:L24)</f>
        <v/>
      </c>
      <c r="M22" s="111">
        <f>SUM(M23:M24)</f>
        <v/>
      </c>
      <c r="N22" s="111">
        <f>SUM(N23:N24)</f>
        <v/>
      </c>
      <c r="O22" s="111">
        <f>SUM(O23:O24)</f>
        <v/>
      </c>
    </row>
    <row r="23" ht="12.9" customFormat="1" customHeight="1" s="1028">
      <c r="A23" s="1029" t="inlineStr">
        <is>
          <t xml:space="preserve">51953501            </t>
        </is>
      </c>
      <c r="B23" s="1030" t="inlineStr">
        <is>
          <t xml:space="preserve">Combustible </t>
        </is>
      </c>
      <c r="C23" s="171">
        <f>'[9]Hoja 1'!$C$139-964175</f>
        <v/>
      </c>
      <c r="D23" s="424">
        <f>'[10]Hoja 1'!$C$141-1186883</f>
        <v/>
      </c>
      <c r="E23" s="171" t="n"/>
      <c r="F23" s="424" t="n"/>
      <c r="G23" s="424" t="n"/>
      <c r="H23" s="424" t="n"/>
      <c r="I23" s="424" t="n"/>
      <c r="J23" s="424" t="n"/>
      <c r="K23" s="424" t="n"/>
      <c r="L23" s="424" t="n"/>
      <c r="M23" s="424" t="n"/>
      <c r="N23" s="424" t="n"/>
      <c r="O23" s="463">
        <f>SUM(C23:N23)</f>
        <v/>
      </c>
      <c r="Q23" s="1009" t="n"/>
      <c r="R23" s="1009" t="n"/>
      <c r="S23" s="1009" t="n"/>
      <c r="T23" s="1009" t="n"/>
      <c r="U23" s="1009" t="n"/>
      <c r="V23" s="1009" t="n"/>
      <c r="W23" s="1009" t="n"/>
      <c r="X23" s="1009" t="n"/>
      <c r="Y23" s="1009" t="n"/>
    </row>
    <row r="24" ht="12.9" customFormat="1" customHeight="1" s="1009">
      <c r="A24" s="1027" t="n"/>
      <c r="B24" s="1031" t="inlineStr">
        <is>
          <t>Compra Equipo de Transporte</t>
        </is>
      </c>
      <c r="C24" s="406" t="n">
        <v>8904646</v>
      </c>
      <c r="D24" s="406" t="n">
        <v>8972985</v>
      </c>
      <c r="E24" s="406" t="n">
        <v>241842440</v>
      </c>
      <c r="F24" s="406" t="n"/>
      <c r="G24" s="406" t="n"/>
      <c r="H24" s="406" t="n"/>
      <c r="I24" s="406" t="n"/>
      <c r="J24" s="406" t="n"/>
      <c r="K24" s="406" t="n"/>
      <c r="L24" s="406" t="n"/>
      <c r="M24" s="406" t="n"/>
      <c r="N24" s="406" t="n"/>
      <c r="O24" s="426">
        <f>SUM(C24:N24)</f>
        <v/>
      </c>
    </row>
    <row r="25" ht="15" customHeight="1" s="985">
      <c r="B25" s="1032" t="inlineStr">
        <is>
          <t>GASTOS TOTALES</t>
        </is>
      </c>
      <c r="C25" s="478">
        <f>C5+C9+C11+C15+C19+C22</f>
        <v/>
      </c>
      <c r="D25" s="478">
        <f>D5+D9+D11+D15+D19+D22</f>
        <v/>
      </c>
      <c r="E25" s="478" t="n">
        <v>241842440</v>
      </c>
      <c r="F25" s="478" t="n"/>
      <c r="G25" s="478">
        <f>G5+G9+G11+G15+G19+G22</f>
        <v/>
      </c>
      <c r="H25" s="478">
        <f>H5+H9+H11+H15+H19+H22</f>
        <v/>
      </c>
      <c r="I25" s="478">
        <f>I5+I9+I11+I15+I19+I22</f>
        <v/>
      </c>
      <c r="J25" s="478">
        <f>J5+J9+J11+J15+J19+J22</f>
        <v/>
      </c>
      <c r="K25" s="478">
        <f>K5+K9+K11+K15+K19+K22</f>
        <v/>
      </c>
      <c r="L25" s="478">
        <f>L5+L9+L11+L15+L19+L22</f>
        <v/>
      </c>
      <c r="M25" s="478">
        <f>M5+M9+M11+M15+M19+M22</f>
        <v/>
      </c>
      <c r="N25" s="478">
        <f>N5+N9+N11+N15+N19+N22</f>
        <v/>
      </c>
      <c r="O25" s="478">
        <f>O5+O9+O11+O15+O19+O22</f>
        <v/>
      </c>
    </row>
    <row r="26"/>
    <row r="27">
      <c r="K27" s="459" t="n"/>
      <c r="O27" s="182" t="n"/>
    </row>
    <row r="28"/>
    <row r="29"/>
    <row r="30">
      <c r="D30" s="619" t="n"/>
      <c r="E30" s="619" t="n"/>
      <c r="F30" s="619" t="n"/>
      <c r="G30" s="619" t="n"/>
      <c r="H30" s="619" t="n"/>
      <c r="I30" s="619" t="n"/>
      <c r="J30" s="619" t="n"/>
      <c r="K30" s="619" t="n"/>
      <c r="L30" s="619" t="n"/>
      <c r="M30" s="619" t="n"/>
      <c r="N30" s="619" t="n"/>
      <c r="O30" s="619" t="n"/>
    </row>
    <row r="31">
      <c r="D31" s="619" t="n"/>
      <c r="E31" s="619" t="n"/>
      <c r="F31" s="619" t="n"/>
      <c r="G31" s="619" t="n"/>
      <c r="H31" s="619" t="n"/>
      <c r="I31" s="619" t="n"/>
      <c r="J31" s="619" t="n"/>
      <c r="K31" s="619" t="n"/>
      <c r="L31" s="619" t="n"/>
      <c r="M31" s="619" t="n"/>
      <c r="N31" s="619" t="n"/>
      <c r="O31" s="619" t="n"/>
    </row>
    <row r="32">
      <c r="D32" s="619" t="n"/>
      <c r="O32" s="619" t="n"/>
    </row>
    <row r="33"/>
    <row r="34"/>
    <row r="35">
      <c r="K35" s="981" t="inlineStr">
        <is>
          <t xml:space="preserve"> </t>
        </is>
      </c>
    </row>
  </sheetData>
  <mergeCells count="1">
    <mergeCell ref="C2:O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Hoja1">
    <outlinePr summaryBelow="1" summaryRight="1"/>
    <pageSetUpPr/>
  </sheetPr>
  <dimension ref="A1:AU200"/>
  <sheetViews>
    <sheetView zoomScaleNormal="100" workbookViewId="0">
      <pane xSplit="2" ySplit="13" topLeftCell="C134" activePane="bottomRight" state="frozen"/>
      <selection activeCell="C17" sqref="C17"/>
      <selection pane="topRight" activeCell="C17" sqref="C17"/>
      <selection pane="bottomLeft" activeCell="C17" sqref="C17"/>
      <selection pane="bottomRight" activeCell="C142" sqref="C142"/>
    </sheetView>
  </sheetViews>
  <sheetFormatPr baseColWidth="10" defaultColWidth="11.44140625" defaultRowHeight="10.2" outlineLevelRow="1"/>
  <cols>
    <col width="10.6640625" customWidth="1" style="237" min="1" max="1"/>
    <col width="41.554687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4.44140625" customWidth="1" style="989" min="18" max="18"/>
    <col width="8.6640625" customWidth="1" style="989" min="19" max="19"/>
    <col width="8.6640625" customWidth="1" style="1033" min="20" max="20"/>
    <col width="14.4414062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7.88671875" customWidth="1" style="989" min="39" max="39"/>
    <col width="11.33203125" customWidth="1" style="989" min="40" max="40"/>
    <col width="8.6640625" customWidth="1" style="1033" min="41" max="41"/>
    <col width="6.6640625" customWidth="1" style="2" min="42" max="42"/>
    <col width="17.5546875" customWidth="1" style="2" min="43" max="43"/>
    <col width="11.44140625" customWidth="1" style="2" min="44" max="48"/>
    <col width="11.44140625" customWidth="1" style="2" min="49" max="16384"/>
  </cols>
  <sheetData>
    <row r="1"/>
    <row r="2" ht="14.4" customHeight="1" s="985" thickBot="1">
      <c r="B2" s="236" t="inlineStr">
        <is>
          <t xml:space="preserve">CORPORACIÓN HACIA UN VALLE SOLIDARIO </t>
        </is>
      </c>
      <c r="C2" s="987" t="inlineStr">
        <is>
          <t>PYG CASINO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</row>
    <row r="3" ht="21.6" customHeight="1" s="985" thickBot="1" thickTop="1">
      <c r="B3" s="523" t="inlineStr">
        <is>
          <t xml:space="preserve">DIAS DE ATENCIÓN </t>
        </is>
      </c>
      <c r="C3" s="479" t="n"/>
      <c r="D3" s="480" t="n"/>
      <c r="E3" s="1035" t="n"/>
      <c r="F3" s="479" t="n">
        <v>20</v>
      </c>
      <c r="G3" s="480" t="n"/>
      <c r="H3" s="1035" t="n"/>
      <c r="I3" s="479" t="n">
        <v>20</v>
      </c>
      <c r="J3" s="480" t="n"/>
      <c r="K3" s="1035" t="n"/>
      <c r="L3" s="479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  <c r="AQ3" s="215" t="n"/>
      <c r="AR3" s="216" t="inlineStr">
        <is>
          <t>VALOR RACION</t>
        </is>
      </c>
      <c r="AS3" s="216" t="inlineStr">
        <is>
          <t>COSTO</t>
        </is>
      </c>
      <c r="AT3" s="216" t="inlineStr">
        <is>
          <t>CUPOS</t>
        </is>
      </c>
      <c r="AU3" s="225" t="n"/>
    </row>
    <row r="4" ht="22.95" customFormat="1" customHeight="1" s="215" thickBot="1" thickTop="1">
      <c r="A4" s="743" t="n"/>
      <c r="B4" s="21" t="n"/>
      <c r="C4" s="482" t="inlineStr">
        <is>
          <t>ENE</t>
        </is>
      </c>
      <c r="D4" s="483" t="inlineStr">
        <is>
          <t>x racion</t>
        </is>
      </c>
      <c r="E4" s="103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217" t="n"/>
      <c r="AR4" s="1039" t="n"/>
      <c r="AS4" s="1040" t="n"/>
      <c r="AT4" s="220" t="n"/>
      <c r="AU4" s="224" t="n"/>
    </row>
    <row r="5" ht="15" customFormat="1" customHeight="1" s="223" thickTop="1">
      <c r="A5" s="744" t="n"/>
      <c r="B5" s="258" t="inlineStr">
        <is>
          <t>Cupos</t>
        </is>
      </c>
      <c r="C5" s="259">
        <f>C$3*$AR$7*$AT$4</f>
        <v/>
      </c>
      <c r="D5" s="89" t="n"/>
      <c r="E5" s="1041" t="n"/>
      <c r="F5" s="259" t="n"/>
      <c r="G5" s="89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 t="n"/>
      <c r="AQ5" s="467" t="inlineStr">
        <is>
          <t>ALMUERZO</t>
        </is>
      </c>
      <c r="AR5" s="1043" t="n"/>
      <c r="AS5" s="1044" t="n"/>
      <c r="AT5" s="221" t="n"/>
      <c r="AU5" s="224" t="n"/>
    </row>
    <row r="6" ht="15" customFormat="1" customHeight="1" s="223">
      <c r="A6" s="744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 t="n"/>
      <c r="AQ6" s="468" t="inlineStr">
        <is>
          <t>DESAYUNO</t>
        </is>
      </c>
      <c r="AR6" s="992" t="n"/>
      <c r="AS6" s="992" t="n"/>
      <c r="AT6" s="222" t="n"/>
      <c r="AU6" s="224" t="n"/>
    </row>
    <row r="7" ht="15" customFormat="1" customHeight="1" s="223">
      <c r="A7" s="744" t="n"/>
      <c r="B7" s="258" t="n"/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 t="n"/>
      <c r="AQ7" s="251" t="inlineStr">
        <is>
          <t>% Facturacion</t>
        </is>
      </c>
      <c r="AR7" s="252" t="n">
        <v>1</v>
      </c>
      <c r="AS7" s="253" t="n"/>
      <c r="AT7" s="346" t="n"/>
    </row>
    <row r="8" ht="15" customFormat="1" customHeight="1" s="223">
      <c r="A8" s="744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  <c r="AQ8" s="238" t="n"/>
      <c r="AR8" s="254" t="n"/>
    </row>
    <row r="9" ht="15" customFormat="1" customHeight="1" s="223">
      <c r="A9" s="744" t="n"/>
      <c r="B9" s="14" t="n"/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  <c r="AQ9" s="238" t="n"/>
      <c r="AR9" s="239" t="n"/>
      <c r="AS9" s="239" t="n"/>
    </row>
    <row r="10" ht="15" customFormat="1" customHeight="1" s="223">
      <c r="A10" s="744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744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744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5">
      <c r="A13" s="744" t="n"/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5">
      <c r="A14" s="744" t="n"/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49">
        <f>U15</f>
        <v/>
      </c>
      <c r="V14" s="3" t="n"/>
      <c r="W14" s="1053" t="n"/>
      <c r="X14" s="49">
        <f>X15</f>
        <v/>
      </c>
      <c r="Y14" s="3" t="n"/>
      <c r="Z14" s="1053" t="n"/>
      <c r="AA14" s="49">
        <f>AA15</f>
        <v/>
      </c>
      <c r="AB14" s="3" t="n"/>
      <c r="AC14" s="1053" t="n"/>
      <c r="AD14" s="49">
        <f>AD15</f>
        <v/>
      </c>
      <c r="AE14" s="3" t="n"/>
      <c r="AF14" s="1053" t="n"/>
      <c r="AG14" s="49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5">
      <c r="A15" s="744" t="n"/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49">
        <f>SUM(U16:U22)</f>
        <v/>
      </c>
      <c r="V15" s="3" t="n"/>
      <c r="W15" s="1053" t="n"/>
      <c r="X15" s="49">
        <f>SUM(X16:X22)</f>
        <v/>
      </c>
      <c r="Y15" s="3" t="n"/>
      <c r="Z15" s="1053" t="n"/>
      <c r="AA15" s="49">
        <f>SUM(AA16:AA22)</f>
        <v/>
      </c>
      <c r="AB15" s="399" t="n"/>
      <c r="AC15" s="1054" t="n"/>
      <c r="AD15" s="49">
        <f>SUM(AD16:AD22)</f>
        <v/>
      </c>
      <c r="AE15" s="399" t="n"/>
      <c r="AF15" s="1054" t="n"/>
      <c r="AG15" s="49">
        <f>SUM(AG16:AG22)</f>
        <v/>
      </c>
      <c r="AH15" s="3" t="n"/>
      <c r="AI15" s="1053" t="n"/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 t="n"/>
    </row>
    <row r="16" ht="15" customHeight="1" s="985">
      <c r="A16" s="744" t="inlineStr">
        <is>
          <t xml:space="preserve">42959502            </t>
        </is>
      </c>
      <c r="B16" s="262" t="n"/>
      <c r="C16" s="103">
        <f>'[9]Hoja 1'!$E$24+'[9]Hoja 1'!$E$327+'[9]Hoja 1'!$E$540+'[9]Hoja 1'!$E$604+'[9]Hoja 1'!$E$643+'[37]Hoja 1'!$E$21+'[37]Hoja 1'!$E$107+'[37]Hoja 1'!$E$144+'[37]Hoja 1'!$E$181+'[37]Hoja 1'!$E$253+'[38]Hoja 1'!$E$21+'[25]Hoja 1'!$E$23+'[39]Hoja 1'!$E$23+'[16]Hoja 1'!$F$23+'[17]Hoja 1'!$E$24</f>
        <v/>
      </c>
      <c r="D16" s="79" t="n"/>
      <c r="E16" s="1055" t="n"/>
      <c r="F16" s="103">
        <f>'[10]Hoja 1'!$E$26+'[10]Hoja 1'!$E$321+'[10]Hoja 1'!$E$503+'[10]Hoja 1'!$E$575+'[18]Hoja 1'!$E$20+'[18]Hoja 1'!$E$101+'[18]Hoja 1'!$E$142+'[11]Hoja 1'!$E$21+'[40]Hoja 1'!$E$21+'[19]Hoja 1'!$E$19+'[19]Hoja 1'!$E$98+'[41]Hoja 1'!$E$23+'[42]Hoja 1'!$E$27+'[20]Hoja 1'!$E$23+'[20]Hoja 1'!$E$106+'[20]Hoja 1'!$E$147</f>
        <v/>
      </c>
      <c r="G16" s="79" t="n"/>
      <c r="H16" s="1055" t="n"/>
      <c r="I16" s="103" t="n">
        <v>241842441</v>
      </c>
      <c r="J16" s="79" t="n"/>
      <c r="K16" s="1055" t="n"/>
      <c r="L16" s="103" t="n">
        <v>241842441</v>
      </c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 t="n"/>
      <c r="AO16" s="1056" t="n"/>
    </row>
    <row r="17" ht="15" customHeight="1" s="985">
      <c r="A17" s="744" t="n"/>
      <c r="B17" s="104" t="n"/>
      <c r="C17" s="25" t="n"/>
      <c r="D17" s="43" t="n"/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57" t="n"/>
      <c r="AM17" s="205">
        <f>C17+F17+I17+L17+O17+R17+U17+X17+AA17+AD17+AG17+AJ17</f>
        <v/>
      </c>
      <c r="AN17" s="43" t="n"/>
      <c r="AO17" s="1046" t="n"/>
    </row>
    <row r="18" ht="15" customHeight="1" s="985">
      <c r="A18" s="744" t="n"/>
      <c r="B18" s="104" t="n"/>
      <c r="C18" s="25" t="n"/>
      <c r="D18" s="43" t="n"/>
      <c r="E18" s="1045" t="n"/>
      <c r="F18" s="25" t="n"/>
      <c r="G18" s="43" t="n"/>
      <c r="H18" s="1045" t="n"/>
      <c r="I18" s="25">
        <f>I7*$AR$6</f>
        <v/>
      </c>
      <c r="J18" s="43" t="n"/>
      <c r="K18" s="1045" t="n"/>
      <c r="L18" s="25">
        <f>L7*$AR$6</f>
        <v/>
      </c>
      <c r="M18" s="43" t="n"/>
      <c r="N18" s="1045" t="n"/>
      <c r="O18" s="25">
        <f>O7*$AR$6</f>
        <v/>
      </c>
      <c r="P18" s="43" t="n"/>
      <c r="Q18" s="1045" t="n"/>
      <c r="R18" s="25">
        <f>R7*$AR$6</f>
        <v/>
      </c>
      <c r="S18" s="43" t="n"/>
      <c r="T18" s="1045" t="n"/>
      <c r="U18" s="25">
        <f>U7*$AR$6</f>
        <v/>
      </c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57" t="n"/>
      <c r="AM18" s="205">
        <f>C18+F18+I18+L18+O18+R18+U18+X18+AA18+AD18+AG18+AJ18</f>
        <v/>
      </c>
      <c r="AN18" s="43" t="n"/>
      <c r="AO18" s="1046" t="n"/>
    </row>
    <row r="19" ht="15" customHeight="1" s="985">
      <c r="A19" s="744" t="n"/>
      <c r="B19" s="104" t="inlineStr">
        <is>
          <t>NOVEDADES</t>
        </is>
      </c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12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t="15" customHeight="1" s="985">
      <c r="A20" s="744" t="n"/>
      <c r="B20" s="263" t="n"/>
      <c r="C20" s="75" t="n"/>
      <c r="D20" s="43" t="n"/>
      <c r="E20" s="1045" t="n"/>
      <c r="F20" s="7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5">
      <c r="A21" s="744" t="n"/>
      <c r="B21" s="30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t="15" customHeight="1" s="985">
      <c r="A22" s="744" t="n"/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outlineLevel="1" ht="15" customHeight="1" s="985">
      <c r="A23" s="744" t="n"/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49">
        <f>R24</f>
        <v/>
      </c>
      <c r="S23" s="3" t="n"/>
      <c r="T23" s="1053" t="n"/>
      <c r="U23" s="49">
        <f>U24</f>
        <v/>
      </c>
      <c r="V23" s="3" t="n"/>
      <c r="W23" s="1053" t="n"/>
      <c r="X23" s="49">
        <f>X24</f>
        <v/>
      </c>
      <c r="Y23" s="3" t="n"/>
      <c r="Z23" s="1053" t="n"/>
      <c r="AA23" s="49">
        <f>AA24</f>
        <v/>
      </c>
      <c r="AB23" s="3" t="n"/>
      <c r="AC23" s="1053" t="n"/>
      <c r="AD23" s="49" t="n"/>
      <c r="AE23" s="3" t="n"/>
      <c r="AF23" s="1053" t="n"/>
      <c r="AG23" s="49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outlineLevel="1" ht="15" customHeight="1" s="985">
      <c r="A24" s="744" t="n"/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49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49">
        <f>SUM(X25:X27)</f>
        <v/>
      </c>
      <c r="Y24" s="3" t="n"/>
      <c r="Z24" s="1053" t="n"/>
      <c r="AA24" s="49">
        <f>SUM(AA25:AA27)</f>
        <v/>
      </c>
      <c r="AB24" s="3" t="n"/>
      <c r="AC24" s="1053" t="n"/>
      <c r="AD24" s="49">
        <f>SUM(AD25:AD27)</f>
        <v/>
      </c>
      <c r="AE24" s="3" t="n"/>
      <c r="AF24" s="1053" t="n"/>
      <c r="AG24" s="49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outlineLevel="1" ht="15" customHeight="1" s="985">
      <c r="A25" s="744" t="n"/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outlineLevel="1" ht="15" customHeight="1" s="985">
      <c r="A26" s="744" t="n"/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outlineLevel="1" ht="15" customHeight="1" s="985">
      <c r="A27" s="744" t="n"/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ht="15" customHeight="1" s="985">
      <c r="A28" s="744" t="n"/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49">
        <f>+R29</f>
        <v/>
      </c>
      <c r="S28" s="3" t="n"/>
      <c r="T28" s="1053" t="n"/>
      <c r="U28" s="49">
        <f>+U29</f>
        <v/>
      </c>
      <c r="V28" s="3" t="n"/>
      <c r="W28" s="1053" t="n"/>
      <c r="X28" s="49">
        <f>+X29</f>
        <v/>
      </c>
      <c r="Y28" s="3" t="n"/>
      <c r="Z28" s="1053" t="n"/>
      <c r="AA28" s="49">
        <f>+AA29</f>
        <v/>
      </c>
      <c r="AB28" s="3" t="n"/>
      <c r="AC28" s="1053" t="n"/>
      <c r="AD28" s="49">
        <f>+AD29</f>
        <v/>
      </c>
      <c r="AE28" s="3" t="n"/>
      <c r="AF28" s="1053" t="n"/>
      <c r="AG28" s="49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5">
      <c r="A29" s="744" t="n"/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49">
        <f>SUM(R30:R35)</f>
        <v/>
      </c>
      <c r="S29" s="3" t="n"/>
      <c r="T29" s="1053">
        <f>R29/R13</f>
        <v/>
      </c>
      <c r="U29" s="49">
        <f>SUM(U30:U35)</f>
        <v/>
      </c>
      <c r="V29" s="3" t="n"/>
      <c r="W29" s="1053">
        <f>U29/U13</f>
        <v/>
      </c>
      <c r="X29" s="49">
        <f>SUM(X30:X35)</f>
        <v/>
      </c>
      <c r="Y29" s="3" t="n"/>
      <c r="Z29" s="1053">
        <f>X29/X13</f>
        <v/>
      </c>
      <c r="AA29" s="49">
        <f>SUM(AA30:AA35)</f>
        <v/>
      </c>
      <c r="AB29" s="3" t="n"/>
      <c r="AC29" s="1053">
        <f>AA29/AA13</f>
        <v/>
      </c>
      <c r="AD29" s="49">
        <f>SUM(AD30:AD35)</f>
        <v/>
      </c>
      <c r="AE29" s="3" t="n"/>
      <c r="AF29" s="1053">
        <f>AD29/AD13</f>
        <v/>
      </c>
      <c r="AG29" s="49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</row>
    <row r="30" outlineLevel="1" ht="15" customHeight="1" s="985">
      <c r="A30" s="744" t="n"/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</row>
    <row r="31" outlineLevel="1" ht="15" customHeight="1" s="985">
      <c r="A31" s="744" t="n"/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outlineLevel="1" ht="15" customHeight="1" s="985">
      <c r="A32" s="744" t="n"/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outlineLevel="1" ht="15" customHeight="1" s="985">
      <c r="A33" s="744" t="n"/>
      <c r="B33" s="105" t="n"/>
      <c r="C33" s="2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outlineLevel="1" ht="15" customHeight="1" s="985">
      <c r="A34" s="744" t="n"/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outlineLevel="1" ht="15" customHeight="1" s="985">
      <c r="A35" s="744" t="n"/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outlineLevel="1" ht="15" customHeight="1" s="985">
      <c r="A36" s="744" t="n"/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</row>
    <row r="37" outlineLevel="1" ht="15" customHeight="1" s="985">
      <c r="A37" s="744" t="n"/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outlineLevel="1" ht="15" customHeight="1" s="985">
      <c r="A38" s="744" t="n"/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outlineLevel="1" ht="15" customHeight="1" s="985">
      <c r="A39" s="744" t="n"/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outlineLevel="1" ht="15" customHeight="1" s="985">
      <c r="A40" s="744" t="n"/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outlineLevel="1" ht="15" customHeight="1" s="985">
      <c r="A41" s="744" t="n"/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ht="15" customHeight="1" s="985" thickBot="1">
      <c r="A42" s="744" t="n"/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5" thickBot="1" thickTop="1">
      <c r="A43" s="744" t="n"/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8" t="n"/>
      <c r="AA43" s="2" t="n"/>
      <c r="AB43" s="2" t="n"/>
      <c r="AC43" s="1068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5" thickTop="1">
      <c r="A44" s="744" t="n"/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 t="n"/>
      <c r="I44" s="491">
        <f>+I45+I60+I78</f>
        <v/>
      </c>
      <c r="J44" s="492" t="n"/>
      <c r="K44" s="1069" t="n"/>
      <c r="L44" s="491">
        <f>+L45+L60+L78</f>
        <v/>
      </c>
      <c r="M44" s="492" t="n"/>
      <c r="N44" s="1069" t="n"/>
      <c r="O44" s="491">
        <f>+O45+O60+O78</f>
        <v/>
      </c>
      <c r="P44" s="492" t="n"/>
      <c r="Q44" s="1069" t="n"/>
      <c r="R44" s="491">
        <f>+R45+R60+R78</f>
        <v/>
      </c>
      <c r="S44" s="492" t="n"/>
      <c r="T44" s="1069" t="n"/>
      <c r="U44" s="491">
        <f>+U45+U60+U78</f>
        <v/>
      </c>
      <c r="V44" s="492" t="n"/>
      <c r="W44" s="1069" t="n"/>
      <c r="X44" s="491">
        <f>+X45+X60+X78</f>
        <v/>
      </c>
      <c r="Y44" s="492" t="n"/>
      <c r="Z44" s="1069" t="n"/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 t="n"/>
      <c r="AG44" s="491">
        <f>+AG45+AG60+AG78</f>
        <v/>
      </c>
      <c r="AH44" s="492" t="n"/>
      <c r="AI44" s="1069" t="n"/>
      <c r="AJ44" s="491">
        <f>+AJ45+AJ60+AJ78</f>
        <v/>
      </c>
      <c r="AK44" s="492" t="n"/>
      <c r="AL44" s="511" t="n"/>
      <c r="AM44" s="583">
        <f>C44+F44+I44+L44+O44+R44+U44+X44+AA44+AD44+AG44+AJ44</f>
        <v/>
      </c>
      <c r="AN44" s="492" t="n"/>
      <c r="AO44" s="1070" t="n"/>
    </row>
    <row r="45" ht="15" customHeight="1" s="985">
      <c r="A45" s="744" t="n"/>
      <c r="B45" s="16" t="inlineStr">
        <is>
          <t>COSTOS INDUSTRIALIZADOS</t>
        </is>
      </c>
      <c r="C45" s="49" t="n"/>
      <c r="D45" s="3" t="n"/>
      <c r="E45" s="1053" t="n"/>
      <c r="F45" s="49" t="n"/>
      <c r="G45" s="3" t="n"/>
      <c r="H45" s="1053" t="n"/>
      <c r="I45" s="49" t="n"/>
      <c r="J45" s="3" t="n"/>
      <c r="K45" s="1053" t="n"/>
      <c r="L45" s="49" t="n"/>
      <c r="M45" s="3" t="n"/>
      <c r="N45" s="1053" t="n"/>
      <c r="O45" s="49" t="n"/>
      <c r="P45" s="3" t="n"/>
      <c r="Q45" s="1053" t="n"/>
      <c r="R45" s="49" t="n"/>
      <c r="S45" s="3" t="n"/>
      <c r="T45" s="1053" t="n"/>
      <c r="U45" s="49" t="n"/>
      <c r="V45" s="3" t="n"/>
      <c r="W45" s="1053" t="n"/>
      <c r="X45" s="49" t="n"/>
      <c r="Y45" s="3" t="n"/>
      <c r="Z45" s="1053" t="n"/>
      <c r="AA45" s="49" t="n"/>
      <c r="AB45" s="3" t="n"/>
      <c r="AC45" s="1053" t="n"/>
      <c r="AD45" s="49" t="n"/>
      <c r="AE45" s="3" t="n"/>
      <c r="AF45" s="1053" t="n"/>
      <c r="AG45" s="49" t="n"/>
      <c r="AH45" s="3" t="n"/>
      <c r="AI45" s="1053" t="n"/>
      <c r="AJ45" s="49" t="n"/>
      <c r="AK45" s="3" t="n"/>
      <c r="AL45" s="61" t="n"/>
      <c r="AM45" s="16">
        <f>C45+F45+I45+L45+O45+R45+U45+X45+AA45+AD45+AG45+AJ45</f>
        <v/>
      </c>
      <c r="AN45" s="3" t="n"/>
      <c r="AO45" s="1054">
        <f>AM45/AM$13</f>
        <v/>
      </c>
    </row>
    <row r="46" ht="15" customHeight="1" s="985">
      <c r="A46" s="744" t="n"/>
      <c r="B46" s="36" t="inlineStr">
        <is>
          <t>INSUMOS</t>
        </is>
      </c>
      <c r="C46" s="37" t="n"/>
      <c r="D46" s="67" t="n"/>
      <c r="E46" s="1071" t="n"/>
      <c r="F46" s="37" t="n"/>
      <c r="G46" s="67" t="n"/>
      <c r="H46" s="1071" t="n"/>
      <c r="I46" s="37" t="n"/>
      <c r="J46" s="67" t="n"/>
      <c r="K46" s="1071" t="n"/>
      <c r="L46" s="37" t="n"/>
      <c r="M46" s="67" t="n"/>
      <c r="N46" s="1071" t="n"/>
      <c r="O46" s="37" t="n"/>
      <c r="P46" s="67" t="n"/>
      <c r="Q46" s="1071" t="n"/>
      <c r="R46" s="37" t="n"/>
      <c r="S46" s="67" t="n"/>
      <c r="T46" s="1071" t="n"/>
      <c r="U46" s="37" t="n"/>
      <c r="V46" s="67" t="n"/>
      <c r="W46" s="1071" t="n"/>
      <c r="X46" s="37" t="n"/>
      <c r="Y46" s="67" t="n"/>
      <c r="Z46" s="1071" t="n"/>
      <c r="AA46" s="37" t="n"/>
      <c r="AB46" s="67" t="n"/>
      <c r="AC46" s="1071" t="n"/>
      <c r="AD46" s="37" t="n"/>
      <c r="AE46" s="67" t="n"/>
      <c r="AF46" s="1071" t="n"/>
      <c r="AG46" s="37" t="n"/>
      <c r="AH46" s="67" t="n"/>
      <c r="AI46" s="1071" t="n"/>
      <c r="AJ46" s="37" t="n"/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t="15" customHeight="1" s="985">
      <c r="A47" s="744" t="n"/>
      <c r="B47" s="97" t="n"/>
      <c r="C47" s="76" t="n"/>
      <c r="D47" s="42" t="n"/>
      <c r="E47" s="1057" t="n"/>
      <c r="F47" s="76" t="n"/>
      <c r="G47" s="42" t="n"/>
      <c r="H47" s="1057" t="n"/>
      <c r="I47" s="76" t="n"/>
      <c r="J47" s="42" t="n"/>
      <c r="K47" s="1057" t="n"/>
      <c r="L47" s="76" t="n"/>
      <c r="M47" s="42" t="n"/>
      <c r="N47" s="1057" t="n"/>
      <c r="O47" s="76" t="n"/>
      <c r="P47" s="42" t="n"/>
      <c r="Q47" s="1057" t="n"/>
      <c r="R47" s="76" t="n"/>
      <c r="S47" s="42" t="n"/>
      <c r="T47" s="1057" t="n"/>
      <c r="U47" s="76" t="n"/>
      <c r="V47" s="42" t="n"/>
      <c r="W47" s="1057" t="n"/>
      <c r="X47" s="76" t="n"/>
      <c r="Y47" s="42" t="n"/>
      <c r="Z47" s="1057" t="n"/>
      <c r="AA47" s="76" t="n"/>
      <c r="AB47" s="42" t="n"/>
      <c r="AC47" s="1057" t="n"/>
      <c r="AD47" s="76" t="n"/>
      <c r="AE47" s="42" t="n"/>
      <c r="AF47" s="1057" t="n"/>
      <c r="AG47" s="76" t="n"/>
      <c r="AH47" s="42" t="n"/>
      <c r="AI47" s="1057" t="n"/>
      <c r="AJ47" s="76" t="n"/>
      <c r="AK47" s="42" t="n"/>
      <c r="AL47" s="56" t="n"/>
      <c r="AM47" s="97">
        <f>C47+F47+I47+L47+O47+R47+U47+X47+AA47+AD47+AG47+AJ47</f>
        <v/>
      </c>
      <c r="AN47" s="42" t="n"/>
      <c r="AO47" s="1058">
        <f>AM47/AM$16</f>
        <v/>
      </c>
    </row>
    <row r="48" ht="15" customHeight="1" s="985">
      <c r="A48" s="744" t="n"/>
      <c r="B48" s="25" t="n"/>
      <c r="C48" s="75" t="n"/>
      <c r="D48" s="43" t="n"/>
      <c r="E48" s="1045" t="n"/>
      <c r="F48" s="7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57" t="n"/>
      <c r="AM48" s="205">
        <f>C48+F48+I48+L48+O48+R48+U48+X48+AA48+AD48+AG48+AJ48</f>
        <v/>
      </c>
      <c r="AN48" s="43" t="n"/>
      <c r="AO48" s="1046" t="n"/>
    </row>
    <row r="49" ht="15" customHeight="1" s="985">
      <c r="A49" s="744" t="n"/>
      <c r="B49" s="25" t="n"/>
      <c r="C49" s="75" t="n"/>
      <c r="D49" s="43" t="n"/>
      <c r="E49" s="1045" t="n"/>
      <c r="F49" s="7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t="15" customHeight="1" s="985">
      <c r="A50" s="744" t="n"/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t="15" customHeight="1" s="985">
      <c r="A51" s="744" t="n"/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t="15" customHeight="1" s="985">
      <c r="A52" s="744" t="n"/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t="15" customHeight="1" s="985">
      <c r="A53" s="744" t="n"/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t="15" customHeight="1" s="985">
      <c r="A54" s="744" t="n"/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t="15" customHeight="1" s="985">
      <c r="A55" s="744" t="n"/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t="15" customHeight="1" s="985">
      <c r="A56" s="744" t="n"/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t="15" customHeight="1" s="985">
      <c r="A57" s="744" t="n"/>
      <c r="B57" s="36" t="n"/>
      <c r="C57" s="37" t="n"/>
      <c r="D57" s="67" t="n"/>
      <c r="E57" s="1071" t="n"/>
      <c r="F57" s="37" t="n"/>
      <c r="G57" s="67" t="n"/>
      <c r="H57" s="1071" t="n"/>
      <c r="I57" s="37" t="n"/>
      <c r="J57" s="67" t="n"/>
      <c r="K57" s="1071" t="n"/>
      <c r="L57" s="37" t="n"/>
      <c r="M57" s="67" t="n"/>
      <c r="N57" s="1071" t="n"/>
      <c r="O57" s="37" t="n"/>
      <c r="P57" s="67" t="n"/>
      <c r="Q57" s="1071" t="n"/>
      <c r="R57" s="37" t="n"/>
      <c r="S57" s="67" t="n"/>
      <c r="T57" s="1071" t="n"/>
      <c r="U57" s="37" t="n"/>
      <c r="V57" s="67" t="n"/>
      <c r="W57" s="1071" t="n"/>
      <c r="X57" s="37" t="n"/>
      <c r="Y57" s="67" t="n"/>
      <c r="Z57" s="1071" t="n"/>
      <c r="AA57" s="37" t="n"/>
      <c r="AB57" s="67" t="n"/>
      <c r="AC57" s="1071" t="n"/>
      <c r="AD57" s="37" t="n"/>
      <c r="AE57" s="67" t="n"/>
      <c r="AF57" s="1071" t="n"/>
      <c r="AG57" s="37" t="n"/>
      <c r="AH57" s="67" t="n"/>
      <c r="AI57" s="1071" t="n"/>
      <c r="AJ57" s="37" t="n"/>
      <c r="AK57" s="67" t="n"/>
      <c r="AL57" s="68" t="n"/>
      <c r="AM57" s="211">
        <f>C57+F57+I57+L57+O57+R57+U57+X57+AA57+AD57+AG57+AJ57</f>
        <v/>
      </c>
      <c r="AN57" s="67" t="n"/>
      <c r="AO57" s="1072" t="n"/>
    </row>
    <row r="58" ht="15" customHeight="1" s="985">
      <c r="A58" s="744" t="n"/>
      <c r="B58" s="36" t="inlineStr">
        <is>
          <t>Flete Industrializados PROPIOS</t>
        </is>
      </c>
      <c r="C58" s="37" t="n"/>
      <c r="D58" s="67" t="n"/>
      <c r="E58" s="1071" t="n"/>
      <c r="F58" s="37" t="n"/>
      <c r="G58" s="67" t="n"/>
      <c r="H58" s="1071" t="n"/>
      <c r="I58" s="37" t="n">
        <v>241842441</v>
      </c>
      <c r="J58" s="67" t="n"/>
      <c r="K58" s="1071" t="n"/>
      <c r="L58" s="37" t="n">
        <v>241842441</v>
      </c>
      <c r="M58" s="67" t="n"/>
      <c r="N58" s="1071" t="n"/>
      <c r="O58" s="37" t="n"/>
      <c r="P58" s="67" t="n"/>
      <c r="Q58" s="1071" t="n"/>
      <c r="R58" s="37" t="n"/>
      <c r="S58" s="67" t="n"/>
      <c r="T58" s="1071" t="n"/>
      <c r="U58" s="37" t="n"/>
      <c r="V58" s="67" t="n"/>
      <c r="W58" s="1071" t="n"/>
      <c r="X58" s="37" t="n"/>
      <c r="Y58" s="67" t="n"/>
      <c r="Z58" s="1071" t="n"/>
      <c r="AA58" s="37" t="n"/>
      <c r="AB58" s="67" t="n"/>
      <c r="AC58" s="1071" t="n"/>
      <c r="AD58" s="37" t="n"/>
      <c r="AE58" s="67" t="n"/>
      <c r="AF58" s="1071" t="n"/>
      <c r="AG58" s="37" t="n"/>
      <c r="AH58" s="67" t="n"/>
      <c r="AI58" s="1071" t="n"/>
      <c r="AJ58" s="37" t="n"/>
      <c r="AK58" s="67" t="n"/>
      <c r="AL58" s="68" t="n"/>
      <c r="AM58" s="211">
        <f>C58+F58+I58+L58+O58+R58+U58+X58+AA58+AD58+AG58+AJ58</f>
        <v/>
      </c>
      <c r="AN58" s="67" t="n"/>
      <c r="AO58" s="1072">
        <f>AM58/AM$16</f>
        <v/>
      </c>
    </row>
    <row r="59" ht="15" customFormat="1" customHeight="1" s="108">
      <c r="A59" s="744" t="n"/>
      <c r="B59" s="36" t="inlineStr">
        <is>
          <t>Flete Industrializados TERCEROS</t>
        </is>
      </c>
      <c r="C59" s="37" t="n"/>
      <c r="D59" s="45" t="n"/>
      <c r="E59" s="1073" t="n"/>
      <c r="F59" s="37" t="n"/>
      <c r="G59" s="45" t="n"/>
      <c r="H59" s="1073" t="n"/>
      <c r="I59" s="37" t="n"/>
      <c r="J59" s="45" t="n"/>
      <c r="K59" s="1073" t="n"/>
      <c r="L59" s="37" t="n"/>
      <c r="M59" s="45" t="n"/>
      <c r="N59" s="1073" t="n"/>
      <c r="O59" s="37" t="n"/>
      <c r="P59" s="45" t="n"/>
      <c r="Q59" s="1073" t="n"/>
      <c r="R59" s="37" t="n"/>
      <c r="S59" s="45" t="n"/>
      <c r="T59" s="1073" t="n"/>
      <c r="U59" s="37" t="n"/>
      <c r="V59" s="45" t="n"/>
      <c r="W59" s="1073" t="n"/>
      <c r="X59" s="37" t="n"/>
      <c r="Y59" s="45" t="n"/>
      <c r="Z59" s="1073" t="n"/>
      <c r="AA59" s="37" t="n"/>
      <c r="AB59" s="45" t="n"/>
      <c r="AC59" s="1073" t="n"/>
      <c r="AD59" s="37" t="n"/>
      <c r="AE59" s="45" t="n"/>
      <c r="AF59" s="1073" t="n"/>
      <c r="AG59" s="37" t="n"/>
      <c r="AH59" s="45" t="n"/>
      <c r="AI59" s="1073" t="n"/>
      <c r="AJ59" s="37" t="n"/>
      <c r="AK59" s="45" t="n"/>
      <c r="AL59" s="58" t="n"/>
      <c r="AM59" s="211">
        <f>C59+F59+I59+L59+O59+R59+U59+X59+AA59+AD59+AG59+AJ59</f>
        <v/>
      </c>
      <c r="AN59" s="42" t="n"/>
      <c r="AO59" s="1074">
        <f>AM59/(AM16)</f>
        <v/>
      </c>
    </row>
    <row r="60" ht="15" customHeight="1" s="985">
      <c r="A60" s="744" t="n"/>
      <c r="B60" s="16" t="inlineStr">
        <is>
          <t>COSTOS ALMUERZO</t>
        </is>
      </c>
      <c r="C60" s="49">
        <f>+C61+C73+C74+C75+C76+C77</f>
        <v/>
      </c>
      <c r="D60" s="3" t="n"/>
      <c r="E60" s="1053" t="n"/>
      <c r="F60" s="49">
        <f>+F61+F73+F74+F75+F76+F77</f>
        <v/>
      </c>
      <c r="G60" s="3" t="n"/>
      <c r="H60" s="1053" t="n"/>
      <c r="I60" s="49">
        <f>+I61+I73+I74+I75+I76+I77</f>
        <v/>
      </c>
      <c r="J60" s="3" t="n"/>
      <c r="K60" s="1053" t="n"/>
      <c r="L60" s="49">
        <f>+L61+L73+L74+L75+L76+L77</f>
        <v/>
      </c>
      <c r="M60" s="3" t="n"/>
      <c r="N60" s="1053" t="n"/>
      <c r="O60" s="49">
        <f>+O61+O73+O74+O75+O76+O77</f>
        <v/>
      </c>
      <c r="P60" s="3" t="n"/>
      <c r="Q60" s="1053" t="n"/>
      <c r="R60" s="49">
        <f>+R61+R73+R74+R75+R76+R77</f>
        <v/>
      </c>
      <c r="S60" s="3" t="n"/>
      <c r="T60" s="1053" t="n"/>
      <c r="U60" s="49">
        <f>+U61+U73+U74+U75+U76+U77</f>
        <v/>
      </c>
      <c r="V60" s="3" t="n"/>
      <c r="W60" s="1053" t="n"/>
      <c r="X60" s="49">
        <f>+X61+X73+X74+X75+X76+X77</f>
        <v/>
      </c>
      <c r="Y60" s="3" t="n"/>
      <c r="Z60" s="1053" t="n"/>
      <c r="AA60" s="49">
        <f>+AA61+AA73+AA74+AA75+AA76+AA77</f>
        <v/>
      </c>
      <c r="AB60" s="3" t="n"/>
      <c r="AC60" s="1053" t="n"/>
      <c r="AD60" s="49">
        <f>+AD61+AD73+AD74+AD75+AD76+AD77</f>
        <v/>
      </c>
      <c r="AE60" s="3" t="n"/>
      <c r="AF60" s="1053" t="n"/>
      <c r="AG60" s="49">
        <f>+AG61+AG73+AG74+AG75+AG76+AG77</f>
        <v/>
      </c>
      <c r="AH60" s="3" t="n"/>
      <c r="AI60" s="1053" t="n"/>
      <c r="AJ60" s="49">
        <f>+AJ61+AJ73+AJ74+AJ75+AJ76+AJ77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t="15" customHeight="1" s="985">
      <c r="A61" s="744" t="n"/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SUM(F62:F71)+F72</f>
        <v/>
      </c>
      <c r="G61" s="67" t="n"/>
      <c r="H61" s="1071" t="n"/>
      <c r="I61" s="37">
        <f>SUM(I62:I71)+I72</f>
        <v/>
      </c>
      <c r="J61" s="67" t="n"/>
      <c r="K61" s="1071" t="n"/>
      <c r="L61" s="37">
        <f>SUM(L62:L71)+L72</f>
        <v/>
      </c>
      <c r="M61" s="67" t="n"/>
      <c r="N61" s="1071" t="n"/>
      <c r="O61" s="37">
        <f>SUM(O62:O71)+O72</f>
        <v/>
      </c>
      <c r="P61" s="67" t="n"/>
      <c r="Q61" s="1071" t="n"/>
      <c r="R61" s="37">
        <f>SUM(R62:R71)+R72</f>
        <v/>
      </c>
      <c r="S61" s="67" t="n"/>
      <c r="T61" s="1071" t="n"/>
      <c r="U61" s="37">
        <f>SUM(U62:U71)+U72</f>
        <v/>
      </c>
      <c r="V61" s="67" t="n"/>
      <c r="W61" s="1071" t="n"/>
      <c r="X61" s="37">
        <f>SUM(X62:X71)+X72</f>
        <v/>
      </c>
      <c r="Y61" s="67" t="n"/>
      <c r="Z61" s="1071" t="n"/>
      <c r="AA61" s="37">
        <f>SUM(AA62:AA71)+AA72</f>
        <v/>
      </c>
      <c r="AB61" s="67" t="n"/>
      <c r="AC61" s="1071" t="n"/>
      <c r="AD61" s="37">
        <f>SUM(AD62:AD71)+AD72</f>
        <v/>
      </c>
      <c r="AE61" s="67" t="n"/>
      <c r="AF61" s="1071" t="n"/>
      <c r="AG61" s="37">
        <f>SUM(AG62:AG71)+AG72</f>
        <v/>
      </c>
      <c r="AH61" s="67" t="n"/>
      <c r="AI61" s="1071" t="n"/>
      <c r="AJ61" s="37">
        <f>SUM(AJ62:AJ71)+AJ72</f>
        <v/>
      </c>
      <c r="AK61" s="67" t="n"/>
      <c r="AL61" s="68" t="n"/>
      <c r="AM61" s="211">
        <f>C61+F61+I61+L61+O61+R61+U61+X61+AA61+AD61+AG61+AJ61</f>
        <v/>
      </c>
      <c r="AN61" s="67" t="n"/>
      <c r="AO61" s="1072" t="n"/>
    </row>
    <row r="62" ht="15" customHeight="1" s="985">
      <c r="A62" s="749" t="n">
        <v>51956001</v>
      </c>
      <c r="B62" s="100" t="inlineStr">
        <is>
          <t>Desayuno y Almuerzo</t>
        </is>
      </c>
      <c r="C62" s="304">
        <f>'[9]Hoja 1'!$C$245</f>
        <v/>
      </c>
      <c r="D62" s="79" t="n"/>
      <c r="E62" s="1055" t="n"/>
      <c r="F62" s="266">
        <f>'[10]Hoja 1'!$C$254</f>
        <v/>
      </c>
      <c r="G62" s="79" t="n"/>
      <c r="H62" s="1055" t="n"/>
      <c r="I62" s="78" t="n">
        <v>241842440</v>
      </c>
      <c r="J62" s="79" t="n"/>
      <c r="K62" s="1055" t="n"/>
      <c r="L62" s="78" t="n">
        <v>241842440</v>
      </c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 t="n"/>
      <c r="AO62" s="1056" t="n"/>
    </row>
    <row r="63" ht="15" customHeight="1" s="985">
      <c r="A63" s="749" t="inlineStr">
        <is>
          <t>7105</t>
        </is>
      </c>
      <c r="B63" s="101" t="n"/>
      <c r="C63" s="25">
        <f>'[9]Hoja 1'!$C$251</f>
        <v/>
      </c>
      <c r="D63" s="43" t="n"/>
      <c r="E63" s="1045" t="n"/>
      <c r="F63" s="25">
        <f>'[10]Hoja 1'!$C$260</f>
        <v/>
      </c>
      <c r="G63" s="43" t="n"/>
      <c r="H63" s="1045" t="n"/>
      <c r="I63" s="25" t="n">
        <v>241842440</v>
      </c>
      <c r="J63" s="43" t="n"/>
      <c r="K63" s="1045" t="n"/>
      <c r="L63" s="25" t="n">
        <v>241842440</v>
      </c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 t="n"/>
      <c r="AO63" s="1046" t="n"/>
    </row>
    <row r="64" ht="15" customHeight="1" s="985">
      <c r="A64" s="744" t="n"/>
      <c r="B64" s="284" t="n"/>
      <c r="C64" s="466" t="n"/>
      <c r="D64" s="43" t="n"/>
      <c r="E64" s="1045" t="n"/>
      <c r="F64" s="466" t="n"/>
      <c r="G64" s="43" t="n"/>
      <c r="H64" s="1045" t="n"/>
      <c r="I64" s="389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 t="n"/>
      <c r="AO64" s="1046" t="n"/>
    </row>
    <row r="65" ht="15" customHeight="1" s="985">
      <c r="A65" s="744" t="n"/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t="15" customHeight="1" s="985">
      <c r="A66" s="744" t="n"/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t="15" customHeight="1" s="985">
      <c r="A67" s="744" t="n"/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 t="n"/>
      <c r="AO67" s="1046" t="n"/>
    </row>
    <row r="68" ht="15" customHeight="1" s="985">
      <c r="A68" s="744" t="n"/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 t="n"/>
      <c r="AO68" s="1046" t="n"/>
    </row>
    <row r="69" ht="15" customHeight="1" s="985">
      <c r="A69" s="744" t="n"/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 t="n"/>
      <c r="AO69" s="1046" t="n"/>
    </row>
    <row r="70" ht="15" customHeight="1" s="985">
      <c r="A70" s="744" t="n"/>
      <c r="B70" s="285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 t="n"/>
      <c r="AO70" s="1046" t="n"/>
    </row>
    <row r="71" ht="15" customHeight="1" s="985">
      <c r="A71" s="744" t="n"/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t="15" customHeight="1" s="985">
      <c r="A72" s="744" t="n"/>
      <c r="B72" s="46" t="inlineStr">
        <is>
          <t>Transporte Materia Prima - Cavasa</t>
        </is>
      </c>
      <c r="C72" s="37" t="n"/>
      <c r="D72" s="67" t="n"/>
      <c r="E72" s="1071" t="n"/>
      <c r="F72" s="37" t="n"/>
      <c r="G72" s="67" t="n"/>
      <c r="H72" s="1071" t="n"/>
      <c r="I72" s="37" t="n"/>
      <c r="J72" s="67" t="n"/>
      <c r="K72" s="1071" t="n"/>
      <c r="L72" s="37" t="n"/>
      <c r="M72" s="67" t="n"/>
      <c r="N72" s="1071" t="n"/>
      <c r="O72" s="37" t="n"/>
      <c r="P72" s="67" t="n"/>
      <c r="Q72" s="1071" t="n"/>
      <c r="R72" s="37" t="n"/>
      <c r="S72" s="67" t="n"/>
      <c r="T72" s="1071" t="n"/>
      <c r="U72" s="37" t="n"/>
      <c r="V72" s="67" t="n"/>
      <c r="W72" s="1071" t="n"/>
      <c r="X72" s="37" t="n"/>
      <c r="Y72" s="67" t="n"/>
      <c r="Z72" s="1071" t="n"/>
      <c r="AA72" s="37" t="n"/>
      <c r="AB72" s="67" t="n"/>
      <c r="AC72" s="1071" t="n"/>
      <c r="AD72" s="37" t="n"/>
      <c r="AE72" s="67" t="n"/>
      <c r="AF72" s="1071" t="n"/>
      <c r="AG72" s="37" t="n"/>
      <c r="AH72" s="67" t="n"/>
      <c r="AI72" s="1071" t="n"/>
      <c r="AJ72" s="37" t="n"/>
      <c r="AK72" s="67" t="n"/>
      <c r="AL72" s="68" t="n"/>
      <c r="AM72" s="211">
        <f>C72+F72+I72+L72+O72+R72+U72+X72+AA72+AD72+AG72+AJ72</f>
        <v/>
      </c>
      <c r="AN72" s="67" t="n"/>
      <c r="AO72" s="1072">
        <f>AM72/(AM17+AM18)</f>
        <v/>
      </c>
    </row>
    <row r="73" ht="15" customHeight="1" s="985">
      <c r="A73" s="744" t="n"/>
      <c r="B73" s="36" t="inlineStr">
        <is>
          <t>Flete Preparados PROPIOS</t>
        </is>
      </c>
      <c r="C73" s="37" t="n"/>
      <c r="D73" s="67" t="n"/>
      <c r="E73" s="1071" t="n"/>
      <c r="F73" s="37" t="n"/>
      <c r="G73" s="67" t="n"/>
      <c r="H73" s="1071" t="n"/>
      <c r="I73" s="37" t="n"/>
      <c r="J73" s="67" t="n"/>
      <c r="K73" s="1071" t="n"/>
      <c r="L73" s="37" t="n"/>
      <c r="M73" s="67" t="n"/>
      <c r="N73" s="1071" t="n"/>
      <c r="O73" s="37" t="n"/>
      <c r="P73" s="67" t="n"/>
      <c r="Q73" s="1071" t="n"/>
      <c r="R73" s="37" t="n"/>
      <c r="S73" s="67" t="n"/>
      <c r="T73" s="1071" t="n"/>
      <c r="U73" s="37" t="n"/>
      <c r="V73" s="67" t="n"/>
      <c r="W73" s="1071" t="n"/>
      <c r="X73" s="37" t="n"/>
      <c r="Y73" s="67" t="n"/>
      <c r="Z73" s="1071" t="n"/>
      <c r="AA73" s="37" t="n"/>
      <c r="AB73" s="67" t="n"/>
      <c r="AC73" s="1071" t="n"/>
      <c r="AD73" s="37" t="n"/>
      <c r="AE73" s="67" t="n"/>
      <c r="AF73" s="1071" t="n"/>
      <c r="AG73" s="37" t="n"/>
      <c r="AH73" s="67" t="n"/>
      <c r="AI73" s="1071" t="n"/>
      <c r="AJ73" s="37" t="n"/>
      <c r="AK73" s="67" t="n"/>
      <c r="AL73" s="68" t="n"/>
      <c r="AM73" s="211">
        <f>C73+F73+I73+L73+O73+R73+U73+X73+AA73+AD73+AG73+AJ73</f>
        <v/>
      </c>
      <c r="AN73" s="67" t="n"/>
      <c r="AO73" s="1075">
        <f>AM73/(AM17+AM18)</f>
        <v/>
      </c>
    </row>
    <row r="74" ht="15" customHeight="1" s="985">
      <c r="A74" s="744" t="n"/>
      <c r="B74" s="36" t="inlineStr">
        <is>
          <t>Flete Preparados TERCEROS</t>
        </is>
      </c>
      <c r="C74" s="37" t="n"/>
      <c r="D74" s="67" t="n"/>
      <c r="E74" s="1071" t="n"/>
      <c r="F74" s="37" t="n"/>
      <c r="G74" s="67" t="n"/>
      <c r="H74" s="1071" t="n"/>
      <c r="I74" s="37" t="n"/>
      <c r="J74" s="67" t="n"/>
      <c r="K74" s="1071" t="n"/>
      <c r="L74" s="37" t="n"/>
      <c r="M74" s="67" t="n"/>
      <c r="N74" s="1071" t="n"/>
      <c r="O74" s="37" t="n"/>
      <c r="P74" s="67" t="n"/>
      <c r="Q74" s="1071" t="n"/>
      <c r="R74" s="37" t="n"/>
      <c r="S74" s="67" t="n"/>
      <c r="T74" s="1071" t="n"/>
      <c r="U74" s="37" t="n"/>
      <c r="V74" s="67" t="n"/>
      <c r="W74" s="1071" t="n"/>
      <c r="X74" s="37" t="n"/>
      <c r="Y74" s="67" t="n"/>
      <c r="Z74" s="1071" t="n"/>
      <c r="AA74" s="37" t="n"/>
      <c r="AB74" s="67" t="n"/>
      <c r="AC74" s="1071" t="n"/>
      <c r="AD74" s="37" t="n"/>
      <c r="AE74" s="67" t="n"/>
      <c r="AF74" s="1071" t="n"/>
      <c r="AG74" s="37" t="n"/>
      <c r="AH74" s="67" t="n"/>
      <c r="AI74" s="1071" t="n"/>
      <c r="AJ74" s="37" t="n"/>
      <c r="AK74" s="67" t="n"/>
      <c r="AL74" s="68" t="n"/>
      <c r="AM74" s="211">
        <f>C74+F74+I74+L74+O74+R74+U74+X74+AA74+AD74+AG74+AJ74</f>
        <v/>
      </c>
      <c r="AN74" s="67" t="n"/>
      <c r="AO74" s="1075">
        <f>AM74/(AM17+AM18)</f>
        <v/>
      </c>
    </row>
    <row r="75" ht="15" customHeight="1" s="985">
      <c r="A75" s="744" t="n"/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 t="n"/>
    </row>
    <row r="76" ht="15" customHeight="1" s="985">
      <c r="A76" s="744" t="n"/>
      <c r="B76" s="36" t="inlineStr">
        <is>
          <t>Menaje</t>
        </is>
      </c>
      <c r="C76" s="211">
        <f>'[9]Hoja 1'!$C$256</f>
        <v/>
      </c>
      <c r="D76" s="67" t="n"/>
      <c r="E76" s="1071" t="n"/>
      <c r="F76" s="211">
        <f>'[10]Hoja 1'!$C$265</f>
        <v/>
      </c>
      <c r="G76" s="67" t="n"/>
      <c r="H76" s="1071" t="n"/>
      <c r="I76" s="211" t="n">
        <v>241842440</v>
      </c>
      <c r="J76" s="67" t="n"/>
      <c r="K76" s="1071" t="n"/>
      <c r="L76" s="37" t="n">
        <v>241842440</v>
      </c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</row>
    <row r="77" ht="15" customHeight="1" s="985">
      <c r="A77" s="744" t="inlineStr">
        <is>
          <t xml:space="preserve">73355501            </t>
        </is>
      </c>
      <c r="B77" s="66" t="inlineStr">
        <is>
          <t>Servicio de Gas</t>
        </is>
      </c>
      <c r="C77" s="28">
        <f>'[9]Hoja 1'!$C$260</f>
        <v/>
      </c>
      <c r="D77" s="45" t="n"/>
      <c r="E77" s="1071" t="n"/>
      <c r="F77" s="28">
        <f>'[10]Hoja 1'!$C$269</f>
        <v/>
      </c>
      <c r="G77" s="45" t="n"/>
      <c r="H77" s="1071" t="n"/>
      <c r="I77" s="28" t="n">
        <v>241842440</v>
      </c>
      <c r="J77" s="45" t="n"/>
      <c r="K77" s="1071" t="n"/>
      <c r="L77" s="28" t="n">
        <v>241842440</v>
      </c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</row>
    <row r="78" ht="15" customHeight="1" s="985">
      <c r="A78" s="744" t="n"/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 t="n"/>
      <c r="I78" s="49">
        <f>SUM(I79:I81)</f>
        <v/>
      </c>
      <c r="J78" s="3" t="n"/>
      <c r="K78" s="1053" t="n"/>
      <c r="L78" s="49">
        <f>SUM(L79:L81)</f>
        <v/>
      </c>
      <c r="M78" s="3" t="n"/>
      <c r="N78" s="1053" t="n"/>
      <c r="O78" s="49">
        <f>SUM(O79:O81)</f>
        <v/>
      </c>
      <c r="P78" s="3" t="n"/>
      <c r="Q78" s="1053" t="n"/>
      <c r="R78" s="49">
        <f>SUM(R79:R81)</f>
        <v/>
      </c>
      <c r="S78" s="3" t="n"/>
      <c r="T78" s="1053" t="n"/>
      <c r="U78" s="49">
        <f>SUM(U79:U81)</f>
        <v/>
      </c>
      <c r="V78" s="3" t="n"/>
      <c r="W78" s="1053" t="n"/>
      <c r="X78" s="93">
        <f>SUM(X79:X81)</f>
        <v/>
      </c>
      <c r="Y78" s="3" t="n"/>
      <c r="Z78" s="1053" t="n"/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 t="n"/>
      <c r="AG78" s="49">
        <f>SUM(AG79:AG81)</f>
        <v/>
      </c>
      <c r="AH78" s="3" t="n"/>
      <c r="AI78" s="1053" t="n"/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</row>
    <row r="79" ht="15" customHeight="1" s="985">
      <c r="A79" s="744" t="n"/>
      <c r="B79" s="353" t="inlineStr">
        <is>
          <t>Manipuladoras</t>
        </is>
      </c>
      <c r="C79" s="266">
        <f>'[1]Hoja 1'!$I$11-C86+'[2]Hoja 1'!$I$10+'[43]Hoja 1'!$D$9</f>
        <v/>
      </c>
      <c r="D79" s="69" t="n"/>
      <c r="E79" s="1077" t="n"/>
      <c r="F79" s="266">
        <f>'[4]Hoja 1'!$I$10-F86+'[5]Hoja 1'!$I$10+'[8]Hoja 1'!$I$10</f>
        <v/>
      </c>
      <c r="G79" s="69" t="n"/>
      <c r="H79" s="1077" t="n"/>
      <c r="I79" s="266" t="n">
        <v>241842440</v>
      </c>
      <c r="J79" s="69" t="n"/>
      <c r="K79" s="1077" t="n"/>
      <c r="L79" s="266" t="n">
        <v>241842440</v>
      </c>
      <c r="M79" s="69" t="n"/>
      <c r="N79" s="1077" t="n"/>
      <c r="O79" s="266" t="n"/>
      <c r="P79" s="69" t="n"/>
      <c r="Q79" s="1077" t="n"/>
      <c r="R79" s="266" t="n"/>
      <c r="S79" s="69" t="n"/>
      <c r="T79" s="1077" t="n"/>
      <c r="U79" s="266" t="n"/>
      <c r="V79" s="69" t="n"/>
      <c r="W79" s="1077" t="n"/>
      <c r="X79" s="266" t="n"/>
      <c r="Y79" s="69" t="n"/>
      <c r="Z79" s="1077" t="n"/>
      <c r="AA79" s="266" t="n"/>
      <c r="AB79" s="69" t="n"/>
      <c r="AC79" s="1077" t="n"/>
      <c r="AD79" s="266" t="n"/>
      <c r="AE79" s="69" t="n"/>
      <c r="AF79" s="1077" t="n"/>
      <c r="AG79" s="266" t="n"/>
      <c r="AH79" s="69" t="n"/>
      <c r="AI79" s="1077" t="n"/>
      <c r="AJ79" s="266" t="n"/>
      <c r="AK79" s="69" t="n"/>
      <c r="AL79" s="70" t="n"/>
      <c r="AM79" s="268">
        <f>C79+F79+I79+L79+O79+R79+U79+X79+AA79+AD79+AG79+AJ79</f>
        <v/>
      </c>
      <c r="AN79" s="4" t="n"/>
      <c r="AO79" s="1078">
        <f>AM79/(AM$13)</f>
        <v/>
      </c>
      <c r="AP79" s="1068" t="n"/>
    </row>
    <row r="80" ht="15" customHeight="1" s="985">
      <c r="A80" s="744" t="n"/>
      <c r="B80" s="25" t="n"/>
      <c r="C80" s="25" t="n"/>
      <c r="D80" s="43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</row>
    <row r="81" ht="15" customHeight="1" s="985" thickBot="1">
      <c r="A81" s="744" t="n"/>
      <c r="B81" s="98" t="n"/>
      <c r="C81" s="269" t="n"/>
      <c r="D81" s="214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5" thickBot="1" thickTop="1">
      <c r="A82" s="744" t="n"/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347" t="n"/>
      <c r="AN82" s="2" t="n"/>
      <c r="AO82" s="1067" t="n"/>
    </row>
    <row r="83" ht="15" customHeight="1" s="985" thickTop="1">
      <c r="A83" s="744" t="n"/>
      <c r="B83" s="527" t="inlineStr">
        <is>
          <t>OTROS COSTOS Y GASTOS INDIRECTOS</t>
        </is>
      </c>
      <c r="C83" s="491">
        <f>+C84+C88+C91+C95+C98+C108+C113+C119+C122+C126</f>
        <v/>
      </c>
      <c r="D83" s="492" t="n"/>
      <c r="E83" s="1069" t="n"/>
      <c r="F83" s="491">
        <f>+F84+F88+F91+F95+F98+F108+F113+F119+F122+F126</f>
        <v/>
      </c>
      <c r="G83" s="492" t="n"/>
      <c r="H83" s="1069">
        <f>F83/(F$13)</f>
        <v/>
      </c>
      <c r="I83" s="491">
        <f>+I84+I88+I91+I95+I98+I108+I113+I119+I122+I126</f>
        <v/>
      </c>
      <c r="J83" s="492" t="n"/>
      <c r="K83" s="1069">
        <f>I83/(I$13)</f>
        <v/>
      </c>
      <c r="L83" s="491">
        <f>+L84+L88+L91+L95+L98+L108+L113+L119+L122+L126</f>
        <v/>
      </c>
      <c r="M83" s="492" t="n"/>
      <c r="N83" s="1069">
        <f>L83/(L$13)</f>
        <v/>
      </c>
      <c r="O83" s="491">
        <f>+O84+O88+O91+O95+O98+O108+O113+O119+O122+O126</f>
        <v/>
      </c>
      <c r="P83" s="492" t="n"/>
      <c r="Q83" s="1069" t="n"/>
      <c r="R83" s="491">
        <f>+R84+R88+R91+R95+R98+R108+R113+R119+R122+R126</f>
        <v/>
      </c>
      <c r="S83" s="492" t="n"/>
      <c r="T83" s="1069" t="n"/>
      <c r="U83" s="491">
        <f>+U84+U88+U91+U95+U98+U108+U113+U119+U122+U126</f>
        <v/>
      </c>
      <c r="V83" s="492" t="n"/>
      <c r="W83" s="1069">
        <f>U83/(U$13)</f>
        <v/>
      </c>
      <c r="X83" s="491">
        <f>+X84+X88+X91+X95+X98+X108+X113+X119+X122+X126</f>
        <v/>
      </c>
      <c r="Y83" s="492" t="n"/>
      <c r="Z83" s="1069">
        <f>X83/(X$13)</f>
        <v/>
      </c>
      <c r="AA83" s="491">
        <f>+AA84+AA88+AA91+AA95+AA98+AA108+AA113+AA119+AA122+AA126</f>
        <v/>
      </c>
      <c r="AB83" s="492" t="n"/>
      <c r="AC83" s="1069">
        <f>AA83/(AA$13)</f>
        <v/>
      </c>
      <c r="AD83" s="491">
        <f>+AD84+AD88+AD91+AD95+AD98+AD108+AD113+AD119+AD122+AD126</f>
        <v/>
      </c>
      <c r="AE83" s="492" t="n"/>
      <c r="AF83" s="1069">
        <f>AD83/(AD$13)</f>
        <v/>
      </c>
      <c r="AG83" s="491">
        <f>+AG84+AG88+AG91+AG95+AG98+AG108+AG113+AG119+AG122+AG126</f>
        <v/>
      </c>
      <c r="AH83" s="492" t="n"/>
      <c r="AI83" s="1069">
        <f>AG83/(AG$13)</f>
        <v/>
      </c>
      <c r="AJ83" s="491">
        <f>+AJ84+AJ88+AJ91+AJ95+AJ98+AJ108+AJ113+AJ119+AJ122+AJ126</f>
        <v/>
      </c>
      <c r="AK83" s="492" t="n"/>
      <c r="AL83" s="511" t="n"/>
      <c r="AM83" s="491">
        <f>C83+F83+I83+L83+O83+R83+U83+X83+AA83+AD83+AG83+AJ83</f>
        <v/>
      </c>
      <c r="AN83" s="492" t="n"/>
      <c r="AO83" s="1081">
        <f>AM83/(AM$13)</f>
        <v/>
      </c>
    </row>
    <row r="84" ht="15" customHeight="1" s="985">
      <c r="A84" s="744" t="n"/>
      <c r="B84" s="16" t="inlineStr">
        <is>
          <t>COSTOS DE PERSONAL</t>
        </is>
      </c>
      <c r="C84" s="49">
        <f>SUM(C85:C87)</f>
        <v/>
      </c>
      <c r="D84" s="3" t="n"/>
      <c r="E84" s="1053" t="n"/>
      <c r="F84" s="49">
        <f>SUM(F85:F87)</f>
        <v/>
      </c>
      <c r="G84" s="3" t="n"/>
      <c r="H84" s="1053">
        <f>F84/(F$13)</f>
        <v/>
      </c>
      <c r="I84" s="49">
        <f>SUM(I85:I87)</f>
        <v/>
      </c>
      <c r="J84" s="3" t="n"/>
      <c r="K84" s="1053">
        <f>I84/(I$13)</f>
        <v/>
      </c>
      <c r="L84" s="49">
        <f>SUM(L85:L87)</f>
        <v/>
      </c>
      <c r="M84" s="3" t="n"/>
      <c r="N84" s="1053">
        <f>L84/(L$13)</f>
        <v/>
      </c>
      <c r="O84" s="49">
        <f>SUM(O85:O87)</f>
        <v/>
      </c>
      <c r="P84" s="3" t="n"/>
      <c r="Q84" s="1053" t="n"/>
      <c r="R84" s="49">
        <f>SUM(R85:R87)</f>
        <v/>
      </c>
      <c r="S84" s="3" t="n"/>
      <c r="T84" s="1053" t="n"/>
      <c r="U84" s="49">
        <f>SUM(U85:U87)</f>
        <v/>
      </c>
      <c r="V84" s="3" t="n"/>
      <c r="W84" s="1053">
        <f>U84/(U$13)</f>
        <v/>
      </c>
      <c r="X84" s="49">
        <f>SUM(X85:X87)</f>
        <v/>
      </c>
      <c r="Y84" s="3" t="n"/>
      <c r="Z84" s="1053">
        <f>X84/(X$13)</f>
        <v/>
      </c>
      <c r="AA84" s="49">
        <f>SUM(AA85:AA87)</f>
        <v/>
      </c>
      <c r="AB84" s="3" t="n"/>
      <c r="AC84" s="1053">
        <f>AA84/(AA$13)</f>
        <v/>
      </c>
      <c r="AD84" s="49">
        <f>SUM(AD85:AD87)</f>
        <v/>
      </c>
      <c r="AE84" s="3" t="n"/>
      <c r="AF84" s="1053">
        <f>AD84/(AD$13)</f>
        <v/>
      </c>
      <c r="AG84" s="49">
        <f>SUM(AG85:AG87)</f>
        <v/>
      </c>
      <c r="AH84" s="3" t="n"/>
      <c r="AI84" s="1053">
        <f>AG84/(AG$13)</f>
        <v/>
      </c>
      <c r="AJ84" s="49">
        <f>SUM(AJ85:AJ87)</f>
        <v/>
      </c>
      <c r="AK84" s="3" t="n"/>
      <c r="AL84" s="61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5">
      <c r="A85" s="744" t="n"/>
      <c r="B85" s="39" t="inlineStr">
        <is>
          <t>Costos Indirectos de Personal</t>
        </is>
      </c>
      <c r="C85" s="39" t="n"/>
      <c r="D85" s="69" t="n"/>
      <c r="E85" s="1077" t="n"/>
      <c r="F85" s="39" t="n"/>
      <c r="G85" s="69" t="n"/>
      <c r="H85" s="1077" t="n"/>
      <c r="I85" s="39" t="n">
        <v>241842440</v>
      </c>
      <c r="J85" s="69" t="n"/>
      <c r="K85" s="1077" t="n"/>
      <c r="L85" s="39" t="n">
        <v>241842440</v>
      </c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</row>
    <row r="86" ht="15" customHeight="1" s="985">
      <c r="A86" s="744" t="n"/>
      <c r="B86" s="25" t="inlineStr">
        <is>
          <t>Dotación y Suministros</t>
        </is>
      </c>
      <c r="C86" s="25" t="n">
        <v>225638</v>
      </c>
      <c r="D86" s="43" t="n"/>
      <c r="E86" s="1045" t="n"/>
      <c r="F86" s="25" t="n">
        <v>59862</v>
      </c>
      <c r="G86" s="43" t="n"/>
      <c r="H86" s="1045" t="n"/>
      <c r="I86" s="25" t="n">
        <v>241842440</v>
      </c>
      <c r="J86" s="43" t="n"/>
      <c r="K86" s="1045" t="n"/>
      <c r="L86" s="25" t="n">
        <v>241842440</v>
      </c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5">
        <f>C86+F86+I86+L86+O86+R86+U86+X86+AA86+AD86+AG86+AJ86</f>
        <v/>
      </c>
      <c r="AN86" s="43" t="n"/>
      <c r="AO86" s="1046" t="n"/>
    </row>
    <row r="87" ht="15" customHeight="1" s="985">
      <c r="A87" s="744" t="n"/>
      <c r="B87" s="97" t="inlineStr">
        <is>
          <t>Gastos Medicos</t>
        </is>
      </c>
      <c r="C87" s="22" t="n"/>
      <c r="D87" s="42" t="n"/>
      <c r="E87" s="1057" t="n"/>
      <c r="F87" s="22" t="n"/>
      <c r="G87" s="42" t="n"/>
      <c r="H87" s="1057" t="n"/>
      <c r="I87" s="22" t="n">
        <v>241842440</v>
      </c>
      <c r="J87" s="42" t="n"/>
      <c r="K87" s="1057" t="n"/>
      <c r="L87" s="22" t="n">
        <v>241842440</v>
      </c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6">
        <f>C87+F87+I87+L87+O87+R87+U87+X87+AA87+AD87+AG87+AJ87</f>
        <v/>
      </c>
      <c r="AN87" s="42" t="n"/>
      <c r="AO87" s="1058" t="n"/>
    </row>
    <row r="88" ht="15" customHeight="1" s="985">
      <c r="A88" s="744" t="n"/>
      <c r="B88" s="16" t="inlineStr">
        <is>
          <t>HONORARIOS</t>
        </is>
      </c>
      <c r="C88" s="90">
        <f>SUM(C89:C90)</f>
        <v/>
      </c>
      <c r="D88" s="3" t="n"/>
      <c r="E88" s="1053" t="n"/>
      <c r="F88" s="90">
        <f>SUM(F89:F90)</f>
        <v/>
      </c>
      <c r="G88" s="3" t="n"/>
      <c r="H88" s="1053">
        <f>F88/(F$13)</f>
        <v/>
      </c>
      <c r="I88" s="90">
        <f>SUM(I89:I90)</f>
        <v/>
      </c>
      <c r="J88" s="3" t="n"/>
      <c r="K88" s="1053">
        <f>I88/(I$13)</f>
        <v/>
      </c>
      <c r="L88" s="49">
        <f>SUM(L89:L90)</f>
        <v/>
      </c>
      <c r="M88" s="3" t="n"/>
      <c r="N88" s="1053">
        <f>L88/(L$13)</f>
        <v/>
      </c>
      <c r="O88" s="49">
        <f>SUM(O89:O90)</f>
        <v/>
      </c>
      <c r="P88" s="3" t="n"/>
      <c r="Q88" s="1053" t="n"/>
      <c r="R88" s="49">
        <f>SUM(R89:R90)</f>
        <v/>
      </c>
      <c r="S88" s="3" t="n"/>
      <c r="T88" s="1053" t="n"/>
      <c r="U88" s="49">
        <f>SUM(U89:U90)</f>
        <v/>
      </c>
      <c r="V88" s="3" t="n"/>
      <c r="W88" s="1053">
        <f>U88/(U$13)</f>
        <v/>
      </c>
      <c r="X88" s="49">
        <f>SUM(X89:X90)</f>
        <v/>
      </c>
      <c r="Y88" s="3" t="n"/>
      <c r="Z88" s="1053">
        <f>X88/(X$13)</f>
        <v/>
      </c>
      <c r="AA88" s="49">
        <f>SUM(AA89:AA90)</f>
        <v/>
      </c>
      <c r="AB88" s="3" t="n"/>
      <c r="AC88" s="1053">
        <f>AA88/(AA$13)</f>
        <v/>
      </c>
      <c r="AD88" s="49">
        <f>SUM(AD89:AD90)</f>
        <v/>
      </c>
      <c r="AE88" s="3" t="n"/>
      <c r="AF88" s="1053">
        <f>AD88/(AD$13)</f>
        <v/>
      </c>
      <c r="AG88" s="49">
        <f>SUM(AG89:AG90)</f>
        <v/>
      </c>
      <c r="AH88" s="3" t="n"/>
      <c r="AI88" s="1053">
        <f>AG88/(AG$13)</f>
        <v/>
      </c>
      <c r="AJ88" s="49">
        <f>SUM(AJ89:AJ90)</f>
        <v/>
      </c>
      <c r="AK88" s="3" t="n"/>
      <c r="AL88" s="61" t="n"/>
      <c r="AM88" s="16">
        <f>C88+F88+I88+L88+O88+R88+U88+X88+AA88+AD88+AG88+AJ88</f>
        <v/>
      </c>
      <c r="AN88" s="3" t="n"/>
      <c r="AO88" s="1076">
        <f>AM88/(AM$13)</f>
        <v/>
      </c>
    </row>
    <row r="89" outlineLevel="1" ht="15" customHeight="1" s="985">
      <c r="A89" s="744" t="n"/>
      <c r="B89" s="39" t="inlineStr">
        <is>
          <t>Asesoría Juridica</t>
        </is>
      </c>
      <c r="C89" s="39" t="n"/>
      <c r="D89" s="69" t="n"/>
      <c r="E89" s="1077" t="n"/>
      <c r="F89" s="39" t="n"/>
      <c r="G89" s="69" t="n"/>
      <c r="H89" s="1077" t="n"/>
      <c r="I89" s="39" t="n">
        <v>241842440</v>
      </c>
      <c r="J89" s="69" t="n"/>
      <c r="K89" s="1077" t="n"/>
      <c r="L89" s="39" t="n">
        <v>241842440</v>
      </c>
      <c r="M89" s="69" t="n"/>
      <c r="N89" s="1077" t="n"/>
      <c r="O89" s="39" t="n"/>
      <c r="P89" s="69" t="n"/>
      <c r="Q89" s="1077" t="n"/>
      <c r="R89" s="39" t="n"/>
      <c r="S89" s="69" t="n"/>
      <c r="T89" s="1077" t="n"/>
      <c r="U89" s="39" t="n"/>
      <c r="V89" s="69" t="n"/>
      <c r="W89" s="1077" t="n"/>
      <c r="X89" s="39" t="n"/>
      <c r="Y89" s="69" t="n"/>
      <c r="Z89" s="1077" t="n"/>
      <c r="AA89" s="39" t="n"/>
      <c r="AB89" s="69" t="n"/>
      <c r="AC89" s="1077" t="n"/>
      <c r="AD89" s="39" t="n"/>
      <c r="AE89" s="69" t="n"/>
      <c r="AF89" s="1077" t="n"/>
      <c r="AG89" s="39" t="n"/>
      <c r="AH89" s="69" t="n"/>
      <c r="AI89" s="1077" t="n"/>
      <c r="AJ89" s="39" t="n"/>
      <c r="AK89" s="69" t="n"/>
      <c r="AL89" s="70" t="n"/>
      <c r="AM89" s="209">
        <f>C89+F89+I89+L89+O89+R89+U89+X89+AA89+AD89+AG89+AJ89</f>
        <v/>
      </c>
      <c r="AN89" s="69" t="n"/>
      <c r="AO89" s="1082" t="n"/>
    </row>
    <row r="90" outlineLevel="1" ht="15" customHeight="1" s="985">
      <c r="A90" s="744" t="n"/>
      <c r="B90" s="83" t="inlineStr">
        <is>
          <t>Asesoría Tecnica</t>
        </is>
      </c>
      <c r="C90" s="83" t="n"/>
      <c r="D90" s="84" t="n"/>
      <c r="E90" s="1047" t="n"/>
      <c r="F90" s="83" t="n"/>
      <c r="G90" s="84" t="n"/>
      <c r="H90" s="1047" t="n"/>
      <c r="I90" s="83" t="n">
        <v>241842440</v>
      </c>
      <c r="J90" s="84" t="n"/>
      <c r="K90" s="1047" t="n"/>
      <c r="L90" s="83" t="n">
        <v>241842440</v>
      </c>
      <c r="M90" s="84" t="n"/>
      <c r="N90" s="1047" t="n"/>
      <c r="O90" s="83" t="n"/>
      <c r="P90" s="84" t="n"/>
      <c r="Q90" s="1047" t="n"/>
      <c r="R90" s="83" t="n"/>
      <c r="S90" s="84" t="n"/>
      <c r="T90" s="1047" t="n"/>
      <c r="U90" s="83" t="n"/>
      <c r="V90" s="84" t="n"/>
      <c r="W90" s="1047" t="n"/>
      <c r="X90" s="83" t="n"/>
      <c r="Y90" s="84" t="n"/>
      <c r="Z90" s="1047" t="n"/>
      <c r="AA90" s="83" t="n"/>
      <c r="AB90" s="84" t="n"/>
      <c r="AC90" s="1047" t="n"/>
      <c r="AD90" s="83" t="n"/>
      <c r="AE90" s="84" t="n"/>
      <c r="AF90" s="1047" t="n"/>
      <c r="AG90" s="83" t="n"/>
      <c r="AH90" s="84" t="n"/>
      <c r="AI90" s="1047" t="n"/>
      <c r="AJ90" s="83" t="n"/>
      <c r="AK90" s="84" t="n"/>
      <c r="AL90" s="85" t="n"/>
      <c r="AM90" s="206">
        <f>C90+F90+I90+L90+O90+R90+U90+X90+AA90+AD90+AG90+AJ90</f>
        <v/>
      </c>
      <c r="AN90" s="84" t="n"/>
      <c r="AO90" s="1048" t="n"/>
    </row>
    <row r="91" ht="15" customHeight="1" s="985">
      <c r="A91" s="744" t="n"/>
      <c r="B91" s="16" t="inlineStr">
        <is>
          <t>ARRENDAMIENTOS</t>
        </is>
      </c>
      <c r="C91" s="90">
        <f>SUM(C92:C94)</f>
        <v/>
      </c>
      <c r="D91" s="3" t="n"/>
      <c r="E91" s="1053" t="n"/>
      <c r="F91" s="90">
        <f>SUM(F92:F94)</f>
        <v/>
      </c>
      <c r="G91" s="3" t="n"/>
      <c r="H91" s="1053">
        <f>F91/(F$13)</f>
        <v/>
      </c>
      <c r="I91" s="90">
        <f>SUM(I92:I94)</f>
        <v/>
      </c>
      <c r="J91" s="3" t="n"/>
      <c r="K91" s="1053">
        <f>I91/(I$13)</f>
        <v/>
      </c>
      <c r="L91" s="49">
        <f>SUM(L92:L94)</f>
        <v/>
      </c>
      <c r="M91" s="3" t="n"/>
      <c r="N91" s="1053">
        <f>L91/(L$13)</f>
        <v/>
      </c>
      <c r="O91" s="49">
        <f>SUM(O92:O94)</f>
        <v/>
      </c>
      <c r="P91" s="3" t="n"/>
      <c r="Q91" s="1053" t="n"/>
      <c r="R91" s="49">
        <f>SUM(R92:R94)</f>
        <v/>
      </c>
      <c r="S91" s="3" t="n"/>
      <c r="T91" s="1053" t="n"/>
      <c r="U91" s="49">
        <f>SUM(U92:U94)</f>
        <v/>
      </c>
      <c r="V91" s="3" t="n"/>
      <c r="W91" s="1053">
        <f>U91/(U$13)</f>
        <v/>
      </c>
      <c r="X91" s="49">
        <f>SUM(X92:X94)</f>
        <v/>
      </c>
      <c r="Y91" s="3" t="n"/>
      <c r="Z91" s="1053">
        <f>X91/(X$13)</f>
        <v/>
      </c>
      <c r="AA91" s="49">
        <f>SUM(AA92:AA94)</f>
        <v/>
      </c>
      <c r="AB91" s="3" t="n"/>
      <c r="AC91" s="1053">
        <f>AA91/(AA$13)</f>
        <v/>
      </c>
      <c r="AD91" s="49">
        <f>SUM(AD92:AD94)</f>
        <v/>
      </c>
      <c r="AE91" s="3" t="n"/>
      <c r="AF91" s="1053">
        <f>AD91/(AD$13)</f>
        <v/>
      </c>
      <c r="AG91" s="49">
        <f>SUM(AG92:AG94)</f>
        <v/>
      </c>
      <c r="AH91" s="3" t="n"/>
      <c r="AI91" s="1053">
        <f>AG91/(AG$13)</f>
        <v/>
      </c>
      <c r="AJ91" s="49">
        <f>SUM(AJ92:AJ94)</f>
        <v/>
      </c>
      <c r="AK91" s="3" t="n"/>
      <c r="AL91" s="61" t="n"/>
      <c r="AM91" s="16">
        <f>C91+F91+I91+L91+O91+R91+U91+X91+AA91+AD91+AG91+AJ91</f>
        <v/>
      </c>
      <c r="AN91" s="3" t="n"/>
      <c r="AO91" s="1076">
        <f>AM91/(AM$13)</f>
        <v/>
      </c>
    </row>
    <row r="92" outlineLevel="1" ht="15" customHeight="1" s="985">
      <c r="A92" s="744" t="n"/>
      <c r="B92" s="39" t="inlineStr">
        <is>
          <t>Construcciones y Edificaciones</t>
        </is>
      </c>
      <c r="C92" s="39" t="n"/>
      <c r="D92" s="69" t="n"/>
      <c r="E92" s="1077" t="n"/>
      <c r="F92" s="39" t="n"/>
      <c r="G92" s="69" t="n"/>
      <c r="H92" s="1077" t="n"/>
      <c r="I92" s="39" t="n"/>
      <c r="J92" s="69" t="n"/>
      <c r="K92" s="1077" t="n"/>
      <c r="L92" s="39" t="n"/>
      <c r="M92" s="69" t="n"/>
      <c r="N92" s="1077" t="n"/>
      <c r="O92" s="39" t="n"/>
      <c r="P92" s="69" t="n"/>
      <c r="Q92" s="1077" t="n"/>
      <c r="R92" s="39" t="n"/>
      <c r="S92" s="69" t="n"/>
      <c r="T92" s="1077" t="n"/>
      <c r="U92" s="39" t="n"/>
      <c r="V92" s="69" t="n"/>
      <c r="W92" s="1077" t="n"/>
      <c r="X92" s="39" t="n"/>
      <c r="Y92" s="69" t="n"/>
      <c r="Z92" s="1077" t="n"/>
      <c r="AA92" s="39" t="n"/>
      <c r="AB92" s="69" t="n"/>
      <c r="AC92" s="1077" t="n"/>
      <c r="AD92" s="39" t="n"/>
      <c r="AE92" s="69" t="n"/>
      <c r="AF92" s="1077" t="n"/>
      <c r="AG92" s="39" t="n"/>
      <c r="AH92" s="69" t="n"/>
      <c r="AI92" s="1077" t="n"/>
      <c r="AJ92" s="39" t="n"/>
      <c r="AK92" s="69" t="n"/>
      <c r="AL92" s="70" t="n"/>
      <c r="AM92" s="209">
        <f>C92+F92+I92+L92+O92+R92+U92+X92+AA92+AD92+AG92+AJ92</f>
        <v/>
      </c>
      <c r="AN92" s="69" t="n"/>
      <c r="AO92" s="1082" t="n"/>
    </row>
    <row r="93" outlineLevel="1" ht="15" customHeight="1" s="985">
      <c r="A93" s="744" t="n"/>
      <c r="B93" s="25" t="inlineStr">
        <is>
          <t>Maquinaria y Equipo</t>
        </is>
      </c>
      <c r="C93" s="25" t="n"/>
      <c r="D93" s="43" t="n"/>
      <c r="E93" s="1045" t="n"/>
      <c r="F93" s="25" t="n"/>
      <c r="G93" s="43" t="n"/>
      <c r="H93" s="1045" t="n"/>
      <c r="I93" s="25" t="n"/>
      <c r="J93" s="43" t="n"/>
      <c r="K93" s="1045" t="n"/>
      <c r="L93" s="25" t="n"/>
      <c r="M93" s="43" t="n"/>
      <c r="N93" s="1045" t="n"/>
      <c r="O93" s="25" t="n"/>
      <c r="P93" s="43" t="n"/>
      <c r="Q93" s="1045" t="n"/>
      <c r="R93" s="25" t="n"/>
      <c r="S93" s="43" t="n"/>
      <c r="T93" s="1045" t="n"/>
      <c r="U93" s="25" t="n"/>
      <c r="V93" s="43" t="n"/>
      <c r="W93" s="1045" t="n"/>
      <c r="X93" s="25" t="n"/>
      <c r="Y93" s="43" t="n"/>
      <c r="Z93" s="1045" t="n"/>
      <c r="AA93" s="25" t="n"/>
      <c r="AB93" s="43" t="n"/>
      <c r="AC93" s="1045" t="n"/>
      <c r="AD93" s="25" t="n"/>
      <c r="AE93" s="43" t="n"/>
      <c r="AF93" s="1045" t="n"/>
      <c r="AG93" s="25" t="n"/>
      <c r="AH93" s="43" t="n"/>
      <c r="AI93" s="1045" t="n"/>
      <c r="AJ93" s="25" t="n"/>
      <c r="AK93" s="43" t="n"/>
      <c r="AL93" s="57" t="n"/>
      <c r="AM93" s="205">
        <f>C93+F93+I93+L93+O93+R93+U93+X93+AA93+AD93+AG93+AJ93</f>
        <v/>
      </c>
      <c r="AN93" s="43" t="n"/>
      <c r="AO93" s="1046" t="n"/>
    </row>
    <row r="94" outlineLevel="1" ht="15" customHeight="1" s="985">
      <c r="A94" s="744" t="n"/>
      <c r="B94" s="28" t="inlineStr">
        <is>
          <t>Equipo de Oficina</t>
        </is>
      </c>
      <c r="C94" s="28" t="n"/>
      <c r="D94" s="45" t="n"/>
      <c r="E94" s="1073" t="n"/>
      <c r="F94" s="28" t="n"/>
      <c r="G94" s="45" t="n"/>
      <c r="H94" s="1073" t="n"/>
      <c r="I94" s="28" t="n"/>
      <c r="J94" s="45" t="n"/>
      <c r="K94" s="1073" t="n"/>
      <c r="L94" s="28" t="n"/>
      <c r="M94" s="45" t="n"/>
      <c r="N94" s="1073" t="n"/>
      <c r="O94" s="28" t="n"/>
      <c r="P94" s="45" t="n"/>
      <c r="Q94" s="1073" t="n"/>
      <c r="R94" s="28" t="n"/>
      <c r="S94" s="45" t="n"/>
      <c r="T94" s="1073" t="n"/>
      <c r="U94" s="28" t="n"/>
      <c r="V94" s="45" t="n"/>
      <c r="W94" s="1073" t="n"/>
      <c r="X94" s="28" t="n"/>
      <c r="Y94" s="45" t="n"/>
      <c r="Z94" s="1073" t="n"/>
      <c r="AA94" s="28" t="n"/>
      <c r="AB94" s="45" t="n"/>
      <c r="AC94" s="1073" t="n"/>
      <c r="AD94" s="28" t="n"/>
      <c r="AE94" s="45" t="n"/>
      <c r="AF94" s="1073" t="n"/>
      <c r="AG94" s="28" t="n"/>
      <c r="AH94" s="45" t="n"/>
      <c r="AI94" s="1073" t="n"/>
      <c r="AJ94" s="28" t="n"/>
      <c r="AK94" s="45" t="n"/>
      <c r="AL94" s="58" t="n"/>
      <c r="AM94" s="26">
        <f>C94+F94+I94+L94+O94+R94+U94+X94+AA94+AD94+AG94+AJ94</f>
        <v/>
      </c>
      <c r="AN94" s="45" t="n"/>
      <c r="AO94" s="1083" t="n"/>
    </row>
    <row r="95" ht="15" customHeight="1" s="985">
      <c r="A95" s="744" t="n"/>
      <c r="B95" s="106" t="inlineStr">
        <is>
          <t>SEGUROS</t>
        </is>
      </c>
      <c r="C95" s="90">
        <f>SUM(C96:C97)</f>
        <v/>
      </c>
      <c r="D95" s="3" t="n"/>
      <c r="E95" s="1053" t="n"/>
      <c r="F95" s="90">
        <f>SUM(F96:F97)</f>
        <v/>
      </c>
      <c r="G95" s="3" t="n"/>
      <c r="H95" s="1053">
        <f>F95/(F$13)</f>
        <v/>
      </c>
      <c r="I95" s="90">
        <f>SUM(I96:I97)</f>
        <v/>
      </c>
      <c r="J95" s="3" t="n"/>
      <c r="K95" s="1053">
        <f>I95/(I$13)</f>
        <v/>
      </c>
      <c r="L95" s="49">
        <f>SUM(L96:L97)</f>
        <v/>
      </c>
      <c r="M95" s="3" t="n"/>
      <c r="N95" s="1053">
        <f>L95/(L$13)</f>
        <v/>
      </c>
      <c r="O95" s="49">
        <f>SUM(O96:O97)</f>
        <v/>
      </c>
      <c r="P95" s="3" t="n"/>
      <c r="Q95" s="1053" t="n"/>
      <c r="R95" s="49">
        <f>SUM(R96:R97)</f>
        <v/>
      </c>
      <c r="S95" s="3" t="n"/>
      <c r="T95" s="1053" t="n"/>
      <c r="U95" s="49">
        <f>SUM(U96:U97)</f>
        <v/>
      </c>
      <c r="V95" s="3" t="n"/>
      <c r="W95" s="1053">
        <f>U95/(U$13)</f>
        <v/>
      </c>
      <c r="X95" s="49">
        <f>SUM(X96:X97)</f>
        <v/>
      </c>
      <c r="Y95" s="3" t="n"/>
      <c r="Z95" s="1053">
        <f>X95/(X$13)</f>
        <v/>
      </c>
      <c r="AA95" s="49">
        <f>SUM(AA96:AA97)</f>
        <v/>
      </c>
      <c r="AB95" s="3" t="n"/>
      <c r="AC95" s="1053">
        <f>AA95/(AA$13)</f>
        <v/>
      </c>
      <c r="AD95" s="49">
        <f>SUM(AD96:AD97)</f>
        <v/>
      </c>
      <c r="AE95" s="3" t="n"/>
      <c r="AF95" s="1053">
        <f>AD95/(AD$13)</f>
        <v/>
      </c>
      <c r="AG95" s="49">
        <f>SUM(AG96:AG97)</f>
        <v/>
      </c>
      <c r="AH95" s="3" t="n"/>
      <c r="AI95" s="1053">
        <f>AG95/(AG$13)</f>
        <v/>
      </c>
      <c r="AJ95" s="49">
        <f>SUM(AJ96:AJ97)</f>
        <v/>
      </c>
      <c r="AK95" s="3" t="n"/>
      <c r="AL95" s="61" t="n"/>
      <c r="AM95" s="16">
        <f>C95+F95+I95+L95+O95+R95+U95+X95+AA95+AD95+AG95+AJ95</f>
        <v/>
      </c>
      <c r="AN95" s="3" t="n"/>
      <c r="AO95" s="1076">
        <f>AM95/(AM$13)</f>
        <v/>
      </c>
    </row>
    <row r="96" outlineLevel="1" ht="15" customFormat="1" customHeight="1" s="108">
      <c r="A96" s="744" t="n"/>
      <c r="B96" s="39" t="inlineStr">
        <is>
          <t xml:space="preserve">Cumplimiento </t>
        </is>
      </c>
      <c r="C96" s="39" t="n"/>
      <c r="D96" s="69" t="n"/>
      <c r="E96" s="1077" t="n"/>
      <c r="F96" s="39" t="n"/>
      <c r="G96" s="69" t="n"/>
      <c r="H96" s="1077" t="n"/>
      <c r="I96" s="39" t="n">
        <v>241842440</v>
      </c>
      <c r="J96" s="69" t="n"/>
      <c r="K96" s="1077" t="n"/>
      <c r="L96" s="39" t="n">
        <v>241842440</v>
      </c>
      <c r="M96" s="69" t="n"/>
      <c r="N96" s="1077" t="n"/>
      <c r="O96" s="39" t="n"/>
      <c r="P96" s="69" t="n"/>
      <c r="Q96" s="1077" t="n"/>
      <c r="R96" s="39" t="n"/>
      <c r="S96" s="69" t="n"/>
      <c r="T96" s="1077" t="n"/>
      <c r="U96" s="39" t="n"/>
      <c r="V96" s="69" t="n"/>
      <c r="W96" s="1077" t="n"/>
      <c r="X96" s="39" t="n"/>
      <c r="Y96" s="69" t="n"/>
      <c r="Z96" s="1077" t="n"/>
      <c r="AA96" s="39" t="n"/>
      <c r="AB96" s="69" t="n"/>
      <c r="AC96" s="1077" t="n"/>
      <c r="AD96" s="39" t="n"/>
      <c r="AE96" s="69" t="n"/>
      <c r="AF96" s="1077" t="n"/>
      <c r="AG96" s="39" t="n"/>
      <c r="AH96" s="69" t="n"/>
      <c r="AI96" s="1077" t="n"/>
      <c r="AJ96" s="39" t="n"/>
      <c r="AK96" s="69" t="n"/>
      <c r="AL96" s="70" t="n"/>
      <c r="AM96" s="209">
        <f>C96+F96+I96+L96+O96+R96+U96+X96+AA96+AD96+AG96+AJ96</f>
        <v/>
      </c>
      <c r="AN96" s="69" t="n"/>
      <c r="AO96" s="1082" t="n"/>
    </row>
    <row r="97" outlineLevel="1" ht="15" customFormat="1" customHeight="1" s="108">
      <c r="A97" s="744" t="n"/>
      <c r="B97" s="275" t="inlineStr">
        <is>
          <t>Respomsabilidad Civil Y Extracontractual</t>
        </is>
      </c>
      <c r="C97" s="275" t="n"/>
      <c r="D97" s="276" t="n"/>
      <c r="E97" s="1084" t="n"/>
      <c r="F97" s="275" t="n"/>
      <c r="G97" s="276" t="n"/>
      <c r="H97" s="1084" t="n"/>
      <c r="I97" s="275" t="n">
        <v>241842440</v>
      </c>
      <c r="J97" s="276" t="n"/>
      <c r="K97" s="1084" t="n"/>
      <c r="L97" s="275" t="n">
        <v>241842440</v>
      </c>
      <c r="M97" s="276" t="n"/>
      <c r="N97" s="1084" t="n"/>
      <c r="O97" s="275" t="n"/>
      <c r="P97" s="276" t="n"/>
      <c r="Q97" s="1084" t="n"/>
      <c r="R97" s="275" t="n"/>
      <c r="S97" s="276" t="n"/>
      <c r="T97" s="1084" t="n"/>
      <c r="U97" s="275" t="n"/>
      <c r="V97" s="276" t="n"/>
      <c r="W97" s="1084" t="n"/>
      <c r="X97" s="275" t="n"/>
      <c r="Y97" s="276" t="n"/>
      <c r="Z97" s="1084" t="n"/>
      <c r="AA97" s="275" t="n"/>
      <c r="AB97" s="276" t="n"/>
      <c r="AC97" s="1084" t="n"/>
      <c r="AD97" s="275" t="n"/>
      <c r="AE97" s="276" t="n"/>
      <c r="AF97" s="1084" t="n"/>
      <c r="AG97" s="275" t="n"/>
      <c r="AH97" s="276" t="n"/>
      <c r="AI97" s="1084" t="n"/>
      <c r="AJ97" s="275" t="n"/>
      <c r="AK97" s="276" t="n"/>
      <c r="AL97" s="277" t="n"/>
      <c r="AM97" s="278">
        <f>C97+F97+I97+L97+O97+R97+U97+X97+AA97+AD97+AG97+AJ97</f>
        <v/>
      </c>
      <c r="AN97" s="276" t="n"/>
      <c r="AO97" s="1085" t="n"/>
    </row>
    <row r="98" ht="15" customHeight="1" s="985">
      <c r="A98" s="744" t="n"/>
      <c r="B98" s="16" t="inlineStr">
        <is>
          <t>SERVICIOS</t>
        </is>
      </c>
      <c r="C98" s="90">
        <f>SUM(C99:C107)</f>
        <v/>
      </c>
      <c r="D98" s="3" t="n"/>
      <c r="E98" s="1053" t="n"/>
      <c r="F98" s="90">
        <f>SUM(F99:F107)</f>
        <v/>
      </c>
      <c r="G98" s="3" t="n"/>
      <c r="H98" s="1053">
        <f>F98/(F$13)</f>
        <v/>
      </c>
      <c r="I98" s="90">
        <f>SUM(I99:I105)</f>
        <v/>
      </c>
      <c r="J98" s="3" t="n"/>
      <c r="K98" s="1053">
        <f>I98/(I$13)</f>
        <v/>
      </c>
      <c r="L98" s="49">
        <f>SUM(L99:L107)</f>
        <v/>
      </c>
      <c r="M98" s="3" t="n"/>
      <c r="N98" s="1053">
        <f>L98/(L$13)</f>
        <v/>
      </c>
      <c r="O98" s="49">
        <f>SUM(O99:O107)</f>
        <v/>
      </c>
      <c r="P98" s="3" t="n"/>
      <c r="Q98" s="1053" t="n"/>
      <c r="R98" s="49">
        <f>SUM(R99:R107)</f>
        <v/>
      </c>
      <c r="S98" s="3" t="n"/>
      <c r="T98" s="1053" t="n"/>
      <c r="U98" s="49">
        <f>SUM(U99:U107)</f>
        <v/>
      </c>
      <c r="V98" s="3" t="n"/>
      <c r="W98" s="1053">
        <f>U98/(U$13)</f>
        <v/>
      </c>
      <c r="X98" s="49">
        <f>SUM(X99:X107)</f>
        <v/>
      </c>
      <c r="Y98" s="3" t="n"/>
      <c r="Z98" s="1053">
        <f>X98/(X$13)</f>
        <v/>
      </c>
      <c r="AA98" s="49">
        <f>SUM(AA99:AA107)</f>
        <v/>
      </c>
      <c r="AB98" s="3" t="n"/>
      <c r="AC98" s="1053">
        <f>AA98/(AA$13)</f>
        <v/>
      </c>
      <c r="AD98" s="49">
        <f>SUM(AD99:AD107)</f>
        <v/>
      </c>
      <c r="AE98" s="3" t="n"/>
      <c r="AF98" s="1053">
        <f>AD98/(AD$13)</f>
        <v/>
      </c>
      <c r="AG98" s="49">
        <f>SUM(AG99:AG107)</f>
        <v/>
      </c>
      <c r="AH98" s="3" t="n"/>
      <c r="AI98" s="1053">
        <f>AG98/(AG$13)</f>
        <v/>
      </c>
      <c r="AJ98" s="49">
        <f>SUM(AJ99:AJ107)</f>
        <v/>
      </c>
      <c r="AK98" s="3" t="n"/>
      <c r="AL98" s="61" t="n"/>
      <c r="AM98" s="16">
        <f>C98+F98+I98+L98+O98+R98+U98+X98+AA98+AD98+AG98+AJ98</f>
        <v/>
      </c>
      <c r="AN98" s="3" t="n"/>
      <c r="AO98" s="1076">
        <f>AM98/(AM$13)</f>
        <v/>
      </c>
    </row>
    <row r="99" outlineLevel="1" ht="15" customHeight="1" s="985">
      <c r="A99" s="744" t="n"/>
      <c r="B99" s="39" t="inlineStr">
        <is>
          <t>Aseo y Vigilancia</t>
        </is>
      </c>
      <c r="C99" s="39" t="n"/>
      <c r="D99" s="69" t="n"/>
      <c r="E99" s="1077" t="n"/>
      <c r="F99" s="39" t="n"/>
      <c r="G99" s="69" t="n"/>
      <c r="H99" s="1077" t="n"/>
      <c r="I99" s="39" t="n">
        <v>241842440</v>
      </c>
      <c r="J99" s="69" t="n"/>
      <c r="K99" s="1077" t="n"/>
      <c r="L99" s="39" t="n">
        <v>241842440</v>
      </c>
      <c r="M99" s="69" t="n"/>
      <c r="N99" s="1077" t="n"/>
      <c r="O99" s="39" t="n"/>
      <c r="P99" s="69" t="n"/>
      <c r="Q99" s="1077" t="n"/>
      <c r="R99" s="39" t="n"/>
      <c r="S99" s="69" t="n"/>
      <c r="T99" s="1077" t="n"/>
      <c r="U99" s="39" t="n"/>
      <c r="V99" s="69" t="n"/>
      <c r="W99" s="1077" t="n"/>
      <c r="X99" s="39" t="n"/>
      <c r="Y99" s="69" t="n"/>
      <c r="Z99" s="1077" t="n"/>
      <c r="AA99" s="39" t="n"/>
      <c r="AB99" s="69" t="n"/>
      <c r="AC99" s="1077" t="n"/>
      <c r="AD99" s="39" t="n"/>
      <c r="AE99" s="69" t="n"/>
      <c r="AF99" s="1077" t="n"/>
      <c r="AG99" s="39" t="n"/>
      <c r="AH99" s="69" t="n"/>
      <c r="AI99" s="1077" t="n"/>
      <c r="AJ99" s="39" t="n"/>
      <c r="AK99" s="69" t="n"/>
      <c r="AL99" s="70" t="n"/>
      <c r="AM99" s="209">
        <f>C99+F99+I99+L99+O99+R99+U99+X99+AA99+AD99+AG99+AJ99</f>
        <v/>
      </c>
      <c r="AN99" s="69" t="n"/>
      <c r="AO99" s="1082" t="n"/>
    </row>
    <row r="100" outlineLevel="1" ht="15" customHeight="1" s="985">
      <c r="A100" s="744" t="n"/>
      <c r="B100" s="25" t="inlineStr">
        <is>
          <t>Temporales</t>
        </is>
      </c>
      <c r="C100" s="25" t="n"/>
      <c r="D100" s="43" t="n"/>
      <c r="E100" s="1045" t="n"/>
      <c r="F100" s="25" t="n"/>
      <c r="G100" s="43" t="n"/>
      <c r="H100" s="1045" t="n"/>
      <c r="I100" s="25" t="n">
        <v>241842440</v>
      </c>
      <c r="J100" s="43" t="n"/>
      <c r="K100" s="1045" t="n"/>
      <c r="L100" s="25" t="n">
        <v>241842440</v>
      </c>
      <c r="M100" s="43" t="n"/>
      <c r="N100" s="1045" t="n"/>
      <c r="O100" s="25" t="n"/>
      <c r="P100" s="43" t="n"/>
      <c r="Q100" s="1045" t="n"/>
      <c r="R100" s="25" t="n"/>
      <c r="S100" s="43" t="n"/>
      <c r="T100" s="1045" t="n"/>
      <c r="U100" s="25" t="n"/>
      <c r="V100" s="43" t="n"/>
      <c r="W100" s="1045" t="n"/>
      <c r="X100" s="25" t="n"/>
      <c r="Y100" s="43" t="n"/>
      <c r="Z100" s="1045" t="n"/>
      <c r="AA100" s="25" t="n"/>
      <c r="AB100" s="43" t="n"/>
      <c r="AC100" s="1045" t="n"/>
      <c r="AD100" s="25" t="n"/>
      <c r="AE100" s="43" t="n"/>
      <c r="AF100" s="1045" t="n"/>
      <c r="AG100" s="25" t="n"/>
      <c r="AH100" s="43" t="n"/>
      <c r="AI100" s="1045" t="n"/>
      <c r="AJ100" s="25" t="n"/>
      <c r="AK100" s="43" t="n"/>
      <c r="AL100" s="57" t="n"/>
      <c r="AM100" s="205">
        <f>C100+F100+I100+L100+O100+R100+U100+X100+AA100+AD100+AG100+AJ100</f>
        <v/>
      </c>
      <c r="AN100" s="43" t="n"/>
      <c r="AO100" s="1046" t="n"/>
    </row>
    <row r="101" outlineLevel="1" ht="15" customHeight="1" s="985">
      <c r="A101" s="744" t="n"/>
      <c r="B101" s="25" t="inlineStr">
        <is>
          <t>Mensajeria</t>
        </is>
      </c>
      <c r="C101" s="25" t="n"/>
      <c r="D101" s="43" t="n"/>
      <c r="E101" s="1045" t="n"/>
      <c r="F101" s="25" t="n"/>
      <c r="G101" s="43" t="n"/>
      <c r="H101" s="1045" t="n"/>
      <c r="I101" s="25" t="n">
        <v>241842440</v>
      </c>
      <c r="J101" s="43" t="n"/>
      <c r="K101" s="1045" t="n"/>
      <c r="L101" s="25" t="n">
        <v>241842440</v>
      </c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5">
      <c r="A102" s="744" t="n"/>
      <c r="B102" s="25" t="inlineStr">
        <is>
          <t>Laboratorio</t>
        </is>
      </c>
      <c r="C102" s="25" t="n"/>
      <c r="D102" s="43" t="n"/>
      <c r="E102" s="1045" t="n"/>
      <c r="F102" s="25" t="n"/>
      <c r="G102" s="43" t="n"/>
      <c r="H102" s="1045" t="n"/>
      <c r="I102" s="25" t="n">
        <v>241842440</v>
      </c>
      <c r="J102" s="43" t="n"/>
      <c r="K102" s="1045" t="n"/>
      <c r="L102" s="25" t="n">
        <v>241842440</v>
      </c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5">
      <c r="A103" s="744" t="n"/>
      <c r="B103" s="25" t="inlineStr">
        <is>
          <t>Fumigacion</t>
        </is>
      </c>
      <c r="C103" s="25" t="n"/>
      <c r="D103" s="43" t="n"/>
      <c r="E103" s="1045" t="n"/>
      <c r="F103" s="25" t="n"/>
      <c r="G103" s="43" t="n"/>
      <c r="H103" s="1045" t="n"/>
      <c r="I103" s="25" t="n">
        <v>241842440</v>
      </c>
      <c r="J103" s="43" t="n"/>
      <c r="K103" s="1045" t="n"/>
      <c r="L103" s="25" t="n">
        <v>241842440</v>
      </c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5">
      <c r="A104" s="744" t="n"/>
      <c r="B104" s="25" t="inlineStr">
        <is>
          <t>Acueducto y Alcantarillado</t>
        </is>
      </c>
      <c r="C104" s="25" t="n"/>
      <c r="D104" s="43" t="n"/>
      <c r="E104" s="1045" t="n"/>
      <c r="F104" s="25" t="n"/>
      <c r="G104" s="43" t="n"/>
      <c r="H104" s="1045" t="n"/>
      <c r="I104" s="25" t="n">
        <v>241842440</v>
      </c>
      <c r="J104" s="43" t="n"/>
      <c r="K104" s="1045" t="n"/>
      <c r="L104" s="25" t="n">
        <v>241842440</v>
      </c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5">
      <c r="A105" s="744" t="n"/>
      <c r="B105" s="25" t="inlineStr">
        <is>
          <t>Energia</t>
        </is>
      </c>
      <c r="C105" s="25" t="n"/>
      <c r="D105" s="43" t="n"/>
      <c r="E105" s="1045" t="n"/>
      <c r="F105" s="25" t="n"/>
      <c r="G105" s="43" t="n"/>
      <c r="H105" s="1045" t="n"/>
      <c r="I105" s="25" t="n">
        <v>241842440</v>
      </c>
      <c r="J105" s="43" t="n"/>
      <c r="K105" s="1045" t="n"/>
      <c r="L105" s="274" t="n">
        <v>241842440</v>
      </c>
      <c r="M105" s="43" t="n"/>
      <c r="N105" s="1045" t="n"/>
      <c r="O105" s="274" t="n"/>
      <c r="P105" s="43" t="n"/>
      <c r="Q105" s="1045" t="n"/>
      <c r="R105" s="274" t="n"/>
      <c r="S105" s="43" t="n"/>
      <c r="T105" s="1045" t="n"/>
      <c r="U105" s="274" t="n"/>
      <c r="V105" s="43" t="n"/>
      <c r="W105" s="1045" t="n"/>
      <c r="X105" s="274" t="n"/>
      <c r="Y105" s="43" t="n"/>
      <c r="Z105" s="1045" t="n"/>
      <c r="AA105" s="274" t="n"/>
      <c r="AB105" s="43" t="n"/>
      <c r="AC105" s="1045" t="n"/>
      <c r="AD105" s="282" t="n"/>
      <c r="AE105" s="43" t="n"/>
      <c r="AF105" s="1045" t="n"/>
      <c r="AG105" s="283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5">
      <c r="A106" s="744" t="n"/>
      <c r="B106" s="205" t="inlineStr">
        <is>
          <t>Telefono e Internet</t>
        </is>
      </c>
      <c r="C106" s="25" t="n"/>
      <c r="D106" s="43" t="n"/>
      <c r="E106" s="1045" t="n"/>
      <c r="F106" s="25" t="n"/>
      <c r="G106" s="43" t="n"/>
      <c r="H106" s="1045" t="n"/>
      <c r="I106" s="25" t="n">
        <v>241842440</v>
      </c>
      <c r="J106" s="43" t="n"/>
      <c r="K106" s="1045" t="n"/>
      <c r="L106" s="274" t="n">
        <v>241842440</v>
      </c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5">
      <c r="A107" s="744" t="n"/>
      <c r="B107" s="97" t="inlineStr">
        <is>
          <t>Correo, porte y telegramas</t>
        </is>
      </c>
      <c r="C107" s="108" t="n"/>
      <c r="D107" s="42" t="n"/>
      <c r="E107" s="1057" t="n"/>
      <c r="F107" s="108" t="n"/>
      <c r="G107" s="42" t="n"/>
      <c r="H107" s="1057" t="n"/>
      <c r="I107" s="108" t="n">
        <v>241842440</v>
      </c>
      <c r="J107" s="42" t="n"/>
      <c r="K107" s="1057" t="n"/>
      <c r="L107" s="2" t="n">
        <v>241842440</v>
      </c>
      <c r="M107" s="42" t="n"/>
      <c r="N107" s="1057" t="n"/>
      <c r="O107" s="2" t="n"/>
      <c r="P107" s="42" t="n"/>
      <c r="Q107" s="1057" t="n"/>
      <c r="R107" s="2" t="n"/>
      <c r="S107" s="42" t="n"/>
      <c r="T107" s="1057" t="n"/>
      <c r="U107" s="2" t="n"/>
      <c r="V107" s="42" t="n"/>
      <c r="W107" s="1057" t="n"/>
      <c r="X107" s="2" t="n"/>
      <c r="Y107" s="42" t="n"/>
      <c r="Z107" s="1057" t="n"/>
      <c r="AA107" s="2" t="n"/>
      <c r="AB107" s="42" t="n"/>
      <c r="AC107" s="1057" t="n"/>
      <c r="AD107" s="2" t="n"/>
      <c r="AE107" s="42" t="n"/>
      <c r="AF107" s="1057" t="n"/>
      <c r="AG107" s="28" t="n"/>
      <c r="AH107" s="42" t="n"/>
      <c r="AI107" s="1057" t="n"/>
      <c r="AJ107" s="22" t="n"/>
      <c r="AK107" s="42" t="n"/>
      <c r="AL107" s="56" t="n"/>
      <c r="AM107" s="97">
        <f>C107+F107+I107+L107+O107+R107+U107+X107+AA107+AD107+AG107+AJ107</f>
        <v/>
      </c>
      <c r="AN107" s="42" t="n"/>
      <c r="AO107" s="1058" t="n"/>
    </row>
    <row r="108" ht="15" customHeight="1" s="985">
      <c r="A108" s="744" t="n"/>
      <c r="B108" s="16" t="inlineStr">
        <is>
          <t>GASTOS LEGALES</t>
        </is>
      </c>
      <c r="C108" s="90">
        <f>SUM(C109:C112)</f>
        <v/>
      </c>
      <c r="D108" s="3" t="n"/>
      <c r="E108" s="1053" t="n"/>
      <c r="F108" s="90">
        <f>SUM(F109:F112)</f>
        <v/>
      </c>
      <c r="G108" s="3" t="n"/>
      <c r="H108" s="1053">
        <f>F108/(F$13)</f>
        <v/>
      </c>
      <c r="I108" s="90">
        <f>SUM(I109:I112)</f>
        <v/>
      </c>
      <c r="J108" s="3" t="n"/>
      <c r="K108" s="1053">
        <f>I108/(I$13)</f>
        <v/>
      </c>
      <c r="L108" s="49">
        <f>SUM(L109:L112)</f>
        <v/>
      </c>
      <c r="M108" s="3" t="n"/>
      <c r="N108" s="1053">
        <f>L108/(L$13)</f>
        <v/>
      </c>
      <c r="O108" s="49">
        <f>SUM(O109:O112)</f>
        <v/>
      </c>
      <c r="P108" s="3" t="n"/>
      <c r="Q108" s="1053" t="n"/>
      <c r="R108" s="49">
        <f>SUM(R109:R112)</f>
        <v/>
      </c>
      <c r="S108" s="3" t="n"/>
      <c r="T108" s="1053" t="n"/>
      <c r="U108" s="49">
        <f>SUM(U109:U112)</f>
        <v/>
      </c>
      <c r="V108" s="3" t="n"/>
      <c r="W108" s="1053">
        <f>U108/(U$13)</f>
        <v/>
      </c>
      <c r="X108" s="49">
        <f>SUM(X109:X112)</f>
        <v/>
      </c>
      <c r="Y108" s="3" t="n"/>
      <c r="Z108" s="1053">
        <f>X108/(X$13)</f>
        <v/>
      </c>
      <c r="AA108" s="49">
        <f>SUM(AA109:AA112)</f>
        <v/>
      </c>
      <c r="AB108" s="3" t="n"/>
      <c r="AC108" s="1053">
        <f>AA108/(AA$13)</f>
        <v/>
      </c>
      <c r="AD108" s="49">
        <f>SUM(AD109:AD112)</f>
        <v/>
      </c>
      <c r="AE108" s="3" t="n"/>
      <c r="AF108" s="1053">
        <f>AD108/(AD$13)</f>
        <v/>
      </c>
      <c r="AG108" s="49">
        <f>SUM(AG109:AG112)</f>
        <v/>
      </c>
      <c r="AH108" s="3" t="n"/>
      <c r="AI108" s="1053">
        <f>AG108/(AG$13)</f>
        <v/>
      </c>
      <c r="AJ108" s="49">
        <f>SUM(AJ109:AJ112)</f>
        <v/>
      </c>
      <c r="AK108" s="3" t="n"/>
      <c r="AL108" s="61" t="n"/>
      <c r="AM108" s="16">
        <f>C108+F108+I108+L108+O108+R108+U108+X108+AA108+AD108+AG108+AJ108</f>
        <v/>
      </c>
      <c r="AN108" s="3" t="n"/>
      <c r="AO108" s="1076">
        <f>AM108/(AM$13)</f>
        <v/>
      </c>
    </row>
    <row r="109" outlineLevel="1" ht="15" customHeight="1" s="985">
      <c r="A109" s="744" t="n"/>
      <c r="B109" s="39" t="inlineStr">
        <is>
          <t>Notariales</t>
        </is>
      </c>
      <c r="C109" s="39" t="n"/>
      <c r="D109" s="69" t="n"/>
      <c r="E109" s="1077" t="n"/>
      <c r="F109" s="39" t="n"/>
      <c r="G109" s="69" t="n"/>
      <c r="H109" s="1077" t="n"/>
      <c r="I109" s="39" t="n">
        <v>241842440</v>
      </c>
      <c r="J109" s="69" t="n"/>
      <c r="K109" s="1077" t="n"/>
      <c r="L109" s="39" t="n">
        <v>241842440</v>
      </c>
      <c r="M109" s="69" t="n"/>
      <c r="N109" s="1077" t="n"/>
      <c r="O109" s="39" t="n"/>
      <c r="P109" s="69" t="n"/>
      <c r="Q109" s="1077" t="n"/>
      <c r="R109" s="39" t="n"/>
      <c r="S109" s="69" t="n"/>
      <c r="T109" s="1077" t="n"/>
      <c r="U109" s="39" t="n"/>
      <c r="V109" s="69" t="n"/>
      <c r="W109" s="1077" t="n"/>
      <c r="X109" s="39" t="n"/>
      <c r="Y109" s="69" t="n"/>
      <c r="Z109" s="1077" t="n"/>
      <c r="AA109" s="39" t="n"/>
      <c r="AB109" s="69" t="n"/>
      <c r="AC109" s="1077" t="n"/>
      <c r="AD109" s="39" t="n"/>
      <c r="AE109" s="69" t="n"/>
      <c r="AF109" s="1077" t="n"/>
      <c r="AG109" s="39" t="n"/>
      <c r="AH109" s="69" t="n"/>
      <c r="AI109" s="1077" t="n"/>
      <c r="AJ109" s="39" t="n"/>
      <c r="AK109" s="69" t="n"/>
      <c r="AL109" s="70" t="n"/>
      <c r="AM109" s="209">
        <f>C109+F109+I109+L109+O109+R109+U109+X109+AA109+AD109+AG109+AJ109</f>
        <v/>
      </c>
      <c r="AN109" s="69" t="n"/>
      <c r="AO109" s="1082" t="n"/>
    </row>
    <row r="110" outlineLevel="1" ht="15" customHeight="1" s="985">
      <c r="A110" s="744" t="n"/>
      <c r="B110" s="25" t="inlineStr">
        <is>
          <t>Registro Mercantil</t>
        </is>
      </c>
      <c r="C110" s="25" t="n"/>
      <c r="D110" s="43" t="n"/>
      <c r="E110" s="1045" t="n"/>
      <c r="F110" s="25" t="n"/>
      <c r="G110" s="43" t="n"/>
      <c r="H110" s="1045" t="n"/>
      <c r="I110" s="25" t="n">
        <v>241842440</v>
      </c>
      <c r="J110" s="43" t="n"/>
      <c r="K110" s="1045" t="n"/>
      <c r="L110" s="25" t="n">
        <v>241842440</v>
      </c>
      <c r="M110" s="43" t="n"/>
      <c r="N110" s="1045" t="n"/>
      <c r="O110" s="25" t="n"/>
      <c r="P110" s="43" t="n"/>
      <c r="Q110" s="1045" t="n"/>
      <c r="R110" s="25" t="n"/>
      <c r="S110" s="43" t="n"/>
      <c r="T110" s="1045" t="n"/>
      <c r="U110" s="25" t="n"/>
      <c r="V110" s="43" t="n"/>
      <c r="W110" s="1045" t="n"/>
      <c r="X110" s="25" t="n"/>
      <c r="Y110" s="43" t="n"/>
      <c r="Z110" s="1045" t="n"/>
      <c r="AA110" s="25" t="n"/>
      <c r="AB110" s="43" t="n"/>
      <c r="AC110" s="1045" t="n"/>
      <c r="AD110" s="25" t="n"/>
      <c r="AE110" s="43" t="n"/>
      <c r="AF110" s="1045" t="n"/>
      <c r="AG110" s="25" t="n"/>
      <c r="AH110" s="43" t="n"/>
      <c r="AI110" s="1045" t="n"/>
      <c r="AJ110" s="25" t="n"/>
      <c r="AK110" s="43" t="n"/>
      <c r="AL110" s="57" t="n"/>
      <c r="AM110" s="205">
        <f>C110+F110+I110+L110+O110+R110+U110+X110+AA110+AD110+AG110+AJ110</f>
        <v/>
      </c>
      <c r="AN110" s="43" t="n"/>
      <c r="AO110" s="1046" t="n"/>
    </row>
    <row r="111" outlineLevel="1" ht="15" customHeight="1" s="985">
      <c r="A111" s="744" t="n"/>
      <c r="B111" s="25" t="inlineStr">
        <is>
          <t>Trámites y Licencias</t>
        </is>
      </c>
      <c r="C111" s="25" t="n"/>
      <c r="D111" s="43" t="n"/>
      <c r="E111" s="1045" t="n"/>
      <c r="F111" s="25" t="n"/>
      <c r="G111" s="43" t="n"/>
      <c r="H111" s="1045" t="n"/>
      <c r="I111" s="25" t="n">
        <v>241842440</v>
      </c>
      <c r="J111" s="43" t="n"/>
      <c r="K111" s="1045" t="n"/>
      <c r="L111" s="25" t="n">
        <v>241842440</v>
      </c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5">
      <c r="A112" s="744" t="n"/>
      <c r="B112" s="28" t="inlineStr">
        <is>
          <t xml:space="preserve">Certificados Camara Comercio        </t>
        </is>
      </c>
      <c r="C112" s="28" t="n"/>
      <c r="D112" s="45" t="n"/>
      <c r="E112" s="1073" t="n"/>
      <c r="F112" s="28" t="n"/>
      <c r="G112" s="45" t="n"/>
      <c r="H112" s="1073" t="n"/>
      <c r="I112" s="28" t="n">
        <v>241842440</v>
      </c>
      <c r="J112" s="45" t="n"/>
      <c r="K112" s="1073" t="n"/>
      <c r="L112" s="28" t="n">
        <v>241842440</v>
      </c>
      <c r="M112" s="45" t="n"/>
      <c r="N112" s="1073" t="n"/>
      <c r="O112" s="28" t="n"/>
      <c r="P112" s="45" t="n"/>
      <c r="Q112" s="1073" t="n"/>
      <c r="R112" s="28" t="n"/>
      <c r="S112" s="45" t="n"/>
      <c r="T112" s="1073" t="n"/>
      <c r="U112" s="28" t="n"/>
      <c r="V112" s="45" t="n"/>
      <c r="W112" s="1073" t="n"/>
      <c r="X112" s="28" t="n"/>
      <c r="Y112" s="45" t="n"/>
      <c r="Z112" s="1073" t="n"/>
      <c r="AA112" s="28" t="n"/>
      <c r="AB112" s="45" t="n"/>
      <c r="AC112" s="1073" t="n"/>
      <c r="AD112" s="28" t="n"/>
      <c r="AE112" s="45" t="n"/>
      <c r="AF112" s="1073" t="n"/>
      <c r="AG112" s="28" t="n"/>
      <c r="AH112" s="45" t="n"/>
      <c r="AI112" s="1073" t="n"/>
      <c r="AJ112" s="28" t="n"/>
      <c r="AK112" s="45" t="n"/>
      <c r="AL112" s="58" t="n"/>
      <c r="AM112" s="26">
        <f>C112+F112+I112+L112+O112+R112+U112+X112+AA112+AD112+AG112+AJ112</f>
        <v/>
      </c>
      <c r="AN112" s="45" t="n"/>
      <c r="AO112" s="1083" t="n"/>
    </row>
    <row r="113" ht="15" customHeight="1" s="985">
      <c r="A113" s="744" t="n"/>
      <c r="B113" s="16" t="inlineStr">
        <is>
          <t xml:space="preserve">MANTENIMIENTO Y REPARACIONES  </t>
        </is>
      </c>
      <c r="C113" s="90">
        <f>SUM(C114:C118)</f>
        <v/>
      </c>
      <c r="D113" s="3" t="n"/>
      <c r="E113" s="1053" t="n"/>
      <c r="F113" s="90">
        <f>SUM(F114:F118)</f>
        <v/>
      </c>
      <c r="G113" s="3" t="n"/>
      <c r="H113" s="1053">
        <f>F113/(F$13)</f>
        <v/>
      </c>
      <c r="I113" s="90">
        <f>SUM(I114:I118)</f>
        <v/>
      </c>
      <c r="J113" s="3" t="n"/>
      <c r="K113" s="1053">
        <f>I113/(I$13)</f>
        <v/>
      </c>
      <c r="L113" s="49">
        <f>SUM(L114:L118)</f>
        <v/>
      </c>
      <c r="M113" s="3" t="n"/>
      <c r="N113" s="1053">
        <f>L113/(L$13)</f>
        <v/>
      </c>
      <c r="O113" s="49">
        <f>SUM(O114:O115)</f>
        <v/>
      </c>
      <c r="P113" s="3" t="n"/>
      <c r="Q113" s="1053" t="n"/>
      <c r="R113" s="49">
        <f>SUM(R114:R118)</f>
        <v/>
      </c>
      <c r="S113" s="3" t="n"/>
      <c r="T113" s="1053" t="n"/>
      <c r="U113" s="49">
        <f>SUM(U114:U118)</f>
        <v/>
      </c>
      <c r="V113" s="3" t="n"/>
      <c r="W113" s="1053">
        <f>U113/(U$13)</f>
        <v/>
      </c>
      <c r="X113" s="49">
        <f>SUM(X114:X115)</f>
        <v/>
      </c>
      <c r="Y113" s="3" t="n"/>
      <c r="Z113" s="1053">
        <f>X113/(X$13)</f>
        <v/>
      </c>
      <c r="AA113" s="49">
        <f>SUM(AA114:AA118)</f>
        <v/>
      </c>
      <c r="AB113" s="3" t="n"/>
      <c r="AC113" s="1053">
        <f>AA113/(AA$13)</f>
        <v/>
      </c>
      <c r="AD113" s="49">
        <f>SUM(AD114:AD118)</f>
        <v/>
      </c>
      <c r="AE113" s="3" t="n"/>
      <c r="AF113" s="1053">
        <f>AD113/(AD$13)</f>
        <v/>
      </c>
      <c r="AG113" s="49">
        <f>SUM(AG114:AG118)</f>
        <v/>
      </c>
      <c r="AH113" s="3" t="n"/>
      <c r="AI113" s="1053">
        <f>AG113/(AG$13)</f>
        <v/>
      </c>
      <c r="AJ113" s="49">
        <f>SUM(AJ114:AJ118)</f>
        <v/>
      </c>
      <c r="AK113" s="3" t="n"/>
      <c r="AL113" s="61" t="n"/>
      <c r="AM113" s="16">
        <f>C113+F113+I113+L113+O113+R113+U113+X113+AA113+AD113+AG113+AJ113</f>
        <v/>
      </c>
      <c r="AN113" s="3" t="n"/>
      <c r="AO113" s="1076">
        <f>AM113/(AM$13)</f>
        <v/>
      </c>
    </row>
    <row r="114" outlineLevel="1" ht="15" customHeight="1" s="985">
      <c r="A114" s="744" t="n"/>
      <c r="B114" s="39" t="inlineStr">
        <is>
          <t xml:space="preserve">Construcciones y Edificaciones          </t>
        </is>
      </c>
      <c r="C114" s="39" t="n"/>
      <c r="D114" s="69" t="n"/>
      <c r="E114" s="1077" t="n"/>
      <c r="F114" s="39" t="n"/>
      <c r="G114" s="69" t="n"/>
      <c r="H114" s="1077" t="n"/>
      <c r="I114" s="39" t="n">
        <v>286665474</v>
      </c>
      <c r="J114" s="69" t="n"/>
      <c r="K114" s="1077" t="n"/>
      <c r="L114" s="39" t="n">
        <v>286665474</v>
      </c>
      <c r="M114" s="69" t="n"/>
      <c r="N114" s="1077" t="n"/>
      <c r="O114" s="39" t="n"/>
      <c r="P114" s="69" t="n"/>
      <c r="Q114" s="1077" t="n"/>
      <c r="R114" s="39" t="n"/>
      <c r="S114" s="69" t="n"/>
      <c r="T114" s="1077" t="n"/>
      <c r="U114" s="39" t="n"/>
      <c r="V114" s="69" t="n"/>
      <c r="W114" s="1077" t="n"/>
      <c r="X114" s="39" t="n"/>
      <c r="Y114" s="69" t="n"/>
      <c r="Z114" s="1077" t="n"/>
      <c r="AA114" s="39" t="n"/>
      <c r="AB114" s="69" t="n"/>
      <c r="AC114" s="1077" t="n"/>
      <c r="AD114" s="39" t="n"/>
      <c r="AE114" s="69" t="n"/>
      <c r="AF114" s="1077" t="n"/>
      <c r="AG114" s="39" t="n"/>
      <c r="AH114" s="69" t="n"/>
      <c r="AI114" s="1077" t="n"/>
      <c r="AJ114" s="39" t="n"/>
      <c r="AK114" s="69" t="n"/>
      <c r="AL114" s="70" t="n"/>
      <c r="AM114" s="209">
        <f>C114+F114+I114+L114+O114+R114+U114+X114+AA114+AD114+AG114+AJ114</f>
        <v/>
      </c>
      <c r="AN114" s="69" t="n"/>
      <c r="AO114" s="1082" t="n"/>
    </row>
    <row r="115" outlineLevel="1" ht="15" customHeight="1" s="985">
      <c r="A115" s="744" t="n"/>
      <c r="B115" s="25" t="inlineStr">
        <is>
          <t xml:space="preserve">Maquinaria y Equipo                     </t>
        </is>
      </c>
      <c r="C115" s="91" t="n"/>
      <c r="D115" s="43" t="n"/>
      <c r="E115" s="1045" t="n"/>
      <c r="F115" s="25" t="n"/>
      <c r="G115" s="43" t="n"/>
      <c r="H115" s="1045" t="n"/>
      <c r="I115" s="25" t="n">
        <v>245958250</v>
      </c>
      <c r="J115" s="43" t="n"/>
      <c r="K115" s="1045" t="n"/>
      <c r="L115" s="25" t="n">
        <v>245958250</v>
      </c>
      <c r="M115" s="43" t="n"/>
      <c r="N115" s="1045" t="n"/>
      <c r="O115" s="25" t="n"/>
      <c r="P115" s="43" t="n"/>
      <c r="Q115" s="1045" t="n"/>
      <c r="R115" s="25" t="n"/>
      <c r="S115" s="43" t="n"/>
      <c r="T115" s="1045" t="n"/>
      <c r="U115" s="25" t="n"/>
      <c r="V115" s="43" t="n"/>
      <c r="W115" s="1045" t="n"/>
      <c r="X115" s="25" t="n"/>
      <c r="Y115" s="43" t="n"/>
      <c r="Z115" s="1045" t="n"/>
      <c r="AA115" s="25" t="n"/>
      <c r="AB115" s="43" t="n"/>
      <c r="AC115" s="1045" t="n"/>
      <c r="AD115" s="25" t="n"/>
      <c r="AE115" s="43" t="n"/>
      <c r="AF115" s="1045" t="n"/>
      <c r="AG115" s="25" t="n"/>
      <c r="AH115" s="43" t="n"/>
      <c r="AI115" s="1045" t="n"/>
      <c r="AJ115" s="25" t="n"/>
      <c r="AK115" s="43" t="n"/>
      <c r="AL115" s="57" t="n"/>
      <c r="AM115" s="205">
        <f>C115+F115+I115+L115+O115+R115+U115+X115+AA115+AD115+AG115+AJ115</f>
        <v/>
      </c>
      <c r="AN115" s="43" t="n"/>
      <c r="AO115" s="1046" t="n"/>
    </row>
    <row r="116" outlineLevel="1" ht="15" customHeight="1" s="985">
      <c r="A116" s="744" t="inlineStr">
        <is>
          <t xml:space="preserve">73451502            </t>
        </is>
      </c>
      <c r="B116" s="205" t="inlineStr">
        <is>
          <t>Equipos de Cocina</t>
        </is>
      </c>
      <c r="C116" s="25" t="n"/>
      <c r="D116" s="43" t="n"/>
      <c r="E116" s="1045" t="n"/>
      <c r="F116" s="25" t="n"/>
      <c r="G116" s="43" t="n"/>
      <c r="H116" s="1045" t="n"/>
      <c r="I116" s="205" t="n">
        <v>5705110</v>
      </c>
      <c r="J116" s="43" t="n"/>
      <c r="K116" s="1045" t="n"/>
      <c r="L116" s="25" t="n">
        <v>5705110</v>
      </c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5">
      <c r="A117" s="744" t="n"/>
      <c r="B117" s="205" t="inlineStr">
        <is>
          <t xml:space="preserve">Equipo de Oficina                       </t>
        </is>
      </c>
      <c r="C117" s="25" t="n"/>
      <c r="D117" s="43" t="n"/>
      <c r="E117" s="1045" t="n"/>
      <c r="F117" s="25" t="n"/>
      <c r="G117" s="43" t="n"/>
      <c r="H117" s="1045" t="n"/>
      <c r="I117" s="25" t="n">
        <v>260257380</v>
      </c>
      <c r="J117" s="43" t="n"/>
      <c r="K117" s="1045" t="n"/>
      <c r="L117" s="25" t="n">
        <v>260257380</v>
      </c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5" thickBot="1">
      <c r="A118" s="744" t="n"/>
      <c r="B118" s="301" t="inlineStr">
        <is>
          <t xml:space="preserve">Acueductos, planta y redes              </t>
        </is>
      </c>
      <c r="C118" s="71" t="n"/>
      <c r="D118" s="72" t="n"/>
      <c r="E118" s="1086" t="n"/>
      <c r="F118" s="71" t="n"/>
      <c r="G118" s="72" t="n"/>
      <c r="H118" s="1086" t="n"/>
      <c r="I118" s="71" t="n">
        <v>6422662</v>
      </c>
      <c r="J118" s="72" t="n"/>
      <c r="K118" s="1086" t="n"/>
      <c r="L118" s="71" t="n">
        <v>6422662</v>
      </c>
      <c r="M118" s="72" t="n"/>
      <c r="N118" s="1086" t="n"/>
      <c r="O118" s="71" t="n"/>
      <c r="P118" s="72" t="n"/>
      <c r="Q118" s="1086" t="n"/>
      <c r="R118" s="71" t="n"/>
      <c r="S118" s="72" t="n"/>
      <c r="T118" s="1086" t="n"/>
      <c r="U118" s="71" t="n"/>
      <c r="V118" s="72" t="n"/>
      <c r="W118" s="1086" t="n"/>
      <c r="X118" s="71" t="n"/>
      <c r="Y118" s="72" t="n"/>
      <c r="Z118" s="1086" t="n"/>
      <c r="AA118" s="71" t="n"/>
      <c r="AB118" s="72" t="n"/>
      <c r="AC118" s="1086" t="n"/>
      <c r="AD118" s="71" t="n"/>
      <c r="AE118" s="72" t="n"/>
      <c r="AF118" s="1086" t="n"/>
      <c r="AG118" s="71" t="n"/>
      <c r="AH118" s="72" t="n"/>
      <c r="AI118" s="1086" t="n"/>
      <c r="AJ118" s="71" t="n"/>
      <c r="AK118" s="72" t="n"/>
      <c r="AL118" s="73" t="n"/>
      <c r="AM118" s="301">
        <f>C118+F118+I118+L118+O118+R118+U118+X118+AA118+AD118+AG118+AJ118</f>
        <v/>
      </c>
      <c r="AN118" s="72" t="n"/>
      <c r="AO118" s="1087" t="n"/>
    </row>
    <row r="119" ht="15" customHeight="1" s="985" thickTop="1">
      <c r="A119" s="744" t="n"/>
      <c r="B119" s="382" t="inlineStr">
        <is>
          <t>ADECUACIONES E INSTALACIONES</t>
        </is>
      </c>
      <c r="C119" s="386">
        <f>SUM(C120:C121)</f>
        <v/>
      </c>
      <c r="D119" s="384" t="n"/>
      <c r="E119" s="1088" t="n"/>
      <c r="F119" s="386">
        <f>SUM(F120)</f>
        <v/>
      </c>
      <c r="G119" s="384" t="n"/>
      <c r="H119" s="1088">
        <f>F119/(F$13)</f>
        <v/>
      </c>
      <c r="I119" s="386">
        <f>SUM(I120)</f>
        <v/>
      </c>
      <c r="J119" s="384" t="n"/>
      <c r="K119" s="1088">
        <f>I119/(I$13)</f>
        <v/>
      </c>
      <c r="L119" s="383">
        <f>SUM(L120)</f>
        <v/>
      </c>
      <c r="M119" s="384" t="n"/>
      <c r="N119" s="1088">
        <f>L119/(L$13)</f>
        <v/>
      </c>
      <c r="O119" s="383">
        <f>SUM(O120)</f>
        <v/>
      </c>
      <c r="P119" s="384" t="n"/>
      <c r="Q119" s="1088" t="n"/>
      <c r="R119" s="383">
        <f>SUM(R120:R121)</f>
        <v/>
      </c>
      <c r="S119" s="384" t="n"/>
      <c r="T119" s="1088" t="n"/>
      <c r="U119" s="383">
        <f>SUM(U120:U121)</f>
        <v/>
      </c>
      <c r="V119" s="384" t="n"/>
      <c r="W119" s="1088">
        <f>U119/(U$13)</f>
        <v/>
      </c>
      <c r="X119" s="383">
        <f>SUM(X120:X121)</f>
        <v/>
      </c>
      <c r="Y119" s="384" t="n"/>
      <c r="Z119" s="1088">
        <f>X119/(X$13)</f>
        <v/>
      </c>
      <c r="AA119" s="383">
        <f>SUM(AA120)</f>
        <v/>
      </c>
      <c r="AB119" s="384" t="n"/>
      <c r="AC119" s="1088">
        <f>AA119/(AA$13)</f>
        <v/>
      </c>
      <c r="AD119" s="383">
        <f>SUM(AD120)</f>
        <v/>
      </c>
      <c r="AE119" s="384" t="n"/>
      <c r="AF119" s="1088">
        <f>AD119/(AD$13)</f>
        <v/>
      </c>
      <c r="AG119" s="383">
        <f>SUM(AG120)</f>
        <v/>
      </c>
      <c r="AH119" s="384" t="n"/>
      <c r="AI119" s="1088">
        <f>AG119/(AG$13)</f>
        <v/>
      </c>
      <c r="AJ119" s="383">
        <f>SUM(AJ120)</f>
        <v/>
      </c>
      <c r="AK119" s="384" t="n"/>
      <c r="AL119" s="387" t="n"/>
      <c r="AM119" s="382">
        <f>C119+F119+I119+L119+O119+R119+U119+X119+AA119+AD119+AG119+AJ119</f>
        <v/>
      </c>
      <c r="AN119" s="384" t="n"/>
      <c r="AO119" s="1089">
        <f>AM119/(AM$13)</f>
        <v/>
      </c>
    </row>
    <row r="120" ht="15" customHeight="1" s="985">
      <c r="A120" s="744" t="n"/>
      <c r="B120" s="39" t="inlineStr">
        <is>
          <t>Instalaciones Electricas</t>
        </is>
      </c>
      <c r="C120" s="39" t="n"/>
      <c r="D120" s="69" t="n"/>
      <c r="E120" s="1077" t="n"/>
      <c r="F120" s="39" t="n"/>
      <c r="G120" s="69" t="n"/>
      <c r="H120" s="1077" t="n"/>
      <c r="I120" s="39" t="n">
        <v>6422662</v>
      </c>
      <c r="J120" s="69" t="n"/>
      <c r="K120" s="1077" t="n"/>
      <c r="L120" s="39" t="n">
        <v>6422662</v>
      </c>
      <c r="M120" s="69" t="n"/>
      <c r="N120" s="1077" t="n"/>
      <c r="O120" s="39" t="n"/>
      <c r="P120" s="69" t="n"/>
      <c r="Q120" s="1077" t="n"/>
      <c r="R120" s="39" t="n"/>
      <c r="S120" s="69" t="n"/>
      <c r="T120" s="1077" t="n"/>
      <c r="U120" s="39" t="n"/>
      <c r="V120" s="69" t="n"/>
      <c r="W120" s="1077" t="n"/>
      <c r="X120" s="39" t="n"/>
      <c r="Y120" s="69" t="n"/>
      <c r="Z120" s="1077" t="n"/>
      <c r="AA120" s="39" t="n"/>
      <c r="AB120" s="69" t="n"/>
      <c r="AC120" s="1077" t="n"/>
      <c r="AD120" s="39" t="n"/>
      <c r="AE120" s="69" t="n"/>
      <c r="AF120" s="1077" t="n"/>
      <c r="AG120" s="39" t="n"/>
      <c r="AH120" s="69" t="n"/>
      <c r="AI120" s="1077" t="n"/>
      <c r="AJ120" s="39" t="n"/>
      <c r="AK120" s="69" t="n"/>
      <c r="AL120" s="70" t="n"/>
      <c r="AM120" s="209">
        <f>C120+F120+I120+L120+O120+R120+U120+X120+AA120+AD120+AG120+AJ120</f>
        <v/>
      </c>
      <c r="AN120" s="69" t="n"/>
      <c r="AO120" s="1082" t="n"/>
    </row>
    <row r="121" ht="15" customHeight="1" s="985">
      <c r="A121" s="744" t="n"/>
      <c r="B121" s="284" t="inlineStr">
        <is>
          <t>Reparaciones Locativas</t>
        </is>
      </c>
      <c r="C121" s="91" t="n"/>
      <c r="D121" s="92" t="n"/>
      <c r="E121" s="1063" t="n"/>
      <c r="F121" s="91" t="n"/>
      <c r="G121" s="92" t="n"/>
      <c r="H121" s="1063" t="n"/>
      <c r="I121" s="91" t="n">
        <v>8594020</v>
      </c>
      <c r="J121" s="92" t="n"/>
      <c r="K121" s="1063" t="n"/>
      <c r="L121" s="91" t="n">
        <v>8594020</v>
      </c>
      <c r="M121" s="92" t="n"/>
      <c r="N121" s="1063" t="n"/>
      <c r="O121" s="91" t="n"/>
      <c r="P121" s="92" t="n"/>
      <c r="Q121" s="1063" t="n"/>
      <c r="R121" s="91" t="n"/>
      <c r="S121" s="92" t="n"/>
      <c r="T121" s="1063" t="n"/>
      <c r="U121" s="91" t="n"/>
      <c r="V121" s="92" t="n"/>
      <c r="W121" s="1063" t="n"/>
      <c r="X121" s="91" t="n"/>
      <c r="Y121" s="92" t="n"/>
      <c r="Z121" s="1063" t="n"/>
      <c r="AA121" s="91" t="n"/>
      <c r="AB121" s="92" t="n"/>
      <c r="AC121" s="1063" t="n"/>
      <c r="AD121" s="91" t="n"/>
      <c r="AE121" s="92" t="n"/>
      <c r="AF121" s="1063" t="n"/>
      <c r="AG121" s="91" t="n"/>
      <c r="AH121" s="92" t="n"/>
      <c r="AI121" s="1063" t="n"/>
      <c r="AJ121" s="91" t="n"/>
      <c r="AK121" s="92" t="n"/>
      <c r="AL121" s="88" t="n"/>
      <c r="AM121" s="284">
        <f>C121+F121+I121+L121+O121+R121+U121+X121+AA121+AD121+AG121+AJ121</f>
        <v/>
      </c>
      <c r="AN121" s="92" t="n"/>
      <c r="AO121" s="1064" t="n"/>
    </row>
    <row r="122" ht="15" customHeight="1" s="985">
      <c r="A122" s="744" t="n"/>
      <c r="B122" s="16" t="inlineStr">
        <is>
          <t>GASTOS DE VIAJE</t>
        </is>
      </c>
      <c r="C122" s="90">
        <f>SUM(C123:C125)</f>
        <v/>
      </c>
      <c r="D122" s="3" t="n"/>
      <c r="E122" s="1053" t="n"/>
      <c r="F122" s="90">
        <f>SUM(F123:F125)</f>
        <v/>
      </c>
      <c r="G122" s="3" t="n"/>
      <c r="H122" s="1053">
        <f>F122/(F$13)</f>
        <v/>
      </c>
      <c r="I122" s="90">
        <f>SUM(I123:I125)</f>
        <v/>
      </c>
      <c r="J122" s="3" t="n"/>
      <c r="K122" s="1053">
        <f>I122/(I$13)</f>
        <v/>
      </c>
      <c r="L122" s="49">
        <f>SUM(L123:L125)</f>
        <v/>
      </c>
      <c r="M122" s="3" t="n"/>
      <c r="N122" s="1053">
        <f>L122/(L$13)</f>
        <v/>
      </c>
      <c r="O122" s="49">
        <f>SUM(O123:O125)</f>
        <v/>
      </c>
      <c r="P122" s="3" t="n"/>
      <c r="Q122" s="1053" t="n"/>
      <c r="R122" s="49">
        <f>SUM(R123:R125)</f>
        <v/>
      </c>
      <c r="S122" s="3" t="n"/>
      <c r="T122" s="1053" t="n"/>
      <c r="U122" s="49">
        <f>SUM(U123:U125)</f>
        <v/>
      </c>
      <c r="V122" s="3" t="n"/>
      <c r="W122" s="1053">
        <f>U122/(U$13)</f>
        <v/>
      </c>
      <c r="X122" s="49">
        <f>SUM(X123:X125)</f>
        <v/>
      </c>
      <c r="Y122" s="3" t="n"/>
      <c r="Z122" s="1053">
        <f>X122/(X$13)</f>
        <v/>
      </c>
      <c r="AA122" s="49">
        <f>SUM(AA123:AA125)</f>
        <v/>
      </c>
      <c r="AB122" s="3" t="n"/>
      <c r="AC122" s="1053">
        <f>AA122/(AA$13)</f>
        <v/>
      </c>
      <c r="AD122" s="49" t="n"/>
      <c r="AE122" s="3" t="n"/>
      <c r="AF122" s="1053">
        <f>AD122/(AD$13)</f>
        <v/>
      </c>
      <c r="AG122" s="49">
        <f>SUM(AG123:AG125)</f>
        <v/>
      </c>
      <c r="AH122" s="3" t="n"/>
      <c r="AI122" s="1053">
        <f>AG122/(AG$13)</f>
        <v/>
      </c>
      <c r="AJ122" s="49">
        <f>SUM(AJ123:AJ125)</f>
        <v/>
      </c>
      <c r="AK122" s="3" t="n"/>
      <c r="AL122" s="61" t="n"/>
      <c r="AM122" s="16">
        <f>C122+F122+I122+L122+O122+R122+U122+X122+AA122+AD122+AG122+AJ122</f>
        <v/>
      </c>
      <c r="AN122" s="3" t="n"/>
      <c r="AO122" s="1076">
        <f>AM122/(AM$13)</f>
        <v/>
      </c>
    </row>
    <row r="123" outlineLevel="1" ht="15" customHeight="1" s="985">
      <c r="A123" s="744" t="n"/>
      <c r="B123" s="39" t="inlineStr">
        <is>
          <t>Alojamiento y Manutención</t>
        </is>
      </c>
      <c r="C123" s="39" t="n"/>
      <c r="D123" s="69" t="n"/>
      <c r="E123" s="1077" t="n"/>
      <c r="F123" s="39" t="n"/>
      <c r="G123" s="69" t="n"/>
      <c r="H123" s="1077" t="n"/>
      <c r="I123" s="39" t="n">
        <v>8594020</v>
      </c>
      <c r="J123" s="69" t="n"/>
      <c r="K123" s="1077" t="n"/>
      <c r="L123" s="39" t="n">
        <v>8594020</v>
      </c>
      <c r="M123" s="69" t="n"/>
      <c r="N123" s="1077" t="n"/>
      <c r="O123" s="39" t="n"/>
      <c r="P123" s="69" t="n"/>
      <c r="Q123" s="1077" t="n"/>
      <c r="R123" s="39" t="n"/>
      <c r="S123" s="69" t="n"/>
      <c r="T123" s="1077" t="n"/>
      <c r="U123" s="39" t="n"/>
      <c r="V123" s="69" t="n"/>
      <c r="W123" s="1077" t="n"/>
      <c r="X123" s="39" t="n"/>
      <c r="Y123" s="69" t="n"/>
      <c r="Z123" s="1077" t="n"/>
      <c r="AA123" s="39" t="n"/>
      <c r="AB123" s="69" t="n"/>
      <c r="AC123" s="1077" t="n"/>
      <c r="AD123" s="39" t="n"/>
      <c r="AE123" s="69" t="n"/>
      <c r="AF123" s="1077" t="n"/>
      <c r="AG123" s="39" t="n"/>
      <c r="AH123" s="69" t="n"/>
      <c r="AI123" s="1077" t="n"/>
      <c r="AJ123" s="39" t="n"/>
      <c r="AK123" s="69" t="n"/>
      <c r="AL123" s="70" t="n"/>
      <c r="AM123" s="209">
        <f>C123+F123+I123+L123+O123+R123+U123+X123+AA123+AD123+AG123+AJ123</f>
        <v/>
      </c>
      <c r="AN123" s="69" t="n"/>
      <c r="AO123" s="1082" t="n"/>
    </row>
    <row r="124" outlineLevel="1" ht="15" customHeight="1" s="985">
      <c r="A124" s="744" t="n"/>
      <c r="B124" s="25" t="inlineStr">
        <is>
          <t>Pasajes Aereos</t>
        </is>
      </c>
      <c r="C124" s="25" t="n"/>
      <c r="D124" s="43" t="n"/>
      <c r="E124" s="1045" t="n"/>
      <c r="F124" s="25" t="n"/>
      <c r="G124" s="43" t="n"/>
      <c r="H124" s="1045" t="n"/>
      <c r="I124" s="25" t="n">
        <v>8594020</v>
      </c>
      <c r="J124" s="43" t="n"/>
      <c r="K124" s="1045" t="n"/>
      <c r="L124" s="25" t="n">
        <v>8594020</v>
      </c>
      <c r="M124" s="43" t="n"/>
      <c r="N124" s="1045" t="n"/>
      <c r="O124" s="25" t="n"/>
      <c r="P124" s="43" t="n"/>
      <c r="Q124" s="1045" t="n"/>
      <c r="R124" s="25" t="n"/>
      <c r="S124" s="43" t="n"/>
      <c r="T124" s="1045" t="n"/>
      <c r="U124" s="25" t="n"/>
      <c r="V124" s="43" t="n"/>
      <c r="W124" s="1045" t="n"/>
      <c r="X124" s="25" t="n"/>
      <c r="Y124" s="43" t="n"/>
      <c r="Z124" s="1045" t="n"/>
      <c r="AA124" s="25" t="n"/>
      <c r="AB124" s="43" t="n"/>
      <c r="AC124" s="1045" t="n"/>
      <c r="AD124" s="25" t="n"/>
      <c r="AE124" s="43" t="n"/>
      <c r="AF124" s="1045" t="n"/>
      <c r="AG124" s="25" t="n"/>
      <c r="AH124" s="43" t="n"/>
      <c r="AI124" s="1045" t="n"/>
      <c r="AJ124" s="25" t="n"/>
      <c r="AK124" s="43" t="n"/>
      <c r="AL124" s="57" t="n"/>
      <c r="AM124" s="205">
        <f>C124+F124+I124+L124+O124+R124+U124+X124+AA124+AD124+AG124+AJ124</f>
        <v/>
      </c>
      <c r="AN124" s="43" t="n"/>
      <c r="AO124" s="1046" t="n"/>
    </row>
    <row r="125" outlineLevel="1" ht="15" customHeight="1" s="985">
      <c r="A125" s="744" t="n"/>
      <c r="B125" s="28" t="inlineStr">
        <is>
          <t>Pasajes Terrestres</t>
        </is>
      </c>
      <c r="C125" s="28" t="n"/>
      <c r="D125" s="45" t="n"/>
      <c r="E125" s="1073" t="n"/>
      <c r="F125" s="28" t="n"/>
      <c r="G125" s="45" t="n"/>
      <c r="H125" s="1073" t="n"/>
      <c r="I125" s="28" t="n">
        <v>5705110</v>
      </c>
      <c r="J125" s="45" t="n"/>
      <c r="K125" s="1073" t="n"/>
      <c r="L125" s="28" t="n">
        <v>5705110</v>
      </c>
      <c r="M125" s="45" t="n"/>
      <c r="N125" s="1073" t="n"/>
      <c r="O125" s="28" t="n"/>
      <c r="P125" s="45" t="n"/>
      <c r="Q125" s="1073" t="n"/>
      <c r="R125" s="28" t="n"/>
      <c r="S125" s="45" t="n"/>
      <c r="T125" s="1073" t="n"/>
      <c r="U125" s="28" t="n"/>
      <c r="V125" s="45" t="n"/>
      <c r="W125" s="1073" t="n"/>
      <c r="X125" s="28" t="n"/>
      <c r="Y125" s="45" t="n"/>
      <c r="Z125" s="1073" t="n"/>
      <c r="AA125" s="28" t="n"/>
      <c r="AB125" s="45" t="n"/>
      <c r="AC125" s="1073" t="n"/>
      <c r="AD125" s="28" t="n"/>
      <c r="AE125" s="45" t="n"/>
      <c r="AF125" s="1073" t="n"/>
      <c r="AG125" s="28" t="n"/>
      <c r="AH125" s="45" t="n"/>
      <c r="AI125" s="1073" t="n"/>
      <c r="AJ125" s="28" t="n"/>
      <c r="AK125" s="45" t="n"/>
      <c r="AL125" s="58" t="n"/>
      <c r="AM125" s="26">
        <f>C125+F125+I125+L125+O125+R125+U125+X125+AA125+AD125+AG125+AJ125</f>
        <v/>
      </c>
      <c r="AN125" s="45" t="n"/>
      <c r="AO125" s="1083" t="n"/>
    </row>
    <row r="126" ht="15" customHeight="1" s="985">
      <c r="A126" s="744" t="n"/>
      <c r="B126" s="16" t="inlineStr">
        <is>
          <t>DIVERSOS</t>
        </is>
      </c>
      <c r="C126" s="90">
        <f>SUM(C127:C138)</f>
        <v/>
      </c>
      <c r="D126" s="3" t="n"/>
      <c r="E126" s="1053" t="n"/>
      <c r="F126" s="90">
        <f>SUM(F127:F138)</f>
        <v/>
      </c>
      <c r="G126" s="3" t="n"/>
      <c r="H126" s="1053">
        <f>F126/(F$13)</f>
        <v/>
      </c>
      <c r="I126" s="90">
        <f>SUM(I127:I138)</f>
        <v/>
      </c>
      <c r="J126" s="3" t="n"/>
      <c r="K126" s="1053">
        <f>I126/(I$13)</f>
        <v/>
      </c>
      <c r="L126" s="49">
        <f>SUM(L127:L138)</f>
        <v/>
      </c>
      <c r="M126" s="3" t="n"/>
      <c r="N126" s="1053">
        <f>L126/(L$13)</f>
        <v/>
      </c>
      <c r="O126" s="49">
        <f>SUM(O127:O138)</f>
        <v/>
      </c>
      <c r="P126" s="3" t="n"/>
      <c r="Q126" s="1053" t="n"/>
      <c r="R126" s="49">
        <f>SUM(R127:R138)</f>
        <v/>
      </c>
      <c r="S126" s="3" t="n"/>
      <c r="T126" s="1053" t="n"/>
      <c r="U126" s="49">
        <f>SUM(U127:U138)</f>
        <v/>
      </c>
      <c r="V126" s="3" t="n"/>
      <c r="W126" s="1053">
        <f>U126/(U$13)</f>
        <v/>
      </c>
      <c r="X126" s="49">
        <f>SUM(X127:X138)</f>
        <v/>
      </c>
      <c r="Y126" s="3" t="n"/>
      <c r="Z126" s="1053">
        <f>X126/(X$13)</f>
        <v/>
      </c>
      <c r="AA126" s="49">
        <f>SUM(AA127:AA138)</f>
        <v/>
      </c>
      <c r="AB126" s="3" t="n"/>
      <c r="AC126" s="1053">
        <f>AA126/(AA$13)</f>
        <v/>
      </c>
      <c r="AD126" s="49">
        <f>SUM(AD127:AD138)</f>
        <v/>
      </c>
      <c r="AE126" s="3" t="n"/>
      <c r="AF126" s="1053">
        <f>AD126/(AD$13)</f>
        <v/>
      </c>
      <c r="AG126" s="49">
        <f>SUM(AG127:AG138)</f>
        <v/>
      </c>
      <c r="AH126" s="3" t="n"/>
      <c r="AI126" s="1053">
        <f>AG126/(AG$13)</f>
        <v/>
      </c>
      <c r="AJ126" s="49">
        <f>SUM(AJ127:AJ138)</f>
        <v/>
      </c>
      <c r="AK126" s="3" t="n"/>
      <c r="AL126" s="61" t="n"/>
      <c r="AM126" s="16">
        <f>C126+F126+I126+L126+O126+R126+U126+X126+AA126+AD126+AG126+AJ126</f>
        <v/>
      </c>
      <c r="AN126" s="3" t="n"/>
      <c r="AO126" s="1076">
        <f>AM126/(AM$13)</f>
        <v/>
      </c>
    </row>
    <row r="127" outlineLevel="1" ht="15" customHeight="1" s="985">
      <c r="A127" s="744" t="n"/>
      <c r="B127" s="39" t="inlineStr">
        <is>
          <t>Libros, suscripciones, period</t>
        </is>
      </c>
      <c r="C127" s="39" t="n"/>
      <c r="D127" s="69" t="n"/>
      <c r="E127" s="1077" t="n"/>
      <c r="F127" s="39" t="n"/>
      <c r="G127" s="69" t="n"/>
      <c r="H127" s="1077" t="n"/>
      <c r="I127" s="39" t="n">
        <v>5705110</v>
      </c>
      <c r="J127" s="69" t="n"/>
      <c r="K127" s="1077" t="n"/>
      <c r="L127" s="39" t="n">
        <v>5705110</v>
      </c>
      <c r="M127" s="69" t="n"/>
      <c r="N127" s="1077" t="n"/>
      <c r="O127" s="39" t="n"/>
      <c r="P127" s="69" t="n"/>
      <c r="Q127" s="1077" t="n"/>
      <c r="R127" s="39" t="n"/>
      <c r="S127" s="69" t="n"/>
      <c r="T127" s="1077" t="n"/>
      <c r="U127" s="39" t="n"/>
      <c r="V127" s="69" t="n"/>
      <c r="W127" s="1077" t="n"/>
      <c r="X127" s="39" t="n"/>
      <c r="Y127" s="69" t="n"/>
      <c r="Z127" s="1077" t="n"/>
      <c r="AA127" s="39" t="n"/>
      <c r="AB127" s="69" t="n"/>
      <c r="AC127" s="1077" t="n"/>
      <c r="AD127" s="39" t="n"/>
      <c r="AE127" s="69" t="n"/>
      <c r="AF127" s="1077" t="n"/>
      <c r="AG127" s="39" t="n"/>
      <c r="AH127" s="69" t="n"/>
      <c r="AI127" s="1077" t="n"/>
      <c r="AJ127" s="39" t="n"/>
      <c r="AK127" s="69" t="n"/>
      <c r="AL127" s="70" t="n"/>
      <c r="AM127" s="209">
        <f>C127+F127+I127+L127+O127+R127+U127+X127+AA127+AD127+AG127+AJ127</f>
        <v/>
      </c>
      <c r="AN127" s="42" t="n"/>
      <c r="AO127" s="1090" t="n"/>
    </row>
    <row r="128" outlineLevel="1" ht="15" customHeight="1" s="985">
      <c r="A128" s="744" t="n"/>
      <c r="B128" s="25" t="inlineStr">
        <is>
          <t>Gastos de Representacion y relaciones Pub</t>
        </is>
      </c>
      <c r="C128" s="25" t="n"/>
      <c r="D128" s="43" t="n"/>
      <c r="E128" s="1045" t="n"/>
      <c r="F128" s="25" t="n"/>
      <c r="G128" s="43" t="n"/>
      <c r="H128" s="1045" t="n"/>
      <c r="I128" s="25" t="n">
        <v>8594020</v>
      </c>
      <c r="J128" s="43" t="n"/>
      <c r="K128" s="1045" t="n"/>
      <c r="L128" s="25" t="n">
        <v>8594020</v>
      </c>
      <c r="M128" s="43" t="n"/>
      <c r="N128" s="1045" t="n"/>
      <c r="O128" s="25" t="n"/>
      <c r="P128" s="43" t="n"/>
      <c r="Q128" s="1045" t="n"/>
      <c r="R128" s="25" t="n"/>
      <c r="S128" s="43" t="n"/>
      <c r="T128" s="1045" t="n"/>
      <c r="U128" s="25" t="n"/>
      <c r="V128" s="43" t="n"/>
      <c r="W128" s="1045" t="n"/>
      <c r="X128" s="25" t="n"/>
      <c r="Y128" s="43" t="n"/>
      <c r="Z128" s="1045" t="n"/>
      <c r="AA128" s="25" t="n"/>
      <c r="AB128" s="43" t="n"/>
      <c r="AC128" s="1045" t="n"/>
      <c r="AD128" s="25" t="n"/>
      <c r="AE128" s="43" t="n"/>
      <c r="AF128" s="1045" t="n"/>
      <c r="AG128" s="25" t="n"/>
      <c r="AH128" s="43" t="n"/>
      <c r="AI128" s="1045" t="n"/>
      <c r="AJ128" s="25" t="n"/>
      <c r="AK128" s="43" t="n"/>
      <c r="AL128" s="57" t="n"/>
      <c r="AM128" s="205" t="n"/>
      <c r="AN128" s="43" t="n"/>
      <c r="AO128" s="1091" t="n"/>
    </row>
    <row r="129" outlineLevel="1" ht="15" customHeight="1" s="985">
      <c r="A129" s="744" t="n"/>
      <c r="B129" s="25" t="inlineStr">
        <is>
          <t>Elementos de Aseo y Cafetería</t>
        </is>
      </c>
      <c r="C129" s="25">
        <f>'[9]Hoja 1'!$C$254+'[9]Hoja 1'!$C$263</f>
        <v/>
      </c>
      <c r="D129" s="43" t="n"/>
      <c r="E129" s="1045" t="n"/>
      <c r="F129" s="25">
        <f>'[10]Hoja 1'!$C$263+'[10]Hoja 1'!$C$272</f>
        <v/>
      </c>
      <c r="G129" s="43" t="n"/>
      <c r="H129" s="1045" t="n"/>
      <c r="I129" s="25" t="n">
        <v>5705110</v>
      </c>
      <c r="J129" s="43" t="n"/>
      <c r="K129" s="1045" t="n"/>
      <c r="L129" s="25" t="n">
        <v>5705110</v>
      </c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5">
      <c r="A130" s="744" t="n"/>
      <c r="B130" s="25" t="inlineStr">
        <is>
          <t>Utiles, papelería y fotocopias</t>
        </is>
      </c>
      <c r="C130" s="25" t="n"/>
      <c r="D130" s="43" t="n"/>
      <c r="E130" s="1045" t="n"/>
      <c r="F130" s="25" t="n"/>
      <c r="G130" s="43" t="n"/>
      <c r="H130" s="1045" t="n"/>
      <c r="I130" s="25" t="n">
        <v>5705110</v>
      </c>
      <c r="J130" s="43" t="n"/>
      <c r="K130" s="1045" t="n"/>
      <c r="L130" s="25" t="n">
        <v>5705110</v>
      </c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</row>
    <row r="131" outlineLevel="1" ht="15" customHeight="1" s="985">
      <c r="A131" s="744" t="n"/>
      <c r="B131" s="25" t="inlineStr">
        <is>
          <t>Combustibles y Lubricantes</t>
        </is>
      </c>
      <c r="C131" s="25" t="n"/>
      <c r="D131" s="43" t="n"/>
      <c r="E131" s="1045" t="n"/>
      <c r="F131" s="25" t="n"/>
      <c r="G131" s="43" t="n"/>
      <c r="H131" s="1045" t="n"/>
      <c r="I131" s="25" t="n">
        <v>8594020</v>
      </c>
      <c r="J131" s="43" t="n"/>
      <c r="K131" s="1045" t="n"/>
      <c r="L131" s="25" t="n">
        <v>8594020</v>
      </c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46" t="n"/>
    </row>
    <row r="132" outlineLevel="1" ht="15" customHeight="1" s="985">
      <c r="A132" s="744" t="n"/>
      <c r="B132" s="25" t="inlineStr">
        <is>
          <t>Buses y Taxis</t>
        </is>
      </c>
      <c r="C132" s="25" t="n"/>
      <c r="D132" s="43" t="n"/>
      <c r="E132" s="1045" t="n"/>
      <c r="F132" s="25" t="n"/>
      <c r="G132" s="43" t="n"/>
      <c r="H132" s="1045" t="n"/>
      <c r="I132" s="25" t="n">
        <v>6422662</v>
      </c>
      <c r="J132" s="43" t="n"/>
      <c r="K132" s="1045" t="n"/>
      <c r="L132" s="25" t="n">
        <v>6422662</v>
      </c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5">
      <c r="A133" s="744" t="n"/>
      <c r="B133" s="25" t="inlineStr">
        <is>
          <t>Casino y Restaurante</t>
        </is>
      </c>
      <c r="C133" s="25">
        <f>'[9]Hoja 1'!$C$265</f>
        <v/>
      </c>
      <c r="D133" s="43" t="n"/>
      <c r="E133" s="1045" t="n"/>
      <c r="F133" s="25">
        <f>'[10]Hoja 1'!$C$274</f>
        <v/>
      </c>
      <c r="G133" s="43" t="n"/>
      <c r="H133" s="1045" t="n"/>
      <c r="I133" s="25" t="n">
        <v>6422662</v>
      </c>
      <c r="J133" s="43" t="n"/>
      <c r="K133" s="1045" t="n"/>
      <c r="L133" s="25" t="n">
        <v>6422662</v>
      </c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5">
      <c r="A134" s="744" t="n"/>
      <c r="B134" s="25" t="inlineStr">
        <is>
          <t xml:space="preserve">Parqueaderos                       </t>
        </is>
      </c>
      <c r="C134" s="25" t="n"/>
      <c r="D134" s="43" t="n"/>
      <c r="E134" s="1045" t="n"/>
      <c r="F134" s="25" t="n"/>
      <c r="G134" s="43" t="n"/>
      <c r="H134" s="1045" t="n"/>
      <c r="I134" s="25" t="n">
        <v>8594020</v>
      </c>
      <c r="J134" s="43" t="n"/>
      <c r="K134" s="1045" t="n"/>
      <c r="L134" s="25" t="n">
        <v>8594020</v>
      </c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5">
      <c r="A135" s="744" t="n"/>
      <c r="B135" s="25" t="inlineStr">
        <is>
          <t>Peajes</t>
        </is>
      </c>
      <c r="C135" s="25" t="n"/>
      <c r="D135" s="43" t="n"/>
      <c r="E135" s="1045" t="n"/>
      <c r="F135" s="25" t="n"/>
      <c r="G135" s="43" t="n"/>
      <c r="H135" s="1045" t="n"/>
      <c r="I135" s="25" t="n">
        <v>6422662</v>
      </c>
      <c r="J135" s="43" t="n"/>
      <c r="K135" s="1045" t="n"/>
      <c r="L135" s="25" t="n">
        <v>6422662</v>
      </c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5">
      <c r="A136" s="744" t="n"/>
      <c r="B136" s="25" t="inlineStr">
        <is>
          <t>Averias</t>
        </is>
      </c>
      <c r="C136" s="25" t="n"/>
      <c r="D136" s="43" t="n"/>
      <c r="E136" s="1045" t="n"/>
      <c r="F136" s="25" t="n"/>
      <c r="G136" s="43" t="n"/>
      <c r="H136" s="1045" t="n"/>
      <c r="I136" s="25" t="n">
        <v>228100</v>
      </c>
      <c r="J136" s="43" t="n"/>
      <c r="K136" s="1045" t="n"/>
      <c r="L136" s="25" t="n">
        <v>228100</v>
      </c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5">
      <c r="A137" s="744" t="n"/>
      <c r="B137" s="25" t="inlineStr">
        <is>
          <t>Compra Equipos de Oficina</t>
        </is>
      </c>
      <c r="C137" s="25" t="n"/>
      <c r="D137" s="43" t="n"/>
      <c r="E137" s="1045" t="n"/>
      <c r="F137" s="25" t="n"/>
      <c r="G137" s="43" t="n"/>
      <c r="H137" s="1045" t="n"/>
      <c r="I137" s="25" t="n">
        <v>6422662</v>
      </c>
      <c r="J137" s="43" t="n"/>
      <c r="K137" s="1045" t="n"/>
      <c r="L137" s="25" t="n">
        <v>6422662</v>
      </c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5" thickBot="1">
      <c r="A138" s="744" t="n"/>
      <c r="B138" s="269" t="inlineStr">
        <is>
          <t>Otros</t>
        </is>
      </c>
      <c r="C138" s="269" t="n"/>
      <c r="D138" s="214" t="n"/>
      <c r="E138" s="1079" t="n"/>
      <c r="F138" s="269" t="n"/>
      <c r="G138" s="214" t="n"/>
      <c r="H138" s="1079" t="n"/>
      <c r="I138" s="269" t="n">
        <v>228100</v>
      </c>
      <c r="J138" s="214" t="n"/>
      <c r="K138" s="1079" t="n"/>
      <c r="L138" s="269" t="n">
        <v>228100</v>
      </c>
      <c r="M138" s="214" t="n"/>
      <c r="N138" s="1079" t="n"/>
      <c r="O138" s="269" t="n"/>
      <c r="P138" s="214" t="n"/>
      <c r="Q138" s="1079" t="n"/>
      <c r="R138" s="269" t="n"/>
      <c r="S138" s="214" t="n"/>
      <c r="T138" s="1079" t="n"/>
      <c r="U138" s="269" t="n"/>
      <c r="V138" s="214" t="n"/>
      <c r="W138" s="1079" t="n"/>
      <c r="X138" s="269" t="n"/>
      <c r="Y138" s="214" t="n"/>
      <c r="Z138" s="1079" t="n"/>
      <c r="AA138" s="269" t="n"/>
      <c r="AB138" s="214" t="n"/>
      <c r="AC138" s="1079" t="n"/>
      <c r="AD138" s="269" t="n"/>
      <c r="AE138" s="214" t="n"/>
      <c r="AF138" s="1079" t="n"/>
      <c r="AG138" s="269" t="n"/>
      <c r="AH138" s="214" t="n"/>
      <c r="AI138" s="1079" t="n"/>
      <c r="AJ138" s="269" t="n"/>
      <c r="AK138" s="214" t="n"/>
      <c r="AL138" s="271" t="n"/>
      <c r="AM138" s="71">
        <f>C138+F138+I138+L138+O138+R138+U138+X138+AA138+AD138+AG138+AJ138</f>
        <v/>
      </c>
      <c r="AN138" s="214" t="n"/>
      <c r="AO138" s="1092" t="n"/>
    </row>
    <row r="139" ht="15" customHeight="1" s="985" thickBot="1" thickTop="1">
      <c r="A139" s="744" t="n"/>
      <c r="C139" s="2" t="n"/>
      <c r="D139" s="2" t="n"/>
      <c r="E139" s="1067" t="n"/>
      <c r="F139" s="2" t="n"/>
      <c r="G139" s="2" t="n"/>
      <c r="H139" s="1067" t="n"/>
      <c r="I139" s="2" t="n"/>
      <c r="J139" s="2" t="n"/>
      <c r="K139" s="1067" t="n"/>
      <c r="L139" s="2" t="n"/>
      <c r="M139" s="2" t="n"/>
      <c r="N139" s="1067" t="n"/>
      <c r="O139" s="2" t="n"/>
      <c r="P139" s="2" t="n"/>
      <c r="Q139" s="1067" t="n"/>
      <c r="R139" s="2" t="n"/>
      <c r="S139" s="2" t="n"/>
      <c r="T139" s="1067" t="n"/>
      <c r="U139" s="2" t="n"/>
      <c r="V139" s="2" t="n"/>
      <c r="W139" s="1067" t="n"/>
      <c r="X139" s="2" t="n"/>
      <c r="Y139" s="2" t="n"/>
      <c r="Z139" s="1067" t="n"/>
      <c r="AA139" s="2" t="n"/>
      <c r="AB139" s="2" t="n"/>
      <c r="AC139" s="1067" t="n"/>
      <c r="AD139" s="2" t="n"/>
      <c r="AE139" s="2" t="n"/>
      <c r="AF139" s="1067" t="n"/>
      <c r="AG139" s="2" t="n"/>
      <c r="AH139" s="2" t="n"/>
      <c r="AI139" s="1067" t="n"/>
      <c r="AJ139" s="2" t="n"/>
      <c r="AK139" s="2" t="n"/>
      <c r="AL139" s="64" t="n"/>
      <c r="AM139" s="151" t="n"/>
      <c r="AN139" s="2" t="n"/>
      <c r="AO139" s="1067" t="n"/>
    </row>
    <row r="140" ht="15" customHeight="1" s="985" thickBot="1" thickTop="1">
      <c r="A140" s="744" t="n"/>
      <c r="B140" s="526" t="inlineStr">
        <is>
          <t>TOTAL COSTO</t>
        </is>
      </c>
      <c r="C140" s="498">
        <f>C44+C83-C42</f>
        <v/>
      </c>
      <c r="D140" s="499" t="n"/>
      <c r="E140" s="1093" t="n"/>
      <c r="F140" s="498">
        <f>F44+F83-F42</f>
        <v/>
      </c>
      <c r="G140" s="499" t="n"/>
      <c r="H140" s="1093" t="n"/>
      <c r="I140" s="498">
        <f>I44+I83-I42</f>
        <v/>
      </c>
      <c r="J140" s="499" t="n"/>
      <c r="K140" s="1093" t="n"/>
      <c r="L140" s="498">
        <f>L44+L83-L42</f>
        <v/>
      </c>
      <c r="M140" s="499" t="n"/>
      <c r="N140" s="1093" t="n"/>
      <c r="O140" s="498">
        <f>O44+O83-O42</f>
        <v/>
      </c>
      <c r="P140" s="499" t="n"/>
      <c r="Q140" s="1093" t="n"/>
      <c r="R140" s="498">
        <f>R44+R83-R42</f>
        <v/>
      </c>
      <c r="S140" s="499" t="n"/>
      <c r="T140" s="1093" t="n"/>
      <c r="U140" s="498">
        <f>U44+U83-U42</f>
        <v/>
      </c>
      <c r="V140" s="499" t="n"/>
      <c r="W140" s="1093" t="n"/>
      <c r="X140" s="498">
        <f>X44+X83-X42</f>
        <v/>
      </c>
      <c r="Y140" s="499" t="n"/>
      <c r="Z140" s="1093" t="n"/>
      <c r="AA140" s="498">
        <f>AA44+AA83-AA42</f>
        <v/>
      </c>
      <c r="AB140" s="499" t="n"/>
      <c r="AC140" s="1093" t="n"/>
      <c r="AD140" s="498">
        <f>AD44+AD83-AD42</f>
        <v/>
      </c>
      <c r="AE140" s="499" t="n"/>
      <c r="AF140" s="1093" t="n"/>
      <c r="AG140" s="498">
        <f>AG44+AG83-AG42</f>
        <v/>
      </c>
      <c r="AH140" s="499" t="n"/>
      <c r="AI140" s="1093" t="n"/>
      <c r="AJ140" s="498">
        <f>AJ44+AJ83-AJ42</f>
        <v/>
      </c>
      <c r="AK140" s="499" t="n"/>
      <c r="AL140" s="512" t="n"/>
      <c r="AM140" s="587">
        <f>C140+F140+I140+L140+O140+R140+U140+X140+AA140+AD140+AG140+AJ140</f>
        <v/>
      </c>
      <c r="AN140" s="499" t="n"/>
      <c r="AO140" s="1094" t="n"/>
    </row>
    <row r="141" ht="15" customFormat="1" customHeight="1" s="108" thickBot="1" thickTop="1">
      <c r="A141" s="744" t="n"/>
      <c r="B141" s="355" t="n"/>
      <c r="C141" s="356" t="n"/>
      <c r="D141" s="356" t="n"/>
      <c r="E141" s="1095" t="n"/>
      <c r="F141" s="356" t="n"/>
      <c r="G141" s="356" t="n"/>
      <c r="H141" s="1095" t="n"/>
      <c r="I141" s="356" t="n"/>
      <c r="J141" s="356" t="n"/>
      <c r="K141" s="1095" t="n"/>
      <c r="L141" s="356" t="n"/>
      <c r="M141" s="356" t="n"/>
      <c r="N141" s="1095" t="n"/>
      <c r="O141" s="356" t="n"/>
      <c r="P141" s="356" t="n"/>
      <c r="Q141" s="1095" t="n"/>
      <c r="R141" s="356" t="n"/>
      <c r="S141" s="356" t="n"/>
      <c r="T141" s="1095" t="n"/>
      <c r="U141" s="356" t="n"/>
      <c r="V141" s="356" t="n"/>
      <c r="W141" s="1095" t="n"/>
      <c r="X141" s="356" t="n"/>
      <c r="Y141" s="356" t="n"/>
      <c r="Z141" s="1095" t="n"/>
      <c r="AA141" s="356" t="n"/>
      <c r="AB141" s="356" t="n"/>
      <c r="AC141" s="1095" t="n"/>
      <c r="AD141" s="356" t="n"/>
      <c r="AE141" s="356" t="n"/>
      <c r="AF141" s="1095" t="n"/>
      <c r="AG141" s="356" t="n"/>
      <c r="AH141" s="356" t="n"/>
      <c r="AI141" s="1095" t="n"/>
      <c r="AJ141" s="356" t="n"/>
      <c r="AK141" s="356" t="n"/>
      <c r="AL141" s="358" t="n"/>
      <c r="AM141" s="356" t="n"/>
      <c r="AN141" s="356" t="n"/>
      <c r="AO141" s="1095" t="n"/>
    </row>
    <row r="142" ht="15" customHeight="1" s="985" thickBot="1" thickTop="1">
      <c r="A142" s="744" t="inlineStr">
        <is>
          <t xml:space="preserve">73959504            </t>
        </is>
      </c>
      <c r="B142" s="531" t="inlineStr">
        <is>
          <t>(-) APROVECHAMIENTO</t>
        </is>
      </c>
      <c r="C142" s="532">
        <f>'[9]Hoja 1'!$C$267</f>
        <v/>
      </c>
      <c r="D142" s="533" t="n"/>
      <c r="E142" s="534" t="n"/>
      <c r="F142" s="532">
        <f>'[10]Hoja 1'!$C$276</f>
        <v/>
      </c>
      <c r="G142" s="533" t="n"/>
      <c r="H142" s="534" t="n"/>
      <c r="I142" s="532" t="n">
        <v>6422662</v>
      </c>
      <c r="J142" s="533" t="n"/>
      <c r="K142" s="534" t="n"/>
      <c r="L142" s="532" t="n">
        <v>6422662</v>
      </c>
      <c r="M142" s="533" t="n"/>
      <c r="N142" s="534" t="n"/>
      <c r="O142" s="532" t="n"/>
      <c r="P142" s="533" t="n"/>
      <c r="Q142" s="534" t="n"/>
      <c r="R142" s="532" t="n"/>
      <c r="S142" s="533" t="n"/>
      <c r="T142" s="534" t="n"/>
      <c r="U142" s="532" t="n"/>
      <c r="V142" s="533" t="n"/>
      <c r="W142" s="534" t="n"/>
      <c r="X142" s="532" t="n"/>
      <c r="Y142" s="533" t="n"/>
      <c r="Z142" s="534" t="n"/>
      <c r="AA142" s="532" t="n"/>
      <c r="AB142" s="533" t="n"/>
      <c r="AC142" s="534" t="n"/>
      <c r="AD142" s="532" t="n"/>
      <c r="AE142" s="533" t="n"/>
      <c r="AF142" s="534" t="n"/>
      <c r="AG142" s="532" t="n"/>
      <c r="AH142" s="533" t="n"/>
      <c r="AI142" s="534" t="n"/>
      <c r="AJ142" s="532" t="n"/>
      <c r="AK142" s="533" t="n"/>
      <c r="AL142" s="534" t="n"/>
      <c r="AM142" s="532">
        <f>C142+F142+I142+L142+O142+R142+U142+X142+AA142+AD142+AG142+AJ142</f>
        <v/>
      </c>
      <c r="AN142" s="533" t="n"/>
      <c r="AO142" s="611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45" t="n"/>
      <c r="AN143" s="145" t="n"/>
      <c r="AO143" s="1067" t="n"/>
    </row>
    <row r="144" ht="15" customHeight="1" s="985" thickBot="1" thickTop="1">
      <c r="B144" s="531" t="inlineStr">
        <is>
          <t>COSTO NETO</t>
        </is>
      </c>
      <c r="C144" s="532">
        <f>C140-C142</f>
        <v/>
      </c>
      <c r="D144" s="533" t="n"/>
      <c r="E144" s="534" t="n"/>
      <c r="F144" s="532">
        <f>F140-F142</f>
        <v/>
      </c>
      <c r="G144" s="533" t="n"/>
      <c r="H144" s="534" t="n"/>
      <c r="I144" s="532">
        <f>I140-I142</f>
        <v/>
      </c>
      <c r="J144" s="535" t="n"/>
      <c r="K144" s="536" t="n"/>
      <c r="L144" s="532">
        <f>L140-L142</f>
        <v/>
      </c>
      <c r="M144" s="533" t="n"/>
      <c r="N144" s="534" t="n"/>
      <c r="O144" s="532">
        <f>O140-O142</f>
        <v/>
      </c>
      <c r="P144" s="533" t="n"/>
      <c r="Q144" s="534" t="n"/>
      <c r="R144" s="532">
        <f>R140-R142</f>
        <v/>
      </c>
      <c r="S144" s="533" t="n"/>
      <c r="T144" s="534" t="n"/>
      <c r="U144" s="532">
        <f>U140-U142</f>
        <v/>
      </c>
      <c r="V144" s="533" t="n"/>
      <c r="W144" s="534" t="n"/>
      <c r="X144" s="532">
        <f>X140-X142</f>
        <v/>
      </c>
      <c r="Y144" s="533" t="n"/>
      <c r="Z144" s="534" t="n"/>
      <c r="AA144" s="532">
        <f>AA140-AA142</f>
        <v/>
      </c>
      <c r="AB144" s="533" t="n"/>
      <c r="AC144" s="534" t="n"/>
      <c r="AD144" s="532">
        <f>AD140-AD142</f>
        <v/>
      </c>
      <c r="AE144" s="533" t="n"/>
      <c r="AF144" s="534" t="n"/>
      <c r="AG144" s="532">
        <f>AG140-AG142</f>
        <v/>
      </c>
      <c r="AH144" s="533" t="n"/>
      <c r="AI144" s="534" t="n"/>
      <c r="AJ144" s="532">
        <f>AJ140-AJ142</f>
        <v/>
      </c>
      <c r="AK144" s="533" t="n"/>
      <c r="AL144" s="534" t="n"/>
      <c r="AM144" s="532">
        <f>AM140-AM142</f>
        <v/>
      </c>
      <c r="AN144" s="533" t="n"/>
      <c r="AO144" s="611" t="n"/>
    </row>
    <row r="145" ht="10.8" customHeight="1" s="985" thickTop="1"/>
    <row r="146">
      <c r="C146" s="473" t="n"/>
      <c r="F146" s="473" t="n"/>
      <c r="I146" s="547" t="n"/>
      <c r="L146" s="547" t="n"/>
    </row>
    <row r="147">
      <c r="C147" s="473" t="n"/>
      <c r="F147" s="473" t="n"/>
      <c r="I147" s="473">
        <f>I44+I83</f>
        <v/>
      </c>
      <c r="L147" s="473">
        <f>L44+L83+L142</f>
        <v/>
      </c>
      <c r="O147" s="473">
        <f>O44+O83+O142</f>
        <v/>
      </c>
      <c r="R147" s="473" t="n">
        <v>19662191.12</v>
      </c>
      <c r="U147" s="473" t="n">
        <v>28089824.81</v>
      </c>
      <c r="X147" s="473" t="n">
        <v>31306311.14</v>
      </c>
      <c r="AA147" s="473" t="n">
        <v>27551073.46</v>
      </c>
      <c r="AD147" s="473" t="n">
        <v>34584039</v>
      </c>
      <c r="AG147" s="473" t="n">
        <v>22674070.13</v>
      </c>
      <c r="AJ147" s="473" t="n">
        <v>20130035.96</v>
      </c>
    </row>
    <row r="148">
      <c r="C148" s="473" t="n"/>
      <c r="F148" s="473" t="n"/>
      <c r="I148" s="473" t="n">
        <v>62618199.48999999</v>
      </c>
      <c r="L148" s="473" t="n">
        <v>24767616.65</v>
      </c>
      <c r="O148" s="473" t="n"/>
      <c r="R148" s="473">
        <f>R44+R83+R142</f>
        <v/>
      </c>
      <c r="U148" s="473">
        <f>U44+U83+U142</f>
        <v/>
      </c>
      <c r="X148" s="473">
        <f>X44+X83+X142</f>
        <v/>
      </c>
      <c r="AA148" s="473">
        <f>AA44+AA83+AA142</f>
        <v/>
      </c>
      <c r="AD148" s="473">
        <f>AD44+AD83+AD142</f>
        <v/>
      </c>
      <c r="AG148" s="473">
        <f>AG44+AG83+AG142</f>
        <v/>
      </c>
      <c r="AJ148" s="473">
        <f>AJ44+AJ83+AJ142</f>
        <v/>
      </c>
    </row>
    <row r="149">
      <c r="I149" s="989">
        <f>I147-I148</f>
        <v/>
      </c>
      <c r="L149" s="989">
        <f>L147-L148</f>
        <v/>
      </c>
      <c r="O149" s="989">
        <f>O147-O148</f>
        <v/>
      </c>
      <c r="R149" s="989">
        <f>R147-R148</f>
        <v/>
      </c>
      <c r="U149" s="989">
        <f>U147-U148</f>
        <v/>
      </c>
      <c r="X149" s="989">
        <f>X147-X148</f>
        <v/>
      </c>
      <c r="AA149" s="989">
        <f>AA147-AA148</f>
        <v/>
      </c>
      <c r="AC149" s="989" t="n"/>
      <c r="AD149" s="989">
        <f>AD147-AD148</f>
        <v/>
      </c>
      <c r="AG149" s="989">
        <f>AG147-AG148</f>
        <v/>
      </c>
      <c r="AJ149" s="989">
        <f>AJ147-AJ148</f>
        <v/>
      </c>
    </row>
    <row r="150">
      <c r="AD150" s="989" t="n">
        <v>-3329832</v>
      </c>
      <c r="AE150" s="989" t="inlineStr">
        <is>
          <t>manip + gas chvs</t>
        </is>
      </c>
    </row>
    <row r="151"/>
    <row r="152"/>
    <row r="153"/>
    <row r="154"/>
    <row r="155"/>
    <row r="156">
      <c r="C156" s="792">
        <f>C13/C144</f>
        <v/>
      </c>
      <c r="D156" s="792" t="n"/>
      <c r="E156" s="792" t="n"/>
      <c r="F156" s="792">
        <f>F13/F144</f>
        <v/>
      </c>
      <c r="G156" s="792" t="n"/>
      <c r="H156" s="792" t="n"/>
      <c r="I156" s="792">
        <f>I13/I144</f>
        <v/>
      </c>
      <c r="J156" s="792" t="n"/>
      <c r="K156" s="792" t="n"/>
      <c r="L156" s="792">
        <f>L13/L144</f>
        <v/>
      </c>
      <c r="M156" s="792" t="n"/>
      <c r="N156" s="792" t="n"/>
      <c r="O156" s="792" t="n"/>
      <c r="P156" s="792" t="n"/>
      <c r="Q156" s="792" t="n"/>
      <c r="R156" s="792">
        <f>R13/R144</f>
        <v/>
      </c>
      <c r="S156" s="792" t="n"/>
      <c r="T156" s="792" t="n"/>
      <c r="U156" s="792" t="n"/>
      <c r="V156" s="792" t="n"/>
      <c r="W156" s="792" t="n"/>
      <c r="X156" s="792" t="n"/>
      <c r="Y156" s="792" t="n"/>
      <c r="Z156" s="792" t="n"/>
      <c r="AA156" s="792" t="n"/>
      <c r="AB156" s="792" t="n"/>
      <c r="AC156" s="792" t="n"/>
      <c r="AD156" s="792" t="n"/>
      <c r="AE156" s="792" t="n"/>
      <c r="AF156" s="792" t="n"/>
      <c r="AG156" s="792" t="n"/>
      <c r="AH156" s="792" t="n"/>
      <c r="AI156" s="792" t="n"/>
      <c r="AJ156" s="792" t="n"/>
      <c r="AK156" s="792" t="n"/>
      <c r="AL156" s="792" t="n"/>
      <c r="AM156" s="792" t="n"/>
    </row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>
      <c r="M197" s="989">
        <f>(32*3)+22+31+17</f>
        <v/>
      </c>
      <c r="N197" s="1033" t="inlineStr">
        <is>
          <t>Bolsos</t>
        </is>
      </c>
    </row>
    <row r="198">
      <c r="M198" s="989">
        <f>20*3</f>
        <v/>
      </c>
      <c r="N198" s="1033" t="inlineStr">
        <is>
          <t>perrada</t>
        </is>
      </c>
    </row>
    <row r="199">
      <c r="M199" s="989" t="n">
        <v>8</v>
      </c>
      <c r="N199" s="1033" t="inlineStr">
        <is>
          <t>devuelta</t>
        </is>
      </c>
    </row>
    <row r="200">
      <c r="M200" s="989">
        <f>M197-M198-M199</f>
        <v/>
      </c>
    </row>
  </sheetData>
  <mergeCells count="4">
    <mergeCell ref="C2:AM2"/>
    <mergeCell ref="AE150:AF150"/>
    <mergeCell ref="AS5:AS6"/>
    <mergeCell ref="AR5:AR6"/>
  </mergeCells>
  <hyperlinks>
    <hyperlink xmlns:r="http://schemas.openxmlformats.org/officeDocument/2006/relationships" ref="B79" location="CASINO!V6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Hoja17">
    <outlinePr summaryBelow="1" summaryRight="1"/>
    <pageSetUpPr/>
  </sheetPr>
  <dimension ref="A2:AS166"/>
  <sheetViews>
    <sheetView zoomScaleNormal="100" zoomScaleSheetLayoutView="100" workbookViewId="0">
      <pane xSplit="2" ySplit="13" topLeftCell="Z146" activePane="bottomRight" state="frozen"/>
      <selection activeCell="AJ128" sqref="C128:AJ142"/>
      <selection pane="topRight" activeCell="AJ128" sqref="C128:AJ142"/>
      <selection pane="bottomLeft" activeCell="AJ128" sqref="C128:AJ142"/>
      <selection pane="bottomRight" activeCell="F148" sqref="F148:V150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4.44140625" customWidth="1" style="989" min="18" max="18"/>
    <col width="8.6640625" customWidth="1" style="989" min="19" max="19"/>
    <col width="8.6640625" customWidth="1" style="1033" min="20" max="20"/>
    <col width="14.4414062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7"/>
    <col width="8.6640625" customWidth="1" style="1033" min="38" max="38"/>
    <col width="15.6640625" customWidth="1" style="989" min="39" max="39"/>
    <col width="8.6640625" customWidth="1" style="989" min="40" max="40"/>
    <col width="8.6640625" customWidth="1" style="1033" min="41" max="41"/>
    <col width="7.44140625" customWidth="1" style="2" min="42" max="42"/>
    <col width="15.33203125" customWidth="1" style="989" min="43" max="43"/>
    <col width="7.33203125" customWidth="1" style="989" min="44" max="44"/>
    <col width="7.33203125" customWidth="1" style="2" min="45" max="45"/>
    <col width="11.44140625" customWidth="1" style="2" min="46" max="50"/>
    <col width="11.44140625" customWidth="1" style="2" min="51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PRESUPUESTO  SANTA ISABEL DE HUNGRIA 2024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614" t="n"/>
      <c r="AO2" s="1096" t="n"/>
      <c r="AQ2" s="2" t="n"/>
      <c r="AR2" s="2" t="n"/>
    </row>
    <row r="3" ht="21.75" customHeight="1" s="985" thickBot="1" thickTop="1">
      <c r="B3" s="523" t="inlineStr">
        <is>
          <t xml:space="preserve">DIAS DE ATENCIÓN </t>
        </is>
      </c>
      <c r="C3" s="479" t="n"/>
      <c r="D3" s="480" t="n"/>
      <c r="E3" s="1035" t="n"/>
      <c r="F3" s="479" t="n"/>
      <c r="G3" s="480" t="n"/>
      <c r="H3" s="1035" t="n"/>
      <c r="I3" s="479" t="n">
        <v>18</v>
      </c>
      <c r="J3" s="480" t="n"/>
      <c r="K3" s="1035" t="n"/>
      <c r="L3" s="479" t="n">
        <v>15</v>
      </c>
      <c r="M3" s="480" t="n"/>
      <c r="N3" s="1035" t="n"/>
      <c r="O3" s="479" t="n">
        <v>21</v>
      </c>
      <c r="P3" s="480" t="n"/>
      <c r="Q3" s="1035" t="n"/>
      <c r="R3" s="479" t="n">
        <v>20</v>
      </c>
      <c r="S3" s="480" t="n"/>
      <c r="T3" s="1035" t="n"/>
      <c r="U3" s="479" t="n">
        <v>6</v>
      </c>
      <c r="V3" s="480" t="n"/>
      <c r="W3" s="1035" t="n"/>
      <c r="X3" s="479" t="n">
        <v>21</v>
      </c>
      <c r="Y3" s="480" t="n"/>
      <c r="Z3" s="1035" t="n"/>
      <c r="AA3" s="479" t="n">
        <v>21</v>
      </c>
      <c r="AB3" s="480" t="n"/>
      <c r="AC3" s="1035" t="n"/>
      <c r="AD3" s="479" t="n">
        <v>16</v>
      </c>
      <c r="AE3" s="480" t="n"/>
      <c r="AF3" s="1035" t="n"/>
      <c r="AG3" s="479" t="n">
        <v>20</v>
      </c>
      <c r="AH3" s="480" t="n"/>
      <c r="AI3" s="1035" t="n"/>
      <c r="AJ3" s="479" t="n"/>
      <c r="AK3" s="480" t="n"/>
      <c r="AL3" s="1035" t="n"/>
      <c r="AM3" s="573">
        <f>SUM(I3:AL3)</f>
        <v/>
      </c>
      <c r="AN3" s="574" t="n"/>
      <c r="AO3" s="1036" t="n"/>
      <c r="AQ3" s="623" t="n"/>
      <c r="AR3" s="623" t="n"/>
      <c r="AS3" s="623" t="n"/>
    </row>
    <row r="4" ht="24.75" customFormat="1" customHeight="1" s="215" thickBot="1" thickTop="1">
      <c r="A4" s="227" t="n"/>
      <c r="B4" s="21" t="n"/>
      <c r="C4" s="482" t="inlineStr">
        <is>
          <t>ENE</t>
        </is>
      </c>
      <c r="D4" s="483" t="inlineStr">
        <is>
          <t>x racion</t>
        </is>
      </c>
      <c r="E4" s="103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103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748" t="inlineStr">
        <is>
          <t>REAL 2024</t>
        </is>
      </c>
      <c r="AR4" s="624" t="n"/>
      <c r="AS4" s="624" t="n"/>
    </row>
    <row r="5" ht="15" customFormat="1" customHeight="1" s="223" thickTop="1">
      <c r="A5" s="228" t="n"/>
      <c r="B5" s="258" t="inlineStr">
        <is>
          <t>COMPLEMENTO INDUSTRIALIZADO (Rac)</t>
        </is>
      </c>
      <c r="C5" s="257" t="n"/>
      <c r="D5" s="89" t="n"/>
      <c r="E5" s="1041" t="n"/>
      <c r="F5" s="257" t="n"/>
      <c r="G5" s="89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1041" t="n"/>
      <c r="AM5" s="261">
        <f>C5+F5+I5+L5+O5+R5+U5+X5+AA5+AD5+AG5+AJ5</f>
        <v/>
      </c>
      <c r="AN5" s="89" t="n"/>
      <c r="AO5" s="1042" t="n"/>
      <c r="AQ5" s="299" t="n"/>
      <c r="AR5" s="299" t="n"/>
      <c r="AS5" s="299" t="n"/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89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1045" t="n"/>
      <c r="AM6" s="205">
        <f>C6+F6+I6+L6+O6+R6+U6+X6+AA6+AD6+AG6+AJ6</f>
        <v/>
      </c>
      <c r="AN6" s="43" t="n"/>
      <c r="AO6" s="1046" t="n"/>
      <c r="AQ6" s="24" t="n"/>
      <c r="AR6" s="24" t="n"/>
      <c r="AS6" s="24" t="n"/>
    </row>
    <row r="7" ht="15" customFormat="1" customHeight="1" s="223">
      <c r="A7" s="228" t="n"/>
      <c r="B7" s="258" t="n"/>
      <c r="C7" s="25" t="n"/>
      <c r="D7" s="43" t="n"/>
      <c r="E7" s="1045" t="n"/>
      <c r="F7" s="25" t="n"/>
      <c r="G7" s="89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1045" t="n"/>
      <c r="AM7" s="205">
        <f>C7+F7+I7+L7+O7+R7+U7+X7+AA7+AD7+AG7+AJ7</f>
        <v/>
      </c>
      <c r="AN7" s="43" t="n"/>
      <c r="AO7" s="1046" t="n"/>
      <c r="AQ7" s="24" t="n"/>
      <c r="AR7" s="24" t="n"/>
      <c r="AS7" s="24" t="n"/>
    </row>
    <row r="8" ht="15" customFormat="1" customHeight="1" s="223">
      <c r="A8" s="228" t="n"/>
      <c r="B8" s="258" t="n"/>
      <c r="C8" s="74" t="n"/>
      <c r="D8" s="43" t="n"/>
      <c r="E8" s="1045" t="n"/>
      <c r="F8" s="25" t="n"/>
      <c r="G8" s="43" t="n"/>
      <c r="H8" s="1045" t="n"/>
      <c r="I8" s="25" t="n"/>
      <c r="J8" s="43" t="n"/>
      <c r="K8" s="1045" t="n"/>
      <c r="L8" s="25" t="n"/>
      <c r="M8" s="43" t="n"/>
      <c r="N8" s="1045" t="n"/>
      <c r="O8" s="25" t="n"/>
      <c r="P8" s="43" t="n"/>
      <c r="Q8" s="1045" t="n"/>
      <c r="R8" s="25" t="n"/>
      <c r="S8" s="43" t="n"/>
      <c r="T8" s="1045" t="n"/>
      <c r="U8" s="25" t="n"/>
      <c r="V8" s="43" t="n"/>
      <c r="W8" s="1045" t="n"/>
      <c r="X8" s="25" t="n"/>
      <c r="Y8" s="43" t="n"/>
      <c r="Z8" s="1045" t="n"/>
      <c r="AA8" s="25" t="n"/>
      <c r="AB8" s="43" t="n"/>
      <c r="AC8" s="1045" t="n"/>
      <c r="AD8" s="25" t="n"/>
      <c r="AE8" s="43" t="n"/>
      <c r="AF8" s="1045" t="n"/>
      <c r="AG8" s="25" t="n"/>
      <c r="AH8" s="43" t="n"/>
      <c r="AI8" s="1045" t="n"/>
      <c r="AJ8" s="74" t="n"/>
      <c r="AK8" s="43" t="n"/>
      <c r="AL8" s="1045" t="n"/>
      <c r="AM8" s="205">
        <f>C8+F8+I8+L8+O8+R8+U8+X8+AA8+AD8+AG8+AJ8</f>
        <v/>
      </c>
      <c r="AN8" s="43" t="n"/>
      <c r="AO8" s="1046" t="n"/>
      <c r="AQ8" s="24" t="n"/>
      <c r="AR8" s="24" t="n"/>
      <c r="AS8" s="24" t="n"/>
    </row>
    <row r="9" ht="15" customFormat="1" customHeight="1" s="223">
      <c r="A9" s="228" t="n"/>
      <c r="B9" s="258" t="inlineStr">
        <is>
          <t>NOVEDADES (Rac)</t>
        </is>
      </c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1045" t="n"/>
      <c r="AM9" s="205">
        <f>C9+F9+I9+L9+O9+R9+U9+X9+AA9+AD9+AG9+AJ9</f>
        <v/>
      </c>
      <c r="AN9" s="43" t="n"/>
      <c r="AO9" s="1046" t="n"/>
      <c r="AQ9" s="24" t="n"/>
      <c r="AR9" s="24" t="n"/>
      <c r="AS9" s="24" t="n"/>
    </row>
    <row r="10" hidden="1" ht="10.2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1045" t="n"/>
      <c r="AM10" s="205" t="n"/>
      <c r="AN10" s="43" t="n"/>
      <c r="AO10" s="1046" t="n"/>
      <c r="AQ10" s="24" t="n"/>
      <c r="AR10" s="24" t="n"/>
      <c r="AS10" s="24" t="n"/>
    </row>
    <row r="11" hidden="1" ht="10.2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1047" t="n"/>
      <c r="AM11" s="206" t="n"/>
      <c r="AN11" s="84" t="n"/>
      <c r="AO11" s="1048" t="n"/>
      <c r="AQ11" s="349" t="n"/>
      <c r="AR11" s="349" t="n"/>
      <c r="AS11" s="349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1049" t="n"/>
      <c r="AM12" s="207">
        <f>C12+F12+I12+L12+O12+R12+U12+X12+AA12+AD12+AG12+AJ12</f>
        <v/>
      </c>
      <c r="AN12" s="47" t="n"/>
      <c r="AO12" s="1050" t="n"/>
      <c r="AQ12" s="29">
        <f>SUM(AQ5:AQ11)</f>
        <v/>
      </c>
      <c r="AR12" s="29" t="n"/>
      <c r="AS12" s="29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 t="n"/>
      <c r="AK13" s="486" t="n"/>
      <c r="AL13" s="1051" t="n"/>
      <c r="AM13" s="580">
        <f>C13+F13+I13+L13+O13+R13+U13+X13+AA13+AD13+AG13+AJ13</f>
        <v/>
      </c>
      <c r="AN13" s="486" t="n"/>
      <c r="AO13" s="1052" t="n"/>
      <c r="AQ13" s="625">
        <f>AQ14+AQ23</f>
        <v/>
      </c>
      <c r="AR13" s="625" t="n"/>
      <c r="AS13" s="625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49">
        <f>U15</f>
        <v/>
      </c>
      <c r="V14" s="3" t="n"/>
      <c r="W14" s="1053" t="n"/>
      <c r="X14" s="49">
        <f>X15</f>
        <v/>
      </c>
      <c r="Y14" s="3" t="n"/>
      <c r="Z14" s="1053" t="n"/>
      <c r="AA14" s="49">
        <f>AA15</f>
        <v/>
      </c>
      <c r="AB14" s="3" t="n"/>
      <c r="AC14" s="1053" t="n"/>
      <c r="AD14" s="49">
        <f>AD15</f>
        <v/>
      </c>
      <c r="AE14" s="3" t="n"/>
      <c r="AF14" s="1053" t="n"/>
      <c r="AG14" s="49">
        <f>AG15</f>
        <v/>
      </c>
      <c r="AH14" s="3" t="n"/>
      <c r="AI14" s="1053" t="n"/>
      <c r="AJ14" s="49" t="n"/>
      <c r="AK14" s="3" t="n"/>
      <c r="AL14" s="1053" t="n"/>
      <c r="AM14" s="16">
        <f>C14+F14+I14+L14+O14+R14+U14+X14+AA14+AD14+AG14+AJ14</f>
        <v/>
      </c>
      <c r="AN14" s="3" t="n"/>
      <c r="AO14" s="1054" t="n"/>
      <c r="AQ14" s="17">
        <f>AQ15</f>
        <v/>
      </c>
      <c r="AR14" s="17" t="n"/>
      <c r="AS14" s="17" t="n"/>
    </row>
    <row r="15" ht="15" customHeight="1" s="985">
      <c r="B15" s="16" t="inlineStr">
        <is>
          <t>INDUSTRIAS MANUFACTURERAS</t>
        </is>
      </c>
      <c r="C15" s="49">
        <f>C16+C17+C18+C19+C20</f>
        <v/>
      </c>
      <c r="D15" s="3" t="n"/>
      <c r="E15" s="1053" t="n"/>
      <c r="F15" s="49">
        <f>F16+F17+F18+F19+F20</f>
        <v/>
      </c>
      <c r="G15" s="3" t="n"/>
      <c r="H15" s="1053">
        <f>F15/F15</f>
        <v/>
      </c>
      <c r="I15" s="49">
        <f>I16+I17+I18+I19+I20</f>
        <v/>
      </c>
      <c r="J15" s="3" t="n"/>
      <c r="K15" s="1053">
        <f>I15/I15</f>
        <v/>
      </c>
      <c r="L15" s="49">
        <f>L16+L17+L18+L19+L20</f>
        <v/>
      </c>
      <c r="M15" s="3" t="n"/>
      <c r="N15" s="1053">
        <f>L15/L15</f>
        <v/>
      </c>
      <c r="O15" s="49">
        <f>O16+O17+O18+O19+O20</f>
        <v/>
      </c>
      <c r="P15" s="3" t="n"/>
      <c r="Q15" s="1053">
        <f>O15/O15</f>
        <v/>
      </c>
      <c r="R15" s="49">
        <f>R16+R17+R18+R19+R20</f>
        <v/>
      </c>
      <c r="S15" s="3" t="n"/>
      <c r="T15" s="1053">
        <f>R15/R15</f>
        <v/>
      </c>
      <c r="U15" s="49">
        <f>U16+U17+U18+U19+U20</f>
        <v/>
      </c>
      <c r="V15" s="3" t="n"/>
      <c r="W15" s="1053" t="n"/>
      <c r="X15" s="49">
        <f>X16+X17+X18+X19+X20</f>
        <v/>
      </c>
      <c r="Y15" s="3" t="n"/>
      <c r="Z15" s="1053">
        <f>X15/X15</f>
        <v/>
      </c>
      <c r="AA15" s="49">
        <f>AA16+AA17+AA18+AA19+AA20</f>
        <v/>
      </c>
      <c r="AB15" s="3" t="n"/>
      <c r="AC15" s="1053" t="n"/>
      <c r="AD15" s="49">
        <f>AD16+AD17+AD18+AD19+AD20</f>
        <v/>
      </c>
      <c r="AE15" s="96" t="n"/>
      <c r="AF15" s="1053" t="n"/>
      <c r="AG15" s="49">
        <f>AG16+AG17+AG18+AG19+AG20</f>
        <v/>
      </c>
      <c r="AH15" s="3" t="n"/>
      <c r="AI15" s="1053" t="n"/>
      <c r="AJ15" s="49" t="n"/>
      <c r="AK15" s="3" t="n"/>
      <c r="AL15" s="1053" t="n"/>
      <c r="AM15" s="16">
        <f>C15+F15+I15+L15+O15+R15+U15+X15+AA15+AD15+AG15+AJ15</f>
        <v/>
      </c>
      <c r="AN15" s="3" t="n"/>
      <c r="AO15" s="1054">
        <f>AM15/AM15</f>
        <v/>
      </c>
      <c r="AQ15" s="17">
        <f>SUM(AQ16:AQ22)</f>
        <v/>
      </c>
      <c r="AR15" s="17" t="n"/>
      <c r="AS15" s="17" t="n"/>
    </row>
    <row r="16" ht="15" customHeight="1" s="985">
      <c r="B16" s="258" t="inlineStr">
        <is>
          <t>COMPLEMENTO INDUSTRIALIZADO (Fac)</t>
        </is>
      </c>
      <c r="C16" s="103" t="n"/>
      <c r="D16" s="79" t="n"/>
      <c r="E16" s="1055" t="n"/>
      <c r="F16" s="103" t="n"/>
      <c r="G16" s="79">
        <f>F16/F5</f>
        <v/>
      </c>
      <c r="H16" s="1055" t="n"/>
      <c r="I16" s="103" t="n"/>
      <c r="J16" s="79">
        <f>I16/I5</f>
        <v/>
      </c>
      <c r="K16" s="1055" t="n"/>
      <c r="L16" s="103" t="n"/>
      <c r="M16" s="79">
        <f>L16/L5</f>
        <v/>
      </c>
      <c r="N16" s="1055" t="n"/>
      <c r="O16" s="103" t="n"/>
      <c r="P16" s="79" t="n"/>
      <c r="Q16" s="1055" t="n"/>
      <c r="R16" s="103" t="n"/>
      <c r="S16" s="1097">
        <f>R16/R5</f>
        <v/>
      </c>
      <c r="T16" s="1055" t="n"/>
      <c r="U16" s="103" t="n"/>
      <c r="V16" s="79" t="n"/>
      <c r="W16" s="1055" t="n"/>
      <c r="X16" s="103" t="n"/>
      <c r="Y16" s="79">
        <f>X16/X5</f>
        <v/>
      </c>
      <c r="Z16" s="1055" t="n"/>
      <c r="AA16" s="103" t="n"/>
      <c r="AB16" s="79">
        <f>AA16/AA5</f>
        <v/>
      </c>
      <c r="AC16" s="1055" t="n"/>
      <c r="AD16" s="103" t="n"/>
      <c r="AE16" s="79">
        <f>AD16/AD5</f>
        <v/>
      </c>
      <c r="AF16" s="1055" t="n"/>
      <c r="AG16" s="103" t="n"/>
      <c r="AH16" s="79">
        <f>AG16/AG5</f>
        <v/>
      </c>
      <c r="AI16" s="1055" t="n"/>
      <c r="AJ16" s="103" t="n"/>
      <c r="AK16" s="79" t="n"/>
      <c r="AL16" s="1055" t="n"/>
      <c r="AM16" s="212">
        <f>C16+F16+I16+L16+O16+R16+U16+X16+AA16+AD16+AG16+AJ16</f>
        <v/>
      </c>
      <c r="AN16" s="79" t="n"/>
      <c r="AO16" s="1056">
        <f>AM16/AM$13</f>
        <v/>
      </c>
      <c r="AQ16" s="81" t="n"/>
      <c r="AR16" s="81">
        <f>AQ16/AQ5</f>
        <v/>
      </c>
      <c r="AS16" s="81" t="n"/>
    </row>
    <row r="17" ht="15" customHeight="1" s="985">
      <c r="B17" s="258" t="n"/>
      <c r="C17" s="25" t="n"/>
      <c r="D17" s="43" t="n"/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1045" t="n"/>
      <c r="AM17" s="205">
        <f>C17+F17+I17+L17+O17+R17+U17+X17+AA17+AD17+AG17+AJ17</f>
        <v/>
      </c>
      <c r="AN17" s="43" t="n"/>
      <c r="AO17" s="1046" t="n"/>
      <c r="AQ17" s="24" t="n"/>
      <c r="AR17" s="24" t="n"/>
      <c r="AS17" s="24" t="n"/>
    </row>
    <row r="18" ht="15" customHeight="1" s="985">
      <c r="B18" s="258" t="n"/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25" t="n"/>
      <c r="M18" s="43" t="n"/>
      <c r="N18" s="1045" t="n"/>
      <c r="O18" s="25" t="n"/>
      <c r="P18" s="43" t="n"/>
      <c r="Q18" s="1045" t="n"/>
      <c r="R18" s="25" t="n"/>
      <c r="S18" s="43" t="n"/>
      <c r="T18" s="1045" t="n"/>
      <c r="U18" s="25" t="n"/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1045" t="n"/>
      <c r="AM18" s="205">
        <f>C18+F18+I18+L18+O18+R18+U18+X18+AA18+AD18+AG18+AJ18</f>
        <v/>
      </c>
      <c r="AN18" s="43" t="n"/>
      <c r="AO18" s="1046" t="n"/>
      <c r="AQ18" s="24" t="n"/>
      <c r="AR18" s="24" t="n"/>
      <c r="AS18" s="24" t="n"/>
    </row>
    <row r="19" ht="15" customHeight="1" s="985">
      <c r="B19" s="258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1045" t="n"/>
      <c r="AM19" s="205">
        <f>C19+F19+I19+L19+O19+R19+U19+X19+AA19+AD19+AG19+AJ19</f>
        <v/>
      </c>
      <c r="AN19" s="43" t="n"/>
      <c r="AO19" s="1046" t="n"/>
      <c r="AQ19" s="24" t="n"/>
      <c r="AR19" s="43" t="n"/>
      <c r="AS19" s="24" t="n"/>
    </row>
    <row r="20" ht="15" customHeight="1" s="985">
      <c r="B20" s="258" t="inlineStr">
        <is>
          <t>NOVEDADES (Fac)</t>
        </is>
      </c>
      <c r="C20" s="75" t="n"/>
      <c r="D20" s="43" t="n"/>
      <c r="E20" s="1045" t="n"/>
      <c r="F20" s="75" t="n"/>
      <c r="G20" s="43" t="n"/>
      <c r="H20" s="1045" t="n"/>
      <c r="I20" s="75" t="n"/>
      <c r="J20" s="43">
        <f>I20/I9</f>
        <v/>
      </c>
      <c r="K20" s="1045" t="n"/>
      <c r="L20" s="75" t="n"/>
      <c r="M20" s="43">
        <f>L20/L9</f>
        <v/>
      </c>
      <c r="N20" s="1045" t="n"/>
      <c r="O20" s="75" t="n"/>
      <c r="P20" s="43">
        <f>O20/O9</f>
        <v/>
      </c>
      <c r="Q20" s="1045" t="n"/>
      <c r="R20" s="75" t="n"/>
      <c r="S20" s="43">
        <f>R20/R9</f>
        <v/>
      </c>
      <c r="T20" s="1045" t="n"/>
      <c r="U20" s="75" t="n"/>
      <c r="V20" s="43">
        <f>U20/U9</f>
        <v/>
      </c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>
        <f>AG9*2497</f>
        <v/>
      </c>
      <c r="AH20" s="43" t="n"/>
      <c r="AI20" s="1045" t="n"/>
      <c r="AJ20" s="75" t="n"/>
      <c r="AK20" s="43" t="n"/>
      <c r="AL20" s="1045" t="n"/>
      <c r="AM20" s="205">
        <f>C20+F20+I20+L20+O20+R20+U20+X20+AA20+AD20+AG20+AJ20</f>
        <v/>
      </c>
      <c r="AN20" s="43" t="n"/>
      <c r="AO20" s="1046" t="n"/>
      <c r="AQ20" s="24" t="n"/>
      <c r="AR20" s="24" t="n"/>
      <c r="AS20" s="24" t="n"/>
    </row>
    <row r="21" hidden="1" ht="10.2" customHeight="1" s="985">
      <c r="B21" s="30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1045" t="n"/>
      <c r="AM21" s="205" t="n"/>
      <c r="AN21" s="43" t="n"/>
      <c r="AO21" s="1046" t="n"/>
      <c r="AQ21" s="24" t="n"/>
      <c r="AR21" s="24" t="n"/>
      <c r="AS21" s="24" t="n"/>
    </row>
    <row r="22" hidden="1" ht="10.2" customHeight="1" s="985"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1057" t="n"/>
      <c r="AM22" s="97" t="n"/>
      <c r="AN22" s="42" t="n"/>
      <c r="AO22" s="1058" t="n"/>
      <c r="AQ22" s="23" t="n"/>
      <c r="AR22" s="23" t="n"/>
      <c r="AS22" s="23" t="n"/>
    </row>
    <row r="23" hidden="1" outlineLevel="1" ht="10.2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49">
        <f>R24</f>
        <v/>
      </c>
      <c r="S23" s="3" t="n"/>
      <c r="T23" s="1053" t="n"/>
      <c r="U23" s="49">
        <f>U24</f>
        <v/>
      </c>
      <c r="V23" s="3" t="n"/>
      <c r="W23" s="1053" t="n"/>
      <c r="X23" s="49">
        <f>X24</f>
        <v/>
      </c>
      <c r="Y23" s="3" t="n"/>
      <c r="Z23" s="1053" t="n"/>
      <c r="AA23" s="49">
        <f>AA24</f>
        <v/>
      </c>
      <c r="AB23" s="3" t="n"/>
      <c r="AC23" s="1053" t="n"/>
      <c r="AD23" s="49">
        <f>AD24</f>
        <v/>
      </c>
      <c r="AE23" s="3" t="n"/>
      <c r="AF23" s="1053" t="n"/>
      <c r="AG23" s="49">
        <f>AG24</f>
        <v/>
      </c>
      <c r="AH23" s="3" t="n"/>
      <c r="AI23" s="1053" t="n"/>
      <c r="AJ23" s="49" t="n"/>
      <c r="AK23" s="3" t="n"/>
      <c r="AL23" s="1053" t="n"/>
      <c r="AM23" s="16">
        <f>C23+F23+I23+L23+O23+R23+U23+X23+AA23+AD23+AG23+AJ23</f>
        <v/>
      </c>
      <c r="AN23" s="3" t="n"/>
      <c r="AO23" s="1054" t="n"/>
      <c r="AQ23" s="17" t="n"/>
      <c r="AR23" s="17" t="n"/>
      <c r="AS23" s="17" t="n"/>
    </row>
    <row r="24" hidden="1" outlineLevel="1" ht="10.2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49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49">
        <f>X25+X26+X27</f>
        <v/>
      </c>
      <c r="Y24" s="3" t="n"/>
      <c r="Z24" s="1053" t="n"/>
      <c r="AA24" s="49">
        <f>AA25+AA26+AA27</f>
        <v/>
      </c>
      <c r="AB24" s="3" t="n"/>
      <c r="AC24" s="1053" t="n"/>
      <c r="AD24" s="49">
        <f>AD25+AD26+AD27</f>
        <v/>
      </c>
      <c r="AE24" s="3" t="n"/>
      <c r="AF24" s="1053" t="n"/>
      <c r="AG24" s="49">
        <f>AG25+AG26+AG27</f>
        <v/>
      </c>
      <c r="AH24" s="3" t="n"/>
      <c r="AI24" s="1053" t="n"/>
      <c r="AJ24" s="49" t="n"/>
      <c r="AK24" s="3" t="n"/>
      <c r="AL24" s="1053" t="n"/>
      <c r="AM24" s="16">
        <f>C24+F24+I24+L24+O24+R24+U24+X24+AA24+AD24+AG24+AJ24</f>
        <v/>
      </c>
      <c r="AN24" s="3" t="n"/>
      <c r="AO24" s="1054" t="n"/>
      <c r="AQ24" s="17" t="n"/>
      <c r="AR24" s="17" t="n"/>
      <c r="AS24" s="17" t="n"/>
    </row>
    <row r="25" hidden="1" outlineLevel="1" ht="10.2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1059" t="n"/>
      <c r="AM25" s="34">
        <f>C25+F25+I25+L25+O25+R25+U25+X25+AA25+AD25+AG25+AJ25</f>
        <v/>
      </c>
      <c r="AN25" s="52" t="n"/>
      <c r="AO25" s="1060" t="n"/>
      <c r="AQ25" s="33" t="n"/>
      <c r="AR25" s="33" t="n"/>
      <c r="AS25" s="33" t="n"/>
    </row>
    <row r="26" hidden="1" outlineLevel="1" ht="10.2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1059" t="n"/>
      <c r="AM26" s="34">
        <f>C26+F26+I26+L26+O26+R26+U26+X26+AA26+AD26+AG26+AJ26</f>
        <v/>
      </c>
      <c r="AN26" s="52" t="n"/>
      <c r="AO26" s="1060" t="n"/>
      <c r="AQ26" s="33" t="n"/>
      <c r="AR26" s="33" t="n"/>
      <c r="AS26" s="33" t="n"/>
    </row>
    <row r="27" hidden="1" outlineLevel="1" ht="10.2" customHeight="1" s="985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1059" t="n"/>
      <c r="AM27" s="34">
        <f>C27+F27+I27+L27+O27+R27+U27+X27+AA27+AD27+AG27+AJ27</f>
        <v/>
      </c>
      <c r="AN27" s="52" t="n"/>
      <c r="AO27" s="1060" t="n"/>
      <c r="AQ27" s="33" t="n"/>
      <c r="AR27" s="33" t="n"/>
      <c r="AS27" s="33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49">
        <f>+R29</f>
        <v/>
      </c>
      <c r="S28" s="3" t="n"/>
      <c r="T28" s="1053" t="n"/>
      <c r="U28" s="49">
        <f>+U29</f>
        <v/>
      </c>
      <c r="V28" s="3" t="n"/>
      <c r="W28" s="1053" t="n"/>
      <c r="X28" s="49">
        <f>+X29</f>
        <v/>
      </c>
      <c r="Y28" s="3" t="n"/>
      <c r="Z28" s="1053" t="n"/>
      <c r="AA28" s="49">
        <f>+AA29</f>
        <v/>
      </c>
      <c r="AB28" s="3" t="n"/>
      <c r="AC28" s="1053" t="n"/>
      <c r="AD28" s="49">
        <f>+AD29</f>
        <v/>
      </c>
      <c r="AE28" s="3" t="n"/>
      <c r="AF28" s="1053" t="n"/>
      <c r="AG28" s="49">
        <f>+AG29</f>
        <v/>
      </c>
      <c r="AH28" s="3" t="n"/>
      <c r="AI28" s="1053" t="n"/>
      <c r="AJ28" s="49" t="n"/>
      <c r="AK28" s="3" t="n"/>
      <c r="AL28" s="1053" t="n"/>
      <c r="AM28" s="16">
        <f>C28+F28+I28+L28+O28+R28+U28+X28+AA28+AD28+AG28+AJ28</f>
        <v/>
      </c>
      <c r="AN28" s="3" t="n"/>
      <c r="AO28" s="1054" t="n"/>
      <c r="AQ28" s="17">
        <f>+AQ29</f>
        <v/>
      </c>
      <c r="AR28" s="17" t="n"/>
      <c r="AS28" s="17" t="n"/>
    </row>
    <row r="29" ht="15" customHeight="1" s="985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 t="n"/>
      <c r="R29" s="49">
        <f>SUM(R30:R35)</f>
        <v/>
      </c>
      <c r="S29" s="3" t="n"/>
      <c r="T29" s="1053" t="n"/>
      <c r="U29" s="49">
        <f>SUM(U30:U35)</f>
        <v/>
      </c>
      <c r="V29" s="3" t="n"/>
      <c r="W29" s="1053" t="n"/>
      <c r="X29" s="49">
        <f>SUM(X30:X35)</f>
        <v/>
      </c>
      <c r="Y29" s="3" t="n"/>
      <c r="Z29" s="132" t="n"/>
      <c r="AA29" s="49">
        <f>SUM(AA30:AA35)</f>
        <v/>
      </c>
      <c r="AB29" s="3" t="n"/>
      <c r="AC29" s="1053" t="n"/>
      <c r="AD29" s="49">
        <f>SUM(AD30:AD35)</f>
        <v/>
      </c>
      <c r="AE29" s="3" t="n"/>
      <c r="AF29" s="1053" t="n"/>
      <c r="AG29" s="49">
        <f>SUM(AG30:AG35)</f>
        <v/>
      </c>
      <c r="AH29" s="3" t="n"/>
      <c r="AI29" s="1053" t="n"/>
      <c r="AJ29" s="49" t="n"/>
      <c r="AK29" s="3" t="n"/>
      <c r="AL29" s="1053" t="n"/>
      <c r="AM29" s="16">
        <f>C29+F29+I29+L29+O29+R29+U29+X29+AA29+AD29+AG29+AJ29</f>
        <v/>
      </c>
      <c r="AN29" s="3" t="n"/>
      <c r="AO29" s="1054">
        <f>AM29/AM13</f>
        <v/>
      </c>
      <c r="AQ29" s="17">
        <f>SUM(AQ30:AQ35)</f>
        <v/>
      </c>
      <c r="AR29" s="17" t="n"/>
      <c r="AS29" s="17" t="n"/>
    </row>
    <row r="30" outlineLevel="1" ht="15" customHeight="1" s="985">
      <c r="B30" s="262" t="inlineStr">
        <is>
          <t>ICA (0.77%)</t>
        </is>
      </c>
      <c r="C30" s="1061">
        <f>C15*0.77%</f>
        <v/>
      </c>
      <c r="D30" s="79" t="n"/>
      <c r="E30" s="1055" t="n"/>
      <c r="F30" s="1061">
        <f>F13*0.77%</f>
        <v/>
      </c>
      <c r="G30" s="79" t="n"/>
      <c r="H30" s="1055" t="n"/>
      <c r="I30" s="1061">
        <f>I13*0.77%</f>
        <v/>
      </c>
      <c r="J30" s="79" t="n"/>
      <c r="K30" s="1055" t="n"/>
      <c r="L30" s="1061">
        <f>L13*0.77%</f>
        <v/>
      </c>
      <c r="M30" s="79" t="n"/>
      <c r="N30" s="1055" t="n"/>
      <c r="O30" s="1061">
        <f>O13*0.77%</f>
        <v/>
      </c>
      <c r="P30" s="79" t="n"/>
      <c r="Q30" s="1055" t="n"/>
      <c r="R30" s="1061">
        <f>R13*0.77%</f>
        <v/>
      </c>
      <c r="S30" s="79" t="n"/>
      <c r="T30" s="1055" t="n"/>
      <c r="U30" s="1061">
        <f>U13*0.77%</f>
        <v/>
      </c>
      <c r="V30" s="79" t="n"/>
      <c r="W30" s="1055" t="n"/>
      <c r="X30" s="1061" t="n"/>
      <c r="Y30" s="79" t="n"/>
      <c r="Z30" s="1055" t="n"/>
      <c r="AA30" s="1061">
        <f>AA13*0.77%</f>
        <v/>
      </c>
      <c r="AB30" s="79" t="n"/>
      <c r="AC30" s="1055" t="n"/>
      <c r="AD30" s="1061">
        <f>AD13*0.77%</f>
        <v/>
      </c>
      <c r="AE30" s="79" t="n"/>
      <c r="AF30" s="1055" t="n"/>
      <c r="AG30" s="1061">
        <f>AG13*0.77%</f>
        <v/>
      </c>
      <c r="AH30" s="79" t="n"/>
      <c r="AI30" s="1055" t="n"/>
      <c r="AJ30" s="1061" t="n"/>
      <c r="AK30" s="79" t="n"/>
      <c r="AL30" s="1055" t="n"/>
      <c r="AM30" s="212">
        <f>C30+F30+I30+L30+O30+R30+U30+X30+AA30+AD30+AG30+AJ30</f>
        <v/>
      </c>
      <c r="AN30" s="79" t="n"/>
      <c r="AO30" s="1056" t="n"/>
      <c r="AQ30" s="739" t="n"/>
      <c r="AR30" s="739" t="n"/>
      <c r="AS30" s="739" t="n"/>
    </row>
    <row r="31" outlineLevel="1" ht="15" customHeight="1" s="985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1045" t="n"/>
      <c r="AM31" s="205">
        <f>C31+F31+I31+L31+O31+R31+U31+X31+AA31+AD31+AG31+AJ31</f>
        <v/>
      </c>
      <c r="AN31" s="43" t="n"/>
      <c r="AO31" s="1046" t="n"/>
      <c r="AQ31" s="740" t="n"/>
      <c r="AR31" s="740" t="n"/>
      <c r="AS31" s="740" t="n"/>
    </row>
    <row r="32" outlineLevel="1" ht="15" customHeight="1" s="985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1045" t="n"/>
      <c r="AM32" s="205">
        <f>C32+F32+I32+L32+O32+R32+U32+X32+AA32+AD32+AG32+AJ32</f>
        <v/>
      </c>
      <c r="AN32" s="43" t="n"/>
      <c r="AO32" s="1046" t="n"/>
      <c r="AQ32" s="24" t="n"/>
      <c r="AR32" s="24" t="n"/>
      <c r="AS32" s="24" t="n"/>
    </row>
    <row r="33" hidden="1" outlineLevel="1" ht="15" customHeight="1" s="985">
      <c r="B33" s="105" t="n"/>
      <c r="C33" s="1062" t="n"/>
      <c r="D33" s="43" t="n"/>
      <c r="E33" s="1045" t="n"/>
      <c r="F33" s="1062" t="n"/>
      <c r="G33" s="43" t="n"/>
      <c r="H33" s="1045" t="n"/>
      <c r="I33" s="1062" t="n"/>
      <c r="J33" s="43" t="n"/>
      <c r="K33" s="1045" t="n"/>
      <c r="L33" s="1062" t="n"/>
      <c r="M33" s="43" t="n"/>
      <c r="N33" s="1045" t="n"/>
      <c r="O33" s="1062" t="n"/>
      <c r="P33" s="43" t="n"/>
      <c r="Q33" s="1045" t="n"/>
      <c r="R33" s="1062" t="n"/>
      <c r="S33" s="43" t="n"/>
      <c r="T33" s="1045" t="n"/>
      <c r="U33" s="1062" t="n"/>
      <c r="V33" s="43" t="n"/>
      <c r="W33" s="1045" t="n"/>
      <c r="X33" s="1062" t="n"/>
      <c r="Y33" s="43" t="n"/>
      <c r="Z33" s="1045" t="n"/>
      <c r="AA33" s="1062" t="n"/>
      <c r="AB33" s="43" t="n"/>
      <c r="AC33" s="1045" t="n"/>
      <c r="AD33" s="1062" t="n"/>
      <c r="AE33" s="43" t="n"/>
      <c r="AF33" s="1045" t="n"/>
      <c r="AG33" s="1062" t="n"/>
      <c r="AH33" s="43" t="n"/>
      <c r="AI33" s="1045" t="n"/>
      <c r="AJ33" s="1062" t="n"/>
      <c r="AK33" s="43" t="n"/>
      <c r="AL33" s="1045" t="n"/>
      <c r="AM33" s="205">
        <f>C33+F33+I33+L33+O33+R33+U33+X33+AA33+AD33+AG33+AJ33</f>
        <v/>
      </c>
      <c r="AN33" s="43" t="n"/>
      <c r="AO33" s="1046" t="n"/>
      <c r="AQ33" s="24" t="n"/>
      <c r="AR33" s="24" t="n"/>
      <c r="AS33" s="24" t="n"/>
    </row>
    <row r="34" hidden="1" outlineLevel="1" ht="15" customHeight="1" s="985" thickBot="1">
      <c r="B34" s="105" t="n"/>
      <c r="C34" s="1062" t="n"/>
      <c r="D34" s="43" t="n"/>
      <c r="E34" s="1045" t="n"/>
      <c r="F34" s="1062" t="n"/>
      <c r="G34" s="43" t="n"/>
      <c r="H34" s="1045" t="n"/>
      <c r="I34" s="1062" t="n"/>
      <c r="J34" s="43" t="n"/>
      <c r="K34" s="1045" t="n"/>
      <c r="L34" s="1062" t="n"/>
      <c r="M34" s="43" t="n"/>
      <c r="N34" s="1045" t="n"/>
      <c r="O34" s="1062" t="n"/>
      <c r="P34" s="43" t="n"/>
      <c r="Q34" s="1045" t="n"/>
      <c r="R34" s="1062" t="n"/>
      <c r="S34" s="43" t="n"/>
      <c r="T34" s="1045" t="n"/>
      <c r="U34" s="1062" t="n"/>
      <c r="V34" s="43" t="n"/>
      <c r="W34" s="1045" t="n"/>
      <c r="X34" s="1062" t="n"/>
      <c r="Y34" s="43" t="n"/>
      <c r="Z34" s="1045" t="n"/>
      <c r="AA34" s="1062" t="n"/>
      <c r="AB34" s="43" t="n"/>
      <c r="AC34" s="1045" t="n"/>
      <c r="AD34" s="1062" t="n"/>
      <c r="AE34" s="43" t="n"/>
      <c r="AF34" s="1045" t="n"/>
      <c r="AG34" s="1062" t="n"/>
      <c r="AH34" s="43" t="n"/>
      <c r="AI34" s="1045" t="n"/>
      <c r="AJ34" s="1062" t="n"/>
      <c r="AK34" s="43" t="n"/>
      <c r="AL34" s="1045" t="n"/>
      <c r="AM34" s="205">
        <f>C34+F34+I34+L34+O34+R34+U34+X34+AA34+AD34+AG34+AJ34</f>
        <v/>
      </c>
      <c r="AN34" s="43" t="n"/>
      <c r="AO34" s="1046" t="n"/>
      <c r="AQ34" s="24" t="n"/>
      <c r="AR34" s="24" t="n"/>
      <c r="AS34" s="24" t="n"/>
    </row>
    <row r="35" hidden="1" outlineLevel="1" ht="15" customHeight="1" s="985" thickBot="1">
      <c r="B35" s="335" t="n"/>
      <c r="C35" s="1062" t="n"/>
      <c r="D35" s="92" t="n"/>
      <c r="E35" s="1063" t="n"/>
      <c r="F35" s="1062" t="n"/>
      <c r="G35" s="92" t="n"/>
      <c r="H35" s="1063" t="n"/>
      <c r="I35" s="1062" t="n"/>
      <c r="J35" s="92" t="n"/>
      <c r="K35" s="1063" t="n"/>
      <c r="L35" s="1062" t="n"/>
      <c r="M35" s="92" t="n"/>
      <c r="N35" s="1063" t="n"/>
      <c r="O35" s="1062" t="n"/>
      <c r="P35" s="92" t="n"/>
      <c r="Q35" s="1063" t="n"/>
      <c r="R35" s="1062" t="n"/>
      <c r="S35" s="92" t="n"/>
      <c r="T35" s="1063" t="n"/>
      <c r="U35" s="1062" t="n"/>
      <c r="V35" s="92" t="n"/>
      <c r="W35" s="1063" t="n"/>
      <c r="X35" s="1062" t="n"/>
      <c r="Y35" s="92" t="n"/>
      <c r="Z35" s="1063" t="n"/>
      <c r="AA35" s="1062" t="n"/>
      <c r="AB35" s="92" t="n"/>
      <c r="AC35" s="1063" t="n"/>
      <c r="AD35" s="1062" t="n"/>
      <c r="AE35" s="92" t="n"/>
      <c r="AF35" s="1063" t="n"/>
      <c r="AG35" s="1062" t="n"/>
      <c r="AH35" s="92" t="n"/>
      <c r="AI35" s="1063" t="n"/>
      <c r="AJ35" s="1062" t="n"/>
      <c r="AK35" s="92" t="n"/>
      <c r="AL35" s="1063" t="n"/>
      <c r="AM35" s="284">
        <f>C35+F35+I35+L35+O35+R35+U35+X35+AA35+AD35+AG35+AJ35</f>
        <v/>
      </c>
      <c r="AN35" s="92" t="n"/>
      <c r="AO35" s="1064" t="n"/>
      <c r="AQ35" s="133" t="n"/>
      <c r="AR35" s="133" t="n"/>
      <c r="AS35" s="133" t="n"/>
    </row>
    <row r="36" hidden="1" outlineLevel="1" ht="15" customFormat="1" customHeight="1" s="108" thickBot="1">
      <c r="A36" s="226" t="n"/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98" t="n"/>
      <c r="AA36" s="25" t="n"/>
      <c r="AB36" s="43" t="n"/>
      <c r="AC36" s="1098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1045" t="n"/>
      <c r="AM36" s="25" t="n"/>
      <c r="AN36" s="43" t="n"/>
      <c r="AO36" s="1046" t="n"/>
      <c r="AP36" s="2" t="n"/>
      <c r="AQ36" s="24" t="n"/>
      <c r="AR36" s="24" t="n"/>
      <c r="AS36" s="24" t="n"/>
    </row>
    <row r="37" hidden="1" outlineLevel="1" ht="15" customHeight="1" s="985" thickBot="1">
      <c r="B37" s="105" t="n"/>
      <c r="C37" s="25" t="n"/>
      <c r="D37" s="43" t="n"/>
      <c r="E37" s="1045" t="n"/>
      <c r="F37" s="25" t="n"/>
      <c r="G37" s="43" t="n"/>
      <c r="H37" s="1045" t="n"/>
      <c r="I37" s="25" t="n"/>
      <c r="J37" s="43" t="n"/>
      <c r="K37" s="1045" t="n"/>
      <c r="L37" s="25" t="n"/>
      <c r="M37" s="43" t="n"/>
      <c r="N37" s="1045" t="n"/>
      <c r="O37" s="25" t="n"/>
      <c r="P37" s="43" t="n"/>
      <c r="Q37" s="1045" t="n"/>
      <c r="R37" s="25" t="n"/>
      <c r="S37" s="43" t="n"/>
      <c r="T37" s="1045" t="n"/>
      <c r="U37" s="25" t="n"/>
      <c r="V37" s="43" t="n"/>
      <c r="W37" s="1045" t="n"/>
      <c r="X37" s="25" t="n"/>
      <c r="Y37" s="43" t="n"/>
      <c r="Z37" s="1045" t="n"/>
      <c r="AA37" s="25" t="n"/>
      <c r="AB37" s="43" t="n"/>
      <c r="AC37" s="1045" t="n"/>
      <c r="AD37" s="25" t="n"/>
      <c r="AE37" s="43" t="n"/>
      <c r="AF37" s="1045" t="n"/>
      <c r="AG37" s="25" t="n"/>
      <c r="AH37" s="43" t="n"/>
      <c r="AI37" s="1045" t="n"/>
      <c r="AJ37" s="25" t="n"/>
      <c r="AK37" s="43" t="n"/>
      <c r="AL37" s="1045" t="n"/>
      <c r="AM37" s="205" t="n"/>
      <c r="AN37" s="43" t="n"/>
      <c r="AO37" s="1046" t="n"/>
      <c r="AQ37" s="23" t="n"/>
      <c r="AR37" s="23" t="n"/>
      <c r="AS37" s="23" t="n"/>
    </row>
    <row r="38" hidden="1" outlineLevel="1" ht="10.2" customHeight="1" s="985" thickBot="1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1057" t="n"/>
      <c r="AM38" s="97" t="n"/>
      <c r="AN38" s="42" t="n"/>
      <c r="AO38" s="1058" t="n"/>
      <c r="AQ38" s="23" t="n"/>
      <c r="AR38" s="23" t="n"/>
      <c r="AS38" s="23" t="n"/>
    </row>
    <row r="39" hidden="1" outlineLevel="1" ht="10.2" customHeight="1" s="985" thickBot="1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1057" t="n"/>
      <c r="AM39" s="97" t="n"/>
      <c r="AN39" s="42" t="n"/>
      <c r="AO39" s="1058" t="n"/>
      <c r="AQ39" s="23" t="n"/>
      <c r="AR39" s="23" t="n"/>
      <c r="AS39" s="23" t="n"/>
    </row>
    <row r="40" hidden="1" outlineLevel="1" ht="10.2" customHeight="1" s="985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1057" t="n"/>
      <c r="AM40" s="97" t="n"/>
      <c r="AN40" s="42" t="n"/>
      <c r="AO40" s="1058" t="n"/>
      <c r="AQ40" s="23" t="n"/>
      <c r="AR40" s="23" t="n"/>
      <c r="AS40" s="23" t="n"/>
    </row>
    <row r="41" hidden="1" outlineLevel="1" ht="10.2" customHeight="1" s="985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1057" t="n"/>
      <c r="AM41" s="97" t="n"/>
      <c r="AN41" s="42" t="n"/>
      <c r="AO41" s="1058" t="n"/>
      <c r="AQ41" s="23" t="n"/>
      <c r="AR41" s="23" t="n"/>
      <c r="AS41" s="23" t="n"/>
    </row>
    <row r="42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 t="n"/>
      <c r="AK42" s="489" t="n"/>
      <c r="AL42" s="1065" t="n"/>
      <c r="AM42" s="578">
        <f>C42+F42+I42+L42+O42+R42+U42+X42+AA42+AD42+AG42+AJ42</f>
        <v/>
      </c>
      <c r="AN42" s="489" t="n"/>
      <c r="AO42" s="1066" t="n"/>
      <c r="AQ42" s="626">
        <f>+AQ14+AQ23-AQ28</f>
        <v/>
      </c>
      <c r="AR42" s="626" t="n"/>
      <c r="AS42" s="626" t="n"/>
    </row>
    <row r="43" ht="15" customHeight="1" s="985" thickBot="1" thickTop="1">
      <c r="C43" s="1099" t="n"/>
      <c r="D43" s="1099" t="n"/>
      <c r="E43" s="1100" t="n"/>
      <c r="F43" s="1023" t="n"/>
      <c r="G43" s="700" t="n"/>
      <c r="H43" s="1101" t="n"/>
      <c r="I43" s="705" t="n"/>
      <c r="J43" s="705" t="n"/>
      <c r="K43" s="1101" t="n"/>
      <c r="L43" s="705" t="n"/>
      <c r="M43" s="705" t="n"/>
      <c r="N43" s="1101" t="n"/>
      <c r="O43" s="705" t="n"/>
      <c r="P43" s="705" t="n"/>
      <c r="Q43" s="1101" t="n"/>
      <c r="R43" s="705" t="n"/>
      <c r="S43" s="705" t="n"/>
      <c r="T43" s="1101" t="n"/>
      <c r="U43" s="705" t="n"/>
      <c r="V43" s="705" t="n"/>
      <c r="W43" s="1101" t="n"/>
      <c r="X43" s="705" t="n"/>
      <c r="Y43" s="705" t="n"/>
      <c r="Z43" s="1101" t="n"/>
      <c r="AA43" s="705" t="n"/>
      <c r="AB43" s="705" t="n"/>
      <c r="AC43" s="1101" t="n"/>
      <c r="AD43" s="705" t="n"/>
      <c r="AE43" s="705" t="n"/>
      <c r="AF43" s="1101" t="n"/>
      <c r="AG43" s="705" t="n"/>
      <c r="AH43" s="705" t="n"/>
      <c r="AI43" s="1101" t="n"/>
      <c r="AJ43" s="705" t="n"/>
      <c r="AK43" s="705" t="n"/>
      <c r="AL43" s="705" t="n"/>
      <c r="AM43" s="706" t="n"/>
      <c r="AN43" s="705" t="n"/>
      <c r="AO43" s="1101" t="n"/>
      <c r="AP43" s="700" t="n"/>
      <c r="AQ43" s="136" t="n"/>
      <c r="AR43" s="2" t="n"/>
      <c r="AS43" s="1102">
        <f>(AQ46+AQ61)/(AQ13)</f>
        <v/>
      </c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41">
        <f>+I45+I60+I78</f>
        <v/>
      </c>
      <c r="J44" s="442" t="n"/>
      <c r="K44" s="1103">
        <f>I44/I$13</f>
        <v/>
      </c>
      <c r="L44" s="441">
        <f>+L45+L60+L78</f>
        <v/>
      </c>
      <c r="M44" s="442" t="n"/>
      <c r="N44" s="1103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 t="n"/>
      <c r="AG44" s="491">
        <f>+AG45+AG60+AG78</f>
        <v/>
      </c>
      <c r="AH44" s="492" t="n"/>
      <c r="AI44" s="1069" t="n"/>
      <c r="AJ44" s="491">
        <f>+AJ45+AJ60+AJ78</f>
        <v/>
      </c>
      <c r="AK44" s="492" t="n"/>
      <c r="AL44" s="1070" t="n"/>
      <c r="AM44" s="583">
        <f>C44+F44+I44+L44+O44+R44+U44+X44+AA44+AD44+AG44+AJ44</f>
        <v/>
      </c>
      <c r="AN44" s="492" t="n"/>
      <c r="AO44" s="1070">
        <f>AM44/AM$13</f>
        <v/>
      </c>
      <c r="AQ44" s="627">
        <f>+AQ45+AQ60+AQ78</f>
        <v/>
      </c>
      <c r="AR44" s="627" t="n"/>
      <c r="AS44" s="1104">
        <f>AQ44/AQ$13</f>
        <v/>
      </c>
    </row>
    <row r="45" ht="15" customHeight="1" s="985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 t="n"/>
      <c r="I45" s="49">
        <f>+I46+I57</f>
        <v/>
      </c>
      <c r="J45" s="3" t="n"/>
      <c r="K45" s="1053" t="n"/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 t="n"/>
      <c r="U45" s="49">
        <f>+U46+U57</f>
        <v/>
      </c>
      <c r="V45" s="3" t="n"/>
      <c r="W45" s="1053" t="n"/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49">
        <f>+AD46+AD57</f>
        <v/>
      </c>
      <c r="AE45" s="3" t="n"/>
      <c r="AF45" s="1053" t="n"/>
      <c r="AG45" s="49">
        <f>+AG46+AG57</f>
        <v/>
      </c>
      <c r="AH45" s="3" t="n"/>
      <c r="AI45" s="1053" t="n"/>
      <c r="AJ45" s="49">
        <f>+AJ46+AJ57</f>
        <v/>
      </c>
      <c r="AK45" s="3" t="n"/>
      <c r="AL45" s="1053" t="n"/>
      <c r="AM45" s="16">
        <f>C45+F45+I45+L45+O45+R45+U45+X45+AA45+AD45+AG45+AJ45</f>
        <v/>
      </c>
      <c r="AN45" s="3" t="n"/>
      <c r="AO45" s="1054">
        <f>AM45/AM$13</f>
        <v/>
      </c>
      <c r="AQ45" s="17">
        <f>+AQ46+AQ57</f>
        <v/>
      </c>
      <c r="AR45" s="17" t="n"/>
      <c r="AS45" s="1105" t="n"/>
    </row>
    <row r="46" ht="15" customHeight="1" s="985">
      <c r="B46" s="36" t="inlineStr">
        <is>
          <t>INSUMOS CI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1071" t="n"/>
      <c r="AM46" s="211">
        <f>C46+F46+I46+L46+O46+R46+U46+X46+AA46+AD46+AG46+AJ46</f>
        <v/>
      </c>
      <c r="AN46" s="67" t="n"/>
      <c r="AO46" s="1072">
        <f>AM46/AM13</f>
        <v/>
      </c>
      <c r="AQ46" s="38">
        <f>SUM(AQ47:AQ56)</f>
        <v/>
      </c>
      <c r="AR46" s="38" t="n"/>
      <c r="AS46" s="1106" t="n"/>
    </row>
    <row r="47" ht="15" customHeight="1" s="985">
      <c r="B47" s="258" t="inlineStr">
        <is>
          <t>COMPLEMENTO INDUSTRIALIZADO (Ins)</t>
        </is>
      </c>
      <c r="C47" s="76" t="n"/>
      <c r="D47" s="42" t="n"/>
      <c r="E47" s="1057" t="n"/>
      <c r="F47" s="76" t="n"/>
      <c r="G47" s="42">
        <f>F47/F5</f>
        <v/>
      </c>
      <c r="H47" s="1057">
        <f>F47/F16</f>
        <v/>
      </c>
      <c r="I47" s="76" t="n"/>
      <c r="J47" s="42">
        <f>I47/I5</f>
        <v/>
      </c>
      <c r="K47" s="1057">
        <f>I47/I16</f>
        <v/>
      </c>
      <c r="L47" s="76" t="n"/>
      <c r="M47" s="42">
        <f>L47/L5</f>
        <v/>
      </c>
      <c r="N47" s="1057">
        <f>L47/L16</f>
        <v/>
      </c>
      <c r="O47" s="76" t="n"/>
      <c r="P47" s="42">
        <f>O47/O12</f>
        <v/>
      </c>
      <c r="Q47" s="1057">
        <f>O47/O15</f>
        <v/>
      </c>
      <c r="R47" s="76" t="n"/>
      <c r="S47" s="42">
        <f>R47/R5</f>
        <v/>
      </c>
      <c r="T47" s="1057">
        <f>R47/R16</f>
        <v/>
      </c>
      <c r="U47" s="76" t="n"/>
      <c r="V47" s="42">
        <f>U47/U12</f>
        <v/>
      </c>
      <c r="W47" s="1057">
        <f>U47/U15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AA47/AA12</f>
        <v/>
      </c>
      <c r="AC47" s="1057">
        <f>AA47/AA15</f>
        <v/>
      </c>
      <c r="AD47" s="76" t="n"/>
      <c r="AE47" s="42">
        <f>AD47/AD12</f>
        <v/>
      </c>
      <c r="AF47" s="1057">
        <f>AD47/AD15</f>
        <v/>
      </c>
      <c r="AG47" s="76" t="n"/>
      <c r="AH47" s="42">
        <f>AG47/AG5</f>
        <v/>
      </c>
      <c r="AI47" s="1057">
        <f>AG47/AG15</f>
        <v/>
      </c>
      <c r="AJ47" s="76" t="n"/>
      <c r="AK47" s="42" t="n"/>
      <c r="AL47" s="1057" t="n"/>
      <c r="AM47" s="97">
        <f>C47+F47+I47+L47+O47+R47+U47+X47+AA47+AD47+AG47+AJ47</f>
        <v/>
      </c>
      <c r="AN47" s="42">
        <f>AM47/AM5</f>
        <v/>
      </c>
      <c r="AO47" s="1057">
        <f>AM47/AM16</f>
        <v/>
      </c>
      <c r="AQ47" s="23" t="n"/>
      <c r="AR47" s="23">
        <f>AQ47/AQ5</f>
        <v/>
      </c>
      <c r="AS47" s="1107">
        <f>AQ47/AQ16</f>
        <v/>
      </c>
    </row>
    <row r="48" ht="15" customHeight="1" s="985">
      <c r="B48" s="258" t="n"/>
      <c r="C48" s="75" t="n"/>
      <c r="D48" s="43" t="n"/>
      <c r="E48" s="1045" t="n"/>
      <c r="F48" s="7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5" t="n"/>
      <c r="AQ48" s="24" t="n"/>
      <c r="AR48" s="24" t="n"/>
      <c r="AS48" s="1108" t="n"/>
    </row>
    <row r="49" ht="15" customHeight="1" s="985">
      <c r="B49" s="258" t="n"/>
      <c r="C49" s="75" t="n"/>
      <c r="D49" s="43" t="n"/>
      <c r="E49" s="1045" t="n"/>
      <c r="F49" s="7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1045" t="n"/>
      <c r="AM49" s="205">
        <f>C49+F49+I49+L49+O49+R49+U49+X49+AA49+AD49+AG49+AJ49</f>
        <v/>
      </c>
      <c r="AN49" s="43" t="n"/>
      <c r="AO49" s="1046" t="n"/>
      <c r="AQ49" s="24" t="n"/>
      <c r="AR49" s="24" t="n"/>
      <c r="AS49" s="1108" t="n"/>
    </row>
    <row r="50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1045" t="n"/>
      <c r="AM50" s="205">
        <f>C50+F50+I50+L50+O50+R50+U50+X50+AA50+AD50+AG50+AJ50</f>
        <v/>
      </c>
      <c r="AN50" s="43" t="n"/>
      <c r="AO50" s="1046" t="n"/>
      <c r="AQ50" s="24" t="n"/>
      <c r="AR50" s="24" t="n"/>
      <c r="AS50" s="1108" t="n"/>
    </row>
    <row r="51" hidden="1" ht="14.4" customHeight="1" s="985">
      <c r="B51" s="258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351" t="n"/>
      <c r="AE51" s="43" t="n"/>
      <c r="AF51" s="1045" t="n"/>
      <c r="AG51" s="1109" t="n"/>
      <c r="AH51" s="43" t="n"/>
      <c r="AI51" s="1045" t="n"/>
      <c r="AJ51" s="25" t="n"/>
      <c r="AK51" s="43" t="n"/>
      <c r="AL51" s="1045" t="n"/>
      <c r="AM51" s="205">
        <f>C51+F51+I51+L51+O51+R51+U51+X51+AA51+AD51+AG51+AJ51</f>
        <v/>
      </c>
      <c r="AN51" s="43" t="n"/>
      <c r="AO51" s="1046" t="n"/>
      <c r="AQ51" s="24" t="n"/>
      <c r="AR51" s="24" t="n"/>
      <c r="AS51" s="1108" t="n"/>
    </row>
    <row r="52" hidden="1" ht="10.2" customHeight="1" s="985">
      <c r="B52" s="411" t="inlineStr">
        <is>
          <t>REFRIGERIOS</t>
        </is>
      </c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1045" t="n"/>
      <c r="AM52" s="205">
        <f>C52+F52+I52+L52+O52+R52+U52+X52+AA52+AD52+AG52+AJ52</f>
        <v/>
      </c>
      <c r="AN52" s="43" t="n"/>
      <c r="AO52" s="1046" t="n"/>
      <c r="AQ52" s="24" t="n"/>
      <c r="AR52" s="24" t="n"/>
      <c r="AS52" s="1108" t="n"/>
    </row>
    <row r="53" hidden="1" ht="10.2" customHeight="1" s="985">
      <c r="B53" s="25" t="inlineStr">
        <is>
          <t>PAQUETES MANIPULADORAS</t>
        </is>
      </c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1045" t="n"/>
      <c r="AM53" s="205">
        <f>C53+F53+I53+L53+O53+R53+U53+X53+AA53+AD53+AG53+AJ53</f>
        <v/>
      </c>
      <c r="AN53" s="43" t="n"/>
      <c r="AO53" s="1046" t="n"/>
      <c r="AQ53" s="24" t="n"/>
      <c r="AR53" s="24" t="n"/>
      <c r="AS53" s="1108" t="n"/>
    </row>
    <row r="54" hidden="1" ht="10.2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1045" t="n"/>
      <c r="AM54" s="205" t="n"/>
      <c r="AN54" s="43" t="n"/>
      <c r="AO54" s="1046" t="n"/>
      <c r="AQ54" s="24" t="n"/>
      <c r="AR54" s="24" t="n"/>
      <c r="AS54" s="1108" t="n"/>
    </row>
    <row r="55" hidden="1" ht="10.2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1045" t="n"/>
      <c r="AM55" s="205" t="n"/>
      <c r="AN55" s="43" t="n"/>
      <c r="AO55" s="1046" t="n"/>
      <c r="AQ55" s="24" t="n"/>
      <c r="AR55" s="24" t="n"/>
      <c r="AS55" s="1108" t="n"/>
    </row>
    <row r="56" hidden="1" ht="10.2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1057" t="n"/>
      <c r="AM56" s="97">
        <f>C56+F56+I56+L56+O56+R56+U56+X56+AA56+AD56+AG56+AJ56</f>
        <v/>
      </c>
      <c r="AN56" s="42" t="n"/>
      <c r="AO56" s="1058" t="n"/>
      <c r="AQ56" s="23" t="n"/>
      <c r="AR56" s="23" t="n"/>
      <c r="AS56" s="1107" t="n"/>
    </row>
    <row r="57" hidden="1" ht="10.2" customHeight="1" s="985">
      <c r="B57" s="36" t="inlineStr">
        <is>
          <t>FLETES CI</t>
        </is>
      </c>
      <c r="C57" s="37" t="n"/>
      <c r="D57" s="67" t="n"/>
      <c r="E57" s="1071" t="n"/>
      <c r="F57" s="46">
        <f>SUM(F58:F59)</f>
        <v/>
      </c>
      <c r="G57" s="47" t="n"/>
      <c r="H57" s="1049" t="n"/>
      <c r="I57" s="46">
        <f>SUM(I58:I59)</f>
        <v/>
      </c>
      <c r="J57" s="47">
        <f>I57/I12</f>
        <v/>
      </c>
      <c r="K57" s="1049">
        <f>I57/I16</f>
        <v/>
      </c>
      <c r="L57" s="46">
        <f>SUM(L58:L59)</f>
        <v/>
      </c>
      <c r="M57" s="47">
        <f>L57/L5</f>
        <v/>
      </c>
      <c r="N57" s="1049">
        <f>L57/L16</f>
        <v/>
      </c>
      <c r="O57" s="46">
        <f>SUM(O58:O59)</f>
        <v/>
      </c>
      <c r="P57" s="47">
        <f>O57/O5</f>
        <v/>
      </c>
      <c r="Q57" s="1049">
        <f>O57/O16</f>
        <v/>
      </c>
      <c r="R57" s="46">
        <f>SUM(R58:R59)</f>
        <v/>
      </c>
      <c r="S57" s="47">
        <f>R57/R5</f>
        <v/>
      </c>
      <c r="T57" s="1049">
        <f>R57/R16</f>
        <v/>
      </c>
      <c r="U57" s="46">
        <f>SUM(U58:U59)</f>
        <v/>
      </c>
      <c r="V57" s="47">
        <f>U57/U5</f>
        <v/>
      </c>
      <c r="W57" s="1049">
        <f>U57/U16</f>
        <v/>
      </c>
      <c r="X57" s="46">
        <f>SUM(X58:X59)</f>
        <v/>
      </c>
      <c r="Y57" s="47">
        <f>X57/X5</f>
        <v/>
      </c>
      <c r="Z57" s="1049">
        <f>X57/X16</f>
        <v/>
      </c>
      <c r="AA57" s="46">
        <f>SUM(AA58:AA59)</f>
        <v/>
      </c>
      <c r="AB57" s="47">
        <f>AA57/AA5</f>
        <v/>
      </c>
      <c r="AC57" s="1049">
        <f>AA57/AA16</f>
        <v/>
      </c>
      <c r="AD57" s="46">
        <f>SUM(AD58:AD59)</f>
        <v/>
      </c>
      <c r="AE57" s="47">
        <f>AD57/AD5</f>
        <v/>
      </c>
      <c r="AF57" s="1049">
        <f>AD57/AD16</f>
        <v/>
      </c>
      <c r="AG57" s="46">
        <f>SUM(AG58:AG59)</f>
        <v/>
      </c>
      <c r="AH57" s="47">
        <f>AG57/AG5</f>
        <v/>
      </c>
      <c r="AI57" s="1049">
        <f>AG57/AG16</f>
        <v/>
      </c>
      <c r="AJ57" s="46">
        <f>SUM(AJ58:AJ59)</f>
        <v/>
      </c>
      <c r="AK57" s="47" t="n"/>
      <c r="AL57" s="1049" t="n"/>
      <c r="AM57" s="207">
        <f>C57+F57+I57+L57+O57+R57+U57+X57+AA57+AD57+AG57+AJ57</f>
        <v/>
      </c>
      <c r="AN57" s="47">
        <f>AM57/AM12</f>
        <v/>
      </c>
      <c r="AO57" s="1049">
        <f>AM57/AM16</f>
        <v/>
      </c>
      <c r="AQ57" s="29" t="n"/>
      <c r="AR57" s="29" t="n"/>
      <c r="AS57" s="1110" t="n"/>
    </row>
    <row r="58" hidden="1" ht="10.2" customHeight="1" s="985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>
        <f>'%DIST'!N22*'GASTOS VEHICULOS'!I25</f>
        <v/>
      </c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>
        <f>'%DIST'!X22*'GASTOS VEHICULOS'!N27</f>
        <v/>
      </c>
      <c r="AK58" s="305" t="n"/>
      <c r="AL58" s="1111" t="n"/>
      <c r="AM58" s="414">
        <f>C58+F58+I58+L58+O58+R58+U58+X58+AA58+AD58+AG58+AJ58</f>
        <v/>
      </c>
      <c r="AN58" s="305" t="n"/>
      <c r="AO58" s="1112">
        <f>AM58/AM$13</f>
        <v/>
      </c>
      <c r="AQ58" s="298" t="n"/>
      <c r="AR58" s="298" t="n"/>
      <c r="AS58" s="1113" t="n"/>
    </row>
    <row r="59" hidden="1" ht="10.2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1047" t="n"/>
      <c r="AM59" s="206">
        <f>C59+F59+I59+L59+O59+R59+U59+X59+AA59+AD59+AG59+AJ59</f>
        <v/>
      </c>
      <c r="AN59" s="84">
        <f>AM59/AM12</f>
        <v/>
      </c>
      <c r="AO59" s="1114">
        <f>AM59/(AM13)</f>
        <v/>
      </c>
      <c r="AP59" s="2" t="n"/>
      <c r="AQ59" s="349" t="n"/>
      <c r="AR59" s="349" t="n"/>
      <c r="AS59" s="1115" t="n"/>
    </row>
    <row r="60" ht="15" customHeight="1" s="985">
      <c r="B60" s="16" t="inlineStr">
        <is>
          <t>COSTOS PREPARADOS</t>
        </is>
      </c>
      <c r="C60" s="49">
        <f>+C61+C73+C74+C75+C76+C77</f>
        <v/>
      </c>
      <c r="D60" s="3" t="n"/>
      <c r="E60" s="1049" t="n"/>
      <c r="F60" s="49">
        <f>+F61+F72+F75+F76+F77</f>
        <v/>
      </c>
      <c r="G60" s="3" t="n"/>
      <c r="H60" s="1049" t="n"/>
      <c r="I60" s="49">
        <f>+I61+I72+I75+I76+I77</f>
        <v/>
      </c>
      <c r="J60" s="3" t="n"/>
      <c r="K60" s="1049" t="n"/>
      <c r="L60" s="49">
        <f>+L61+L72+L75+L76+L77</f>
        <v/>
      </c>
      <c r="M60" s="3" t="n"/>
      <c r="N60" s="1049" t="n"/>
      <c r="O60" s="49">
        <f>+O61+O72+O75+O76+O77</f>
        <v/>
      </c>
      <c r="P60" s="3" t="n"/>
      <c r="Q60" s="1049" t="n"/>
      <c r="R60" s="49">
        <f>+R61+R72+R75+R76+R77</f>
        <v/>
      </c>
      <c r="S60" s="3" t="n"/>
      <c r="T60" s="1049" t="n"/>
      <c r="U60" s="49">
        <f>+U61+U72+U75+U76+U77</f>
        <v/>
      </c>
      <c r="V60" s="3" t="n"/>
      <c r="W60" s="1049" t="n"/>
      <c r="X60" s="49">
        <f>+X61+X72+X75+X76+X77</f>
        <v/>
      </c>
      <c r="Y60" s="3" t="n"/>
      <c r="Z60" s="1049" t="n"/>
      <c r="AA60" s="49">
        <f>+AA61+AA72+AA75+AA76+AA77</f>
        <v/>
      </c>
      <c r="AB60" s="3" t="n"/>
      <c r="AC60" s="1049" t="n"/>
      <c r="AD60" s="49">
        <f>+AD61+AD72+AD75+AD76+AD77</f>
        <v/>
      </c>
      <c r="AE60" s="3" t="n"/>
      <c r="AF60" s="1049" t="n"/>
      <c r="AG60" s="49">
        <f>+AG61+AG72+AG75+AG76+AG77</f>
        <v/>
      </c>
      <c r="AH60" s="3" t="n"/>
      <c r="AI60" s="1049" t="n"/>
      <c r="AJ60" s="49">
        <f>+AJ61+AJ72+AJ75+AJ76+AJ77</f>
        <v/>
      </c>
      <c r="AK60" s="3" t="n"/>
      <c r="AL60" s="1053" t="n"/>
      <c r="AM60" s="16">
        <f>C60+F60+I60+L60+O60+R60+U60+X60+AA60+AD60+AG60+AJ60</f>
        <v/>
      </c>
      <c r="AN60" s="3" t="n"/>
      <c r="AO60" s="1049">
        <f>AM60/AM$13</f>
        <v/>
      </c>
      <c r="AQ60" s="17">
        <f>+AQ61+AQ72+AQ75+AQ76+AQ77</f>
        <v/>
      </c>
      <c r="AR60" s="17" t="n"/>
      <c r="AS60" s="1105" t="n"/>
    </row>
    <row r="61" hidden="1" ht="15" customHeight="1" s="985">
      <c r="B61" s="36" t="inlineStr">
        <is>
          <t>INSUMOS CP</t>
        </is>
      </c>
      <c r="C61" s="37">
        <f>SUM(C62:C66)+C72</f>
        <v/>
      </c>
      <c r="D61" s="67" t="n"/>
      <c r="E61" s="1071" t="n"/>
      <c r="F61" s="46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 t="n"/>
      <c r="Q61" s="1071" t="n"/>
      <c r="R61" s="37">
        <f>SUM(R62:R71)</f>
        <v/>
      </c>
      <c r="S61" s="67" t="n"/>
      <c r="T61" s="1071" t="n"/>
      <c r="U61" s="37">
        <f>SUM(U62:U71)</f>
        <v/>
      </c>
      <c r="V61" s="67" t="n"/>
      <c r="W61" s="1071" t="n"/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1071" t="n"/>
      <c r="AM61" s="211">
        <f>C61+F61+I61+L61+O61+R61+U61+X61+AA61+AD61+AG61+AJ61</f>
        <v/>
      </c>
      <c r="AN61" s="67" t="n"/>
      <c r="AO61" s="1072" t="n"/>
      <c r="AQ61" s="38">
        <f>SUM(AQ62:AQ71)</f>
        <v/>
      </c>
      <c r="AR61" s="38" t="n"/>
      <c r="AS61" s="1106" t="n"/>
    </row>
    <row r="62" hidden="1" ht="15" customHeight="1" s="985">
      <c r="B62" s="258" t="inlineStr">
        <is>
          <t>COMPLEMENTO PREPARADO (Ins)</t>
        </is>
      </c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1055" t="n"/>
      <c r="AM62" s="212">
        <f>C62+F62+I62+L62+O62+R62+U62+X62+AA62+AD62+AG62+AJ62</f>
        <v/>
      </c>
      <c r="AN62" s="79" t="n"/>
      <c r="AO62" s="1055" t="n"/>
      <c r="AQ62" s="81" t="n"/>
      <c r="AR62" s="81">
        <f>AQ62/AQ6</f>
        <v/>
      </c>
      <c r="AS62" s="1116">
        <f>AQ62/AQ17</f>
        <v/>
      </c>
    </row>
    <row r="63" hidden="1" ht="15" customHeight="1" s="985">
      <c r="B63" s="258" t="inlineStr">
        <is>
          <t>ALMUERZO JORNADA UNICA (Ins)</t>
        </is>
      </c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1045" t="n"/>
      <c r="AM63" s="205">
        <f>C63+F63+I63+L63+O63+R63+U63+X63+AA63+AD63+AG63+AJ63</f>
        <v/>
      </c>
      <c r="AN63" s="43" t="n"/>
      <c r="AO63" s="1045" t="n"/>
      <c r="AQ63" s="24" t="n"/>
      <c r="AR63" s="24">
        <f>AQ63/AQ7</f>
        <v/>
      </c>
      <c r="AS63" s="1108">
        <f>AQ63/AQ18</f>
        <v/>
      </c>
    </row>
    <row r="64" hidden="1" ht="15" customHeight="1" s="985">
      <c r="B64" s="25" t="n"/>
      <c r="C64" s="82" t="n"/>
      <c r="D64" s="43" t="n"/>
      <c r="E64" s="1045" t="n"/>
      <c r="F64" s="82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1045" t="n"/>
      <c r="AM64" s="205">
        <f>C64+F64+I64+L64+O64+R64+U64+X64+AA64+AD64+AG64+AJ64</f>
        <v/>
      </c>
      <c r="AN64" s="43" t="n"/>
      <c r="AO64" s="1046" t="n"/>
      <c r="AQ64" s="24" t="n"/>
      <c r="AR64" s="24">
        <f>AQ64/AQ8</f>
        <v/>
      </c>
      <c r="AS64" s="1108">
        <f>AQ64/AQ19</f>
        <v/>
      </c>
    </row>
    <row r="65" hidden="1" ht="15" customHeight="1" s="985">
      <c r="B65" s="258" t="inlineStr">
        <is>
          <t>RACION MANIPULADORAS</t>
        </is>
      </c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1045" t="n"/>
      <c r="AM65" s="205">
        <f>C65+F65+I65+L65+O65+R65+U65+X65+AA65+AD65+AG65+AJ65</f>
        <v/>
      </c>
      <c r="AN65" s="43" t="n"/>
      <c r="AO65" s="1046" t="n"/>
      <c r="AQ65" s="24" t="n"/>
      <c r="AR65" s="24" t="n"/>
      <c r="AS65" s="1108" t="n"/>
    </row>
    <row r="66" hidden="1" ht="15" customHeight="1" s="985">
      <c r="B66" s="411" t="inlineStr">
        <is>
          <t>MENU ESPECIAL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1045" t="n"/>
      <c r="AM66" s="205">
        <f>C66+F66+I66+L66+O66+R66+U66+X66+AA66+AD66+AG66+AJ66</f>
        <v/>
      </c>
      <c r="AN66" s="43" t="n"/>
      <c r="AO66" s="1046" t="n"/>
      <c r="AQ66" s="24" t="n"/>
      <c r="AR66" s="24" t="n"/>
      <c r="AS66" s="1108" t="n"/>
    </row>
    <row r="67" hidden="1" ht="10.2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1045" t="n"/>
      <c r="AM67" s="205" t="n"/>
      <c r="AN67" s="43" t="n"/>
      <c r="AO67" s="1046" t="n"/>
      <c r="AQ67" s="24" t="n"/>
      <c r="AR67" s="24" t="n"/>
      <c r="AS67" s="1108" t="n"/>
    </row>
    <row r="68" hidden="1" ht="10.2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1045" t="n"/>
      <c r="AM68" s="205" t="n"/>
      <c r="AN68" s="43" t="n"/>
      <c r="AO68" s="1046" t="n"/>
      <c r="AQ68" s="24" t="n"/>
      <c r="AR68" s="24" t="n"/>
      <c r="AS68" s="1108" t="n"/>
    </row>
    <row r="69" hidden="1" ht="10.2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1045" t="n"/>
      <c r="AM69" s="205" t="n"/>
      <c r="AN69" s="43" t="n"/>
      <c r="AO69" s="1046" t="n"/>
      <c r="AQ69" s="24" t="n"/>
      <c r="AR69" s="24" t="n"/>
      <c r="AS69" s="1108" t="n"/>
    </row>
    <row r="70" hidden="1" ht="10.2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1045" t="n"/>
      <c r="AM70" s="205" t="n"/>
      <c r="AN70" s="43" t="n"/>
      <c r="AO70" s="1046" t="n"/>
      <c r="AQ70" s="24" t="n"/>
      <c r="AR70" s="24" t="n"/>
      <c r="AS70" s="1108" t="n"/>
    </row>
    <row r="71" hidden="1" ht="10.2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1047" t="n"/>
      <c r="AM71" s="206" t="n"/>
      <c r="AN71" s="84" t="n"/>
      <c r="AO71" s="1048" t="n"/>
      <c r="AQ71" s="349" t="n"/>
      <c r="AR71" s="349" t="n"/>
      <c r="AS71" s="1115" t="n"/>
    </row>
    <row r="72" ht="15" customHeight="1" s="985">
      <c r="B72" s="36" t="inlineStr">
        <is>
          <t>FLETES CP</t>
        </is>
      </c>
      <c r="C72" s="46" t="n"/>
      <c r="D72" s="47" t="n"/>
      <c r="E72" s="1049" t="n"/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67" t="n"/>
      <c r="AL72" s="1071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  <c r="AQ72" s="29">
        <f>SUM(AQ73:AQ74)</f>
        <v/>
      </c>
      <c r="AR72" s="29">
        <f>AQ72/(AQ$12-AQ$8)</f>
        <v/>
      </c>
      <c r="AS72" s="1110">
        <f>AQ72/(AQ$13-AQ$19)</f>
        <v/>
      </c>
    </row>
    <row r="73" ht="15" customHeight="1" s="985">
      <c r="B73" s="412" t="inlineStr">
        <is>
          <t>PREPARADOS PROPIOS</t>
        </is>
      </c>
      <c r="C73" s="78" t="n"/>
      <c r="D73" s="79" t="n"/>
      <c r="E73" s="1055" t="n"/>
      <c r="F73" s="304" t="n"/>
      <c r="G73" s="305" t="n"/>
      <c r="H73" s="1111" t="n"/>
      <c r="I73" s="304" t="n"/>
      <c r="J73" s="305" t="n"/>
      <c r="K73" s="1111" t="n"/>
      <c r="L73" s="304" t="n"/>
      <c r="M73" s="305" t="n"/>
      <c r="N73" s="1111" t="n"/>
      <c r="O73" s="78" t="n"/>
      <c r="P73" s="305" t="n"/>
      <c r="Q73" s="1111" t="n"/>
      <c r="R73" s="304" t="n"/>
      <c r="S73" s="305" t="n"/>
      <c r="T73" s="1111" t="n"/>
      <c r="U73" s="304" t="n"/>
      <c r="V73" s="305" t="n"/>
      <c r="W73" s="1111" t="n"/>
      <c r="X73" s="78" t="n"/>
      <c r="Y73" s="305" t="n"/>
      <c r="Z73" s="1111" t="n"/>
      <c r="AA73" s="304" t="n"/>
      <c r="AB73" s="305" t="n"/>
      <c r="AC73" s="1111" t="n"/>
      <c r="AD73" s="304" t="n"/>
      <c r="AE73" s="305" t="n"/>
      <c r="AF73" s="1111" t="n"/>
      <c r="AG73" s="304" t="n"/>
      <c r="AH73" s="305" t="n"/>
      <c r="AI73" s="1111" t="n"/>
      <c r="AJ73" s="304" t="n"/>
      <c r="AK73" s="305" t="n"/>
      <c r="AL73" s="1111" t="n"/>
      <c r="AM73" s="414">
        <f>C73+F73+I73+L73+O73+R73+U73+X73+AA73+AD73+AG73+AJ73</f>
        <v/>
      </c>
      <c r="AN73" s="305" t="n"/>
      <c r="AO73" s="1117" t="n"/>
      <c r="AQ73" s="298" t="n"/>
      <c r="AR73" s="298" t="n"/>
      <c r="AS73" s="1113" t="n"/>
    </row>
    <row r="74" ht="15" customHeight="1" s="985">
      <c r="B74" s="416" t="inlineStr">
        <is>
          <t>PREPARADOS TERCEROS</t>
        </is>
      </c>
      <c r="C74" s="273" t="n"/>
      <c r="D74" s="134" t="n"/>
      <c r="E74" s="1118" t="n"/>
      <c r="F74" s="83" t="n"/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27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27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1047" t="n"/>
      <c r="AM74" s="206">
        <f>C74+F74+I74+L74+O74+R74+U74+X74+AA74+AD74+AG74+AJ74</f>
        <v/>
      </c>
      <c r="AN74" s="84" t="n"/>
      <c r="AO74" s="1047" t="n"/>
      <c r="AQ74" s="349" t="n"/>
      <c r="AR74" s="349" t="n"/>
      <c r="AS74" s="1115" t="n"/>
    </row>
    <row r="75" ht="15" customHeight="1" s="985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1071" t="n"/>
      <c r="AM75" s="211">
        <f>C75+F75+I75+L75+O75+R75+U75+X75+AA75+AD75+AG75+AJ75</f>
        <v/>
      </c>
      <c r="AN75" s="67" t="n"/>
      <c r="AO75" s="1072" t="n"/>
      <c r="AQ75" s="38" t="n"/>
      <c r="AR75" s="38" t="n"/>
      <c r="AS75" s="1106" t="n"/>
    </row>
    <row r="76" ht="15" customHeight="1" s="985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1071" t="n"/>
      <c r="AM76" s="211">
        <f>C76+F76+I76+L76+O76+R76+U76+X76+AA76+AD76+AG76+AJ76</f>
        <v/>
      </c>
      <c r="AN76" s="67" t="n"/>
      <c r="AO76" s="1075" t="n"/>
      <c r="AQ76" s="38" t="n"/>
      <c r="AR76" s="38">
        <f>AQ76/(AQ$12-AQ$8)</f>
        <v/>
      </c>
      <c r="AS76" s="1106">
        <f>AQ76/(AQ$13-AQ$19)</f>
        <v/>
      </c>
    </row>
    <row r="77" ht="15" customHeight="1" s="985">
      <c r="B77" s="66" t="inlineStr">
        <is>
          <t>Servicio de Gas</t>
        </is>
      </c>
      <c r="C77" s="28" t="n"/>
      <c r="D77" s="45" t="n"/>
      <c r="E77" s="1071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37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1071" t="n"/>
      <c r="AM77" s="26">
        <f>C77+F77+I77+L77+O77+R77+U77+X77+AA77+AD77+AG77+AJ77</f>
        <v/>
      </c>
      <c r="AN77" s="42" t="n"/>
      <c r="AO77" s="1075" t="n"/>
      <c r="AQ77" s="27" t="n"/>
      <c r="AR77" s="27">
        <f>AQ77/(AQ$12-AQ$8)</f>
        <v/>
      </c>
      <c r="AS77" s="1119">
        <f>AQ77/(AQ$13-AQ$19)</f>
        <v/>
      </c>
    </row>
    <row r="78" ht="15" customHeight="1" s="985">
      <c r="B78" s="17" t="inlineStr">
        <is>
          <t>MANO DE OBRA DIRECTA</t>
        </is>
      </c>
      <c r="C78" s="49">
        <f>SUM(C79:C81)</f>
        <v/>
      </c>
      <c r="D78" s="3" t="n"/>
      <c r="E78" s="1053" t="n"/>
      <c r="F78" s="93">
        <f>SUM(F79:F81)</f>
        <v/>
      </c>
      <c r="G78" s="3" t="n"/>
      <c r="H78" s="1053">
        <f>F78/F$13</f>
        <v/>
      </c>
      <c r="I78" s="93">
        <f>SUM(I79:I81)</f>
        <v/>
      </c>
      <c r="J78" s="3" t="n"/>
      <c r="K78" s="1053">
        <f>I78/I$13</f>
        <v/>
      </c>
      <c r="L78" s="49">
        <f>SUM(L79:L81)</f>
        <v/>
      </c>
      <c r="M78" s="3" t="n"/>
      <c r="N78" s="1053">
        <f>L78/L$13</f>
        <v/>
      </c>
      <c r="O78" s="49">
        <f>SUM(O79:O81)</f>
        <v/>
      </c>
      <c r="P78" s="3" t="n"/>
      <c r="Q78" s="1053">
        <f>O78/O$13</f>
        <v/>
      </c>
      <c r="R78" s="49">
        <f>SUM(R79:R81)</f>
        <v/>
      </c>
      <c r="S78" s="3" t="n"/>
      <c r="T78" s="1053">
        <f>R78/R$13</f>
        <v/>
      </c>
      <c r="U78" s="49">
        <f>SUM(U79:U81)</f>
        <v/>
      </c>
      <c r="V78" s="3" t="n"/>
      <c r="W78" s="1053" t="n"/>
      <c r="X78" s="49">
        <f>SUM(X79:X81)</f>
        <v/>
      </c>
      <c r="Y78" s="3" t="n"/>
      <c r="Z78" s="1053">
        <f>X78/X$13</f>
        <v/>
      </c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 t="n"/>
      <c r="AG78" s="49">
        <f>SUM(AG79:AG81)</f>
        <v/>
      </c>
      <c r="AH78" s="3" t="n"/>
      <c r="AI78" s="1053" t="n"/>
      <c r="AJ78" s="49" t="n"/>
      <c r="AK78" s="3" t="n"/>
      <c r="AL78" s="1053" t="n"/>
      <c r="AM78" s="16">
        <f>C78+F78+I78+L78+O78+R78+U78+X78+AA78+AD78+AG78+AJ78</f>
        <v/>
      </c>
      <c r="AN78" s="3" t="n"/>
      <c r="AO78" s="1076">
        <f>AM78/(AM$13)</f>
        <v/>
      </c>
      <c r="AQ78" s="17">
        <f>SUM(AQ79:AQ81)</f>
        <v/>
      </c>
      <c r="AR78" s="17">
        <f>AQ78/(AQ$12-AQ$8)</f>
        <v/>
      </c>
      <c r="AS78" s="1105">
        <f>AQ78/(AQ$13-AQ$19)</f>
        <v/>
      </c>
    </row>
    <row r="79" ht="15" customHeight="1" s="985">
      <c r="B79" s="474" t="inlineStr">
        <is>
          <t>Manipuladoras</t>
        </is>
      </c>
      <c r="C79" s="39" t="n"/>
      <c r="D79" s="267" t="n"/>
      <c r="E79" s="139" t="n"/>
      <c r="F79" s="39" t="n"/>
      <c r="G79" s="267" t="n"/>
      <c r="H79" s="139" t="n"/>
      <c r="I79" s="39" t="n"/>
      <c r="J79" s="267" t="n"/>
      <c r="K79" s="139" t="n"/>
      <c r="L79" s="39" t="n"/>
      <c r="M79" s="267" t="n"/>
      <c r="N79" s="139" t="n"/>
      <c r="O79" s="39" t="n"/>
      <c r="P79" s="267" t="n"/>
      <c r="Q79" s="139" t="n"/>
      <c r="R79" s="39" t="n"/>
      <c r="S79" s="267" t="n"/>
      <c r="T79" s="139" t="n"/>
      <c r="U79" s="39" t="n"/>
      <c r="V79" s="267" t="n"/>
      <c r="W79" s="139" t="n"/>
      <c r="X79" s="39" t="n"/>
      <c r="Y79" s="267" t="n"/>
      <c r="Z79" s="139" t="n"/>
      <c r="AA79" s="39" t="n"/>
      <c r="AB79" s="267" t="n"/>
      <c r="AC79" s="139" t="n"/>
      <c r="AD79" s="39" t="n"/>
      <c r="AE79" s="267" t="n"/>
      <c r="AF79" s="139" t="n"/>
      <c r="AG79" s="39" t="n"/>
      <c r="AH79" s="267" t="n"/>
      <c r="AI79" s="139" t="n"/>
      <c r="AJ79" s="7" t="n"/>
      <c r="AK79" s="69" t="n"/>
      <c r="AL79" s="1077" t="n"/>
      <c r="AM79" s="268">
        <f>C79+F79+I79+L79+O79+R79+U79+X79+AA79+AD79+AG79+AJ79</f>
        <v/>
      </c>
      <c r="AN79" s="4" t="n"/>
      <c r="AO79" s="1078">
        <f>AM79/(AM$13)</f>
        <v/>
      </c>
      <c r="AP79" s="698" t="n"/>
      <c r="AQ79" s="621" t="n"/>
      <c r="AR79" s="621">
        <f>AQ79/(AQ$12-AQ$8)</f>
        <v/>
      </c>
      <c r="AS79" s="1120">
        <f>AQ79/(AQ$13-AQ$19)</f>
        <v/>
      </c>
    </row>
    <row r="80" ht="15" customHeight="1" s="985">
      <c r="B80" s="475" t="inlineStr">
        <is>
          <t>Personal Supervisor - Coordinadores</t>
        </is>
      </c>
      <c r="C80" s="25" t="n"/>
      <c r="D80" s="43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1045" t="n"/>
      <c r="AM80" s="205">
        <f>C80+F80+I80+L80+O80+R80+U80+X80+AA80+AD80+AG80+AJ80</f>
        <v/>
      </c>
      <c r="AN80" s="43" t="n"/>
      <c r="AO80" s="1046" t="n"/>
      <c r="AQ80" s="24" t="n"/>
      <c r="AR80" s="24">
        <f>AQ80/(AQ$12-AQ$8)</f>
        <v/>
      </c>
      <c r="AS80" s="1108">
        <f>AQ80/(AQ$13-AQ$19)</f>
        <v/>
      </c>
    </row>
    <row r="81" ht="15" customHeight="1" s="985" thickBot="1">
      <c r="B81" s="300" t="inlineStr">
        <is>
          <t>Temporales MOD</t>
        </is>
      </c>
      <c r="C81" s="269" t="n"/>
      <c r="D81" s="214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1079" t="n"/>
      <c r="AM81" s="213">
        <f>C81+F81+I81+L81+O81+R81+U81+X81+AA81+AD81+AG81+AJ81</f>
        <v/>
      </c>
      <c r="AN81" s="214" t="n"/>
      <c r="AO81" s="1080" t="n"/>
      <c r="AQ81" s="98" t="n"/>
      <c r="AR81" s="98" t="n"/>
      <c r="AS81" s="1121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1067" t="n"/>
      <c r="AM82" s="136" t="n"/>
      <c r="AN82" s="2" t="n"/>
      <c r="AO82" s="1067" t="n"/>
      <c r="AQ82" s="136" t="n"/>
      <c r="AR82" s="136" t="n"/>
      <c r="AS82" s="1122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 t="n"/>
      <c r="F83" s="491">
        <f>+F84+F89+F92+F96+F99+F109+F114+F120+F123+F127</f>
        <v/>
      </c>
      <c r="G83" s="492" t="n"/>
      <c r="H83" s="1069">
        <f>F83/F$13</f>
        <v/>
      </c>
      <c r="I83" s="491">
        <f>+I84+I89+I92+I96+I99+I109+I114+I120+I123+I127</f>
        <v/>
      </c>
      <c r="J83" s="492" t="n"/>
      <c r="K83" s="1069">
        <f>I83/I$13</f>
        <v/>
      </c>
      <c r="L83" s="491">
        <f>+L84+L89+L92+L96+L99+L109+L114+L120+L123+L127</f>
        <v/>
      </c>
      <c r="M83" s="492" t="n"/>
      <c r="N83" s="1069">
        <f>L83/L$13</f>
        <v/>
      </c>
      <c r="O83" s="491">
        <f>+O84+O89+O92+O96+O99+O109+O114+O120+O123+O127</f>
        <v/>
      </c>
      <c r="P83" s="492" t="n"/>
      <c r="Q83" s="1069">
        <f>O83/O$13</f>
        <v/>
      </c>
      <c r="R83" s="491">
        <f>+R84+R89+R92+R96+R99+R109+R114+R120+R123+R127</f>
        <v/>
      </c>
      <c r="S83" s="492" t="n"/>
      <c r="T83" s="1069">
        <f>R83/R$13</f>
        <v/>
      </c>
      <c r="U83" s="491">
        <f>+U84+U89+U92+U96+U99+U109+U114+U120+U123+U127</f>
        <v/>
      </c>
      <c r="V83" s="492" t="n"/>
      <c r="W83" s="1069" t="n"/>
      <c r="X83" s="491">
        <f>+X84+X89+X92+X96+X99+X109+X114+X120+X123+X127</f>
        <v/>
      </c>
      <c r="Y83" s="492" t="n"/>
      <c r="Z83" s="1069">
        <f>X83/X$13</f>
        <v/>
      </c>
      <c r="AA83" s="491">
        <f>+AA84+AA89+AA92+AA96+AA99+AA109+AA114+AA120+AA123+AA127</f>
        <v/>
      </c>
      <c r="AB83" s="492" t="n"/>
      <c r="AC83" s="1069" t="n"/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 t="n"/>
      <c r="AM83" s="583">
        <f>C83+F83+I83+L83+O83+R83+U83+X83+AA83+AD83+AG83+AJ83</f>
        <v/>
      </c>
      <c r="AN83" s="492" t="n"/>
      <c r="AO83" s="1081">
        <f>AM83/(AM$13)</f>
        <v/>
      </c>
      <c r="AQ83" s="627">
        <f>+AQ84+AQ89+AQ92+AQ96+AQ99+AQ109+AQ114+AQ120+AQ123+AQ127</f>
        <v/>
      </c>
      <c r="AR83" s="627">
        <f>AQ83/(AQ$12-AQ$8)</f>
        <v/>
      </c>
      <c r="AS83" s="1104">
        <f>AQ83/(AQ$13-AQ$19)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 t="n"/>
      <c r="F84" s="49">
        <f>SUM(F85:F88)</f>
        <v/>
      </c>
      <c r="G84" s="3" t="n"/>
      <c r="H84" s="1053">
        <f>F84/F$13</f>
        <v/>
      </c>
      <c r="I84" s="49">
        <f>SUM(I85:I88)</f>
        <v/>
      </c>
      <c r="J84" s="3" t="n"/>
      <c r="K84" s="1053">
        <f>I84/I$13</f>
        <v/>
      </c>
      <c r="L84" s="49">
        <f>SUM(L85:L88)</f>
        <v/>
      </c>
      <c r="M84" s="3" t="n"/>
      <c r="N84" s="1053">
        <f>L84/L$13</f>
        <v/>
      </c>
      <c r="O84" s="49">
        <f>SUM(O85:O88)</f>
        <v/>
      </c>
      <c r="P84" s="3" t="n"/>
      <c r="Q84" s="1053">
        <f>O84/O$13</f>
        <v/>
      </c>
      <c r="R84" s="49">
        <f>SUM(R85:R88)</f>
        <v/>
      </c>
      <c r="S84" s="3" t="n"/>
      <c r="T84" s="1053">
        <f>R84/R$13</f>
        <v/>
      </c>
      <c r="U84" s="49">
        <f>SUM(U85:U88)</f>
        <v/>
      </c>
      <c r="V84" s="3" t="n"/>
      <c r="W84" s="1053" t="n"/>
      <c r="X84" s="49">
        <f>SUM(X85:X88)</f>
        <v/>
      </c>
      <c r="Y84" s="3" t="n"/>
      <c r="Z84" s="1053">
        <f>X84/X$13</f>
        <v/>
      </c>
      <c r="AA84" s="49">
        <f>SUM(AA85:AA88)</f>
        <v/>
      </c>
      <c r="AB84" s="3" t="n"/>
      <c r="AC84" s="1053" t="n"/>
      <c r="AD84" s="49">
        <f>SUM(AD85:AD88)</f>
        <v/>
      </c>
      <c r="AE84" s="3" t="n"/>
      <c r="AF84" s="1053" t="n"/>
      <c r="AG84" s="49">
        <f>SUM(AG85:AG88)</f>
        <v/>
      </c>
      <c r="AH84" s="3" t="n"/>
      <c r="AI84" s="1053" t="n"/>
      <c r="AJ84" s="49">
        <f>SUM(AJ85:AJ88)</f>
        <v/>
      </c>
      <c r="AK84" s="3" t="n"/>
      <c r="AL84" s="1053" t="n"/>
      <c r="AM84" s="16">
        <f>C84+F84+I84+L84+O84+R84+U84+X84+AA84+AD84+AG84+AJ84</f>
        <v/>
      </c>
      <c r="AN84" s="3" t="n"/>
      <c r="AO84" s="1076">
        <f>AM84/(AM$13)</f>
        <v/>
      </c>
      <c r="AQ84" s="17">
        <f>SUM(AQ85:AQ88)</f>
        <v/>
      </c>
      <c r="AR84" s="17">
        <f>AQ84/(AQ$12-AQ$8)</f>
        <v/>
      </c>
      <c r="AS84" s="1105">
        <f>AQ84/(AQ$13-AQ$19)</f>
        <v/>
      </c>
    </row>
    <row r="85" ht="15" customHeight="1" s="985">
      <c r="B85" s="284" t="inlineStr">
        <is>
          <t>Costos Indirectos de Personal</t>
        </is>
      </c>
      <c r="C85" s="91" t="n"/>
      <c r="D85" s="69" t="n"/>
      <c r="E85" s="1077" t="n"/>
      <c r="F85" s="91" t="n"/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70" t="n"/>
      <c r="R85" s="39" t="n"/>
      <c r="S85" s="69" t="n"/>
      <c r="T85" s="70" t="n"/>
      <c r="U85" s="39" t="n"/>
      <c r="V85" s="69" t="n"/>
      <c r="W85" s="70" t="n"/>
      <c r="X85" s="39" t="n"/>
      <c r="Y85" s="69" t="n"/>
      <c r="Z85" s="70" t="n"/>
      <c r="AA85" s="39" t="n"/>
      <c r="AB85" s="69" t="n"/>
      <c r="AC85" s="70" t="n"/>
      <c r="AD85" s="39" t="n"/>
      <c r="AE85" s="69" t="n"/>
      <c r="AF85" s="70" t="n"/>
      <c r="AG85" s="39" t="n"/>
      <c r="AH85" s="69" t="n"/>
      <c r="AI85" s="70" t="n"/>
      <c r="AJ85" s="39" t="n"/>
      <c r="AK85" s="69" t="n"/>
      <c r="AL85" s="1077" t="n"/>
      <c r="AM85" s="209">
        <f>C85+F85+I85+L85+O85+R85+U85+X85+AA85+AD85+AG85+AJ85</f>
        <v/>
      </c>
      <c r="AN85" s="69" t="n"/>
      <c r="AO85" s="1077">
        <f>AM85/(AM$13)</f>
        <v/>
      </c>
      <c r="AQ85" s="31" t="n"/>
      <c r="AR85" s="31" t="n"/>
      <c r="AS85" s="1123">
        <f>AQ85/(AQ$13-AQ$19)</f>
        <v/>
      </c>
    </row>
    <row r="86" ht="15" customHeight="1" s="985">
      <c r="B86" s="24" t="inlineStr">
        <is>
          <t>Dotación y Suministros</t>
        </is>
      </c>
      <c r="C86" s="25" t="n"/>
      <c r="D86" s="43" t="n"/>
      <c r="E86" s="1045" t="n"/>
      <c r="F86" s="25" t="n"/>
      <c r="G86" s="43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5" t="n"/>
      <c r="Y86" s="43" t="n"/>
      <c r="Z86" s="57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45" t="n"/>
      <c r="AM86" s="25">
        <f>C86+F86+I86+L86+O86+R86+U86+X86+AA86+AD86+AG86+AJ86</f>
        <v/>
      </c>
      <c r="AN86" s="43" t="n"/>
      <c r="AO86" s="1045" t="n"/>
      <c r="AQ86" s="24" t="n"/>
      <c r="AR86" s="24" t="n"/>
      <c r="AS86" s="1108">
        <f>AQ86/(AQ$13-AQ$19)</f>
        <v/>
      </c>
    </row>
    <row r="87" ht="15" customHeight="1" s="985">
      <c r="B87" s="24" t="inlineStr">
        <is>
          <t>Gastos Medicos</t>
        </is>
      </c>
      <c r="C87" s="25" t="n"/>
      <c r="D87" s="43" t="n"/>
      <c r="E87" s="1045" t="n"/>
      <c r="F87" s="25" t="n"/>
      <c r="G87" s="43" t="n"/>
      <c r="H87" s="1045" t="n"/>
      <c r="I87" s="25" t="n"/>
      <c r="J87" s="43" t="n"/>
      <c r="K87" s="1045" t="n"/>
      <c r="L87" s="25" t="n"/>
      <c r="M87" s="43" t="n"/>
      <c r="N87" s="1045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5" t="n"/>
      <c r="AH87" s="43" t="n"/>
      <c r="AI87" s="57" t="n"/>
      <c r="AJ87" s="25" t="n"/>
      <c r="AK87" s="43" t="n"/>
      <c r="AL87" s="1045" t="n"/>
      <c r="AM87" s="25">
        <f>C87+F87+I87+L87+O87+R87+U87+X87+AA87+AD87+AG87+AJ87</f>
        <v/>
      </c>
      <c r="AN87" s="43" t="n"/>
      <c r="AO87" s="1045" t="n"/>
      <c r="AQ87" s="24" t="n"/>
      <c r="AR87" s="24" t="n"/>
      <c r="AS87" s="1108">
        <f>AQ87/(AQ$13-AQ$19)</f>
        <v/>
      </c>
    </row>
    <row r="88" ht="15" customHeight="1" s="985">
      <c r="B88" s="430" t="inlineStr">
        <is>
          <t>Incapacidades</t>
        </is>
      </c>
      <c r="C88" s="273" t="n"/>
      <c r="D88" s="134" t="n"/>
      <c r="E88" s="1118" t="n"/>
      <c r="F88" s="273" t="n"/>
      <c r="G88" s="134" t="n"/>
      <c r="H88" s="1118" t="n"/>
      <c r="I88" s="273" t="n"/>
      <c r="J88" s="134" t="n"/>
      <c r="K88" s="1118" t="n"/>
      <c r="L88" s="273" t="n"/>
      <c r="M88" s="134" t="n"/>
      <c r="N88" s="1118" t="n"/>
      <c r="O88" s="273" t="n"/>
      <c r="P88" s="134" t="n"/>
      <c r="Q88" s="1118" t="n"/>
      <c r="R88" s="273" t="n"/>
      <c r="S88" s="134" t="n"/>
      <c r="T88" s="1118" t="n"/>
      <c r="U88" s="273" t="n"/>
      <c r="V88" s="134" t="n"/>
      <c r="W88" s="1118" t="n"/>
      <c r="X88" s="273" t="n"/>
      <c r="Y88" s="134" t="n"/>
      <c r="Z88" s="1118" t="n"/>
      <c r="AA88" s="273" t="n"/>
      <c r="AB88" s="134" t="n"/>
      <c r="AC88" s="1118" t="n"/>
      <c r="AD88" s="273" t="n"/>
      <c r="AE88" s="134" t="n"/>
      <c r="AF88" s="1118" t="n"/>
      <c r="AG88" s="273" t="n"/>
      <c r="AH88" s="134" t="n"/>
      <c r="AI88" s="1118" t="n"/>
      <c r="AJ88" s="273" t="n"/>
      <c r="AK88" s="134" t="n"/>
      <c r="AL88" s="1118" t="n"/>
      <c r="AM88" s="430" t="n"/>
      <c r="AN88" s="134" t="n"/>
      <c r="AO88" s="1048" t="n"/>
      <c r="AQ88" s="349" t="n"/>
      <c r="AR88" s="349" t="n"/>
      <c r="AS88" s="1115" t="n"/>
    </row>
    <row r="89" ht="15" customHeight="1" s="985">
      <c r="B89" s="16" t="inlineStr">
        <is>
          <t>HONORARIOS</t>
        </is>
      </c>
      <c r="C89" s="90">
        <f>SUM(C90:C91)</f>
        <v/>
      </c>
      <c r="D89" s="3" t="n"/>
      <c r="E89" s="1053" t="n"/>
      <c r="F89" s="90">
        <f>SUM(F90:F91)</f>
        <v/>
      </c>
      <c r="G89" s="3" t="n"/>
      <c r="H89" s="1053">
        <f>F89/F$13</f>
        <v/>
      </c>
      <c r="I89" s="90">
        <f>SUM(I90:I91)</f>
        <v/>
      </c>
      <c r="J89" s="3" t="n"/>
      <c r="K89" s="1053">
        <f>I89/I$13</f>
        <v/>
      </c>
      <c r="L89" s="49">
        <f>SUM(L90:L91)</f>
        <v/>
      </c>
      <c r="M89" s="3" t="n"/>
      <c r="N89" s="1053">
        <f>L89/L$13</f>
        <v/>
      </c>
      <c r="O89" s="49">
        <f>SUM(O90:O91)</f>
        <v/>
      </c>
      <c r="P89" s="3" t="n"/>
      <c r="Q89" s="1053">
        <f>O89/O$13</f>
        <v/>
      </c>
      <c r="R89" s="49">
        <f>SUM(R90:R91)</f>
        <v/>
      </c>
      <c r="S89" s="3" t="n"/>
      <c r="T89" s="1053">
        <f>R89/R$13</f>
        <v/>
      </c>
      <c r="U89" s="49">
        <f>SUM(U90:U91)</f>
        <v/>
      </c>
      <c r="V89" s="3" t="n"/>
      <c r="W89" s="1053" t="n"/>
      <c r="X89" s="49">
        <f>SUM(X90:X91)</f>
        <v/>
      </c>
      <c r="Y89" s="3" t="n"/>
      <c r="Z89" s="1053">
        <f>X89/X$13</f>
        <v/>
      </c>
      <c r="AA89" s="49">
        <f>SUM(AA90:AA91)</f>
        <v/>
      </c>
      <c r="AB89" s="3" t="n"/>
      <c r="AC89" s="1053" t="n"/>
      <c r="AD89" s="49" t="n"/>
      <c r="AE89" s="3" t="n"/>
      <c r="AF89" s="1053" t="n"/>
      <c r="AG89" s="49" t="n"/>
      <c r="AH89" s="3" t="n"/>
      <c r="AI89" s="1053" t="n"/>
      <c r="AJ89" s="49" t="n"/>
      <c r="AK89" s="3" t="n"/>
      <c r="AL89" s="1053" t="n"/>
      <c r="AM89" s="16">
        <f>C89+F89+I89+L89+O89+R89+U89+X89+AA89+AD89+AG89+AJ89</f>
        <v/>
      </c>
      <c r="AN89" s="3" t="n"/>
      <c r="AO89" s="1076">
        <f>AM89/(AM$13)</f>
        <v/>
      </c>
      <c r="AQ89" s="17" t="n"/>
      <c r="AR89" s="17">
        <f>AQ89/(AQ$12-AQ$8)</f>
        <v/>
      </c>
      <c r="AS89" s="1105">
        <f>AQ89/(AQ$13-AQ$19)</f>
        <v/>
      </c>
    </row>
    <row r="90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1077" t="n"/>
      <c r="AM90" s="209">
        <f>C90+F90+I90+L90+O90+R90+U90+X90+AA90+AD90+AG90+AJ90</f>
        <v/>
      </c>
      <c r="AN90" s="69" t="n"/>
      <c r="AO90" s="1082" t="n"/>
      <c r="AQ90" s="31" t="n"/>
      <c r="AR90" s="31" t="n"/>
      <c r="AS90" s="1123" t="n"/>
    </row>
    <row r="91" outlineLevel="1" ht="15" customHeight="1" s="985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1047" t="n"/>
      <c r="AM91" s="206">
        <f>C91+F91+I91+L91+O91+R91+U91+X91+AA91+AD91+AG91+AJ91</f>
        <v/>
      </c>
      <c r="AN91" s="84" t="n"/>
      <c r="AO91" s="1048" t="n"/>
      <c r="AQ91" s="349" t="n"/>
      <c r="AR91" s="349" t="n"/>
      <c r="AS91" s="1115" t="n"/>
    </row>
    <row r="92" ht="15" customHeight="1" s="985">
      <c r="B92" s="16" t="inlineStr">
        <is>
          <t>ARRENDAMIENTOS</t>
        </is>
      </c>
      <c r="C92" s="90">
        <f>SUM(C93:C95)</f>
        <v/>
      </c>
      <c r="D92" s="3" t="n"/>
      <c r="E92" s="1053" t="n"/>
      <c r="F92" s="90">
        <f>SUM(F93:F95)</f>
        <v/>
      </c>
      <c r="G92" s="3" t="n"/>
      <c r="H92" s="1053">
        <f>F92/F$13</f>
        <v/>
      </c>
      <c r="I92" s="90">
        <f>SUM(I93:I95)</f>
        <v/>
      </c>
      <c r="J92" s="3" t="n"/>
      <c r="K92" s="1053">
        <f>I92/I$13</f>
        <v/>
      </c>
      <c r="L92" s="49">
        <f>SUM(L93:L95)</f>
        <v/>
      </c>
      <c r="M92" s="3" t="n"/>
      <c r="N92" s="1053">
        <f>L92/L$13</f>
        <v/>
      </c>
      <c r="O92" s="49">
        <f>SUM(O93:O95)</f>
        <v/>
      </c>
      <c r="P92" s="3" t="n"/>
      <c r="Q92" s="1053">
        <f>O92/O$13</f>
        <v/>
      </c>
      <c r="R92" s="49">
        <f>SUM(R93:R95)</f>
        <v/>
      </c>
      <c r="S92" s="3" t="n"/>
      <c r="T92" s="1053">
        <f>R92/R$13</f>
        <v/>
      </c>
      <c r="U92" s="49">
        <f>SUM(U93:U95)</f>
        <v/>
      </c>
      <c r="V92" s="3" t="n"/>
      <c r="W92" s="1053" t="n"/>
      <c r="X92" s="49">
        <f>SUM(X93:X95)</f>
        <v/>
      </c>
      <c r="Y92" s="3" t="n"/>
      <c r="Z92" s="1053">
        <f>X92/X$13</f>
        <v/>
      </c>
      <c r="AA92" s="49">
        <f>SUM(AA93:AA95)</f>
        <v/>
      </c>
      <c r="AB92" s="3" t="n"/>
      <c r="AC92" s="1053" t="n"/>
      <c r="AD92" s="49" t="n"/>
      <c r="AE92" s="3" t="n"/>
      <c r="AF92" s="1053" t="n"/>
      <c r="AG92" s="49" t="n"/>
      <c r="AH92" s="3" t="n"/>
      <c r="AI92" s="1053" t="n"/>
      <c r="AJ92" s="49" t="n"/>
      <c r="AK92" s="3" t="n"/>
      <c r="AL92" s="1053" t="n"/>
      <c r="AM92" s="16">
        <f>C92+F92+I92+L92+O92+R92+U92+X92+AA92+AD92+AG92+AJ92</f>
        <v/>
      </c>
      <c r="AN92" s="3" t="n"/>
      <c r="AO92" s="1076">
        <f>AM92/(AM$13)</f>
        <v/>
      </c>
      <c r="AQ92" s="17" t="n"/>
      <c r="AR92" s="17">
        <f>AQ92/(AQ$12-AQ$8)</f>
        <v/>
      </c>
      <c r="AS92" s="1105">
        <f>AQ92/(AQ$13-AQ$19)</f>
        <v/>
      </c>
    </row>
    <row r="93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1077" t="n"/>
      <c r="AM93" s="209">
        <f>C93+F93+I93+L93+O93+R93+U93+X93+AA93+AD93+AG93+AJ93</f>
        <v/>
      </c>
      <c r="AN93" s="69" t="n"/>
      <c r="AO93" s="1082" t="n"/>
      <c r="AP93" s="1124" t="n"/>
      <c r="AQ93" s="31" t="n"/>
      <c r="AR93" s="31" t="n"/>
      <c r="AS93" s="1123" t="n"/>
    </row>
    <row r="94" outlineLevel="1" ht="15" customHeight="1" s="985">
      <c r="B94" s="39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1045" t="n"/>
      <c r="AM94" s="205">
        <f>C94+F94+I94+L94+O94+R94+U94+X94+AA94+AD94+AG94+AJ94</f>
        <v/>
      </c>
      <c r="AN94" s="43" t="n"/>
      <c r="AO94" s="1046" t="n"/>
      <c r="AQ94" s="24" t="n"/>
      <c r="AR94" s="24" t="n"/>
      <c r="AS94" s="1108" t="n"/>
    </row>
    <row r="95" outlineLevel="1" ht="15" customHeight="1" s="985">
      <c r="B95" s="39" t="inlineStr">
        <is>
          <t>Equipo de Oficina</t>
        </is>
      </c>
      <c r="C95" s="25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1073" t="n"/>
      <c r="AM95" s="26">
        <f>C95+F95+I95+L95+O95+R95+U95+X95+AA95+AD95+AG95+AJ95</f>
        <v/>
      </c>
      <c r="AN95" s="45" t="n"/>
      <c r="AO95" s="1083" t="n"/>
      <c r="AQ95" s="27" t="n"/>
      <c r="AR95" s="27" t="n"/>
      <c r="AS95" s="1119" t="n"/>
    </row>
    <row r="96" ht="15" customHeight="1" s="985">
      <c r="B96" s="106" t="inlineStr">
        <is>
          <t>SEGUROS</t>
        </is>
      </c>
      <c r="C96" s="90">
        <f>SUM(C97:C98)</f>
        <v/>
      </c>
      <c r="D96" s="3" t="n"/>
      <c r="E96" s="1053" t="n"/>
      <c r="F96" s="90">
        <f>SUM(F97:F98)</f>
        <v/>
      </c>
      <c r="G96" s="3" t="n"/>
      <c r="H96" s="1053">
        <f>F96/F$13</f>
        <v/>
      </c>
      <c r="I96" s="90">
        <f>SUM(I97:I98)</f>
        <v/>
      </c>
      <c r="J96" s="3" t="n"/>
      <c r="K96" s="1053">
        <f>I96/I$13</f>
        <v/>
      </c>
      <c r="L96" s="49">
        <f>SUM(L97:L98)</f>
        <v/>
      </c>
      <c r="M96" s="3" t="n"/>
      <c r="N96" s="1053">
        <f>L96/L$13</f>
        <v/>
      </c>
      <c r="O96" s="49">
        <f>SUM(O97:O98)</f>
        <v/>
      </c>
      <c r="P96" s="3" t="n"/>
      <c r="Q96" s="1053">
        <f>O96/O$13</f>
        <v/>
      </c>
      <c r="R96" s="49">
        <f>SUM(R97:R98)</f>
        <v/>
      </c>
      <c r="S96" s="3" t="n"/>
      <c r="T96" s="1053">
        <f>R96/R$13</f>
        <v/>
      </c>
      <c r="U96" s="49">
        <f>SUM(U97:U98)</f>
        <v/>
      </c>
      <c r="V96" s="3" t="n"/>
      <c r="W96" s="1053" t="n"/>
      <c r="X96" s="49">
        <f>SUM(X97:X98)</f>
        <v/>
      </c>
      <c r="Y96" s="3" t="n"/>
      <c r="Z96" s="1053">
        <f>X96/X$13</f>
        <v/>
      </c>
      <c r="AA96" s="49">
        <f>SUM(AA97:AA98)</f>
        <v/>
      </c>
      <c r="AB96" s="3" t="n"/>
      <c r="AC96" s="1053" t="n"/>
      <c r="AD96" s="49" t="n"/>
      <c r="AE96" s="3" t="n"/>
      <c r="AF96" s="1053" t="n"/>
      <c r="AG96" s="49">
        <f>SUM(AG97:AG98)</f>
        <v/>
      </c>
      <c r="AH96" s="3" t="n"/>
      <c r="AI96" s="1053" t="n"/>
      <c r="AJ96" s="49" t="n"/>
      <c r="AK96" s="3" t="n"/>
      <c r="AL96" s="1053" t="n"/>
      <c r="AM96" s="16">
        <f>C96+F96+I96+L96+O96+R96+U96+X96+AA96+AD96+AG96+AJ96</f>
        <v/>
      </c>
      <c r="AN96" s="3" t="n"/>
      <c r="AO96" s="1076">
        <f>AM96/(AM$13)</f>
        <v/>
      </c>
      <c r="AQ96" s="17">
        <f>SUM(AQ97:AQ98)</f>
        <v/>
      </c>
      <c r="AR96" s="17">
        <f>AQ96/(AQ$12-AQ$8)</f>
        <v/>
      </c>
      <c r="AS96" s="1105">
        <f>AQ96/(AQ$13-AQ$19)</f>
        <v/>
      </c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1077" t="n"/>
      <c r="AM97" s="209">
        <f>C97+F97+I97+L97+O97+R97+U97+X97+AA97+AD97+AG97+AJ97</f>
        <v/>
      </c>
      <c r="AN97" s="69" t="n"/>
      <c r="AO97" s="1082" t="n"/>
      <c r="AP97" s="2" t="n"/>
      <c r="AQ97" s="31" t="n"/>
      <c r="AR97" s="31" t="n"/>
      <c r="AS97" s="1123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Responsabilidad Civil Y Extracontractual</t>
        </is>
      </c>
      <c r="C98" s="275" t="n"/>
      <c r="D98" s="276" t="n"/>
      <c r="E98" s="1084" t="n"/>
      <c r="F98" s="83" t="n"/>
      <c r="G98" s="84" t="n"/>
      <c r="H98" s="1047" t="n"/>
      <c r="I98" s="83" t="n"/>
      <c r="J98" s="84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1084" t="n"/>
      <c r="AM98" s="278">
        <f>C98+F98+I98+L98+O98+R98+U98+X98+AA98+AD98+AG98+AJ98</f>
        <v/>
      </c>
      <c r="AN98" s="276" t="n"/>
      <c r="AO98" s="1085" t="n"/>
      <c r="AP98" s="2" t="n"/>
      <c r="AQ98" s="279" t="n"/>
      <c r="AR98" s="279" t="n"/>
      <c r="AS98" s="1125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F99/F$13</f>
        <v/>
      </c>
      <c r="I99" s="49">
        <f>SUM(I100:I106)</f>
        <v/>
      </c>
      <c r="J99" s="3" t="n"/>
      <c r="K99" s="1053">
        <f>I99/I$13</f>
        <v/>
      </c>
      <c r="L99" s="49">
        <f>SUM(L100:L106)</f>
        <v/>
      </c>
      <c r="M99" s="3" t="n"/>
      <c r="N99" s="1053">
        <f>L99/L$13</f>
        <v/>
      </c>
      <c r="O99" s="49">
        <f>SUM(O100:O106)</f>
        <v/>
      </c>
      <c r="P99" s="3" t="n"/>
      <c r="Q99" s="1053">
        <f>O99/O$13</f>
        <v/>
      </c>
      <c r="R99" s="49">
        <f>SUM(R100:R106)</f>
        <v/>
      </c>
      <c r="S99" s="3" t="n"/>
      <c r="T99" s="1053">
        <f>R99/R$13</f>
        <v/>
      </c>
      <c r="U99" s="49">
        <f>SUM(U100:U106)</f>
        <v/>
      </c>
      <c r="V99" s="3" t="n"/>
      <c r="W99" s="1053" t="n"/>
      <c r="X99" s="49">
        <f>SUM(X100:X106)</f>
        <v/>
      </c>
      <c r="Y99" s="3" t="n"/>
      <c r="Z99" s="1053">
        <f>X99/X$13</f>
        <v/>
      </c>
      <c r="AA99" s="49">
        <f>SUM(AA100:AA106)</f>
        <v/>
      </c>
      <c r="AB99" s="3" t="n"/>
      <c r="AC99" s="1053" t="n"/>
      <c r="AD99" s="49" t="n"/>
      <c r="AE99" s="3" t="n"/>
      <c r="AF99" s="1053" t="n"/>
      <c r="AG99" s="49" t="n"/>
      <c r="AH99" s="3" t="n"/>
      <c r="AI99" s="1053" t="n"/>
      <c r="AJ99" s="49" t="n"/>
      <c r="AK99" s="3" t="n"/>
      <c r="AL99" s="1053" t="n"/>
      <c r="AM99" s="16">
        <f>C99+F99+I99+L99+O99+R99+U99+X99+AA99+AD99+AG99+AJ99</f>
        <v/>
      </c>
      <c r="AN99" s="3" t="n"/>
      <c r="AO99" s="1076">
        <f>AM99/(AM$13)</f>
        <v/>
      </c>
      <c r="AQ99" s="17">
        <f>SUM(AQ100:AQ108)</f>
        <v/>
      </c>
      <c r="AR99" s="17">
        <f>AQ99/(AQ$12-AQ$8)</f>
        <v/>
      </c>
      <c r="AS99" s="1105">
        <f>AQ99/(AQ$13-AQ$19)</f>
        <v/>
      </c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077" t="n"/>
      <c r="AM100" s="209">
        <f>C100+F100+I100+L100+O100+R100+U100+X100+AA100+AD100+AG100+AJ100</f>
        <v/>
      </c>
      <c r="AN100" s="69" t="n"/>
      <c r="AO100" s="1082" t="n"/>
      <c r="AQ100" s="31" t="n"/>
      <c r="AR100" s="31" t="n"/>
      <c r="AS100" s="1123" t="n"/>
    </row>
    <row r="101" outlineLevel="1" ht="15" customHeight="1" s="985">
      <c r="B101" s="25" t="inlineStr">
        <is>
          <t>Temporales Serv</t>
        </is>
      </c>
      <c r="C101" s="25" t="n"/>
      <c r="D101" s="43" t="n"/>
      <c r="E101" s="1045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45" t="n"/>
      <c r="AM101" s="205">
        <f>C101+F101+I101+L101+O101+R101+U101+X101+AA101+AD101+AG101+AJ101</f>
        <v/>
      </c>
      <c r="AN101" s="43" t="n"/>
      <c r="AO101" s="1046" t="n"/>
      <c r="AQ101" s="24" t="n"/>
      <c r="AR101" s="24" t="n"/>
      <c r="AS101" s="1108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45" t="n"/>
      <c r="AM102" s="205">
        <f>C102+F102+I102+L102+O102+R102+U102+X102+AA102+AD102+AG102+AJ102</f>
        <v/>
      </c>
      <c r="AN102" s="43" t="n"/>
      <c r="AO102" s="1046" t="n"/>
      <c r="AQ102" s="24" t="n"/>
      <c r="AR102" s="24" t="n"/>
      <c r="AS102" s="1108" t="n"/>
    </row>
    <row r="103" outlineLevel="1" ht="15" customHeight="1" s="985">
      <c r="B103" s="25" t="inlineStr">
        <is>
          <t>Laboratorio</t>
        </is>
      </c>
      <c r="C103" s="25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1045" t="n"/>
      <c r="AM103" s="205">
        <f>C103+F103+I103+L103+O103+R103+U103+X103+AA103+AD103+AG103+AJ103</f>
        <v/>
      </c>
      <c r="AN103" s="43" t="n"/>
      <c r="AO103" s="1046" t="n"/>
      <c r="AQ103" s="24" t="n"/>
      <c r="AR103" s="24" t="n"/>
      <c r="AS103" s="1108" t="n"/>
    </row>
    <row r="104" outlineLevel="1" ht="15" customHeight="1" s="985">
      <c r="B104" s="25" t="inlineStr">
        <is>
          <t>Fumigacion</t>
        </is>
      </c>
      <c r="C104" s="25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1045" t="n"/>
      <c r="AM104" s="205">
        <f>C104+F104+I104+L104+O104+R104+U104+X104+AA104+AD104+AG104+AJ104</f>
        <v/>
      </c>
      <c r="AN104" s="43" t="n"/>
      <c r="AO104" s="1046" t="n"/>
      <c r="AQ104" s="24" t="n"/>
      <c r="AR104" s="24" t="n"/>
      <c r="AS104" s="1108" t="n"/>
    </row>
    <row r="105" outlineLevel="1" ht="15" customHeight="1" s="985">
      <c r="B105" s="25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1045" t="n"/>
      <c r="AM105" s="205">
        <f>C105+F105+I105+L105+O105+R105+U105+X105+AA105+AD105+AG105+AJ105</f>
        <v/>
      </c>
      <c r="AN105" s="43" t="n"/>
      <c r="AO105" s="1046" t="n"/>
      <c r="AQ105" s="24" t="n"/>
      <c r="AR105" s="24" t="n"/>
      <c r="AS105" s="1108" t="n"/>
    </row>
    <row r="106" outlineLevel="1" ht="15" customHeight="1" s="985">
      <c r="B106" s="25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25" t="n"/>
      <c r="M106" s="43" t="n"/>
      <c r="N106" s="1045" t="n"/>
      <c r="O106" s="25" t="n"/>
      <c r="P106" s="43" t="n"/>
      <c r="Q106" s="1045" t="n"/>
      <c r="R106" s="25" t="n"/>
      <c r="S106" s="43" t="n"/>
      <c r="T106" s="1045" t="n"/>
      <c r="U106" s="25" t="n"/>
      <c r="V106" s="43" t="n"/>
      <c r="W106" s="1045" t="n"/>
      <c r="X106" s="25" t="n"/>
      <c r="Y106" s="43" t="n"/>
      <c r="Z106" s="1045" t="n"/>
      <c r="AA106" s="25" t="n"/>
      <c r="AB106" s="43" t="n"/>
      <c r="AC106" s="1045" t="n"/>
      <c r="AD106" s="25" t="n"/>
      <c r="AE106" s="43" t="n"/>
      <c r="AF106" s="1045" t="n"/>
      <c r="AG106" s="25" t="n"/>
      <c r="AH106" s="43" t="n"/>
      <c r="AI106" s="1045" t="n"/>
      <c r="AJ106" s="25" t="n"/>
      <c r="AK106" s="43" t="n"/>
      <c r="AL106" s="1045" t="n"/>
      <c r="AM106" s="205">
        <f>C106+F106+I106+L106+O106+R106+U106+X106+AA106+AD106+AG106+AJ106</f>
        <v/>
      </c>
      <c r="AN106" s="43" t="n"/>
      <c r="AO106" s="1046" t="n"/>
      <c r="AQ106" s="24" t="n"/>
      <c r="AR106" s="24" t="n"/>
      <c r="AS106" s="1108" t="n"/>
    </row>
    <row r="107" outlineLevel="1" ht="15" customHeight="1" s="985">
      <c r="B107" s="205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25" t="n"/>
      <c r="M107" s="43" t="n"/>
      <c r="N107" s="1045" t="n"/>
      <c r="O107" s="25" t="n"/>
      <c r="P107" s="43" t="n"/>
      <c r="Q107" s="1045" t="n"/>
      <c r="R107" s="25" t="n"/>
      <c r="S107" s="43" t="n"/>
      <c r="T107" s="1045" t="n"/>
      <c r="U107" s="25" t="n"/>
      <c r="V107" s="43" t="n"/>
      <c r="W107" s="1045" t="n"/>
      <c r="X107" s="25" t="n"/>
      <c r="Y107" s="43" t="n"/>
      <c r="Z107" s="1045" t="n"/>
      <c r="AA107" s="25" t="n"/>
      <c r="AB107" s="43" t="n"/>
      <c r="AC107" s="1045" t="n"/>
      <c r="AD107" s="25" t="n"/>
      <c r="AE107" s="43" t="n"/>
      <c r="AF107" s="1045" t="n"/>
      <c r="AG107" s="25" t="n"/>
      <c r="AH107" s="43" t="n"/>
      <c r="AI107" s="1045" t="n"/>
      <c r="AJ107" s="25" t="n"/>
      <c r="AK107" s="43" t="n"/>
      <c r="AL107" s="1045" t="n"/>
      <c r="AM107" s="205" t="n"/>
      <c r="AN107" s="43" t="n"/>
      <c r="AO107" s="1046" t="n"/>
      <c r="AQ107" s="24" t="n"/>
      <c r="AR107" s="24" t="n"/>
      <c r="AS107" s="1108" t="n"/>
    </row>
    <row r="108" outlineLevel="1" ht="15" customHeight="1" s="985">
      <c r="B108" s="349" t="inlineStr">
        <is>
          <t>Correo, porte y telegramas</t>
        </is>
      </c>
      <c r="C108" s="2" t="n"/>
      <c r="D108" s="42" t="n"/>
      <c r="E108" s="1057" t="n"/>
      <c r="F108" s="2" t="n"/>
      <c r="G108" s="42" t="n"/>
      <c r="H108" s="1057" t="n"/>
      <c r="I108" s="2" t="n"/>
      <c r="J108" s="42" t="n"/>
      <c r="K108" s="1057" t="n"/>
      <c r="L108" s="2" t="n"/>
      <c r="M108" s="42" t="n"/>
      <c r="N108" s="1057" t="n"/>
      <c r="O108" s="2" t="n"/>
      <c r="P108" s="42" t="n"/>
      <c r="Q108" s="1057" t="n"/>
      <c r="R108" s="2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" t="n"/>
      <c r="AH108" s="42" t="n"/>
      <c r="AI108" s="1057" t="n"/>
      <c r="AJ108" s="2" t="n"/>
      <c r="AK108" s="42" t="n"/>
      <c r="AL108" s="1057" t="n"/>
      <c r="AM108" s="97" t="n"/>
      <c r="AN108" s="42" t="n"/>
      <c r="AO108" s="1058" t="n"/>
      <c r="AQ108" s="23" t="n"/>
      <c r="AR108" s="23" t="n"/>
      <c r="AS108" s="1107" t="n"/>
    </row>
    <row r="109" ht="15" customHeight="1" s="985">
      <c r="B109" s="16" t="inlineStr">
        <is>
          <t>GASTOS LEGALES</t>
        </is>
      </c>
      <c r="C109" s="90">
        <f>SUM(C110:C113)</f>
        <v/>
      </c>
      <c r="D109" s="3" t="n"/>
      <c r="E109" s="1053" t="n"/>
      <c r="F109" s="90">
        <f>SUM(F110:F113)</f>
        <v/>
      </c>
      <c r="G109" s="3" t="n"/>
      <c r="H109" s="1053">
        <f>F109/F$13</f>
        <v/>
      </c>
      <c r="I109" s="90">
        <f>SUM(I110:I113)</f>
        <v/>
      </c>
      <c r="J109" s="3" t="n"/>
      <c r="K109" s="1053">
        <f>I109/I$13</f>
        <v/>
      </c>
      <c r="L109" s="49">
        <f>SUM(L110:L113)</f>
        <v/>
      </c>
      <c r="M109" s="3" t="n"/>
      <c r="N109" s="1053">
        <f>L109/L$13</f>
        <v/>
      </c>
      <c r="O109" s="49">
        <f>SUM(O110:O113)</f>
        <v/>
      </c>
      <c r="P109" s="3" t="n"/>
      <c r="Q109" s="1053">
        <f>O109/O$13</f>
        <v/>
      </c>
      <c r="R109" s="49">
        <f>SUM(R110:R113)</f>
        <v/>
      </c>
      <c r="S109" s="3" t="n"/>
      <c r="T109" s="1053">
        <f>R109/R$13</f>
        <v/>
      </c>
      <c r="U109" s="49">
        <f>SUM(U110:U113)</f>
        <v/>
      </c>
      <c r="V109" s="3" t="n"/>
      <c r="W109" s="1053" t="n"/>
      <c r="X109" s="49">
        <f>SUM(X110:X113)</f>
        <v/>
      </c>
      <c r="Y109" s="3" t="n"/>
      <c r="Z109" s="1053">
        <f>X109/X$13</f>
        <v/>
      </c>
      <c r="AA109" s="49">
        <f>SUM(AA110:AA113)</f>
        <v/>
      </c>
      <c r="AB109" s="3" t="n"/>
      <c r="AC109" s="1053" t="n"/>
      <c r="AD109" s="49" t="n"/>
      <c r="AE109" s="3" t="n"/>
      <c r="AF109" s="1053" t="n"/>
      <c r="AG109" s="49" t="n"/>
      <c r="AH109" s="3" t="n"/>
      <c r="AI109" s="1053" t="n"/>
      <c r="AJ109" s="49" t="n"/>
      <c r="AK109" s="3" t="n"/>
      <c r="AL109" s="1053" t="n"/>
      <c r="AM109" s="16">
        <f>C109+F109+I109+L109+O109+R109+U109+X109+AA109+AD109+AG109+AJ109</f>
        <v/>
      </c>
      <c r="AN109" s="3" t="n"/>
      <c r="AO109" s="1076">
        <f>AM109/(AM$13)</f>
        <v/>
      </c>
      <c r="AQ109" s="17">
        <f>SUM(AQ110:AQ113)</f>
        <v/>
      </c>
      <c r="AR109" s="17">
        <f>AQ109/(AQ$12-AQ$8)</f>
        <v/>
      </c>
      <c r="AS109" s="1105">
        <f>AQ109/(AQ$13-AQ$19)</f>
        <v/>
      </c>
    </row>
    <row r="110" outlineLevel="1" ht="15" customHeight="1" s="985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1077" t="n"/>
      <c r="AM110" s="209">
        <f>C110+F110+I110+L110+O110+R110+U110+X110+AA110+AD110+AG110+AJ110</f>
        <v/>
      </c>
      <c r="AN110" s="69" t="n"/>
      <c r="AO110" s="1082" t="n"/>
      <c r="AQ110" s="31" t="n"/>
      <c r="AR110" s="31" t="n"/>
      <c r="AS110" s="1123" t="n"/>
    </row>
    <row r="111" outlineLevel="1" ht="15" customHeight="1" s="985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1045" t="n"/>
      <c r="AM111" s="205">
        <f>C111+F111+I111+L111+O111+R111+U111+X111+AA111+AD111+AG111+AJ111</f>
        <v/>
      </c>
      <c r="AN111" s="43" t="n"/>
      <c r="AO111" s="1046" t="n"/>
      <c r="AQ111" s="24" t="n"/>
      <c r="AR111" s="24" t="n"/>
      <c r="AS111" s="1108" t="n"/>
    </row>
    <row r="112" outlineLevel="1" ht="15" customHeight="1" s="985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1045" t="n"/>
      <c r="AM112" s="205">
        <f>C112+F112+I112+L112+O112+R112+U112+X112+AA112+AD112+AG112+AJ112</f>
        <v/>
      </c>
      <c r="AN112" s="43" t="n"/>
      <c r="AO112" s="1046" t="n"/>
      <c r="AQ112" s="24" t="n"/>
      <c r="AR112" s="24" t="n"/>
      <c r="AS112" s="1108" t="n"/>
    </row>
    <row r="113" outlineLevel="1" ht="15" customHeight="1" s="985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1073" t="n"/>
      <c r="AM113" s="26">
        <f>C113+F113+I113+L113+O113+R113+U113+X113+AA113+AD113+AG113+AJ113</f>
        <v/>
      </c>
      <c r="AN113" s="45" t="n"/>
      <c r="AO113" s="1083" t="n"/>
      <c r="AQ113" s="27" t="n"/>
      <c r="AR113" s="27" t="n"/>
      <c r="AS113" s="1119" t="n"/>
    </row>
    <row r="114" ht="15" customHeight="1" s="985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F114/F$13</f>
        <v/>
      </c>
      <c r="I114" s="49">
        <f>SUM(I115:I116)</f>
        <v/>
      </c>
      <c r="J114" s="3" t="n"/>
      <c r="K114" s="1053">
        <f>I114/I$13</f>
        <v/>
      </c>
      <c r="L114" s="49">
        <f>SUM(L115:L116)</f>
        <v/>
      </c>
      <c r="M114" s="3" t="n"/>
      <c r="N114" s="1053">
        <f>L114/L$13</f>
        <v/>
      </c>
      <c r="O114" s="49">
        <f>SUM(O115:O116)</f>
        <v/>
      </c>
      <c r="P114" s="3" t="n"/>
      <c r="Q114" s="1053">
        <f>O114/O$13</f>
        <v/>
      </c>
      <c r="R114" s="49">
        <f>SUM(R115:R116)</f>
        <v/>
      </c>
      <c r="S114" s="3" t="n"/>
      <c r="T114" s="1053">
        <f>R114/R$13</f>
        <v/>
      </c>
      <c r="U114" s="49">
        <f>SUM(U115:U116)</f>
        <v/>
      </c>
      <c r="V114" s="3" t="n"/>
      <c r="W114" s="1053" t="n"/>
      <c r="X114" s="49">
        <f>SUM(X115:X116)</f>
        <v/>
      </c>
      <c r="Y114" s="3" t="n"/>
      <c r="Z114" s="1053">
        <f>X114/X$13</f>
        <v/>
      </c>
      <c r="AA114" s="49">
        <f>SUM(AA115:AA116)</f>
        <v/>
      </c>
      <c r="AB114" s="3" t="n"/>
      <c r="AC114" s="1053" t="n"/>
      <c r="AD114" s="49" t="n"/>
      <c r="AE114" s="3" t="n"/>
      <c r="AF114" s="1053" t="n"/>
      <c r="AG114" s="49" t="n"/>
      <c r="AH114" s="3" t="n"/>
      <c r="AI114" s="1053" t="n"/>
      <c r="AJ114" s="49" t="n"/>
      <c r="AK114" s="3" t="n"/>
      <c r="AL114" s="1053" t="n"/>
      <c r="AM114" s="16">
        <f>C114+F114+I114+L114+O114+R114+U114+X114+AA114+AD114+AG114+AJ114</f>
        <v/>
      </c>
      <c r="AN114" s="3" t="n"/>
      <c r="AO114" s="1076">
        <f>AM114/(AM$13)</f>
        <v/>
      </c>
      <c r="AQ114" s="17">
        <f>SUM(AQ115:AQ119)</f>
        <v/>
      </c>
      <c r="AR114" s="17">
        <f>AQ114/(AQ$12-AQ$8)</f>
        <v/>
      </c>
      <c r="AS114" s="1105">
        <f>AQ114/(AQ$13-AQ$19)</f>
        <v/>
      </c>
    </row>
    <row r="115" outlineLevel="1" ht="15" customHeight="1" s="985">
      <c r="A115" s="226" t="inlineStr">
        <is>
          <t xml:space="preserve">73451001            </t>
        </is>
      </c>
      <c r="B115" s="205" t="inlineStr">
        <is>
          <t xml:space="preserve">Construcciones y Edificaciones          </t>
        </is>
      </c>
      <c r="C115" s="39" t="n"/>
      <c r="D115" s="69" t="n"/>
      <c r="E115" s="1077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78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055" t="n"/>
      <c r="AJ115" s="78" t="n"/>
      <c r="AK115" s="79" t="n"/>
      <c r="AL115" s="1077" t="n"/>
      <c r="AM115" s="209">
        <f>C115+F115+I115+L115+O115+R115+U115+X115+AA115+AD115+AG115+AJ115</f>
        <v/>
      </c>
      <c r="AN115" s="69" t="n"/>
      <c r="AO115" s="1082" t="n"/>
      <c r="AQ115" s="31" t="n"/>
      <c r="AR115" s="31" t="n"/>
      <c r="AS115" s="1123" t="n"/>
    </row>
    <row r="116" outlineLevel="1" ht="15" customHeight="1" s="985">
      <c r="A116" s="226" t="inlineStr">
        <is>
          <t xml:space="preserve">73451501            </t>
        </is>
      </c>
      <c r="B116" s="20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45" t="n"/>
      <c r="AJ116" s="25" t="n"/>
      <c r="AK116" s="43" t="n"/>
      <c r="AL116" s="1045" t="n"/>
      <c r="AM116" s="205">
        <f>C116+F116+I116+L116+O116+R116+U116+X116+AA116+AD116+AG116+AJ116</f>
        <v/>
      </c>
      <c r="AN116" s="43" t="n"/>
      <c r="AO116" s="1046" t="n"/>
      <c r="AQ116" s="24" t="n"/>
      <c r="AR116" s="24" t="n"/>
      <c r="AS116" s="1108" t="n"/>
    </row>
    <row r="117" outlineLevel="1" ht="15" customHeight="1" s="985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45" t="n"/>
      <c r="AJ117" s="25" t="n"/>
      <c r="AK117" s="43" t="n"/>
      <c r="AL117" s="1045" t="n"/>
      <c r="AM117" s="205">
        <f>C117+F117+I117+L117+O117+R117+U117+X117+AA117+AD117+AG117+AJ117</f>
        <v/>
      </c>
      <c r="AN117" s="43" t="n"/>
      <c r="AO117" s="1046" t="n"/>
      <c r="AQ117" s="24" t="n"/>
      <c r="AR117" s="24" t="n"/>
      <c r="AS117" s="1108" t="n"/>
    </row>
    <row r="118" outlineLevel="1" ht="15" customHeight="1" s="985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25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45" t="n"/>
      <c r="AJ118" s="25" t="n"/>
      <c r="AK118" s="43" t="n"/>
      <c r="AL118" s="1045" t="n"/>
      <c r="AM118" s="205">
        <f>C118+F118+I118+L118+O118+R118+U118+X118+AA118+AD118+AG118+AJ118</f>
        <v/>
      </c>
      <c r="AN118" s="43" t="n"/>
      <c r="AO118" s="1046" t="n"/>
      <c r="AQ118" s="24" t="n"/>
      <c r="AR118" s="24" t="n"/>
      <c r="AS118" s="1108" t="n"/>
    </row>
    <row r="119" outlineLevel="1" ht="15" customHeight="1" s="985">
      <c r="A119" s="226" t="inlineStr">
        <is>
          <t xml:space="preserve">73456001            </t>
        </is>
      </c>
      <c r="B119" s="205" t="inlineStr">
        <is>
          <t xml:space="preserve">Acueductos, planta y redes              </t>
        </is>
      </c>
      <c r="C119" s="22" t="n"/>
      <c r="D119" s="42" t="n"/>
      <c r="E119" s="1057" t="n"/>
      <c r="F119" s="83" t="n"/>
      <c r="G119" s="84" t="n"/>
      <c r="H119" s="1047" t="n"/>
      <c r="I119" s="83" t="n"/>
      <c r="J119" s="84" t="n"/>
      <c r="K119" s="1047" t="n"/>
      <c r="L119" s="83" t="n"/>
      <c r="M119" s="84" t="n"/>
      <c r="N119" s="1047" t="n"/>
      <c r="O119" s="83" t="n"/>
      <c r="P119" s="84" t="n"/>
      <c r="Q119" s="1047" t="n"/>
      <c r="R119" s="83" t="n"/>
      <c r="S119" s="84" t="n"/>
      <c r="T119" s="1047" t="n"/>
      <c r="U119" s="83" t="n"/>
      <c r="V119" s="84" t="n"/>
      <c r="W119" s="1047" t="n"/>
      <c r="X119" s="83" t="n"/>
      <c r="Y119" s="84" t="n"/>
      <c r="Z119" s="1047" t="n"/>
      <c r="AA119" s="83" t="n"/>
      <c r="AB119" s="84" t="n"/>
      <c r="AC119" s="1047" t="n"/>
      <c r="AD119" s="83" t="n"/>
      <c r="AE119" s="84" t="n"/>
      <c r="AF119" s="1047" t="n"/>
      <c r="AG119" s="83" t="n"/>
      <c r="AH119" s="84" t="n"/>
      <c r="AI119" s="1047" t="n"/>
      <c r="AJ119" s="83" t="n"/>
      <c r="AK119" s="84" t="n"/>
      <c r="AL119" s="1057" t="n"/>
      <c r="AM119" s="97">
        <f>C119+F119+I119+L119+O119+R119+U119+X119+AA119+AD119+AG119+AJ119</f>
        <v/>
      </c>
      <c r="AN119" s="42" t="n"/>
      <c r="AO119" s="1058" t="n"/>
      <c r="AQ119" s="23" t="n"/>
      <c r="AR119" s="23" t="n"/>
      <c r="AS119" s="1107" t="n"/>
    </row>
    <row r="120" ht="15" customHeight="1" s="985">
      <c r="B120" s="16" t="inlineStr">
        <is>
          <t>ADECUACIONES E INSTALACIONES</t>
        </is>
      </c>
      <c r="C120" s="49">
        <f>SUM(C121)</f>
        <v/>
      </c>
      <c r="D120" s="3" t="n"/>
      <c r="E120" s="1053" t="n"/>
      <c r="F120" s="49">
        <f>SUM(F121)</f>
        <v/>
      </c>
      <c r="G120" s="3" t="n"/>
      <c r="H120" s="1053">
        <f>F120/F$13</f>
        <v/>
      </c>
      <c r="I120" s="49">
        <f>SUM(I121)</f>
        <v/>
      </c>
      <c r="J120" s="3" t="n"/>
      <c r="K120" s="1053">
        <f>I120/I$13</f>
        <v/>
      </c>
      <c r="L120" s="49">
        <f>SUM(L121)</f>
        <v/>
      </c>
      <c r="M120" s="3" t="n"/>
      <c r="N120" s="1053">
        <f>L120/L$13</f>
        <v/>
      </c>
      <c r="O120" s="49">
        <f>SUM(O121)</f>
        <v/>
      </c>
      <c r="P120" s="3" t="n"/>
      <c r="Q120" s="1053">
        <f>O120/O$13</f>
        <v/>
      </c>
      <c r="R120" s="49">
        <f>SUM(R121)</f>
        <v/>
      </c>
      <c r="S120" s="3" t="n"/>
      <c r="T120" s="1053">
        <f>R120/R$13</f>
        <v/>
      </c>
      <c r="U120" s="49">
        <f>SUM(U121)</f>
        <v/>
      </c>
      <c r="V120" s="3" t="n"/>
      <c r="W120" s="1053" t="n"/>
      <c r="X120" s="49">
        <f>SUM(X121)</f>
        <v/>
      </c>
      <c r="Y120" s="3" t="n"/>
      <c r="Z120" s="1053">
        <f>X120/X$13</f>
        <v/>
      </c>
      <c r="AA120" s="49">
        <f>SUM(AA121)</f>
        <v/>
      </c>
      <c r="AB120" s="3" t="n"/>
      <c r="AC120" s="1053" t="n"/>
      <c r="AD120" s="49">
        <f>SUM(AD121)</f>
        <v/>
      </c>
      <c r="AE120" s="3" t="n"/>
      <c r="AF120" s="1053" t="n"/>
      <c r="AG120" s="49">
        <f>SUM(AG121)</f>
        <v/>
      </c>
      <c r="AH120" s="3" t="n"/>
      <c r="AI120" s="1053" t="n"/>
      <c r="AJ120" s="49" t="n"/>
      <c r="AK120" s="3" t="n"/>
      <c r="AL120" s="1053" t="n"/>
      <c r="AM120" s="16">
        <f>C120+F120+I120+L120+O120+R120+U120+X120+AA120+AD120+AG120+AJ120</f>
        <v/>
      </c>
      <c r="AN120" s="3" t="n"/>
      <c r="AO120" s="1076">
        <f>AM120/(AM$13)</f>
        <v/>
      </c>
      <c r="AQ120" s="17">
        <f>SUM(AQ121:AQ122)</f>
        <v/>
      </c>
      <c r="AR120" s="17">
        <f>AQ120/(AQ$12-AQ$8)</f>
        <v/>
      </c>
      <c r="AS120" s="1105">
        <f>AQ120/(AQ$13-AQ$19)</f>
        <v/>
      </c>
    </row>
    <row r="121" ht="15" customHeight="1" s="985">
      <c r="A121" s="226" t="inlineStr">
        <is>
          <t xml:space="preserve">73500501            </t>
        </is>
      </c>
      <c r="B121" s="205" t="inlineStr">
        <is>
          <t>Instalaciones Electricas</t>
        </is>
      </c>
      <c r="C121" s="353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1077" t="n"/>
      <c r="AM121" s="209">
        <f>C121+F121+I121+L121+O121+R121+U121+X121+AA121+AD121+AG121+AJ121</f>
        <v/>
      </c>
      <c r="AN121" s="69" t="n"/>
      <c r="AO121" s="1082" t="n"/>
      <c r="AQ121" s="31" t="n"/>
      <c r="AR121" s="31" t="n"/>
      <c r="AS121" s="1123" t="n"/>
    </row>
    <row r="122" ht="15" customHeight="1" s="985">
      <c r="A122" s="226" t="inlineStr">
        <is>
          <t xml:space="preserve">73501501            </t>
        </is>
      </c>
      <c r="B122" s="205" t="inlineStr">
        <is>
          <t>Reparaciones Locativas</t>
        </is>
      </c>
      <c r="C122" s="354" t="n"/>
      <c r="D122" s="92" t="n"/>
      <c r="E122" s="1063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47" t="n"/>
      <c r="AJ122" s="83" t="n"/>
      <c r="AK122" s="84" t="n"/>
      <c r="AL122" s="1047" t="n"/>
      <c r="AM122" s="206" t="n"/>
      <c r="AN122" s="84" t="n"/>
      <c r="AO122" s="1064" t="n"/>
      <c r="AQ122" s="133" t="n"/>
      <c r="AR122" s="133" t="n"/>
      <c r="AS122" s="1126" t="n"/>
    </row>
    <row r="123" ht="15" customHeight="1" s="985">
      <c r="B123" s="16" t="inlineStr">
        <is>
          <t>GASTOS DE VIAJE</t>
        </is>
      </c>
      <c r="C123" s="90">
        <f>SUM(C124:C126)</f>
        <v/>
      </c>
      <c r="D123" s="3" t="n"/>
      <c r="E123" s="1053" t="n"/>
      <c r="F123" s="90">
        <f>SUM(F124:F126)</f>
        <v/>
      </c>
      <c r="G123" s="3" t="n"/>
      <c r="H123" s="1053" t="n"/>
      <c r="I123" s="90">
        <f>SUM(I124:I126)</f>
        <v/>
      </c>
      <c r="J123" s="3" t="n"/>
      <c r="K123" s="1053" t="n"/>
      <c r="L123" s="49">
        <f>SUM(L124:L126)</f>
        <v/>
      </c>
      <c r="M123" s="3" t="n"/>
      <c r="N123" s="1053" t="n"/>
      <c r="O123" s="49">
        <f>SUM(O124:O126)</f>
        <v/>
      </c>
      <c r="P123" s="3" t="n"/>
      <c r="Q123" s="1053" t="n"/>
      <c r="R123" s="49">
        <f>SUM(R124:R126)</f>
        <v/>
      </c>
      <c r="S123" s="3" t="n"/>
      <c r="T123" s="1053" t="n"/>
      <c r="U123" s="49">
        <f>SUM(U124:U126)</f>
        <v/>
      </c>
      <c r="V123" s="3" t="n"/>
      <c r="W123" s="1053" t="n"/>
      <c r="X123" s="49">
        <f>SUM(X124:X126)</f>
        <v/>
      </c>
      <c r="Y123" s="3" t="n"/>
      <c r="Z123" s="1053" t="n"/>
      <c r="AA123" s="49">
        <f>SUM(AA124:AA126)</f>
        <v/>
      </c>
      <c r="AB123" s="3" t="n"/>
      <c r="AC123" s="1053" t="n"/>
      <c r="AD123" s="49" t="n"/>
      <c r="AE123" s="3" t="n"/>
      <c r="AF123" s="1053" t="n"/>
      <c r="AG123" s="49" t="n"/>
      <c r="AH123" s="3" t="n"/>
      <c r="AI123" s="1053" t="n"/>
      <c r="AJ123" s="49" t="n"/>
      <c r="AK123" s="3" t="n"/>
      <c r="AL123" s="1053" t="n"/>
      <c r="AM123" s="16">
        <f>C123+F123+I123+L123+O123+R123+U123+X123+AA123+AD123+AG123+AJ123</f>
        <v/>
      </c>
      <c r="AN123" s="3" t="n"/>
      <c r="AO123" s="1076">
        <f>AM123/(AM$13)</f>
        <v/>
      </c>
      <c r="AQ123" s="17">
        <f>SUM(AQ124:AQ126)</f>
        <v/>
      </c>
      <c r="AR123" s="17">
        <f>AQ123/(AQ$12-AQ$8)</f>
        <v/>
      </c>
      <c r="AS123" s="1105">
        <f>AQ123/(AQ$13-AQ$19)</f>
        <v/>
      </c>
    </row>
    <row r="124" outlineLevel="1" ht="15" customHeight="1" s="985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1077" t="n"/>
      <c r="AM124" s="209">
        <f>C124+F124+I124+L124+O124+R124+U124+X124+AA124+AD124+AG124+AJ124</f>
        <v/>
      </c>
      <c r="AN124" s="69" t="n"/>
      <c r="AO124" s="1082" t="n"/>
      <c r="AQ124" s="31" t="n"/>
      <c r="AR124" s="31" t="n"/>
      <c r="AS124" s="1123" t="n"/>
    </row>
    <row r="125" outlineLevel="1" ht="15" customHeight="1" s="985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1045" t="n"/>
      <c r="AM125" s="205">
        <f>C125+F125+I125+L125+O125+R125+U125+X125+AA125+AD125+AG125+AJ125</f>
        <v/>
      </c>
      <c r="AN125" s="43" t="n"/>
      <c r="AO125" s="1046" t="n"/>
      <c r="AQ125" s="24" t="n"/>
      <c r="AR125" s="24" t="n"/>
      <c r="AS125" s="1108" t="n"/>
    </row>
    <row r="126" outlineLevel="1" ht="15" customHeight="1" s="985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1073" t="n"/>
      <c r="AM126" s="26">
        <f>C126+F126+I126+L126+O126+R126+U126+X126+AA126+AD126+AG126+AJ126</f>
        <v/>
      </c>
      <c r="AN126" s="45" t="n"/>
      <c r="AO126" s="1083" t="n"/>
      <c r="AQ126" s="27" t="n"/>
      <c r="AR126" s="27" t="n"/>
      <c r="AS126" s="1119" t="n"/>
    </row>
    <row r="127" ht="15" customHeight="1" s="985">
      <c r="B127" s="16" t="inlineStr">
        <is>
          <t>DIVERSOS</t>
        </is>
      </c>
      <c r="C127" s="90">
        <f>SUM(C128:C142)</f>
        <v/>
      </c>
      <c r="D127" s="3" t="n"/>
      <c r="E127" s="1053" t="n"/>
      <c r="F127" s="90">
        <f>SUM(F128:F142)</f>
        <v/>
      </c>
      <c r="G127" s="3" t="n"/>
      <c r="H127" s="1053">
        <f>F127/F$13</f>
        <v/>
      </c>
      <c r="I127" s="90">
        <f>SUM(I128:I142)</f>
        <v/>
      </c>
      <c r="J127" s="3" t="n"/>
      <c r="K127" s="1053">
        <f>I127/I$13</f>
        <v/>
      </c>
      <c r="L127" s="49">
        <f>SUM(L128:L142)</f>
        <v/>
      </c>
      <c r="M127" s="3" t="n"/>
      <c r="N127" s="1053">
        <f>L127/L$13</f>
        <v/>
      </c>
      <c r="O127" s="49">
        <f>SUM(O128:O142)</f>
        <v/>
      </c>
      <c r="P127" s="3" t="n"/>
      <c r="Q127" s="1053">
        <f>O127/O$13</f>
        <v/>
      </c>
      <c r="R127" s="49">
        <f>SUM(R128:R142)</f>
        <v/>
      </c>
      <c r="S127" s="3" t="n"/>
      <c r="T127" s="1053">
        <f>R127/R$13</f>
        <v/>
      </c>
      <c r="U127" s="49">
        <f>SUM(U128:U142)</f>
        <v/>
      </c>
      <c r="V127" s="3" t="n"/>
      <c r="W127" s="1053" t="n"/>
      <c r="X127" s="49">
        <f>SUM(X128:X142)</f>
        <v/>
      </c>
      <c r="Y127" s="3" t="n"/>
      <c r="Z127" s="1053">
        <f>X127/X$13</f>
        <v/>
      </c>
      <c r="AA127" s="49">
        <f>SUM(AA128:AA142)</f>
        <v/>
      </c>
      <c r="AB127" s="3" t="n"/>
      <c r="AC127" s="1053" t="n"/>
      <c r="AD127" s="49">
        <f>SUM(AD128:AD142)</f>
        <v/>
      </c>
      <c r="AE127" s="3" t="n"/>
      <c r="AF127" s="1053" t="n"/>
      <c r="AG127" s="49">
        <f>SUM(AG128:AG142)</f>
        <v/>
      </c>
      <c r="AH127" s="3" t="n"/>
      <c r="AI127" s="1053" t="n"/>
      <c r="AJ127" s="49" t="n"/>
      <c r="AK127" s="3" t="n"/>
      <c r="AL127" s="1053" t="n"/>
      <c r="AM127" s="16">
        <f>C127+F127+I127+L127+O127+R127+U127+X127+AA127+AD127+AG127+AJ127</f>
        <v/>
      </c>
      <c r="AN127" s="3" t="n"/>
      <c r="AO127" s="1076">
        <f>AM127/(AM$13)</f>
        <v/>
      </c>
      <c r="AQ127" s="17">
        <f>SUM(AQ128:AQ142)</f>
        <v/>
      </c>
      <c r="AR127" s="17">
        <f>AQ127/(AQ$12-AQ$8)</f>
        <v/>
      </c>
      <c r="AS127" s="1105">
        <f>AQ127/(AQ$13-AQ$19)</f>
        <v/>
      </c>
    </row>
    <row r="128" outlineLevel="1" ht="15" customHeight="1" s="985">
      <c r="A128" s="226" t="inlineStr">
        <is>
          <t xml:space="preserve">73951001            </t>
        </is>
      </c>
      <c r="B128" s="25" t="inlineStr">
        <is>
          <t>Elementos de Proteccion Personal</t>
        </is>
      </c>
      <c r="C128" s="39" t="n"/>
      <c r="D128" s="69" t="n"/>
      <c r="E128" s="1077" t="n"/>
      <c r="F128" s="39" t="n"/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39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39" t="n"/>
      <c r="AH128" s="69" t="n"/>
      <c r="AI128" s="1077" t="n"/>
      <c r="AJ128" s="39" t="n"/>
      <c r="AK128" s="69" t="n"/>
      <c r="AL128" s="1077" t="n"/>
      <c r="AM128" s="209">
        <f>C128+F128+I128+L128+O128+R128+U128+X128+AA128+AD128+AG128+AJ128</f>
        <v/>
      </c>
      <c r="AN128" s="42" t="n"/>
      <c r="AO128" s="1090" t="n"/>
      <c r="AQ128" s="31" t="n"/>
      <c r="AR128" s="31" t="n"/>
      <c r="AS128" s="1123" t="n"/>
    </row>
    <row r="129" outlineLevel="1" ht="15" customHeight="1" s="985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91" t="n"/>
      <c r="D129" s="43" t="n"/>
      <c r="E129" s="1045" t="n"/>
      <c r="F129" s="25" t="n"/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5" t="n"/>
      <c r="AH129" s="43" t="n"/>
      <c r="AI129" s="1045" t="n"/>
      <c r="AJ129" s="25" t="n"/>
      <c r="AK129" s="43" t="n"/>
      <c r="AL129" s="1045" t="n"/>
      <c r="AM129" s="205">
        <f>C129+F129+I129+L129+O129+R129+U129+X129+AA129+AD129+AG129+AJ129</f>
        <v/>
      </c>
      <c r="AN129" s="92" t="n"/>
      <c r="AO129" s="1127" t="n"/>
      <c r="AQ129" s="24" t="n"/>
      <c r="AR129" s="24" t="n"/>
      <c r="AS129" s="1108" t="n"/>
    </row>
    <row r="130" outlineLevel="1" ht="15" customHeight="1" s="985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1045" t="n"/>
      <c r="AM130" s="205">
        <f>C130+F130+I130+L130+O130+R130+U130+X130+AA130+AD130+AG130+AJ130</f>
        <v/>
      </c>
      <c r="AN130" s="43" t="n"/>
      <c r="AO130" s="1045" t="n"/>
      <c r="AQ130" s="24" t="n"/>
      <c r="AR130" s="24" t="n"/>
      <c r="AS130" s="1108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1045" t="n"/>
      <c r="AM131" s="205">
        <f>C131+F131+I131+L131+O131+R131+U131+X131+AA131+AD131+AG131+AJ131</f>
        <v/>
      </c>
      <c r="AN131" s="43" t="n"/>
      <c r="AO131" s="1091" t="n"/>
      <c r="AQ131" s="24" t="n"/>
      <c r="AR131" s="24" t="n"/>
      <c r="AS131" s="1108" t="n"/>
    </row>
    <row r="132" outlineLevel="1" ht="15" customHeight="1" s="985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1045" t="n"/>
      <c r="AM132" s="205">
        <f>C132+F132+I132+L132+O132+R132+U132+X132+AA132+AD132+AG132+AJ132</f>
        <v/>
      </c>
      <c r="AN132" s="43" t="n"/>
      <c r="AO132" s="1046" t="n"/>
      <c r="AQ132" s="24" t="n"/>
      <c r="AR132" s="24" t="n"/>
      <c r="AS132" s="1108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1045" t="n"/>
      <c r="AM133" s="205">
        <f>C133+F133+I133+L133+O133+R133+U133+X133+AA133+AD133+AG133+AJ133</f>
        <v/>
      </c>
      <c r="AN133" s="43" t="n"/>
      <c r="AO133" s="1046" t="n"/>
      <c r="AQ133" s="24" t="n"/>
      <c r="AR133" s="24" t="n"/>
      <c r="AS133" s="1108" t="n"/>
    </row>
    <row r="134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1045" t="n"/>
      <c r="AM134" s="205">
        <f>C134+F134+I134+L134+O134+R134+U134+X134+AA134+AD134+AG134+AJ134</f>
        <v/>
      </c>
      <c r="AN134" s="43" t="n"/>
      <c r="AO134" s="1046" t="n"/>
      <c r="AQ134" s="24" t="n"/>
      <c r="AR134" s="24" t="n"/>
      <c r="AS134" s="1108" t="n"/>
    </row>
    <row r="135" outlineLevel="1" ht="15" customHeight="1" s="985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1045" t="n"/>
      <c r="AM135" s="205">
        <f>C135+F135+I135+L135+O135+R135+U135+X135+AA135+AD135+AG135+AJ135</f>
        <v/>
      </c>
      <c r="AN135" s="43" t="n"/>
      <c r="AO135" s="1046" t="n"/>
      <c r="AQ135" s="24" t="n"/>
      <c r="AR135" s="24" t="n"/>
      <c r="AS135" s="1108" t="n"/>
    </row>
    <row r="136" outlineLevel="1" ht="15" customHeight="1" s="985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 t="n"/>
      <c r="AN136" s="43" t="n"/>
      <c r="AO136" s="1046" t="n"/>
      <c r="AQ136" s="24" t="n"/>
      <c r="AR136" s="24" t="n"/>
      <c r="AS136" s="1108" t="n"/>
    </row>
    <row r="137" outlineLevel="1" ht="15" customHeight="1" s="985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1045" t="n"/>
      <c r="AM137" s="205">
        <f>C137+F137+I137+L137+O137+R137+U137+X137+AA137+AD137+AG137+AJ137</f>
        <v/>
      </c>
      <c r="AN137" s="43" t="n"/>
      <c r="AO137" s="1046" t="n"/>
      <c r="AQ137" s="24" t="n"/>
      <c r="AR137" s="24" t="n"/>
      <c r="AS137" s="1108" t="n"/>
    </row>
    <row r="138" outlineLevel="1" ht="15" customHeight="1" s="985">
      <c r="B138" s="25" t="inlineStr">
        <is>
          <t>Compra Equipos de Oficina</t>
        </is>
      </c>
      <c r="C138" s="428" t="n"/>
      <c r="D138" s="89" t="n"/>
      <c r="E138" s="1041" t="n"/>
      <c r="F138" s="428" t="n"/>
      <c r="G138" s="89" t="n"/>
      <c r="H138" s="1041" t="n"/>
      <c r="I138" s="428" t="n"/>
      <c r="J138" s="89" t="n"/>
      <c r="K138" s="1041" t="n"/>
      <c r="L138" s="428" t="n"/>
      <c r="M138" s="89" t="n"/>
      <c r="N138" s="1041" t="n"/>
      <c r="O138" s="428" t="n"/>
      <c r="P138" s="89" t="n"/>
      <c r="Q138" s="1041" t="n"/>
      <c r="R138" s="25" t="n"/>
      <c r="S138" s="89" t="n"/>
      <c r="T138" s="1041" t="n"/>
      <c r="U138" s="428" t="n"/>
      <c r="V138" s="89" t="n"/>
      <c r="W138" s="1041" t="n"/>
      <c r="X138" s="428" t="n"/>
      <c r="Y138" s="89" t="n"/>
      <c r="Z138" s="1041" t="n"/>
      <c r="AA138" s="428" t="n"/>
      <c r="AB138" s="89" t="n"/>
      <c r="AC138" s="1041" t="n"/>
      <c r="AD138" s="428" t="n"/>
      <c r="AE138" s="89" t="n"/>
      <c r="AF138" s="1041" t="n"/>
      <c r="AG138" s="428" t="n"/>
      <c r="AH138" s="89" t="n"/>
      <c r="AI138" s="1041" t="n"/>
      <c r="AJ138" s="428" t="n"/>
      <c r="AK138" s="89" t="n"/>
      <c r="AL138" s="1041" t="n"/>
      <c r="AM138" s="261">
        <f>C138+F138+I138+L138+O138+R138+U138+X138+AA138+AD138+AG138+AJ138</f>
        <v/>
      </c>
      <c r="AN138" s="89" t="n"/>
      <c r="AO138" s="1042" t="n"/>
      <c r="AQ138" s="24" t="n"/>
      <c r="AR138" s="24" t="n"/>
      <c r="AS138" s="1108" t="n"/>
    </row>
    <row r="139" outlineLevel="1" ht="15" customHeight="1" s="985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1045" t="n"/>
      <c r="AM139" s="261">
        <f>C139+F139+I139+L139+O139+R139+U139+X139+AA139+AD139+AG139+AJ139</f>
        <v/>
      </c>
      <c r="AN139" s="43" t="n"/>
      <c r="AO139" s="1046" t="n"/>
      <c r="AQ139" s="23" t="n"/>
      <c r="AR139" s="23" t="n"/>
      <c r="AS139" s="1107" t="n"/>
    </row>
    <row r="140" outlineLevel="1" ht="15" customHeight="1" s="985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1045" t="n"/>
      <c r="AM140" s="261">
        <f>C140+F140+I140+L140+O140+R140+U140+X140+AA140+AD140+AG140+AJ140</f>
        <v/>
      </c>
      <c r="AN140" s="43" t="n"/>
      <c r="AO140" s="1046" t="n"/>
      <c r="AQ140" s="24" t="n"/>
      <c r="AR140" s="24" t="n"/>
      <c r="AS140" s="1108" t="n"/>
    </row>
    <row r="14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1045" t="n"/>
      <c r="AM141" s="261">
        <f>C141+F141+I141+L141+O141+R141+U141+X141+AA141+AD141+AG141+AJ141</f>
        <v/>
      </c>
      <c r="AN141" s="43" t="n"/>
      <c r="AO141" s="1046" t="n"/>
      <c r="AQ141" s="24" t="n"/>
      <c r="AR141" s="24" t="n"/>
      <c r="AS141" s="1108" t="n"/>
    </row>
    <row r="142" outlineLevel="1" ht="15" customHeight="1" s="985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1079" t="n"/>
      <c r="AM142" s="213">
        <f>C142+F142+I142+L142+O142+R142+U142+X142+AA142+AD142+AG142+AJ142</f>
        <v/>
      </c>
      <c r="AN142" s="214" t="n"/>
      <c r="AO142" s="1092" t="n"/>
      <c r="AQ142" s="98" t="n"/>
      <c r="AR142" s="98" t="n"/>
      <c r="AS142" s="1121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1067" t="n"/>
      <c r="AM143" s="151" t="n"/>
      <c r="AN143" s="2" t="n"/>
      <c r="AO143" s="1067" t="n"/>
      <c r="AQ143" s="136" t="n"/>
      <c r="AR143" s="136" t="n"/>
      <c r="AS143" s="1122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1128" t="n"/>
      <c r="AM144" s="585">
        <f>C144+F144+I144+L144+O144+R144+U144+X144+AA144+AD144+AG144+AJ144</f>
        <v/>
      </c>
      <c r="AN144" s="495" t="n"/>
      <c r="AO144" s="1129" t="n"/>
      <c r="AQ144" s="628">
        <f>+AQ42-AQ44-AQ83</f>
        <v/>
      </c>
      <c r="AR144" s="628" t="n"/>
      <c r="AS144" s="1130" t="n"/>
    </row>
    <row r="145" ht="15" customHeight="1" s="985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1065" t="n"/>
      <c r="AM145" s="497">
        <f>IFERROR(AM144/AM13," ")</f>
        <v/>
      </c>
      <c r="AN145" s="489" t="n"/>
      <c r="AO145" s="1066" t="n"/>
      <c r="AQ145" s="629">
        <f>IFERROR(AQ144/AQ13," ")</f>
        <v/>
      </c>
      <c r="AR145" s="629" t="n"/>
      <c r="AS145" s="1131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1067" t="n"/>
      <c r="AM146" s="145" t="n"/>
      <c r="AN146" s="145" t="n"/>
      <c r="AO146" s="1067" t="n"/>
      <c r="AQ146" s="633" t="n"/>
      <c r="AR146" s="633" t="n"/>
      <c r="AS146" s="1132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 t="n"/>
      <c r="F147" s="491">
        <f>SUM(F148:F151)</f>
        <v/>
      </c>
      <c r="G147" s="492" t="n"/>
      <c r="H147" s="1069">
        <f>F147/F$13</f>
        <v/>
      </c>
      <c r="I147" s="491">
        <f>SUM(I148:I151)</f>
        <v/>
      </c>
      <c r="J147" s="492" t="n"/>
      <c r="K147" s="1069">
        <f>I147/I$13</f>
        <v/>
      </c>
      <c r="L147" s="491">
        <f>SUM(L148:L151)</f>
        <v/>
      </c>
      <c r="M147" s="492" t="n"/>
      <c r="N147" s="1069">
        <f>L147/L$13</f>
        <v/>
      </c>
      <c r="O147" s="491">
        <f>SUM(O148:O151)</f>
        <v/>
      </c>
      <c r="P147" s="492" t="n"/>
      <c r="Q147" s="1069">
        <f>O147/O$13</f>
        <v/>
      </c>
      <c r="R147" s="491">
        <f>SUM(R148:R151)</f>
        <v/>
      </c>
      <c r="S147" s="492" t="n"/>
      <c r="T147" s="1069">
        <f>R147/R$13</f>
        <v/>
      </c>
      <c r="U147" s="491">
        <f>SUM(U148:U151)</f>
        <v/>
      </c>
      <c r="V147" s="492" t="n"/>
      <c r="W147" s="1069" t="n"/>
      <c r="X147" s="491">
        <f>SUM(X148:X151)</f>
        <v/>
      </c>
      <c r="Y147" s="492" t="n"/>
      <c r="Z147" s="1069">
        <f>X147/X$13</f>
        <v/>
      </c>
      <c r="AA147" s="491">
        <f>SUM(AA148:AA151)</f>
        <v/>
      </c>
      <c r="AB147" s="492" t="n"/>
      <c r="AC147" s="1069" t="n"/>
      <c r="AD147" s="491">
        <f>SUM(AD148:AD151)</f>
        <v/>
      </c>
      <c r="AE147" s="492" t="n"/>
      <c r="AF147" s="1069" t="n"/>
      <c r="AG147" s="491">
        <f>SUM(AG148:AG151)</f>
        <v/>
      </c>
      <c r="AH147" s="492" t="n"/>
      <c r="AI147" s="1069" t="n"/>
      <c r="AJ147" s="491">
        <f>SUM(AJ148:AJ151)</f>
        <v/>
      </c>
      <c r="AK147" s="492" t="n"/>
      <c r="AL147" s="1069" t="n"/>
      <c r="AM147" s="583">
        <f>C147+F147+I147+L147+O147+R147+U147+X147+AA147+AD147+AG147+AJ147</f>
        <v/>
      </c>
      <c r="AN147" s="492" t="n"/>
      <c r="AO147" s="1070">
        <f>AM147/(AM$13)</f>
        <v/>
      </c>
      <c r="AQ147" s="627">
        <f>SUM(AQ148:AQ151)</f>
        <v/>
      </c>
      <c r="AR147" s="627" t="n"/>
      <c r="AS147" s="1104">
        <f>AQ147/(AQ$13-AQ$19)</f>
        <v/>
      </c>
    </row>
    <row r="148" ht="15" customHeight="1" s="985">
      <c r="B148" s="18" t="inlineStr">
        <is>
          <t>Gastos Fijos Administracion</t>
        </is>
      </c>
      <c r="C148" s="39" t="n"/>
      <c r="D148" s="69" t="n"/>
      <c r="E148" s="1077" t="n"/>
      <c r="F148" s="39" t="n"/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1077" t="n"/>
      <c r="AM148" s="209">
        <f>C148+F148+I148+L148+O148+R148+U148+X148+AA148+AD148+AG148+AJ148</f>
        <v/>
      </c>
      <c r="AN148" s="69" t="n"/>
      <c r="AO148" s="1082">
        <f>AM148/(AM$13)</f>
        <v/>
      </c>
      <c r="AQ148" s="31" t="n"/>
      <c r="AR148" s="31" t="n"/>
      <c r="AS148" s="1123">
        <f>AQ148/(AQ$13-AQ$19)</f>
        <v/>
      </c>
    </row>
    <row r="149" ht="15" customHeight="1" s="985">
      <c r="B149" s="285" t="inlineStr">
        <is>
          <t>Gastos Fijos Directivos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1045" t="n"/>
      <c r="AM149" s="205">
        <f>C149+F149+I149+L149+O149+R149+U149+X149+AA149+AD149+AG149+AJ149</f>
        <v/>
      </c>
      <c r="AN149" s="43" t="n"/>
      <c r="AO149" s="1046" t="n"/>
      <c r="AQ149" s="24" t="n"/>
      <c r="AR149" s="24" t="n"/>
      <c r="AS149" s="1108" t="n"/>
    </row>
    <row r="150" ht="15" customHeight="1" s="985">
      <c r="B150" s="107" t="inlineStr">
        <is>
          <t>Gastos Financieros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1057" t="n"/>
      <c r="AM150" s="205">
        <f>C150+F150+I150+L150+O150+R150+U150+X150+AA150+AD150+AG150+AJ150</f>
        <v/>
      </c>
      <c r="AN150" s="42" t="n"/>
      <c r="AO150" s="1058">
        <f>AM150/(AM$13)</f>
        <v/>
      </c>
      <c r="AQ150" s="24" t="n"/>
      <c r="AR150" s="24" t="n"/>
      <c r="AS150" s="1108">
        <f>AQ150/(AQ$13-AQ$19)</f>
        <v/>
      </c>
    </row>
    <row r="151" ht="15" customHeight="1" s="985" thickBot="1">
      <c r="B151" s="300" t="inlineStr">
        <is>
          <t>Donaciones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1086" t="n"/>
      <c r="AM151" s="301">
        <f>C151+F151+I151+L151+O151+R151+U151+X151+AA151+AD151+AG151+AJ151</f>
        <v/>
      </c>
      <c r="AN151" s="72" t="n"/>
      <c r="AO151" s="1087" t="n"/>
      <c r="AQ151" s="300" t="n"/>
      <c r="AR151" s="300" t="n"/>
      <c r="AS151" s="1133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1067" t="n"/>
      <c r="AM152" s="151" t="n"/>
      <c r="AN152" s="2" t="n"/>
      <c r="AO152" s="1067" t="n"/>
      <c r="AQ152" s="136" t="n"/>
      <c r="AR152" s="136" t="n"/>
      <c r="AS152" s="1122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1093" t="n"/>
      <c r="AM153" s="587">
        <f>C153+F153+I153+L153+O153+R153+U153+X153+AA153+AD153+AG153+AJ153</f>
        <v/>
      </c>
      <c r="AN153" s="499" t="n"/>
      <c r="AO153" s="1094">
        <f>AM153/(AM$13)</f>
        <v/>
      </c>
      <c r="AQ153" s="630">
        <f>SUM(AQ154:AQ160)</f>
        <v/>
      </c>
      <c r="AR153" s="630" t="n"/>
      <c r="AS153" s="1134">
        <f>AQ153/AQ$13</f>
        <v/>
      </c>
    </row>
    <row r="154" ht="15" customHeight="1" s="985" thickTop="1">
      <c r="B154" s="1135" t="inlineStr">
        <is>
          <t>Novedades</t>
        </is>
      </c>
      <c r="C154" s="286" t="n"/>
      <c r="D154" s="230" t="n"/>
      <c r="E154" s="1136" t="n"/>
      <c r="F154" s="515" t="n"/>
      <c r="G154" s="230" t="n"/>
      <c r="H154" s="1136" t="n"/>
      <c r="I154" s="515" t="n"/>
      <c r="J154" s="230" t="n"/>
      <c r="K154" s="1136" t="n"/>
      <c r="L154" s="515" t="n"/>
      <c r="M154" s="230" t="n"/>
      <c r="N154" s="1136" t="n"/>
      <c r="O154" s="515" t="n"/>
      <c r="P154" s="230" t="n"/>
      <c r="Q154" s="1136" t="n"/>
      <c r="R154" s="515" t="n"/>
      <c r="S154" s="230" t="n"/>
      <c r="T154" s="1136" t="n"/>
      <c r="U154" s="515" t="n"/>
      <c r="V154" s="230" t="n"/>
      <c r="W154" s="1136" t="n"/>
      <c r="X154" s="515" t="n"/>
      <c r="Y154" s="230" t="n"/>
      <c r="Z154" s="1136" t="n"/>
      <c r="AA154" s="515" t="n"/>
      <c r="AB154" s="230" t="n"/>
      <c r="AC154" s="1136" t="n"/>
      <c r="AD154" s="515" t="n"/>
      <c r="AE154" s="230" t="n"/>
      <c r="AF154" s="1136" t="n"/>
      <c r="AG154" s="515" t="n"/>
      <c r="AH154" s="230" t="n"/>
      <c r="AI154" s="1136" t="n"/>
      <c r="AJ154" s="515" t="n"/>
      <c r="AK154" s="230" t="n"/>
      <c r="AL154" s="1136" t="n"/>
      <c r="AM154" s="287">
        <f>C154+F154+I154+L154+O154+R154+U154+X154+AA154+AD154+AG154+AJ154</f>
        <v/>
      </c>
      <c r="AN154" s="230" t="n"/>
      <c r="AO154" s="1137" t="n"/>
      <c r="AQ154" s="289" t="n"/>
      <c r="AR154" s="289" t="n"/>
      <c r="AS154" s="1138" t="n"/>
    </row>
    <row r="155" ht="15" customHeight="1" s="985">
      <c r="B155" s="1139" t="inlineStr">
        <is>
          <t>Donacion 1</t>
        </is>
      </c>
      <c r="C155" s="693" t="n"/>
      <c r="D155" s="9" t="n"/>
      <c r="E155" s="1140" t="n"/>
      <c r="F155" s="696" t="n"/>
      <c r="G155" s="9" t="n"/>
      <c r="H155" s="1140" t="n"/>
      <c r="I155" s="696" t="n"/>
      <c r="J155" s="9" t="n"/>
      <c r="K155" s="1140" t="n"/>
      <c r="L155" s="696" t="n"/>
      <c r="M155" s="9" t="n"/>
      <c r="N155" s="1140" t="n"/>
      <c r="O155" s="696" t="n"/>
      <c r="P155" s="9" t="n"/>
      <c r="Q155" s="1140" t="n"/>
      <c r="R155" s="696" t="n"/>
      <c r="S155" s="9" t="n"/>
      <c r="T155" s="1140" t="n"/>
      <c r="U155" s="696" t="n"/>
      <c r="V155" s="9" t="n"/>
      <c r="W155" s="1140" t="n"/>
      <c r="X155" s="696" t="n"/>
      <c r="Y155" s="9" t="n"/>
      <c r="Z155" s="1140" t="n"/>
      <c r="AA155" s="696" t="n"/>
      <c r="AB155" s="9" t="n"/>
      <c r="AC155" s="1140" t="n"/>
      <c r="AD155" s="696" t="n"/>
      <c r="AE155" s="9" t="n"/>
      <c r="AF155" s="1140" t="n"/>
      <c r="AG155" s="696" t="n"/>
      <c r="AH155" s="9" t="n"/>
      <c r="AI155" s="1140" t="n"/>
      <c r="AJ155" s="696" t="n"/>
      <c r="AK155" s="9" t="n"/>
      <c r="AL155" s="1140" t="n"/>
      <c r="AM155" s="567">
        <f>C155+F155+I155+L155+O155+R155+U155+X155+AA155+AD155+AG155+AJ155</f>
        <v/>
      </c>
      <c r="AN155" s="9" t="n"/>
      <c r="AO155" s="1141" t="n"/>
      <c r="AQ155" s="248" t="n"/>
      <c r="AR155" s="248" t="n"/>
      <c r="AS155" s="1142" t="n"/>
    </row>
    <row r="156" ht="15" customHeight="1" s="985">
      <c r="B156" s="1143" t="inlineStr">
        <is>
          <t>Donacion 2</t>
        </is>
      </c>
      <c r="C156" s="687" t="n"/>
      <c r="D156" s="677" t="n"/>
      <c r="E156" s="1144" t="n"/>
      <c r="F156" s="689" t="n"/>
      <c r="G156" s="677" t="n"/>
      <c r="H156" s="1144" t="n"/>
      <c r="I156" s="689" t="n"/>
      <c r="J156" s="677" t="n"/>
      <c r="K156" s="1144" t="n"/>
      <c r="L156" s="689" t="n"/>
      <c r="M156" s="677" t="n"/>
      <c r="N156" s="1144" t="n"/>
      <c r="O156" s="689" t="n"/>
      <c r="P156" s="677" t="n"/>
      <c r="Q156" s="1144" t="n"/>
      <c r="R156" s="689" t="n"/>
      <c r="S156" s="677" t="n"/>
      <c r="T156" s="1144" t="n"/>
      <c r="U156" s="689" t="n"/>
      <c r="V156" s="677" t="n"/>
      <c r="W156" s="1144" t="n"/>
      <c r="X156" s="689" t="n"/>
      <c r="Y156" s="677" t="n"/>
      <c r="Z156" s="1144" t="n"/>
      <c r="AA156" s="689" t="n"/>
      <c r="AB156" s="677" t="n"/>
      <c r="AC156" s="1144" t="n"/>
      <c r="AD156" s="689" t="n"/>
      <c r="AE156" s="677" t="n"/>
      <c r="AF156" s="1144" t="n"/>
      <c r="AG156" s="689" t="n"/>
      <c r="AH156" s="677" t="n"/>
      <c r="AI156" s="1144" t="n"/>
      <c r="AJ156" s="689" t="n"/>
      <c r="AK156" s="677" t="n"/>
      <c r="AL156" s="1144" t="n"/>
      <c r="AM156" s="682">
        <f>C156+F156+I156+L156+O156+R156+U156+X156+AA156+AD156+AG156+AJ156</f>
        <v/>
      </c>
      <c r="AN156" s="677" t="n"/>
      <c r="AO156" s="1145" t="n"/>
      <c r="AQ156" s="248" t="n"/>
      <c r="AR156" s="248" t="n"/>
      <c r="AS156" s="1142" t="n"/>
    </row>
    <row r="157" ht="15" customHeight="1" s="985">
      <c r="B157" s="1146" t="inlineStr">
        <is>
          <t>Otros Ajustes 1</t>
        </is>
      </c>
      <c r="C157" s="563" t="n"/>
      <c r="D157" s="553" t="n"/>
      <c r="E157" s="1147" t="n"/>
      <c r="F157" s="564" t="n"/>
      <c r="G157" s="553" t="n"/>
      <c r="H157" s="1147" t="n"/>
      <c r="I157" s="564" t="n"/>
      <c r="J157" s="553" t="n"/>
      <c r="K157" s="1147" t="n"/>
      <c r="L157" s="564" t="n"/>
      <c r="M157" s="553" t="n"/>
      <c r="N157" s="1147" t="n"/>
      <c r="O157" s="564" t="n"/>
      <c r="P157" s="553" t="n"/>
      <c r="Q157" s="1147" t="n"/>
      <c r="R157" s="564" t="n"/>
      <c r="S157" s="553" t="n"/>
      <c r="T157" s="1147" t="n"/>
      <c r="U157" s="564" t="n"/>
      <c r="V157" s="553" t="n"/>
      <c r="W157" s="1147" t="n"/>
      <c r="X157" s="714" t="n"/>
      <c r="Y157" s="553" t="n"/>
      <c r="Z157" s="1147" t="n"/>
      <c r="AA157" s="714" t="n"/>
      <c r="AB157" s="553" t="n"/>
      <c r="AC157" s="1147" t="n"/>
      <c r="AD157" s="564" t="n"/>
      <c r="AE157" s="553" t="n"/>
      <c r="AF157" s="1147" t="n"/>
      <c r="AG157" s="564" t="n"/>
      <c r="AH157" s="553" t="n"/>
      <c r="AI157" s="1147" t="n"/>
      <c r="AJ157" s="1148" t="n"/>
      <c r="AK157" s="553" t="n"/>
      <c r="AL157" s="1147" t="n"/>
      <c r="AM157" s="558">
        <f>C157+F157+I157+L157+O157+R157+U157+X157+AA157+AD157+AG157+AJ157</f>
        <v/>
      </c>
      <c r="AN157" s="553" t="n"/>
      <c r="AO157" s="616">
        <f>AM157/AM13</f>
        <v/>
      </c>
      <c r="AQ157" s="561" t="n"/>
      <c r="AR157" s="561" t="n"/>
      <c r="AS157" s="1149" t="n"/>
    </row>
    <row r="158" ht="15" customHeight="1" s="985">
      <c r="B158" s="1150" t="inlineStr">
        <is>
          <t>Otros Ajustes 2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51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1151" t="n"/>
      <c r="AM158" s="205">
        <f>C158+F158+I158+L158+O158+R158+U158+X158+AA158+AD158+AG158+AJ158</f>
        <v/>
      </c>
      <c r="AN158" s="13" t="n"/>
      <c r="AO158" s="1152" t="n"/>
      <c r="AQ158" s="296" t="n"/>
      <c r="AR158" s="296" t="n"/>
      <c r="AS158" s="1153" t="n"/>
    </row>
    <row r="159" ht="15" customHeight="1" s="985">
      <c r="B159" s="1150" t="inlineStr">
        <is>
          <t>Otros Ajustes 3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1151" t="n"/>
      <c r="AM159" s="205" t="n"/>
      <c r="AN159" s="13" t="n"/>
      <c r="AO159" s="1152" t="n"/>
      <c r="AQ159" s="296" t="n"/>
      <c r="AR159" s="296" t="n"/>
      <c r="AS159" s="1153" t="n"/>
    </row>
    <row r="160" ht="15" customHeight="1" s="985" thickBot="1">
      <c r="B160" s="1154" t="inlineStr">
        <is>
          <t>Otros Ajustes 4</t>
        </is>
      </c>
      <c r="C160" s="234" t="n"/>
      <c r="D160" s="233" t="n"/>
      <c r="E160" s="1155" t="n"/>
      <c r="F160" s="569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1155" t="n"/>
      <c r="AM160" s="292">
        <f>C160+F160+I160+L160+O160+R160+U160+X160+AA160+AD160+AG160+AJ160</f>
        <v/>
      </c>
      <c r="AN160" s="233" t="n"/>
      <c r="AO160" s="1156" t="n"/>
      <c r="AQ160" s="622" t="n"/>
      <c r="AR160" s="622" t="n"/>
      <c r="AS160" s="1157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1093" t="n"/>
      <c r="AM161" s="587">
        <f>C161+F161+I161+L161+O161+R161+U161+X161+AA161+AD161+AG161+AJ161</f>
        <v/>
      </c>
      <c r="AN161" s="499" t="n"/>
      <c r="AO161" s="1094" t="n"/>
      <c r="AQ161" s="630">
        <f>AQ144-AQ147-AQ153</f>
        <v/>
      </c>
      <c r="AR161" s="630" t="n"/>
      <c r="AS161" s="1134" t="n"/>
    </row>
    <row r="162" ht="15" customHeight="1" s="985" thickBot="1" thickTop="1">
      <c r="B162" s="65" t="n"/>
      <c r="C162" s="501">
        <f>IFERROR(C161/C13," ")</f>
        <v/>
      </c>
      <c r="D162" s="502" t="n"/>
      <c r="E162" s="1093" t="n"/>
      <c r="F162" s="501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1093" t="n"/>
      <c r="AM162" s="589">
        <f>IFERROR(AM161/AM13," ")</f>
        <v/>
      </c>
      <c r="AN162" s="502" t="n"/>
      <c r="AO162" s="1094" t="n"/>
      <c r="AQ162" s="631">
        <f>IFERROR(AQ161/AQ13," ")</f>
        <v/>
      </c>
      <c r="AR162" s="631" t="n"/>
      <c r="AS162" s="1134" t="n"/>
    </row>
    <row r="163" ht="10.8" customHeight="1" s="985" thickTop="1"/>
    <row r="164" hidden="1" s="985">
      <c r="X164" s="618">
        <f>X44+X83-X73-X85</f>
        <v/>
      </c>
    </row>
    <row r="165" hidden="1" s="985">
      <c r="X165" s="618" t="n">
        <v>982472.65</v>
      </c>
    </row>
    <row r="166" hidden="1" s="985">
      <c r="X166" s="618">
        <f>X164-X165</f>
        <v/>
      </c>
    </row>
  </sheetData>
  <mergeCells count="1">
    <mergeCell ref="C2:AM2"/>
  </mergeCells>
  <conditionalFormatting sqref="B3:B161">
    <cfRule type="duplicateValues" priority="1" dxfId="0" stopIfTrue="1"/>
  </conditionalFormatting>
  <pageMargins left="0.7" right="0.7" top="0.75" bottom="0.75" header="0.3" footer="0.3"/>
  <pageSetup orientation="landscape" scale="40"/>
</worksheet>
</file>

<file path=xl/worksheets/sheet7.xml><?xml version="1.0" encoding="utf-8"?>
<worksheet xmlns="http://schemas.openxmlformats.org/spreadsheetml/2006/main">
  <sheetPr codeName="Hoja5">
    <outlinePr summaryBelow="1" summaryRight="1"/>
    <pageSetUpPr/>
  </sheetPr>
  <dimension ref="A2:AT189"/>
  <sheetViews>
    <sheetView zoomScaleNormal="100" workbookViewId="0">
      <pane xSplit="2" ySplit="13" topLeftCell="C16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C15" sqref="C15"/>
    </sheetView>
  </sheetViews>
  <sheetFormatPr baseColWidth="10" defaultColWidth="11.44140625" defaultRowHeight="10.2" outlineLevelRow="1"/>
  <cols>
    <col width="8.33203125" customWidth="1" style="226" min="1" max="1"/>
    <col width="41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4.44140625" customWidth="1" style="989" min="18" max="18"/>
    <col width="8.6640625" customWidth="1" style="989" min="19" max="19"/>
    <col width="8.6640625" customWidth="1" style="1033" min="20" max="20"/>
    <col width="14.4414062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5.6640625" customWidth="1" style="989" min="39" max="39"/>
    <col width="8.6640625" customWidth="1" style="989" min="40" max="40"/>
    <col width="8.6640625" customWidth="1" style="1033" min="41" max="41"/>
    <col width="6.5546875" customWidth="1" style="2" min="42" max="42"/>
    <col width="11.44140625" customWidth="1" style="2" min="43" max="47"/>
    <col width="11.44140625" customWidth="1" style="2" min="48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PYG CALI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</row>
    <row r="3" ht="21.75" customHeight="1" s="985" thickBot="1" thickTop="1">
      <c r="B3" s="977" t="inlineStr">
        <is>
          <t xml:space="preserve">DIAS DE ATENCIÓN </t>
        </is>
      </c>
      <c r="C3" s="978" t="n">
        <v>5</v>
      </c>
      <c r="D3" s="480" t="n"/>
      <c r="E3" s="1035" t="n"/>
      <c r="F3" s="537" t="n">
        <v>20</v>
      </c>
      <c r="G3" s="480" t="n"/>
      <c r="H3" s="1035" t="n"/>
      <c r="I3" s="537" t="n">
        <v>19</v>
      </c>
      <c r="J3" s="480" t="n"/>
      <c r="K3" s="1035" t="n"/>
      <c r="L3" s="537" t="n">
        <v>19</v>
      </c>
      <c r="M3" s="480" t="n"/>
      <c r="N3" s="1035" t="n"/>
      <c r="O3" s="479" t="n">
        <v>19</v>
      </c>
      <c r="P3" s="480" t="n"/>
      <c r="Q3" s="1035" t="n"/>
      <c r="R3" s="479" t="n">
        <v>18</v>
      </c>
      <c r="S3" s="480" t="n"/>
      <c r="T3" s="1035" t="n"/>
      <c r="U3" s="479" t="n">
        <v>9</v>
      </c>
      <c r="V3" s="480" t="n"/>
      <c r="W3" s="1035" t="n"/>
      <c r="X3" s="479" t="n">
        <v>19</v>
      </c>
      <c r="Y3" s="480" t="n"/>
      <c r="Z3" s="1035" t="n"/>
      <c r="AA3" s="479" t="n">
        <v>22</v>
      </c>
      <c r="AB3" s="480" t="n"/>
      <c r="AC3" s="1035" t="n"/>
      <c r="AD3" s="479" t="n">
        <v>16</v>
      </c>
      <c r="AE3" s="480" t="n"/>
      <c r="AF3" s="1035" t="n"/>
      <c r="AG3" s="479" t="n">
        <v>19</v>
      </c>
      <c r="AH3" s="480" t="n"/>
      <c r="AI3" s="1035" t="n"/>
      <c r="AJ3" s="479" t="n">
        <v>4</v>
      </c>
      <c r="AK3" s="480" t="n"/>
      <c r="AL3" s="538" t="n"/>
      <c r="AM3" s="573">
        <f>SUM(C3:AJ3)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COMPLEMENTO INDUSTRIALIZADO</t>
        </is>
      </c>
      <c r="C5" s="257" t="n"/>
      <c r="D5" s="89" t="n"/>
      <c r="E5" s="1041" t="n"/>
      <c r="F5" s="257" t="n"/>
      <c r="G5" s="260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COMPLEMENTO PREPARADO AM</t>
        </is>
      </c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 xml:space="preserve">COMPLEMENTO PREPARADO PM </t>
        </is>
      </c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inlineStr">
        <is>
          <t xml:space="preserve">ALMUERZO JORNADA UNICA </t>
        </is>
      </c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258" t="inlineStr">
        <is>
          <t xml:space="preserve">NOVEDADES  </t>
        </is>
      </c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5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49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 t="n"/>
      <c r="AA15" s="90">
        <f>SUM(AA16:AA22)</f>
        <v/>
      </c>
      <c r="AB15" s="3" t="n"/>
      <c r="AC15" s="1053">
        <f>AA15/AA15</f>
        <v/>
      </c>
      <c r="AD15" s="90">
        <f>SUM(AD16:AD22)</f>
        <v/>
      </c>
      <c r="AE15" s="399" t="n"/>
      <c r="AF15" s="1054" t="n"/>
      <c r="AG15" s="49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5">
      <c r="B16" s="258" t="inlineStr">
        <is>
          <t xml:space="preserve">COMPLEMENTO INDUSTRIALIZADO </t>
        </is>
      </c>
      <c r="C16" s="103" t="n"/>
      <c r="D16" s="79">
        <f>C16/C5</f>
        <v/>
      </c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 t="n"/>
      <c r="AO16" s="1056">
        <f>AM16/AM$13</f>
        <v/>
      </c>
    </row>
    <row r="17" ht="15" customHeight="1" s="985">
      <c r="B17" s="258" t="inlineStr">
        <is>
          <t xml:space="preserve">COMPLEMENTO PREPARADO AM </t>
        </is>
      </c>
      <c r="C17" s="25" t="n"/>
      <c r="D17" s="43">
        <f>C17/C6</f>
        <v/>
      </c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57" t="n"/>
      <c r="AM17" s="205">
        <f>C17+F17+I17+L17+O17+R17+U17+X17+AA17+AD17+AG17+AJ17</f>
        <v/>
      </c>
      <c r="AN17" s="43" t="n"/>
      <c r="AO17" s="1046">
        <f>AM17/AM$13</f>
        <v/>
      </c>
    </row>
    <row r="18" ht="15" customHeight="1" s="985">
      <c r="B18" s="258" t="inlineStr">
        <is>
          <t xml:space="preserve">COMPLEMENTO PREPARADO PM  </t>
        </is>
      </c>
      <c r="C18" s="25" t="n"/>
      <c r="D18" s="43">
        <f>C18/C7</f>
        <v/>
      </c>
      <c r="E18" s="1045" t="n"/>
      <c r="F18" s="25" t="n"/>
      <c r="G18" s="43" t="n"/>
      <c r="H18" s="1045" t="n"/>
      <c r="I18" s="25" t="n"/>
      <c r="J18" s="43" t="n"/>
      <c r="K18" s="1045" t="n"/>
      <c r="L18" s="25" t="n"/>
      <c r="M18" s="43" t="n"/>
      <c r="N18" s="1045" t="n"/>
      <c r="O18" s="25" t="n"/>
      <c r="P18" s="43" t="n"/>
      <c r="Q18" s="1045" t="n"/>
      <c r="R18" s="25" t="n"/>
      <c r="S18" s="43" t="n"/>
      <c r="T18" s="1045" t="n"/>
      <c r="U18" s="25" t="n"/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57" t="n"/>
      <c r="AM18" s="205">
        <f>C18+F18+I18+L18+O18+R18+U18+X18+AA18+AD18+AG18+AJ18</f>
        <v/>
      </c>
      <c r="AN18" s="43" t="n"/>
      <c r="AO18" s="1046">
        <f>AM18/AM$13</f>
        <v/>
      </c>
    </row>
    <row r="19" ht="15" customHeight="1" s="985">
      <c r="B19" s="258" t="inlineStr">
        <is>
          <t xml:space="preserve">ALMUERZO JORNADA UNICA  </t>
        </is>
      </c>
      <c r="C19" s="91" t="n"/>
      <c r="D19" s="43">
        <f>C19/C8</f>
        <v/>
      </c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>
        <f>AM19/AM$13</f>
        <v/>
      </c>
    </row>
    <row r="20" ht="15" customHeight="1" s="985">
      <c r="B20" s="258" t="inlineStr">
        <is>
          <t xml:space="preserve">NOVEDADES   </t>
        </is>
      </c>
      <c r="C20" s="74" t="n"/>
      <c r="D20" s="43" t="n"/>
      <c r="E20" s="1045" t="n"/>
      <c r="F20" s="25" t="n"/>
      <c r="G20" s="43" t="n"/>
      <c r="H20" s="1045" t="n"/>
      <c r="I20" s="74" t="n"/>
      <c r="J20" s="43" t="n"/>
      <c r="K20" s="1045" t="n"/>
      <c r="L20" s="74" t="n"/>
      <c r="M20" s="43" t="n"/>
      <c r="N20" s="1045" t="n"/>
      <c r="O20" s="25" t="n"/>
      <c r="P20" s="43" t="n"/>
      <c r="Q20" s="1045" t="n"/>
      <c r="R20" s="74" t="n"/>
      <c r="S20" s="43" t="n"/>
      <c r="T20" s="1045" t="n"/>
      <c r="U20" s="75" t="n"/>
      <c r="V20" s="43" t="n"/>
      <c r="W20" s="1045" t="n"/>
      <c r="X20" s="74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2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5">
      <c r="B21" s="104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t="15" customHeight="1" s="985"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outlineLevel="1" ht="15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>
        <f>AD24</f>
        <v/>
      </c>
      <c r="AE23" s="3" t="n"/>
      <c r="AF23" s="1053" t="n"/>
      <c r="AG23" s="90">
        <f>AG24</f>
        <v/>
      </c>
      <c r="AH23" s="3" t="n"/>
      <c r="AI23" s="1053" t="n"/>
      <c r="AJ23" s="49">
        <f>AJ24</f>
        <v/>
      </c>
      <c r="AK23" s="3" t="n"/>
      <c r="AL23" s="61" t="n"/>
      <c r="AM23" s="16">
        <f>C23+F23+I23+L23+O23+R23+U23+X23+AA23+AD23+AG23+AJ23</f>
        <v/>
      </c>
      <c r="AN23" s="3" t="n"/>
      <c r="AO23" s="1054" t="n"/>
    </row>
    <row r="24" outlineLevel="1" ht="15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outlineLevel="1" ht="15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outlineLevel="1" ht="15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outlineLevel="1" ht="15" customHeight="1" s="985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5">
      <c r="B29" s="16" t="inlineStr">
        <is>
          <t>OTROS</t>
        </is>
      </c>
      <c r="C29" s="49">
        <f>SUM(C30:C35)</f>
        <v/>
      </c>
      <c r="D29" s="3" t="n"/>
      <c r="E29" s="1053">
        <f>C29/C13</f>
        <v/>
      </c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90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1159">
        <f>X29/X13</f>
        <v/>
      </c>
      <c r="AA29" s="90">
        <f>SUM(AA30:AA35)</f>
        <v/>
      </c>
      <c r="AB29" s="3" t="n"/>
      <c r="AC29" s="1160">
        <f>AA29/AA13</f>
        <v/>
      </c>
      <c r="AD29" s="90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SUM(AJ30:AJ41)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</row>
    <row r="30" outlineLevel="1" ht="15" customFormat="1" customHeight="1" s="108">
      <c r="A30" s="229" t="n"/>
      <c r="B30" s="262" t="inlineStr">
        <is>
          <t>2% Estampillas Prounivalle</t>
        </is>
      </c>
      <c r="C30" s="1061">
        <f>C$13*2%</f>
        <v/>
      </c>
      <c r="D30" s="79" t="n"/>
      <c r="E30" s="1055" t="n"/>
      <c r="F30" s="1061">
        <f>F$13*2%</f>
        <v/>
      </c>
      <c r="G30" s="79" t="n"/>
      <c r="H30" s="1055" t="n"/>
      <c r="I30" s="1061">
        <f>I$13*2%</f>
        <v/>
      </c>
      <c r="J30" s="79" t="n"/>
      <c r="K30" s="1055" t="n"/>
      <c r="L30" s="1061">
        <f>L$13*2%</f>
        <v/>
      </c>
      <c r="M30" s="79" t="n"/>
      <c r="N30" s="1055" t="n"/>
      <c r="O30" s="1061">
        <f>O$13*2%</f>
        <v/>
      </c>
      <c r="P30" s="79" t="n"/>
      <c r="Q30" s="1055" t="n"/>
      <c r="R30" s="1061">
        <f>R$13*2%</f>
        <v/>
      </c>
      <c r="S30" s="79" t="n"/>
      <c r="T30" s="1055" t="n"/>
      <c r="U30" s="1061">
        <f>U$13*2%</f>
        <v/>
      </c>
      <c r="V30" s="79" t="n"/>
      <c r="W30" s="1055" t="n"/>
      <c r="X30" s="1061">
        <f>X$13*2%</f>
        <v/>
      </c>
      <c r="Y30" s="79" t="n"/>
      <c r="Z30" s="1055" t="n"/>
      <c r="AA30" s="1061">
        <f>AA$13*2%</f>
        <v/>
      </c>
      <c r="AB30" s="79" t="n"/>
      <c r="AC30" s="1055" t="n"/>
      <c r="AD30" s="1061">
        <f>AD$13*2%</f>
        <v/>
      </c>
      <c r="AE30" s="79" t="n"/>
      <c r="AF30" s="1055" t="n"/>
      <c r="AG30" s="1061">
        <f>AG$13*2%</f>
        <v/>
      </c>
      <c r="AH30" s="79" t="n"/>
      <c r="AI30" s="1055" t="n"/>
      <c r="AJ30" s="1061">
        <f>AJ$13*2%</f>
        <v/>
      </c>
      <c r="AK30" s="79" t="n"/>
      <c r="AL30" s="80" t="n"/>
      <c r="AM30" s="212">
        <f>C30+F30+I30+L30+O30+R30+U30+X30+AA30+AD30+AG30+AJ30</f>
        <v/>
      </c>
      <c r="AN30" s="79" t="n"/>
      <c r="AO30" s="1056" t="n"/>
      <c r="AP30" s="2" t="n"/>
      <c r="AQ30" s="2" t="n"/>
      <c r="AR30" s="2" t="n"/>
      <c r="AS30" s="2" t="n"/>
      <c r="AT30" s="2" t="n"/>
    </row>
    <row r="31" outlineLevel="1" ht="15" customHeight="1" s="985">
      <c r="B31" s="105" t="inlineStr">
        <is>
          <t>0,88% Rte Ica</t>
        </is>
      </c>
      <c r="C31" s="1062">
        <f>C$13*0.88%</f>
        <v/>
      </c>
      <c r="D31" s="43" t="n"/>
      <c r="E31" s="1045" t="n"/>
      <c r="F31" s="1062">
        <f>F$13*0.88%</f>
        <v/>
      </c>
      <c r="G31" s="43" t="n"/>
      <c r="H31" s="1045" t="n"/>
      <c r="I31" s="1062">
        <f>I$13*0.88%</f>
        <v/>
      </c>
      <c r="J31" s="43" t="n"/>
      <c r="K31" s="1045" t="n"/>
      <c r="L31" s="1062">
        <f>L$13*0.88%</f>
        <v/>
      </c>
      <c r="M31" s="43" t="n"/>
      <c r="N31" s="1045" t="n"/>
      <c r="O31" s="1062">
        <f>O$13*0.88%</f>
        <v/>
      </c>
      <c r="P31" s="43" t="n"/>
      <c r="Q31" s="1045" t="n"/>
      <c r="R31" s="1062">
        <f>R$13*0.88%</f>
        <v/>
      </c>
      <c r="S31" s="43" t="n"/>
      <c r="T31" s="1045" t="n"/>
      <c r="U31" s="1062">
        <f>U$13*0.88%</f>
        <v/>
      </c>
      <c r="V31" s="43" t="n"/>
      <c r="W31" s="1045" t="n"/>
      <c r="X31" s="1062">
        <f>X$13*0.88%</f>
        <v/>
      </c>
      <c r="Y31" s="43" t="n"/>
      <c r="Z31" s="1045" t="n"/>
      <c r="AA31" s="1062">
        <f>AA$13*0.88%</f>
        <v/>
      </c>
      <c r="AB31" s="43" t="n"/>
      <c r="AC31" s="1045" t="n"/>
      <c r="AD31" s="1062">
        <f>AD$13*0.88%</f>
        <v/>
      </c>
      <c r="AE31" s="43" t="n"/>
      <c r="AF31" s="1045" t="n"/>
      <c r="AG31" s="1062">
        <f>AG$13*0.88%</f>
        <v/>
      </c>
      <c r="AH31" s="43" t="n"/>
      <c r="AI31" s="1045" t="n"/>
      <c r="AJ31" s="1062">
        <f>AJ$13*0.88%</f>
        <v/>
      </c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outlineLevel="1" ht="15" customHeight="1" s="985">
      <c r="B32" s="105" t="inlineStr">
        <is>
          <t>1% Estampilla Prohospital</t>
        </is>
      </c>
      <c r="C32" s="1062">
        <f>C$13*1%</f>
        <v/>
      </c>
      <c r="D32" s="43" t="n"/>
      <c r="E32" s="1045" t="n"/>
      <c r="F32" s="1062">
        <f>F$13*1%</f>
        <v/>
      </c>
      <c r="G32" s="43" t="n"/>
      <c r="H32" s="1045" t="n"/>
      <c r="I32" s="1062">
        <f>I$13*1%</f>
        <v/>
      </c>
      <c r="J32" s="43" t="n"/>
      <c r="K32" s="1045" t="n"/>
      <c r="L32" s="1062">
        <f>L$13*1%</f>
        <v/>
      </c>
      <c r="M32" s="43" t="n"/>
      <c r="N32" s="1045" t="n"/>
      <c r="O32" s="1062">
        <f>O$13*1%</f>
        <v/>
      </c>
      <c r="P32" s="43" t="n"/>
      <c r="Q32" s="1045" t="n"/>
      <c r="R32" s="1062">
        <f>R$13*1%</f>
        <v/>
      </c>
      <c r="S32" s="43" t="n"/>
      <c r="T32" s="1045" t="n"/>
      <c r="U32" s="1062">
        <f>U$13*1%</f>
        <v/>
      </c>
      <c r="V32" s="43" t="n"/>
      <c r="W32" s="1045" t="n"/>
      <c r="X32" s="1062">
        <f>X$13*1%</f>
        <v/>
      </c>
      <c r="Y32" s="43" t="n"/>
      <c r="Z32" s="1045" t="n"/>
      <c r="AA32" s="1062">
        <f>AA$13*1%</f>
        <v/>
      </c>
      <c r="AB32" s="43" t="n"/>
      <c r="AC32" s="1045" t="n"/>
      <c r="AD32" s="1062">
        <f>AD$13*1%</f>
        <v/>
      </c>
      <c r="AE32" s="43" t="n"/>
      <c r="AF32" s="1045" t="n"/>
      <c r="AG32" s="1062">
        <f>AG$13*1%</f>
        <v/>
      </c>
      <c r="AH32" s="43" t="n"/>
      <c r="AI32" s="1045" t="n"/>
      <c r="AJ32" s="1062">
        <f>AJ$13*1%</f>
        <v/>
      </c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outlineLevel="1" ht="15" customHeight="1" s="985">
      <c r="B33" s="105" t="inlineStr">
        <is>
          <t>0,5% Propacifico</t>
        </is>
      </c>
      <c r="C33" s="205">
        <f>C$13*0.5%</f>
        <v/>
      </c>
      <c r="D33" s="43" t="n"/>
      <c r="E33" s="1045" t="n"/>
      <c r="F33" s="205">
        <f>F$13*0.5%</f>
        <v/>
      </c>
      <c r="G33" s="43" t="n"/>
      <c r="H33" s="1045" t="n"/>
      <c r="I33" s="205">
        <f>I$13*0.5%</f>
        <v/>
      </c>
      <c r="J33" s="43" t="n"/>
      <c r="K33" s="1045" t="n"/>
      <c r="L33" s="205">
        <f>L$13*0.5%</f>
        <v/>
      </c>
      <c r="M33" s="43" t="n"/>
      <c r="N33" s="1045" t="n"/>
      <c r="O33" s="205">
        <f>O$13*0.5%</f>
        <v/>
      </c>
      <c r="P33" s="43" t="n"/>
      <c r="Q33" s="1045" t="n"/>
      <c r="R33" s="205">
        <f>R$13*0.5%</f>
        <v/>
      </c>
      <c r="S33" s="43" t="n"/>
      <c r="T33" s="1045" t="n"/>
      <c r="U33" s="205">
        <f>U$13*0.5%</f>
        <v/>
      </c>
      <c r="V33" s="43" t="n"/>
      <c r="W33" s="1045" t="n"/>
      <c r="X33" s="205">
        <f>X$13*0.5%</f>
        <v/>
      </c>
      <c r="Y33" s="43" t="n"/>
      <c r="Z33" s="1045" t="n"/>
      <c r="AA33" s="205">
        <f>AA$13*0.5%</f>
        <v/>
      </c>
      <c r="AB33" s="43" t="n"/>
      <c r="AC33" s="1045" t="n"/>
      <c r="AD33" s="205">
        <f>AD$13*0.5%</f>
        <v/>
      </c>
      <c r="AE33" s="43" t="n"/>
      <c r="AF33" s="1045" t="n"/>
      <c r="AG33" s="205">
        <f>AG$13*0.5%</f>
        <v/>
      </c>
      <c r="AH33" s="43" t="n"/>
      <c r="AI33" s="1045" t="n"/>
      <c r="AJ33" s="205">
        <f>AJ$13*0.5%</f>
        <v/>
      </c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outlineLevel="1" ht="15" customFormat="1" customHeight="1" s="108">
      <c r="A34" s="229" t="n"/>
      <c r="B34" s="105" t="inlineStr">
        <is>
          <t>Retefuente</t>
        </is>
      </c>
      <c r="C34" s="205">
        <f>(C$13*3.5%)*1%</f>
        <v/>
      </c>
      <c r="D34" s="43" t="n"/>
      <c r="E34" s="1045" t="n"/>
      <c r="F34" s="205">
        <f>(F$13*3.5%)*1%</f>
        <v/>
      </c>
      <c r="G34" s="43" t="n"/>
      <c r="H34" s="1045" t="n"/>
      <c r="I34" s="205">
        <f>(I$13*3.5%)*1%</f>
        <v/>
      </c>
      <c r="J34" s="43" t="n"/>
      <c r="K34" s="1045" t="n"/>
      <c r="L34" s="205">
        <f>(L$13*3.5%)*1%</f>
        <v/>
      </c>
      <c r="M34" s="43" t="n"/>
      <c r="N34" s="1045" t="n"/>
      <c r="O34" s="205">
        <f>(O$13*3.5%)*1%</f>
        <v/>
      </c>
      <c r="P34" s="43" t="n"/>
      <c r="Q34" s="1045" t="n"/>
      <c r="R34" s="205">
        <f>(R$13*3.5%)*1%</f>
        <v/>
      </c>
      <c r="S34" s="43" t="n"/>
      <c r="T34" s="1045" t="n"/>
      <c r="U34" s="205">
        <f>(U$13*3.5%)*1%</f>
        <v/>
      </c>
      <c r="V34" s="43" t="n"/>
      <c r="W34" s="1045" t="n"/>
      <c r="X34" s="205">
        <f>(X$13*3.5%)*1%</f>
        <v/>
      </c>
      <c r="Y34" s="43" t="n"/>
      <c r="Z34" s="1045" t="n"/>
      <c r="AA34" s="205">
        <f>(AA$13*3.5%)*1%</f>
        <v/>
      </c>
      <c r="AB34" s="43" t="n"/>
      <c r="AC34" s="1045" t="n"/>
      <c r="AD34" s="205">
        <f>(AD$13*3.5%)*1%</f>
        <v/>
      </c>
      <c r="AE34" s="43" t="n"/>
      <c r="AF34" s="1045" t="n"/>
      <c r="AG34" s="205">
        <f>(AG$13*3.5%)*1%</f>
        <v/>
      </c>
      <c r="AH34" s="43" t="n"/>
      <c r="AI34" s="1045" t="n"/>
      <c r="AJ34" s="205">
        <f>(AJ$13*3.5%)*1%</f>
        <v/>
      </c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outlineLevel="1" ht="15" customHeight="1" s="985">
      <c r="B35" s="104" t="inlineStr">
        <is>
          <t>2% Juzgado de Familia</t>
        </is>
      </c>
      <c r="C35" s="91">
        <f>C13*2%</f>
        <v/>
      </c>
      <c r="D35" s="92" t="n"/>
      <c r="E35" s="1063" t="n"/>
      <c r="F35" s="91">
        <f>F13*2%</f>
        <v/>
      </c>
      <c r="G35" s="92" t="n"/>
      <c r="H35" s="1063" t="n"/>
      <c r="I35" s="91">
        <f>I13*2%</f>
        <v/>
      </c>
      <c r="J35" s="92" t="n"/>
      <c r="K35" s="1063" t="n"/>
      <c r="L35" s="91">
        <f>L13*2%</f>
        <v/>
      </c>
      <c r="M35" s="92" t="n"/>
      <c r="N35" s="1063" t="n"/>
      <c r="O35" s="91">
        <f>O13*2%</f>
        <v/>
      </c>
      <c r="P35" s="92" t="n"/>
      <c r="Q35" s="1063" t="n"/>
      <c r="R35" s="91">
        <f>R13*2%</f>
        <v/>
      </c>
      <c r="S35" s="92" t="n"/>
      <c r="T35" s="1063" t="n"/>
      <c r="U35" s="91">
        <f>U13*2%</f>
        <v/>
      </c>
      <c r="V35" s="92" t="n"/>
      <c r="W35" s="1063" t="n"/>
      <c r="X35" s="91">
        <f>X13*2%</f>
        <v/>
      </c>
      <c r="Y35" s="92" t="n"/>
      <c r="Z35" s="1063" t="n"/>
      <c r="AA35" s="91">
        <f>AA13*2%</f>
        <v/>
      </c>
      <c r="AB35" s="92" t="n"/>
      <c r="AC35" s="1063" t="n"/>
      <c r="AD35" s="91">
        <f>AD13*2%</f>
        <v/>
      </c>
      <c r="AE35" s="92" t="n"/>
      <c r="AF35" s="1063" t="n"/>
      <c r="AG35" s="91">
        <f>AG13*2%</f>
        <v/>
      </c>
      <c r="AH35" s="92" t="n"/>
      <c r="AI35" s="1063" t="n"/>
      <c r="AJ35" s="91">
        <f>AJ13*2%</f>
        <v/>
      </c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outlineLevel="1" ht="15" customHeight="1" s="985">
      <c r="B36" s="30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>
        <f>C36+F36+I36+L36+O36+R36+U36+X36+AA36+AD36+AG36+AJ36</f>
        <v/>
      </c>
      <c r="AN36" s="43" t="n"/>
      <c r="AO36" s="1046" t="n"/>
    </row>
    <row r="37" outlineLevel="1" ht="15" customHeight="1" s="985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outlineLevel="1" ht="15" customHeight="1" s="985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outlineLevel="1" ht="15" customHeight="1" s="985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outlineLevel="1" ht="15" customHeight="1" s="985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outlineLevel="1" ht="15" customHeight="1" s="985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5" thickBot="1" thickTop="1">
      <c r="C43" s="2" t="n"/>
      <c r="D43" s="2" t="n"/>
      <c r="E43" s="1161">
        <f>(C46+C61)/(C13-C20)</f>
        <v/>
      </c>
      <c r="F43" s="734" t="n"/>
      <c r="G43" s="734" t="n"/>
      <c r="H43" s="1161">
        <f>(F46+F61)/(F13-F20)</f>
        <v/>
      </c>
      <c r="I43" s="734" t="n"/>
      <c r="J43" s="734" t="n"/>
      <c r="K43" s="1161">
        <f>(I46+I61)/(I13-I20)</f>
        <v/>
      </c>
      <c r="L43" s="734" t="n"/>
      <c r="M43" s="734" t="n"/>
      <c r="N43" s="1162">
        <f>(L46+L61)/(L13-L20)</f>
        <v/>
      </c>
      <c r="O43" s="734" t="n"/>
      <c r="P43" s="734" t="n"/>
      <c r="Q43" s="1162">
        <f>(O46+O61)/(O13-O20)</f>
        <v/>
      </c>
      <c r="R43" s="734" t="n"/>
      <c r="S43" s="734" t="n"/>
      <c r="T43" s="1162">
        <f>(R46+R61)/(R13-R20)</f>
        <v/>
      </c>
      <c r="U43" s="734" t="n"/>
      <c r="V43" s="734" t="n"/>
      <c r="W43" s="1162">
        <f>(U46+U61)/U13</f>
        <v/>
      </c>
      <c r="X43" s="734" t="n"/>
      <c r="Y43" s="734" t="n"/>
      <c r="Z43" s="1162">
        <f>(X46+X61)/X13</f>
        <v/>
      </c>
      <c r="AA43" s="734" t="n"/>
      <c r="AB43" s="734" t="n"/>
      <c r="AC43" s="1162">
        <f>(AA46+AA61)/AA13</f>
        <v/>
      </c>
      <c r="AD43" s="734" t="n"/>
      <c r="AE43" s="734" t="n"/>
      <c r="AF43" s="1162">
        <f>(AD46+AD61)/AD13</f>
        <v/>
      </c>
      <c r="AG43" s="734" t="n"/>
      <c r="AH43" s="734" t="n"/>
      <c r="AI43" s="1162">
        <f>(AG46+AG61)/(AG13-AG20)</f>
        <v/>
      </c>
      <c r="AJ43" s="734" t="n"/>
      <c r="AK43" s="734" t="n"/>
      <c r="AL43" s="1162">
        <f>(AJ46+AJ61)/(AJ13-AJ20)</f>
        <v/>
      </c>
      <c r="AM43" s="735" t="n"/>
      <c r="AN43" s="734" t="n"/>
      <c r="AO43" s="944">
        <f>(AM46+AM61)/(AM13-AM20)</f>
        <v/>
      </c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>
        <f>C44/C$13</f>
        <v/>
      </c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1069" t="n"/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5">
      <c r="B45" s="16" t="inlineStr">
        <is>
          <t>COSTOS INDUSTRIALIZADOS</t>
        </is>
      </c>
      <c r="C45" s="49">
        <f>+C46+C57</f>
        <v/>
      </c>
      <c r="D45" s="3" t="n"/>
      <c r="E45" s="1053">
        <f>C45/C13</f>
        <v/>
      </c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>
        <f>L45/L13</f>
        <v/>
      </c>
      <c r="O45" s="49">
        <f>+O46+O57</f>
        <v/>
      </c>
      <c r="P45" s="3" t="n"/>
      <c r="Q45" s="1053">
        <f>O45/O13</f>
        <v/>
      </c>
      <c r="R45" s="90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>
        <f>X45/X13</f>
        <v/>
      </c>
      <c r="AA45" s="90">
        <f>+AA46+AA57</f>
        <v/>
      </c>
      <c r="AB45" s="763" t="n"/>
      <c r="AC45" s="1159">
        <f>AA45/AA13</f>
        <v/>
      </c>
      <c r="AD45" s="90">
        <f>+AD46+AD57</f>
        <v/>
      </c>
      <c r="AE45" s="3" t="n"/>
      <c r="AF45" s="1053">
        <f>AD45/AD13</f>
        <v/>
      </c>
      <c r="AG45" s="90">
        <f>+AG46+AG57</f>
        <v/>
      </c>
      <c r="AH45" s="3" t="n"/>
      <c r="AI45" s="1053">
        <f>AG45/AG13</f>
        <v/>
      </c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t="15" customHeight="1" s="985">
      <c r="B46" s="36" t="inlineStr">
        <is>
          <t>INSUMOS CI</t>
        </is>
      </c>
      <c r="C46" s="37">
        <f>SUM(C47:C56)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>
        <f>X46/X13</f>
        <v/>
      </c>
      <c r="AA46" s="37">
        <f>SUM(AA47:AA56)</f>
        <v/>
      </c>
      <c r="AB46" s="67" t="n"/>
      <c r="AC46" s="1071">
        <f>AA46/AA13</f>
        <v/>
      </c>
      <c r="AD46" s="37">
        <f>SUM(AD47:AD56)</f>
        <v/>
      </c>
      <c r="AE46" s="67" t="n"/>
      <c r="AF46" s="1071">
        <f>AD46/AD13</f>
        <v/>
      </c>
      <c r="AG46" s="37">
        <f>SUM(AG47:AG56)</f>
        <v/>
      </c>
      <c r="AH46" s="67" t="n"/>
      <c r="AI46" s="1071">
        <f>AG46/AG13</f>
        <v/>
      </c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t="15" customHeight="1" s="985">
      <c r="A47" s="226" t="inlineStr">
        <is>
          <t xml:space="preserve">7105                </t>
        </is>
      </c>
      <c r="B47" s="97" t="inlineStr">
        <is>
          <t xml:space="preserve">COMPLEMENTO INDUSTRIALIZADO   </t>
        </is>
      </c>
      <c r="C47" s="76">
        <f>'[44]Hoja 1'!$I$41</f>
        <v/>
      </c>
      <c r="D47" s="42">
        <f>C47/C5</f>
        <v/>
      </c>
      <c r="E47" s="1057">
        <f>C47/C16</f>
        <v/>
      </c>
      <c r="F47" s="76">
        <f>'[45]Hoja 1'!$I$50</f>
        <v/>
      </c>
      <c r="G47" s="42">
        <f>F47/F5</f>
        <v/>
      </c>
      <c r="H47" s="1057">
        <f>F47/F16</f>
        <v/>
      </c>
      <c r="I47" s="76" t="n"/>
      <c r="J47" s="42">
        <f>I47/I5</f>
        <v/>
      </c>
      <c r="K47" s="1057">
        <f>I47/I16</f>
        <v/>
      </c>
      <c r="L47" s="76" t="n"/>
      <c r="M47" s="42">
        <f>L47/L5</f>
        <v/>
      </c>
      <c r="N47" s="1057">
        <f>L47/L16</f>
        <v/>
      </c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AA47/AA5</f>
        <v/>
      </c>
      <c r="AC47" s="1057">
        <f>AA47/AA16</f>
        <v/>
      </c>
      <c r="AD47" s="76" t="n"/>
      <c r="AE47" s="42">
        <f>AD47/AD5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 t="n"/>
      <c r="AK47" s="42">
        <f>AJ47/AJ5</f>
        <v/>
      </c>
      <c r="AL47" s="1057">
        <f>AJ47/AJ16</f>
        <v/>
      </c>
      <c r="AM47" s="97">
        <f>C47+F47+I47+L47+O47+R47+U47+X47+AA47+AD47+AG47+AJ47</f>
        <v/>
      </c>
      <c r="AN47" s="42">
        <f>AM47/AM5</f>
        <v/>
      </c>
      <c r="AO47" s="1058">
        <f>AM47/AM16</f>
        <v/>
      </c>
    </row>
    <row r="48" ht="15" customHeight="1" s="985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>
        <f>AM48/AM6</f>
        <v/>
      </c>
      <c r="AO48" s="1046" t="n"/>
    </row>
    <row r="49" ht="15" customHeight="1" s="985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t="15" customHeight="1" s="985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t="15" customHeight="1" s="985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t="15" customHeight="1" s="985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t="15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>
        <f>C54+F54+I54+L54+O54+R54+U54+X54+AA54+AD54+AG54+AJ54</f>
        <v/>
      </c>
      <c r="AN54" s="43" t="n"/>
      <c r="AO54" s="1046" t="n"/>
    </row>
    <row r="55" ht="15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>
        <f>C55+F55+I55+L55+O55+R55+U55+X55+AA55+AD55+AG55+AJ55</f>
        <v/>
      </c>
      <c r="AN55" s="43" t="n"/>
      <c r="AO55" s="1046" t="n"/>
    </row>
    <row r="56" ht="15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>
        <f>C56+F56+I56+L56+O56+R56+U56+X56+AA56+AD56+AG56+AJ56</f>
        <v/>
      </c>
      <c r="AN56" s="42" t="n"/>
      <c r="AO56" s="1058" t="n"/>
    </row>
    <row r="57" ht="15" customHeight="1" s="985">
      <c r="B57" s="36" t="inlineStr">
        <is>
          <t>FLETES CI</t>
        </is>
      </c>
      <c r="C57" s="37">
        <f>SUM(C58:C59)</f>
        <v/>
      </c>
      <c r="D57" s="67">
        <f>C57/C12</f>
        <v/>
      </c>
      <c r="E57" s="1071">
        <f>C57/C13</f>
        <v/>
      </c>
      <c r="F57" s="46">
        <f>SUM(F58:F59)</f>
        <v/>
      </c>
      <c r="G57" s="47">
        <f>F57/(F5+F6)</f>
        <v/>
      </c>
      <c r="H57" s="1049">
        <f>F57/(F16+F17)</f>
        <v/>
      </c>
      <c r="I57" s="46">
        <f>SUM(I58:I59)</f>
        <v/>
      </c>
      <c r="J57" s="47">
        <f>I57/(I5+I6)</f>
        <v/>
      </c>
      <c r="K57" s="1049">
        <f>I57/I17</f>
        <v/>
      </c>
      <c r="L57" s="46">
        <f>SUM(L58:L59)</f>
        <v/>
      </c>
      <c r="M57" s="67">
        <f>L57/(L5+L6)</f>
        <v/>
      </c>
      <c r="N57" s="1071">
        <f>L57/L17</f>
        <v/>
      </c>
      <c r="O57" s="46">
        <f>SUM(O58:O59)</f>
        <v/>
      </c>
      <c r="P57" s="47">
        <f>O57/(O5+O6)</f>
        <v/>
      </c>
      <c r="Q57" s="1049">
        <f>O57/O17</f>
        <v/>
      </c>
      <c r="R57" s="46">
        <f>SUM(R58:R59)</f>
        <v/>
      </c>
      <c r="S57" s="47">
        <f>R57/(R5+R6)</f>
        <v/>
      </c>
      <c r="T57" s="1049">
        <f>R57/R17</f>
        <v/>
      </c>
      <c r="U57" s="46">
        <f>SUM(U58:U59)</f>
        <v/>
      </c>
      <c r="V57" s="47">
        <f>U57/(U5+U6)</f>
        <v/>
      </c>
      <c r="W57" s="1049">
        <f>U57/U17</f>
        <v/>
      </c>
      <c r="X57" s="46">
        <f>SUM(X58:X59)</f>
        <v/>
      </c>
      <c r="Y57" s="47">
        <f>X57/(X5+X6)</f>
        <v/>
      </c>
      <c r="Z57" s="1049" t="n">
        <v>0.06244567797153729</v>
      </c>
      <c r="AA57" s="46">
        <f>SUM(AA58:AA59)</f>
        <v/>
      </c>
      <c r="AB57" s="47">
        <f>AA57/(AA5+AA6)</f>
        <v/>
      </c>
      <c r="AC57" s="1049" t="n">
        <v>0.06244567797153729</v>
      </c>
      <c r="AD57" s="46">
        <f>SUM(AD58:AD59)</f>
        <v/>
      </c>
      <c r="AE57" s="47">
        <f>AD57/(AD5+AD6)</f>
        <v/>
      </c>
      <c r="AF57" s="1049" t="n">
        <v>0.06244567797153729</v>
      </c>
      <c r="AG57" s="46">
        <f>SUM(AG58:AG59)</f>
        <v/>
      </c>
      <c r="AH57" s="47">
        <f>AG57/(AG5+AG6)</f>
        <v/>
      </c>
      <c r="AI57" s="1049" t="n">
        <v>0.06244567797153729</v>
      </c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AM57/(AM5+AM6)</f>
        <v/>
      </c>
      <c r="AO57" s="1050" t="n">
        <v>0.06244567797153729</v>
      </c>
    </row>
    <row r="58" ht="15" customHeight="1" s="985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 t="n"/>
    </row>
    <row r="59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 t="n"/>
    </row>
    <row r="60" ht="15" customHeight="1" s="985">
      <c r="B60" s="16" t="inlineStr">
        <is>
          <t>COSTOS PREPARADOS</t>
        </is>
      </c>
      <c r="C60" s="49">
        <f>+C61+C72+C75+C76+C77</f>
        <v/>
      </c>
      <c r="D60" s="67" t="n"/>
      <c r="E60" s="1071" t="n"/>
      <c r="F60" s="49">
        <f>+F61+F72+F75+F76+F77</f>
        <v/>
      </c>
      <c r="G60" s="3" t="n"/>
      <c r="H60" s="1053" t="n"/>
      <c r="I60" s="49">
        <f>+I61+I72+I75+I76+I77</f>
        <v/>
      </c>
      <c r="J60" s="3" t="n"/>
      <c r="K60" s="1053" t="n"/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90">
        <f>+R61+R72+R75+R76+R77</f>
        <v/>
      </c>
      <c r="S60" s="3" t="n"/>
      <c r="T60" s="1053" t="n"/>
      <c r="U60" s="90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90">
        <f>+AA61+AA72+AA75+AA76+AA77</f>
        <v/>
      </c>
      <c r="AB60" s="763" t="n"/>
      <c r="AC60" s="1159" t="n"/>
      <c r="AD60" s="90">
        <f>+AD61+AD72+AD75+AD76+AD77</f>
        <v/>
      </c>
      <c r="AE60" s="3" t="n"/>
      <c r="AF60" s="1053" t="n"/>
      <c r="AG60" s="90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t="15" customHeight="1" s="985">
      <c r="B61" s="36" t="inlineStr">
        <is>
          <t>INSUMOS CP</t>
        </is>
      </c>
      <c r="C61" s="37">
        <f>SUM(C62:C71)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 t="n"/>
      <c r="Q61" s="1071" t="n"/>
      <c r="R61" s="37">
        <f>SUM(R62:R71)</f>
        <v/>
      </c>
      <c r="S61" s="67" t="n"/>
      <c r="T61" s="1071" t="n"/>
      <c r="U61" s="37">
        <f>SUM(U62:U71)</f>
        <v/>
      </c>
      <c r="V61" s="67" t="n"/>
      <c r="W61" s="1071">
        <f>U61/(U17+U18+U19)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 t="n"/>
      <c r="AO61" s="1072" t="n"/>
    </row>
    <row r="62" ht="15" customHeight="1" s="985">
      <c r="A62" s="226" t="inlineStr">
        <is>
          <t xml:space="preserve">7105                </t>
        </is>
      </c>
      <c r="B62" s="100" t="inlineStr">
        <is>
          <t xml:space="preserve">COMPLEMENTO PREPARADO AM   </t>
        </is>
      </c>
      <c r="C62" s="78">
        <f>'[44]Hoja 1'!$I$40</f>
        <v/>
      </c>
      <c r="D62" s="79">
        <f>C62/C6</f>
        <v/>
      </c>
      <c r="E62" s="1055">
        <f>C62/C17</f>
        <v/>
      </c>
      <c r="F62" s="78">
        <f>'[45]Hoja 1'!$I$49-'[45]Hoja 1'!$E$45</f>
        <v/>
      </c>
      <c r="G62" s="79">
        <f>F62/F6</f>
        <v/>
      </c>
      <c r="H62" s="1055">
        <f>F62/F17</f>
        <v/>
      </c>
      <c r="I62" s="78" t="n"/>
      <c r="J62" s="79">
        <f>I62/I6</f>
        <v/>
      </c>
      <c r="K62" s="1055">
        <f>I62/I17</f>
        <v/>
      </c>
      <c r="L62" s="78" t="n"/>
      <c r="M62" s="79">
        <f>L62/L6</f>
        <v/>
      </c>
      <c r="N62" s="1055">
        <f>L62/L17</f>
        <v/>
      </c>
      <c r="O62" s="78" t="n"/>
      <c r="P62" s="79">
        <f>O62/O6</f>
        <v/>
      </c>
      <c r="Q62" s="1055">
        <f>O62/O17</f>
        <v/>
      </c>
      <c r="R62" s="78" t="n"/>
      <c r="S62" s="79">
        <f>R62/R6</f>
        <v/>
      </c>
      <c r="T62" s="1055">
        <f>R62/R17</f>
        <v/>
      </c>
      <c r="U62" s="78" t="n"/>
      <c r="V62" s="79">
        <f>U62/U6</f>
        <v/>
      </c>
      <c r="W62" s="1055">
        <f>U62/U17</f>
        <v/>
      </c>
      <c r="X62" s="78" t="n"/>
      <c r="Y62" s="79">
        <f>X62/X6</f>
        <v/>
      </c>
      <c r="Z62" s="1055">
        <f>X62/X17</f>
        <v/>
      </c>
      <c r="AA62" s="78" t="n"/>
      <c r="AB62" s="79">
        <f>AA62/AA6</f>
        <v/>
      </c>
      <c r="AC62" s="1055">
        <f>AA62/AA17</f>
        <v/>
      </c>
      <c r="AD62" s="78" t="n"/>
      <c r="AE62" s="79">
        <f>AD62/AD6</f>
        <v/>
      </c>
      <c r="AF62" s="1055">
        <f>AD62/AD17</f>
        <v/>
      </c>
      <c r="AG62" s="78" t="n"/>
      <c r="AH62" s="79">
        <f>AG62/AG6</f>
        <v/>
      </c>
      <c r="AI62" s="1055">
        <f>AG62/AG17</f>
        <v/>
      </c>
      <c r="AJ62" s="78" t="n"/>
      <c r="AK62" s="79">
        <f>AJ62/AJ6</f>
        <v/>
      </c>
      <c r="AL62" s="1055">
        <f>AJ62/AJ17</f>
        <v/>
      </c>
      <c r="AM62" s="212">
        <f>C62+F62+I62+L62+O62+R62+U62+X62+AA62+AD62+AG62+AJ62</f>
        <v/>
      </c>
      <c r="AN62" s="79">
        <f>AM62/AM6</f>
        <v/>
      </c>
      <c r="AO62" s="1056">
        <f>AM62/AM17</f>
        <v/>
      </c>
    </row>
    <row r="63" ht="15" customHeight="1" s="985">
      <c r="A63" s="226" t="inlineStr">
        <is>
          <t xml:space="preserve">7105                </t>
        </is>
      </c>
      <c r="B63" s="101" t="inlineStr">
        <is>
          <t xml:space="preserve">COMPLEMENTO PREPARADO PM    </t>
        </is>
      </c>
      <c r="C63" s="25">
        <f>'[44]Hoja 1'!$I$42</f>
        <v/>
      </c>
      <c r="D63" s="43">
        <f>C63/C7</f>
        <v/>
      </c>
      <c r="E63" s="1045">
        <f>C63/C18</f>
        <v/>
      </c>
      <c r="F63" s="25">
        <f>'[45]Hoja 1'!$I$51</f>
        <v/>
      </c>
      <c r="G63" s="43">
        <f>F63/F7</f>
        <v/>
      </c>
      <c r="H63" s="1045">
        <f>F63/F18</f>
        <v/>
      </c>
      <c r="I63" s="25" t="n"/>
      <c r="J63" s="43">
        <f>I63/I7</f>
        <v/>
      </c>
      <c r="K63" s="1045">
        <f>I63/I18</f>
        <v/>
      </c>
      <c r="L63" s="25" t="n"/>
      <c r="M63" s="43">
        <f>L63/L7</f>
        <v/>
      </c>
      <c r="N63" s="1045">
        <f>L63/L18</f>
        <v/>
      </c>
      <c r="O63" s="25" t="n"/>
      <c r="P63" s="43">
        <f>O63/O7</f>
        <v/>
      </c>
      <c r="Q63" s="1045">
        <f>O63/O18</f>
        <v/>
      </c>
      <c r="R63" s="25" t="n"/>
      <c r="S63" s="43">
        <f>R63/R7</f>
        <v/>
      </c>
      <c r="T63" s="1045">
        <f>R63/R18</f>
        <v/>
      </c>
      <c r="U63" s="25" t="n"/>
      <c r="V63" s="43">
        <f>U63/U7</f>
        <v/>
      </c>
      <c r="W63" s="1045">
        <f>U63/U18</f>
        <v/>
      </c>
      <c r="X63" s="25" t="n"/>
      <c r="Y63" s="43">
        <f>X63/X7</f>
        <v/>
      </c>
      <c r="Z63" s="1045">
        <f>X63/X18</f>
        <v/>
      </c>
      <c r="AA63" s="25" t="n"/>
      <c r="AB63" s="43">
        <f>AA63/AA7</f>
        <v/>
      </c>
      <c r="AC63" s="1045">
        <f>AA63/AA18</f>
        <v/>
      </c>
      <c r="AD63" s="25" t="n"/>
      <c r="AE63" s="43">
        <f>AD63/AD7</f>
        <v/>
      </c>
      <c r="AF63" s="1045">
        <f>AD63/AD18</f>
        <v/>
      </c>
      <c r="AG63" s="25" t="n"/>
      <c r="AH63" s="43">
        <f>AG63/AG7</f>
        <v/>
      </c>
      <c r="AI63" s="1045">
        <f>AG63/AG18</f>
        <v/>
      </c>
      <c r="AJ63" s="25" t="n"/>
      <c r="AK63" s="43">
        <f>AJ63/AJ7</f>
        <v/>
      </c>
      <c r="AL63" s="1045">
        <f>AJ63/AJ18</f>
        <v/>
      </c>
      <c r="AM63" s="205">
        <f>C63+F63+I63+L63+O63+R63+U63+X63+AA63+AD63+AG63+AJ63</f>
        <v/>
      </c>
      <c r="AN63" s="43">
        <f>AM63/AM7</f>
        <v/>
      </c>
      <c r="AO63" s="1046">
        <f>AM63/AM18</f>
        <v/>
      </c>
    </row>
    <row r="64" ht="15" customHeight="1" s="985">
      <c r="B64" s="25" t="inlineStr">
        <is>
          <t xml:space="preserve">ALMUERZO JORNADA UNICA    </t>
        </is>
      </c>
      <c r="C64" s="25">
        <f>'[44]Hoja 1'!$I$43</f>
        <v/>
      </c>
      <c r="D64" s="43">
        <f>C64/C8</f>
        <v/>
      </c>
      <c r="E64" s="1045">
        <f>C64/C19</f>
        <v/>
      </c>
      <c r="F64" s="25">
        <f>'[45]Hoja 1'!$I$52</f>
        <v/>
      </c>
      <c r="G64" s="43">
        <f>F64/F8</f>
        <v/>
      </c>
      <c r="H64" s="1045">
        <f>F64/F19</f>
        <v/>
      </c>
      <c r="I64" s="25" t="n"/>
      <c r="J64" s="43">
        <f>I64/I8</f>
        <v/>
      </c>
      <c r="K64" s="1045">
        <f>I64/I19</f>
        <v/>
      </c>
      <c r="L64" s="25" t="n"/>
      <c r="M64" s="43">
        <f>L64/L8</f>
        <v/>
      </c>
      <c r="N64" s="1045">
        <f>L64/L19</f>
        <v/>
      </c>
      <c r="O64" s="25" t="n"/>
      <c r="P64" s="43">
        <f>O64/O8</f>
        <v/>
      </c>
      <c r="Q64" s="1045">
        <f>O64/O19</f>
        <v/>
      </c>
      <c r="R64" s="25" t="n"/>
      <c r="S64" s="43">
        <f>R64/R8</f>
        <v/>
      </c>
      <c r="T64" s="1045">
        <f>R64/R19</f>
        <v/>
      </c>
      <c r="U64" s="25" t="n"/>
      <c r="V64" s="43">
        <f>U64/U8</f>
        <v/>
      </c>
      <c r="W64" s="1045">
        <f>U64/U19</f>
        <v/>
      </c>
      <c r="X64" s="25" t="n"/>
      <c r="Y64" s="43">
        <f>X64/X8</f>
        <v/>
      </c>
      <c r="Z64" s="1045">
        <f>X64/X19</f>
        <v/>
      </c>
      <c r="AA64" s="25" t="n"/>
      <c r="AB64" s="43">
        <f>AA64/AA8</f>
        <v/>
      </c>
      <c r="AC64" s="1045">
        <f>AA64/AA19</f>
        <v/>
      </c>
      <c r="AD64" s="25" t="n"/>
      <c r="AE64" s="43">
        <f>AD64/AD8</f>
        <v/>
      </c>
      <c r="AF64" s="1045">
        <f>AD64/AD19</f>
        <v/>
      </c>
      <c r="AG64" s="25" t="n"/>
      <c r="AH64" s="43">
        <f>AG64/AG8</f>
        <v/>
      </c>
      <c r="AI64" s="1045">
        <f>AG64/AG19</f>
        <v/>
      </c>
      <c r="AJ64" s="25" t="n"/>
      <c r="AK64" s="43">
        <f>AJ64/AJ8</f>
        <v/>
      </c>
      <c r="AL64" s="1045">
        <f>AJ64/AJ19</f>
        <v/>
      </c>
      <c r="AM64" s="205">
        <f>C64+F64+I64+L64+O64+R64+U64+X64+AA64+AD64+AG64+AJ64</f>
        <v/>
      </c>
      <c r="AN64" s="43">
        <f>AM64/AM8</f>
        <v/>
      </c>
      <c r="AO64" s="1045">
        <f>AM64/AM19</f>
        <v/>
      </c>
    </row>
    <row r="65" ht="15" customHeight="1" s="985">
      <c r="B65" s="25" t="inlineStr">
        <is>
          <t>RACION MANIPULADORAS</t>
        </is>
      </c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t="15" customHeight="1" s="985">
      <c r="B66" s="25" t="inlineStr">
        <is>
          <t>MEJORAMIENTO DE MENU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t="15" customHeight="1" s="985">
      <c r="B67" s="25" t="inlineStr">
        <is>
          <t>REFRIGERIOS</t>
        </is>
      </c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>
        <f>C67+F67+I67+L67+O67+R67+U67+X67+AA67+AD67+AG67+AJ67</f>
        <v/>
      </c>
      <c r="AN67" s="43" t="n"/>
      <c r="AO67" s="1046" t="n"/>
    </row>
    <row r="68" ht="15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752" t="n"/>
      <c r="AB68" s="808" t="n"/>
      <c r="AC68" s="1163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 t="n"/>
      <c r="AO68" s="1046" t="n"/>
    </row>
    <row r="69" ht="15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752" t="n"/>
      <c r="AB69" s="808" t="n"/>
      <c r="AC69" s="1163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 t="n"/>
      <c r="AO69" s="1046" t="n"/>
    </row>
    <row r="70" ht="15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873" t="n"/>
      <c r="AB70" s="877" t="n"/>
      <c r="AC70" s="1164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 t="n"/>
      <c r="AO70" s="1046" t="n"/>
    </row>
    <row r="71" ht="15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74" t="n"/>
      <c r="AB71" s="875" t="n"/>
      <c r="AC71" s="1165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t="15" customHeight="1" s="985">
      <c r="B72" s="36" t="inlineStr">
        <is>
          <t>FLETES CP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71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 t="n"/>
      <c r="AL72" s="1049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5">
      <c r="B73" s="412" t="inlineStr">
        <is>
          <t>PREPARADOS PROPIOS</t>
        </is>
      </c>
      <c r="C73" s="78">
        <f>'GASTOS VEHICULOS'!C25*'%DIST'!B20</f>
        <v/>
      </c>
      <c r="D73" s="79" t="n"/>
      <c r="E73" s="1055" t="n"/>
      <c r="F73" s="78">
        <f>'GASTOS VEHICULOS'!D25*'%DIST'!D20</f>
        <v/>
      </c>
      <c r="G73" s="79" t="n"/>
      <c r="H73" s="1055" t="n"/>
      <c r="I73" s="78">
        <f>'GASTOS VEHICULOS'!E25*'%DIST'!F20</f>
        <v/>
      </c>
      <c r="J73" s="79" t="n"/>
      <c r="K73" s="1055" t="n"/>
      <c r="L73" s="78">
        <f>'GASTOS VEHICULOS'!F25*'%DIST'!H20</f>
        <v/>
      </c>
      <c r="M73" s="79" t="n"/>
      <c r="N73" s="1055" t="n"/>
      <c r="O73" s="78">
        <f>'GASTOS VEHICULOS'!G25*'%DIST'!J20</f>
        <v/>
      </c>
      <c r="P73" s="79" t="n"/>
      <c r="Q73" s="1055" t="n"/>
      <c r="R73" s="78">
        <f>'GASTOS VEHICULOS'!H25*'%DIST'!L20</f>
        <v/>
      </c>
      <c r="S73" s="79" t="n"/>
      <c r="T73" s="1055" t="n"/>
      <c r="U73" s="78">
        <f>'GASTOS VEHICULOS'!I25*'%DIST'!N20</f>
        <v/>
      </c>
      <c r="V73" s="79" t="n"/>
      <c r="W73" s="1055" t="n"/>
      <c r="X73" s="78">
        <f>'GASTOS VEHICULOS'!J25*'%DIST'!P20</f>
        <v/>
      </c>
      <c r="Y73" s="79" t="n"/>
      <c r="Z73" s="1055" t="n"/>
      <c r="AA73" s="78">
        <f>'GASTOS VEHICULOS'!K25*'%DIST'!R20</f>
        <v/>
      </c>
      <c r="AB73" s="79" t="n"/>
      <c r="AC73" s="1055" t="n"/>
      <c r="AD73" s="78">
        <f>'GASTOS VEHICULOS'!L25*'%DIST'!T20</f>
        <v/>
      </c>
      <c r="AE73" s="79" t="n"/>
      <c r="AF73" s="1055" t="n"/>
      <c r="AG73" s="78">
        <f>'GASTOS VEHICULOS'!M25*'%DIST'!V20</f>
        <v/>
      </c>
      <c r="AH73" s="79" t="n"/>
      <c r="AI73" s="1055" t="n"/>
      <c r="AJ73" s="78">
        <f>'GASTOS VEHICULOS'!N25*'%DIST'!X20</f>
        <v/>
      </c>
      <c r="AK73" s="305" t="n"/>
      <c r="AL73" s="86" t="n"/>
      <c r="AM73" s="414">
        <f>C73+F73+I73+L73+O73+R73+U73+X73+AA73+AD73+AG73+AJ73</f>
        <v/>
      </c>
      <c r="AN73" s="305" t="n"/>
      <c r="AO73" s="1117" t="n"/>
    </row>
    <row r="74" ht="15" customHeight="1" s="985">
      <c r="A74" s="226" t="inlineStr">
        <is>
          <t xml:space="preserve">73355001            </t>
        </is>
      </c>
      <c r="B74" s="416" t="inlineStr">
        <is>
          <t>PREPARADOS TERCEROS</t>
        </is>
      </c>
      <c r="C74" s="273">
        <f>'[9]Hoja 1'!$C$592+'[16]Hoja 1'!$D$129</f>
        <v/>
      </c>
      <c r="D74" s="134" t="n"/>
      <c r="E74" s="1118" t="n"/>
      <c r="F74" s="273">
        <f>'[20]Hoja 1'!$C$203</f>
        <v/>
      </c>
      <c r="G74" s="134" t="n"/>
      <c r="H74" s="1118" t="n"/>
      <c r="I74" s="273" t="n"/>
      <c r="J74" s="134" t="n"/>
      <c r="K74" s="1118" t="n"/>
      <c r="L74" s="273" t="n"/>
      <c r="M74" s="134" t="n"/>
      <c r="N74" s="1118" t="n"/>
      <c r="O74" s="273" t="n"/>
      <c r="P74" s="134" t="n"/>
      <c r="Q74" s="1118" t="n"/>
      <c r="R74" s="273" t="n"/>
      <c r="S74" s="134" t="n"/>
      <c r="T74" s="1118" t="n"/>
      <c r="U74" s="273" t="n"/>
      <c r="V74" s="134" t="n"/>
      <c r="W74" s="1118" t="n"/>
      <c r="X74" s="273" t="n"/>
      <c r="Y74" s="134" t="n"/>
      <c r="Z74" s="1118" t="n"/>
      <c r="AA74" s="273" t="n"/>
      <c r="AB74" s="134" t="n"/>
      <c r="AC74" s="1118" t="n"/>
      <c r="AD74" s="273" t="n"/>
      <c r="AE74" s="134" t="n"/>
      <c r="AF74" s="1118" t="n"/>
      <c r="AG74" s="273" t="n"/>
      <c r="AH74" s="134" t="n"/>
      <c r="AI74" s="1118" t="n"/>
      <c r="AJ74" s="273" t="n"/>
      <c r="AK74" s="84" t="n"/>
      <c r="AL74" s="85" t="n"/>
      <c r="AM74" s="206">
        <f>C74+F74+I74+L74+O74+R74+U74+X74+AA74+AD74+AG74+AJ74</f>
        <v/>
      </c>
      <c r="AN74" s="84" t="n"/>
      <c r="AO74" s="1114" t="n"/>
    </row>
    <row r="75" ht="15" customHeight="1" s="985">
      <c r="A75" s="226" t="inlineStr">
        <is>
          <t xml:space="preserve">71100501            </t>
        </is>
      </c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>
        <f>AM75/AM12</f>
        <v/>
      </c>
      <c r="AO75" s="1072" t="n"/>
    </row>
    <row r="76" ht="15" customHeight="1" s="985">
      <c r="A76" s="226" t="inlineStr">
        <is>
          <t xml:space="preserve">71101501            </t>
        </is>
      </c>
      <c r="B76" s="36" t="inlineStr">
        <is>
          <t>Menaje</t>
        </is>
      </c>
      <c r="C76" s="37">
        <f>'[9]Hoja 1'!$C$558</f>
        <v/>
      </c>
      <c r="D76" s="67" t="n"/>
      <c r="E76" s="1071" t="n"/>
      <c r="F76" s="37">
        <f>'[10]Hoja 1'!$C$521</f>
        <v/>
      </c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>
        <f>AM76/(AM6+AM7)</f>
        <v/>
      </c>
      <c r="AO76" s="1075">
        <f>AM76/$AM$13</f>
        <v/>
      </c>
    </row>
    <row r="77" ht="15" customHeight="1" s="985">
      <c r="A77" s="226" t="inlineStr">
        <is>
          <t xml:space="preserve">73355501            </t>
        </is>
      </c>
      <c r="B77" s="66" t="inlineStr">
        <is>
          <t>Servicio de Gas</t>
        </is>
      </c>
      <c r="C77" s="28">
        <f>'[16]Hoja 1'!$D$131</f>
        <v/>
      </c>
      <c r="D77" s="45" t="n"/>
      <c r="E77" s="1166" t="n"/>
      <c r="F77" s="28">
        <f>'[20]Hoja 1'!$C$205</f>
        <v/>
      </c>
      <c r="G77" s="45" t="n"/>
      <c r="H77" s="1166" t="n"/>
      <c r="I77" s="28" t="n"/>
      <c r="J77" s="45" t="n"/>
      <c r="K77" s="1166" t="n"/>
      <c r="L77" s="28" t="n"/>
      <c r="M77" s="45" t="n"/>
      <c r="N77" s="1166" t="n"/>
      <c r="O77" s="28" t="n"/>
      <c r="P77" s="45" t="n"/>
      <c r="Q77" s="1166" t="n"/>
      <c r="R77" s="28" t="n"/>
      <c r="S77" s="45" t="n"/>
      <c r="T77" s="1166" t="n"/>
      <c r="U77" s="28" t="n"/>
      <c r="V77" s="45" t="n"/>
      <c r="W77" s="1166" t="n"/>
      <c r="X77" s="28" t="n"/>
      <c r="Y77" s="45" t="n"/>
      <c r="Z77" s="1166" t="n"/>
      <c r="AA77" s="28" t="n"/>
      <c r="AB77" s="45" t="n"/>
      <c r="AC77" s="1166" t="n"/>
      <c r="AD77" s="28" t="n"/>
      <c r="AE77" s="45" t="n"/>
      <c r="AF77" s="1166" t="n"/>
      <c r="AG77" s="28" t="n"/>
      <c r="AH77" s="45" t="n"/>
      <c r="AI77" s="1166" t="n"/>
      <c r="AJ77" s="28" t="n"/>
      <c r="AK77" s="45" t="n"/>
      <c r="AL77" s="1166" t="n"/>
      <c r="AM77" s="26">
        <f>C77+F77+I77+L77+O77+R77+U77+X77+AA77+AD77+AG77+AJ77</f>
        <v/>
      </c>
      <c r="AN77" s="42">
        <f>AM77/(AM6+AM7)</f>
        <v/>
      </c>
      <c r="AO77" s="1075">
        <f>AM77/$AM$13</f>
        <v/>
      </c>
      <c r="AP77" s="1167" t="n"/>
    </row>
    <row r="78" ht="15" customHeight="1" s="985">
      <c r="B78" s="16" t="inlineStr">
        <is>
          <t>MANO DE OBRA DIRECTA</t>
        </is>
      </c>
      <c r="C78" s="49">
        <f>SUM(C79:C81)</f>
        <v/>
      </c>
      <c r="D78" s="3" t="n"/>
      <c r="E78" s="1053">
        <f>C78/(C$13)</f>
        <v/>
      </c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90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>
        <f>AM78/AM$12</f>
        <v/>
      </c>
      <c r="AO78" s="1076">
        <f>AM78/(AM$13)</f>
        <v/>
      </c>
    </row>
    <row r="79" ht="15" customHeight="1" s="985">
      <c r="B79" s="39" t="inlineStr">
        <is>
          <t>Manipuladoras</t>
        </is>
      </c>
      <c r="C79" s="728">
        <f>'[27]Hoja 1'!$E$13+'[28]Hoja 1'!$E$14</f>
        <v/>
      </c>
      <c r="D79" s="267" t="n"/>
      <c r="E79" s="1077" t="n"/>
      <c r="F79" s="728">
        <f>'[35]Hoja 1'!$I$20-25458943+'[46]Hoja 1'!$C$27</f>
        <v/>
      </c>
      <c r="G79" s="69" t="n"/>
      <c r="H79" s="1077" t="n"/>
      <c r="I79" s="728" t="n"/>
      <c r="J79" s="69" t="n"/>
      <c r="K79" s="1077" t="n"/>
      <c r="L79" s="728" t="n"/>
      <c r="M79" s="69" t="n"/>
      <c r="N79" s="1077" t="n"/>
      <c r="O79" s="728" t="n"/>
      <c r="P79" s="69" t="n"/>
      <c r="Q79" s="1077" t="n"/>
      <c r="R79" s="728" t="n"/>
      <c r="S79" s="69" t="n"/>
      <c r="T79" s="1077" t="n"/>
      <c r="U79" s="728" t="n"/>
      <c r="V79" s="69" t="n"/>
      <c r="W79" s="1077" t="n"/>
      <c r="X79" s="728" t="n"/>
      <c r="Y79" s="69" t="n"/>
      <c r="Z79" s="1077" t="n"/>
      <c r="AA79" s="728" t="n"/>
      <c r="AB79" s="69" t="n"/>
      <c r="AC79" s="1077" t="n"/>
      <c r="AD79" s="728" t="n"/>
      <c r="AE79" s="69" t="n"/>
      <c r="AF79" s="1077" t="n"/>
      <c r="AG79" s="728" t="n"/>
      <c r="AH79" s="69" t="n"/>
      <c r="AI79" s="1077" t="n"/>
      <c r="AJ79" s="897" t="n"/>
      <c r="AK79" s="69" t="n"/>
      <c r="AL79" s="70" t="n"/>
      <c r="AM79" s="268">
        <f>C79+F79+I79+L79+O79+R79+U79+X79+AA79+AD79+AG79+AJ79</f>
        <v/>
      </c>
      <c r="AN79" s="4">
        <f>AM79/AM$12</f>
        <v/>
      </c>
      <c r="AO79" s="1078">
        <f>AM79/AM13</f>
        <v/>
      </c>
      <c r="AP79" s="356" t="n"/>
    </row>
    <row r="80" ht="15" customFormat="1" customHeight="1" s="108">
      <c r="A80" s="229" t="n"/>
      <c r="B80" s="25" t="inlineStr">
        <is>
          <t>Personal Supervisor - Coordinadores</t>
        </is>
      </c>
      <c r="C80" s="25">
        <f>'[21]Hoja 1'!$D$25+'[21]Hoja 1'!$D$28+'[22]Hoja 1'!$D$24</f>
        <v/>
      </c>
      <c r="D80" s="272" t="n"/>
      <c r="E80" s="1045" t="n"/>
      <c r="F80" s="25">
        <f>'[29]Hoja 1'!$D$30+'[29]Hoja 1'!$D$31+'[35]Hoja 1'!$D$19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81" t="n"/>
      <c r="AK80" s="43" t="n"/>
      <c r="AL80" s="57" t="n"/>
      <c r="AM80" s="205">
        <f>C80+F80+I80+L80+O80+R80+U80+X80+AA80+AD80+AG80+AJ80</f>
        <v/>
      </c>
      <c r="AN80" s="43" t="n"/>
      <c r="AO80" s="1046">
        <f>AM80/AM13</f>
        <v/>
      </c>
    </row>
    <row r="81" ht="15" customHeight="1" s="985" thickBot="1">
      <c r="B81" s="98" t="inlineStr">
        <is>
          <t>Temporales MOD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>
        <v>272352504.49</v>
      </c>
      <c r="S82" s="2" t="n"/>
      <c r="T82" s="1067" t="n"/>
      <c r="U82" s="2" t="n">
        <v>250</v>
      </c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511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>
        <f>C84/C13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5">
      <c r="B85" s="39" t="inlineStr">
        <is>
          <t>Costos Indirectos de Personal</t>
        </is>
      </c>
      <c r="C85" s="39">
        <f>'GASTOS OPERATIVOS'!C17*'%DIST'!C4</f>
        <v/>
      </c>
      <c r="D85" s="69" t="n"/>
      <c r="E85" s="1077" t="n"/>
      <c r="F85" s="39">
        <f>'GASTOS OPERATIVOS'!D17*'%DIST'!E4</f>
        <v/>
      </c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1168" t="n"/>
      <c r="AO85" s="1082">
        <f>AM85/(AM$13)</f>
        <v/>
      </c>
    </row>
    <row r="86" ht="15" customFormat="1" customHeight="1" s="108">
      <c r="A86" s="229" t="inlineStr">
        <is>
          <t xml:space="preserve">72055101            </t>
        </is>
      </c>
      <c r="B86" s="25" t="inlineStr">
        <is>
          <t>Dotación y Suministros</t>
        </is>
      </c>
      <c r="C86" s="25" t="n"/>
      <c r="D86" s="43" t="n"/>
      <c r="E86" s="1045" t="n"/>
      <c r="F86" s="25">
        <f>'[20]Hoja 1'!$C$179</f>
        <v/>
      </c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81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5">
        <f>AM86/(AM$13)</f>
        <v/>
      </c>
    </row>
    <row r="87" ht="15" customFormat="1" customHeight="1" s="108">
      <c r="A87" s="229" t="inlineStr">
        <is>
          <t xml:space="preserve">72058401            </t>
        </is>
      </c>
      <c r="B87" s="97" t="inlineStr">
        <is>
          <t>Gastos Medicos</t>
        </is>
      </c>
      <c r="C87" s="22">
        <f>'[16]Hoja 1'!$D$118</f>
        <v/>
      </c>
      <c r="D87" s="42" t="n"/>
      <c r="E87" s="1057" t="n"/>
      <c r="F87" s="25">
        <f>'[10]Hoja 1'!$C$553</f>
        <v/>
      </c>
      <c r="G87" s="146" t="n"/>
      <c r="H87" s="1057" t="n"/>
      <c r="I87" s="22" t="n"/>
      <c r="J87" s="42" t="n"/>
      <c r="K87" s="1057" t="n"/>
      <c r="L87" s="25" t="n"/>
      <c r="M87" s="42" t="n"/>
      <c r="N87" s="1057" t="n"/>
      <c r="O87" s="25" t="n"/>
      <c r="P87" s="42" t="n"/>
      <c r="Q87" s="1057" t="n"/>
      <c r="R87" s="25" t="n"/>
      <c r="S87" s="42" t="n"/>
      <c r="T87" s="1057" t="n"/>
      <c r="U87" s="22" t="n"/>
      <c r="V87" s="42" t="n"/>
      <c r="W87" s="1057" t="n"/>
      <c r="X87" s="25" t="n"/>
      <c r="Y87" s="42" t="n"/>
      <c r="Z87" s="1057" t="n"/>
      <c r="AA87" s="25" t="n"/>
      <c r="AB87" s="42" t="n"/>
      <c r="AC87" s="1057" t="n"/>
      <c r="AD87" s="25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>
        <f>AM87/(AM$13)</f>
        <v/>
      </c>
    </row>
    <row r="88" ht="15" customHeight="1" s="985">
      <c r="A88" s="226" t="inlineStr">
        <is>
          <t xml:space="preserve">53954002            </t>
        </is>
      </c>
      <c r="B88" s="206" t="inlineStr">
        <is>
          <t>Incapacidades</t>
        </is>
      </c>
      <c r="C88" s="83" t="n"/>
      <c r="D88" s="84" t="n"/>
      <c r="E88" s="1047" t="n"/>
      <c r="F88" s="83">
        <f>'[20]Hoja 1'!$C$153</f>
        <v/>
      </c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</row>
    <row r="89" ht="15" customHeight="1" s="985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 t="n"/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 t="n"/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5">
      <c r="B90" s="39" t="inlineStr">
        <is>
          <t>Asesoría Juridica</t>
        </is>
      </c>
      <c r="C90" s="964">
        <f>'[47]Hoja 1'!$C$646</f>
        <v/>
      </c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</row>
    <row r="91" outlineLevel="1" ht="15" customHeight="1" s="985">
      <c r="B91" s="83" t="inlineStr">
        <is>
          <t>Asesoría Tecnica/ Capacitaciones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</row>
    <row r="92" ht="15" customHeight="1" s="985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 t="n"/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 t="n"/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</row>
    <row r="94" outlineLevel="1" ht="15" customHeight="1" s="985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</row>
    <row r="95" outlineLevel="1" ht="15" customHeight="1" s="985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</row>
    <row r="96" ht="15" customHeight="1" s="985">
      <c r="B96" s="106" t="inlineStr">
        <is>
          <t>SEGUROS</t>
        </is>
      </c>
      <c r="C96" s="49">
        <f>SUM(C97:C98)</f>
        <v/>
      </c>
      <c r="D96" s="3" t="n"/>
      <c r="E96" s="1053">
        <f>C96/(AM$13)</f>
        <v/>
      </c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 t="n"/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 t="n"/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>
        <f>AM96/AM12</f>
        <v/>
      </c>
      <c r="AO96" s="1076">
        <f>AM96/(AM$13)</f>
        <v/>
      </c>
    </row>
    <row r="97" outlineLevel="1" ht="15" customFormat="1" customHeight="1" s="108">
      <c r="A97" s="229" t="n"/>
      <c r="B97" s="39" t="inlineStr">
        <is>
          <t xml:space="preserve">Cumplimiento </t>
        </is>
      </c>
      <c r="C97" s="964">
        <f>'[47]Hoja 1'!$C$649+'[16]Hoja 1'!$D$122</f>
        <v/>
      </c>
      <c r="D97" s="69" t="n"/>
      <c r="E97" s="1077" t="n"/>
      <c r="F97" s="39">
        <f>'[20]Hoja 1'!$C$195</f>
        <v/>
      </c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</row>
    <row r="98" outlineLevel="1" ht="15" customFormat="1" customHeight="1" s="108">
      <c r="A98" s="229" t="n"/>
      <c r="B98" s="275" t="inlineStr">
        <is>
          <t>Responsabilidad Civil Y Extracontractual</t>
        </is>
      </c>
      <c r="C98" s="275">
        <f>'[16]Hoja 1'!$D$124</f>
        <v/>
      </c>
      <c r="D98" s="276" t="n"/>
      <c r="E98" s="1084" t="n"/>
      <c r="F98" s="275">
        <f>'[20]Hoja 1'!$C$197</f>
        <v/>
      </c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1053">
        <f>F99/(F$13)</f>
        <v/>
      </c>
      <c r="I99" s="90">
        <f>SUM(I100:I108)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 t="n"/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>
        <f>AM99/AM12</f>
        <v/>
      </c>
      <c r="AO99" s="1076">
        <f>AM99/(AM$13)</f>
        <v/>
      </c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5">
      <c r="B101" s="25" t="inlineStr">
        <is>
          <t>Temporales Serv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5">
      <c r="A103" s="226" t="inlineStr">
        <is>
          <t xml:space="preserve">73351502            </t>
        </is>
      </c>
      <c r="B103" s="25" t="inlineStr">
        <is>
          <t>Laboratorio</t>
        </is>
      </c>
      <c r="C103" s="25" t="n"/>
      <c r="D103" s="43" t="n"/>
      <c r="E103" s="1045" t="n"/>
      <c r="F103" s="25">
        <f>'[20]Hoja 1'!C200</f>
        <v/>
      </c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81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5">
      <c r="A104" s="226" t="inlineStr">
        <is>
          <t xml:space="preserve">73351503            </t>
        </is>
      </c>
      <c r="B104" s="25" t="inlineStr">
        <is>
          <t>Fumigacion</t>
        </is>
      </c>
      <c r="C104" s="25">
        <f>'[16]Hoja 1'!$D$127</f>
        <v/>
      </c>
      <c r="D104" s="43" t="n"/>
      <c r="E104" s="1045" t="n"/>
      <c r="F104" s="25">
        <f>'[20]Hoja 1'!C201</f>
        <v/>
      </c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81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5">
      <c r="A105" s="226" t="inlineStr">
        <is>
          <t>73352501</t>
        </is>
      </c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5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848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5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848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5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</row>
    <row r="109" ht="15" customHeight="1" s="985">
      <c r="B109" s="16" t="inlineStr">
        <is>
          <t>GASTOS LEGALES</t>
        </is>
      </c>
      <c r="C109" s="49">
        <f>SUM(C110:C113)</f>
        <v/>
      </c>
      <c r="D109" s="3" t="n"/>
      <c r="E109" s="1053">
        <f>C109/(C$13)</f>
        <v/>
      </c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 t="n"/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5">
      <c r="B110" s="39" t="inlineStr">
        <is>
          <t>Notariales</t>
        </is>
      </c>
      <c r="C110" s="39">
        <f>'[16]Hoja 1'!$D$136</f>
        <v/>
      </c>
      <c r="D110" s="69" t="n"/>
      <c r="E110" s="1077" t="n"/>
      <c r="F110" s="39">
        <f>'[20]Hoja 1'!$C$208</f>
        <v/>
      </c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5"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5"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5"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</row>
    <row r="114" ht="15" customHeight="1" s="985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053">
        <f>C114/(C$13)</f>
        <v/>
      </c>
      <c r="F114" s="49">
        <f>SUM(F115:F119)</f>
        <v/>
      </c>
      <c r="G114" s="3" t="n"/>
      <c r="H114" s="1053">
        <f>F114/(F$13)</f>
        <v/>
      </c>
      <c r="I114" s="90">
        <f>SUM(I115:I119)</f>
        <v/>
      </c>
      <c r="J114" s="3" t="n"/>
      <c r="K114" s="1053">
        <f>I114/(I$13)</f>
        <v/>
      </c>
      <c r="L114" s="49">
        <f>SUM(L115:L119)</f>
        <v/>
      </c>
      <c r="M114" s="3" t="n"/>
      <c r="N114" s="1053">
        <f>L114/(L$13)</f>
        <v/>
      </c>
      <c r="O114" s="49">
        <f>SUM(O115:O119)</f>
        <v/>
      </c>
      <c r="P114" s="3" t="n"/>
      <c r="Q114" s="1053">
        <f>O114/(O$13)</f>
        <v/>
      </c>
      <c r="R114" s="90">
        <f>SUM(R115:R119)</f>
        <v/>
      </c>
      <c r="S114" s="3" t="n"/>
      <c r="T114" s="1053">
        <f>R114/(R$13)</f>
        <v/>
      </c>
      <c r="U114" s="49">
        <f>SUM(U115:U119)</f>
        <v/>
      </c>
      <c r="V114" s="3" t="n"/>
      <c r="W114" s="1053">
        <f>U114/(U$13)</f>
        <v/>
      </c>
      <c r="X114" s="49">
        <f>SUM(X115:X119)</f>
        <v/>
      </c>
      <c r="Y114" s="3" t="n"/>
      <c r="Z114" s="1053">
        <f>X114/(X$13)</f>
        <v/>
      </c>
      <c r="AA114" s="49">
        <f>SUM(AA115:AA119)</f>
        <v/>
      </c>
      <c r="AB114" s="3" t="n"/>
      <c r="AC114" s="1053">
        <f>AA114/(AA$13)</f>
        <v/>
      </c>
      <c r="AD114" s="49">
        <f>SUM(AD115:AD119)</f>
        <v/>
      </c>
      <c r="AE114" s="3" t="n"/>
      <c r="AF114" s="1053" t="n"/>
      <c r="AG114" s="49">
        <f>SUM(AG115:AG119)</f>
        <v/>
      </c>
      <c r="AH114" s="3" t="n"/>
      <c r="AI114" s="1053">
        <f>AG114/(AG$13)</f>
        <v/>
      </c>
      <c r="AJ114" s="49">
        <f>SUM(AJ115:AJ119)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outlineLevel="1" ht="15" customHeight="1" s="985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5"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5">
      <c r="A117" s="226" t="inlineStr">
        <is>
          <t xml:space="preserve">73451502            </t>
        </is>
      </c>
      <c r="B117" s="205" t="inlineStr">
        <is>
          <t>Equipos de Cocina</t>
        </is>
      </c>
      <c r="C117" s="25">
        <f>'[16]Hoja 1'!$D$139</f>
        <v/>
      </c>
      <c r="D117" s="43" t="n"/>
      <c r="E117" s="1045" t="n"/>
      <c r="F117" s="25">
        <f>'[20]Hoja 1'!$C$212</f>
        <v/>
      </c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899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5"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5">
      <c r="B119" s="97" t="inlineStr">
        <is>
          <t>Plan Basico de Saneamiento</t>
        </is>
      </c>
      <c r="C119" s="28" t="n"/>
      <c r="D119" s="42" t="n"/>
      <c r="E119" s="1057" t="n"/>
      <c r="F119" s="22">
        <f>'[20]Hoja 1'!$C$211</f>
        <v/>
      </c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788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784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SUM(R121)</f>
        <v/>
      </c>
      <c r="S120" s="3" t="n"/>
      <c r="T120" s="1053">
        <f>R120/(R$13)</f>
        <v/>
      </c>
      <c r="U120" s="49">
        <f>SUM(U121)</f>
        <v/>
      </c>
      <c r="V120" s="3" t="n"/>
      <c r="W120" s="1053">
        <f>U120/(U$13)</f>
        <v/>
      </c>
      <c r="X120" s="49">
        <f>SUM(X121)</f>
        <v/>
      </c>
      <c r="Y120" s="3" t="n"/>
      <c r="Z120" s="1053">
        <f>X120/(X$13)</f>
        <v/>
      </c>
      <c r="AA120" s="49">
        <f>SUM(AA121)</f>
        <v/>
      </c>
      <c r="AB120" s="3" t="n"/>
      <c r="AC120" s="1053">
        <f>AA120/(AA$13)</f>
        <v/>
      </c>
      <c r="AD120" s="49">
        <f>SUM(AD121:AD122)</f>
        <v/>
      </c>
      <c r="AE120" s="3" t="n"/>
      <c r="AF120" s="1053" t="n"/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5"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</row>
    <row r="122" ht="15" customHeight="1" s="985"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</row>
    <row r="123" ht="15" customHeight="1" s="985">
      <c r="B123" s="16" t="inlineStr">
        <is>
          <t>GASTOS DE VIAJE</t>
        </is>
      </c>
      <c r="C123" s="49">
        <f>SUM(C124:C126)</f>
        <v/>
      </c>
      <c r="D123" s="3" t="n"/>
      <c r="E123" s="1053">
        <f>C123/(C$13)</f>
        <v/>
      </c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>
        <f>SUM(AD124:AD126)</f>
        <v/>
      </c>
      <c r="AE123" s="3" t="n"/>
      <c r="AF123" s="1053" t="n"/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5"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5"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5"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</row>
    <row r="127" ht="15" customHeight="1" s="985">
      <c r="B127" s="16" t="inlineStr">
        <is>
          <t>DIVERSOS</t>
        </is>
      </c>
      <c r="C127" s="49">
        <f>SUM(C128:C142)</f>
        <v/>
      </c>
      <c r="D127" s="3" t="n"/>
      <c r="E127" s="1053">
        <f>C127/(C$13)</f>
        <v/>
      </c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 t="n"/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>
        <f>AM127/AM12</f>
        <v/>
      </c>
      <c r="AO127" s="1076">
        <f>AM127/(AM$13)</f>
        <v/>
      </c>
    </row>
    <row r="128" outlineLevel="1" ht="15" customFormat="1" customHeight="1" s="108">
      <c r="A128" s="229" t="inlineStr">
        <is>
          <t xml:space="preserve">73959508            </t>
        </is>
      </c>
      <c r="B128" s="39" t="inlineStr">
        <is>
          <t>Elementos de Proteccion Personal</t>
        </is>
      </c>
      <c r="C128" s="39" t="n"/>
      <c r="D128" s="69" t="n"/>
      <c r="E128" s="1077" t="n"/>
      <c r="F128" s="39">
        <f>'[10]Hoja 1'!$C$565+'[20]Hoja 1'!$C$217</f>
        <v/>
      </c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785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169" t="n"/>
    </row>
    <row r="129" outlineLevel="1" ht="15" customHeight="1" s="985">
      <c r="A129" s="226" t="inlineStr">
        <is>
          <t xml:space="preserve">73959512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>
        <f>'[10]Hoja 1'!$C$566</f>
        <v/>
      </c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899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5">
      <c r="A130" s="226" t="inlineStr">
        <is>
          <t xml:space="preserve">71101001            </t>
        </is>
      </c>
      <c r="B130" s="25" t="inlineStr">
        <is>
          <t>Elementos de Aseo y Cafetería</t>
        </is>
      </c>
      <c r="C130" s="25">
        <f>'[9]Hoja 1'!$C$556</f>
        <v/>
      </c>
      <c r="D130" s="43" t="n"/>
      <c r="E130" s="1045" t="n"/>
      <c r="F130" s="25">
        <f>'[10]Hoja 1'!$C$519+'[10]Hoja 1'!$C$557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170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>
        <f>'[10]Hoja 1'!$C$559</f>
        <v/>
      </c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5"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>
        <f>'[9]Hoja 1'!$C$595+'[16]Hoja 1'!$D$142</f>
        <v/>
      </c>
      <c r="D133" s="43" t="n"/>
      <c r="E133" s="1045" t="n"/>
      <c r="F133" s="25">
        <f>'[10]Hoja 1'!$C$561+'[20]Hoja 1'!$C$215</f>
        <v/>
      </c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>
        <f>'[16]Hoja 1'!$D$144</f>
        <v/>
      </c>
      <c r="D134" s="43" t="n"/>
      <c r="E134" s="1045" t="n"/>
      <c r="F134" s="25">
        <f>'[10]Hoja 1'!$C$563</f>
        <v/>
      </c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5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5"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5"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5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outlineLevel="1" ht="15" customHeight="1" s="985">
      <c r="B139" s="25" t="inlineStr">
        <is>
          <t>Herramientas y articulos ferreteria</t>
        </is>
      </c>
      <c r="C139" s="25" t="n"/>
      <c r="D139" s="43" t="n"/>
      <c r="E139" s="1045" t="n"/>
      <c r="F139" s="25">
        <f>'[20]Hoja 1'!$C$218</f>
        <v/>
      </c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</row>
    <row r="140" outlineLevel="1" ht="15" customHeight="1" s="985">
      <c r="B140" s="25" t="inlineStr">
        <is>
          <t>Equipos de Bodega</t>
        </is>
      </c>
      <c r="C140" s="25" t="n"/>
      <c r="D140" s="43" t="n"/>
      <c r="E140" s="1045" t="n"/>
      <c r="F140" s="25">
        <f>'[20]Hoja 1'!$C$219</f>
        <v/>
      </c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</row>
    <row r="14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</row>
    <row r="142" outlineLevel="1" ht="15" customHeight="1" s="985" thickBot="1"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</row>
    <row r="145" ht="15" customHeight="1" s="985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 t="n"/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5">
      <c r="B148" s="18" t="inlineStr">
        <is>
          <t>Gastos Fijos Administracion</t>
        </is>
      </c>
      <c r="C148" s="39">
        <f>'GASTOS ADMINISTRATIVOS'!C96*'%DIST'!B36</f>
        <v/>
      </c>
      <c r="D148" s="69" t="n"/>
      <c r="E148" s="1077" t="n"/>
      <c r="F148" s="39">
        <f>'GASTOS ADMINISTRATIVOS'!D96*'%DIST'!D36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AM148/AM13</f>
        <v/>
      </c>
    </row>
    <row r="149" ht="15" customHeight="1" s="985">
      <c r="B149" s="285" t="inlineStr">
        <is>
          <t>Gastos financieros</t>
        </is>
      </c>
      <c r="C149" s="25">
        <f>'GASTOS ADMINISTRATIVOS'!C109*'%DIST'!C52+520117.4</f>
        <v/>
      </c>
      <c r="D149" s="43" t="n"/>
      <c r="E149" s="1045" t="n"/>
      <c r="F149" s="25">
        <f>'GASTOS ADMINISTRATIVOS'!D109*'%DIST'!E52+129086.38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</row>
    <row r="150" ht="15" customHeight="1" s="985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AM150/AM13</f>
        <v/>
      </c>
    </row>
    <row r="151" ht="15" customHeight="1" s="985" thickBot="1">
      <c r="B151" s="300" t="inlineStr">
        <is>
          <t>Gastos No Operacionales</t>
        </is>
      </c>
      <c r="C151" s="71">
        <f>'GASTOS ADMINISTRATIVOS'!C119*'%DIST'!C52</f>
        <v/>
      </c>
      <c r="D151" s="72" t="n"/>
      <c r="E151" s="1086" t="n"/>
      <c r="F151" s="71">
        <f>'GASTOS ADMINISTRATIVOS'!D119*'%DIST'!E52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AM153/AM13</f>
        <v/>
      </c>
    </row>
    <row r="154" ht="15" customHeight="1" s="985" thickTop="1">
      <c r="B154" s="1135" t="inlineStr">
        <is>
          <t>Novedades</t>
        </is>
      </c>
      <c r="C154" s="718" t="n"/>
      <c r="D154" s="550" t="n"/>
      <c r="E154" s="1171" t="n"/>
      <c r="F154" s="718" t="n"/>
      <c r="G154" s="550" t="n"/>
      <c r="H154" s="1171" t="n"/>
      <c r="I154" s="718" t="n"/>
      <c r="J154" s="550" t="n"/>
      <c r="K154" s="1171" t="n"/>
      <c r="L154" s="718" t="n"/>
      <c r="M154" s="550" t="n"/>
      <c r="N154" s="1171" t="n"/>
      <c r="O154" s="718" t="n"/>
      <c r="P154" s="550" t="n"/>
      <c r="Q154" s="1171" t="n"/>
      <c r="R154" s="718" t="n"/>
      <c r="S154" s="550" t="n"/>
      <c r="T154" s="1171" t="n"/>
      <c r="U154" s="718" t="n"/>
      <c r="V154" s="550" t="n"/>
      <c r="W154" s="1171" t="n"/>
      <c r="X154" s="718" t="n"/>
      <c r="Y154" s="550" t="n"/>
      <c r="Z154" s="1171" t="n"/>
      <c r="AA154" s="718" t="n"/>
      <c r="AB154" s="550" t="n"/>
      <c r="AC154" s="1171" t="n"/>
      <c r="AD154" s="718" t="n"/>
      <c r="AE154" s="550" t="n"/>
      <c r="AF154" s="1171" t="n"/>
      <c r="AG154" s="718" t="n"/>
      <c r="AH154" s="550" t="n"/>
      <c r="AI154" s="1171" t="n"/>
      <c r="AJ154" s="1172" t="n"/>
      <c r="AK154" s="550" t="n"/>
      <c r="AL154" s="719" t="n"/>
      <c r="AM154" s="718">
        <f>C154+F154+I154+L154+O154+R154+U154+X154+AA154+AD154+AG154+AJ154</f>
        <v/>
      </c>
      <c r="AN154" s="230" t="n"/>
      <c r="AO154" s="1137" t="n"/>
    </row>
    <row r="155" ht="15" customHeight="1" s="985">
      <c r="B155" s="1139" t="inlineStr">
        <is>
          <t xml:space="preserve">Otros Ajustes 1 </t>
        </is>
      </c>
      <c r="C155" s="75" t="n"/>
      <c r="D155" s="12" t="n"/>
      <c r="E155" s="1151" t="n"/>
      <c r="F155" s="707" t="n"/>
      <c r="G155" s="13" t="n"/>
      <c r="H155" s="1151" t="n"/>
      <c r="I155" s="707" t="n"/>
      <c r="J155" s="13" t="n"/>
      <c r="K155" s="1151" t="n"/>
      <c r="L155" s="707" t="n"/>
      <c r="M155" s="13" t="n"/>
      <c r="N155" s="1151" t="n"/>
      <c r="O155" s="841" t="n"/>
      <c r="P155" s="847" t="n"/>
      <c r="Q155" s="843" t="n"/>
      <c r="R155" s="841" t="n"/>
      <c r="S155" s="847" t="n"/>
      <c r="T155" s="843" t="n"/>
      <c r="U155" s="707" t="n"/>
      <c r="V155" s="847" t="n"/>
      <c r="W155" s="843" t="n"/>
      <c r="X155" s="707" t="n"/>
      <c r="Y155" s="847" t="n"/>
      <c r="Z155" s="872" t="n"/>
      <c r="AA155" s="707" t="n"/>
      <c r="AB155" s="847" t="n"/>
      <c r="AC155" s="843" t="n"/>
      <c r="AD155" s="707" t="n"/>
      <c r="AE155" s="847" t="n"/>
      <c r="AF155" s="843" t="n"/>
      <c r="AG155" s="707" t="n"/>
      <c r="AH155" s="13" t="n"/>
      <c r="AI155" s="1151" t="n"/>
      <c r="AJ155" s="707" t="n"/>
      <c r="AK155" s="13" t="n"/>
      <c r="AL155" s="246" t="n"/>
      <c r="AM155" s="294">
        <f>C155+F155+I155+L155+O155+R155+U155+X155+AA155+AD155+AG155+AJ155</f>
        <v/>
      </c>
      <c r="AN155" s="9" t="n"/>
      <c r="AO155" s="1141" t="n"/>
    </row>
    <row r="156" ht="15" customHeight="1" s="985">
      <c r="B156" s="1143" t="inlineStr">
        <is>
          <t>Otros Ajustes 2</t>
        </is>
      </c>
      <c r="C156" s="77" t="n"/>
      <c r="D156" s="7" t="n"/>
      <c r="E156" s="1173" t="n"/>
      <c r="F156" s="720" t="n"/>
      <c r="G156" s="679" t="n"/>
      <c r="H156" s="1173" t="n"/>
      <c r="I156" s="720" t="n"/>
      <c r="J156" s="679" t="n"/>
      <c r="K156" s="1173" t="n"/>
      <c r="L156" s="720" t="n"/>
      <c r="M156" s="679" t="n"/>
      <c r="N156" s="1173" t="n"/>
      <c r="O156" s="842" t="n"/>
      <c r="P156" s="679" t="n"/>
      <c r="Q156" s="1174" t="n"/>
      <c r="R156" s="720" t="n"/>
      <c r="S156" s="679" t="n"/>
      <c r="T156" s="1173" t="n"/>
      <c r="U156" s="720" t="n"/>
      <c r="V156" s="679" t="n"/>
      <c r="W156" s="1173" t="n"/>
      <c r="X156" s="720" t="n"/>
      <c r="Y156" s="679" t="n"/>
      <c r="Z156" s="1173" t="n"/>
      <c r="AA156" s="720" t="n"/>
      <c r="AB156" s="679" t="n"/>
      <c r="AC156" s="1173" t="n"/>
      <c r="AD156" s="720" t="n"/>
      <c r="AE156" s="679" t="n"/>
      <c r="AF156" s="1173" t="n"/>
      <c r="AG156" s="720" t="n"/>
      <c r="AH156" s="679" t="n"/>
      <c r="AI156" s="1173" t="n"/>
      <c r="AJ156" s="720" t="n"/>
      <c r="AK156" s="679" t="n"/>
      <c r="AL156" s="721" t="n"/>
      <c r="AM156" s="715">
        <f>C156+F156+I156+L156+O156+R156+U156+X156+AA156+AD156+AG156+AJ156</f>
        <v/>
      </c>
      <c r="AN156" s="677" t="n"/>
      <c r="AO156" s="1145" t="n"/>
    </row>
    <row r="157" ht="15" customHeight="1" s="985">
      <c r="B157" s="1146" t="inlineStr">
        <is>
          <t>Otros Ajustes 3</t>
        </is>
      </c>
      <c r="C157" s="77" t="n"/>
      <c r="D157" s="822" t="n"/>
      <c r="E157" s="1175" t="n"/>
      <c r="F157" s="707" t="n"/>
      <c r="G157" s="555" t="n"/>
      <c r="H157" s="1175" t="n"/>
      <c r="I157" s="707" t="n"/>
      <c r="J157" s="555" t="n"/>
      <c r="K157" s="1175" t="n"/>
      <c r="L157" s="707" t="n"/>
      <c r="M157" s="555" t="n"/>
      <c r="N157" s="1175" t="n"/>
      <c r="O157" s="707" t="n"/>
      <c r="P157" s="847" t="n"/>
      <c r="Q157" s="1176" t="n"/>
      <c r="R157" s="707" t="n"/>
      <c r="S157" s="637" t="n"/>
      <c r="T157" s="1177" t="n"/>
      <c r="U157" s="707" t="n"/>
      <c r="V157" s="637" t="n"/>
      <c r="W157" s="1177" t="n"/>
      <c r="X157" s="707" t="n"/>
      <c r="Y157" s="555" t="n"/>
      <c r="Z157" s="1175" t="n"/>
      <c r="AA157" s="707" t="n"/>
      <c r="AB157" s="555" t="n"/>
      <c r="AC157" s="1175" t="n"/>
      <c r="AD157" s="707" t="n"/>
      <c r="AE157" s="555" t="n"/>
      <c r="AF157" s="1175" t="n"/>
      <c r="AG157" s="707" t="n"/>
      <c r="AH157" s="555" t="n"/>
      <c r="AI157" s="1175" t="n"/>
      <c r="AJ157" s="707" t="n"/>
      <c r="AK157" s="555" t="n"/>
      <c r="AL157" s="722" t="n"/>
      <c r="AM157" s="294">
        <f>C157+F157+I157+L157+O157+R157+U157+X157+AA157+AD157+AG157+AJ157</f>
        <v/>
      </c>
      <c r="AN157" s="553" t="n"/>
      <c r="AO157" s="1178">
        <f>AM157/(AM$13)</f>
        <v/>
      </c>
    </row>
    <row r="158" ht="15" customHeight="1" s="985">
      <c r="B158" s="1150" t="inlineStr">
        <is>
          <t>Otros Ajustes 4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79" t="n"/>
      <c r="P158" s="13" t="n"/>
      <c r="Q158" s="1180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81" t="n"/>
      <c r="AH158" s="13" t="n"/>
      <c r="AI158" s="1151" t="n"/>
      <c r="AJ158" s="1181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AM158/(AM$13)</f>
        <v/>
      </c>
    </row>
    <row r="159" ht="15" customHeight="1" s="985">
      <c r="B159" s="1150" t="inlineStr">
        <is>
          <t>Otros Ajustes 5</t>
        </is>
      </c>
      <c r="C159" s="707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81" t="n"/>
      <c r="AH159" s="13" t="n"/>
      <c r="AI159" s="1151" t="n"/>
      <c r="AJ159" s="1181" t="n"/>
      <c r="AK159" s="13" t="n"/>
      <c r="AL159" s="246" t="n"/>
      <c r="AM159" s="294">
        <f>C159+F159+I159+L159+O159+R159+U159+X159+AA159+AD159+AG159+AJ159</f>
        <v/>
      </c>
      <c r="AN159" s="13" t="n"/>
      <c r="AO159" s="1152">
        <f>AM159/(AM$13)</f>
        <v/>
      </c>
    </row>
    <row r="160" ht="15" customHeight="1" s="985" thickBot="1">
      <c r="B160" s="1154" t="inlineStr">
        <is>
          <t>Otros Ajustes 6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233" t="n"/>
      <c r="AO160" s="1156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</row>
    <row r="162" ht="15" customHeight="1" s="985" thickBot="1" thickTop="1">
      <c r="B162" s="65" t="n"/>
      <c r="C162" s="540">
        <f>IFERROR(C161/C13," ")</f>
        <v/>
      </c>
      <c r="D162" s="502" t="n"/>
      <c r="E162" s="1093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</row>
    <row r="163" ht="10.8" customHeight="1" s="985" thickTop="1"/>
    <row r="164">
      <c r="C164" s="618">
        <f>C44+C83-C73-C85</f>
        <v/>
      </c>
      <c r="F164" s="618">
        <f>F44+F83-F73-F85</f>
        <v/>
      </c>
      <c r="I164" s="618">
        <f>I44+I83-I73-I85</f>
        <v/>
      </c>
      <c r="L164" s="618">
        <f>L44+L83-L73-L85</f>
        <v/>
      </c>
      <c r="O164" s="618">
        <f>O44+O83-O73-O85</f>
        <v/>
      </c>
      <c r="R164" s="618">
        <f>R44+R83-R73-R85</f>
        <v/>
      </c>
      <c r="U164" s="618">
        <f>U44+U83-U73-U85</f>
        <v/>
      </c>
      <c r="X164" s="618">
        <f>X44+X83-X73-X85</f>
        <v/>
      </c>
      <c r="AA164" s="618">
        <f>AA44+AA83-AA73-AA85</f>
        <v/>
      </c>
      <c r="AD164" s="618">
        <f>AD44+AD83-AD73-AD85</f>
        <v/>
      </c>
      <c r="AG164" s="618">
        <f>AG44+AG83-AG73-AG85</f>
        <v/>
      </c>
      <c r="AJ164" s="618">
        <f>AJ44+AJ83-AJ73-AJ85</f>
        <v/>
      </c>
    </row>
    <row r="165">
      <c r="C165" s="618">
        <f>'[9]Hoja 1'!$C$542+'[9]Hoja 1'!$C$513+'[22]Hoja 1'!$D$24+'[16]Hoja 1'!$D$82-'[16]Hoja 1'!$D$133+'[17]Hoja 1'!$C$67-'[17]Hoja 1'!$C$101</f>
        <v/>
      </c>
      <c r="F165" s="618">
        <f>'[10]Hoja 1'!$C$505+'[10]Hoja 1'!$C$488-'[29]Hoja 1'!$D$32+'[20]Hoja 1'!$C$149+'[20]Hoja 1'!$C$155+'[46]Hoja 1'!$C$27</f>
        <v/>
      </c>
      <c r="I165" s="618" t="n">
        <v>2121596443.7</v>
      </c>
      <c r="L165" s="618" t="n">
        <v>1935453066.56</v>
      </c>
      <c r="O165" s="618" t="n">
        <v>2549031952.47</v>
      </c>
      <c r="R165" s="618" t="n">
        <v>2102238750.18</v>
      </c>
      <c r="U165" s="618" t="n">
        <v>1135155632.44</v>
      </c>
      <c r="X165" s="618" t="n">
        <v>2526140124.6</v>
      </c>
      <c r="AA165" s="618" t="n">
        <v>2938583349.14</v>
      </c>
      <c r="AD165" s="618" t="n">
        <v>2262146048.96</v>
      </c>
      <c r="AG165" s="618" t="n">
        <v>2001380699.16</v>
      </c>
      <c r="AJ165" s="618" t="n">
        <v>276800966.56</v>
      </c>
    </row>
    <row r="166">
      <c r="C166" s="618">
        <f>C164-C165</f>
        <v/>
      </c>
      <c r="F166" s="618">
        <f>F164-F165</f>
        <v/>
      </c>
      <c r="I166" s="618">
        <f>I164-I165</f>
        <v/>
      </c>
      <c r="L166" s="618">
        <f>L164-L165</f>
        <v/>
      </c>
      <c r="O166" s="618">
        <f>O164-O165</f>
        <v/>
      </c>
      <c r="R166" s="618">
        <f>R164-R165</f>
        <v/>
      </c>
      <c r="U166" s="618">
        <f>U164-U165</f>
        <v/>
      </c>
      <c r="X166" s="618">
        <f>X164-X165</f>
        <v/>
      </c>
      <c r="AA166" s="618">
        <f>AA164-AA165</f>
        <v/>
      </c>
      <c r="AD166" s="618">
        <f>AD164-AD165</f>
        <v/>
      </c>
      <c r="AG166" s="618">
        <f>AG164-AG165</f>
        <v/>
      </c>
      <c r="AJ166" s="618">
        <f>AJ164-AJ165</f>
        <v/>
      </c>
    </row>
    <row r="167">
      <c r="C167" s="989" t="n">
        <v>21902713</v>
      </c>
      <c r="D167" s="989" t="inlineStr">
        <is>
          <t>dic</t>
        </is>
      </c>
    </row>
    <row r="169">
      <c r="R169" s="1182" t="n"/>
    </row>
    <row r="188">
      <c r="AC188" s="1033">
        <f>11287+2223</f>
        <v/>
      </c>
    </row>
    <row r="189">
      <c r="AC189" s="1033">
        <f>2200/AC188</f>
        <v/>
      </c>
    </row>
  </sheetData>
  <mergeCells count="1">
    <mergeCell ref="C2:AM2"/>
  </mergeCells>
  <conditionalFormatting sqref="B3:B35 B37:B161">
    <cfRule type="duplicateValues" priority="3" dxfId="0" stopIfTrue="1"/>
  </conditionalFormatting>
  <conditionalFormatting sqref="B36">
    <cfRule type="duplicateValues" priority="1" dxfId="0" stopIfTrue="1"/>
  </conditionalFormatting>
  <hyperlinks>
    <hyperlink xmlns:r="http://schemas.openxmlformats.org/officeDocument/2006/relationships" ref="B79" location="'COSTO CON SS 12 DIAS'!R75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Hoja8">
    <outlinePr summaryBelow="1" summaryRight="1"/>
    <pageSetUpPr/>
  </sheetPr>
  <dimension ref="A2:BO182"/>
  <sheetViews>
    <sheetView zoomScaleNormal="100" workbookViewId="0">
      <pane xSplit="2" ySplit="13" topLeftCell="C142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2" outlineLevelRow="1"/>
  <cols>
    <col width="8.33203125" customWidth="1" style="226" min="1" max="1"/>
    <col width="42.4414062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4.44140625" customWidth="1" style="989" min="18" max="18"/>
    <col width="8.6640625" customWidth="1" style="989" min="19" max="19"/>
    <col width="8.6640625" customWidth="1" style="1033" min="20" max="20"/>
    <col width="14.4414062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5.6640625" customWidth="1" style="989" min="39" max="39"/>
    <col width="8.6640625" customWidth="1" style="989" min="40" max="40"/>
    <col width="8.6640625" customWidth="1" style="1033" min="41" max="41"/>
    <col width="6.5546875" customWidth="1" style="2" min="42" max="42"/>
    <col width="8.33203125" customWidth="1" style="2" min="43" max="43"/>
    <col width="11.44140625" customWidth="1" style="2" min="44" max="48"/>
    <col width="11.44140625" customWidth="1" style="2" min="49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PYG  YUMBO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</row>
    <row r="3" ht="21.75" customHeight="1" s="985" thickBot="1" thickTop="1">
      <c r="B3" s="523" t="inlineStr">
        <is>
          <t xml:space="preserve">DIAS DE ATENCIÓN </t>
        </is>
      </c>
      <c r="C3" s="537" t="n">
        <v>5</v>
      </c>
      <c r="D3" s="480" t="n"/>
      <c r="E3" s="1035" t="n"/>
      <c r="F3" s="537" t="n">
        <v>20</v>
      </c>
      <c r="G3" s="480" t="n"/>
      <c r="H3" s="1035" t="n"/>
      <c r="I3" s="537" t="n">
        <v>19</v>
      </c>
      <c r="J3" s="480" t="n"/>
      <c r="K3" s="1035" t="n"/>
      <c r="L3" s="537" t="n">
        <v>19</v>
      </c>
      <c r="M3" s="480" t="n"/>
      <c r="N3" s="1035" t="n"/>
      <c r="O3" s="479" t="n">
        <v>19</v>
      </c>
      <c r="P3" s="480" t="n"/>
      <c r="Q3" s="1035" t="n"/>
      <c r="R3" s="479" t="n">
        <v>13</v>
      </c>
      <c r="S3" s="480" t="n"/>
      <c r="T3" s="1035" t="n"/>
      <c r="U3" s="479" t="n">
        <v>14</v>
      </c>
      <c r="V3" s="480" t="n"/>
      <c r="W3" s="1035" t="n"/>
      <c r="X3" s="479" t="n">
        <v>19</v>
      </c>
      <c r="Y3" s="480" t="n"/>
      <c r="Z3" s="1035" t="n"/>
      <c r="AA3" s="479" t="n">
        <v>22</v>
      </c>
      <c r="AB3" s="480" t="n"/>
      <c r="AC3" s="1035" t="n"/>
      <c r="AD3" s="479" t="n">
        <v>16</v>
      </c>
      <c r="AE3" s="480" t="n"/>
      <c r="AF3" s="1035" t="n"/>
      <c r="AG3" s="479" t="n">
        <v>19</v>
      </c>
      <c r="AH3" s="480" t="n"/>
      <c r="AI3" s="1035" t="n"/>
      <c r="AJ3" s="479" t="n">
        <v>4</v>
      </c>
      <c r="AK3" s="480" t="n"/>
      <c r="AL3" s="538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COMPLEMENTO AM/PM  (Rac)</t>
        </is>
      </c>
      <c r="C5" s="259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REFUERZO COMPLEMENTO AM/PM (Rac)</t>
        </is>
      </c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>ALMUERZO JORNADA UNICA (Rac)</t>
        </is>
      </c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25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258" t="inlineStr">
        <is>
          <t>NOVEDADES (Rac)</t>
        </is>
      </c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 t="n"/>
      <c r="AA15" s="90">
        <f>SUM(AA16:AA22)</f>
        <v/>
      </c>
      <c r="AB15" s="3" t="n"/>
      <c r="AC15" s="1053" t="n"/>
      <c r="AD15" s="90">
        <f>SUM(AD16:AD22)</f>
        <v/>
      </c>
      <c r="AE15" s="399" t="n"/>
      <c r="AF15" s="1054" t="n"/>
      <c r="AG15" s="90">
        <f>SUM(AG16:AG22)</f>
        <v/>
      </c>
      <c r="AH15" s="3" t="n"/>
      <c r="AI15" s="1053" t="n"/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5">
      <c r="B16" s="262" t="inlineStr">
        <is>
          <t>COMPLEMENTO AM/PM (Fac)</t>
        </is>
      </c>
      <c r="C16" s="103" t="n"/>
      <c r="D16" s="79">
        <f>C16/C5</f>
        <v/>
      </c>
      <c r="E16" s="1055" t="n"/>
      <c r="F16" s="103" t="n"/>
      <c r="G16" s="79">
        <f>F16/F5</f>
        <v/>
      </c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 t="n"/>
      <c r="AO16" s="1056" t="n"/>
    </row>
    <row r="17" ht="15" customHeight="1" s="985">
      <c r="B17" s="104" t="inlineStr">
        <is>
          <t>REFUERZO COMPLEMENTO AM/PM (Fac)</t>
        </is>
      </c>
      <c r="C17" s="91" t="n"/>
      <c r="D17" s="43">
        <f>C17/C6</f>
        <v/>
      </c>
      <c r="E17" s="1045" t="n"/>
      <c r="F17" s="91" t="n"/>
      <c r="G17" s="43">
        <f>F17/F6</f>
        <v/>
      </c>
      <c r="H17" s="1045" t="n"/>
      <c r="I17" s="91" t="n"/>
      <c r="J17" s="43" t="n"/>
      <c r="K17" s="1045" t="n"/>
      <c r="L17" s="91" t="n"/>
      <c r="M17" s="43" t="n"/>
      <c r="N17" s="1045" t="n"/>
      <c r="O17" s="91" t="n"/>
      <c r="P17" s="43" t="n"/>
      <c r="Q17" s="1045" t="n"/>
      <c r="R17" s="91" t="n"/>
      <c r="S17" s="43" t="n"/>
      <c r="T17" s="1045" t="n"/>
      <c r="U17" s="91" t="n"/>
      <c r="V17" s="43" t="n"/>
      <c r="W17" s="1045" t="n"/>
      <c r="X17" s="91" t="n"/>
      <c r="Y17" s="43" t="n"/>
      <c r="Z17" s="1045" t="n"/>
      <c r="AA17" s="91" t="n"/>
      <c r="AB17" s="43" t="n"/>
      <c r="AC17" s="1045" t="n"/>
      <c r="AD17" s="91" t="n"/>
      <c r="AE17" s="43" t="n"/>
      <c r="AF17" s="1045" t="n"/>
      <c r="AG17" s="91" t="n"/>
      <c r="AH17" s="43" t="n"/>
      <c r="AI17" s="1045" t="n"/>
      <c r="AJ17" s="91" t="n"/>
      <c r="AK17" s="43" t="n"/>
      <c r="AL17" s="57" t="n"/>
      <c r="AM17" s="205">
        <f>C17+F17+I17+L17+O17+R17+U17+X17+AA17+AD17+AG17+AJ17</f>
        <v/>
      </c>
      <c r="AN17" s="43" t="n"/>
      <c r="AO17" s="1046" t="n"/>
    </row>
    <row r="18" ht="15" customHeight="1" s="985">
      <c r="B18" s="104" t="inlineStr">
        <is>
          <t>ALMUERZO JORNADA UNICA (Fac)</t>
        </is>
      </c>
      <c r="C18" s="75" t="n"/>
      <c r="D18" s="43">
        <f>C18/C7</f>
        <v/>
      </c>
      <c r="E18" s="1045" t="n"/>
      <c r="F18" s="75" t="n"/>
      <c r="G18" s="43">
        <f>F18/F7</f>
        <v/>
      </c>
      <c r="H18" s="1045" t="n"/>
      <c r="I18" s="7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5" t="n"/>
      <c r="AH18" s="43" t="n"/>
      <c r="AI18" s="1045" t="n"/>
      <c r="AJ18" s="75" t="n"/>
      <c r="AK18" s="43" t="n"/>
      <c r="AL18" s="57" t="n"/>
      <c r="AM18" s="205">
        <f>C18+F18+I18+L18+O18+R18+U18+X18+AA18+AD18+AG18+AJ18</f>
        <v/>
      </c>
      <c r="AN18" s="43" t="n"/>
      <c r="AO18" s="1046" t="n"/>
    </row>
    <row r="19" ht="15" customHeight="1" s="985">
      <c r="B19" s="104" t="n"/>
      <c r="C19" s="25" t="n"/>
      <c r="D19" s="43" t="n"/>
      <c r="E19" s="1045" t="n"/>
      <c r="F19" s="74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74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t="15" customHeight="1" s="985">
      <c r="B20" s="104" t="inlineStr">
        <is>
          <t>NOVEDADES (Fac)</t>
        </is>
      </c>
      <c r="C20" s="75" t="n"/>
      <c r="D20" s="43" t="n"/>
      <c r="E20" s="1045" t="n"/>
      <c r="F20" s="74" t="n"/>
      <c r="G20" s="43" t="n"/>
      <c r="H20" s="1045" t="n"/>
      <c r="I20" s="74" t="n"/>
      <c r="J20" s="43" t="n"/>
      <c r="K20" s="1045" t="n"/>
      <c r="L20" s="74" t="n"/>
      <c r="M20" s="43" t="n"/>
      <c r="N20" s="1045" t="n"/>
      <c r="O20" s="75" t="n"/>
      <c r="P20" s="43" t="n"/>
      <c r="Q20" s="1045" t="n"/>
      <c r="R20" s="74" t="n"/>
      <c r="S20" s="43" t="n"/>
      <c r="T20" s="1045" t="n"/>
      <c r="U20" s="74" t="n"/>
      <c r="V20" s="43" t="n"/>
      <c r="W20" s="1045" t="n"/>
      <c r="X20" s="75" t="n"/>
      <c r="Y20" s="43" t="n"/>
      <c r="Z20" s="1045" t="n"/>
      <c r="AA20" s="25" t="n"/>
      <c r="AB20" s="43" t="n"/>
      <c r="AC20" s="1045" t="n"/>
      <c r="AD20" s="74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5">
      <c r="B21" s="104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25" t="n"/>
      <c r="AB21" s="43" t="n"/>
      <c r="AC21" s="1045" t="n"/>
      <c r="AD21" s="74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idden="1" ht="15" customHeight="1" s="985"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hidden="1" outlineLevel="1" ht="15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hidden="1" outlineLevel="1" ht="15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hidden="1" outlineLevel="1" ht="15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hidden="1" outlineLevel="1" ht="15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hidden="1" outlineLevel="1" ht="15" customHeight="1" s="985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5">
      <c r="B29" s="16" t="inlineStr">
        <is>
          <t>OTROS</t>
        </is>
      </c>
      <c r="C29" s="49">
        <f>SUM(C30:C37)</f>
        <v/>
      </c>
      <c r="D29" s="3" t="n"/>
      <c r="E29" s="1053">
        <f>C29/C13</f>
        <v/>
      </c>
      <c r="F29" s="49">
        <f>SUM(F30:F37)</f>
        <v/>
      </c>
      <c r="G29" s="3" t="n"/>
      <c r="H29" s="1053">
        <f>F29/F13</f>
        <v/>
      </c>
      <c r="I29" s="49">
        <f>SUM(I30:I37)</f>
        <v/>
      </c>
      <c r="J29" s="3" t="n"/>
      <c r="K29" s="132">
        <f>I29/I13</f>
        <v/>
      </c>
      <c r="L29" s="49">
        <f>SUM(L30:L37)</f>
        <v/>
      </c>
      <c r="M29" s="3" t="n"/>
      <c r="N29" s="132">
        <f>L29/L13</f>
        <v/>
      </c>
      <c r="O29" s="49">
        <f>SUM(O30:O37)</f>
        <v/>
      </c>
      <c r="P29" s="3" t="n"/>
      <c r="Q29" s="1053">
        <f>O29/O13</f>
        <v/>
      </c>
      <c r="R29" s="90">
        <f>SUM(R30:R37)</f>
        <v/>
      </c>
      <c r="S29" s="3" t="n"/>
      <c r="T29" s="132">
        <f>R29/R13</f>
        <v/>
      </c>
      <c r="U29" s="90">
        <f>SUM(U30:U37)</f>
        <v/>
      </c>
      <c r="V29" s="3" t="n"/>
      <c r="W29" s="1053">
        <f>U29/U13</f>
        <v/>
      </c>
      <c r="X29" s="90">
        <f>SUM(X30:X38)</f>
        <v/>
      </c>
      <c r="Y29" s="763" t="n"/>
      <c r="Z29" s="1159">
        <f>X29/X13</f>
        <v/>
      </c>
      <c r="AA29" s="90">
        <f>SUM(AA30:AA38)</f>
        <v/>
      </c>
      <c r="AB29" s="3" t="n"/>
      <c r="AC29" s="1160">
        <f>AA29/AA13</f>
        <v/>
      </c>
      <c r="AD29" s="90">
        <f>SUM(AD30:AD38)</f>
        <v/>
      </c>
      <c r="AE29" s="3" t="n"/>
      <c r="AF29" s="1053">
        <f>AD29/AD13</f>
        <v/>
      </c>
      <c r="AG29" s="90">
        <f>SUM(AG30:AG38)</f>
        <v/>
      </c>
      <c r="AH29" s="3" t="n"/>
      <c r="AI29" s="132">
        <f>AG29/AG13</f>
        <v/>
      </c>
      <c r="AJ29" s="49">
        <f>SUM(AJ30:AJ41)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</row>
    <row r="30" outlineLevel="1" ht="15" customFormat="1" customHeight="1" s="108">
      <c r="A30" s="229" t="n"/>
      <c r="B30" s="262" t="inlineStr">
        <is>
          <t>Procultura 0,5%</t>
        </is>
      </c>
      <c r="C30" s="1061">
        <f>C$13*0.5%</f>
        <v/>
      </c>
      <c r="D30" s="79" t="n"/>
      <c r="E30" s="1055" t="n"/>
      <c r="F30" s="1061">
        <f>F$13*0.5%</f>
        <v/>
      </c>
      <c r="G30" s="79" t="n"/>
      <c r="H30" s="1055" t="n"/>
      <c r="I30" s="1061">
        <f>I$13*0.5%</f>
        <v/>
      </c>
      <c r="J30" s="79" t="n"/>
      <c r="K30" s="1055" t="n"/>
      <c r="L30" s="1061">
        <f>L$13*0.5%</f>
        <v/>
      </c>
      <c r="M30" s="79" t="n"/>
      <c r="N30" s="1055" t="n"/>
      <c r="O30" s="1061">
        <f>O$13*0.5%</f>
        <v/>
      </c>
      <c r="P30" s="79" t="n"/>
      <c r="Q30" s="1055" t="n"/>
      <c r="R30" s="1061">
        <f>R$13*0.5%</f>
        <v/>
      </c>
      <c r="S30" s="79" t="n"/>
      <c r="T30" s="1055" t="n"/>
      <c r="U30" s="1061">
        <f>U$13*0.5%</f>
        <v/>
      </c>
      <c r="V30" s="79" t="n"/>
      <c r="W30" s="1055" t="n"/>
      <c r="X30" s="1061">
        <f>X$13*0.5%</f>
        <v/>
      </c>
      <c r="Y30" s="79" t="n"/>
      <c r="Z30" s="1055" t="n"/>
      <c r="AA30" s="1061">
        <f>AA$13*0.5%</f>
        <v/>
      </c>
      <c r="AB30" s="79" t="n"/>
      <c r="AC30" s="1055" t="n"/>
      <c r="AD30" s="1061">
        <f>AD$13*0.5%</f>
        <v/>
      </c>
      <c r="AE30" s="79" t="n"/>
      <c r="AF30" s="1055" t="n"/>
      <c r="AG30" s="1061">
        <f>AG$13*0.5%</f>
        <v/>
      </c>
      <c r="AH30" s="79" t="n"/>
      <c r="AI30" s="1055" t="n"/>
      <c r="AJ30" s="1061">
        <f>AJ$13*0.5%</f>
        <v/>
      </c>
      <c r="AK30" s="79" t="n"/>
      <c r="AL30" s="80" t="n"/>
      <c r="AM30" s="212">
        <f>C30+F30+I30+L30+O30+R30+U30+X30+AA30+AD30+AG30+AJ30</f>
        <v/>
      </c>
      <c r="AN30" s="79" t="n"/>
      <c r="AO30" s="1056" t="n"/>
      <c r="AP30" s="2" t="n"/>
      <c r="AQ30" s="2" t="n"/>
    </row>
    <row r="31" outlineLevel="1" ht="15" customHeight="1" s="985">
      <c r="B31" s="105" t="inlineStr">
        <is>
          <t>Prohospitales 1%</t>
        </is>
      </c>
      <c r="C31" s="1062">
        <f>C$13*1%</f>
        <v/>
      </c>
      <c r="D31" s="43" t="n"/>
      <c r="E31" s="1045" t="n"/>
      <c r="F31" s="1062">
        <f>F$13*1%</f>
        <v/>
      </c>
      <c r="G31" s="43" t="n"/>
      <c r="H31" s="1045" t="n"/>
      <c r="I31" s="1062">
        <f>I$13*1%</f>
        <v/>
      </c>
      <c r="J31" s="43" t="n"/>
      <c r="K31" s="1045" t="n"/>
      <c r="L31" s="1062">
        <f>L$13*1%</f>
        <v/>
      </c>
      <c r="M31" s="43" t="n"/>
      <c r="N31" s="1045" t="n"/>
      <c r="O31" s="1062">
        <f>O$13*1%</f>
        <v/>
      </c>
      <c r="P31" s="43" t="n"/>
      <c r="Q31" s="1045" t="n"/>
      <c r="R31" s="1062">
        <f>R$13*1%</f>
        <v/>
      </c>
      <c r="S31" s="43" t="n"/>
      <c r="T31" s="1045" t="n"/>
      <c r="U31" s="1062">
        <f>U$13*1%</f>
        <v/>
      </c>
      <c r="V31" s="43" t="n"/>
      <c r="W31" s="1045" t="n"/>
      <c r="X31" s="1062">
        <f>X$13*1%</f>
        <v/>
      </c>
      <c r="Y31" s="43" t="n"/>
      <c r="Z31" s="1045" t="n"/>
      <c r="AA31" s="1062">
        <f>AA$13*1%</f>
        <v/>
      </c>
      <c r="AB31" s="43" t="n"/>
      <c r="AC31" s="1045" t="n"/>
      <c r="AD31" s="1062">
        <f>AD$13*1%</f>
        <v/>
      </c>
      <c r="AE31" s="43" t="n"/>
      <c r="AF31" s="1045" t="n"/>
      <c r="AG31" s="1062">
        <f>AG$13*1%</f>
        <v/>
      </c>
      <c r="AH31" s="43" t="n"/>
      <c r="AI31" s="1045" t="n"/>
      <c r="AJ31" s="1062">
        <f>AJ$13*1%</f>
        <v/>
      </c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outlineLevel="1" ht="15" customHeight="1" s="985">
      <c r="B32" s="105" t="inlineStr">
        <is>
          <t>Rete Ica 0,6%</t>
        </is>
      </c>
      <c r="C32" s="1183">
        <f>(C13*80%)*0.6%</f>
        <v/>
      </c>
      <c r="D32" s="92" t="n"/>
      <c r="E32" s="1063" t="n"/>
      <c r="F32" s="1183">
        <f>(F13*80%)*0.6%</f>
        <v/>
      </c>
      <c r="G32" s="92" t="n"/>
      <c r="H32" s="1063" t="n"/>
      <c r="I32" s="1183">
        <f>(I13*1%)*0.6%</f>
        <v/>
      </c>
      <c r="J32" s="92" t="n"/>
      <c r="K32" s="1063" t="n"/>
      <c r="L32" s="1183">
        <f>(L13*1%)*0.6%</f>
        <v/>
      </c>
      <c r="M32" s="92" t="n"/>
      <c r="N32" s="1063" t="n"/>
      <c r="O32" s="1183">
        <f>(O13*1%)*0.6%</f>
        <v/>
      </c>
      <c r="P32" s="43" t="n"/>
      <c r="Q32" s="1045" t="n"/>
      <c r="R32" s="1183">
        <f>(R13*1%)*0.6%</f>
        <v/>
      </c>
      <c r="S32" s="43" t="n"/>
      <c r="T32" s="1045" t="n"/>
      <c r="U32" s="1183">
        <f>(U13*1%)*0.6%</f>
        <v/>
      </c>
      <c r="V32" s="43" t="n"/>
      <c r="W32" s="1045" t="n"/>
      <c r="X32" s="1183">
        <f>(X13*1%)*0.6%</f>
        <v/>
      </c>
      <c r="Y32" s="43" t="n"/>
      <c r="Z32" s="1045" t="n"/>
      <c r="AA32" s="1183">
        <f>(AA13*1%)*0.6%</f>
        <v/>
      </c>
      <c r="AB32" s="43" t="n"/>
      <c r="AC32" s="1045" t="n"/>
      <c r="AD32" s="1183">
        <f>(AD13*1%)*0.6%</f>
        <v/>
      </c>
      <c r="AE32" s="43" t="n"/>
      <c r="AF32" s="1045" t="n"/>
      <c r="AG32" s="1183">
        <f>(AG13*1%)*0.6%</f>
        <v/>
      </c>
      <c r="AH32" s="43" t="n"/>
      <c r="AI32" s="1045" t="n"/>
      <c r="AJ32" s="1183">
        <f>(AJ13*1%)*0.6%</f>
        <v/>
      </c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outlineLevel="1" ht="15" customHeight="1" s="985">
      <c r="B33" s="105" t="inlineStr">
        <is>
          <t>Adulto Mayor 2%</t>
        </is>
      </c>
      <c r="C33" s="1062">
        <f>C13*2%</f>
        <v/>
      </c>
      <c r="D33" s="43" t="n"/>
      <c r="E33" s="1045" t="n"/>
      <c r="F33" s="1062">
        <f>F13*2%</f>
        <v/>
      </c>
      <c r="G33" s="43" t="n"/>
      <c r="H33" s="1045" t="n"/>
      <c r="I33" s="1062">
        <f>I13*2%</f>
        <v/>
      </c>
      <c r="J33" s="43" t="n"/>
      <c r="K33" s="1045" t="n"/>
      <c r="L33" s="1062">
        <f>L13*2%</f>
        <v/>
      </c>
      <c r="M33" s="43" t="n"/>
      <c r="N33" s="1045" t="n"/>
      <c r="O33" s="1062">
        <f>O13*2%</f>
        <v/>
      </c>
      <c r="P33" s="43" t="n"/>
      <c r="Q33" s="1045" t="n"/>
      <c r="R33" s="1062">
        <f>R13*2%</f>
        <v/>
      </c>
      <c r="S33" s="43" t="n"/>
      <c r="T33" s="1045" t="n"/>
      <c r="U33" s="1062">
        <f>U13*2%</f>
        <v/>
      </c>
      <c r="V33" s="43" t="n"/>
      <c r="W33" s="1045" t="n"/>
      <c r="X33" s="1062">
        <f>X13*2%</f>
        <v/>
      </c>
      <c r="Y33" s="43" t="n"/>
      <c r="Z33" s="1045" t="n"/>
      <c r="AA33" s="1062">
        <f>AA13*2%</f>
        <v/>
      </c>
      <c r="AB33" s="43" t="n"/>
      <c r="AC33" s="1045" t="n"/>
      <c r="AD33" s="1062">
        <f>AD13*2%</f>
        <v/>
      </c>
      <c r="AE33" s="43" t="n"/>
      <c r="AF33" s="1045" t="n"/>
      <c r="AG33" s="1062">
        <f>AG13*2%</f>
        <v/>
      </c>
      <c r="AH33" s="43" t="n"/>
      <c r="AI33" s="1045" t="n"/>
      <c r="AJ33" s="1062">
        <f>AJ13*2%</f>
        <v/>
      </c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outlineLevel="1" ht="15" customHeight="1" s="985">
      <c r="B34" s="105" t="inlineStr">
        <is>
          <t>Retefuente</t>
        </is>
      </c>
      <c r="C34" s="25" t="n"/>
      <c r="D34" s="43" t="n"/>
      <c r="E34" s="1045" t="n"/>
      <c r="F34" s="25" t="n"/>
      <c r="G34" s="43" t="n"/>
      <c r="H34" s="1045" t="n"/>
      <c r="I34" s="25">
        <f>(I13*1%)*3.5%</f>
        <v/>
      </c>
      <c r="J34" s="43" t="n"/>
      <c r="K34" s="1045" t="n"/>
      <c r="L34" s="25">
        <f>(L13*1%)*3.5%</f>
        <v/>
      </c>
      <c r="M34" s="43" t="n"/>
      <c r="N34" s="1045" t="n"/>
      <c r="O34" s="25">
        <f>(O13*1%)*3.5%</f>
        <v/>
      </c>
      <c r="P34" s="43" t="n"/>
      <c r="Q34" s="1045" t="n"/>
      <c r="R34" s="25">
        <f>(R13*1%)*3.5%</f>
        <v/>
      </c>
      <c r="S34" s="43" t="n"/>
      <c r="T34" s="1045" t="n"/>
      <c r="U34" s="25">
        <f>(U13*1%)*3.5%</f>
        <v/>
      </c>
      <c r="V34" s="43" t="n"/>
      <c r="W34" s="1045" t="n"/>
      <c r="X34" s="25">
        <f>(X13*1%)*3.5%</f>
        <v/>
      </c>
      <c r="Y34" s="43" t="n"/>
      <c r="Z34" s="1045" t="n"/>
      <c r="AA34" s="25">
        <f>(AA13*1%)*3.5%</f>
        <v/>
      </c>
      <c r="AB34" s="43" t="n"/>
      <c r="AC34" s="1045" t="n"/>
      <c r="AD34" s="25">
        <f>(AD13*1%)*3.5%</f>
        <v/>
      </c>
      <c r="AE34" s="43" t="n"/>
      <c r="AF34" s="1045" t="n"/>
      <c r="AG34" s="25">
        <f>(AG13*1%)*3.5%</f>
        <v/>
      </c>
      <c r="AH34" s="43" t="n"/>
      <c r="AI34" s="1045" t="n"/>
      <c r="AJ34" s="25">
        <f>(AJ13*1%)*3.5%</f>
        <v/>
      </c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outlineLevel="1" ht="15" customHeight="1" s="985">
      <c r="B35" s="335" t="inlineStr">
        <is>
          <t>Prodeporte 2,5%</t>
        </is>
      </c>
      <c r="C35" s="91">
        <f>C$13*2.5%</f>
        <v/>
      </c>
      <c r="D35" s="92" t="n"/>
      <c r="E35" s="1063" t="n"/>
      <c r="F35" s="91">
        <f>F$13*2.5%</f>
        <v/>
      </c>
      <c r="G35" s="92" t="n"/>
      <c r="H35" s="1063" t="n"/>
      <c r="I35" s="91">
        <f>I$13*2.5%</f>
        <v/>
      </c>
      <c r="J35" s="92" t="n"/>
      <c r="K35" s="1063" t="n"/>
      <c r="L35" s="91">
        <f>L$13*2.5%</f>
        <v/>
      </c>
      <c r="M35" s="92" t="n"/>
      <c r="N35" s="1063" t="n"/>
      <c r="O35" s="91">
        <f>O$13*2.5%</f>
        <v/>
      </c>
      <c r="P35" s="92" t="n"/>
      <c r="Q35" s="1063" t="n"/>
      <c r="R35" s="91">
        <f>R$13*2.5%</f>
        <v/>
      </c>
      <c r="S35" s="92" t="n"/>
      <c r="T35" s="1063" t="n"/>
      <c r="U35" s="91">
        <f>U$13*2.5%</f>
        <v/>
      </c>
      <c r="V35" s="92" t="n"/>
      <c r="W35" s="1063" t="n"/>
      <c r="X35" s="91">
        <f>X$13*2.5%</f>
        <v/>
      </c>
      <c r="Y35" s="92" t="n"/>
      <c r="Z35" s="1063" t="n"/>
      <c r="AA35" s="91">
        <f>AA$13*2.5%</f>
        <v/>
      </c>
      <c r="AB35" s="92" t="n"/>
      <c r="AC35" s="1063" t="n"/>
      <c r="AD35" s="91">
        <f>AD$13*2.5%</f>
        <v/>
      </c>
      <c r="AE35" s="92" t="n"/>
      <c r="AF35" s="1063" t="n"/>
      <c r="AG35" s="91">
        <f>AG$13*2.5%</f>
        <v/>
      </c>
      <c r="AH35" s="92" t="n"/>
      <c r="AI35" s="1063" t="n"/>
      <c r="AJ35" s="91">
        <f>AJ$13*2.5%</f>
        <v/>
      </c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outlineLevel="1" ht="15" customHeight="1" s="985">
      <c r="B36" s="105" t="inlineStr">
        <is>
          <t>2% Juzgado de Familia</t>
        </is>
      </c>
      <c r="C36" s="25">
        <f>C13*2%</f>
        <v/>
      </c>
      <c r="D36" s="43" t="n"/>
      <c r="E36" s="1045" t="n"/>
      <c r="F36" s="25">
        <f>F13*2%</f>
        <v/>
      </c>
      <c r="G36" s="43" t="n"/>
      <c r="H36" s="1045" t="n"/>
      <c r="I36" s="25">
        <f>I13*2%</f>
        <v/>
      </c>
      <c r="J36" s="43" t="n"/>
      <c r="K36" s="1045" t="n"/>
      <c r="L36" s="25">
        <f>L13*2%</f>
        <v/>
      </c>
      <c r="M36" s="43" t="n"/>
      <c r="N36" s="1045" t="n"/>
      <c r="O36" s="25">
        <f>O13*2%</f>
        <v/>
      </c>
      <c r="P36" s="43" t="n"/>
      <c r="Q36" s="1045" t="n"/>
      <c r="R36" s="25">
        <f>R13*2%</f>
        <v/>
      </c>
      <c r="S36" s="43" t="n"/>
      <c r="T36" s="1045" t="n"/>
      <c r="U36" s="25">
        <f>U13*2%</f>
        <v/>
      </c>
      <c r="V36" s="43" t="n"/>
      <c r="W36" s="1045" t="n"/>
      <c r="X36" s="25">
        <f>X13*2%</f>
        <v/>
      </c>
      <c r="Y36" s="43" t="n"/>
      <c r="Z36" s="1045" t="n"/>
      <c r="AA36" s="25">
        <f>AA13*2%</f>
        <v/>
      </c>
      <c r="AB36" s="43" t="n"/>
      <c r="AC36" s="1045" t="n"/>
      <c r="AD36" s="25">
        <f>AD13*2%</f>
        <v/>
      </c>
      <c r="AE36" s="43" t="n"/>
      <c r="AF36" s="1045" t="n"/>
      <c r="AG36" s="25">
        <f>AG13*2%</f>
        <v/>
      </c>
      <c r="AH36" s="43" t="n"/>
      <c r="AI36" s="1045" t="n"/>
      <c r="AJ36" s="25">
        <f>AJ13*2%</f>
        <v/>
      </c>
      <c r="AK36" s="43" t="n"/>
      <c r="AL36" s="57" t="n"/>
      <c r="AM36" s="205">
        <f>C36+F36+I36+L36+O36+R36+U36+X36+AA36+AD36+AG36+AJ36</f>
        <v/>
      </c>
      <c r="AN36" s="43" t="n"/>
      <c r="AO36" s="1046" t="n"/>
    </row>
    <row r="37" outlineLevel="1" ht="15" customHeight="1" s="985">
      <c r="B37" s="105" t="inlineStr">
        <is>
          <t>0,5% Propacifico</t>
        </is>
      </c>
      <c r="C37" s="25">
        <f>C$13*0.5%</f>
        <v/>
      </c>
      <c r="D37" s="43" t="n"/>
      <c r="E37" s="1045" t="n"/>
      <c r="F37" s="25">
        <f>F$13*0.5%</f>
        <v/>
      </c>
      <c r="G37" s="43" t="n"/>
      <c r="H37" s="1045" t="n"/>
      <c r="I37" s="25">
        <f>I$13*0.5%</f>
        <v/>
      </c>
      <c r="J37" s="43" t="n"/>
      <c r="K37" s="1045" t="n"/>
      <c r="L37" s="25">
        <f>L$13*0.5%</f>
        <v/>
      </c>
      <c r="M37" s="43" t="n"/>
      <c r="N37" s="1045" t="n"/>
      <c r="O37" s="25">
        <f>O$13*0.5%</f>
        <v/>
      </c>
      <c r="P37" s="43" t="n"/>
      <c r="Q37" s="1045" t="n"/>
      <c r="R37" s="25">
        <f>R$13*0.5%</f>
        <v/>
      </c>
      <c r="S37" s="43" t="n"/>
      <c r="T37" s="1045" t="n"/>
      <c r="U37" s="25">
        <f>U$13*0.5%</f>
        <v/>
      </c>
      <c r="V37" s="43" t="n"/>
      <c r="W37" s="1045" t="n"/>
      <c r="X37" s="25">
        <f>X$13*0.5%</f>
        <v/>
      </c>
      <c r="Y37" s="43" t="n"/>
      <c r="Z37" s="1045" t="n"/>
      <c r="AA37" s="25">
        <f>AA$13*0.5%</f>
        <v/>
      </c>
      <c r="AB37" s="43" t="n"/>
      <c r="AC37" s="1045" t="n"/>
      <c r="AD37" s="25">
        <f>AD$13*0.5%</f>
        <v/>
      </c>
      <c r="AE37" s="43" t="n"/>
      <c r="AF37" s="1045" t="n"/>
      <c r="AG37" s="25">
        <f>AG$13*0.5%</f>
        <v/>
      </c>
      <c r="AH37" s="43" t="n"/>
      <c r="AI37" s="1045" t="n"/>
      <c r="AJ37" s="25">
        <f>AJ$13*0.5%</f>
        <v/>
      </c>
      <c r="AK37" s="43" t="n"/>
      <c r="AL37" s="57" t="n"/>
      <c r="AM37" s="205">
        <f>C37+F37+I37+L37+O37+R37+U37+X37+AA37+AD37+AG37+AJ37</f>
        <v/>
      </c>
      <c r="AN37" s="43" t="n"/>
      <c r="AO37" s="1046" t="n"/>
    </row>
    <row r="38" outlineLevel="1" ht="15" customHeight="1" s="985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>
        <f>C38+F38+I38+L38+O38+R38+U38+X38+AA38+AD38+AG38+AJ38</f>
        <v/>
      </c>
      <c r="AN38" s="42" t="n"/>
      <c r="AO38" s="1058" t="n"/>
    </row>
    <row r="39" hidden="1" outlineLevel="1" ht="15" customHeight="1" s="985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hidden="1" outlineLevel="1" ht="15" customHeight="1" s="985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hidden="1" outlineLevel="1" ht="15" customHeight="1" s="985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5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>
        <f>161491188.56-AG29</f>
        <v/>
      </c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1069" t="n"/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5">
      <c r="B45" s="16" t="inlineStr">
        <is>
          <t>COSTOS INDUSTRIALIZADOS</t>
        </is>
      </c>
      <c r="C45" s="49" t="n"/>
      <c r="D45" s="3" t="n"/>
      <c r="E45" s="1053" t="n"/>
      <c r="F45" s="49">
        <f>+F46+F57</f>
        <v/>
      </c>
      <c r="G45" s="3" t="n"/>
      <c r="H45" s="1053" t="n"/>
      <c r="I45" s="49">
        <f>+I46+I57</f>
        <v/>
      </c>
      <c r="J45" s="3" t="n"/>
      <c r="K45" s="1053" t="n"/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90">
        <f>+R46+R57</f>
        <v/>
      </c>
      <c r="S45" s="3" t="n"/>
      <c r="T45" s="1053" t="n"/>
      <c r="U45" s="90">
        <f>+U46+U57</f>
        <v/>
      </c>
      <c r="V45" s="3" t="n"/>
      <c r="W45" s="1053" t="n"/>
      <c r="X45" s="49">
        <f>+X46+X57</f>
        <v/>
      </c>
      <c r="Y45" s="3" t="n"/>
      <c r="Z45" s="1053" t="n"/>
      <c r="AA45" s="90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90">
        <f>+AG46+AG57</f>
        <v/>
      </c>
      <c r="AH45" s="76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t="15" customHeight="1" s="985">
      <c r="B46" s="36" t="inlineStr">
        <is>
          <t>INSUMOS CI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>
        <f>AG46/AG13</f>
        <v/>
      </c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idden="1" ht="15" customHeight="1" s="985">
      <c r="B47" s="97" t="inlineStr">
        <is>
          <t>RACION PARA PREPARAR EN CASA (Ins)</t>
        </is>
      </c>
      <c r="C47" s="76" t="n"/>
      <c r="D47" s="42" t="n"/>
      <c r="E47" s="1057" t="n"/>
      <c r="F47" s="76" t="n"/>
      <c r="G47" s="42">
        <f>F47/F5</f>
        <v/>
      </c>
      <c r="H47" s="1057">
        <f>F47/F13</f>
        <v/>
      </c>
      <c r="I47" s="76" t="n"/>
      <c r="J47" s="42">
        <f>I47/I5</f>
        <v/>
      </c>
      <c r="K47" s="1057">
        <f>I47/I13</f>
        <v/>
      </c>
      <c r="L47" s="76" t="n"/>
      <c r="M47" s="42">
        <f>L47/L5</f>
        <v/>
      </c>
      <c r="N47" s="1057">
        <f>L47/L13</f>
        <v/>
      </c>
      <c r="O47" s="76" t="n"/>
      <c r="P47" s="42" t="n"/>
      <c r="Q47" s="1057" t="n"/>
      <c r="R47" s="76" t="n"/>
      <c r="S47" s="42">
        <f>R47/R5</f>
        <v/>
      </c>
      <c r="T47" s="1057">
        <f>R47/R13</f>
        <v/>
      </c>
      <c r="U47" s="76" t="n"/>
      <c r="V47" s="42">
        <f>U47/U5</f>
        <v/>
      </c>
      <c r="W47" s="1057">
        <f>U47/U13</f>
        <v/>
      </c>
      <c r="X47" s="76" t="n"/>
      <c r="Y47" s="42">
        <f>X47/X5</f>
        <v/>
      </c>
      <c r="Z47" s="1057">
        <f>X47/X13</f>
        <v/>
      </c>
      <c r="AA47" s="76" t="n"/>
      <c r="AB47" s="42" t="n"/>
      <c r="AC47" s="1057">
        <f>AA47/AA13</f>
        <v/>
      </c>
      <c r="AD47" s="76" t="n"/>
      <c r="AE47" s="42" t="n"/>
      <c r="AF47" s="1057">
        <f>AD47/AD13</f>
        <v/>
      </c>
      <c r="AG47" s="76" t="n"/>
      <c r="AH47" s="42" t="n"/>
      <c r="AI47" s="1057" t="n"/>
      <c r="AJ47" s="76" t="n"/>
      <c r="AK47" s="42" t="n"/>
      <c r="AL47" s="1057" t="n"/>
      <c r="AM47" s="97">
        <f>C47+F47+I47+L47+O47+R47+U47+X47+AA47+AD47+AG47+AJ47</f>
        <v/>
      </c>
      <c r="AN47" s="42">
        <f>AM47/AM5</f>
        <v/>
      </c>
      <c r="AO47" s="1058">
        <f>AM47/AM13</f>
        <v/>
      </c>
    </row>
    <row r="48" hidden="1" ht="15" customHeight="1" s="985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>
        <f>AA48/AA6</f>
        <v/>
      </c>
      <c r="AC48" s="1045">
        <f>AA48/AA17</f>
        <v/>
      </c>
      <c r="AD48" s="75" t="n"/>
      <c r="AE48" s="43">
        <f>AD48/AD6</f>
        <v/>
      </c>
      <c r="AF48" s="1045">
        <f>AD48/AD17</f>
        <v/>
      </c>
      <c r="AG48" s="75" t="n"/>
      <c r="AH48" s="43">
        <f>AG48/AG6</f>
        <v/>
      </c>
      <c r="AI48" s="1045">
        <f>AG48/AG17</f>
        <v/>
      </c>
      <c r="AJ48" s="75" t="n"/>
      <c r="AK48" s="43" t="n"/>
      <c r="AL48" s="1045" t="n"/>
      <c r="AM48" s="205">
        <f>C48+F48+I48+L48+O48+R48+U48+X48+AA48+AD48+AG48+AJ48</f>
        <v/>
      </c>
      <c r="AN48" s="43" t="n"/>
      <c r="AO48" s="1046" t="n"/>
    </row>
    <row r="49" hidden="1" ht="15" customHeight="1" s="985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>
        <f>AA49/AA7</f>
        <v/>
      </c>
      <c r="AC49" s="1045">
        <f>AA49/AA18</f>
        <v/>
      </c>
      <c r="AD49" s="75" t="n"/>
      <c r="AE49" s="43">
        <f>AD49/AD7</f>
        <v/>
      </c>
      <c r="AF49" s="1045">
        <f>AD49/AD18</f>
        <v/>
      </c>
      <c r="AG49" s="75" t="n"/>
      <c r="AH49" s="43">
        <f>AG49/AG7</f>
        <v/>
      </c>
      <c r="AI49" s="1045">
        <f>AG49/AG18</f>
        <v/>
      </c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idden="1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idden="1" ht="15" customHeight="1" s="985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idden="1" ht="15" customHeight="1" s="985">
      <c r="B52" s="25" t="inlineStr">
        <is>
          <t>REFRIGERIOS (Ins)</t>
        </is>
      </c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idden="1" ht="15" customHeight="1" s="985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idden="1" ht="15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idden="1" ht="15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idden="1" ht="15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idden="1" ht="15" customHeight="1" s="985">
      <c r="B57" s="36" t="inlineStr">
        <is>
          <t>FLETES CI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>
        <f>L57/L12</f>
        <v/>
      </c>
      <c r="N57" s="1071">
        <f>L57/L13</f>
        <v/>
      </c>
      <c r="O57" s="46">
        <f>SUM(O58:O59)</f>
        <v/>
      </c>
      <c r="P57" s="47" t="n"/>
      <c r="Q57" s="1049" t="n"/>
      <c r="R57" s="46">
        <f>SUM(R58:R59)</f>
        <v/>
      </c>
      <c r="S57" s="47">
        <f>R57/R12</f>
        <v/>
      </c>
      <c r="T57" s="1049">
        <f>R57/R13</f>
        <v/>
      </c>
      <c r="U57" s="46">
        <f>SUM(U58:U59)</f>
        <v/>
      </c>
      <c r="V57" s="47">
        <f>U57/U12</f>
        <v/>
      </c>
      <c r="W57" s="1049">
        <f>U57/U13</f>
        <v/>
      </c>
      <c r="X57" s="46">
        <f>SUM(X58:X59)</f>
        <v/>
      </c>
      <c r="Y57" s="47">
        <f>X57/X12</f>
        <v/>
      </c>
      <c r="Z57" s="1049">
        <f>X57/X13</f>
        <v/>
      </c>
      <c r="AA57" s="46">
        <f>SUM(AA58:AA59)</f>
        <v/>
      </c>
      <c r="AB57" s="47">
        <f>AA57/AA12</f>
        <v/>
      </c>
      <c r="AC57" s="1049">
        <f>AA57/AA13</f>
        <v/>
      </c>
      <c r="AD57" s="46">
        <f>SUM(AD58:AD59)</f>
        <v/>
      </c>
      <c r="AE57" s="47">
        <f>AD57/AD12</f>
        <v/>
      </c>
      <c r="AF57" s="1049">
        <f>AD57/AD13</f>
        <v/>
      </c>
      <c r="AG57" s="46">
        <f>SUM(AG58:AG59)</f>
        <v/>
      </c>
      <c r="AH57" s="67">
        <f>AG57/AG12</f>
        <v/>
      </c>
      <c r="AI57" s="1071">
        <f>AG57/AG13</f>
        <v/>
      </c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 t="n"/>
      <c r="AO57" s="1050" t="n"/>
    </row>
    <row r="58" hidden="1" ht="15" customHeight="1" s="985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>
        <f>F58/F5</f>
        <v/>
      </c>
      <c r="H58" s="1111">
        <f>F58/F13</f>
        <v/>
      </c>
      <c r="I58" s="304" t="n"/>
      <c r="J58" s="305">
        <f>I58/I5</f>
        <v/>
      </c>
      <c r="K58" s="1111">
        <f>I58/I13</f>
        <v/>
      </c>
      <c r="L58" s="304" t="n"/>
      <c r="M58" s="305">
        <f>L58/L5</f>
        <v/>
      </c>
      <c r="N58" s="1111">
        <f>L58/L13</f>
        <v/>
      </c>
      <c r="O58" s="304" t="n"/>
      <c r="P58" s="305" t="n"/>
      <c r="Q58" s="1111" t="n"/>
      <c r="R58" s="304" t="n"/>
      <c r="S58" s="305">
        <f>R58/R5</f>
        <v/>
      </c>
      <c r="T58" s="1111">
        <f>R58/R13</f>
        <v/>
      </c>
      <c r="U58" s="304" t="n"/>
      <c r="V58" s="305">
        <f>U58/U5</f>
        <v/>
      </c>
      <c r="W58" s="1111">
        <f>U58/U13</f>
        <v/>
      </c>
      <c r="X58" s="304" t="n"/>
      <c r="Y58" s="305">
        <f>X58/X5</f>
        <v/>
      </c>
      <c r="Z58" s="1111">
        <f>X58/X13</f>
        <v/>
      </c>
      <c r="AA58" s="304" t="n"/>
      <c r="AB58" s="305">
        <f>AA58/AA12</f>
        <v/>
      </c>
      <c r="AC58" s="1111">
        <f>AA58/AA13</f>
        <v/>
      </c>
      <c r="AD58" s="304" t="n"/>
      <c r="AE58" s="305">
        <f>AD58/AD12</f>
        <v/>
      </c>
      <c r="AF58" s="1111">
        <f>AD58/AD13</f>
        <v/>
      </c>
      <c r="AG58" s="304" t="n"/>
      <c r="AH58" s="305">
        <f>AG58/AG12</f>
        <v/>
      </c>
      <c r="AI58" s="1111">
        <f>AG58/AG13</f>
        <v/>
      </c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AM58/AM$16</f>
        <v/>
      </c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>
        <f>F59/F5</f>
        <v/>
      </c>
      <c r="H59" s="1047">
        <f>F59/F13</f>
        <v/>
      </c>
      <c r="I59" s="83" t="n"/>
      <c r="J59" s="84">
        <f>I59/I5</f>
        <v/>
      </c>
      <c r="K59" s="1047">
        <f>I59/I13</f>
        <v/>
      </c>
      <c r="L59" s="83" t="n"/>
      <c r="M59" s="84">
        <f>L59/L5</f>
        <v/>
      </c>
      <c r="N59" s="1047">
        <f>L59/L13</f>
        <v/>
      </c>
      <c r="O59" s="83" t="n"/>
      <c r="P59" s="84" t="n"/>
      <c r="Q59" s="1047" t="n"/>
      <c r="R59" s="83" t="n"/>
      <c r="S59" s="84">
        <f>R59/R5</f>
        <v/>
      </c>
      <c r="T59" s="1047">
        <f>R59/R13</f>
        <v/>
      </c>
      <c r="U59" s="83" t="n"/>
      <c r="V59" s="84">
        <f>U59/U5</f>
        <v/>
      </c>
      <c r="W59" s="1047">
        <f>U59/U13</f>
        <v/>
      </c>
      <c r="X59" s="83" t="n"/>
      <c r="Y59" s="84">
        <f>X59/X5</f>
        <v/>
      </c>
      <c r="Z59" s="1047">
        <f>X59/X13</f>
        <v/>
      </c>
      <c r="AA59" s="83" t="n"/>
      <c r="AB59" s="84">
        <f>AA59/AA12</f>
        <v/>
      </c>
      <c r="AC59" s="1047">
        <f>AA59/AA13</f>
        <v/>
      </c>
      <c r="AD59" s="83" t="n"/>
      <c r="AE59" s="84">
        <f>AD59/AD12</f>
        <v/>
      </c>
      <c r="AF59" s="1047">
        <f>AD59/AD13</f>
        <v/>
      </c>
      <c r="AG59" s="83" t="n"/>
      <c r="AH59" s="84">
        <f>AG59/AG12</f>
        <v/>
      </c>
      <c r="AI59" s="1047">
        <f>AG59/AG13</f>
        <v/>
      </c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AM59/(AM16)</f>
        <v/>
      </c>
    </row>
    <row r="60" ht="15" customHeight="1" s="985">
      <c r="B60" s="16" t="inlineStr">
        <is>
          <t>COSTOS PREPARADOS</t>
        </is>
      </c>
      <c r="C60" s="49">
        <f>+C61+C72+C75+C76+C77</f>
        <v/>
      </c>
      <c r="D60" s="67" t="n"/>
      <c r="E60" s="1071" t="n"/>
      <c r="F60" s="49">
        <f>+F61+F72+F75+F76+F77</f>
        <v/>
      </c>
      <c r="G60" s="3" t="n"/>
      <c r="H60" s="1053" t="n"/>
      <c r="I60" s="49">
        <f>+I61+I72+I75+I76+I77</f>
        <v/>
      </c>
      <c r="J60" s="3" t="n"/>
      <c r="K60" s="1053" t="n"/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90">
        <f>+R61+R72+R75+R76+R77</f>
        <v/>
      </c>
      <c r="S60" s="3" t="n"/>
      <c r="T60" s="1053" t="n"/>
      <c r="U60" s="90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90">
        <f>+AA61+AA72+AA75+AA76+AA77</f>
        <v/>
      </c>
      <c r="AB60" s="3" t="n"/>
      <c r="AC60" s="1053" t="n"/>
      <c r="AD60" s="90">
        <f>+AD61+AD72+AD75+AD76+AD77</f>
        <v/>
      </c>
      <c r="AE60" s="3" t="n"/>
      <c r="AF60" s="1053" t="n"/>
      <c r="AG60" s="90">
        <f>+AG61+AG72+AG75+AG76+AG77</f>
        <v/>
      </c>
      <c r="AH60" s="76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t="15" customHeight="1" s="985">
      <c r="B61" s="36" t="inlineStr">
        <is>
          <t>INSUMOS CP</t>
        </is>
      </c>
      <c r="C61" s="37">
        <f>SUM(C62:C71)</f>
        <v/>
      </c>
      <c r="D61" s="67" t="n"/>
      <c r="E61" s="1184">
        <f>C61/(C$13-C$19-C$20)</f>
        <v/>
      </c>
      <c r="F61" s="37">
        <f>SUM(F62:F71)</f>
        <v/>
      </c>
      <c r="G61" s="67" t="n"/>
      <c r="H61" s="1184">
        <f>F61/(F$13-F$19-F$20)</f>
        <v/>
      </c>
      <c r="I61" s="37">
        <f>SUM(I62:I71)</f>
        <v/>
      </c>
      <c r="J61" s="67" t="n"/>
      <c r="K61" s="1184">
        <f>I61/(I$13-I$19-I$20)</f>
        <v/>
      </c>
      <c r="L61" s="37">
        <f>SUM(L62:L71)</f>
        <v/>
      </c>
      <c r="M61" s="67" t="n"/>
      <c r="N61" s="1184">
        <f>L61/L13</f>
        <v/>
      </c>
      <c r="O61" s="37">
        <f>SUM(O62:O71)</f>
        <v/>
      </c>
      <c r="P61" s="67" t="n"/>
      <c r="Q61" s="1184">
        <f>O61/(O13-O20)</f>
        <v/>
      </c>
      <c r="R61" s="37">
        <f>SUM(R62:R71)</f>
        <v/>
      </c>
      <c r="S61" s="67" t="n"/>
      <c r="T61" s="1184">
        <f>R61/R13</f>
        <v/>
      </c>
      <c r="U61" s="37">
        <f>SUM(U62:U71)</f>
        <v/>
      </c>
      <c r="V61" s="67" t="n"/>
      <c r="W61" s="1184">
        <f>U61/U13</f>
        <v/>
      </c>
      <c r="X61" s="37">
        <f>SUM(X62:X71)</f>
        <v/>
      </c>
      <c r="Y61" s="67" t="n"/>
      <c r="Z61" s="1184">
        <f>X61/X13</f>
        <v/>
      </c>
      <c r="AA61" s="37">
        <f>SUM(AA62:AA71)</f>
        <v/>
      </c>
      <c r="AB61" s="67" t="n"/>
      <c r="AC61" s="1184">
        <f>AA61/(AA13-AA19-AA20)</f>
        <v/>
      </c>
      <c r="AD61" s="37">
        <f>SUM(AD62:AD71)</f>
        <v/>
      </c>
      <c r="AE61" s="67" t="n"/>
      <c r="AF61" s="1184">
        <f>AD61/(AD13-AD19-AD20)</f>
        <v/>
      </c>
      <c r="AG61" s="37">
        <f>SUM(AG62:AG71)</f>
        <v/>
      </c>
      <c r="AH61" s="67" t="n"/>
      <c r="AI61" s="1049">
        <f>AG61/(AG13-AG19)</f>
        <v/>
      </c>
      <c r="AJ61" s="37">
        <f>SUM(AJ62:AJ71)</f>
        <v/>
      </c>
      <c r="AK61" s="67" t="n"/>
      <c r="AL61" s="1049">
        <f>AJ61/(AJ13-AJ19)</f>
        <v/>
      </c>
      <c r="AM61" s="211">
        <f>C61+F61+I61+L61+O61+R61+U61+X61+AA61+AD61+AG61+AJ61</f>
        <v/>
      </c>
      <c r="AN61" s="67" t="n"/>
      <c r="AO61" s="1185">
        <f>AM61/(AM$13-AM$19-AM$20)</f>
        <v/>
      </c>
    </row>
    <row r="62" ht="15" customHeight="1" s="985">
      <c r="A62" s="226" t="inlineStr">
        <is>
          <t xml:space="preserve">7105                </t>
        </is>
      </c>
      <c r="B62" s="100" t="inlineStr">
        <is>
          <t>COMPLEMENTO AM/PM  (Ins)</t>
        </is>
      </c>
      <c r="C62" s="78">
        <f>'[44]Hoja 1'!$I$47</f>
        <v/>
      </c>
      <c r="D62" s="79">
        <f>C62/C5</f>
        <v/>
      </c>
      <c r="E62" s="1055">
        <f>C62/C16</f>
        <v/>
      </c>
      <c r="F62" s="78">
        <f>'[45]Hoja 1'!$I$56</f>
        <v/>
      </c>
      <c r="G62" s="79">
        <f>F62/F5</f>
        <v/>
      </c>
      <c r="H62" s="1055">
        <f>F62/F16</f>
        <v/>
      </c>
      <c r="I62" s="78" t="n"/>
      <c r="J62" s="79">
        <f>I62/I5</f>
        <v/>
      </c>
      <c r="K62" s="1055">
        <f>I62/I16</f>
        <v/>
      </c>
      <c r="L62" s="78" t="n"/>
      <c r="M62" s="79">
        <f>L62/L5</f>
        <v/>
      </c>
      <c r="N62" s="1055">
        <f>L62/L16</f>
        <v/>
      </c>
      <c r="O62" s="78" t="n"/>
      <c r="P62" s="79">
        <f>O62/O5</f>
        <v/>
      </c>
      <c r="Q62" s="1055">
        <f>O62/O16</f>
        <v/>
      </c>
      <c r="R62" s="78" t="n"/>
      <c r="S62" s="79">
        <f>R62/R5</f>
        <v/>
      </c>
      <c r="T62" s="1055">
        <f>R62/R16</f>
        <v/>
      </c>
      <c r="U62" s="78" t="n"/>
      <c r="V62" s="79">
        <f>U62/U5</f>
        <v/>
      </c>
      <c r="W62" s="1055">
        <f>U62/U16</f>
        <v/>
      </c>
      <c r="X62" s="78" t="n"/>
      <c r="Y62" s="79">
        <f>X62/X5</f>
        <v/>
      </c>
      <c r="Z62" s="1055">
        <f>X62/X16</f>
        <v/>
      </c>
      <c r="AA62" s="78" t="n"/>
      <c r="AB62" s="79">
        <f>AA62/AA5</f>
        <v/>
      </c>
      <c r="AC62" s="1055">
        <f>AA62/AA16</f>
        <v/>
      </c>
      <c r="AD62" s="78" t="n"/>
      <c r="AE62" s="79">
        <f>AD62/AD5</f>
        <v/>
      </c>
      <c r="AF62" s="1055">
        <f>AD62/AD16</f>
        <v/>
      </c>
      <c r="AG62" s="78" t="n"/>
      <c r="AH62" s="79">
        <f>AG62/AG5</f>
        <v/>
      </c>
      <c r="AI62" s="1055">
        <f>AG62/AG16</f>
        <v/>
      </c>
      <c r="AJ62" s="78" t="n"/>
      <c r="AK62" s="79">
        <f>AJ62/AJ5</f>
        <v/>
      </c>
      <c r="AL62" s="1055">
        <f>AJ62/AJ16</f>
        <v/>
      </c>
      <c r="AM62" s="212">
        <f>C62+F62+I62+L62+O62+R62+U62+X62+AA62+AD62+AG62+AJ62</f>
        <v/>
      </c>
      <c r="AN62" s="79">
        <f>AM62/AM5</f>
        <v/>
      </c>
      <c r="AO62" s="1056">
        <f>AM62/AM16</f>
        <v/>
      </c>
    </row>
    <row r="63" ht="15" customHeight="1" s="985">
      <c r="A63" s="226" t="inlineStr">
        <is>
          <t xml:space="preserve">7105                </t>
        </is>
      </c>
      <c r="B63" s="101" t="inlineStr">
        <is>
          <t>REFUERZO COMPLEMENTO AM/PM (Ins)</t>
        </is>
      </c>
      <c r="C63" s="25">
        <f>'[44]Hoja 1'!$I$49</f>
        <v/>
      </c>
      <c r="D63" s="43">
        <f>C63/C6</f>
        <v/>
      </c>
      <c r="E63" s="1045">
        <f>C63/C17</f>
        <v/>
      </c>
      <c r="F63" s="25">
        <f>'[45]Hoja 1'!$I$58</f>
        <v/>
      </c>
      <c r="G63" s="43">
        <f>F63/F6</f>
        <v/>
      </c>
      <c r="H63" s="1045">
        <f>F63/F17</f>
        <v/>
      </c>
      <c r="I63" s="25" t="n"/>
      <c r="J63" s="43">
        <f>I63/I6</f>
        <v/>
      </c>
      <c r="K63" s="1045">
        <f>I63/I17</f>
        <v/>
      </c>
      <c r="L63" s="25" t="n"/>
      <c r="M63" s="43">
        <f>L63/L6</f>
        <v/>
      </c>
      <c r="N63" s="1045">
        <f>L63/L17</f>
        <v/>
      </c>
      <c r="O63" s="25" t="n"/>
      <c r="P63" s="43">
        <f>O63/O6</f>
        <v/>
      </c>
      <c r="Q63" s="1045">
        <f>O63/O17</f>
        <v/>
      </c>
      <c r="R63" s="25" t="n"/>
      <c r="S63" s="43">
        <f>R63/R6</f>
        <v/>
      </c>
      <c r="T63" s="1045">
        <f>R63/R17</f>
        <v/>
      </c>
      <c r="U63" s="25" t="n"/>
      <c r="V63" s="43">
        <f>U63/U6</f>
        <v/>
      </c>
      <c r="W63" s="1045">
        <f>U63/U17</f>
        <v/>
      </c>
      <c r="X63" s="25" t="n"/>
      <c r="Y63" s="43">
        <f>X63/X6</f>
        <v/>
      </c>
      <c r="Z63" s="1045">
        <f>X63/X17</f>
        <v/>
      </c>
      <c r="AA63" s="25" t="n"/>
      <c r="AB63" s="43">
        <f>AA63/AA6</f>
        <v/>
      </c>
      <c r="AC63" s="1045">
        <f>AA63/AA17</f>
        <v/>
      </c>
      <c r="AD63" s="25" t="n"/>
      <c r="AE63" s="43">
        <f>AD63/AD6</f>
        <v/>
      </c>
      <c r="AF63" s="1045">
        <f>AD63/AD17</f>
        <v/>
      </c>
      <c r="AG63" s="25" t="n"/>
      <c r="AH63" s="43">
        <f>AG63/AG6</f>
        <v/>
      </c>
      <c r="AI63" s="1045">
        <f>AG63/AG17</f>
        <v/>
      </c>
      <c r="AJ63" s="25" t="n"/>
      <c r="AK63" s="43">
        <f>AJ63/AJ6</f>
        <v/>
      </c>
      <c r="AL63" s="1045">
        <f>AJ63/AJ17</f>
        <v/>
      </c>
      <c r="AM63" s="205">
        <f>C63+F63+I63+L63+O63+R63+U63+X63+AA63+AD63+AG63+AJ63</f>
        <v/>
      </c>
      <c r="AN63" s="43">
        <f>AM63/AM6</f>
        <v/>
      </c>
      <c r="AO63" s="1046">
        <f>AM63/AM17</f>
        <v/>
      </c>
    </row>
    <row r="64" ht="15" customHeight="1" s="985">
      <c r="A64" s="226" t="inlineStr">
        <is>
          <t xml:space="preserve">7105                </t>
        </is>
      </c>
      <c r="B64" s="25" t="inlineStr">
        <is>
          <t>ALMUERZO JORNADA UNICA</t>
        </is>
      </c>
      <c r="C64" s="25">
        <f>'[44]Hoja 1'!$I$51</f>
        <v/>
      </c>
      <c r="D64" s="43">
        <f>C64/C7</f>
        <v/>
      </c>
      <c r="E64" s="1045">
        <f>C64/C18</f>
        <v/>
      </c>
      <c r="F64" s="25">
        <f>'[45]Hoja 1'!$I$60</f>
        <v/>
      </c>
      <c r="G64" s="43">
        <f>F64/F7</f>
        <v/>
      </c>
      <c r="H64" s="1045">
        <f>F64/F18</f>
        <v/>
      </c>
      <c r="I64" s="25" t="n"/>
      <c r="J64" s="43">
        <f>I64/I7</f>
        <v/>
      </c>
      <c r="K64" s="1045">
        <f>I64/I18</f>
        <v/>
      </c>
      <c r="L64" s="25" t="n"/>
      <c r="M64" s="43">
        <f>L64/L7</f>
        <v/>
      </c>
      <c r="N64" s="1045">
        <f>L64/L18</f>
        <v/>
      </c>
      <c r="O64" s="25" t="n"/>
      <c r="P64" s="43">
        <f>O64/O7</f>
        <v/>
      </c>
      <c r="Q64" s="1045">
        <f>O64/O18</f>
        <v/>
      </c>
      <c r="R64" s="25" t="n"/>
      <c r="S64" s="43">
        <f>R64/R7</f>
        <v/>
      </c>
      <c r="T64" s="1045">
        <f>R64/R18</f>
        <v/>
      </c>
      <c r="U64" s="25" t="n"/>
      <c r="V64" s="43">
        <f>U64/U7</f>
        <v/>
      </c>
      <c r="W64" s="1045">
        <f>U64/U18</f>
        <v/>
      </c>
      <c r="X64" s="25" t="n"/>
      <c r="Y64" s="43">
        <f>X64/X7</f>
        <v/>
      </c>
      <c r="Z64" s="1045">
        <f>X64/X18</f>
        <v/>
      </c>
      <c r="AA64" s="25" t="n"/>
      <c r="AB64" s="43">
        <f>AA64/AA7</f>
        <v/>
      </c>
      <c r="AC64" s="1045">
        <f>AA64/AA18</f>
        <v/>
      </c>
      <c r="AD64" s="25" t="n"/>
      <c r="AE64" s="43">
        <f>AD64/AD7</f>
        <v/>
      </c>
      <c r="AF64" s="1045">
        <f>AD64/AD18</f>
        <v/>
      </c>
      <c r="AG64" s="25" t="n"/>
      <c r="AH64" s="43">
        <f>AG64/AG7</f>
        <v/>
      </c>
      <c r="AI64" s="1045">
        <f>AG64/AG18</f>
        <v/>
      </c>
      <c r="AJ64" s="25" t="n"/>
      <c r="AK64" s="43">
        <f>AJ64/AJ7</f>
        <v/>
      </c>
      <c r="AL64" s="1045">
        <f>AJ64/AJ18</f>
        <v/>
      </c>
      <c r="AM64" s="205">
        <f>C64+F64+I64+L64+O64+R64+U64+X64+AA64+AD64+AG64+AJ64</f>
        <v/>
      </c>
      <c r="AN64" s="43">
        <f>AM64/AM7</f>
        <v/>
      </c>
      <c r="AO64" s="1046">
        <f>AM64/AM18</f>
        <v/>
      </c>
    </row>
    <row r="65" ht="15" customHeight="1" s="985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t="15" customHeight="1" s="985">
      <c r="B66" s="25" t="inlineStr">
        <is>
          <t>MENU ESPECIAL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t="15" customHeight="1" s="985">
      <c r="B67" s="25" t="inlineStr">
        <is>
          <t>REFRIGERIOS</t>
        </is>
      </c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>
        <f>C67+F67+I67+L67+O67+R67+U67+X67+AA67+AD67+AG67+AJ67</f>
        <v/>
      </c>
      <c r="AN67" s="43" t="n"/>
      <c r="AO67" s="1046" t="n"/>
    </row>
    <row r="68" hidden="1" ht="15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>
        <f>C68+F68+I68+L68+O68+R68+U68+X68+AA68+AD68+AG68+AJ68</f>
        <v/>
      </c>
      <c r="AN68" s="43" t="n"/>
      <c r="AO68" s="1046" t="n"/>
    </row>
    <row r="69" hidden="1" ht="15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>
        <f>C69+F69+I69+L69+O69+R69+U69+X69+AA69+AD69+AG69+AJ69</f>
        <v/>
      </c>
      <c r="AN69" s="43" t="n"/>
      <c r="AO69" s="1046" t="n"/>
    </row>
    <row r="70" hidden="1" ht="15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>
        <f>C70+F70+I70+L70+O70+R70+U70+X70+AA70+AD70+AG70+AJ70</f>
        <v/>
      </c>
      <c r="AN70" s="43" t="n"/>
      <c r="AO70" s="1046" t="n"/>
    </row>
    <row r="71" hidden="1" ht="15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t="15" customHeight="1" s="985">
      <c r="B72" s="36" t="inlineStr">
        <is>
          <t>FLETES CP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71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 t="n"/>
      <c r="AL72" s="1049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5">
      <c r="B73" s="412" t="inlineStr">
        <is>
          <t>PREPARADOS PROPIOS</t>
        </is>
      </c>
      <c r="C73" s="78">
        <f>'GASTOS VEHICULOS'!C25*'%DIST'!B21</f>
        <v/>
      </c>
      <c r="D73" s="79" t="n"/>
      <c r="E73" s="1055" t="n"/>
      <c r="F73" s="78">
        <f>'GASTOS VEHICULOS'!D25*'%DIST'!D21</f>
        <v/>
      </c>
      <c r="G73" s="79" t="n"/>
      <c r="H73" s="1055" t="n"/>
      <c r="I73" s="78">
        <f>'GASTOS VEHICULOS'!E25*'%DIST'!F21</f>
        <v/>
      </c>
      <c r="J73" s="79" t="n"/>
      <c r="K73" s="1055" t="n"/>
      <c r="L73" s="78">
        <f>'GASTOS VEHICULOS'!F25*'%DIST'!H21</f>
        <v/>
      </c>
      <c r="M73" s="79" t="n"/>
      <c r="N73" s="1055" t="n"/>
      <c r="O73" s="78">
        <f>'GASTOS VEHICULOS'!G25*'%DIST'!J21</f>
        <v/>
      </c>
      <c r="P73" s="79" t="n"/>
      <c r="Q73" s="1055" t="n"/>
      <c r="R73" s="78">
        <f>'GASTOS VEHICULOS'!H25*'%DIST'!L21</f>
        <v/>
      </c>
      <c r="S73" s="79" t="n"/>
      <c r="T73" s="1055" t="n"/>
      <c r="U73" s="78">
        <f>'GASTOS VEHICULOS'!I25*'%DIST'!N21</f>
        <v/>
      </c>
      <c r="V73" s="79" t="n"/>
      <c r="W73" s="1055" t="n"/>
      <c r="X73" s="78">
        <f>'GASTOS VEHICULOS'!J25*'%DIST'!P21</f>
        <v/>
      </c>
      <c r="Y73" s="79" t="n"/>
      <c r="Z73" s="1055" t="n"/>
      <c r="AA73" s="78">
        <f>'GASTOS VEHICULOS'!K25*'%DIST'!R21</f>
        <v/>
      </c>
      <c r="AB73" s="79" t="n"/>
      <c r="AC73" s="1055" t="n"/>
      <c r="AD73" s="78">
        <f>'GASTOS VEHICULOS'!L25*'%DIST'!T21</f>
        <v/>
      </c>
      <c r="AE73" s="79" t="n"/>
      <c r="AF73" s="1055" t="n"/>
      <c r="AG73" s="78">
        <f>'GASTOS VEHICULOS'!M25*'%DIST'!V21</f>
        <v/>
      </c>
      <c r="AH73" s="79" t="n"/>
      <c r="AI73" s="1055" t="n"/>
      <c r="AJ73" s="78">
        <f>'GASTOS VEHICULOS'!N25*'%DIST'!X21</f>
        <v/>
      </c>
      <c r="AK73" s="305" t="n"/>
      <c r="AL73" s="86" t="n"/>
      <c r="AM73" s="414">
        <f>C73+F73+I73+L73+O73+R73+U73+X73+AA73+AD73+AG73+AJ73</f>
        <v/>
      </c>
      <c r="AN73" s="305" t="n"/>
      <c r="AO73" s="1117" t="n"/>
    </row>
    <row r="74" ht="15" customHeight="1" s="985">
      <c r="A74" s="226" t="inlineStr">
        <is>
          <t xml:space="preserve">73355001            </t>
        </is>
      </c>
      <c r="B74" s="416" t="inlineStr">
        <is>
          <t>PREPARADOS TERCEROS</t>
        </is>
      </c>
      <c r="C74" s="273">
        <f>'[14]Hoja 1'!$C$66</f>
        <v/>
      </c>
      <c r="D74" s="134" t="n"/>
      <c r="E74" s="1118" t="n"/>
      <c r="F74" s="273">
        <f>'[10]Hoja 1'!$C$627+'[18]Hoja 1'!$C$193</f>
        <v/>
      </c>
      <c r="G74" s="134" t="n"/>
      <c r="H74" s="1118" t="n"/>
      <c r="I74" s="273" t="n"/>
      <c r="J74" s="134" t="n"/>
      <c r="K74" s="1118" t="n"/>
      <c r="L74" s="273" t="n"/>
      <c r="M74" s="134" t="n"/>
      <c r="N74" s="1118" t="n"/>
      <c r="O74" s="273" t="n"/>
      <c r="P74" s="134" t="n"/>
      <c r="Q74" s="1118" t="n"/>
      <c r="R74" s="273" t="n"/>
      <c r="S74" s="134" t="n"/>
      <c r="T74" s="1118" t="n"/>
      <c r="U74" s="273" t="n"/>
      <c r="V74" s="134" t="n"/>
      <c r="W74" s="1118" t="n"/>
      <c r="X74" s="273" t="n"/>
      <c r="Y74" s="134" t="n"/>
      <c r="Z74" s="1118" t="n"/>
      <c r="AA74" s="273" t="n"/>
      <c r="AB74" s="134" t="n"/>
      <c r="AC74" s="1118" t="n"/>
      <c r="AD74" s="273" t="n"/>
      <c r="AE74" s="134" t="n"/>
      <c r="AF74" s="1118" t="n"/>
      <c r="AG74" s="273" t="n"/>
      <c r="AH74" s="134" t="n"/>
      <c r="AI74" s="1118" t="n"/>
      <c r="AJ74" s="273" t="n"/>
      <c r="AK74" s="84" t="n"/>
      <c r="AL74" s="85" t="n"/>
      <c r="AM74" s="206">
        <f>C74+F74+I74+L74+O74+R74+U74+X74+AA74+AD74+AG74+AJ74</f>
        <v/>
      </c>
      <c r="AN74" s="84">
        <f>AM74/AM12</f>
        <v/>
      </c>
      <c r="AO74" s="1114">
        <f>AM74/AM13</f>
        <v/>
      </c>
    </row>
    <row r="75" ht="15" customHeight="1" s="985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 t="n"/>
    </row>
    <row r="76" ht="15" customHeight="1" s="985">
      <c r="A76" s="226" t="inlineStr">
        <is>
          <t xml:space="preserve">71101501            </t>
        </is>
      </c>
      <c r="B76" s="36" t="inlineStr">
        <is>
          <t>Menaje</t>
        </is>
      </c>
      <c r="C76" s="37" t="n"/>
      <c r="D76" s="67" t="n"/>
      <c r="E76" s="1071" t="n"/>
      <c r="F76" s="37">
        <f>'[10]Hoja 1'!$C$593</f>
        <v/>
      </c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>
        <f>AM76/$AM$13</f>
        <v/>
      </c>
    </row>
    <row r="77" ht="15" customHeight="1" s="985">
      <c r="A77" s="226" t="inlineStr">
        <is>
          <t xml:space="preserve">73355501            </t>
        </is>
      </c>
      <c r="B77" s="66" t="inlineStr">
        <is>
          <t>Servicio de Gas</t>
        </is>
      </c>
      <c r="C77" s="28">
        <f>'[9]Hoja 1'!$C$692+'[14]Hoja 1'!$C$68</f>
        <v/>
      </c>
      <c r="D77" s="45" t="n"/>
      <c r="E77" s="1166" t="n"/>
      <c r="F77" s="28">
        <f>'[10]Hoja 1'!$C$629+'[18]Hoja 1'!$C$195</f>
        <v/>
      </c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>
        <f>AM77/AM12</f>
        <v/>
      </c>
      <c r="AO77" s="1075">
        <f>AM77/$AM$13</f>
        <v/>
      </c>
    </row>
    <row r="78" ht="15" customHeight="1" s="985">
      <c r="B78" s="16" t="inlineStr">
        <is>
          <t>MANO DE OBRA DIRECTA</t>
        </is>
      </c>
      <c r="C78" s="49">
        <f>SUM(C79:C81)</f>
        <v/>
      </c>
      <c r="D78" s="3">
        <f>C78/C12</f>
        <v/>
      </c>
      <c r="E78" s="1053">
        <f>C78/C13</f>
        <v/>
      </c>
      <c r="F78" s="49">
        <f>SUM(F79:F81)</f>
        <v/>
      </c>
      <c r="G78" s="3">
        <f>F78/F12</f>
        <v/>
      </c>
      <c r="H78" s="1053">
        <f>F78/F13</f>
        <v/>
      </c>
      <c r="I78" s="49">
        <f>SUM(I79:I81)</f>
        <v/>
      </c>
      <c r="J78" s="3">
        <f>I78/I12</f>
        <v/>
      </c>
      <c r="K78" s="1053">
        <f>I78/I13</f>
        <v/>
      </c>
      <c r="L78" s="49">
        <f>SUM(L79:L81)</f>
        <v/>
      </c>
      <c r="M78" s="3">
        <f>L78/L12</f>
        <v/>
      </c>
      <c r="N78" s="1053">
        <f>L78/L13</f>
        <v/>
      </c>
      <c r="O78" s="49">
        <f>SUM(O79:O81)</f>
        <v/>
      </c>
      <c r="P78" s="3">
        <f>O78/O12</f>
        <v/>
      </c>
      <c r="Q78" s="1053">
        <f>O78/O13</f>
        <v/>
      </c>
      <c r="R78" s="90">
        <f>SUM(R79:R81)</f>
        <v/>
      </c>
      <c r="S78" s="3">
        <f>R78/R12</f>
        <v/>
      </c>
      <c r="T78" s="1053">
        <f>R78/R13</f>
        <v/>
      </c>
      <c r="U78" s="49">
        <f>SUM(U79:U81)</f>
        <v/>
      </c>
      <c r="V78" s="3">
        <f>U78/U12</f>
        <v/>
      </c>
      <c r="W78" s="1053">
        <f>U78/U13</f>
        <v/>
      </c>
      <c r="X78" s="49">
        <f>SUM(X79:X81)</f>
        <v/>
      </c>
      <c r="Y78" s="3">
        <f>X78/X12</f>
        <v/>
      </c>
      <c r="Z78" s="1053">
        <f>X78/X13</f>
        <v/>
      </c>
      <c r="AA78" s="49">
        <f>SUM(AA79:AA81)</f>
        <v/>
      </c>
      <c r="AB78" s="3">
        <f>AA78/AA12</f>
        <v/>
      </c>
      <c r="AC78" s="1053">
        <f>AA78/AA13</f>
        <v/>
      </c>
      <c r="AD78" s="49">
        <f>SUM(AD79:AD81)</f>
        <v/>
      </c>
      <c r="AE78" s="3">
        <f>AD78/AD12</f>
        <v/>
      </c>
      <c r="AF78" s="1053">
        <f>AD78/AD13</f>
        <v/>
      </c>
      <c r="AG78" s="49">
        <f>SUM(AG79:AG81)</f>
        <v/>
      </c>
      <c r="AH78" s="3" t="n"/>
      <c r="AI78" s="1053">
        <f>AG78/AG13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>
        <f>AM78/AM12</f>
        <v/>
      </c>
      <c r="AO78" s="1076">
        <f>AM78/AM13</f>
        <v/>
      </c>
    </row>
    <row r="79" ht="15" customFormat="1" customHeight="1" s="108">
      <c r="A79" s="229" t="inlineStr">
        <is>
          <t xml:space="preserve">7205                </t>
        </is>
      </c>
      <c r="B79" s="39" t="inlineStr">
        <is>
          <t>Manipuladoras</t>
        </is>
      </c>
      <c r="C79" s="728">
        <f>'[48]Hoja 1'!$D$9+'[22]Hoja 1'!$D$28+'[49]Hoja 1'!$D$9</f>
        <v/>
      </c>
      <c r="D79" s="267" t="n"/>
      <c r="E79" s="1077" t="n"/>
      <c r="F79" s="728">
        <f>'[30]Hoja 1'!$D$19-23031718+'[31]Hoja 1'!$D$33+'[50]Hoja 1'!$D$9</f>
        <v/>
      </c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897" t="n"/>
      <c r="AK79" s="69" t="n"/>
      <c r="AL79" s="1077" t="n"/>
      <c r="AM79" s="731">
        <f>C79+F79+I79+L79+O79+R79+U79+X79+AA79+AD79+AG79+AJ79</f>
        <v/>
      </c>
      <c r="AN79" s="732">
        <f>AM79/$AM$12</f>
        <v/>
      </c>
      <c r="AO79" s="1078">
        <f>AM79/AM13</f>
        <v/>
      </c>
      <c r="AQ79" s="898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</row>
    <row r="80" ht="15" customFormat="1" customHeight="1" s="108">
      <c r="A80" s="229" t="inlineStr">
        <is>
          <t xml:space="preserve">7205                </t>
        </is>
      </c>
      <c r="B80" s="25" t="inlineStr">
        <is>
          <t>Personal Supervisor - Coordinadores</t>
        </is>
      </c>
      <c r="C80" s="25">
        <f>'[21]Hoja 1'!$D$34+'[21]Hoja 1'!$D$38+'[22]Hoja 1'!$D$32</f>
        <v/>
      </c>
      <c r="D80" s="272" t="n"/>
      <c r="E80" s="1045" t="n"/>
      <c r="F80" s="25">
        <f>'[29]Hoja 1'!$D$39+'[30]Hoja 1'!$D$18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81" t="n"/>
      <c r="AK80" s="43" t="n"/>
      <c r="AL80" s="1045" t="n"/>
      <c r="AM80" s="205">
        <f>C80+F80+I80+L80+O80+R80+U80+X80+AA80+AD80+AG80+AJ80</f>
        <v/>
      </c>
      <c r="AN80" s="43">
        <f>AM80/$AM$12</f>
        <v/>
      </c>
      <c r="AO80" s="1046">
        <f>AM80/AM13</f>
        <v/>
      </c>
      <c r="AQ80" s="1186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</row>
    <row r="81" ht="15" customHeight="1" s="985" thickBot="1">
      <c r="B81" s="98" t="inlineStr">
        <is>
          <t>Temporales MOD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511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 t="n"/>
      <c r="X84" s="49">
        <f>SUM(X85:X88)</f>
        <v/>
      </c>
      <c r="Y84" s="3" t="n"/>
      <c r="Z84" s="1053" t="n"/>
      <c r="AA84" s="49">
        <f>SUM(AA85:AA88)</f>
        <v/>
      </c>
      <c r="AB84" s="3" t="n"/>
      <c r="AC84" s="1053" t="n"/>
      <c r="AD84" s="49">
        <f>SUM(AD85:AD88)</f>
        <v/>
      </c>
      <c r="AE84" s="3" t="n"/>
      <c r="AF84" s="1053" t="n"/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>
        <f>AM84/AM12</f>
        <v/>
      </c>
      <c r="AO84" s="1076">
        <f>AM84/(AM$13)</f>
        <v/>
      </c>
    </row>
    <row r="85" ht="15" customHeight="1" s="985">
      <c r="B85" s="39" t="inlineStr">
        <is>
          <t>Costos Indirectos de Personal</t>
        </is>
      </c>
      <c r="C85" s="39">
        <f>'GASTOS OPERATIVOS'!C17*'%DIST'!C5</f>
        <v/>
      </c>
      <c r="D85" s="69" t="n"/>
      <c r="E85" s="1077" t="n"/>
      <c r="F85" s="39">
        <f>'GASTOS OPERATIVOS'!D17*'%DIST'!E5</f>
        <v/>
      </c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1077" t="n"/>
      <c r="AO85" s="1077">
        <f>AM85/(AM$13)</f>
        <v/>
      </c>
    </row>
    <row r="86" ht="15" customFormat="1" customHeight="1" s="108">
      <c r="A86" s="229" t="n"/>
      <c r="B86" s="25" t="inlineStr">
        <is>
          <t>Dotación y Suministros</t>
        </is>
      </c>
      <c r="C86" s="25" t="n"/>
      <c r="D86" s="43" t="n"/>
      <c r="E86" s="1045" t="n"/>
      <c r="F86" s="25">
        <f>'[18]Hoja 1'!$C$174</f>
        <v/>
      </c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81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5">
        <f>AM86/(AM$13)</f>
        <v/>
      </c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</row>
    <row r="87" ht="15" customFormat="1" customHeight="1" s="108">
      <c r="A87" s="229" t="inlineStr">
        <is>
          <t xml:space="preserve">72058401            </t>
        </is>
      </c>
      <c r="B87" s="97" t="inlineStr">
        <is>
          <t>Gastos Medicos</t>
        </is>
      </c>
      <c r="C87" s="22" t="n"/>
      <c r="D87" s="42" t="n"/>
      <c r="E87" s="1057" t="n"/>
      <c r="F87" s="22">
        <f>'[10]Hoja 1'!$C$623</f>
        <v/>
      </c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788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>
        <f>AM87/(AM$13)</f>
        <v/>
      </c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</row>
    <row r="88" ht="15" customHeight="1" s="985">
      <c r="A88" s="226" t="inlineStr">
        <is>
          <t xml:space="preserve">53954002            </t>
        </is>
      </c>
      <c r="B88" s="206" t="inlineStr">
        <is>
          <t>Incapacidades</t>
        </is>
      </c>
      <c r="C88" s="83">
        <f>'[14]Hoja 1'!$C$21+'[37]Hoja 1'!$C$64</f>
        <v/>
      </c>
      <c r="D88" s="84" t="n"/>
      <c r="E88" s="1047" t="n"/>
      <c r="F88" s="83">
        <f>'[18]Hoja 1'!$C$148+'[11]Hoja 1'!$C$70</f>
        <v/>
      </c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</row>
    <row r="89" ht="15" customHeight="1" s="985">
      <c r="B89" s="16" t="inlineStr">
        <is>
          <t>HONORARIOS</t>
        </is>
      </c>
      <c r="C89" s="49">
        <f>SUM(C90:C91)</f>
        <v/>
      </c>
      <c r="D89" s="3" t="n"/>
      <c r="E89" s="1053">
        <f>C89/(C$13)</f>
        <v/>
      </c>
      <c r="F89" s="49">
        <f>SUM(F90:F91)</f>
        <v/>
      </c>
      <c r="G89" s="3" t="n"/>
      <c r="H89" s="1053" t="n"/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 t="n"/>
      <c r="R89" s="90">
        <f>SUM(R90:R91)</f>
        <v/>
      </c>
      <c r="S89" s="3" t="n"/>
      <c r="T89" s="1053" t="n"/>
      <c r="U89" s="49">
        <f>SUM(U90:U91)</f>
        <v/>
      </c>
      <c r="V89" s="3" t="n"/>
      <c r="W89" s="1053" t="n"/>
      <c r="X89" s="49">
        <f>SUM(X90:X91)</f>
        <v/>
      </c>
      <c r="Y89" s="3" t="n"/>
      <c r="Z89" s="1053" t="n"/>
      <c r="AA89" s="49">
        <f>SUM(AA90:AA91)</f>
        <v/>
      </c>
      <c r="AB89" s="3" t="n"/>
      <c r="AC89" s="1053" t="n"/>
      <c r="AD89" s="49">
        <f>SUM(AD90:AD91)</f>
        <v/>
      </c>
      <c r="AE89" s="3" t="n"/>
      <c r="AF89" s="1053" t="n"/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</row>
    <row r="91" outlineLevel="1" ht="15" customHeight="1" s="985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</row>
    <row r="92" ht="15" customHeight="1" s="985">
      <c r="B92" s="16" t="inlineStr">
        <is>
          <t>ARRENDAMIENTOS</t>
        </is>
      </c>
      <c r="C92" s="49">
        <f>SUM(C93:C95)</f>
        <v/>
      </c>
      <c r="D92" s="3" t="n"/>
      <c r="E92" s="1053">
        <f>C92/(C$13)</f>
        <v/>
      </c>
      <c r="F92" s="49">
        <f>SUM(F93:F95)</f>
        <v/>
      </c>
      <c r="G92" s="3" t="n"/>
      <c r="H92" s="1053" t="n"/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 t="n"/>
      <c r="R92" s="90">
        <f>SUM(R93:R95)</f>
        <v/>
      </c>
      <c r="S92" s="3" t="n"/>
      <c r="T92" s="1053" t="n"/>
      <c r="U92" s="49">
        <f>SUM(U93:U95)</f>
        <v/>
      </c>
      <c r="V92" s="3" t="n"/>
      <c r="W92" s="1053" t="n"/>
      <c r="X92" s="49">
        <f>SUM(X93:X95)</f>
        <v/>
      </c>
      <c r="Y92" s="3" t="n"/>
      <c r="Z92" s="1053" t="n"/>
      <c r="AA92" s="49">
        <f>SUM(AA93:AA95)</f>
        <v/>
      </c>
      <c r="AB92" s="3" t="n"/>
      <c r="AC92" s="1053" t="n"/>
      <c r="AD92" s="49">
        <f>SUM(AD93:AD95)</f>
        <v/>
      </c>
      <c r="AE92" s="3" t="n"/>
      <c r="AF92" s="1053" t="n"/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</row>
    <row r="94" outlineLevel="1" ht="15" customHeight="1" s="985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</row>
    <row r="95" outlineLevel="1" ht="15" customHeight="1" s="985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</row>
    <row r="96" ht="15" customHeight="1" s="985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 t="n"/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 t="n"/>
      <c r="U96" s="49">
        <f>SUM(U97:U98)</f>
        <v/>
      </c>
      <c r="V96" s="3" t="n"/>
      <c r="W96" s="1053" t="n"/>
      <c r="X96" s="49">
        <f>SUM(X97:X98)</f>
        <v/>
      </c>
      <c r="Y96" s="3" t="n"/>
      <c r="Z96" s="1053" t="n"/>
      <c r="AA96" s="49">
        <f>SUM(AA97:AA98)</f>
        <v/>
      </c>
      <c r="AB96" s="3" t="n"/>
      <c r="AC96" s="1053" t="n"/>
      <c r="AD96" s="49">
        <f>SUM(AD97:AD98)</f>
        <v/>
      </c>
      <c r="AE96" s="3" t="n"/>
      <c r="AF96" s="1053" t="n"/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>
        <f>AM96/AM12</f>
        <v/>
      </c>
      <c r="AO96" s="1076">
        <f>AM96/(AM$13)</f>
        <v/>
      </c>
      <c r="AP96" s="716" t="n"/>
    </row>
    <row r="97" outlineLevel="1" ht="15" customFormat="1" customHeight="1" s="108">
      <c r="A97" s="229" t="n"/>
      <c r="B97" s="39" t="inlineStr">
        <is>
          <t xml:space="preserve">Cumplimiento </t>
        </is>
      </c>
      <c r="C97" s="39">
        <f>'[9]Hoja 1'!$C$687+'[14]Hoja 1'!$C$59</f>
        <v/>
      </c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2" t="n"/>
    </row>
    <row r="98" outlineLevel="1" ht="15" customFormat="1" customHeight="1" s="108">
      <c r="A98" s="229" t="n"/>
      <c r="B98" s="275" t="inlineStr">
        <is>
          <t>Responsabilidad Civil Y Extracontractual</t>
        </is>
      </c>
      <c r="C98" s="275">
        <f>'[14]Hoja 1'!$C$61</f>
        <v/>
      </c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1053" t="n"/>
      <c r="I99" s="90">
        <f>SUM(I100:I108)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 t="n"/>
      <c r="U99" s="49">
        <f>SUM(U100:U108)</f>
        <v/>
      </c>
      <c r="V99" s="3" t="n"/>
      <c r="W99" s="1053" t="n"/>
      <c r="X99" s="49">
        <f>SUM(X100:X108)</f>
        <v/>
      </c>
      <c r="Y99" s="3" t="n"/>
      <c r="Z99" s="1053" t="n"/>
      <c r="AA99" s="49">
        <f>SUM(AA100:AA108)</f>
        <v/>
      </c>
      <c r="AB99" s="3" t="n"/>
      <c r="AC99" s="1053" t="n"/>
      <c r="AD99" s="49">
        <f>SUM(AD100:AD108)</f>
        <v/>
      </c>
      <c r="AE99" s="3" t="n"/>
      <c r="AF99" s="1053" t="n"/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>
        <f>AM99/AM12</f>
        <v/>
      </c>
      <c r="AO99" s="1076">
        <f>AM99/(AM$13)</f>
        <v/>
      </c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5">
      <c r="A101" s="226" t="inlineStr">
        <is>
          <t xml:space="preserve">73351001            </t>
        </is>
      </c>
      <c r="B101" s="25" t="inlineStr">
        <is>
          <t>Temporales Serv</t>
        </is>
      </c>
      <c r="C101" s="25">
        <f>'[9]Hoja 1'!$C$690</f>
        <v/>
      </c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5">
      <c r="A103" s="226" t="inlineStr">
        <is>
          <t xml:space="preserve">73351502            </t>
        </is>
      </c>
      <c r="B103" s="25" t="inlineStr">
        <is>
          <t>Laboratorio</t>
        </is>
      </c>
      <c r="C103" s="25" t="n"/>
      <c r="D103" s="43" t="n"/>
      <c r="E103" s="1045" t="n"/>
      <c r="F103" s="25">
        <f>'[18]Hoja 1'!C190</f>
        <v/>
      </c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81" t="n"/>
      <c r="AH103" s="43" t="n"/>
      <c r="AI103" s="1045" t="n"/>
      <c r="AJ103" s="281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5">
      <c r="A104" s="226" t="inlineStr">
        <is>
          <t xml:space="preserve">73351503            </t>
        </is>
      </c>
      <c r="B104" s="25" t="inlineStr">
        <is>
          <t>Fumigacion</t>
        </is>
      </c>
      <c r="C104" s="25">
        <f>'[14]Hoja 1'!$C$64</f>
        <v/>
      </c>
      <c r="D104" s="43" t="n"/>
      <c r="E104" s="1045" t="n"/>
      <c r="F104" s="25">
        <f>'[18]Hoja 1'!C191</f>
        <v/>
      </c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81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5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5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848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5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848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5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</row>
    <row r="109" ht="15" customHeight="1" s="985">
      <c r="B109" s="16" t="inlineStr">
        <is>
          <t>GASTOS LEGALES</t>
        </is>
      </c>
      <c r="C109" s="49">
        <f>SUM(C110:C113)</f>
        <v/>
      </c>
      <c r="D109" s="3" t="n"/>
      <c r="E109" s="1053">
        <f>C109/(C$13)</f>
        <v/>
      </c>
      <c r="F109" s="49">
        <f>SUM(F110:F113)</f>
        <v/>
      </c>
      <c r="G109" s="3" t="n"/>
      <c r="H109" s="1053" t="n"/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 t="n"/>
      <c r="U109" s="49">
        <f>SUM(U110:U113)</f>
        <v/>
      </c>
      <c r="V109" s="3" t="n"/>
      <c r="W109" s="1053" t="n"/>
      <c r="X109" s="49">
        <f>SUM(X110:X113)</f>
        <v/>
      </c>
      <c r="Y109" s="3" t="n"/>
      <c r="Z109" s="1053" t="n"/>
      <c r="AA109" s="49">
        <f>SUM(AA110:AA113)</f>
        <v/>
      </c>
      <c r="AB109" s="3" t="n"/>
      <c r="AC109" s="1053" t="n"/>
      <c r="AD109" s="49">
        <f>SUM(AD110:AD113)</f>
        <v/>
      </c>
      <c r="AE109" s="3" t="n"/>
      <c r="AF109" s="1053" t="n"/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5">
      <c r="B110" s="39" t="inlineStr">
        <is>
          <t>Notariales</t>
        </is>
      </c>
      <c r="C110" s="39">
        <f>'[14]Hoja 1'!$C$73</f>
        <v/>
      </c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5"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5"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5"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</row>
    <row r="114" ht="15" customHeight="1" s="985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053">
        <f>C114/(C$13)</f>
        <v/>
      </c>
      <c r="F114" s="49">
        <f>SUM(F115:F119)</f>
        <v/>
      </c>
      <c r="G114" s="3" t="n"/>
      <c r="H114" s="1053" t="n"/>
      <c r="I114" s="90">
        <f>SUM(I115:I119)</f>
        <v/>
      </c>
      <c r="J114" s="3" t="n"/>
      <c r="K114" s="1053">
        <f>I114/(I$13)</f>
        <v/>
      </c>
      <c r="L114" s="49">
        <f>SUM(L115:L119)</f>
        <v/>
      </c>
      <c r="M114" s="3" t="n"/>
      <c r="N114" s="1053">
        <f>L114/(L$13)</f>
        <v/>
      </c>
      <c r="O114" s="49">
        <f>SUM(O115:O119)</f>
        <v/>
      </c>
      <c r="P114" s="3" t="n"/>
      <c r="Q114" s="1053">
        <f>O114/(O$13)</f>
        <v/>
      </c>
      <c r="R114" s="90">
        <f>SUM(R115:R119)</f>
        <v/>
      </c>
      <c r="S114" s="3" t="n"/>
      <c r="T114" s="1053" t="n"/>
      <c r="U114" s="49">
        <f>SUM(U115:U119)</f>
        <v/>
      </c>
      <c r="V114" s="3" t="n"/>
      <c r="W114" s="1053" t="n"/>
      <c r="X114" s="49">
        <f>SUM(X115:X119)</f>
        <v/>
      </c>
      <c r="Y114" s="3" t="n"/>
      <c r="Z114" s="1053" t="n"/>
      <c r="AA114" s="49">
        <f>SUM(AA115:AA119)</f>
        <v/>
      </c>
      <c r="AB114" s="3" t="n"/>
      <c r="AC114" s="1053" t="n"/>
      <c r="AD114" s="49">
        <f>SUM(AD115:AD119)</f>
        <v/>
      </c>
      <c r="AE114" s="3" t="n"/>
      <c r="AF114" s="1053" t="n"/>
      <c r="AG114" s="49">
        <f>SUM(AG115:AG119)</f>
        <v/>
      </c>
      <c r="AH114" s="3" t="n"/>
      <c r="AI114" s="1053">
        <f>AG114/(AG$13)</f>
        <v/>
      </c>
      <c r="AJ114" s="49">
        <f>SUM(AJ115:AJ118)</f>
        <v/>
      </c>
      <c r="AK114" s="3" t="n"/>
      <c r="AL114" s="61" t="n"/>
      <c r="AM114" s="16">
        <f>C114+F114+I114+L114+O114+R114+U114+X114+AA114+AD114+AG114+AJ114</f>
        <v/>
      </c>
      <c r="AN114" s="3">
        <f>AM114/AM12</f>
        <v/>
      </c>
      <c r="AO114" s="1076">
        <f>AM114/(AM$13)</f>
        <v/>
      </c>
    </row>
    <row r="115" outlineLevel="1" ht="15" customHeight="1" s="985"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5"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5">
      <c r="B117" s="205" t="inlineStr">
        <is>
          <t>Equipos de Cocina</t>
        </is>
      </c>
      <c r="C117" s="25">
        <f>'[14]Hoja 1'!$C$76</f>
        <v/>
      </c>
      <c r="D117" s="43" t="n"/>
      <c r="E117" s="1045" t="n"/>
      <c r="F117" s="25">
        <f>'[18]Hoja 1'!$C$198</f>
        <v/>
      </c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5"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5">
      <c r="B119" s="97" t="inlineStr">
        <is>
          <t>Planta Plan Basico de Saneamiento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788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SUM(F121:F122)</f>
        <v/>
      </c>
      <c r="G120" s="3" t="n"/>
      <c r="H120" s="1053" t="n"/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SUM(R121:R122)</f>
        <v/>
      </c>
      <c r="S120" s="3" t="n"/>
      <c r="T120" s="1053" t="n"/>
      <c r="U120" s="49">
        <f>SUM(U121:U122)</f>
        <v/>
      </c>
      <c r="V120" s="3" t="n"/>
      <c r="W120" s="1053" t="n"/>
      <c r="X120" s="49">
        <f>SUM(X121:X122)</f>
        <v/>
      </c>
      <c r="Y120" s="3" t="n"/>
      <c r="Z120" s="1053" t="n"/>
      <c r="AA120" s="49">
        <f>SUM(AA121)</f>
        <v/>
      </c>
      <c r="AB120" s="3" t="n"/>
      <c r="AC120" s="1053" t="n"/>
      <c r="AD120" s="49">
        <f>SUM(AD121:AD122)</f>
        <v/>
      </c>
      <c r="AE120" s="3" t="n"/>
      <c r="AF120" s="1053" t="n"/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5"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</row>
    <row r="122" ht="15" customHeight="1" s="985"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</row>
    <row r="123" ht="15" customHeight="1" s="985">
      <c r="B123" s="16" t="inlineStr">
        <is>
          <t>GASTOS DE VIAJE</t>
        </is>
      </c>
      <c r="C123" s="49">
        <f>SUM(C124:C126)</f>
        <v/>
      </c>
      <c r="D123" s="3" t="n"/>
      <c r="E123" s="1053">
        <f>C123/(C$13)</f>
        <v/>
      </c>
      <c r="F123" s="49">
        <f>SUM(F124:F126)</f>
        <v/>
      </c>
      <c r="G123" s="3" t="n"/>
      <c r="H123" s="1053" t="n"/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 t="n"/>
      <c r="U123" s="49">
        <f>SUM(U124:U126)</f>
        <v/>
      </c>
      <c r="V123" s="3" t="n"/>
      <c r="W123" s="1053" t="n"/>
      <c r="X123" s="49">
        <f>SUM(X124:X126)</f>
        <v/>
      </c>
      <c r="Y123" s="3" t="n"/>
      <c r="Z123" s="1053" t="n"/>
      <c r="AA123" s="49">
        <f>SUM(AA124:AA126)</f>
        <v/>
      </c>
      <c r="AB123" s="3" t="n"/>
      <c r="AC123" s="1053" t="n"/>
      <c r="AD123" s="49" t="n"/>
      <c r="AE123" s="3" t="n"/>
      <c r="AF123" s="1053" t="n"/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5"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5"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5"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</row>
    <row r="127" ht="15" customHeight="1" s="985">
      <c r="B127" s="16" t="inlineStr">
        <is>
          <t>DIVERSOS</t>
        </is>
      </c>
      <c r="C127" s="49">
        <f>SUM(C128:C142)</f>
        <v/>
      </c>
      <c r="D127" s="3" t="n"/>
      <c r="E127" s="1053">
        <f>C127/(C$13)</f>
        <v/>
      </c>
      <c r="F127" s="49">
        <f>SUM(F128:F142)</f>
        <v/>
      </c>
      <c r="G127" s="3" t="n"/>
      <c r="H127" s="1053" t="n"/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 t="n"/>
      <c r="U127" s="49">
        <f>SUM(U128:U142)</f>
        <v/>
      </c>
      <c r="V127" s="3" t="n"/>
      <c r="W127" s="1053" t="n"/>
      <c r="X127" s="49">
        <f>SUM(X128:X142)</f>
        <v/>
      </c>
      <c r="Y127" s="3" t="n"/>
      <c r="Z127" s="1053" t="n"/>
      <c r="AA127" s="49">
        <f>SUM(AA128:AA142)</f>
        <v/>
      </c>
      <c r="AB127" s="3" t="n"/>
      <c r="AC127" s="1053" t="n"/>
      <c r="AD127" s="49">
        <f>SUM(AD128:AD142)</f>
        <v/>
      </c>
      <c r="AE127" s="3" t="n"/>
      <c r="AF127" s="1053" t="n"/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>
        <f>AM127/AM12</f>
        <v/>
      </c>
      <c r="AO127" s="1076">
        <f>AM127/(AM$13)</f>
        <v/>
      </c>
    </row>
    <row r="128" outlineLevel="1" ht="15" customFormat="1" customHeight="1" s="108">
      <c r="A128" s="229" t="inlineStr">
        <is>
          <t xml:space="preserve">73959508            </t>
        </is>
      </c>
      <c r="B128" s="39" t="inlineStr">
        <is>
          <t>Elementos de Proteccion Personal</t>
        </is>
      </c>
      <c r="C128" s="39" t="n"/>
      <c r="D128" s="69" t="n"/>
      <c r="E128" s="1077" t="n"/>
      <c r="F128" s="39">
        <f>'[18]Hoja 1'!$C$205</f>
        <v/>
      </c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785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169" t="n"/>
    </row>
    <row r="129" outlineLevel="1" ht="15" customHeight="1" s="985">
      <c r="A129" s="226" t="inlineStr">
        <is>
          <t xml:space="preserve">73959512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>
        <f>'[10]Hoja 1'!$C$639+'[18]Hoja 1'!$C$207</f>
        <v/>
      </c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81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5">
      <c r="A130" s="226" t="inlineStr">
        <is>
          <t xml:space="preserve">71101001 - 73952501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>
        <f>'[10]Hoja 1'!$C$591+'[18]Hoja 1'!$C$201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170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>
        <f>'[10]Hoja 1'!$C$632</f>
        <v/>
      </c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5"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>
        <f>'[9]Hoja 1'!$C$695</f>
        <v/>
      </c>
      <c r="D133" s="43" t="n"/>
      <c r="E133" s="1045" t="n"/>
      <c r="F133" s="25">
        <f>'[10]Hoja 1'!$C$634</f>
        <v/>
      </c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>
        <f>'[10]Hoja 1'!$C$636+'[18]Hoja 1'!$C$203</f>
        <v/>
      </c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5">
      <c r="B135" s="25" t="inlineStr">
        <is>
          <t xml:space="preserve">Parqueaderos                       </t>
        </is>
      </c>
      <c r="C135" s="25">
        <f>'[9]Hoja 1'!$C$697</f>
        <v/>
      </c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5"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5"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5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outlineLevel="1" ht="15" customHeight="1" s="985">
      <c r="B139" s="25" t="inlineStr">
        <is>
          <t>Herramientas y articulos ferreteria</t>
        </is>
      </c>
      <c r="C139" s="25">
        <f>'[9]Hoja 1'!$C$699</f>
        <v/>
      </c>
      <c r="D139" s="43" t="n"/>
      <c r="E139" s="1045" t="n"/>
      <c r="F139" s="25">
        <f>'[10]Hoja 1'!$C$638</f>
        <v/>
      </c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</row>
    <row r="140" outlineLevel="1" ht="15" customHeight="1" s="985">
      <c r="A140" s="226" t="inlineStr">
        <is>
          <t>73959511</t>
        </is>
      </c>
      <c r="B140" s="25" t="inlineStr">
        <is>
          <t>Equipos de Bodega</t>
        </is>
      </c>
      <c r="C140" s="281" t="n"/>
      <c r="D140" s="43" t="n"/>
      <c r="E140" s="1045" t="n"/>
      <c r="F140" s="25">
        <f>'[18]Hoja 1'!$C$206</f>
        <v/>
      </c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81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</row>
    <row r="14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</row>
    <row r="142" outlineLevel="1" ht="15" customHeight="1" s="985" thickBot="1">
      <c r="A142" s="226" t="inlineStr">
        <is>
          <t xml:space="preserve">51959512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</row>
    <row r="145" ht="15" customHeight="1" s="985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 t="n"/>
      <c r="R147" s="491">
        <f>SUM(R148:R151)</f>
        <v/>
      </c>
      <c r="S147" s="492" t="n"/>
      <c r="T147" s="1069" t="n"/>
      <c r="U147" s="491">
        <f>SUM(U148:U151)</f>
        <v/>
      </c>
      <c r="V147" s="492" t="n"/>
      <c r="W147" s="1069" t="n"/>
      <c r="X147" s="491">
        <f>SUM(X148:X151)</f>
        <v/>
      </c>
      <c r="Y147" s="492" t="n"/>
      <c r="Z147" s="1069" t="n"/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5">
      <c r="B148" s="18" t="inlineStr">
        <is>
          <t>Gastos Fijos Administracion</t>
        </is>
      </c>
      <c r="C148" s="39">
        <f>'GASTOS ADMINISTRATIVOS'!C96*'%DIST'!B37</f>
        <v/>
      </c>
      <c r="D148" s="69" t="n"/>
      <c r="E148" s="1077" t="n"/>
      <c r="F148" s="39">
        <f>'GASTOS ADMINISTRATIVOS'!D96*'%DIST'!D37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</row>
    <row r="149" ht="15" customHeight="1" s="985">
      <c r="B149" s="285" t="inlineStr">
        <is>
          <t>Gastos financieros</t>
        </is>
      </c>
      <c r="C149" s="25">
        <f>'GASTOS ADMINISTRATIVOS'!C109*'%DIST'!C53+29230.55+40203.2</f>
        <v/>
      </c>
      <c r="D149" s="43" t="n"/>
      <c r="E149" s="1045" t="n"/>
      <c r="F149" s="25">
        <f>'GASTOS ADMINISTRATIVOS'!D109*'%DIST'!E53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</row>
    <row r="150" ht="15" customHeight="1" s="985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</row>
    <row r="151" ht="15" customHeight="1" s="985" thickBot="1">
      <c r="B151" s="300" t="inlineStr">
        <is>
          <t>Gastos No Operacionales</t>
        </is>
      </c>
      <c r="C151" s="71">
        <f>'GASTOS ADMINISTRATIVOS'!C119*'%DIST'!C53</f>
        <v/>
      </c>
      <c r="D151" s="72" t="n"/>
      <c r="E151" s="1086" t="n"/>
      <c r="F151" s="71">
        <f>'GASTOS ADMINISTRATIVOS'!D119*'%DIST'!E53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 t="n"/>
    </row>
    <row r="154" ht="15" customHeight="1" s="985" thickTop="1">
      <c r="B154" s="1135" t="inlineStr">
        <is>
          <t>Novedades</t>
        </is>
      </c>
      <c r="C154" s="718" t="n"/>
      <c r="D154" s="550" t="n"/>
      <c r="E154" s="1171" t="n"/>
      <c r="F154" s="707" t="n"/>
      <c r="G154" s="550" t="n"/>
      <c r="H154" s="1171" t="n"/>
      <c r="I154" s="707" t="n"/>
      <c r="J154" s="550" t="n"/>
      <c r="K154" s="1171" t="n"/>
      <c r="L154" s="707" t="n"/>
      <c r="M154" s="550" t="n"/>
      <c r="N154" s="1171" t="n"/>
      <c r="O154" s="707" t="n"/>
      <c r="P154" s="550" t="n"/>
      <c r="Q154" s="1171" t="n"/>
      <c r="R154" s="707" t="n"/>
      <c r="S154" s="550" t="n"/>
      <c r="T154" s="1171" t="n"/>
      <c r="U154" s="707" t="n"/>
      <c r="V154" s="550" t="n"/>
      <c r="W154" s="1171" t="n"/>
      <c r="X154" s="707" t="n"/>
      <c r="Y154" s="550" t="n"/>
      <c r="Z154" s="1171" t="n"/>
      <c r="AA154" s="707" t="n"/>
      <c r="AB154" s="550" t="n"/>
      <c r="AC154" s="1171" t="n"/>
      <c r="AD154" s="707" t="n"/>
      <c r="AE154" s="550" t="n"/>
      <c r="AF154" s="1171" t="n"/>
      <c r="AG154" s="707" t="n"/>
      <c r="AH154" s="550" t="n"/>
      <c r="AI154" s="1171" t="n"/>
      <c r="AJ154" s="707" t="n"/>
      <c r="AK154" s="230" t="n"/>
      <c r="AL154" s="245" t="n"/>
      <c r="AM154" s="718">
        <f>C154+F154+I154+L154+O154+R154+U154+X154+AA154+AD154+AG154+AJ154</f>
        <v/>
      </c>
      <c r="AN154" s="230" t="n"/>
      <c r="AO154" s="1137" t="n"/>
    </row>
    <row r="155" ht="15" customHeight="1" s="985">
      <c r="B155" s="1139" t="inlineStr">
        <is>
          <t xml:space="preserve">Otros Ajustes 1 </t>
        </is>
      </c>
      <c r="C155" s="707" t="n"/>
      <c r="D155" s="13" t="n"/>
      <c r="E155" s="1151" t="n"/>
      <c r="F155" s="707" t="n"/>
      <c r="G155" s="13" t="n"/>
      <c r="H155" s="1151" t="n"/>
      <c r="I155" s="707" t="n"/>
      <c r="J155" s="13" t="n"/>
      <c r="K155" s="1151" t="n"/>
      <c r="L155" s="707" t="n"/>
      <c r="M155" s="13" t="n"/>
      <c r="N155" s="1151" t="n"/>
      <c r="O155" s="707" t="n"/>
      <c r="P155" s="13" t="n"/>
      <c r="Q155" s="1151" t="n"/>
      <c r="R155" s="707" t="n"/>
      <c r="S155" s="13" t="n"/>
      <c r="T155" s="1151" t="n"/>
      <c r="U155" s="707" t="n"/>
      <c r="V155" s="13" t="n"/>
      <c r="W155" s="1151" t="n"/>
      <c r="X155" s="720" t="n"/>
      <c r="Y155" s="13" t="n"/>
      <c r="Z155" s="1151" t="n"/>
      <c r="AA155" s="707" t="n"/>
      <c r="AB155" s="13" t="n"/>
      <c r="AC155" s="1151" t="n"/>
      <c r="AD155" s="880" t="n"/>
      <c r="AE155" s="13" t="n"/>
      <c r="AF155" s="1151" t="n"/>
      <c r="AG155" s="707" t="n"/>
      <c r="AH155" s="13" t="n"/>
      <c r="AI155" s="1151" t="n"/>
      <c r="AJ155" s="707" t="n"/>
      <c r="AK155" s="9" t="n"/>
      <c r="AL155" s="240" t="n"/>
      <c r="AM155" s="294">
        <f>C155+F155+I155+L155+O155+R155+U155+X155+AA155+AD155+AG155+AJ155</f>
        <v/>
      </c>
      <c r="AN155" s="9" t="n"/>
      <c r="AO155" s="1141" t="n"/>
    </row>
    <row r="156" ht="15" customHeight="1" s="985">
      <c r="B156" s="1143" t="inlineStr">
        <is>
          <t>Otros Ajustes 2</t>
        </is>
      </c>
      <c r="C156" s="707" t="n"/>
      <c r="D156" s="679" t="n"/>
      <c r="E156" s="1173" t="n"/>
      <c r="F156" s="707" t="n"/>
      <c r="G156" s="679" t="n"/>
      <c r="H156" s="1173" t="n"/>
      <c r="I156" s="707" t="n"/>
      <c r="J156" s="679" t="n"/>
      <c r="K156" s="1173" t="n"/>
      <c r="L156" s="707" t="n"/>
      <c r="M156" s="679" t="n"/>
      <c r="N156" s="1173" t="n"/>
      <c r="O156" s="707" t="n"/>
      <c r="P156" s="555" t="n"/>
      <c r="Q156" s="843" t="n"/>
      <c r="R156" s="707" t="n"/>
      <c r="S156" s="679" t="n"/>
      <c r="T156" s="1173" t="n"/>
      <c r="U156" s="707" t="n"/>
      <c r="V156" s="679" t="n"/>
      <c r="W156" s="1173" t="n"/>
      <c r="X156" s="707" t="n"/>
      <c r="Y156" s="679" t="n"/>
      <c r="Z156" s="1173" t="n"/>
      <c r="AA156" s="707" t="n"/>
      <c r="AB156" s="679" t="n"/>
      <c r="AC156" s="1173" t="n"/>
      <c r="AD156" s="707" t="n"/>
      <c r="AE156" s="679" t="n"/>
      <c r="AF156" s="1173" t="n"/>
      <c r="AG156" s="707" t="n"/>
      <c r="AH156" s="679" t="n"/>
      <c r="AI156" s="1173" t="n"/>
      <c r="AJ156" s="707" t="n"/>
      <c r="AK156" s="677" t="n"/>
      <c r="AL156" s="681" t="n"/>
      <c r="AM156" s="715">
        <f>C156+F156+I156+L156+O156+R156+U156+X156+AA156+AD156+AG156+AJ156</f>
        <v/>
      </c>
      <c r="AN156" s="677" t="n"/>
      <c r="AO156" s="945">
        <f>AM156/AM42</f>
        <v/>
      </c>
    </row>
    <row r="157" ht="15" customHeight="1" s="985">
      <c r="B157" s="1146" t="inlineStr">
        <is>
          <t>Otros Ajustes 3</t>
        </is>
      </c>
      <c r="C157" s="707" t="n"/>
      <c r="D157" s="555" t="n"/>
      <c r="E157" s="1175" t="n"/>
      <c r="F157" s="707" t="n"/>
      <c r="G157" s="555" t="n"/>
      <c r="H157" s="1175" t="n"/>
      <c r="I157" s="707" t="n"/>
      <c r="J157" s="555" t="n"/>
      <c r="K157" s="1175" t="n"/>
      <c r="L157" s="707" t="n"/>
      <c r="M157" s="555" t="n"/>
      <c r="N157" s="1175" t="n"/>
      <c r="O157" s="707" t="n"/>
      <c r="P157" s="637" t="n"/>
      <c r="Q157" s="843" t="n"/>
      <c r="R157" s="707" t="n"/>
      <c r="S157" s="637" t="n"/>
      <c r="T157" s="1177" t="n"/>
      <c r="U157" s="707" t="n"/>
      <c r="V157" s="637" t="n"/>
      <c r="W157" s="1177" t="n"/>
      <c r="X157" s="707" t="n"/>
      <c r="Y157" s="555" t="n"/>
      <c r="Z157" s="1175" t="n"/>
      <c r="AA157" s="707" t="n"/>
      <c r="AB157" s="555" t="n"/>
      <c r="AC157" s="1175" t="n"/>
      <c r="AD157" s="707" t="n"/>
      <c r="AE157" s="555" t="n"/>
      <c r="AF157" s="1175" t="n"/>
      <c r="AG157" s="707" t="n"/>
      <c r="AH157" s="555" t="n"/>
      <c r="AI157" s="1175" t="n"/>
      <c r="AJ157" s="707" t="n"/>
      <c r="AK157" s="553" t="n"/>
      <c r="AL157" s="557" t="n"/>
      <c r="AM157" s="294">
        <f>C157+F157+I157+L157+O157+R157+U157+X157+AA157+AD157+AG157+AJ157</f>
        <v/>
      </c>
      <c r="AN157" s="553" t="n"/>
      <c r="AO157" s="1178" t="n"/>
    </row>
    <row r="158" ht="15" customHeight="1" s="985">
      <c r="B158" s="1150" t="inlineStr">
        <is>
          <t>Otros Ajustes 4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87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AM158/$AM$42</f>
        <v/>
      </c>
    </row>
    <row r="159" ht="15" customHeight="1" s="985">
      <c r="B159" s="1150" t="inlineStr">
        <is>
          <t>Otros Ajustes 5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87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 t="n"/>
    </row>
    <row r="160" ht="15" customHeight="1" s="985" thickBot="1">
      <c r="B160" s="1154" t="inlineStr">
        <is>
          <t>Otros Ajustes 6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951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812" t="n"/>
      <c r="AO160" s="1152">
        <f>AM160/AM42</f>
        <v/>
      </c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</row>
    <row r="162" ht="15" customHeight="1" s="985" thickBot="1" thickTop="1">
      <c r="B162" s="65" t="n"/>
      <c r="C162" s="540">
        <f>IFERROR(C161/C13," ")</f>
        <v/>
      </c>
      <c r="D162" s="502" t="n"/>
      <c r="E162" s="1093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</row>
    <row r="163" ht="10.8" customHeight="1" s="985" thickTop="1"/>
    <row r="164" hidden="1" ht="9.75" customFormat="1" customHeight="1" s="153" thickBot="1" thickTop="1">
      <c r="A164" s="226" t="n"/>
      <c r="C164" s="618">
        <f>C44+C83-C73-C85</f>
        <v/>
      </c>
      <c r="D164" s="996" t="n"/>
      <c r="E164" s="1188" t="n"/>
      <c r="F164" s="618">
        <f>F44+F83-F73-F85</f>
        <v/>
      </c>
      <c r="G164" s="996" t="n"/>
      <c r="H164" s="1188" t="n"/>
      <c r="I164" s="618">
        <f>I44+I83-I73-I85</f>
        <v/>
      </c>
      <c r="J164" s="996" t="n"/>
      <c r="K164" s="1188" t="n"/>
      <c r="L164" s="618">
        <f>L44+L83-L73-L85-L58</f>
        <v/>
      </c>
      <c r="M164" s="996" t="n"/>
      <c r="N164" s="1188" t="n"/>
      <c r="O164" s="473">
        <f>O44+O83-O73-O85-O58</f>
        <v/>
      </c>
      <c r="P164" s="996" t="n"/>
      <c r="Q164" s="1188" t="n"/>
      <c r="R164" s="473">
        <f>R44+R83-R73-R85-R58</f>
        <v/>
      </c>
      <c r="S164" s="996" t="n"/>
      <c r="T164" s="1188" t="n"/>
      <c r="U164" s="473">
        <f>U44+U83-U73-U85-U58</f>
        <v/>
      </c>
      <c r="V164" s="996" t="n"/>
      <c r="W164" s="1188" t="n"/>
      <c r="X164" s="473">
        <f>X44+X83-X73-X85-X58</f>
        <v/>
      </c>
      <c r="Y164" s="996" t="n"/>
      <c r="Z164" s="1188" t="n"/>
      <c r="AA164" s="476">
        <f>AA44+AA83-AA73-AA85-AA58</f>
        <v/>
      </c>
      <c r="AB164" s="996" t="n"/>
      <c r="AC164" s="1188" t="n"/>
      <c r="AD164" s="476">
        <f>AD44+AD83-AD73-AD85-AD58</f>
        <v/>
      </c>
      <c r="AE164" s="996" t="n"/>
      <c r="AF164" s="1188" t="n"/>
      <c r="AG164" s="476">
        <f>AG44+AG83-AG73-AG85-AG58</f>
        <v/>
      </c>
      <c r="AH164" s="996" t="n"/>
      <c r="AI164" s="1188" t="n"/>
      <c r="AJ164" s="476">
        <f>AJ44+AJ83-AJ73-AJ85-AJ58</f>
        <v/>
      </c>
      <c r="AK164" s="996" t="n"/>
      <c r="AL164" s="996" t="n"/>
      <c r="AM164" s="996" t="n"/>
      <c r="AN164" s="996" t="n"/>
      <c r="AO164" s="1188" t="n"/>
    </row>
    <row r="165" hidden="1" customFormat="1" s="153">
      <c r="A165" s="226" t="n"/>
      <c r="C165" s="618">
        <f>'[9]Hoja 1'!$C$645+'[9]Hoja 1'!$C$606+'[14]Hoja 1'!$C$15-'[14]Hoja 1'!$C$70+'[37]Hoja 1'!$C$64+'[37]Hoja 1'!$C$214+'[37]Hoja 1'!$C$255+'[51]Hoja 1'!$C$27</f>
        <v/>
      </c>
      <c r="D165" s="996" t="n"/>
      <c r="E165" s="1188" t="n"/>
      <c r="F165" s="618">
        <f>'[10]Hoja 1'!$C$577+'[18]Hoja 1'!$C$148+'[18]Hoja 1'!$C$150+'[11]Hoja 1'!$C$70+'[11]Hoja 1'!$C$72+'[52]Hoja 1'!$C$18</f>
        <v/>
      </c>
      <c r="G165" s="996" t="n"/>
      <c r="H165" s="1188" t="n"/>
      <c r="I165" s="618" t="n">
        <v>1430442873.12</v>
      </c>
      <c r="J165" s="996" t="n"/>
      <c r="K165" s="1188" t="n"/>
      <c r="L165" s="618" t="n">
        <v>1116307669.42</v>
      </c>
      <c r="M165" s="996" t="n"/>
      <c r="N165" s="1188" t="n"/>
      <c r="O165" s="473" t="n">
        <v>1382223149.7</v>
      </c>
      <c r="P165" s="996" t="n"/>
      <c r="Q165" s="1188" t="n"/>
      <c r="R165" s="473" t="n">
        <v>655145421.55</v>
      </c>
      <c r="S165" s="996" t="n"/>
      <c r="T165" s="1188" t="n"/>
      <c r="U165" s="473" t="n">
        <v>830608364.54</v>
      </c>
      <c r="V165" s="996" t="n"/>
      <c r="W165" s="1188" t="n"/>
      <c r="X165" s="473" t="n">
        <v>1347308483.54</v>
      </c>
      <c r="Y165" s="996" t="n"/>
      <c r="Z165" s="1188" t="n"/>
      <c r="AA165" s="476" t="n">
        <v>1429380841.35</v>
      </c>
      <c r="AB165" s="996" t="n"/>
      <c r="AC165" s="1188" t="n"/>
      <c r="AD165" s="476" t="n">
        <v>1064563831.2</v>
      </c>
      <c r="AE165" s="996" t="n"/>
      <c r="AF165" s="1188" t="n"/>
      <c r="AG165" s="476" t="n">
        <v>903207890.9400001</v>
      </c>
      <c r="AH165" s="996" t="n"/>
      <c r="AI165" s="1188" t="n"/>
      <c r="AJ165" s="476" t="n">
        <v>307257937.6900001</v>
      </c>
      <c r="AK165" s="996" t="n"/>
      <c r="AL165" s="996" t="n"/>
      <c r="AM165" s="402" t="n"/>
      <c r="AN165" s="996" t="n"/>
      <c r="AO165" s="1188" t="n"/>
    </row>
    <row r="166" hidden="1" customFormat="1" s="153">
      <c r="A166" s="226" t="n"/>
      <c r="C166" s="618">
        <f>C164-C165</f>
        <v/>
      </c>
      <c r="D166" s="996" t="n"/>
      <c r="E166" s="1188" t="n"/>
      <c r="F166" s="618">
        <f>F164-F165</f>
        <v/>
      </c>
      <c r="G166" s="995" t="n"/>
      <c r="H166" s="1189" t="n"/>
      <c r="I166" s="618">
        <f>I164-I165</f>
        <v/>
      </c>
      <c r="J166" s="996" t="n"/>
      <c r="K166" s="1189" t="n"/>
      <c r="L166" s="618">
        <f>L164-L165</f>
        <v/>
      </c>
      <c r="M166" s="996" t="n"/>
      <c r="N166" s="1188" t="n"/>
      <c r="O166" s="473">
        <f>O164-O165</f>
        <v/>
      </c>
      <c r="P166" s="996" t="n"/>
      <c r="Q166" s="1188" t="n"/>
      <c r="R166" s="473">
        <f>R164-R165</f>
        <v/>
      </c>
      <c r="S166" s="995" t="n"/>
      <c r="T166" s="1188" t="n"/>
      <c r="U166" s="473">
        <f>U164-U165</f>
        <v/>
      </c>
      <c r="V166" s="996" t="n"/>
      <c r="W166" s="1188" t="n"/>
      <c r="X166" s="473">
        <f>X164-X165</f>
        <v/>
      </c>
      <c r="Y166" s="996" t="n"/>
      <c r="Z166" s="1188" t="n"/>
      <c r="AA166" s="476">
        <f>AA164-AA165</f>
        <v/>
      </c>
      <c r="AB166" s="996" t="inlineStr">
        <is>
          <t>AMAYOR</t>
        </is>
      </c>
      <c r="AC166" s="1188" t="n"/>
      <c r="AD166" s="476">
        <f>AD164-AD165</f>
        <v/>
      </c>
      <c r="AE166" s="996" t="n"/>
      <c r="AF166" s="1188" t="n"/>
      <c r="AG166" s="476">
        <f>AG164-AG165</f>
        <v/>
      </c>
      <c r="AH166" s="996" t="n"/>
      <c r="AI166" s="1188" t="n"/>
      <c r="AJ166" s="476">
        <f>AJ164-AJ165</f>
        <v/>
      </c>
      <c r="AK166" s="402" t="n"/>
      <c r="AL166" s="996" t="n"/>
      <c r="AM166" s="995" t="n"/>
      <c r="AN166" s="996" t="n"/>
      <c r="AO166" s="1188" t="n"/>
    </row>
    <row r="169">
      <c r="R169" s="1182" t="n"/>
    </row>
    <row r="172">
      <c r="AD172" s="989">
        <f>220415*1.14</f>
        <v/>
      </c>
    </row>
    <row r="173">
      <c r="AD173" s="989">
        <f>AD172*2000*8</f>
        <v/>
      </c>
    </row>
    <row r="181">
      <c r="X181" s="989" t="n">
        <v>1423200</v>
      </c>
    </row>
    <row r="182">
      <c r="X182" s="989">
        <f>X181*1.15</f>
        <v/>
      </c>
    </row>
  </sheetData>
  <mergeCells count="1">
    <mergeCell ref="C2:AM2"/>
  </mergeCells>
  <conditionalFormatting sqref="B3:B161">
    <cfRule type="duplicateValues" priority="1" dxfId="0" stopIfTrue="1"/>
  </conditionalFormatting>
  <hyperlinks>
    <hyperlink xmlns:r="http://schemas.openxmlformats.org/officeDocument/2006/relationships" ref="B59" location="'TRANS YUMBO'!V30" r:id="rId1"/>
    <hyperlink xmlns:r="http://schemas.openxmlformats.org/officeDocument/2006/relationships" ref="B77" location="'Proyeccion GAS '!B22" r:id="rId2"/>
    <hyperlink xmlns:r="http://schemas.openxmlformats.org/officeDocument/2006/relationships" ref="B86" location="'DOTACION-UNFORMES'!B57" r:id="rId3"/>
    <hyperlink xmlns:r="http://schemas.openxmlformats.org/officeDocument/2006/relationships" ref="B87" location="'EXAMENES OCUPACIONALES'!B53" r:id="rId4"/>
    <hyperlink xmlns:r="http://schemas.openxmlformats.org/officeDocument/2006/relationships" ref="B117" location="'Proyerccion MTTO'!B3" r:id="rId5"/>
    <hyperlink xmlns:r="http://schemas.openxmlformats.org/officeDocument/2006/relationships" ref="B128" location="YUMBO!D17" display="Bioseguridad " r:id="rId6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Hoja15">
    <outlinePr summaryBelow="1" summaryRight="1"/>
    <pageSetUpPr/>
  </sheetPr>
  <dimension ref="A2:AP174"/>
  <sheetViews>
    <sheetView zoomScaleNormal="100" workbookViewId="0">
      <pane xSplit="2" ySplit="13" topLeftCell="C146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7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4.44140625" customWidth="1" style="989" min="18" max="18"/>
    <col width="8.6640625" customWidth="1" style="989" min="19" max="19"/>
    <col width="8.6640625" customWidth="1" style="1033" min="20" max="20"/>
    <col width="14.4414062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7"/>
    <col width="8.6640625" customWidth="1" style="1033" min="38" max="38"/>
    <col width="15.6640625" customWidth="1" style="989" min="39" max="39"/>
    <col width="8.6640625" customWidth="1" style="989" min="40" max="40"/>
    <col width="8.6640625" customWidth="1" style="1033" min="41" max="41"/>
    <col width="7.44140625" customWidth="1" style="2" min="42" max="42"/>
    <col width="11.44140625" customWidth="1" style="2" min="43" max="47"/>
    <col width="11.44140625" customWidth="1" style="2" min="48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PYG BUGA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614" t="n"/>
      <c r="AO2" s="1096" t="n"/>
    </row>
    <row r="3" ht="21.75" customHeight="1" s="985" thickBot="1" thickTop="1">
      <c r="B3" s="523" t="inlineStr">
        <is>
          <t xml:space="preserve">DIAS DE ATENCIÓN </t>
        </is>
      </c>
      <c r="C3" s="479" t="n">
        <v>10</v>
      </c>
      <c r="D3" s="480" t="n"/>
      <c r="E3" s="1035" t="n"/>
      <c r="F3" s="479" t="n">
        <v>20</v>
      </c>
      <c r="G3" s="480" t="n"/>
      <c r="H3" s="1035" t="n"/>
      <c r="I3" s="479" t="n">
        <v>19</v>
      </c>
      <c r="J3" s="480" t="n"/>
      <c r="K3" s="1035" t="n"/>
      <c r="L3" s="479" t="n">
        <v>19</v>
      </c>
      <c r="M3" s="480" t="n"/>
      <c r="N3" s="1035" t="n"/>
      <c r="O3" s="479" t="n">
        <v>19</v>
      </c>
      <c r="P3" s="480" t="n"/>
      <c r="Q3" s="1035" t="n"/>
      <c r="R3" s="479" t="n">
        <v>18</v>
      </c>
      <c r="S3" s="480" t="n"/>
      <c r="T3" s="1035" t="n"/>
      <c r="U3" s="479" t="n">
        <v>9</v>
      </c>
      <c r="V3" s="480" t="n"/>
      <c r="W3" s="1035" t="n"/>
      <c r="X3" s="479" t="n">
        <v>19</v>
      </c>
      <c r="Y3" s="480" t="n"/>
      <c r="Z3" s="1035" t="n"/>
      <c r="AA3" s="479" t="n">
        <v>22</v>
      </c>
      <c r="AB3" s="480" t="n"/>
      <c r="AC3" s="1035" t="n"/>
      <c r="AD3" s="479" t="n">
        <v>16</v>
      </c>
      <c r="AE3" s="480" t="n"/>
      <c r="AF3" s="1035" t="n"/>
      <c r="AG3" s="479" t="n">
        <v>18</v>
      </c>
      <c r="AH3" s="480" t="n"/>
      <c r="AI3" s="1035" t="n"/>
      <c r="AJ3" s="479" t="n"/>
      <c r="AK3" s="480" t="n"/>
      <c r="AL3" s="1035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482" t="inlineStr">
        <is>
          <t>ENE</t>
        </is>
      </c>
      <c r="D4" s="483" t="inlineStr">
        <is>
          <t>x racion</t>
        </is>
      </c>
      <c r="E4" s="103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 xml:space="preserve"> 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103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COMPLEMENTO INDUSTRIALIZADO (Rac)</t>
        </is>
      </c>
      <c r="C5" s="257" t="n"/>
      <c r="D5" s="89" t="n"/>
      <c r="E5" s="1041" t="n"/>
      <c r="F5" s="257" t="n"/>
      <c r="G5" s="89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1041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COMPLEMENTO PREPARADO (Rac)</t>
        </is>
      </c>
      <c r="C6" s="25" t="n"/>
      <c r="D6" s="43" t="n"/>
      <c r="E6" s="1045" t="n"/>
      <c r="F6" s="25" t="n"/>
      <c r="G6" s="89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1045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>ALMUERZO JORNADA UNICA (Rac)</t>
        </is>
      </c>
      <c r="C7" s="25" t="n"/>
      <c r="D7" s="43" t="n"/>
      <c r="E7" s="1045" t="n"/>
      <c r="F7" s="25" t="n"/>
      <c r="G7" s="89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1045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inlineStr">
        <is>
          <t>NOVEDADES (Rac)</t>
        </is>
      </c>
      <c r="C8" s="74" t="n"/>
      <c r="D8" s="43" t="n"/>
      <c r="E8" s="1045" t="n"/>
      <c r="F8" s="25" t="n"/>
      <c r="G8" s="43" t="n"/>
      <c r="H8" s="1045" t="n"/>
      <c r="I8" s="25" t="n"/>
      <c r="J8" s="43" t="n"/>
      <c r="K8" s="1045" t="n"/>
      <c r="L8" s="25" t="n"/>
      <c r="M8" s="43" t="n"/>
      <c r="N8" s="1045" t="n"/>
      <c r="O8" s="25" t="n"/>
      <c r="P8" s="43" t="n"/>
      <c r="Q8" s="1045" t="n"/>
      <c r="R8" s="25" t="n"/>
      <c r="S8" s="43" t="n"/>
      <c r="T8" s="1045" t="n"/>
      <c r="U8" s="25" t="n"/>
      <c r="V8" s="43" t="n"/>
      <c r="W8" s="1045" t="n"/>
      <c r="X8" s="25" t="n"/>
      <c r="Y8" s="43" t="n"/>
      <c r="Z8" s="1045" t="n"/>
      <c r="AA8" s="25" t="n"/>
      <c r="AB8" s="43" t="n"/>
      <c r="AC8" s="1045" t="n"/>
      <c r="AD8" s="25" t="n"/>
      <c r="AE8" s="43" t="n"/>
      <c r="AF8" s="1045" t="n"/>
      <c r="AG8" s="25" t="n"/>
      <c r="AH8" s="43" t="n"/>
      <c r="AI8" s="1045" t="n"/>
      <c r="AJ8" s="74" t="n"/>
      <c r="AK8" s="43" t="n"/>
      <c r="AL8" s="1045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258" t="n"/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1045" t="n"/>
      <c r="AM9" s="205">
        <f>C9+F9+I9+L9+O9+R9+U9+X9+AA9+AD9+AG9+AJ9</f>
        <v/>
      </c>
      <c r="AN9" s="43" t="n"/>
      <c r="AO9" s="1046" t="n"/>
    </row>
    <row r="10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1045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1047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1049" t="n"/>
      <c r="AM12" s="207">
        <f>C12+F12+I12+L12+O12+R12+U12+X12+AA12+AD12+AG12+AJ12</f>
        <v/>
      </c>
      <c r="AN12" s="47" t="n"/>
      <c r="AO12" s="1050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1051" t="n"/>
      <c r="AM13" s="580">
        <f>C13+F13+I13+L13+O13+R13+U13+X13+AA13+AD13+AG13+AJ13</f>
        <v/>
      </c>
      <c r="AN13" s="486" t="n"/>
      <c r="AO13" s="1052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1053" t="n"/>
      <c r="AM14" s="16">
        <f>C14+F14+I14+L14+O14+R14+U14+X14+AA14+AD14+AG14+AJ14</f>
        <v/>
      </c>
      <c r="AN14" s="3" t="n"/>
      <c r="AO14" s="1054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 t="n"/>
      <c r="AA15" s="90">
        <f>SUM(AA16:AA22)</f>
        <v/>
      </c>
      <c r="AB15" s="3" t="n"/>
      <c r="AC15" s="1053" t="n"/>
      <c r="AD15" s="90">
        <f>SUM(AD16:AD22)</f>
        <v/>
      </c>
      <c r="AE15" s="96" t="n"/>
      <c r="AF15" s="1053" t="n"/>
      <c r="AG15" s="90">
        <f>SUM(AG16:AG22)</f>
        <v/>
      </c>
      <c r="AH15" s="3" t="n"/>
      <c r="AI15" s="1053" t="n"/>
      <c r="AJ15" s="49">
        <f>SUM(AJ16:AJ22)</f>
        <v/>
      </c>
      <c r="AK15" s="3" t="n"/>
      <c r="AL15" s="1053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5">
      <c r="B16" s="258" t="inlineStr">
        <is>
          <t>COMPLEMENTO INDUSTRIALIZADO (Fac)</t>
        </is>
      </c>
      <c r="C16" s="103" t="n"/>
      <c r="D16" s="79">
        <f>C16/C5</f>
        <v/>
      </c>
      <c r="E16" s="1055" t="n"/>
      <c r="F16" s="103" t="n"/>
      <c r="G16" s="79">
        <f>F16/F5</f>
        <v/>
      </c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1055" t="n"/>
      <c r="AM16" s="212">
        <f>C16+F16+I16+L16+O16+R16+U16+X16+AA16+AD16+AG16+AJ16</f>
        <v/>
      </c>
      <c r="AN16" s="79" t="n"/>
      <c r="AO16" s="1056" t="n"/>
    </row>
    <row r="17" ht="15" customHeight="1" s="985">
      <c r="B17" s="258" t="inlineStr">
        <is>
          <t>COMPLEMENTO PREPARADO (Fac)</t>
        </is>
      </c>
      <c r="C17" s="25" t="n"/>
      <c r="D17" s="43">
        <f>C17/C6</f>
        <v/>
      </c>
      <c r="E17" s="1045" t="n"/>
      <c r="F17" s="25" t="n"/>
      <c r="G17" s="43">
        <f>F17/F6</f>
        <v/>
      </c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1045" t="n"/>
      <c r="AM17" s="205">
        <f>C17+F17+I17+L17+O17+R17+U17+X17+AA17+AD17+AG17+AJ17</f>
        <v/>
      </c>
      <c r="AN17" s="43">
        <f>AM17/AM6</f>
        <v/>
      </c>
      <c r="AO17" s="1046">
        <f>AM17/AM$13</f>
        <v/>
      </c>
    </row>
    <row r="18" ht="15" customHeight="1" s="985">
      <c r="B18" s="258" t="inlineStr">
        <is>
          <t>ALMUERZO JORNADA UNICA (Fac)</t>
        </is>
      </c>
      <c r="C18" s="25" t="n"/>
      <c r="D18" s="43">
        <f>C18/C7</f>
        <v/>
      </c>
      <c r="E18" s="1045" t="n"/>
      <c r="F18" s="25" t="n"/>
      <c r="G18" s="43">
        <f>F18/F7</f>
        <v/>
      </c>
      <c r="H18" s="1045" t="n"/>
      <c r="I18" s="25" t="n"/>
      <c r="J18" s="43" t="n"/>
      <c r="K18" s="1045" t="n"/>
      <c r="L18" s="25" t="n"/>
      <c r="M18" s="43" t="n"/>
      <c r="N18" s="1045" t="n"/>
      <c r="O18" s="25" t="n"/>
      <c r="P18" s="43" t="n"/>
      <c r="Q18" s="1045" t="n"/>
      <c r="R18" s="25" t="n"/>
      <c r="S18" s="43" t="n"/>
      <c r="T18" s="1045" t="n"/>
      <c r="U18" s="25" t="n"/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1045" t="n"/>
      <c r="AM18" s="205">
        <f>C18+F18+I18+L18+O18+R18+U18+X18+AA18+AD18+AG18+AJ18</f>
        <v/>
      </c>
      <c r="AN18" s="43">
        <f>AM18/AM7</f>
        <v/>
      </c>
      <c r="AO18" s="1046">
        <f>AM18/AM$13</f>
        <v/>
      </c>
    </row>
    <row r="19" ht="15" customHeight="1" s="985">
      <c r="B19" s="258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1045" t="n"/>
      <c r="AM19" s="205">
        <f>C19+F19+I19+L19+O19+R19+U19+X19+AA19+AD19+AG19+AJ19</f>
        <v/>
      </c>
      <c r="AN19" s="43" t="n"/>
      <c r="AO19" s="1046" t="n"/>
    </row>
    <row r="20" ht="15" customHeight="1" s="985">
      <c r="B20" s="258" t="inlineStr">
        <is>
          <t>NOVEDADES (Fac)</t>
        </is>
      </c>
      <c r="C20" s="75" t="n"/>
      <c r="D20" s="43" t="n"/>
      <c r="E20" s="1045" t="n"/>
      <c r="F20" s="7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1045" t="n"/>
      <c r="AM20" s="205">
        <f>C20+F20+I20+L20+O20+R20+U20+X20+AA20+AD20+AG20+AJ20</f>
        <v/>
      </c>
      <c r="AN20" s="43" t="n"/>
      <c r="AO20" s="1046" t="n"/>
    </row>
    <row r="21" hidden="1" ht="10.2" customHeight="1" s="985">
      <c r="B21" s="30" t="n"/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1045" t="n"/>
      <c r="AM21" s="205">
        <f>C21+F21+I21+L21+O21+R21+U21+X21+AA21+AD21+AG21+AJ21</f>
        <v/>
      </c>
      <c r="AN21" s="43" t="n"/>
      <c r="AO21" s="1046" t="n"/>
    </row>
    <row r="22" hidden="1" ht="10.2" customHeight="1" s="985">
      <c r="B22" s="30" t="n"/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1057" t="n"/>
      <c r="AM22" s="97">
        <f>C22+F22+I22+L22+O22+R22+U22+X22+AA22+AD22+AG22+AJ22</f>
        <v/>
      </c>
      <c r="AN22" s="42" t="n"/>
      <c r="AO22" s="1058" t="n"/>
    </row>
    <row r="23" hidden="1" outlineLevel="1" ht="10.2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1053" t="n"/>
      <c r="AM23" s="16">
        <f>C23+F23+I23+L23+O23+R23+U23+X23+AA23+AD23+AG23+AJ23</f>
        <v/>
      </c>
      <c r="AN23" s="3" t="n"/>
      <c r="AO23" s="1054" t="n"/>
    </row>
    <row r="24" hidden="1" outlineLevel="1" ht="10.2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1053" t="n"/>
      <c r="AM24" s="16">
        <f>C24+F24+I24+L24+O24+R24+U24+X24+AA24+AD24+AG24+AJ24</f>
        <v/>
      </c>
      <c r="AN24" s="3" t="n"/>
      <c r="AO24" s="1054" t="n"/>
    </row>
    <row r="25" hidden="1" outlineLevel="1" ht="10.2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1059" t="n"/>
      <c r="AM25" s="34">
        <f>C25+F25+I25+L25+O25+R25+U25+X25+AA25+AD25+AG25+AJ25</f>
        <v/>
      </c>
      <c r="AN25" s="52" t="n"/>
      <c r="AO25" s="1060" t="n"/>
    </row>
    <row r="26" hidden="1" outlineLevel="1" ht="10.2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1059" t="n"/>
      <c r="AM26" s="34">
        <f>C26+F26+I26+L26+O26+R26+U26+X26+AA26+AD26+AG26+AJ26</f>
        <v/>
      </c>
      <c r="AN26" s="52" t="n"/>
      <c r="AO26" s="1060" t="n"/>
    </row>
    <row r="27" hidden="1" outlineLevel="1" ht="10.2" customHeight="1" s="985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1059" t="n"/>
      <c r="AM27" s="34">
        <f>C27+F27+I27+L27+O27+R27+U27+X27+AA27+AD27+AG27+AJ27</f>
        <v/>
      </c>
      <c r="AN27" s="52" t="n"/>
      <c r="AO27" s="1060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1053" t="n"/>
      <c r="AM28" s="16">
        <f>C28+F28+I28+L28+O28+R28+U28+X28+AA28+AD28+AG28+AJ28</f>
        <v/>
      </c>
      <c r="AN28" s="3" t="n"/>
      <c r="AO28" s="1054" t="n"/>
    </row>
    <row r="29" ht="15" customHeight="1" s="985">
      <c r="B29" s="16" t="inlineStr">
        <is>
          <t>OTROS</t>
        </is>
      </c>
      <c r="C29" s="49">
        <f>SUM(C30:C41)</f>
        <v/>
      </c>
      <c r="D29" s="3" t="n"/>
      <c r="E29" s="1053">
        <f>C29/C13</f>
        <v/>
      </c>
      <c r="F29" s="49">
        <f>SUM(F30:F37)</f>
        <v/>
      </c>
      <c r="G29" s="3" t="n"/>
      <c r="H29" s="1053">
        <f>F29/F13</f>
        <v/>
      </c>
      <c r="I29" s="49">
        <f>SUM(I30:I37)</f>
        <v/>
      </c>
      <c r="J29" s="3" t="n"/>
      <c r="K29" s="1053">
        <f>I29/I13</f>
        <v/>
      </c>
      <c r="L29" s="49">
        <f>SUM(L30:L37)</f>
        <v/>
      </c>
      <c r="M29" s="3" t="n"/>
      <c r="N29" s="1053">
        <f>L29/L13</f>
        <v/>
      </c>
      <c r="O29" s="49">
        <f>SUM(O30:O37)</f>
        <v/>
      </c>
      <c r="P29" s="3" t="n"/>
      <c r="Q29" s="1053" t="n"/>
      <c r="R29" s="90">
        <f>SUM(R30:R37)</f>
        <v/>
      </c>
      <c r="S29" s="3" t="n"/>
      <c r="T29" s="1053">
        <f>R29/R13</f>
        <v/>
      </c>
      <c r="U29" s="90">
        <f>SUM(U30:U37)</f>
        <v/>
      </c>
      <c r="V29" s="3" t="n"/>
      <c r="W29" s="1053">
        <f>U29/U13</f>
        <v/>
      </c>
      <c r="X29" s="90">
        <f>SUM(X30:X37)</f>
        <v/>
      </c>
      <c r="Y29" s="763" t="n"/>
      <c r="Z29" s="766">
        <f>X29/X13</f>
        <v/>
      </c>
      <c r="AA29" s="90">
        <f>SUM(AA30:AA37)</f>
        <v/>
      </c>
      <c r="AB29" s="3" t="n"/>
      <c r="AC29" s="1053">
        <f>AA29/AA13</f>
        <v/>
      </c>
      <c r="AD29" s="90">
        <f>SUM(AD30:AD37)</f>
        <v/>
      </c>
      <c r="AE29" s="3" t="n"/>
      <c r="AF29" s="1053">
        <f>AD29/AD13</f>
        <v/>
      </c>
      <c r="AG29" s="90">
        <f>SUM(AG30:AG39)</f>
        <v/>
      </c>
      <c r="AH29" s="3" t="n"/>
      <c r="AI29" s="1053">
        <f>AG29/AG13</f>
        <v/>
      </c>
      <c r="AJ29" s="49">
        <f>SUM(AJ30:AJ38)</f>
        <v/>
      </c>
      <c r="AK29" s="3" t="n"/>
      <c r="AL29" s="1053" t="n"/>
      <c r="AM29" s="16">
        <f>C29+F29+I29+L29+O29+R29+U29+X29+AA29+AD29+AG29+AJ29</f>
        <v/>
      </c>
      <c r="AN29" s="3" t="n"/>
      <c r="AO29" s="1054">
        <f>AM29/AM13</f>
        <v/>
      </c>
    </row>
    <row r="30" outlineLevel="1" ht="15" customHeight="1" s="985">
      <c r="B30" s="262" t="inlineStr">
        <is>
          <t>1% Estampilla Prohospital</t>
        </is>
      </c>
      <c r="C30" s="1061">
        <f>C13*1%</f>
        <v/>
      </c>
      <c r="D30" s="79" t="n"/>
      <c r="E30" s="1055" t="n"/>
      <c r="F30" s="1061">
        <f>F13*1%</f>
        <v/>
      </c>
      <c r="G30" s="79" t="n"/>
      <c r="H30" s="1055" t="n"/>
      <c r="I30" s="1061">
        <f>I13*1%</f>
        <v/>
      </c>
      <c r="J30" s="79" t="n"/>
      <c r="K30" s="1055" t="n"/>
      <c r="L30" s="1061">
        <f>L13*1%</f>
        <v/>
      </c>
      <c r="M30" s="79" t="n"/>
      <c r="N30" s="1055" t="n"/>
      <c r="O30" s="1061">
        <f>O13*1%</f>
        <v/>
      </c>
      <c r="P30" s="79" t="n"/>
      <c r="Q30" s="1055" t="n"/>
      <c r="R30" s="1061">
        <f>R13*1%</f>
        <v/>
      </c>
      <c r="S30" s="79" t="n"/>
      <c r="T30" s="1055" t="n"/>
      <c r="U30" s="1061">
        <f>U13*1%</f>
        <v/>
      </c>
      <c r="V30" s="79" t="n"/>
      <c r="W30" s="1055" t="n"/>
      <c r="X30" s="1061">
        <f>X13*1%</f>
        <v/>
      </c>
      <c r="Y30" s="79" t="n"/>
      <c r="Z30" s="1055" t="n"/>
      <c r="AA30" s="1061">
        <f>AA13*1%</f>
        <v/>
      </c>
      <c r="AB30" s="79" t="n"/>
      <c r="AC30" s="1055" t="n"/>
      <c r="AD30" s="1061">
        <f>AD13*1%</f>
        <v/>
      </c>
      <c r="AE30" s="79" t="n"/>
      <c r="AF30" s="1055" t="n"/>
      <c r="AG30" s="1061">
        <f>AG13*1%</f>
        <v/>
      </c>
      <c r="AH30" s="79" t="n"/>
      <c r="AI30" s="1055" t="n"/>
      <c r="AJ30" s="1061">
        <f>AJ13*1%</f>
        <v/>
      </c>
      <c r="AK30" s="79" t="n"/>
      <c r="AL30" s="1055" t="n"/>
      <c r="AM30" s="212">
        <f>C30+F30+I30+L30+O30+R30+U30+X30+AA30+AD30+AG30+AJ30</f>
        <v/>
      </c>
      <c r="AN30" s="79" t="n"/>
      <c r="AO30" s="1056" t="n"/>
    </row>
    <row r="31" outlineLevel="1" ht="15" customHeight="1" s="985">
      <c r="B31" s="105" t="inlineStr">
        <is>
          <t>2,5% Estampilla Pro Deporte</t>
        </is>
      </c>
      <c r="C31" s="1062">
        <f>C$13*2.5%</f>
        <v/>
      </c>
      <c r="D31" s="43" t="n"/>
      <c r="E31" s="1045" t="n"/>
      <c r="F31" s="1062">
        <f>F$13*2.5%</f>
        <v/>
      </c>
      <c r="G31" s="43" t="n"/>
      <c r="H31" s="1045" t="n"/>
      <c r="I31" s="1062">
        <f>I$13*2.5%</f>
        <v/>
      </c>
      <c r="J31" s="43" t="n"/>
      <c r="K31" s="1045" t="n"/>
      <c r="L31" s="1062">
        <f>L$13*2.5%</f>
        <v/>
      </c>
      <c r="M31" s="43" t="n"/>
      <c r="N31" s="1045" t="n"/>
      <c r="O31" s="1062">
        <f>O$13*2.5%</f>
        <v/>
      </c>
      <c r="P31" s="43" t="n"/>
      <c r="Q31" s="1045" t="n"/>
      <c r="R31" s="1062">
        <f>R$13*2.5%</f>
        <v/>
      </c>
      <c r="S31" s="43" t="n"/>
      <c r="T31" s="1045" t="n"/>
      <c r="U31" s="1062">
        <f>U$13*2.5%</f>
        <v/>
      </c>
      <c r="V31" s="43" t="n"/>
      <c r="W31" s="1045" t="n"/>
      <c r="X31" s="1062">
        <f>X$13*2.5%</f>
        <v/>
      </c>
      <c r="Y31" s="43" t="n"/>
      <c r="Z31" s="1045" t="n"/>
      <c r="AA31" s="1062">
        <f>AA$13*2.5%</f>
        <v/>
      </c>
      <c r="AB31" s="43" t="n"/>
      <c r="AC31" s="1045" t="n"/>
      <c r="AD31" s="1062">
        <f>AD$13*2.5%</f>
        <v/>
      </c>
      <c r="AE31" s="43" t="n"/>
      <c r="AF31" s="1045" t="n"/>
      <c r="AG31" s="1062">
        <f>AG$13*2.5%</f>
        <v/>
      </c>
      <c r="AH31" s="43" t="n"/>
      <c r="AI31" s="1045" t="n"/>
      <c r="AJ31" s="1062">
        <f>AJ$13*2.5%</f>
        <v/>
      </c>
      <c r="AK31" s="43" t="n"/>
      <c r="AL31" s="1045" t="n"/>
      <c r="AM31" s="205">
        <f>C31+F31+I31+L31+O31+R31+U31+X31+AA31+AD31+AG31+AJ31</f>
        <v/>
      </c>
      <c r="AN31" s="43" t="n"/>
      <c r="AO31" s="1046" t="n"/>
    </row>
    <row r="32" outlineLevel="1" ht="15" customHeight="1" s="985">
      <c r="B32" s="105" t="inlineStr">
        <is>
          <t>1% Estampilla Pro Univalle</t>
        </is>
      </c>
      <c r="C32" s="1062">
        <f>C$13*1%</f>
        <v/>
      </c>
      <c r="D32" s="43" t="n"/>
      <c r="E32" s="1045" t="n"/>
      <c r="F32" s="1062">
        <f>F$13*1%</f>
        <v/>
      </c>
      <c r="G32" s="43" t="n"/>
      <c r="H32" s="1045" t="n"/>
      <c r="I32" s="1062">
        <f>I$13*1%</f>
        <v/>
      </c>
      <c r="J32" s="43" t="n"/>
      <c r="K32" s="1045" t="n"/>
      <c r="L32" s="1062">
        <f>L$13*1%</f>
        <v/>
      </c>
      <c r="M32" s="43" t="n"/>
      <c r="N32" s="1045" t="n"/>
      <c r="O32" s="1062">
        <f>O$13*1%</f>
        <v/>
      </c>
      <c r="P32" s="43" t="n"/>
      <c r="Q32" s="1045" t="n"/>
      <c r="R32" s="1062">
        <f>R$13*1%</f>
        <v/>
      </c>
      <c r="S32" s="43" t="n"/>
      <c r="T32" s="1045" t="n"/>
      <c r="U32" s="1062">
        <f>U$13*1%</f>
        <v/>
      </c>
      <c r="V32" s="43" t="n"/>
      <c r="W32" s="1045" t="n"/>
      <c r="X32" s="1062">
        <f>X$13*1%</f>
        <v/>
      </c>
      <c r="Y32" s="43" t="n"/>
      <c r="Z32" s="1045" t="n"/>
      <c r="AA32" s="1062">
        <f>AA$13*1%</f>
        <v/>
      </c>
      <c r="AB32" s="43" t="n"/>
      <c r="AC32" s="1045" t="n"/>
      <c r="AD32" s="1062">
        <f>AD$13*1%</f>
        <v/>
      </c>
      <c r="AE32" s="43" t="n"/>
      <c r="AF32" s="1045" t="n"/>
      <c r="AG32" s="1062">
        <f>AG$13*1%</f>
        <v/>
      </c>
      <c r="AH32" s="43" t="n"/>
      <c r="AI32" s="1045" t="n"/>
      <c r="AJ32" s="1062">
        <f>AJ$13*1%</f>
        <v/>
      </c>
      <c r="AK32" s="43" t="n"/>
      <c r="AL32" s="1045" t="n"/>
      <c r="AM32" s="205">
        <f>C32+F32+I32+L32+O32+R32+U32+X32+AA32+AD32+AG32+AJ32</f>
        <v/>
      </c>
      <c r="AN32" s="43" t="n"/>
      <c r="AO32" s="1046" t="n"/>
    </row>
    <row r="33" outlineLevel="1" ht="15" customHeight="1" s="985">
      <c r="B33" s="105" t="inlineStr">
        <is>
          <t>3% Estampilla Adulto Mayor</t>
        </is>
      </c>
      <c r="C33" s="1062">
        <f>C13*3%</f>
        <v/>
      </c>
      <c r="D33" s="43" t="n"/>
      <c r="E33" s="1045" t="n"/>
      <c r="F33" s="1062">
        <f>F13*3%</f>
        <v/>
      </c>
      <c r="G33" s="43" t="n"/>
      <c r="H33" s="1045" t="n"/>
      <c r="I33" s="1062">
        <f>I13*3%</f>
        <v/>
      </c>
      <c r="J33" s="43" t="n"/>
      <c r="K33" s="1045" t="n"/>
      <c r="L33" s="1062">
        <f>L13*3%</f>
        <v/>
      </c>
      <c r="M33" s="43" t="n"/>
      <c r="N33" s="1045" t="n"/>
      <c r="O33" s="1062">
        <f>O13*3%</f>
        <v/>
      </c>
      <c r="P33" s="43" t="n"/>
      <c r="Q33" s="1045" t="n"/>
      <c r="R33" s="1062">
        <f>R13*3%</f>
        <v/>
      </c>
      <c r="S33" s="43" t="n"/>
      <c r="T33" s="1045" t="n"/>
      <c r="U33" s="1062">
        <f>U13*3%</f>
        <v/>
      </c>
      <c r="V33" s="43" t="n"/>
      <c r="W33" s="1045" t="n"/>
      <c r="X33" s="1062">
        <f>X13*3%</f>
        <v/>
      </c>
      <c r="Y33" s="43" t="n"/>
      <c r="Z33" s="1045" t="n"/>
      <c r="AA33" s="1062">
        <f>AA13*3%</f>
        <v/>
      </c>
      <c r="AB33" s="43" t="n"/>
      <c r="AC33" s="1045" t="n"/>
      <c r="AD33" s="1062">
        <f>AD13*3%</f>
        <v/>
      </c>
      <c r="AE33" s="43" t="n"/>
      <c r="AF33" s="1045" t="n"/>
      <c r="AG33" s="1062">
        <f>AG13*3%</f>
        <v/>
      </c>
      <c r="AH33" s="43" t="n"/>
      <c r="AI33" s="1045" t="n"/>
      <c r="AJ33" s="1062">
        <f>AJ13*3%</f>
        <v/>
      </c>
      <c r="AK33" s="43" t="n"/>
      <c r="AL33" s="1045" t="n"/>
      <c r="AM33" s="205">
        <f>C33+F33+I33+L33+O33+R33+U33+X33+AA33+AD33+AG33+AJ33</f>
        <v/>
      </c>
      <c r="AN33" s="43" t="n"/>
      <c r="AO33" s="1046" t="n"/>
    </row>
    <row r="34" outlineLevel="1" ht="15" customHeight="1" s="985">
      <c r="B34" s="105" t="inlineStr">
        <is>
          <t>0,5% Estampilla Universidad del Pacifico</t>
        </is>
      </c>
      <c r="C34" s="1062">
        <f>C$13*0.5%</f>
        <v/>
      </c>
      <c r="D34" s="43" t="n"/>
      <c r="E34" s="1045" t="n"/>
      <c r="F34" s="1062">
        <f>F$13*0.5%</f>
        <v/>
      </c>
      <c r="G34" s="43" t="n"/>
      <c r="H34" s="1045" t="n"/>
      <c r="I34" s="1062">
        <f>I$13*0.5%</f>
        <v/>
      </c>
      <c r="J34" s="43" t="n"/>
      <c r="K34" s="1045" t="n"/>
      <c r="L34" s="1062">
        <f>L$13*0.5%</f>
        <v/>
      </c>
      <c r="M34" s="43" t="n"/>
      <c r="N34" s="1045" t="n"/>
      <c r="O34" s="1062">
        <f>O$13*0.5%</f>
        <v/>
      </c>
      <c r="P34" s="43" t="n"/>
      <c r="Q34" s="1045" t="n"/>
      <c r="R34" s="1062">
        <f>R$13*0.5%</f>
        <v/>
      </c>
      <c r="S34" s="43" t="n"/>
      <c r="T34" s="1045" t="n"/>
      <c r="U34" s="1062">
        <f>U$13*0.5%</f>
        <v/>
      </c>
      <c r="V34" s="43" t="n"/>
      <c r="W34" s="1045" t="n"/>
      <c r="X34" s="1062">
        <f>X$13*0.5%</f>
        <v/>
      </c>
      <c r="Y34" s="43" t="n"/>
      <c r="Z34" s="1045" t="n"/>
      <c r="AA34" s="1062">
        <f>AA$13*0.5%</f>
        <v/>
      </c>
      <c r="AB34" s="43" t="n"/>
      <c r="AC34" s="1045" t="n"/>
      <c r="AD34" s="1062">
        <f>AD$13*0.5%</f>
        <v/>
      </c>
      <c r="AE34" s="43" t="n"/>
      <c r="AF34" s="1045" t="n"/>
      <c r="AG34" s="1062">
        <f>AG$13*0.5%</f>
        <v/>
      </c>
      <c r="AH34" s="43" t="n"/>
      <c r="AI34" s="1045" t="n"/>
      <c r="AJ34" s="1062">
        <f>AJ$13*0.5%</f>
        <v/>
      </c>
      <c r="AK34" s="43" t="n"/>
      <c r="AL34" s="1045" t="n"/>
      <c r="AM34" s="205">
        <f>C34+F34+I34+L34+O34+R34+U34+X34+AA34+AD34+AG34+AJ34</f>
        <v/>
      </c>
      <c r="AN34" s="43" t="n"/>
      <c r="AO34" s="1046" t="n"/>
    </row>
    <row r="35" outlineLevel="1" ht="15" customHeight="1" s="985">
      <c r="B35" s="335" t="inlineStr">
        <is>
          <t>0,66% Rete Ica</t>
        </is>
      </c>
      <c r="C35" s="1062">
        <f>C$13*0.66%</f>
        <v/>
      </c>
      <c r="D35" s="92" t="n"/>
      <c r="E35" s="1063" t="n"/>
      <c r="F35" s="1062">
        <f>F$13*0.66%</f>
        <v/>
      </c>
      <c r="G35" s="92" t="n"/>
      <c r="H35" s="1063" t="n"/>
      <c r="I35" s="1062">
        <f>I$13*0.66%</f>
        <v/>
      </c>
      <c r="J35" s="92" t="n"/>
      <c r="K35" s="1063" t="n"/>
      <c r="L35" s="1062">
        <f>L$13*0.66%</f>
        <v/>
      </c>
      <c r="M35" s="92" t="n"/>
      <c r="N35" s="1063" t="n"/>
      <c r="O35" s="1062">
        <f>O$13*0.66%</f>
        <v/>
      </c>
      <c r="P35" s="92" t="n"/>
      <c r="Q35" s="1063" t="n"/>
      <c r="R35" s="1062">
        <f>R$13*0.66%</f>
        <v/>
      </c>
      <c r="S35" s="92" t="n"/>
      <c r="T35" s="1063" t="n"/>
      <c r="U35" s="1062">
        <f>U$13*0.66%</f>
        <v/>
      </c>
      <c r="V35" s="92" t="n"/>
      <c r="W35" s="1063" t="n"/>
      <c r="X35" s="1062">
        <f>X$13*0.66%</f>
        <v/>
      </c>
      <c r="Y35" s="92" t="n"/>
      <c r="Z35" s="1063" t="n"/>
      <c r="AA35" s="1062">
        <f>AA$13*0.66%</f>
        <v/>
      </c>
      <c r="AB35" s="92" t="n"/>
      <c r="AC35" s="1063" t="n"/>
      <c r="AD35" s="1062">
        <f>AD$13*0.66%</f>
        <v/>
      </c>
      <c r="AE35" s="92" t="n"/>
      <c r="AF35" s="1063" t="n"/>
      <c r="AG35" s="1062">
        <f>AG$13*0.66%</f>
        <v/>
      </c>
      <c r="AH35" s="92" t="n"/>
      <c r="AI35" s="1063" t="n"/>
      <c r="AJ35" s="1062">
        <f>AJ$13*0.66%</f>
        <v/>
      </c>
      <c r="AK35" s="92" t="n"/>
      <c r="AL35" s="1063" t="n"/>
      <c r="AM35" s="284">
        <f>C35+F35+I35+L35+O35+R35+U35+X35+AA35+AD35+AG35+AJ35</f>
        <v/>
      </c>
      <c r="AN35" s="92" t="n"/>
      <c r="AO35" s="1064" t="n"/>
    </row>
    <row r="36" outlineLevel="1" ht="15" customFormat="1" customHeight="1" s="108">
      <c r="A36" s="226" t="n"/>
      <c r="B36" s="105" t="inlineStr">
        <is>
          <t>Retefuente</t>
        </is>
      </c>
      <c r="C36" s="25">
        <f>(C$13*1%)*3.5%</f>
        <v/>
      </c>
      <c r="D36" s="43" t="n"/>
      <c r="E36" s="1045" t="n"/>
      <c r="F36" s="25">
        <f>(F$13*1%)*3.5%</f>
        <v/>
      </c>
      <c r="G36" s="43" t="n"/>
      <c r="H36" s="1045" t="n"/>
      <c r="I36" s="25">
        <f>(I$13*1%)*3.5%</f>
        <v/>
      </c>
      <c r="J36" s="43" t="n"/>
      <c r="K36" s="1045" t="n"/>
      <c r="L36" s="25">
        <f>(L$13*1%)*3.5%</f>
        <v/>
      </c>
      <c r="M36" s="43" t="n"/>
      <c r="N36" s="1045" t="n"/>
      <c r="O36" s="25">
        <f>(O$13*1%)*3.5%</f>
        <v/>
      </c>
      <c r="P36" s="43" t="n"/>
      <c r="Q36" s="1045" t="n"/>
      <c r="R36" s="25">
        <f>(R$13*1%)*3.5%</f>
        <v/>
      </c>
      <c r="S36" s="43" t="n"/>
      <c r="T36" s="1045" t="n"/>
      <c r="U36" s="25">
        <f>(U$13*1%)*3.5%</f>
        <v/>
      </c>
      <c r="V36" s="43" t="n"/>
      <c r="W36" s="1045" t="n"/>
      <c r="X36" s="25">
        <f>(X$13*1%)*3.5%</f>
        <v/>
      </c>
      <c r="Y36" s="43" t="n"/>
      <c r="Z36" s="1098" t="n"/>
      <c r="AA36" s="25">
        <f>(AA$13*1%)*3.5%</f>
        <v/>
      </c>
      <c r="AB36" s="43" t="n"/>
      <c r="AC36" s="1098" t="n"/>
      <c r="AD36" s="25">
        <f>(AD$13*1%)*3.5%</f>
        <v/>
      </c>
      <c r="AE36" s="43" t="n"/>
      <c r="AF36" s="1045" t="n"/>
      <c r="AG36" s="25">
        <f>(AG$13*1%)*3.5%</f>
        <v/>
      </c>
      <c r="AH36" s="43" t="n"/>
      <c r="AI36" s="1045" t="n"/>
      <c r="AJ36" s="25">
        <f>(AJ$13*1%)*3.5%</f>
        <v/>
      </c>
      <c r="AK36" s="43" t="n"/>
      <c r="AL36" s="1045" t="n"/>
      <c r="AM36" s="25">
        <f>C36+F36+I36+L36+O36+R36+U36+X36+AA36+AD36+AG36+AJ36</f>
        <v/>
      </c>
      <c r="AN36" s="43" t="n"/>
      <c r="AO36" s="1046" t="n"/>
    </row>
    <row r="37" outlineLevel="1" ht="15" customHeight="1" s="985">
      <c r="B37" s="105" t="inlineStr">
        <is>
          <t>2% Juzgado de Familia</t>
        </is>
      </c>
      <c r="C37" s="25">
        <f>C$13*2%</f>
        <v/>
      </c>
      <c r="D37" s="43" t="n"/>
      <c r="E37" s="1045" t="n"/>
      <c r="F37" s="25">
        <f>F$13*2%</f>
        <v/>
      </c>
      <c r="G37" s="43" t="n"/>
      <c r="H37" s="1045" t="n"/>
      <c r="I37" s="25">
        <f>I$13*2%</f>
        <v/>
      </c>
      <c r="J37" s="43" t="n"/>
      <c r="K37" s="1045" t="n"/>
      <c r="L37" s="25">
        <f>L$13*2%</f>
        <v/>
      </c>
      <c r="M37" s="43" t="n"/>
      <c r="N37" s="1045" t="n"/>
      <c r="O37" s="25">
        <f>O$13*2%</f>
        <v/>
      </c>
      <c r="P37" s="43" t="n"/>
      <c r="Q37" s="1045" t="n"/>
      <c r="R37" s="25">
        <f>R$13*2%</f>
        <v/>
      </c>
      <c r="S37" s="43" t="n"/>
      <c r="T37" s="1045" t="n"/>
      <c r="U37" s="25">
        <f>U$13*2%</f>
        <v/>
      </c>
      <c r="V37" s="43" t="n"/>
      <c r="W37" s="1045" t="n"/>
      <c r="X37" s="25">
        <f>X$13*2%</f>
        <v/>
      </c>
      <c r="Y37" s="43" t="n"/>
      <c r="Z37" s="1045" t="n"/>
      <c r="AA37" s="25">
        <f>AA$13*2%</f>
        <v/>
      </c>
      <c r="AB37" s="43" t="n"/>
      <c r="AC37" s="1045" t="n"/>
      <c r="AD37" s="25">
        <f>AD$13*2%</f>
        <v/>
      </c>
      <c r="AE37" s="43" t="n"/>
      <c r="AF37" s="1045" t="n"/>
      <c r="AG37" s="25">
        <f>AG$13*2%</f>
        <v/>
      </c>
      <c r="AH37" s="43" t="n"/>
      <c r="AI37" s="1045" t="n"/>
      <c r="AJ37" s="25">
        <f>AJ$13*2%</f>
        <v/>
      </c>
      <c r="AK37" s="43" t="n"/>
      <c r="AL37" s="1045" t="n"/>
      <c r="AM37" s="205">
        <f>C37+F37+I37+L37+O37+R37+U37+X37+AA37+AD37+AG37+AJ37</f>
        <v/>
      </c>
      <c r="AN37" s="43" t="n"/>
      <c r="AO37" s="1046" t="n"/>
    </row>
    <row r="38" outlineLevel="1" ht="15" customHeight="1" s="985">
      <c r="B38" s="30" t="inlineStr">
        <is>
          <t>0,5% Impuesto de Timbre</t>
        </is>
      </c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1057" t="n"/>
      <c r="AM38" s="97">
        <f>C38+F38+I38+L38+O38+R38+U38+X38+AA38+AD38+AG38+AJ38</f>
        <v/>
      </c>
      <c r="AN38" s="42" t="n"/>
      <c r="AO38" s="1058" t="n"/>
    </row>
    <row r="39" hidden="1" outlineLevel="1" ht="10.2" customHeight="1" s="985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1057" t="n"/>
      <c r="AM39" s="97" t="n"/>
      <c r="AN39" s="42" t="n"/>
      <c r="AO39" s="1058" t="n"/>
    </row>
    <row r="40" hidden="1" outlineLevel="1" ht="10.2" customHeight="1" s="985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1057" t="n"/>
      <c r="AM40" s="97" t="n"/>
      <c r="AN40" s="42" t="n"/>
      <c r="AO40" s="1058" t="n"/>
    </row>
    <row r="41" hidden="1" outlineLevel="1" ht="10.2" customHeight="1" s="985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1057" t="n"/>
      <c r="AM41" s="97" t="n"/>
      <c r="AN41" s="42" t="n"/>
      <c r="AO41" s="1058" t="n"/>
    </row>
    <row r="42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1065" t="n"/>
      <c r="AM42" s="578">
        <f>C42+F42+I42+L42+O42+R42+U42+X42+AA42+AD42+AG42+AJ42</f>
        <v/>
      </c>
      <c r="AN42" s="489" t="n"/>
      <c r="AO42" s="1066" t="n"/>
    </row>
    <row r="43" ht="15" customHeight="1" s="985" thickBot="1" thickTop="1">
      <c r="C43" s="1099" t="n"/>
      <c r="D43" s="1099" t="n"/>
      <c r="E43" s="1190">
        <f>(C46+C61)/C13</f>
        <v/>
      </c>
      <c r="F43" s="1023" t="n"/>
      <c r="G43" s="700" t="n"/>
      <c r="H43" s="1191">
        <f>(F46+F61)/F13</f>
        <v/>
      </c>
      <c r="I43" s="705" t="n"/>
      <c r="J43" s="705" t="n"/>
      <c r="K43" s="1101">
        <f>(I46+I61)/I13</f>
        <v/>
      </c>
      <c r="L43" s="705" t="n"/>
      <c r="M43" s="705" t="n"/>
      <c r="N43" s="1101">
        <f>(L46+L61)/L13</f>
        <v/>
      </c>
      <c r="O43" s="705" t="n"/>
      <c r="P43" s="705" t="n"/>
      <c r="Q43" s="1101">
        <f>(O46+O61)/O13</f>
        <v/>
      </c>
      <c r="R43" s="705" t="n"/>
      <c r="S43" s="705" t="n"/>
      <c r="T43" s="1101">
        <f>(R46+R61)/R13</f>
        <v/>
      </c>
      <c r="U43" s="705" t="n"/>
      <c r="V43" s="705" t="n"/>
      <c r="W43" s="1101">
        <f>(U46+U61)/U13</f>
        <v/>
      </c>
      <c r="X43" s="705" t="n"/>
      <c r="Y43" s="705" t="n"/>
      <c r="Z43" s="1101">
        <f>(X46+X61)/X13</f>
        <v/>
      </c>
      <c r="AA43" s="705" t="n"/>
      <c r="AB43" s="705" t="n"/>
      <c r="AC43" s="1101">
        <f>(AA46+AA61)/AA13</f>
        <v/>
      </c>
      <c r="AD43" s="705" t="n"/>
      <c r="AE43" s="705" t="n"/>
      <c r="AF43" s="1101">
        <f>(AD46+AD61)/AD13</f>
        <v/>
      </c>
      <c r="AG43" s="705" t="n"/>
      <c r="AH43" s="705" t="n"/>
      <c r="AI43" s="1101">
        <f>(AG46+AG61)/AG13</f>
        <v/>
      </c>
      <c r="AJ43" s="705" t="n"/>
      <c r="AK43" s="705" t="n"/>
      <c r="AL43" s="705" t="n"/>
      <c r="AM43" s="706" t="n"/>
      <c r="AN43" s="705" t="n"/>
      <c r="AO43" s="1191">
        <f>(AM46+AM61)/AM13</f>
        <v/>
      </c>
      <c r="AP43" s="700" t="n"/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>
        <f>C44/C$13</f>
        <v/>
      </c>
      <c r="F44" s="491">
        <f>+F45+F60+F78</f>
        <v/>
      </c>
      <c r="G44" s="492" t="n"/>
      <c r="H44" s="1069">
        <f>F44/F$13</f>
        <v/>
      </c>
      <c r="I44" s="441">
        <f>+I45+I60+I78</f>
        <v/>
      </c>
      <c r="J44" s="442" t="n"/>
      <c r="K44" s="1103">
        <f>I44/I$13</f>
        <v/>
      </c>
      <c r="L44" s="441">
        <f>+L45+L60+L78</f>
        <v/>
      </c>
      <c r="M44" s="442" t="n"/>
      <c r="N44" s="1103">
        <f>L44/L$13</f>
        <v/>
      </c>
      <c r="O44" s="491">
        <f>+O45+O60+O78</f>
        <v/>
      </c>
      <c r="P44" s="492" t="n"/>
      <c r="Q44" s="1069" t="n"/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1070" t="n"/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5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>
        <f>L45/L13</f>
        <v/>
      </c>
      <c r="O45" s="49">
        <f>+O46+O57</f>
        <v/>
      </c>
      <c r="P45" s="3" t="n"/>
      <c r="Q45" s="1053" t="n"/>
      <c r="R45" s="90">
        <f>+R46+R57</f>
        <v/>
      </c>
      <c r="S45" s="3" t="n"/>
      <c r="T45" s="1053">
        <f>R45/R13</f>
        <v/>
      </c>
      <c r="U45" s="90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>
        <f>X45/X13</f>
        <v/>
      </c>
      <c r="AA45" s="90">
        <f>+AA46+AA57</f>
        <v/>
      </c>
      <c r="AB45" s="3" t="n"/>
      <c r="AC45" s="1053">
        <f>AA45/AA13</f>
        <v/>
      </c>
      <c r="AD45" s="90">
        <f>+AD46+AD57</f>
        <v/>
      </c>
      <c r="AE45" s="3" t="n"/>
      <c r="AF45" s="1053">
        <f>AD45/AD13</f>
        <v/>
      </c>
      <c r="AG45" s="90">
        <f>+AG46+AG57</f>
        <v/>
      </c>
      <c r="AH45" s="3" t="n"/>
      <c r="AI45" s="1053">
        <f>AG45/AG13</f>
        <v/>
      </c>
      <c r="AJ45" s="49">
        <f>+AJ46+AJ57</f>
        <v/>
      </c>
      <c r="AK45" s="3" t="n"/>
      <c r="AL45" s="1053" t="n"/>
      <c r="AM45" s="16">
        <f>C45+F45+I45+L45+O45+R45+U45+X45+AA45+AD45+AG45+AJ45</f>
        <v/>
      </c>
      <c r="AN45" s="3" t="n"/>
      <c r="AO45" s="1054">
        <f>AM45/AM$13</f>
        <v/>
      </c>
    </row>
    <row r="46" ht="15" customHeight="1" s="985">
      <c r="B46" s="36" t="inlineStr">
        <is>
          <t>INSUMOS CI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>
        <f>AA46/AA13</f>
        <v/>
      </c>
      <c r="AD46" s="37">
        <f>SUM(AD47:AD56)</f>
        <v/>
      </c>
      <c r="AE46" s="67" t="n"/>
      <c r="AF46" s="1071">
        <f>AD46/AD13</f>
        <v/>
      </c>
      <c r="AG46" s="37">
        <f>SUM(AG47:AG56)</f>
        <v/>
      </c>
      <c r="AH46" s="67" t="n"/>
      <c r="AI46" s="1071">
        <f>AG46/AG13</f>
        <v/>
      </c>
      <c r="AJ46" s="37">
        <f>SUM(AJ47:AJ56)</f>
        <v/>
      </c>
      <c r="AK46" s="67" t="n"/>
      <c r="AL46" s="1071" t="n"/>
      <c r="AM46" s="211">
        <f>C46+F46+I46+L46+O46+R46+U46+X46+AA46+AD46+AG46+AJ46</f>
        <v/>
      </c>
      <c r="AN46" s="67" t="n"/>
      <c r="AO46" s="1072">
        <f>AM46/AM13</f>
        <v/>
      </c>
    </row>
    <row r="47" ht="15" customHeight="1" s="985">
      <c r="B47" s="258" t="inlineStr">
        <is>
          <t>COMPLEMENTO INDUSTRIALIZADO (Ins)</t>
        </is>
      </c>
      <c r="C47" s="76">
        <f>'[44]Hoja 1'!$D$35</f>
        <v/>
      </c>
      <c r="D47" s="42" t="n"/>
      <c r="E47" s="1057" t="n"/>
      <c r="F47" s="76">
        <f>'[45]Hoja 1'!$D$40</f>
        <v/>
      </c>
      <c r="G47" s="42" t="n"/>
      <c r="H47" s="1057" t="n"/>
      <c r="I47" s="76" t="n"/>
      <c r="J47" s="42" t="n"/>
      <c r="K47" s="1057" t="n"/>
      <c r="L47" s="76" t="n"/>
      <c r="M47" s="42" t="n"/>
      <c r="N47" s="1057" t="n"/>
      <c r="O47" s="76" t="n"/>
      <c r="P47" s="42" t="n"/>
      <c r="Q47" s="1057" t="n"/>
      <c r="R47" s="76" t="n"/>
      <c r="S47" s="42" t="n"/>
      <c r="T47" s="1057" t="n"/>
      <c r="U47" s="76" t="n"/>
      <c r="V47" s="42" t="n"/>
      <c r="W47" s="1057" t="n"/>
      <c r="X47" s="76" t="n"/>
      <c r="Y47" s="42" t="n"/>
      <c r="Z47" s="1057" t="n"/>
      <c r="AA47" s="76" t="n"/>
      <c r="AB47" s="42" t="n"/>
      <c r="AC47" s="1057" t="n"/>
      <c r="AD47" s="76" t="n"/>
      <c r="AE47" s="42" t="n"/>
      <c r="AF47" s="1057" t="n"/>
      <c r="AG47" s="76" t="n"/>
      <c r="AH47" s="42" t="n"/>
      <c r="AI47" s="1057" t="n"/>
      <c r="AJ47" s="76" t="n"/>
      <c r="AK47" s="42" t="n"/>
      <c r="AL47" s="1057" t="n"/>
      <c r="AM47" s="97">
        <f>C47+F47+I47+L47+O47+R47+U47+X47+AA47+AD47+AG47+AJ47</f>
        <v/>
      </c>
      <c r="AN47" s="42" t="n"/>
      <c r="AO47" s="1057" t="n"/>
    </row>
    <row r="48" ht="15" customHeight="1" s="985">
      <c r="B48" s="258" t="n"/>
      <c r="C48" s="75" t="n"/>
      <c r="D48" s="43" t="n"/>
      <c r="E48" s="1045" t="n"/>
      <c r="F48" s="7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5" t="n"/>
    </row>
    <row r="49" ht="15" customHeight="1" s="985">
      <c r="B49" s="258" t="inlineStr">
        <is>
          <t>NOVEDADES</t>
        </is>
      </c>
      <c r="C49" s="75" t="n"/>
      <c r="D49" s="43" t="n"/>
      <c r="E49" s="1045" t="n"/>
      <c r="F49" s="7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1045" t="n"/>
      <c r="AM49" s="205">
        <f>C49+F49+I49+L49+O49+R49+U49+X49+AA49+AD49+AG49+AJ49</f>
        <v/>
      </c>
      <c r="AN49" s="43" t="n"/>
      <c r="AO49" s="1046" t="n"/>
    </row>
    <row r="50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1045" t="n"/>
      <c r="AM50" s="205">
        <f>C50+F50+I50+L50+O50+R50+U50+X50+AA50+AD50+AG50+AJ50</f>
        <v/>
      </c>
      <c r="AN50" s="43" t="n"/>
      <c r="AO50" s="1046" t="n"/>
    </row>
    <row r="51" ht="14.4" customHeight="1" s="985">
      <c r="B51" s="258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351" t="n"/>
      <c r="AE51" s="43" t="n"/>
      <c r="AF51" s="1045" t="n"/>
      <c r="AG51" s="1109" t="n"/>
      <c r="AH51" s="43" t="n"/>
      <c r="AI51" s="1045" t="n"/>
      <c r="AJ51" s="25" t="n"/>
      <c r="AK51" s="43" t="n"/>
      <c r="AL51" s="1045" t="n"/>
      <c r="AM51" s="205">
        <f>C51+F51+I51+L51+O51+R51+U51+X51+AA51+AD51+AG51+AJ51</f>
        <v/>
      </c>
      <c r="AN51" s="43" t="n"/>
      <c r="AO51" s="1046" t="n"/>
    </row>
    <row r="52" hidden="1" ht="10.2" customHeight="1" s="985">
      <c r="B52" s="411" t="inlineStr">
        <is>
          <t>REFRIGERIOS</t>
        </is>
      </c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1045" t="n"/>
      <c r="AM52" s="205">
        <f>C52+F52+I52+L52+O52+R52+U52+X52+AA52+AD52+AG52+AJ52</f>
        <v/>
      </c>
      <c r="AN52" s="43" t="n"/>
      <c r="AO52" s="1046" t="n"/>
    </row>
    <row r="53" hidden="1" ht="10.2" customHeight="1" s="985">
      <c r="B53" s="25" t="inlineStr">
        <is>
          <t>PAQUETES MANIPULADORAS</t>
        </is>
      </c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1045" t="n"/>
      <c r="AM53" s="205">
        <f>C53+F53+I53+L53+O53+R53+U53+X53+AA53+AD53+AG53+AJ53</f>
        <v/>
      </c>
      <c r="AN53" s="43" t="n"/>
      <c r="AO53" s="1046" t="n"/>
    </row>
    <row r="54" hidden="1" ht="10.2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1045" t="n"/>
      <c r="AM54" s="205">
        <f>C54+F54+I54+L54+O54+R54+U54+X54+AA54+AD54+AG54+AJ54</f>
        <v/>
      </c>
      <c r="AN54" s="43" t="n"/>
      <c r="AO54" s="1046" t="n"/>
    </row>
    <row r="55" hidden="1" ht="10.2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1045" t="n"/>
      <c r="AM55" s="205">
        <f>C55+F55+I55+L55+O55+R55+U55+X55+AA55+AD55+AG55+AJ55</f>
        <v/>
      </c>
      <c r="AN55" s="43" t="n"/>
      <c r="AO55" s="1046" t="n"/>
    </row>
    <row r="56" hidden="1" ht="10.2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1057" t="n"/>
      <c r="AM56" s="97" t="n"/>
      <c r="AN56" s="42" t="n"/>
      <c r="AO56" s="1058" t="n"/>
    </row>
    <row r="57" hidden="1" ht="10.2" customHeight="1" s="985">
      <c r="B57" s="36" t="inlineStr">
        <is>
          <t>FLETES CI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47">
        <f>L57/L12</f>
        <v/>
      </c>
      <c r="N57" s="1049">
        <f>L57/L13</f>
        <v/>
      </c>
      <c r="O57" s="46">
        <f>SUM(O58:O59)</f>
        <v/>
      </c>
      <c r="P57" s="47">
        <f>O57/O12</f>
        <v/>
      </c>
      <c r="Q57" s="1049">
        <f>O57/O13</f>
        <v/>
      </c>
      <c r="R57" s="46">
        <f>SUM(R58:R59)</f>
        <v/>
      </c>
      <c r="S57" s="47">
        <f>R57/R12</f>
        <v/>
      </c>
      <c r="T57" s="1049">
        <f>R57/R13</f>
        <v/>
      </c>
      <c r="U57" s="46">
        <f>SUM(U58:U59)</f>
        <v/>
      </c>
      <c r="V57" s="47">
        <f>U57/U12</f>
        <v/>
      </c>
      <c r="W57" s="1049">
        <f>U57/U13</f>
        <v/>
      </c>
      <c r="X57" s="46">
        <f>SUM(X58:X59)</f>
        <v/>
      </c>
      <c r="Y57" s="47">
        <f>X57/X12</f>
        <v/>
      </c>
      <c r="Z57" s="1049">
        <f>X57/X13</f>
        <v/>
      </c>
      <c r="AA57" s="46">
        <f>SUM(AA58:AA59)</f>
        <v/>
      </c>
      <c r="AB57" s="47">
        <f>AA57/AA12</f>
        <v/>
      </c>
      <c r="AC57" s="1049">
        <f>AA57/AA13</f>
        <v/>
      </c>
      <c r="AD57" s="46">
        <f>SUM(AD58:AD59)</f>
        <v/>
      </c>
      <c r="AE57" s="47">
        <f>AD57/AD12</f>
        <v/>
      </c>
      <c r="AF57" s="1049">
        <f>AD57/AD13</f>
        <v/>
      </c>
      <c r="AG57" s="46">
        <f>SUM(AG58:AG59)</f>
        <v/>
      </c>
      <c r="AH57" s="47">
        <f>AG57/AG12</f>
        <v/>
      </c>
      <c r="AI57" s="1049">
        <f>AG57/AG13</f>
        <v/>
      </c>
      <c r="AJ57" s="46">
        <f>SUM(AJ58:AJ59)</f>
        <v/>
      </c>
      <c r="AK57" s="47" t="n"/>
      <c r="AL57" s="1049" t="n"/>
      <c r="AM57" s="207">
        <f>C57+F57+I57+L57+O57+R57+U57+X57+AA57+AD57+AG57+AJ57</f>
        <v/>
      </c>
      <c r="AN57" s="47">
        <f>AM57/AM12</f>
        <v/>
      </c>
      <c r="AO57" s="1049">
        <f>AM57/AM13</f>
        <v/>
      </c>
    </row>
    <row r="58" hidden="1" ht="10.2" customHeight="1" s="985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1111" t="n"/>
      <c r="AM58" s="414">
        <f>C58+F58+I58+L58+O58+R58+U58+X58+AA58+AD58+AG58+AJ58</f>
        <v/>
      </c>
      <c r="AN58" s="305" t="n"/>
      <c r="AO58" s="1112" t="n"/>
    </row>
    <row r="59" hidden="1" ht="10.2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>
        <f>F59/F12</f>
        <v/>
      </c>
      <c r="H59" s="1047">
        <f>F59/F13</f>
        <v/>
      </c>
      <c r="I59" s="83" t="n"/>
      <c r="J59" s="84">
        <f>I59/I12</f>
        <v/>
      </c>
      <c r="K59" s="1047">
        <f>I59/I13</f>
        <v/>
      </c>
      <c r="L59" s="83" t="n"/>
      <c r="M59" s="84">
        <f>L59/L12</f>
        <v/>
      </c>
      <c r="N59" s="1047">
        <f>L59/L13</f>
        <v/>
      </c>
      <c r="O59" s="83" t="n"/>
      <c r="P59" s="84">
        <f>O59/O12</f>
        <v/>
      </c>
      <c r="Q59" s="1047">
        <f>O59/O13</f>
        <v/>
      </c>
      <c r="R59" s="83" t="n"/>
      <c r="S59" s="84">
        <f>R59/R12</f>
        <v/>
      </c>
      <c r="T59" s="1047">
        <f>R59/R13</f>
        <v/>
      </c>
      <c r="U59" s="83" t="n"/>
      <c r="V59" s="84">
        <f>U59/U12</f>
        <v/>
      </c>
      <c r="W59" s="1047">
        <f>U59/U13</f>
        <v/>
      </c>
      <c r="X59" s="83" t="n"/>
      <c r="Y59" s="84">
        <f>X59/X12</f>
        <v/>
      </c>
      <c r="Z59" s="1047">
        <f>X59/X13</f>
        <v/>
      </c>
      <c r="AA59" s="83" t="n"/>
      <c r="AB59" s="84">
        <f>AA59/AA12</f>
        <v/>
      </c>
      <c r="AC59" s="1047">
        <f>AA59/AA13</f>
        <v/>
      </c>
      <c r="AD59" s="83" t="n"/>
      <c r="AE59" s="84">
        <f>AD59/AD12</f>
        <v/>
      </c>
      <c r="AF59" s="1047">
        <f>AD59/AD13</f>
        <v/>
      </c>
      <c r="AG59" s="83" t="n"/>
      <c r="AH59" s="84">
        <f>AG59/AG12</f>
        <v/>
      </c>
      <c r="AI59" s="1047">
        <f>AG59/AG13</f>
        <v/>
      </c>
      <c r="AJ59" s="83" t="n"/>
      <c r="AK59" s="84" t="n"/>
      <c r="AL59" s="1047" t="n"/>
      <c r="AM59" s="206">
        <f>C59+F59+I59+L59+O59+R59+U59+X59+AA59+AD59+AG59+AJ59</f>
        <v/>
      </c>
      <c r="AN59" s="84" t="n"/>
      <c r="AO59" s="1114" t="n"/>
    </row>
    <row r="60" ht="15" customHeight="1" s="985">
      <c r="B60" s="16" t="inlineStr">
        <is>
          <t>COSTOS PREPARADOS</t>
        </is>
      </c>
      <c r="C60" s="49">
        <f>+C61+C72+C75+C76+C77</f>
        <v/>
      </c>
      <c r="D60" s="3" t="n"/>
      <c r="E60" s="1049" t="n"/>
      <c r="F60" s="49">
        <f>+F61+F72+F75+F76+F77</f>
        <v/>
      </c>
      <c r="G60" s="3" t="n"/>
      <c r="H60" s="1049">
        <f>F60/F13</f>
        <v/>
      </c>
      <c r="I60" s="49">
        <f>+I61+I72+I75+I76+I77</f>
        <v/>
      </c>
      <c r="J60" s="3" t="n"/>
      <c r="K60" s="1049">
        <f>I60/I13</f>
        <v/>
      </c>
      <c r="L60" s="49">
        <f>+L61+L72+L75+L76+L77</f>
        <v/>
      </c>
      <c r="M60" s="3" t="n"/>
      <c r="N60" s="1049">
        <f>L60/L13</f>
        <v/>
      </c>
      <c r="O60" s="49">
        <f>+O61+O72+O75+O76+O77</f>
        <v/>
      </c>
      <c r="P60" s="3" t="n"/>
      <c r="Q60" s="1049">
        <f>O60/O13</f>
        <v/>
      </c>
      <c r="R60" s="90">
        <f>+R61+R72+R75+R76+R77</f>
        <v/>
      </c>
      <c r="S60" s="3" t="n"/>
      <c r="T60" s="1049">
        <f>R60/R13</f>
        <v/>
      </c>
      <c r="U60" s="90">
        <f>+U61+U72+U75+U76+U77</f>
        <v/>
      </c>
      <c r="V60" s="3" t="n"/>
      <c r="W60" s="1049">
        <f>U60/U13</f>
        <v/>
      </c>
      <c r="X60" s="49">
        <f>+X61+X72+X75+X76+X77</f>
        <v/>
      </c>
      <c r="Y60" s="3" t="n"/>
      <c r="Z60" s="1049" t="n"/>
      <c r="AA60" s="90">
        <f>+AA61+AA72+AA75+AA76+AA77</f>
        <v/>
      </c>
      <c r="AB60" s="3" t="n"/>
      <c r="AC60" s="1049">
        <f>AA60/AA13</f>
        <v/>
      </c>
      <c r="AD60" s="90">
        <f>+AD61+AD72+AD75+AD76+AD77</f>
        <v/>
      </c>
      <c r="AE60" s="3" t="n"/>
      <c r="AF60" s="1049">
        <f>AD60/AD13</f>
        <v/>
      </c>
      <c r="AG60" s="90">
        <f>+AG61+AG72+AG75+AG76+AG77</f>
        <v/>
      </c>
      <c r="AH60" s="3" t="n"/>
      <c r="AI60" s="1049" t="n"/>
      <c r="AJ60" s="49">
        <f>+AJ61+AJ72+AJ75+AJ76+AJ77</f>
        <v/>
      </c>
      <c r="AK60" s="3" t="n"/>
      <c r="AL60" s="1053" t="n"/>
      <c r="AM60" s="16">
        <f>C60+F60+I60+L60+O60+R60+U60+X60+AA60+AD60+AG60+AJ60</f>
        <v/>
      </c>
      <c r="AN60" s="3" t="n"/>
      <c r="AO60" s="1049" t="n"/>
    </row>
    <row r="61" ht="15" customHeight="1" s="985">
      <c r="B61" s="36" t="inlineStr">
        <is>
          <t>INSUMOS CP</t>
        </is>
      </c>
      <c r="C61" s="37">
        <f>SUM(C62:C71)</f>
        <v/>
      </c>
      <c r="D61" s="67" t="n"/>
      <c r="E61" s="1071" t="n"/>
      <c r="F61" s="46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 t="n"/>
      <c r="Q61" s="1071" t="n"/>
      <c r="R61" s="37">
        <f>SUM(R62:R71)</f>
        <v/>
      </c>
      <c r="S61" s="67" t="n"/>
      <c r="T61" s="1071" t="n"/>
      <c r="U61" s="37">
        <f>SUM(U62:U71)</f>
        <v/>
      </c>
      <c r="V61" s="67" t="n"/>
      <c r="W61" s="1071" t="n"/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>
        <f>AA61/AA13</f>
        <v/>
      </c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1071" t="n"/>
      <c r="AM61" s="211">
        <f>C61+F61+I61+L61+O61+R61+U61+X61+AA61+AD61+AG61+AJ61</f>
        <v/>
      </c>
      <c r="AN61" s="67" t="n"/>
      <c r="AO61" s="1072" t="n"/>
    </row>
    <row r="62" ht="15" customHeight="1" s="985">
      <c r="B62" s="258" t="inlineStr">
        <is>
          <t>COMPLEMENTO PREPARADO (Ins)</t>
        </is>
      </c>
      <c r="C62" s="78">
        <f>'[44]Hoja 1'!$D$26+'[44]Hoja 1'!$D$34</f>
        <v/>
      </c>
      <c r="D62" s="79">
        <f>C62/C6</f>
        <v/>
      </c>
      <c r="E62" s="1055">
        <f>C62/C17</f>
        <v/>
      </c>
      <c r="F62" s="78">
        <f>'[45]Hoja 1'!$D$39</f>
        <v/>
      </c>
      <c r="G62" s="79">
        <f>F62/F6</f>
        <v/>
      </c>
      <c r="H62" s="1055">
        <f>F62/F17</f>
        <v/>
      </c>
      <c r="I62" s="78" t="n"/>
      <c r="J62" s="79">
        <f>I62/I6</f>
        <v/>
      </c>
      <c r="K62" s="1055">
        <f>I62/I17</f>
        <v/>
      </c>
      <c r="L62" s="78" t="n"/>
      <c r="M62" s="79">
        <f>L62/L6</f>
        <v/>
      </c>
      <c r="N62" s="1055">
        <f>L62/L17</f>
        <v/>
      </c>
      <c r="O62" s="78" t="n"/>
      <c r="P62" s="79">
        <f>O62/O6</f>
        <v/>
      </c>
      <c r="Q62" s="1055">
        <f>O62/O17</f>
        <v/>
      </c>
      <c r="R62" s="78" t="n"/>
      <c r="S62" s="79">
        <f>R62/R6</f>
        <v/>
      </c>
      <c r="T62" s="1055">
        <f>R62/R17</f>
        <v/>
      </c>
      <c r="U62" s="78" t="n"/>
      <c r="V62" s="79">
        <f>U62/U6</f>
        <v/>
      </c>
      <c r="W62" s="1055">
        <f>U62/U17</f>
        <v/>
      </c>
      <c r="X62" s="78" t="n"/>
      <c r="Y62" s="79">
        <f>X62/X6</f>
        <v/>
      </c>
      <c r="Z62" s="1055">
        <f>X62/X17</f>
        <v/>
      </c>
      <c r="AA62" s="78" t="n"/>
      <c r="AB62" s="79">
        <f>AA62/AA6</f>
        <v/>
      </c>
      <c r="AC62" s="1055">
        <f>AA62/AA17</f>
        <v/>
      </c>
      <c r="AD62" s="78" t="n"/>
      <c r="AE62" s="79">
        <f>AD62/AD6</f>
        <v/>
      </c>
      <c r="AF62" s="1055">
        <f>AD62/AD17</f>
        <v/>
      </c>
      <c r="AG62" s="78" t="n"/>
      <c r="AH62" s="79">
        <f>AG62/AG6</f>
        <v/>
      </c>
      <c r="AI62" s="1055">
        <f>AG62/AG17</f>
        <v/>
      </c>
      <c r="AJ62" s="78" t="n"/>
      <c r="AK62" s="79" t="n"/>
      <c r="AL62" s="1055" t="n"/>
      <c r="AM62" s="212">
        <f>C62+F62+I62+L62+O62+R62+U62+X62+AA62+AD62+AG62+AJ62</f>
        <v/>
      </c>
      <c r="AN62" s="79">
        <f>AM62/AM6</f>
        <v/>
      </c>
      <c r="AO62" s="1055">
        <f>AM62/AM17</f>
        <v/>
      </c>
    </row>
    <row r="63" ht="15" customHeight="1" s="985">
      <c r="B63" s="258" t="inlineStr">
        <is>
          <t>ALMUERZO JORNADA UNICA (Ins)</t>
        </is>
      </c>
      <c r="C63" s="25">
        <f>'[44]Hoja 1'!$D$30+'[44]Hoja 1'!$D$36</f>
        <v/>
      </c>
      <c r="D63" s="43">
        <f>C63/C7</f>
        <v/>
      </c>
      <c r="E63" s="1045">
        <f>C63/C18</f>
        <v/>
      </c>
      <c r="F63" s="25">
        <f>'[45]Hoja 1'!$D$41</f>
        <v/>
      </c>
      <c r="G63" s="43">
        <f>F63/F7</f>
        <v/>
      </c>
      <c r="H63" s="1045">
        <f>F63/F18</f>
        <v/>
      </c>
      <c r="I63" s="25" t="n"/>
      <c r="J63" s="43">
        <f>I63/I7</f>
        <v/>
      </c>
      <c r="K63" s="1045">
        <f>I63/I18</f>
        <v/>
      </c>
      <c r="L63" s="25" t="n"/>
      <c r="M63" s="43">
        <f>L63/L7</f>
        <v/>
      </c>
      <c r="N63" s="1045">
        <f>L63/L18</f>
        <v/>
      </c>
      <c r="O63" s="25" t="n"/>
      <c r="P63" s="43">
        <f>O63/O7</f>
        <v/>
      </c>
      <c r="Q63" s="1045">
        <f>O63/O18</f>
        <v/>
      </c>
      <c r="R63" s="25" t="n"/>
      <c r="S63" s="43">
        <f>R63/R7</f>
        <v/>
      </c>
      <c r="T63" s="1045">
        <f>R63/R18</f>
        <v/>
      </c>
      <c r="U63" s="25" t="n"/>
      <c r="V63" s="43">
        <f>U63/U7</f>
        <v/>
      </c>
      <c r="W63" s="1045">
        <f>U63/U18</f>
        <v/>
      </c>
      <c r="X63" s="25" t="n"/>
      <c r="Y63" s="43">
        <f>X63/X7</f>
        <v/>
      </c>
      <c r="Z63" s="1045">
        <f>X63/X18</f>
        <v/>
      </c>
      <c r="AA63" s="25" t="n"/>
      <c r="AB63" s="43">
        <f>AA63/AA7</f>
        <v/>
      </c>
      <c r="AC63" s="1045">
        <f>AA63/AA18</f>
        <v/>
      </c>
      <c r="AD63" s="25" t="n"/>
      <c r="AE63" s="43">
        <f>AD63/AD7</f>
        <v/>
      </c>
      <c r="AF63" s="1045">
        <f>AD63/AD18</f>
        <v/>
      </c>
      <c r="AG63" s="25" t="n"/>
      <c r="AH63" s="43">
        <f>AG63/AG7</f>
        <v/>
      </c>
      <c r="AI63" s="1045">
        <f>AG63/AG18</f>
        <v/>
      </c>
      <c r="AJ63" s="25" t="n"/>
      <c r="AK63" s="43" t="n"/>
      <c r="AL63" s="1045" t="n"/>
      <c r="AM63" s="205">
        <f>C63+F63+I63+L63+O63+R63+U63+X63+AA63+AD63+AG63+AJ63</f>
        <v/>
      </c>
      <c r="AN63" s="43">
        <f>AM63/AM7</f>
        <v/>
      </c>
      <c r="AO63" s="1045">
        <f>AM63/AM18</f>
        <v/>
      </c>
    </row>
    <row r="64" ht="15" customHeight="1" s="985">
      <c r="B64" s="25" t="n"/>
      <c r="C64" s="82" t="n"/>
      <c r="D64" s="43" t="n"/>
      <c r="E64" s="1045" t="n"/>
      <c r="F64" s="82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1045" t="n"/>
      <c r="AM64" s="205">
        <f>C64+F64+I64+L64+O64+R64+U64+X64+AA64+AD64+AG64+AJ64</f>
        <v/>
      </c>
      <c r="AN64" s="43" t="n"/>
      <c r="AO64" s="1046" t="n"/>
    </row>
    <row r="65" ht="15" customHeight="1" s="985">
      <c r="B65" s="258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1045" t="n"/>
      <c r="AM65" s="205">
        <f>C65+F65+I65+L65+O65+R65+U65+X65+AA65+AD65+AG65+AJ65</f>
        <v/>
      </c>
      <c r="AN65" s="43" t="n"/>
      <c r="AO65" s="1046" t="n"/>
    </row>
    <row r="66" ht="15" customFormat="1" customHeight="1" s="108">
      <c r="A66" s="229" t="n"/>
      <c r="B66" s="411" t="inlineStr">
        <is>
          <t>MENU ESPECIAL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1045" t="n"/>
      <c r="AM66" s="205">
        <f>C66+F66+I66+L66+O66+R66+U66+X66+AA66+AD66+AG66+AJ66</f>
        <v/>
      </c>
      <c r="AN66" s="43" t="n"/>
      <c r="AO66" s="1046" t="n"/>
    </row>
    <row r="67" hidden="1" ht="10.2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1045" t="n"/>
      <c r="AM67" s="205" t="n"/>
      <c r="AN67" s="43" t="n"/>
      <c r="AO67" s="1046" t="n"/>
    </row>
    <row r="68" hidden="1" ht="10.2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1045" t="n"/>
      <c r="AM68" s="205" t="n"/>
      <c r="AN68" s="43" t="n"/>
      <c r="AO68" s="1046" t="n"/>
    </row>
    <row r="69" hidden="1" ht="10.2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1045" t="n"/>
      <c r="AM69" s="205" t="n"/>
      <c r="AN69" s="43" t="n"/>
      <c r="AO69" s="1046" t="n"/>
    </row>
    <row r="70" hidden="1" ht="10.2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1045" t="n"/>
      <c r="AM70" s="205" t="n"/>
      <c r="AN70" s="43" t="n"/>
      <c r="AO70" s="1046" t="n"/>
    </row>
    <row r="71" hidden="1" ht="10.2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1047" t="n"/>
      <c r="AM71" s="206">
        <f>C71+F71+I71+L71+O71+R71+U71+X71+AA71+AD71+AG71+AJ71</f>
        <v/>
      </c>
      <c r="AN71" s="84" t="n"/>
      <c r="AO71" s="1048" t="n"/>
    </row>
    <row r="72" ht="15" customHeight="1" s="985">
      <c r="B72" s="36" t="inlineStr">
        <is>
          <t>FLETES CP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67" t="n"/>
      <c r="AL72" s="1071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5">
      <c r="B73" s="412" t="inlineStr">
        <is>
          <t>PREPARADOS PROPIOS</t>
        </is>
      </c>
      <c r="C73" s="78">
        <f>'GASTOS VEHICULOS'!C25*'%DIST'!B23</f>
        <v/>
      </c>
      <c r="D73" s="79" t="n"/>
      <c r="E73" s="1055" t="n"/>
      <c r="F73" s="304">
        <f>'GASTOS VEHICULOS'!D25*'%DIST'!D23</f>
        <v/>
      </c>
      <c r="G73" s="305" t="n"/>
      <c r="H73" s="1111" t="n"/>
      <c r="I73" s="304">
        <f>'GASTOS VEHICULOS'!E25*'%DIST'!F23</f>
        <v/>
      </c>
      <c r="J73" s="305" t="n"/>
      <c r="K73" s="1111" t="n"/>
      <c r="L73" s="304">
        <f>'GASTOS VEHICULOS'!F25*'%DIST'!H23</f>
        <v/>
      </c>
      <c r="M73" s="305" t="n"/>
      <c r="N73" s="1111" t="n"/>
      <c r="O73" s="78">
        <f>'GASTOS VEHICULOS'!G25*'%DIST'!J23</f>
        <v/>
      </c>
      <c r="P73" s="305" t="n"/>
      <c r="Q73" s="1111" t="n"/>
      <c r="R73" s="304">
        <f>'GASTOS VEHICULOS'!H25*'%DIST'!L23</f>
        <v/>
      </c>
      <c r="S73" s="305" t="n"/>
      <c r="T73" s="1111" t="n"/>
      <c r="U73" s="304">
        <f>'GASTOS VEHICULOS'!I25*'%DIST'!N23</f>
        <v/>
      </c>
      <c r="V73" s="305" t="n"/>
      <c r="W73" s="1111" t="n"/>
      <c r="X73" s="78">
        <f>'GASTOS VEHICULOS'!J25*'%DIST'!P23</f>
        <v/>
      </c>
      <c r="Y73" s="305" t="n"/>
      <c r="Z73" s="1111" t="n"/>
      <c r="AA73" s="304">
        <f>'GASTOS VEHICULOS'!K25*'%DIST'!R23</f>
        <v/>
      </c>
      <c r="AB73" s="305" t="n"/>
      <c r="AC73" s="1111" t="n"/>
      <c r="AD73" s="304">
        <f>'GASTOS VEHICULOS'!L25*'%DIST'!T23</f>
        <v/>
      </c>
      <c r="AE73" s="305" t="n"/>
      <c r="AF73" s="1111" t="n"/>
      <c r="AG73" s="304">
        <f>'GASTOS VEHICULOS'!M25*'%DIST'!V23</f>
        <v/>
      </c>
      <c r="AH73" s="305" t="n"/>
      <c r="AI73" s="1111" t="n"/>
      <c r="AJ73" s="304" t="n"/>
      <c r="AK73" s="305" t="n"/>
      <c r="AL73" s="1111" t="n"/>
      <c r="AM73" s="414">
        <f>C73+F73+I73+L73+O73+R73+U73+X73+AA73+AD73+AG73+AJ73</f>
        <v/>
      </c>
      <c r="AN73" s="305" t="n"/>
      <c r="AO73" s="1117" t="n"/>
    </row>
    <row r="74" ht="15" customHeight="1" s="985">
      <c r="A74" s="226" t="inlineStr">
        <is>
          <t xml:space="preserve">73355001            </t>
        </is>
      </c>
      <c r="B74" s="416" t="inlineStr">
        <is>
          <t>PREPARADOS TERCEROS</t>
        </is>
      </c>
      <c r="C74" s="83">
        <f>'[15]Hoja 1'!$C$105</f>
        <v/>
      </c>
      <c r="D74" s="134" t="n"/>
      <c r="E74" s="1118" t="n"/>
      <c r="F74" s="83">
        <f>'[10]Hoja 1'!$C$471+'[19]Hoja 1'!$C$218</f>
        <v/>
      </c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8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8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1047" t="n"/>
      <c r="AM74" s="206">
        <f>C74+F74+I74+L74+O74+R74+U74+X74+AA74+AD74+AG74+AJ74</f>
        <v/>
      </c>
      <c r="AN74" s="84" t="n"/>
      <c r="AO74" s="1047" t="n"/>
    </row>
    <row r="75" ht="15" customHeight="1" s="985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1071" t="n"/>
      <c r="AM75" s="211">
        <f>C75+F75+I75+L75+O75+R75+U75+X75+AA75+AD75+AG75+AJ75</f>
        <v/>
      </c>
      <c r="AN75" s="67" t="n"/>
      <c r="AO75" s="1072" t="n"/>
    </row>
    <row r="76" ht="15" customFormat="1" customHeight="1" s="108">
      <c r="A76" s="229" t="inlineStr">
        <is>
          <t xml:space="preserve">71101501            </t>
        </is>
      </c>
      <c r="B76" s="36" t="inlineStr">
        <is>
          <t>Menaje</t>
        </is>
      </c>
      <c r="C76" s="37">
        <f>'[9]Hoja 1'!$C$453+'[15]Hoja 1'!$C$54</f>
        <v/>
      </c>
      <c r="D76" s="67" t="n"/>
      <c r="E76" s="1071" t="n"/>
      <c r="F76" s="37">
        <f>'[10]Hoja 1'!$C$428</f>
        <v/>
      </c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1071" t="n"/>
      <c r="AM76" s="211">
        <f>C76+F76+I76+L76+O76+R76+U76+X76+AA76+AD76+AG76+AJ76</f>
        <v/>
      </c>
      <c r="AN76" s="67" t="n"/>
      <c r="AO76" s="1075">
        <f>AM76/$AM$13</f>
        <v/>
      </c>
    </row>
    <row r="77" ht="15" customHeight="1" s="985">
      <c r="A77" s="226" t="inlineStr">
        <is>
          <t xml:space="preserve">73355501            </t>
        </is>
      </c>
      <c r="B77" s="66" t="inlineStr">
        <is>
          <t>Servicio de Gas</t>
        </is>
      </c>
      <c r="C77" s="28">
        <f>'[9]Hoja 1'!$C$498+'[15]Hoja 1'!$C$107</f>
        <v/>
      </c>
      <c r="D77" s="45" t="n"/>
      <c r="E77" s="1071" t="n"/>
      <c r="F77" s="28">
        <f>'[19]Hoja 1'!$C$220</f>
        <v/>
      </c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1071" t="n"/>
      <c r="AM77" s="26">
        <f>C77+F77+I77+L77+O77+R77+U77+X77+AA77+AD77+AG77+AJ77</f>
        <v/>
      </c>
      <c r="AN77" s="42">
        <f>AM77/(AM6+AM7)</f>
        <v/>
      </c>
      <c r="AO77" s="1075">
        <f>AM77/$AM$13</f>
        <v/>
      </c>
    </row>
    <row r="78" ht="15" customHeight="1" s="985">
      <c r="B78" s="17" t="inlineStr">
        <is>
          <t>MANO DE OBRA DIRECTA</t>
        </is>
      </c>
      <c r="C78" s="49">
        <f>SUM(C79:C81)</f>
        <v/>
      </c>
      <c r="D78" s="3">
        <f>C78/$C$12</f>
        <v/>
      </c>
      <c r="E78" s="1053">
        <f>C78/$C$13</f>
        <v/>
      </c>
      <c r="F78" s="93">
        <f>SUM(F79:F81)</f>
        <v/>
      </c>
      <c r="G78" s="3">
        <f>F78/F$12</f>
        <v/>
      </c>
      <c r="H78" s="1053">
        <f>F78/F13</f>
        <v/>
      </c>
      <c r="I78" s="93">
        <f>SUM(I79:I81)</f>
        <v/>
      </c>
      <c r="J78" s="3">
        <f>I78/I$12</f>
        <v/>
      </c>
      <c r="K78" s="1053">
        <f>I78/(I$13)</f>
        <v/>
      </c>
      <c r="L78" s="49">
        <f>SUM(L79:L81)</f>
        <v/>
      </c>
      <c r="M78" s="3">
        <f>L78/L$12</f>
        <v/>
      </c>
      <c r="N78" s="1053">
        <f>L78/(L$13)</f>
        <v/>
      </c>
      <c r="O78" s="49">
        <f>SUM(O79:O81)</f>
        <v/>
      </c>
      <c r="P78" s="3">
        <f>O78/O$12</f>
        <v/>
      </c>
      <c r="Q78" s="1053">
        <f>O78/(O$13)</f>
        <v/>
      </c>
      <c r="R78" s="90">
        <f>SUM(R79:R81)</f>
        <v/>
      </c>
      <c r="S78" s="3">
        <f>R78/R$12</f>
        <v/>
      </c>
      <c r="T78" s="1053">
        <f>R78/(R$13)</f>
        <v/>
      </c>
      <c r="U78" s="49">
        <f>SUM(U79:U81)</f>
        <v/>
      </c>
      <c r="V78" s="3">
        <f>U78/U$12</f>
        <v/>
      </c>
      <c r="W78" s="1053">
        <f>U78/(U$13)</f>
        <v/>
      </c>
      <c r="X78" s="49">
        <f>SUM(X79:X81)</f>
        <v/>
      </c>
      <c r="Y78" s="3">
        <f>X78/X$12</f>
        <v/>
      </c>
      <c r="Z78" s="1053">
        <f>X78/(X$13)</f>
        <v/>
      </c>
      <c r="AA78" s="49">
        <f>SUM(AA79:AA81)</f>
        <v/>
      </c>
      <c r="AB78" s="3">
        <f>AA78/AA$12</f>
        <v/>
      </c>
      <c r="AC78" s="1053">
        <f>AA78/(AA$13)</f>
        <v/>
      </c>
      <c r="AD78" s="49">
        <f>SUM(AD79:AD81)</f>
        <v/>
      </c>
      <c r="AE78" s="3">
        <f>AD78/AD$12</f>
        <v/>
      </c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1053" t="n"/>
      <c r="AM78" s="16">
        <f>C78+F78+I78+L78+O78+R78+U78+X78+AA78+AD78+AG78+AJ78</f>
        <v/>
      </c>
      <c r="AN78" s="3">
        <f>AM78/AM$12</f>
        <v/>
      </c>
      <c r="AO78" s="1076">
        <f>AM78/(AM$13)</f>
        <v/>
      </c>
    </row>
    <row r="79" ht="15" customHeight="1" s="985">
      <c r="B79" s="474" t="inlineStr">
        <is>
          <t>Manipuladoras</t>
        </is>
      </c>
      <c r="C79" s="39">
        <f>'[53]Hoja 1'!$I$12+'[24]Hoja 1'!$I$26</f>
        <v/>
      </c>
      <c r="D79" s="267" t="n"/>
      <c r="E79" s="139" t="n"/>
      <c r="F79" s="39">
        <f>'[33]Hoja 1'!$I$20-16825149+'[34]Hoja 1'!$D$21+'[54]Hoja 1'!$C$23</f>
        <v/>
      </c>
      <c r="G79" s="267" t="n"/>
      <c r="H79" s="139" t="n"/>
      <c r="I79" s="39" t="n"/>
      <c r="J79" s="267" t="n"/>
      <c r="K79" s="139" t="n"/>
      <c r="L79" s="39" t="n"/>
      <c r="M79" s="267" t="n"/>
      <c r="N79" s="139" t="n"/>
      <c r="O79" s="39" t="n"/>
      <c r="P79" s="267" t="n"/>
      <c r="Q79" s="139" t="n"/>
      <c r="R79" s="39" t="n"/>
      <c r="S79" s="267" t="n"/>
      <c r="T79" s="139" t="n"/>
      <c r="U79" s="39" t="n"/>
      <c r="V79" s="267" t="n"/>
      <c r="W79" s="139" t="n"/>
      <c r="X79" s="39" t="n"/>
      <c r="Y79" s="267" t="n"/>
      <c r="Z79" s="139" t="n"/>
      <c r="AA79" s="39" t="n"/>
      <c r="AB79" s="267" t="n"/>
      <c r="AC79" s="139" t="n"/>
      <c r="AD79" s="39" t="n"/>
      <c r="AE79" s="267" t="n"/>
      <c r="AF79" s="139" t="n"/>
      <c r="AG79" s="785" t="n"/>
      <c r="AH79" s="267" t="n"/>
      <c r="AI79" s="139" t="n"/>
      <c r="AJ79" s="7" t="n"/>
      <c r="AK79" s="69" t="n"/>
      <c r="AL79" s="1077" t="n"/>
      <c r="AM79" s="205">
        <f>C79+F79+I79+L79+O79+R79+U79+X79+AA79+AD79+AG79+AJ79</f>
        <v/>
      </c>
      <c r="AN79" s="4">
        <f>AM79/AM12</f>
        <v/>
      </c>
      <c r="AO79" s="1078">
        <f>AM79/(AM$13)</f>
        <v/>
      </c>
      <c r="AP79" s="698" t="n">
        <v>267.3668938193774</v>
      </c>
    </row>
    <row r="80" ht="15" customHeight="1" s="985">
      <c r="B80" s="475" t="inlineStr">
        <is>
          <t>Personal Supervisor - Coordinadores</t>
        </is>
      </c>
      <c r="C80" s="25">
        <f>'[21]Hoja 1'!$D$21+'[53]Hoja 1'!$I$11+'[24]Hoja 1'!$I$24</f>
        <v/>
      </c>
      <c r="D80" s="43" t="n"/>
      <c r="E80" s="1045" t="n"/>
      <c r="F80" s="25">
        <f>'[29]Hoja 1'!$D$22+'[33]Hoja 1'!$I$19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81" t="n"/>
      <c r="AK80" s="43" t="n"/>
      <c r="AL80" s="1045" t="n"/>
      <c r="AM80" s="205">
        <f>C80+F80+I80+L80+O80+R80+U80+X80+AA80+AD80+AG80+AJ80</f>
        <v/>
      </c>
      <c r="AN80" s="43">
        <f>AM80/AM12</f>
        <v/>
      </c>
      <c r="AO80" s="1046">
        <f>AM80/(AM$13)</f>
        <v/>
      </c>
    </row>
    <row r="81" ht="15" customHeight="1" s="985" thickBot="1">
      <c r="A81" s="226" t="inlineStr">
        <is>
          <t xml:space="preserve">72959501            </t>
        </is>
      </c>
      <c r="B81" s="300" t="inlineStr">
        <is>
          <t>Cuota de Apoyo y Sostenimiento (SENA)</t>
        </is>
      </c>
      <c r="C81" s="269">
        <f>'[9]Hoja 1'!$C$436+'[1]Hoja 1'!$D$27</f>
        <v/>
      </c>
      <c r="D81" s="214" t="n"/>
      <c r="E81" s="1079" t="n"/>
      <c r="F81" s="269">
        <f>'[10]Hoja 1'!$C$403+'[10]Hoja 1'!$C$410</f>
        <v/>
      </c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1079" t="n"/>
      <c r="AM81" s="213">
        <f>C81+F81+I81+L81+O81+R81+U81+X81+AA81+AD81+AG81+AJ81</f>
        <v/>
      </c>
      <c r="AN81" s="214" t="n"/>
      <c r="AO81" s="1080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1067" t="n"/>
      <c r="AM82" s="136" t="n"/>
      <c r="AN82" s="2" t="n"/>
      <c r="AO82" s="1067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 t="n"/>
      <c r="AJ84" s="49">
        <f>SUM(AJ85:AJ88)</f>
        <v/>
      </c>
      <c r="AK84" s="3" t="n"/>
      <c r="AL84" s="1053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5">
      <c r="B85" s="284" t="inlineStr">
        <is>
          <t>Costos Indirectos de Personal</t>
        </is>
      </c>
      <c r="C85" s="39">
        <f>'[21]Hoja 1'!$D$20+'[55]Hoja 1'!$D$9+'[53]Hoja 1'!$I$9+'[3]Hoja 1'!$D$15+'[24]Hoja 1'!$D$16+'[24]Hoja 1'!$I$22</f>
        <v/>
      </c>
      <c r="D85" s="69" t="n"/>
      <c r="E85" s="1077" t="n"/>
      <c r="F85" s="39">
        <f>'[29]Hoja 1'!$D$21+'[6]Hoja 1'!$D$18-228123+'[33]Hoja 1'!$I$17-1342558</f>
        <v/>
      </c>
      <c r="G85" s="69" t="n"/>
      <c r="H85" s="1077" t="n"/>
      <c r="I85" s="39" t="n"/>
      <c r="J85" s="69" t="n"/>
      <c r="K85" s="70" t="n"/>
      <c r="L85" s="39" t="n"/>
      <c r="M85" s="69" t="n"/>
      <c r="N85" s="70" t="n"/>
      <c r="O85" s="39" t="n"/>
      <c r="P85" s="69" t="n"/>
      <c r="Q85" s="70" t="n"/>
      <c r="R85" s="39" t="n"/>
      <c r="S85" s="69" t="n"/>
      <c r="T85" s="70" t="n"/>
      <c r="U85" s="39" t="n"/>
      <c r="V85" s="69" t="n"/>
      <c r="W85" s="70" t="n"/>
      <c r="X85" s="39" t="n"/>
      <c r="Y85" s="69" t="n"/>
      <c r="Z85" s="70" t="n"/>
      <c r="AA85" s="39" t="n"/>
      <c r="AB85" s="69" t="n"/>
      <c r="AC85" s="70" t="n"/>
      <c r="AD85" s="39" t="n"/>
      <c r="AE85" s="69" t="n"/>
      <c r="AF85" s="70" t="n"/>
      <c r="AG85" s="39" t="n"/>
      <c r="AH85" s="69" t="n"/>
      <c r="AI85" s="70" t="n"/>
      <c r="AJ85" s="39" t="n"/>
      <c r="AK85" s="69" t="n"/>
      <c r="AL85" s="1077" t="n"/>
      <c r="AM85" s="209">
        <f>C85+F85+I85+L85+O85+R85+U85+X85+AA85+AD85+AG85+AJ85</f>
        <v/>
      </c>
      <c r="AN85" s="69" t="n"/>
      <c r="AO85" s="1077">
        <f>AM85/(AM$13)</f>
        <v/>
      </c>
    </row>
    <row r="86" ht="15" customHeight="1" s="985">
      <c r="A86" s="226" t="inlineStr">
        <is>
          <t xml:space="preserve">51055101            </t>
        </is>
      </c>
      <c r="B86" s="24" t="inlineStr">
        <is>
          <t>Dotación y Suministros</t>
        </is>
      </c>
      <c r="C86" s="25" t="n"/>
      <c r="D86" s="43" t="n"/>
      <c r="E86" s="1045" t="n"/>
      <c r="F86" s="25">
        <f>'[19]Hoja 1'!$C$151+'[19]Hoja 1'!$C$193</f>
        <v/>
      </c>
      <c r="G86" s="43" t="n"/>
      <c r="H86" s="1045" t="n"/>
      <c r="I86" s="25" t="n"/>
      <c r="J86" s="43" t="n"/>
      <c r="K86" s="57" t="n"/>
      <c r="L86" s="25" t="n"/>
      <c r="M86" s="43" t="n"/>
      <c r="N86" s="57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81" t="n"/>
      <c r="Y86" s="43" t="n"/>
      <c r="Z86" s="272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45" t="n"/>
      <c r="AM86" s="25">
        <f>C86+F86+I86+L86+O86+R86+U86+X86+AA86+AD86+AG86+AJ86</f>
        <v/>
      </c>
      <c r="AN86" s="43" t="n"/>
      <c r="AO86" s="1045">
        <f>AM86/AM13</f>
        <v/>
      </c>
    </row>
    <row r="87" ht="15" customHeight="1" s="985">
      <c r="B87" s="24" t="inlineStr">
        <is>
          <t>Gastos Medicos</t>
        </is>
      </c>
      <c r="C87" s="25">
        <f>'[9]Hoja 1'!$C$485+'[15]Hoja 1'!$C$88</f>
        <v/>
      </c>
      <c r="D87" s="43" t="n"/>
      <c r="E87" s="1045" t="n"/>
      <c r="F87" s="25">
        <f>'[10]Hoja 1'!$C$458</f>
        <v/>
      </c>
      <c r="G87" s="43" t="n"/>
      <c r="H87" s="1045" t="n"/>
      <c r="I87" s="25" t="n"/>
      <c r="J87" s="43" t="n"/>
      <c r="K87" s="57" t="n"/>
      <c r="L87" s="25" t="n"/>
      <c r="M87" s="43" t="n"/>
      <c r="N87" s="57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81" t="n"/>
      <c r="AH87" s="43" t="n"/>
      <c r="AI87" s="57" t="n"/>
      <c r="AJ87" s="25" t="n"/>
      <c r="AK87" s="43" t="n"/>
      <c r="AL87" s="1045" t="n"/>
      <c r="AM87" s="25">
        <f>C87+F87+I87+L87+O87+R87+U87+X87+AA87+AD87+AG87+AJ87</f>
        <v/>
      </c>
      <c r="AN87" s="43" t="n"/>
      <c r="AO87" s="1045">
        <f>AM87/(AM$13)</f>
        <v/>
      </c>
    </row>
    <row r="88" ht="15" customHeight="1" s="985">
      <c r="A88" s="226" t="inlineStr">
        <is>
          <t xml:space="preserve">53954002            </t>
        </is>
      </c>
      <c r="B88" s="430" t="inlineStr">
        <is>
          <t>Incapacidades</t>
        </is>
      </c>
      <c r="C88" s="273" t="n"/>
      <c r="D88" s="134" t="n"/>
      <c r="E88" s="1118" t="n"/>
      <c r="F88" s="273">
        <f>'[19]Hoja 1'!$C$167</f>
        <v/>
      </c>
      <c r="G88" s="134" t="n"/>
      <c r="H88" s="1118" t="n"/>
      <c r="I88" s="273" t="n"/>
      <c r="J88" s="134" t="n"/>
      <c r="K88" s="1118" t="n"/>
      <c r="L88" s="273" t="n"/>
      <c r="M88" s="134" t="n"/>
      <c r="N88" s="1118" t="n"/>
      <c r="O88" s="273" t="n"/>
      <c r="P88" s="134" t="n"/>
      <c r="Q88" s="1118" t="n"/>
      <c r="R88" s="273" t="n"/>
      <c r="S88" s="134" t="n"/>
      <c r="T88" s="1118" t="n"/>
      <c r="U88" s="273" t="n"/>
      <c r="V88" s="134" t="n"/>
      <c r="W88" s="1118" t="n"/>
      <c r="X88" s="273" t="n"/>
      <c r="Y88" s="134" t="n"/>
      <c r="Z88" s="1118" t="n"/>
      <c r="AA88" s="273" t="n"/>
      <c r="AB88" s="134" t="n"/>
      <c r="AC88" s="1118" t="n"/>
      <c r="AD88" s="273" t="n"/>
      <c r="AE88" s="134" t="n"/>
      <c r="AF88" s="1118" t="n"/>
      <c r="AG88" s="273" t="n"/>
      <c r="AH88" s="134" t="n"/>
      <c r="AI88" s="1118" t="n"/>
      <c r="AJ88" s="273" t="n"/>
      <c r="AK88" s="134" t="n"/>
      <c r="AL88" s="1118" t="n"/>
      <c r="AM88" s="430">
        <f>C88+F88+I88+L88+O88+R88+U88+X88+AA88+AD88+AG88+AJ88</f>
        <v/>
      </c>
      <c r="AN88" s="134" t="n"/>
      <c r="AO88" s="1048" t="n"/>
    </row>
    <row r="89" ht="15" customHeight="1" s="985">
      <c r="B89" s="16" t="inlineStr">
        <is>
          <t>HONORARIOS</t>
        </is>
      </c>
      <c r="C89" s="90">
        <f>SUM(C90:C91)</f>
        <v/>
      </c>
      <c r="D89" s="3" t="n"/>
      <c r="E89" s="1053">
        <f>C89/(C$13)</f>
        <v/>
      </c>
      <c r="F89" s="90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 t="n"/>
      <c r="AJ89" s="49">
        <f>SUM(AJ90:AJ91)</f>
        <v/>
      </c>
      <c r="AK89" s="3" t="n"/>
      <c r="AL89" s="1053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1077" t="n"/>
      <c r="AM90" s="209">
        <f>C90+F90+I90+L90+O90+R90+U90+X90+AA90+AD90+AG90+AJ90</f>
        <v/>
      </c>
      <c r="AN90" s="69" t="n"/>
      <c r="AO90" s="1082" t="n"/>
    </row>
    <row r="91" outlineLevel="1" ht="15" customHeight="1" s="985">
      <c r="B91" s="83" t="inlineStr">
        <is>
          <t>Asesoría Tecnica/Capacitacion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1047" t="n"/>
      <c r="AM91" s="206">
        <f>C91+F91+I91+L91+O91+R91+U91+X91+AA91+AD91+AG91+AJ91</f>
        <v/>
      </c>
      <c r="AN91" s="84" t="n"/>
      <c r="AO91" s="1048" t="n"/>
    </row>
    <row r="92" ht="15" customHeight="1" s="985">
      <c r="B92" s="16" t="inlineStr">
        <is>
          <t>ARRENDAMIENTOS</t>
        </is>
      </c>
      <c r="C92" s="90">
        <f>SUM(C93:C95)</f>
        <v/>
      </c>
      <c r="D92" s="3" t="n"/>
      <c r="E92" s="1053">
        <f>C92/(C$13)</f>
        <v/>
      </c>
      <c r="F92" s="90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 t="n"/>
      <c r="AJ92" s="49">
        <f>SUM(AJ93:AJ95)</f>
        <v/>
      </c>
      <c r="AK92" s="3" t="n"/>
      <c r="AL92" s="1053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5">
      <c r="B93" s="39" t="inlineStr">
        <is>
          <t>Construcciones y Edificaciones</t>
        </is>
      </c>
      <c r="C93" s="39">
        <f>'[9]Hoja 1'!$C$489</f>
        <v/>
      </c>
      <c r="D93" s="69" t="n"/>
      <c r="E93" s="1077" t="n"/>
      <c r="F93" s="39">
        <f>'[10]Hoja 1'!$C$462</f>
        <v/>
      </c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1077" t="n"/>
      <c r="AM93" s="209">
        <f>C93+F93+I93+L93+O93+R93+U93+X93+AA93+AD93+AG93+AJ93</f>
        <v/>
      </c>
      <c r="AN93" s="69" t="n"/>
      <c r="AO93" s="1082" t="n"/>
      <c r="AP93" s="1192" t="n"/>
    </row>
    <row r="94" outlineLevel="1" ht="15" customHeight="1" s="985">
      <c r="B94" s="39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1045" t="n"/>
      <c r="AM94" s="205">
        <f>C94+F94+I94+L94+O94+R94+U94+X94+AA94+AD94+AG94+AJ94</f>
        <v/>
      </c>
      <c r="AN94" s="43" t="n"/>
      <c r="AO94" s="1046" t="n"/>
    </row>
    <row r="95" outlineLevel="1" ht="15" customHeight="1" s="985">
      <c r="B95" s="39" t="inlineStr">
        <is>
          <t>Equipo de Oficina</t>
        </is>
      </c>
      <c r="C95" s="25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1073" t="n"/>
      <c r="AM95" s="26">
        <f>C95+F95+I95+L95+O95+R95+U95+X95+AA95+AD95+AG95+AJ95</f>
        <v/>
      </c>
      <c r="AN95" s="45" t="n"/>
      <c r="AO95" s="1083" t="n"/>
    </row>
    <row r="96" ht="15" customHeight="1" s="985">
      <c r="B96" s="106" t="inlineStr">
        <is>
          <t>SEGUROS</t>
        </is>
      </c>
      <c r="C96" s="90">
        <f>SUM(C97:C98)</f>
        <v/>
      </c>
      <c r="D96" s="3" t="n"/>
      <c r="E96" s="1053">
        <f>C96/(C$13)</f>
        <v/>
      </c>
      <c r="F96" s="90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1053" t="n"/>
      <c r="AM96" s="16">
        <f>C96+F96+I96+L96+O96+R96+U96+X96+AA96+AD96+AG96+AJ96</f>
        <v/>
      </c>
      <c r="AN96" s="3" t="n"/>
      <c r="AO96" s="1076">
        <f>AM96/(AM$13)</f>
        <v/>
      </c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963">
        <f>'[47]Hoja 1'!$C$535+'[15]Hoja 1'!$C$92</f>
        <v/>
      </c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1077" t="n"/>
      <c r="AM97" s="209">
        <f>C97+F97+I97+L97+O97+R97+U97+X97+AA97+AD97+AG97+AJ97</f>
        <v/>
      </c>
      <c r="AN97" s="69" t="n"/>
      <c r="AO97" s="1082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Responsabilidad Civil Y Extracontractual</t>
        </is>
      </c>
      <c r="C98" s="275">
        <f>'[15]Hoja 1'!$C$94</f>
        <v/>
      </c>
      <c r="D98" s="276" t="n"/>
      <c r="E98" s="1084" t="n"/>
      <c r="F98" s="83" t="n"/>
      <c r="G98" s="84" t="n"/>
      <c r="H98" s="1047" t="n"/>
      <c r="I98" s="83" t="n"/>
      <c r="J98" s="84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1084" t="n"/>
      <c r="AM98" s="278">
        <f>C98+F98+I98+L98+O98+R98+U98+X98+AA98+AD98+AG98+AJ98</f>
        <v/>
      </c>
      <c r="AN98" s="276" t="n"/>
      <c r="AO98" s="1085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1053">
        <f>F99/(F$13)</f>
        <v/>
      </c>
      <c r="I99" s="49">
        <f>SUM(I100:I108)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1053" t="n"/>
      <c r="AM99" s="16">
        <f>C99+F99+I99+L99+O99+R99+U99+X99+AA99+AD99+AG99+AJ99</f>
        <v/>
      </c>
      <c r="AN99" s="3" t="n"/>
      <c r="AO99" s="1076">
        <f>AM99/(AM$13)</f>
        <v/>
      </c>
      <c r="AP99" s="1193" t="n">
        <v>1.051</v>
      </c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077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5">
      <c r="B101" s="25" t="inlineStr">
        <is>
          <t>Temporales Serv</t>
        </is>
      </c>
      <c r="C101" s="25" t="n"/>
      <c r="D101" s="43" t="n"/>
      <c r="E101" s="1045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45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45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5">
      <c r="A103" s="226" t="inlineStr">
        <is>
          <t xml:space="preserve">73351502            </t>
        </is>
      </c>
      <c r="B103" s="25" t="inlineStr">
        <is>
          <t>Laboratorio</t>
        </is>
      </c>
      <c r="C103" s="25" t="n"/>
      <c r="D103" s="43" t="n"/>
      <c r="E103" s="1045" t="n"/>
      <c r="F103" s="25">
        <f>'[19]Hoja 1'!C209</f>
        <v/>
      </c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1045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5">
      <c r="A104" s="226" t="inlineStr">
        <is>
          <t xml:space="preserve">73351503            </t>
        </is>
      </c>
      <c r="B104" s="25" t="inlineStr">
        <is>
          <t>Fumigacion</t>
        </is>
      </c>
      <c r="C104" s="25">
        <f>'[15]Hoja 1'!$C$97</f>
        <v/>
      </c>
      <c r="D104" s="43" t="n"/>
      <c r="E104" s="1045" t="n"/>
      <c r="F104" s="25">
        <f>'[19]Hoja 1'!C210</f>
        <v/>
      </c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1045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5">
      <c r="A105" s="226" t="inlineStr">
        <is>
          <t xml:space="preserve">73352501            </t>
        </is>
      </c>
      <c r="B105" s="25" t="inlineStr">
        <is>
          <t>Acueducto y Alcantarillado</t>
        </is>
      </c>
      <c r="C105" s="25">
        <f>'[9]Hoja 1'!$C$492+'[15]Hoja 1'!$C$99</f>
        <v/>
      </c>
      <c r="D105" s="43" t="n"/>
      <c r="E105" s="1045" t="n"/>
      <c r="F105" s="25">
        <f>'[10]Hoja 1'!$C$465+'[19]Hoja 1'!$C$212</f>
        <v/>
      </c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1045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5">
      <c r="A106" s="226" t="inlineStr">
        <is>
          <t xml:space="preserve">73353001            </t>
        </is>
      </c>
      <c r="B106" s="25" t="inlineStr">
        <is>
          <t>Energia</t>
        </is>
      </c>
      <c r="C106" s="25">
        <f>'[9]Hoja 1'!$C$494+'[15]Hoja 1'!$C$101</f>
        <v/>
      </c>
      <c r="D106" s="43" t="n"/>
      <c r="E106" s="1045" t="n"/>
      <c r="F106" s="25">
        <f>'[10]Hoja 1'!$C$467+'[19]Hoja 1'!$C$214</f>
        <v/>
      </c>
      <c r="G106" s="43" t="n"/>
      <c r="H106" s="1045" t="n"/>
      <c r="I106" s="25" t="n"/>
      <c r="J106" s="43" t="n"/>
      <c r="K106" s="1045" t="n"/>
      <c r="L106" s="25" t="n"/>
      <c r="M106" s="43" t="n"/>
      <c r="N106" s="1045" t="n"/>
      <c r="O106" s="25" t="n"/>
      <c r="P106" s="43" t="n"/>
      <c r="Q106" s="1045" t="n"/>
      <c r="R106" s="25" t="n"/>
      <c r="S106" s="43" t="n"/>
      <c r="T106" s="1045" t="n"/>
      <c r="U106" s="25" t="n"/>
      <c r="V106" s="43" t="n"/>
      <c r="W106" s="1045" t="n"/>
      <c r="X106" s="25" t="n"/>
      <c r="Y106" s="43" t="n"/>
      <c r="Z106" s="1045" t="n"/>
      <c r="AA106" s="25" t="n"/>
      <c r="AB106" s="43" t="n"/>
      <c r="AC106" s="1045" t="n"/>
      <c r="AD106" s="25" t="n"/>
      <c r="AE106" s="43" t="n"/>
      <c r="AF106" s="1045" t="n"/>
      <c r="AG106" s="25" t="n"/>
      <c r="AH106" s="43" t="n"/>
      <c r="AI106" s="1045" t="n"/>
      <c r="AJ106" s="25" t="n"/>
      <c r="AK106" s="43" t="n"/>
      <c r="AL106" s="1045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5">
      <c r="A107" s="226" t="inlineStr">
        <is>
          <t xml:space="preserve">73353501            </t>
        </is>
      </c>
      <c r="B107" s="205" t="inlineStr">
        <is>
          <t>Telefono e Internet</t>
        </is>
      </c>
      <c r="C107" s="25">
        <f>'[9]Hoja 1'!$C$496</f>
        <v/>
      </c>
      <c r="D107" s="43" t="n"/>
      <c r="E107" s="1045" t="n"/>
      <c r="F107" s="25">
        <f>'[10]Hoja 1'!$C$469</f>
        <v/>
      </c>
      <c r="G107" s="43" t="n"/>
      <c r="H107" s="1045" t="n"/>
      <c r="I107" s="25" t="n"/>
      <c r="J107" s="43" t="n"/>
      <c r="K107" s="1045" t="n"/>
      <c r="L107" s="25" t="n"/>
      <c r="M107" s="43" t="n"/>
      <c r="N107" s="1045" t="n"/>
      <c r="O107" s="25" t="n"/>
      <c r="P107" s="43" t="n"/>
      <c r="Q107" s="1045" t="n"/>
      <c r="R107" s="25" t="n"/>
      <c r="S107" s="43" t="n"/>
      <c r="T107" s="1045" t="n"/>
      <c r="U107" s="25" t="n"/>
      <c r="V107" s="43" t="n"/>
      <c r="W107" s="1045" t="n"/>
      <c r="X107" s="25" t="n"/>
      <c r="Y107" s="43" t="n"/>
      <c r="Z107" s="1045" t="n"/>
      <c r="AA107" s="25" t="n"/>
      <c r="AB107" s="43" t="n"/>
      <c r="AC107" s="1045" t="n"/>
      <c r="AD107" s="25" t="n"/>
      <c r="AE107" s="43" t="n"/>
      <c r="AF107" s="1045" t="n"/>
      <c r="AG107" s="25" t="n"/>
      <c r="AH107" s="43" t="n"/>
      <c r="AI107" s="1045" t="n"/>
      <c r="AJ107" s="25" t="n"/>
      <c r="AK107" s="43" t="n"/>
      <c r="AL107" s="1045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5">
      <c r="A108" s="226" t="inlineStr">
        <is>
          <t xml:space="preserve">73354001            </t>
        </is>
      </c>
      <c r="B108" s="349" t="inlineStr">
        <is>
          <t>Correo, porte y telegramas</t>
        </is>
      </c>
      <c r="C108" s="2">
        <f>'[15]Hoja 1'!$C$103</f>
        <v/>
      </c>
      <c r="D108" s="42" t="n"/>
      <c r="E108" s="1057" t="n"/>
      <c r="F108" s="2">
        <f>'[19]Hoja 1'!$C$216</f>
        <v/>
      </c>
      <c r="G108" s="42" t="n"/>
      <c r="H108" s="1057" t="n"/>
      <c r="I108" s="2" t="n"/>
      <c r="J108" s="42" t="n"/>
      <c r="K108" s="1057" t="n"/>
      <c r="L108" s="2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" t="n"/>
      <c r="AH108" s="42" t="n"/>
      <c r="AI108" s="1057" t="n"/>
      <c r="AJ108" s="2" t="n"/>
      <c r="AK108" s="42" t="n"/>
      <c r="AL108" s="1057" t="n"/>
      <c r="AM108" s="97">
        <f>C108+F108+I108+L108+O108+R108+U108+X108+AA108+AD108+AG108+AJ108</f>
        <v/>
      </c>
      <c r="AN108" s="42" t="n"/>
      <c r="AO108" s="1058" t="n"/>
    </row>
    <row r="109" ht="15" customHeight="1" s="985">
      <c r="B109" s="16" t="inlineStr">
        <is>
          <t>GASTOS LEGALES</t>
        </is>
      </c>
      <c r="C109" s="90">
        <f>SUM(C110:C113)</f>
        <v/>
      </c>
      <c r="D109" s="3" t="n"/>
      <c r="E109" s="1053">
        <f>C109/(C$13)</f>
        <v/>
      </c>
      <c r="F109" s="90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 t="n"/>
      <c r="AJ109" s="49">
        <f>SUM(AJ110:AJ113)</f>
        <v/>
      </c>
      <c r="AK109" s="3" t="n"/>
      <c r="AL109" s="1053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5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1077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5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1045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5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1045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5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962">
        <f>'[47]Hoja 1'!$C$538</f>
        <v/>
      </c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1073" t="n"/>
      <c r="AM113" s="26">
        <f>C113+F113+I113+L113+O113+R113+U113+X113+AA113+AD113+AG113+AJ113</f>
        <v/>
      </c>
      <c r="AN113" s="45" t="n"/>
      <c r="AO113" s="1083" t="n"/>
    </row>
    <row r="114" ht="15" customHeight="1" s="985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053">
        <f>C114/(C$13)</f>
        <v/>
      </c>
      <c r="F114" s="49">
        <f>SUM(F115:F119)</f>
        <v/>
      </c>
      <c r="G114" s="3" t="n"/>
      <c r="H114" s="1053">
        <f>F114/(F$13)</f>
        <v/>
      </c>
      <c r="I114" s="49">
        <f>SUM(I115:I119)</f>
        <v/>
      </c>
      <c r="J114" s="3" t="n"/>
      <c r="K114" s="1053">
        <f>I114/(I$13)</f>
        <v/>
      </c>
      <c r="L114" s="49">
        <f>SUM(L115:L119)</f>
        <v/>
      </c>
      <c r="M114" s="3" t="n"/>
      <c r="N114" s="1053">
        <f>L114/(L$13)</f>
        <v/>
      </c>
      <c r="O114" s="49">
        <f>SUM(O115:O119)</f>
        <v/>
      </c>
      <c r="P114" s="3" t="n"/>
      <c r="Q114" s="1053">
        <f>O114/(O$13)</f>
        <v/>
      </c>
      <c r="R114" s="90">
        <f>SUM(R115:R119)</f>
        <v/>
      </c>
      <c r="S114" s="3" t="n"/>
      <c r="T114" s="1053">
        <f>R114/(R$13)</f>
        <v/>
      </c>
      <c r="U114" s="49">
        <f>SUM(U115:U119)</f>
        <v/>
      </c>
      <c r="V114" s="3" t="n"/>
      <c r="W114" s="1053">
        <f>U114/(U$13)</f>
        <v/>
      </c>
      <c r="X114" s="49">
        <f>SUM(X115:X119)</f>
        <v/>
      </c>
      <c r="Y114" s="3" t="n"/>
      <c r="Z114" s="1053">
        <f>X114/(X$13)</f>
        <v/>
      </c>
      <c r="AA114" s="49">
        <f>SUM(AA115:AA119)</f>
        <v/>
      </c>
      <c r="AB114" s="3" t="n"/>
      <c r="AC114" s="1053">
        <f>AA114/(AA$13)</f>
        <v/>
      </c>
      <c r="AD114" s="49">
        <f>SUM(AD115:AD119)</f>
        <v/>
      </c>
      <c r="AE114" s="3" t="n"/>
      <c r="AF114" s="1053">
        <f>AD114/(AD$13)</f>
        <v/>
      </c>
      <c r="AG114" s="49">
        <f>SUM(AG115:AG119)</f>
        <v/>
      </c>
      <c r="AH114" s="3" t="n"/>
      <c r="AI114" s="1053" t="n"/>
      <c r="AJ114" s="49">
        <f>SUM(AJ115:AJ119)</f>
        <v/>
      </c>
      <c r="AK114" s="3" t="n"/>
      <c r="AL114" s="1053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outlineLevel="1" ht="15" customHeight="1" s="985">
      <c r="A115" s="226" t="inlineStr">
        <is>
          <t xml:space="preserve">73451001            </t>
        </is>
      </c>
      <c r="B115" s="205" t="inlineStr">
        <is>
          <t xml:space="preserve">Construcciones y Edificaciones          </t>
        </is>
      </c>
      <c r="C115" s="39" t="n"/>
      <c r="D115" s="69" t="n"/>
      <c r="E115" s="1077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902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055" t="n"/>
      <c r="AJ115" s="786" t="n"/>
      <c r="AK115" s="79" t="n"/>
      <c r="AL115" s="1077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5">
      <c r="A116" s="226" t="inlineStr">
        <is>
          <t xml:space="preserve">73451501            </t>
        </is>
      </c>
      <c r="B116" s="20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45" t="n"/>
      <c r="AJ116" s="25" t="n"/>
      <c r="AK116" s="43" t="n"/>
      <c r="AL116" s="1045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5">
      <c r="A117" s="226" t="inlineStr">
        <is>
          <t xml:space="preserve">73451502            </t>
        </is>
      </c>
      <c r="B117" s="205" t="inlineStr">
        <is>
          <t>Equipos de Cocina</t>
        </is>
      </c>
      <c r="C117" s="25">
        <f>'[15]Hoja 1'!$C$112</f>
        <v/>
      </c>
      <c r="D117" s="43" t="n"/>
      <c r="E117" s="1045" t="n"/>
      <c r="F117" s="25">
        <f>'[19]Hoja 1'!$C$223</f>
        <v/>
      </c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45" t="n"/>
      <c r="AJ117" s="25" t="n"/>
      <c r="AK117" s="43" t="n"/>
      <c r="AL117" s="1045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5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91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45" t="n"/>
      <c r="AJ118" s="25" t="n"/>
      <c r="AK118" s="43" t="n"/>
      <c r="AL118" s="1045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5">
      <c r="A119" s="226" t="inlineStr">
        <is>
          <t xml:space="preserve">73456001            </t>
        </is>
      </c>
      <c r="B119" s="205" t="inlineStr">
        <is>
          <t>Planta Plan Basico de Saneamiento</t>
        </is>
      </c>
      <c r="C119" s="22" t="n"/>
      <c r="D119" s="42" t="n"/>
      <c r="E119" s="1057" t="n"/>
      <c r="F119" s="83" t="n"/>
      <c r="G119" s="84" t="n"/>
      <c r="H119" s="1047" t="n"/>
      <c r="I119" s="83" t="n"/>
      <c r="J119" s="84" t="n"/>
      <c r="K119" s="1047" t="n"/>
      <c r="L119" s="83" t="n"/>
      <c r="M119" s="84" t="n"/>
      <c r="N119" s="1047" t="n"/>
      <c r="O119" s="901" t="n"/>
      <c r="P119" s="84" t="n"/>
      <c r="Q119" s="1047" t="n"/>
      <c r="R119" s="83" t="n"/>
      <c r="S119" s="84" t="n"/>
      <c r="T119" s="1047" t="n"/>
      <c r="U119" s="83" t="n"/>
      <c r="V119" s="84" t="n"/>
      <c r="W119" s="1047" t="n"/>
      <c r="X119" s="83" t="n"/>
      <c r="Y119" s="84" t="n"/>
      <c r="Z119" s="1047" t="n"/>
      <c r="AA119" s="83" t="n"/>
      <c r="AB119" s="84" t="n"/>
      <c r="AC119" s="1047" t="n"/>
      <c r="AD119" s="83" t="n"/>
      <c r="AE119" s="84" t="n"/>
      <c r="AF119" s="1047" t="n"/>
      <c r="AG119" s="83" t="n"/>
      <c r="AH119" s="84" t="n"/>
      <c r="AI119" s="1047" t="n"/>
      <c r="AJ119" s="783" t="n"/>
      <c r="AK119" s="84" t="n"/>
      <c r="AL119" s="1057" t="n"/>
      <c r="AM119" s="97">
        <f>C119+F119+I119+L119+O119+R119+U119+X119+AA119+AD119+AG119+AJ119</f>
        <v/>
      </c>
      <c r="AN119" s="42" t="n"/>
      <c r="AO119" s="1058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SUM(F121:F122)</f>
        <v/>
      </c>
      <c r="G120" s="3" t="n"/>
      <c r="H120" s="1053">
        <f>F120/(F$13)</f>
        <v/>
      </c>
      <c r="I120" s="49">
        <f>SUM(I121:I122)</f>
        <v/>
      </c>
      <c r="J120" s="3" t="n"/>
      <c r="K120" s="1053">
        <f>I120/(I$13)</f>
        <v/>
      </c>
      <c r="L120" s="49">
        <f>SUM(L121:L122)</f>
        <v/>
      </c>
      <c r="M120" s="3" t="n"/>
      <c r="N120" s="1053">
        <f>L120/(L$13)</f>
        <v/>
      </c>
      <c r="O120" s="49">
        <f>SUM(O121:O122)</f>
        <v/>
      </c>
      <c r="P120" s="3" t="n"/>
      <c r="Q120" s="1053">
        <f>O120/(O$13)</f>
        <v/>
      </c>
      <c r="R120" s="90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SUM(AA121:AA122)</f>
        <v/>
      </c>
      <c r="AB120" s="3" t="n"/>
      <c r="AC120" s="1053">
        <f>AA120/(AA$13)</f>
        <v/>
      </c>
      <c r="AD120" s="49">
        <f>SUM(AD121:AD122)</f>
        <v/>
      </c>
      <c r="AE120" s="3" t="n"/>
      <c r="AF120" s="1053">
        <f>AD120/(AD$13)</f>
        <v/>
      </c>
      <c r="AG120" s="49">
        <f>SUM(AG121:AG122)</f>
        <v/>
      </c>
      <c r="AH120" s="3" t="n"/>
      <c r="AI120" s="1053" t="n"/>
      <c r="AJ120" s="49">
        <f>SUM(AJ121:AJ122)</f>
        <v/>
      </c>
      <c r="AK120" s="3" t="n"/>
      <c r="AL120" s="1053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5">
      <c r="A121" s="226" t="inlineStr">
        <is>
          <t xml:space="preserve">73500501            </t>
        </is>
      </c>
      <c r="B121" s="205" t="inlineStr">
        <is>
          <t>Instalaciones Electricas</t>
        </is>
      </c>
      <c r="C121" s="353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1077" t="n"/>
      <c r="AM121" s="209">
        <f>C121+F121+I121+L121+O121+R121+U121+X121+AA121+AD121+AG121+AJ121</f>
        <v/>
      </c>
      <c r="AN121" s="69" t="n"/>
      <c r="AO121" s="1082" t="n"/>
    </row>
    <row r="122" ht="15" customHeight="1" s="985">
      <c r="A122" s="226" t="inlineStr">
        <is>
          <t xml:space="preserve">73501501            </t>
        </is>
      </c>
      <c r="B122" s="205" t="inlineStr">
        <is>
          <t>Reparaciones Locativas</t>
        </is>
      </c>
      <c r="C122" s="354" t="n"/>
      <c r="D122" s="92" t="n"/>
      <c r="E122" s="1063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47" t="n"/>
      <c r="AJ122" s="83" t="n"/>
      <c r="AK122" s="84" t="n"/>
      <c r="AL122" s="1047" t="n"/>
      <c r="AM122" s="206">
        <f>C122+F122+I122+L122+O122+R122+U122+X122+AA122+AD122+AG122+AJ122</f>
        <v/>
      </c>
      <c r="AN122" s="84" t="n"/>
      <c r="AO122" s="1064" t="n"/>
    </row>
    <row r="123" ht="15" customHeight="1" s="985">
      <c r="B123" s="16" t="inlineStr">
        <is>
          <t>GASTOS DE VIAJE</t>
        </is>
      </c>
      <c r="C123" s="90">
        <f>SUM(C124:C126)</f>
        <v/>
      </c>
      <c r="D123" s="3" t="n"/>
      <c r="E123" s="1053">
        <f>C123/(C$13)</f>
        <v/>
      </c>
      <c r="F123" s="90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>
        <f>SUM(AD124:AD126)</f>
        <v/>
      </c>
      <c r="AE123" s="3" t="n"/>
      <c r="AF123" s="1053">
        <f>AD123/(AD$13)</f>
        <v/>
      </c>
      <c r="AG123" s="49">
        <f>SUM(AG124:AG126)</f>
        <v/>
      </c>
      <c r="AH123" s="3" t="n"/>
      <c r="AI123" s="1053" t="n"/>
      <c r="AJ123" s="49">
        <f>SUM(AJ124:AJ126)</f>
        <v/>
      </c>
      <c r="AK123" s="3" t="n"/>
      <c r="AL123" s="1053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5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1077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5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1045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5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1073" t="n"/>
      <c r="AM126" s="26">
        <f>C126+F126+I126+L126+O126+R126+U126+X126+AA126+AD126+AG126+AJ126</f>
        <v/>
      </c>
      <c r="AN126" s="45" t="n"/>
      <c r="AO126" s="1083" t="n"/>
    </row>
    <row r="127" ht="15" customHeight="1" s="985">
      <c r="B127" s="16" t="inlineStr">
        <is>
          <t>DIVERSOS</t>
        </is>
      </c>
      <c r="C127" s="90">
        <f>SUM(C128:C142)</f>
        <v/>
      </c>
      <c r="D127" s="3" t="n"/>
      <c r="E127" s="1053">
        <f>C127/(C$13)</f>
        <v/>
      </c>
      <c r="F127" s="90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 t="n"/>
      <c r="AJ127" s="49">
        <f>SUM(AJ128:AJ142)</f>
        <v/>
      </c>
      <c r="AK127" s="3" t="n"/>
      <c r="AL127" s="1053" t="n"/>
      <c r="AM127" s="16">
        <f>C127+F127+I127+L127+O127+R127+U127+X127+AA127+AD127+AG127+AJ127</f>
        <v/>
      </c>
      <c r="AN127" s="3" t="n"/>
      <c r="AO127" s="1076">
        <f>AM127/(AM$13)</f>
        <v/>
      </c>
    </row>
    <row r="128" outlineLevel="1" ht="15" customHeight="1" s="985">
      <c r="A128" s="226" t="inlineStr">
        <is>
          <t xml:space="preserve">73951001            </t>
        </is>
      </c>
      <c r="B128" s="25" t="inlineStr">
        <is>
          <t>Elementos de Proteccion Personal</t>
        </is>
      </c>
      <c r="C128" s="39">
        <f>'[9]Hoja 1'!$C$455+'[9]Hoja 1'!$C$510</f>
        <v/>
      </c>
      <c r="D128" s="69" t="n"/>
      <c r="E128" s="1077" t="n"/>
      <c r="F128" s="39">
        <f>'[19]Hoja 1'!$C$230</f>
        <v/>
      </c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39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785" t="n"/>
      <c r="AH128" s="69" t="n"/>
      <c r="AI128" s="1077" t="n"/>
      <c r="AJ128" s="39" t="n"/>
      <c r="AK128" s="69" t="n"/>
      <c r="AL128" s="1077" t="n"/>
      <c r="AM128" s="209">
        <f>C128+F128+I128+L128+O128+R128+U128+X128+AA128+AD128+AG128+AJ128</f>
        <v/>
      </c>
      <c r="AN128" s="42" t="n"/>
      <c r="AO128" s="1090">
        <f>AM128/AM13</f>
        <v/>
      </c>
    </row>
    <row r="129" outlineLevel="1" ht="15" customHeight="1" s="985">
      <c r="A129" s="226" t="inlineStr">
        <is>
          <t xml:space="preserve">73959512            </t>
        </is>
      </c>
      <c r="B129" s="25" t="inlineStr">
        <is>
          <t>Habitos de Vida Saludable</t>
        </is>
      </c>
      <c r="C129" s="91" t="n"/>
      <c r="D129" s="43" t="n"/>
      <c r="E129" s="1045" t="n"/>
      <c r="F129" s="25">
        <f>'[10]Hoja 1'!$C$485+'[19]Hoja 1'!$C$233</f>
        <v/>
      </c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81" t="n"/>
      <c r="AH129" s="43" t="n"/>
      <c r="AI129" s="1045" t="n"/>
      <c r="AJ129" s="25" t="n"/>
      <c r="AK129" s="43" t="n"/>
      <c r="AL129" s="1045" t="n"/>
      <c r="AM129" s="205">
        <f>C129+F129+I129+L129+O129+R129+U129+X129+AA129+AD129+AG129+AJ129</f>
        <v/>
      </c>
      <c r="AN129" s="92" t="n"/>
      <c r="AO129" s="1127" t="n"/>
    </row>
    <row r="130" outlineLevel="1" ht="15" customFormat="1" customHeight="1" s="108">
      <c r="A130" s="229" t="inlineStr">
        <is>
          <t xml:space="preserve">73952501            </t>
        </is>
      </c>
      <c r="B130" s="25" t="inlineStr">
        <is>
          <t>Elementos de Aseo y Cafetería</t>
        </is>
      </c>
      <c r="C130" s="25">
        <f>'[9]Hoja 1'!$C$451+'[9]Hoja 1'!$C$501</f>
        <v/>
      </c>
      <c r="D130" s="43" t="n"/>
      <c r="E130" s="1045" t="n"/>
      <c r="F130" s="25">
        <f>'[10]Hoja 1'!$C$426+'[10]Hoja 1'!$C$474+'[19]Hoja 1'!$C$226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1045" t="n"/>
      <c r="AM130" s="205">
        <f>C130+F130+I130+L130+O130+R130+U130+X130+AA130+AD130+AG130+AJ130</f>
        <v/>
      </c>
      <c r="AN130" s="43" t="n"/>
      <c r="AO130" s="1045">
        <f>AM130/AM13</f>
        <v/>
      </c>
      <c r="AP130" s="705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>
        <f>'[9]Hoja 1'!$C$503</f>
        <v/>
      </c>
      <c r="D131" s="43" t="n"/>
      <c r="E131" s="1045" t="n"/>
      <c r="F131" s="25">
        <f>'[10]Hoja 1'!$C$476</f>
        <v/>
      </c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1045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5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1045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>
        <f>'[9]Hoja 1'!$C$505</f>
        <v/>
      </c>
      <c r="D133" s="43" t="n"/>
      <c r="E133" s="1045" t="n"/>
      <c r="F133" s="25">
        <f>'[10]Hoja 1'!$C$478+'[19]Hoja 1'!$C$228</f>
        <v/>
      </c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1045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>
        <f>'[9]Hoja 1'!$C$507+'[15]Hoja 1'!$C$115</f>
        <v/>
      </c>
      <c r="D134" s="43" t="n"/>
      <c r="E134" s="1045" t="n"/>
      <c r="F134" s="25">
        <f>'[10]Hoja 1'!$C$480</f>
        <v/>
      </c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1045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5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1045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5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>
        <f>'[10]Hoja 1'!$C$482</f>
        <v/>
      </c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5">
      <c r="A137" s="226" t="inlineStr">
        <is>
          <t xml:space="preserve">73959504            </t>
        </is>
      </c>
      <c r="B137" s="25" t="inlineStr">
        <is>
          <t>Averias</t>
        </is>
      </c>
      <c r="C137" s="25">
        <f>'[9]Hoja 1'!$C$509</f>
        <v/>
      </c>
      <c r="D137" s="43" t="n"/>
      <c r="E137" s="1045" t="n"/>
      <c r="F137" s="25">
        <f>'[10]Hoja 1'!$C$484</f>
        <v/>
      </c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1045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5">
      <c r="B138" s="25" t="inlineStr">
        <is>
          <t>Compra Equipos de Oficina</t>
        </is>
      </c>
      <c r="C138" s="428">
        <f>'[15]Hoja 1'!$C$48</f>
        <v/>
      </c>
      <c r="D138" s="89" t="n"/>
      <c r="E138" s="1041" t="n"/>
      <c r="F138" s="25" t="n"/>
      <c r="G138" s="89" t="n"/>
      <c r="H138" s="1041" t="n"/>
      <c r="I138" s="428" t="n"/>
      <c r="J138" s="89" t="n"/>
      <c r="K138" s="1041" t="n"/>
      <c r="L138" s="428" t="n"/>
      <c r="M138" s="89" t="n"/>
      <c r="N138" s="1041" t="n"/>
      <c r="O138" s="25" t="n"/>
      <c r="P138" s="89" t="n"/>
      <c r="Q138" s="1041" t="n"/>
      <c r="R138" s="428" t="n"/>
      <c r="S138" s="89" t="n"/>
      <c r="T138" s="1041" t="n"/>
      <c r="U138" s="428" t="n"/>
      <c r="V138" s="89" t="n"/>
      <c r="W138" s="1041" t="n"/>
      <c r="X138" s="428" t="n"/>
      <c r="Y138" s="89" t="n"/>
      <c r="Z138" s="1041" t="n"/>
      <c r="AA138" s="428" t="n"/>
      <c r="AB138" s="89" t="n"/>
      <c r="AC138" s="1041" t="n"/>
      <c r="AD138" s="428" t="n"/>
      <c r="AE138" s="89" t="n"/>
      <c r="AF138" s="1041" t="n"/>
      <c r="AG138" s="428" t="n"/>
      <c r="AH138" s="89" t="n"/>
      <c r="AI138" s="1041" t="n"/>
      <c r="AJ138" s="428" t="n"/>
      <c r="AK138" s="89" t="n"/>
      <c r="AL138" s="1041" t="n"/>
      <c r="AM138" s="261">
        <f>C138+F138+I138+L138+O138+R138+U138+X138+AA138+AD138+AG138+AJ138</f>
        <v/>
      </c>
      <c r="AN138" s="89" t="n"/>
      <c r="AO138" s="1042" t="n"/>
    </row>
    <row r="139" outlineLevel="1" ht="15" customHeight="1" s="985">
      <c r="B139" s="25" t="inlineStr">
        <is>
          <t>Herramientas y articulos ferreteria</t>
        </is>
      </c>
      <c r="C139" s="25">
        <f>'[15]Hoja 1'!$C$117</f>
        <v/>
      </c>
      <c r="D139" s="43" t="n"/>
      <c r="E139" s="1045" t="n"/>
      <c r="F139" s="25">
        <f>'[19]Hoja 1'!$C$231</f>
        <v/>
      </c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1045" t="n"/>
      <c r="AM139" s="261">
        <f>C139+F139+I139+L139+O139+R139+U139+X139+AA139+AD139+AG139+AJ139</f>
        <v/>
      </c>
      <c r="AN139" s="43" t="n"/>
      <c r="AO139" s="1046" t="n"/>
    </row>
    <row r="140" outlineLevel="1" ht="15" customHeight="1" s="985">
      <c r="A140" s="806" t="inlineStr">
        <is>
          <t>73959511</t>
        </is>
      </c>
      <c r="B140" s="25" t="inlineStr">
        <is>
          <t>Equipos de Bodega</t>
        </is>
      </c>
      <c r="C140" s="25" t="n"/>
      <c r="D140" s="43" t="n"/>
      <c r="E140" s="1045" t="n"/>
      <c r="F140" s="25">
        <f>'[19]Hoja 1'!$C$232</f>
        <v/>
      </c>
      <c r="G140" s="43" t="n"/>
      <c r="H140" s="1045" t="n"/>
      <c r="I140" s="281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1045" t="n"/>
      <c r="AM140" s="261">
        <f>C140+F140+I140+L140+O140+R140+U140+X140+AA140+AD140+AG140+AJ140</f>
        <v/>
      </c>
      <c r="AN140" s="43" t="n"/>
      <c r="AO140" s="1046" t="n"/>
    </row>
    <row r="141" outlineLevel="1" ht="15" customHeight="1" s="985">
      <c r="B141" s="25" t="inlineStr">
        <is>
          <t>Reuniones Fiestas y Detalles</t>
        </is>
      </c>
      <c r="C141" s="25">
        <f>'[15]Hoja 1'!$C$118</f>
        <v/>
      </c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1045" t="n"/>
      <c r="AM141" s="261">
        <f>C141+F141+I141+L141+O141+R141+U141+X141+AA141+AD141+AG141+AJ141</f>
        <v/>
      </c>
      <c r="AN141" s="43" t="n"/>
      <c r="AO141" s="1046" t="n"/>
    </row>
    <row r="142" outlineLevel="1" ht="15" customHeight="1" s="985" thickBot="1">
      <c r="A142" s="226" t="inlineStr">
        <is>
          <t>73959510     - 51959512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1079" t="n"/>
      <c r="AM142" s="213">
        <f>C142+F142+I142+L142+O142+R142+U142+X142+AA142+AD142+AG142+AJ142</f>
        <v/>
      </c>
      <c r="AN142" s="214" t="n"/>
      <c r="AO142" s="1092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1067" t="n"/>
      <c r="AM143" s="151" t="n"/>
      <c r="AN143" s="2" t="n"/>
      <c r="AO143" s="1067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1128" t="n"/>
      <c r="AM144" s="585">
        <f>C144+F144+I144+L144+O144+R144+U144+X144+AA144+AD144+AG144+AJ144</f>
        <v/>
      </c>
      <c r="AN144" s="495" t="n"/>
      <c r="AO144" s="1129" t="n"/>
    </row>
    <row r="145" ht="15" customHeight="1" s="985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1065" t="n"/>
      <c r="AM145" s="497">
        <f>IFERROR(AM144/AM13," ")</f>
        <v/>
      </c>
      <c r="AN145" s="489" t="n"/>
      <c r="AO145" s="1066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1067" t="n"/>
      <c r="AM146" s="145" t="n"/>
      <c r="AN146" s="145" t="n"/>
      <c r="AO146" s="1067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 t="n"/>
      <c r="AJ147" s="491">
        <f>SUM(AJ148:AJ151)</f>
        <v/>
      </c>
      <c r="AK147" s="492" t="n"/>
      <c r="AL147" s="1069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5">
      <c r="B148" s="18" t="inlineStr">
        <is>
          <t>Gastos Fijos Administracion</t>
        </is>
      </c>
      <c r="C148" s="39">
        <f>'GASTOS ADMINISTRATIVOS'!C96*'%DIST'!B39</f>
        <v/>
      </c>
      <c r="D148" s="69" t="n"/>
      <c r="E148" s="1077">
        <f>C148/C$13</f>
        <v/>
      </c>
      <c r="F148" s="39">
        <f>'GASTOS ADMINISTRATIVOS'!D96*'%DIST'!D39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1077" t="n"/>
      <c r="AM148" s="209">
        <f>C148+F148+I148+L148+O148+R148+U148+X148+AA148+AD148+AG148+AJ148</f>
        <v/>
      </c>
      <c r="AN148" s="69" t="n"/>
      <c r="AO148" s="1082">
        <f>AM148/AM$13</f>
        <v/>
      </c>
      <c r="AP148" s="1194" t="n"/>
    </row>
    <row r="149" ht="15" customHeight="1" s="985">
      <c r="B149" s="285" t="inlineStr">
        <is>
          <t>Gastos financieros</t>
        </is>
      </c>
      <c r="C149" s="25">
        <f>'GASTOS ADMINISTRATIVOS'!C109*'%DIST'!C55+79552.5+3501.4</f>
        <v/>
      </c>
      <c r="D149" s="43" t="n"/>
      <c r="E149" s="1045" t="n"/>
      <c r="F149" s="25">
        <f>'GASTOS ADMINISTRATIVOS'!D109*'%DIST'!E55+6000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1045" t="n"/>
      <c r="AM149" s="205">
        <f>C149+F149+I149+L149+O149+R149+U149+X149+AA149+AD149+AG149+AJ149</f>
        <v/>
      </c>
      <c r="AN149" s="43" t="n"/>
      <c r="AO149" s="1046" t="n"/>
    </row>
    <row r="150" ht="15" customHeight="1" s="985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1057" t="n"/>
      <c r="AM150" s="205">
        <f>C150+F150+I150+L150+O150+R150+U150+X150+AA150+AD150+AG150+AJ150</f>
        <v/>
      </c>
      <c r="AN150" s="42" t="n"/>
      <c r="AO150" s="1058">
        <f>AM150/AM$13</f>
        <v/>
      </c>
    </row>
    <row r="151" ht="15" customHeight="1" s="985" thickBot="1">
      <c r="B151" s="300" t="inlineStr">
        <is>
          <t>Gastos No Operacionales</t>
        </is>
      </c>
      <c r="C151" s="71">
        <f>'GASTOS ADMINISTRATIVOS'!C119*'%DIST'!C55</f>
        <v/>
      </c>
      <c r="D151" s="72" t="n"/>
      <c r="E151" s="1086" t="n"/>
      <c r="F151" s="71">
        <f>'GASTOS ADMINISTRATIVOS'!D119*'%DIST'!E55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1086" t="n"/>
      <c r="AM151" s="301">
        <f>C151+F151+I151+L151+O151+R151+U151+X151+AA151+AD151+AG151+AJ151</f>
        <v/>
      </c>
      <c r="AN151" s="72" t="n"/>
      <c r="AO151" s="1087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1067" t="n"/>
      <c r="AM152" s="151" t="n"/>
      <c r="AN152" s="2" t="n"/>
      <c r="AO152" s="1067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1093" t="n"/>
      <c r="AM153" s="587">
        <f>C153+F153+I153+L153+O153+R153+U153+X153+AA153+AD153+AG153+AJ153</f>
        <v/>
      </c>
      <c r="AN153" s="499" t="n"/>
      <c r="AO153" s="1094">
        <f>AM153/(AM$13)</f>
        <v/>
      </c>
    </row>
    <row r="154" ht="15" customHeight="1" s="985" thickTop="1">
      <c r="B154" s="1135" t="inlineStr">
        <is>
          <t>Novedades</t>
        </is>
      </c>
      <c r="C154" s="286" t="n"/>
      <c r="D154" s="230" t="n"/>
      <c r="E154" s="1136" t="n"/>
      <c r="F154" s="515" t="n"/>
      <c r="G154" s="230" t="n"/>
      <c r="H154" s="1136" t="n"/>
      <c r="I154" s="515" t="n"/>
      <c r="J154" s="230" t="n"/>
      <c r="K154" s="1136" t="n"/>
      <c r="L154" s="515" t="n"/>
      <c r="M154" s="230" t="n"/>
      <c r="N154" s="1136" t="n"/>
      <c r="O154" s="515" t="n"/>
      <c r="P154" s="230" t="n"/>
      <c r="Q154" s="1136" t="n"/>
      <c r="R154" s="724" t="n"/>
      <c r="S154" s="230" t="n"/>
      <c r="T154" s="1136" t="n"/>
      <c r="U154" s="515" t="n"/>
      <c r="V154" s="230" t="n"/>
      <c r="W154" s="1136" t="n"/>
      <c r="X154" s="515" t="n"/>
      <c r="Y154" s="230" t="n"/>
      <c r="Z154" s="1136" t="n"/>
      <c r="AA154" s="515" t="n"/>
      <c r="AB154" s="230" t="n"/>
      <c r="AC154" s="1136" t="n"/>
      <c r="AD154" s="515" t="n"/>
      <c r="AE154" s="230" t="n"/>
      <c r="AF154" s="1136" t="n"/>
      <c r="AG154" s="515" t="n"/>
      <c r="AH154" s="230" t="n"/>
      <c r="AI154" s="1136" t="n"/>
      <c r="AJ154" s="724" t="n"/>
      <c r="AK154" s="230" t="n"/>
      <c r="AL154" s="1136" t="n"/>
      <c r="AM154" s="287">
        <f>C154+F154+I154+L154+O154+R154+U154+X154+AA154+AD154+AG154+AJ154</f>
        <v/>
      </c>
      <c r="AN154" s="230" t="n"/>
      <c r="AO154" s="1137" t="n"/>
    </row>
    <row r="155" ht="15" customHeight="1" s="985">
      <c r="B155" s="1139" t="inlineStr">
        <is>
          <t xml:space="preserve">Otros Ajustes 1 </t>
        </is>
      </c>
      <c r="C155" s="693" t="n"/>
      <c r="D155" s="9" t="n"/>
      <c r="E155" s="1140" t="n"/>
      <c r="F155" s="696" t="n"/>
      <c r="G155" s="9" t="n"/>
      <c r="H155" s="1140" t="n"/>
      <c r="I155" s="696" t="n"/>
      <c r="J155" s="9" t="n"/>
      <c r="K155" s="1140" t="n"/>
      <c r="L155" s="696" t="n"/>
      <c r="M155" s="9" t="n"/>
      <c r="N155" s="1140" t="n"/>
      <c r="O155" s="696" t="n"/>
      <c r="P155" s="9" t="n"/>
      <c r="Q155" s="1140" t="n"/>
      <c r="R155" s="707" t="n"/>
      <c r="S155" s="9" t="n"/>
      <c r="T155" s="1140" t="n"/>
      <c r="U155" s="696" t="n"/>
      <c r="V155" s="9" t="n"/>
      <c r="W155" s="1140" t="n"/>
      <c r="X155" s="696" t="n"/>
      <c r="Y155" s="9" t="n"/>
      <c r="Z155" s="1140" t="n"/>
      <c r="AA155" s="696" t="n"/>
      <c r="AB155" s="9" t="n"/>
      <c r="AC155" s="1140" t="n"/>
      <c r="AD155" s="696" t="n"/>
      <c r="AE155" s="9" t="n"/>
      <c r="AF155" s="1140" t="n"/>
      <c r="AG155" s="696" t="n"/>
      <c r="AH155" s="9" t="n"/>
      <c r="AI155" s="1140" t="n"/>
      <c r="AJ155" s="707" t="n"/>
      <c r="AK155" s="9" t="n"/>
      <c r="AL155" s="1140" t="n"/>
      <c r="AM155" s="294">
        <f>C155+F155+I155+L155+O155+R155+U155+X155+AA155+AD155+AG155+AJ155</f>
        <v/>
      </c>
      <c r="AN155" s="9" t="n"/>
      <c r="AO155" s="1141" t="n"/>
    </row>
    <row r="156" ht="15" customHeight="1" s="985">
      <c r="B156" s="1143" t="inlineStr">
        <is>
          <t>Otros Ajustes 2</t>
        </is>
      </c>
      <c r="C156" s="687" t="n"/>
      <c r="D156" s="677" t="n"/>
      <c r="E156" s="1144" t="n"/>
      <c r="F156" s="689" t="n"/>
      <c r="G156" s="677" t="n"/>
      <c r="H156" s="1144" t="n"/>
      <c r="I156" s="689" t="n"/>
      <c r="J156" s="677" t="n"/>
      <c r="K156" s="1144" t="n"/>
      <c r="L156" s="689" t="n"/>
      <c r="M156" s="677" t="n"/>
      <c r="N156" s="1144" t="n"/>
      <c r="O156" s="689" t="n"/>
      <c r="P156" s="677" t="n"/>
      <c r="Q156" s="1144" t="n"/>
      <c r="R156" s="720" t="n"/>
      <c r="S156" s="677" t="n"/>
      <c r="T156" s="1144" t="n"/>
      <c r="U156" s="689" t="n"/>
      <c r="V156" s="677" t="n"/>
      <c r="W156" s="1144" t="n"/>
      <c r="X156" s="689" t="n"/>
      <c r="Y156" s="677" t="n"/>
      <c r="Z156" s="1144" t="n"/>
      <c r="AA156" s="689" t="n"/>
      <c r="AB156" s="677" t="n"/>
      <c r="AC156" s="1144" t="n"/>
      <c r="AD156" s="689" t="n"/>
      <c r="AE156" s="677" t="n"/>
      <c r="AF156" s="1144" t="n"/>
      <c r="AG156" s="689" t="n"/>
      <c r="AH156" s="677" t="n"/>
      <c r="AI156" s="1144" t="n"/>
      <c r="AJ156" s="689" t="n"/>
      <c r="AK156" s="677" t="n"/>
      <c r="AL156" s="1144" t="n"/>
      <c r="AM156" s="715">
        <f>C156+F156+I156+L156+O156+R156+U156+X156+AA156+AD156+AG156+AJ156</f>
        <v/>
      </c>
      <c r="AN156" s="677" t="n"/>
      <c r="AO156" s="1145" t="n"/>
    </row>
    <row r="157" ht="15" customHeight="1" s="985">
      <c r="B157" s="1146" t="inlineStr">
        <is>
          <t>Otros Ajustes 3</t>
        </is>
      </c>
      <c r="C157" s="564" t="n"/>
      <c r="D157" s="553" t="n"/>
      <c r="E157" s="1147" t="n"/>
      <c r="F157" s="564" t="n"/>
      <c r="G157" s="553" t="n"/>
      <c r="H157" s="1147" t="n"/>
      <c r="I157" s="564" t="n"/>
      <c r="J157" s="553" t="n"/>
      <c r="K157" s="1147" t="n"/>
      <c r="L157" s="564" t="n"/>
      <c r="M157" s="553" t="n"/>
      <c r="N157" s="1147" t="n"/>
      <c r="O157" s="564" t="n"/>
      <c r="P157" s="553" t="n"/>
      <c r="Q157" s="1147" t="n"/>
      <c r="R157" s="564" t="n"/>
      <c r="S157" s="553" t="n"/>
      <c r="T157" s="1147" t="n"/>
      <c r="U157" s="564" t="n"/>
      <c r="V157" s="553" t="n"/>
      <c r="W157" s="1147" t="n"/>
      <c r="X157" s="564" t="n"/>
      <c r="Y157" s="553" t="n"/>
      <c r="Z157" s="1147" t="n"/>
      <c r="AA157" s="564" t="n"/>
      <c r="AB157" s="553" t="n"/>
      <c r="AC157" s="1147" t="n"/>
      <c r="AD157" s="564" t="n"/>
      <c r="AE157" s="553" t="n"/>
      <c r="AF157" s="1147" t="n"/>
      <c r="AG157" s="564" t="n"/>
      <c r="AH157" s="13" t="n"/>
      <c r="AI157" s="1151" t="n"/>
      <c r="AJ157" s="564" t="n"/>
      <c r="AK157" s="9" t="n"/>
      <c r="AL157" s="1140" t="n"/>
      <c r="AM157" s="75">
        <f>C157+F157+I157+L157+O157+R157+U157+X157+AA157+AD157+AG157+AJ157</f>
        <v/>
      </c>
      <c r="AN157" s="553" t="n"/>
      <c r="AO157" s="1195">
        <f>AM157/AM42</f>
        <v/>
      </c>
    </row>
    <row r="158" ht="15" customFormat="1" customHeight="1" s="108">
      <c r="A158" s="229" t="n"/>
      <c r="B158" s="1150" t="inlineStr">
        <is>
          <t>Otros Ajustes 4</t>
        </is>
      </c>
      <c r="C158" s="714" t="n"/>
      <c r="D158" s="555" t="n"/>
      <c r="E158" s="1175" t="n"/>
      <c r="F158" s="714" t="n"/>
      <c r="G158" s="555" t="n"/>
      <c r="H158" s="1175" t="n"/>
      <c r="I158" s="714" t="n"/>
      <c r="J158" s="555" t="n"/>
      <c r="K158" s="1175" t="n"/>
      <c r="L158" s="714" t="n"/>
      <c r="M158" s="555" t="n"/>
      <c r="N158" s="1175" t="n"/>
      <c r="O158" s="714" t="n"/>
      <c r="P158" s="555" t="n"/>
      <c r="Q158" s="1175" t="n"/>
      <c r="R158" s="714" t="n"/>
      <c r="S158" s="555" t="n"/>
      <c r="T158" s="1175" t="n"/>
      <c r="U158" s="714" t="n"/>
      <c r="V158" s="555" t="n"/>
      <c r="W158" s="1175" t="n"/>
      <c r="X158" s="714" t="n"/>
      <c r="Y158" s="555" t="n"/>
      <c r="Z158" s="1175" t="n"/>
      <c r="AA158" s="714" t="n"/>
      <c r="AB158" s="555" t="n"/>
      <c r="AC158" s="1175" t="n"/>
      <c r="AD158" s="714" t="n"/>
      <c r="AE158" s="555" t="n"/>
      <c r="AF158" s="1175" t="n"/>
      <c r="AG158" s="714" t="n"/>
      <c r="AH158" s="13" t="n"/>
      <c r="AI158" s="1151" t="n"/>
      <c r="AJ158" s="714" t="n"/>
      <c r="AK158" s="13" t="n"/>
      <c r="AL158" s="1151" t="n"/>
      <c r="AM158" s="717">
        <f>C158+F158+I158+L158+O158+R158+U158+X158+AA158+AD158+AG158+AJ158</f>
        <v/>
      </c>
      <c r="AN158" s="13" t="n"/>
      <c r="AO158" s="1152">
        <f>AM158/AM42</f>
        <v/>
      </c>
    </row>
    <row r="159" ht="15" customHeight="1" s="985">
      <c r="B159" s="1150" t="inlineStr">
        <is>
          <t>Otros Ajustes 5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1151" t="n"/>
      <c r="AM159" s="205">
        <f>C159+F159+I159+L159+O159+R159+U159+X159+AA159+AD159+AG159+AJ159</f>
        <v/>
      </c>
      <c r="AN159" s="13" t="n"/>
      <c r="AO159" s="1196" t="n"/>
    </row>
    <row r="160" ht="15" customHeight="1" s="985" thickBot="1">
      <c r="B160" s="1154" t="inlineStr">
        <is>
          <t>Otros Ajustes 6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1155" t="n"/>
      <c r="AM160" s="292">
        <f>C160+F160+I160+L160+O160+R160+U160+X160+AA160+AD160+AG160+AJ160</f>
        <v/>
      </c>
      <c r="AN160" s="812" t="n"/>
      <c r="AO160" s="1156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1093" t="n"/>
      <c r="AM161" s="587">
        <f>C161+F161+I161+L161+O161+R161+U161+X161+AA161+AD161+AG161+AJ161</f>
        <v/>
      </c>
      <c r="AN161" s="499" t="inlineStr">
        <is>
          <t xml:space="preserve"> </t>
        </is>
      </c>
      <c r="AO161" s="1094" t="n"/>
    </row>
    <row r="162" ht="15" customHeight="1" s="985" thickBot="1" thickTop="1">
      <c r="B162" s="65" t="n"/>
      <c r="C162" s="501">
        <f>IFERROR(C161/C13," ")</f>
        <v/>
      </c>
      <c r="D162" s="502" t="n"/>
      <c r="E162" s="1093" t="n"/>
      <c r="F162" s="501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1093" t="n"/>
      <c r="AM162" s="589">
        <f>IFERROR(AM161/AM13," ")</f>
        <v/>
      </c>
      <c r="AN162" s="502" t="n"/>
      <c r="AO162" s="1094" t="n"/>
    </row>
    <row r="163" ht="10.8" customHeight="1" s="985" thickTop="1">
      <c r="I163" s="996" t="n"/>
    </row>
    <row r="164">
      <c r="C164" s="618">
        <f>C44+C83-C73</f>
        <v/>
      </c>
      <c r="D164" s="996" t="n"/>
      <c r="F164" s="618">
        <f>F44+F83-F73</f>
        <v/>
      </c>
      <c r="I164" s="618">
        <f>I44+I83-I73</f>
        <v/>
      </c>
      <c r="L164" s="618">
        <f>L44+L83-L73</f>
        <v/>
      </c>
      <c r="O164" s="994">
        <f>O44+O83-O58-O73</f>
        <v/>
      </c>
      <c r="R164" s="994">
        <f>R44+R83-R58-R73</f>
        <v/>
      </c>
      <c r="U164" s="994">
        <f>U44+U83-U58-U73</f>
        <v/>
      </c>
      <c r="X164" s="994">
        <f>X44+X83-X58-X73</f>
        <v/>
      </c>
      <c r="AA164" s="994">
        <f>AA44+AA83-AA58-AA73</f>
        <v/>
      </c>
      <c r="AD164" s="994">
        <f>AD44+AD83-AD58-AD73</f>
        <v/>
      </c>
      <c r="AG164" s="994">
        <f>AG44+AG83-AG58-AG73</f>
        <v/>
      </c>
      <c r="AJ164" s="994">
        <f>AJ44+AJ83-AJ58-AJ73</f>
        <v/>
      </c>
    </row>
    <row r="165">
      <c r="C165" s="618">
        <f>'[9]Hoja 1'!$C$405+'[9]Hoja 1'!$C$414+'[9]Hoja 1'!$C$425+'[15]Hoja 1'!$C$17-'[15]Hoja 1'!$C$109+'[25]Hoja 1'!$C$110+'[25]Hoja 1'!$C$177</f>
        <v/>
      </c>
      <c r="D165" s="996" t="n"/>
      <c r="F165" s="618">
        <f>'[10]Hoja 1'!$C$399+'[19]Hoja 1'!$C$127+'[41]Hoja 1'!$C$86+'[54]Hoja 1'!$C$24</f>
        <v/>
      </c>
      <c r="I165" s="618" t="n">
        <v>1037777346.42</v>
      </c>
      <c r="L165" s="618" t="n">
        <v>973262962.3299999</v>
      </c>
      <c r="O165" s="994" t="n">
        <v>1069339870.73</v>
      </c>
      <c r="R165" s="994" t="n">
        <v>949299035.5900002</v>
      </c>
      <c r="U165" s="994" t="n">
        <v>564463987.46</v>
      </c>
      <c r="X165" s="994" t="n">
        <v>974517060.83</v>
      </c>
      <c r="AA165" s="994" t="n">
        <v>1049899736.09</v>
      </c>
      <c r="AD165" s="994" t="n">
        <v>873734177.66</v>
      </c>
      <c r="AG165" s="994" t="n">
        <v>739373739.2</v>
      </c>
      <c r="AJ165" s="994" t="n">
        <v>92692433</v>
      </c>
    </row>
    <row r="166">
      <c r="C166" s="618">
        <f>C164-C165</f>
        <v/>
      </c>
      <c r="D166" s="996" t="n"/>
      <c r="F166" s="618">
        <f>F164-F165</f>
        <v/>
      </c>
      <c r="I166" s="618">
        <f>I164-I165</f>
        <v/>
      </c>
      <c r="L166" s="618">
        <f>L164-L165</f>
        <v/>
      </c>
      <c r="O166" s="994">
        <f>O164-O165</f>
        <v/>
      </c>
      <c r="R166" s="994">
        <f>R164-R165</f>
        <v/>
      </c>
      <c r="U166" s="994">
        <f>U164-U165</f>
        <v/>
      </c>
      <c r="X166" s="994">
        <f>X164-X165</f>
        <v/>
      </c>
      <c r="AA166" s="994">
        <f>AA164-AA165</f>
        <v/>
      </c>
      <c r="AB166" s="994" t="n"/>
      <c r="AC166" s="994" t="n"/>
      <c r="AD166" s="994">
        <f>AD164-AD165</f>
        <v/>
      </c>
      <c r="AE166" s="994" t="inlineStr">
        <is>
          <t>MAQ Y EQ</t>
        </is>
      </c>
      <c r="AG166" s="994">
        <f>AG164-AG165</f>
        <v/>
      </c>
      <c r="AJ166" s="994">
        <f>AJ164-AJ165</f>
        <v/>
      </c>
    </row>
    <row r="167">
      <c r="C167" s="989" t="n">
        <v>2021155</v>
      </c>
      <c r="D167" s="989" t="inlineStr">
        <is>
          <t>Dic</t>
        </is>
      </c>
    </row>
    <row r="170">
      <c r="AJ170" s="894" t="n"/>
      <c r="AM170" s="1182" t="n"/>
    </row>
    <row r="174">
      <c r="X174" s="989" t="n">
        <v>701053</v>
      </c>
    </row>
  </sheetData>
  <mergeCells count="2">
    <mergeCell ref="C2:AM2"/>
    <mergeCell ref="AE166:AF166"/>
  </mergeCells>
  <hyperlinks>
    <hyperlink xmlns:r="http://schemas.openxmlformats.org/officeDocument/2006/relationships" ref="AP79" location="'COSTO MANIPULADORAS BUGA '!I74" display="NOMINA\INFORMACION ENTREGADA-FEB07\COMPARATIVO GASTOS FIJOS BUGA -MANIPULADORAS.xlsx - 'COSTO MANIPULADORAS BUGA '!I74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Hoja24">
    <outlinePr summaryBelow="1" summaryRight="1"/>
    <pageSetUpPr/>
  </sheetPr>
  <dimension ref="A2:BK162"/>
  <sheetViews>
    <sheetView zoomScaleNormal="100" workbookViewId="0">
      <pane xSplit="2" ySplit="13" topLeftCell="AD147" activePane="bottomRight" state="frozen"/>
      <selection activeCell="C86" sqref="C86:C88"/>
      <selection pane="topRight" activeCell="C86" sqref="C86:C88"/>
      <selection pane="bottomLeft" activeCell="C86" sqref="C86:C88"/>
      <selection pane="bottomRight" activeCell="AL148" sqref="F148:AL149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6.109375" customWidth="1" style="989" min="18" max="18"/>
    <col width="8.6640625" customWidth="1" style="989" min="19" max="19"/>
    <col width="8.6640625" customWidth="1" style="1033" min="20" max="20"/>
    <col width="16.10937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5.6640625" customWidth="1" style="989" min="39" max="39"/>
    <col width="8.6640625" customWidth="1" style="989" min="40" max="40"/>
    <col width="8.6640625" customWidth="1" style="1033" min="41" max="41"/>
    <col width="7.109375" customWidth="1" style="2" min="42" max="42"/>
    <col collapsed="1" width="14.6640625" customWidth="1" style="989" min="43" max="43"/>
    <col width="7.33203125" customWidth="1" style="989" min="44" max="44"/>
    <col width="7.33203125" customWidth="1" style="2" min="45" max="45"/>
    <col width="11.44140625" customWidth="1" style="2" min="46" max="50"/>
    <col width="11.44140625" customWidth="1" style="2" min="51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PRESUPUESTO  IMDERTY 2024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  <c r="AQ2" s="2" t="n"/>
      <c r="AR2" s="2" t="n"/>
    </row>
    <row r="3" ht="21.75" customHeight="1" s="985" thickBot="1" thickTop="1">
      <c r="B3" s="523" t="inlineStr">
        <is>
          <t xml:space="preserve">DIAS DE ATENCIÓN </t>
        </is>
      </c>
      <c r="C3" s="537" t="n"/>
      <c r="D3" s="480" t="n"/>
      <c r="E3" s="1035" t="n"/>
      <c r="F3" s="537" t="n"/>
      <c r="G3" s="480" t="n"/>
      <c r="H3" s="1035" t="n"/>
      <c r="I3" s="479" t="n"/>
      <c r="J3" s="480" t="n"/>
      <c r="K3" s="1035" t="n"/>
      <c r="L3" s="479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  <c r="AQ3" s="623" t="n"/>
      <c r="AR3" s="623" t="n"/>
      <c r="AS3" s="623" t="n"/>
    </row>
    <row r="4" ht="24.75" customFormat="1" customHeight="1" s="215" thickBot="1" thickTop="1">
      <c r="A4" s="227" t="n"/>
      <c r="B4" s="21" t="n"/>
      <c r="C4" s="469" t="inlineStr">
        <is>
          <t>ENE</t>
        </is>
      </c>
      <c r="D4" s="470" t="inlineStr">
        <is>
          <t>x racion</t>
        </is>
      </c>
      <c r="E4" s="119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748" t="inlineStr">
        <is>
          <t>REAL 2024</t>
        </is>
      </c>
      <c r="AR4" s="624" t="n"/>
      <c r="AS4" s="624" t="n"/>
    </row>
    <row r="5" ht="15" customFormat="1" customHeight="1" s="223" thickTop="1">
      <c r="A5" s="228" t="n"/>
      <c r="B5" s="258" t="inlineStr">
        <is>
          <t>SUMINISTRO</t>
        </is>
      </c>
      <c r="C5" s="257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  <c r="AQ5" s="299" t="n"/>
      <c r="AR5" s="299" t="n"/>
      <c r="AS5" s="299" t="n"/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  <c r="AQ6" s="24" t="n"/>
      <c r="AR6" s="24" t="n"/>
      <c r="AS6" s="24" t="n"/>
    </row>
    <row r="7" ht="15" customFormat="1" customHeight="1" s="223">
      <c r="A7" s="228" t="n"/>
      <c r="B7" s="258" t="n"/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  <c r="AQ7" s="24" t="n"/>
      <c r="AR7" s="24" t="n"/>
      <c r="AS7" s="24" t="n"/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  <c r="AQ8" s="24" t="n"/>
      <c r="AR8" s="24" t="n"/>
      <c r="AS8" s="24" t="n"/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  <c r="AQ9" s="24" t="n"/>
      <c r="AR9" s="24" t="n"/>
      <c r="AS9" s="24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  <c r="AQ10" s="24" t="n"/>
      <c r="AR10" s="24" t="n"/>
      <c r="AS10" s="24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  <c r="AQ11" s="349" t="n"/>
      <c r="AR11" s="349" t="n"/>
      <c r="AS11" s="349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  <c r="AQ12" s="29">
        <f>SUM(AQ5:AQ11)</f>
        <v/>
      </c>
      <c r="AR12" s="29" t="n"/>
      <c r="AS12" s="29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  <c r="AQ13" s="625">
        <f>AQ14+AQ23</f>
        <v/>
      </c>
      <c r="AR13" s="625" t="n"/>
      <c r="AS13" s="625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49">
        <f>U15</f>
        <v/>
      </c>
      <c r="V14" s="3" t="n"/>
      <c r="W14" s="1053" t="n"/>
      <c r="X14" s="49">
        <f>X15</f>
        <v/>
      </c>
      <c r="Y14" s="3" t="n"/>
      <c r="Z14" s="1053" t="n"/>
      <c r="AA14" s="49">
        <f>AA15</f>
        <v/>
      </c>
      <c r="AB14" s="3" t="n"/>
      <c r="AC14" s="1053" t="n"/>
      <c r="AD14" s="49">
        <f>AD15</f>
        <v/>
      </c>
      <c r="AE14" s="3" t="n"/>
      <c r="AF14" s="1053" t="n"/>
      <c r="AG14" s="49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  <c r="AQ14" s="17">
        <f>AQ15</f>
        <v/>
      </c>
      <c r="AR14" s="17" t="n"/>
      <c r="AS14" s="17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49">
        <f>SUM(U16:U22)</f>
        <v/>
      </c>
      <c r="V15" s="3" t="n"/>
      <c r="W15" s="1053" t="n"/>
      <c r="X15" s="49">
        <f>SUM(X16:X22)</f>
        <v/>
      </c>
      <c r="Y15" s="3" t="n"/>
      <c r="Z15" s="1053">
        <f>X15/X15</f>
        <v/>
      </c>
      <c r="AA15" s="49">
        <f>SUM(AA16:AA22)</f>
        <v/>
      </c>
      <c r="AB15" s="3" t="n"/>
      <c r="AC15" s="1053">
        <f>AA15/AA15</f>
        <v/>
      </c>
      <c r="AD15" s="49">
        <f>SUM(AD16:AD22)</f>
        <v/>
      </c>
      <c r="AE15" s="399" t="n"/>
      <c r="AF15" s="1054">
        <f>AD15/AD15</f>
        <v/>
      </c>
      <c r="AG15" s="49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  <c r="AQ15" s="17">
        <f>SUM(AQ16:AQ22)</f>
        <v/>
      </c>
      <c r="AR15" s="17" t="n"/>
      <c r="AS15" s="17" t="n"/>
    </row>
    <row r="16" ht="15" customHeight="1" s="985">
      <c r="B16" s="262" t="inlineStr">
        <is>
          <t>SUMINISTRO</t>
        </is>
      </c>
      <c r="C16" s="103" t="n"/>
      <c r="D16" s="79" t="n"/>
      <c r="E16" s="1055" t="n"/>
      <c r="F16" s="103" t="n"/>
      <c r="G16" s="79" t="n"/>
      <c r="H16" s="1055" t="n"/>
      <c r="I16" s="103" t="n"/>
      <c r="J16" s="79">
        <f>I16/I5</f>
        <v/>
      </c>
      <c r="K16" s="1055" t="n"/>
      <c r="L16" s="103" t="n"/>
      <c r="M16" s="79" t="n"/>
      <c r="N16" s="1055" t="n"/>
      <c r="O16" s="103" t="n"/>
      <c r="P16" s="79">
        <f>O16/O5</f>
        <v/>
      </c>
      <c r="Q16" s="1055" t="n"/>
      <c r="R16" s="103" t="n"/>
      <c r="S16" s="79">
        <f>R16/R5</f>
        <v/>
      </c>
      <c r="T16" s="1055" t="n"/>
      <c r="U16" s="103" t="n"/>
      <c r="V16" s="79">
        <f>U16/U5</f>
        <v/>
      </c>
      <c r="W16" s="1055" t="n"/>
      <c r="X16" s="103" t="n"/>
      <c r="Y16" s="79">
        <f>X16/X5</f>
        <v/>
      </c>
      <c r="Z16" s="1055" t="n"/>
      <c r="AA16" s="103" t="n"/>
      <c r="AB16" s="79">
        <f>AA16/AA5</f>
        <v/>
      </c>
      <c r="AC16" s="1055" t="n"/>
      <c r="AD16" s="103" t="n"/>
      <c r="AE16" s="79">
        <f>AD16/AD5</f>
        <v/>
      </c>
      <c r="AF16" s="1055" t="n"/>
      <c r="AG16" s="103" t="n"/>
      <c r="AH16" s="79">
        <f>AG16/AG5</f>
        <v/>
      </c>
      <c r="AI16" s="1055" t="n"/>
      <c r="AJ16" s="103" t="n"/>
      <c r="AK16" s="79">
        <f>AJ16/AJ5</f>
        <v/>
      </c>
      <c r="AL16" s="80" t="n"/>
      <c r="AM16" s="212">
        <f>C16+F16+I16+L16+O16+R16+U16+X16+AA16+AD16+AG16+AJ16</f>
        <v/>
      </c>
      <c r="AN16" s="79" t="n"/>
      <c r="AO16" s="1056">
        <f>AM16/AM$13</f>
        <v/>
      </c>
      <c r="AQ16" s="81" t="n"/>
      <c r="AR16" s="81" t="n"/>
      <c r="AS16" s="81" t="n"/>
    </row>
    <row r="17" ht="15" customHeight="1" s="985">
      <c r="B17" s="104" t="n"/>
      <c r="C17" s="25" t="n"/>
      <c r="D17" s="43" t="n"/>
      <c r="E17" s="1045" t="n"/>
      <c r="F17" s="25" t="n"/>
      <c r="G17" s="43" t="n"/>
      <c r="H17" s="1045" t="n"/>
      <c r="I17" s="91" t="n"/>
      <c r="J17" s="92" t="n"/>
      <c r="K17" s="1045" t="n"/>
      <c r="L17" s="91" t="n"/>
      <c r="M17" s="92" t="n"/>
      <c r="N17" s="1045" t="n"/>
      <c r="O17" s="91" t="n"/>
      <c r="P17" s="92" t="n"/>
      <c r="Q17" s="1045" t="n"/>
      <c r="R17" s="91" t="n"/>
      <c r="S17" s="92" t="n"/>
      <c r="T17" s="1045" t="n"/>
      <c r="U17" s="91" t="n"/>
      <c r="V17" s="92" t="n"/>
      <c r="W17" s="1045" t="n"/>
      <c r="X17" s="91" t="n"/>
      <c r="Y17" s="92" t="n"/>
      <c r="Z17" s="1045" t="n"/>
      <c r="AA17" s="91" t="n"/>
      <c r="AB17" s="92" t="n"/>
      <c r="AC17" s="1045" t="n"/>
      <c r="AD17" s="91" t="n"/>
      <c r="AE17" s="92" t="n"/>
      <c r="AF17" s="1045" t="n"/>
      <c r="AG17" s="91" t="n"/>
      <c r="AH17" s="92" t="n"/>
      <c r="AI17" s="1045" t="n"/>
      <c r="AJ17" s="91" t="n"/>
      <c r="AK17" s="92" t="n"/>
      <c r="AL17" s="57" t="n"/>
      <c r="AM17" s="205">
        <f>C17+F17+I17+L17+O17+R17+U17+X17+AA17+AD17+AG17+AJ17</f>
        <v/>
      </c>
      <c r="AN17" s="43" t="n"/>
      <c r="AO17" s="1046">
        <f>AM17/AM$13</f>
        <v/>
      </c>
      <c r="AQ17" s="24" t="n"/>
      <c r="AR17" s="24" t="n"/>
      <c r="AS17" s="24" t="n"/>
    </row>
    <row r="18" ht="15" customHeight="1" s="985">
      <c r="B18" s="104" t="n"/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5" t="n"/>
      <c r="AH18" s="43" t="n"/>
      <c r="AI18" s="1045" t="n"/>
      <c r="AJ18" s="75" t="n"/>
      <c r="AK18" s="43" t="n"/>
      <c r="AL18" s="57" t="n"/>
      <c r="AM18" s="205">
        <f>C18+F18+I18+L18+O18+R18+U18+X18+AA18+AD18+AG18+AJ18</f>
        <v/>
      </c>
      <c r="AN18" s="43" t="n"/>
      <c r="AO18" s="1046">
        <f>AM18/AM$13</f>
        <v/>
      </c>
      <c r="AQ18" s="24" t="n"/>
      <c r="AR18" s="24" t="n"/>
      <c r="AS18" s="24" t="n"/>
    </row>
    <row r="19" ht="15" customHeight="1" s="985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>
        <f>AD19/AD8</f>
        <v/>
      </c>
      <c r="AF19" s="1045" t="n"/>
      <c r="AG19" s="25" t="n"/>
      <c r="AH19" s="43">
        <f>AG19/AG8</f>
        <v/>
      </c>
      <c r="AI19" s="1045" t="n"/>
      <c r="AJ19" s="25" t="n"/>
      <c r="AK19" s="43">
        <f>AJ19/AJ8</f>
        <v/>
      </c>
      <c r="AL19" s="57" t="n"/>
      <c r="AM19" s="205">
        <f>C19+F19+I19+L19+O19+R19+U19+X19+AA19+AD19+AG19+AJ19</f>
        <v/>
      </c>
      <c r="AN19" s="43" t="n"/>
      <c r="AO19" s="1046" t="n"/>
      <c r="AQ19" s="24" t="n"/>
      <c r="AR19" s="24" t="n"/>
      <c r="AS19" s="24" t="n"/>
    </row>
    <row r="20" ht="15" customHeight="1" s="985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  <c r="AQ20" s="24" t="n"/>
      <c r="AR20" s="24" t="n"/>
      <c r="AS20" s="24" t="n"/>
    </row>
    <row r="21" hidden="1" ht="15" customHeight="1" s="985">
      <c r="B21" s="104" t="n"/>
      <c r="C21" s="75" t="n"/>
      <c r="D21" s="43" t="n"/>
      <c r="E21" s="1045" t="n"/>
      <c r="F21" s="25" t="n"/>
      <c r="G21" s="43" t="n"/>
      <c r="H21" s="1045" t="n"/>
      <c r="I21" s="7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25" t="n"/>
      <c r="Y21" s="43" t="n"/>
      <c r="Z21" s="1045" t="n"/>
      <c r="AA21" s="25" t="n"/>
      <c r="AB21" s="43" t="n"/>
      <c r="AC21" s="1045" t="n"/>
      <c r="AD21" s="25" t="n"/>
      <c r="AE21" s="43" t="n"/>
      <c r="AF21" s="1045" t="n"/>
      <c r="AG21" s="25" t="n"/>
      <c r="AH21" s="43" t="n"/>
      <c r="AI21" s="1045" t="n"/>
      <c r="AJ21" s="25" t="n"/>
      <c r="AK21" s="43" t="n"/>
      <c r="AL21" s="57" t="n"/>
      <c r="AM21" s="205">
        <f>C21+F21+I21+L21+O21+R21+U21+X21+AA21+AD21+AG21+AJ21</f>
        <v/>
      </c>
      <c r="AN21" s="43" t="n"/>
      <c r="AO21" s="1046" t="n"/>
      <c r="AQ21" s="24" t="n"/>
      <c r="AR21" s="24" t="n"/>
      <c r="AS21" s="24" t="n"/>
    </row>
    <row r="22" hidden="1" ht="15" customHeight="1" s="985">
      <c r="B22" s="30" t="n"/>
      <c r="C22" s="51" t="n"/>
      <c r="D22" s="42" t="n"/>
      <c r="E22" s="1057" t="n"/>
      <c r="F22" s="22" t="n"/>
      <c r="G22" s="42" t="n"/>
      <c r="H22" s="1057" t="n"/>
      <c r="I22" s="51" t="n"/>
      <c r="J22" s="42" t="n"/>
      <c r="K22" s="1057" t="n"/>
      <c r="L22" s="448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  <c r="AQ22" s="23" t="n"/>
      <c r="AR22" s="23" t="n"/>
      <c r="AS22" s="23" t="n"/>
    </row>
    <row r="23" hidden="1" outlineLevel="1" ht="15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49">
        <f>R24</f>
        <v/>
      </c>
      <c r="S23" s="3" t="n"/>
      <c r="T23" s="1053" t="n"/>
      <c r="U23" s="49">
        <f>U24</f>
        <v/>
      </c>
      <c r="V23" s="3" t="n"/>
      <c r="W23" s="1053" t="n"/>
      <c r="X23" s="49">
        <f>X24</f>
        <v/>
      </c>
      <c r="Y23" s="3" t="n"/>
      <c r="Z23" s="1053" t="n"/>
      <c r="AA23" s="49">
        <f>AA24</f>
        <v/>
      </c>
      <c r="AB23" s="3" t="n"/>
      <c r="AC23" s="1053" t="n"/>
      <c r="AD23" s="49" t="n"/>
      <c r="AE23" s="3" t="n"/>
      <c r="AF23" s="1053" t="n"/>
      <c r="AG23" s="49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  <c r="AQ23" s="17" t="n"/>
      <c r="AR23" s="17" t="n"/>
      <c r="AS23" s="17" t="n"/>
    </row>
    <row r="24" hidden="1" outlineLevel="1" ht="15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49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49">
        <f>SUM(X25:X27)</f>
        <v/>
      </c>
      <c r="Y24" s="3" t="n"/>
      <c r="Z24" s="1053" t="n"/>
      <c r="AA24" s="49">
        <f>SUM(AA25:AA27)</f>
        <v/>
      </c>
      <c r="AB24" s="3" t="n"/>
      <c r="AC24" s="1053" t="n"/>
      <c r="AD24" s="49">
        <f>SUM(AD25:AD27)</f>
        <v/>
      </c>
      <c r="AE24" s="3" t="n"/>
      <c r="AF24" s="1053" t="n"/>
      <c r="AG24" s="49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  <c r="AQ24" s="17" t="n"/>
      <c r="AR24" s="17" t="n"/>
      <c r="AS24" s="17" t="n"/>
    </row>
    <row r="25" hidden="1" outlineLevel="1" ht="15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  <c r="AQ25" s="33" t="n"/>
      <c r="AR25" s="33" t="n"/>
      <c r="AS25" s="33" t="n"/>
    </row>
    <row r="26" hidden="1" outlineLevel="1" ht="15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  <c r="AQ26" s="33" t="n"/>
      <c r="AR26" s="33" t="n"/>
      <c r="AS26" s="33" t="n"/>
    </row>
    <row r="27" hidden="1" outlineLevel="1" ht="15" customHeight="1" s="985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  <c r="AQ27" s="33" t="n"/>
      <c r="AR27" s="33" t="n"/>
      <c r="AS27" s="33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49">
        <f>+R29</f>
        <v/>
      </c>
      <c r="S28" s="3" t="n"/>
      <c r="T28" s="1053" t="n"/>
      <c r="U28" s="49">
        <f>+U29</f>
        <v/>
      </c>
      <c r="V28" s="3" t="n"/>
      <c r="W28" s="1053" t="n"/>
      <c r="X28" s="49">
        <f>+X29</f>
        <v/>
      </c>
      <c r="Y28" s="3" t="n"/>
      <c r="Z28" s="1053" t="n"/>
      <c r="AA28" s="49">
        <f>+AA29</f>
        <v/>
      </c>
      <c r="AB28" s="3" t="n"/>
      <c r="AC28" s="1053" t="n"/>
      <c r="AD28" s="49">
        <f>+AD29</f>
        <v/>
      </c>
      <c r="AE28" s="3" t="n"/>
      <c r="AF28" s="1053" t="n"/>
      <c r="AG28" s="49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  <c r="AQ28" s="17">
        <f>+AQ29</f>
        <v/>
      </c>
      <c r="AR28" s="17" t="n"/>
      <c r="AS28" s="17" t="n"/>
    </row>
    <row r="29" ht="15" customHeight="1" s="985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 t="n"/>
      <c r="O29" s="49">
        <f>SUM(O30:O35)</f>
        <v/>
      </c>
      <c r="P29" s="3" t="n"/>
      <c r="Q29" s="1053" t="n"/>
      <c r="R29" s="49">
        <f>SUM(R30:R35)</f>
        <v/>
      </c>
      <c r="S29" s="3" t="n"/>
      <c r="T29" s="1053">
        <f>R29/R13</f>
        <v/>
      </c>
      <c r="U29" s="49">
        <f>SUM(U30:U35)</f>
        <v/>
      </c>
      <c r="V29" s="3" t="n"/>
      <c r="W29" s="1053">
        <f>U29/U13</f>
        <v/>
      </c>
      <c r="X29" s="49">
        <f>SUM(X30:X35)</f>
        <v/>
      </c>
      <c r="Y29" s="3" t="n"/>
      <c r="Z29" s="1053">
        <f>X29/X13</f>
        <v/>
      </c>
      <c r="AA29" s="49">
        <f>SUM(AA30:AA35)</f>
        <v/>
      </c>
      <c r="AB29" s="3" t="n"/>
      <c r="AC29" s="1053">
        <f>AA29/AA13</f>
        <v/>
      </c>
      <c r="AD29" s="49">
        <f>SUM(AD30:AD35)</f>
        <v/>
      </c>
      <c r="AE29" s="3" t="n"/>
      <c r="AF29" s="1053">
        <f>AD29/AD13</f>
        <v/>
      </c>
      <c r="AG29" s="49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  <c r="AQ29" s="17">
        <f>SUM(AQ30:AQ35)</f>
        <v/>
      </c>
      <c r="AR29" s="17" t="n"/>
      <c r="AS29" s="17" t="n"/>
    </row>
    <row r="30" outlineLevel="1" ht="15" customFormat="1" customHeight="1" s="108">
      <c r="A30" s="229" t="n"/>
      <c r="B30" s="262" t="inlineStr">
        <is>
          <t>1,35% Estampillas</t>
        </is>
      </c>
      <c r="C30" s="1061" t="n"/>
      <c r="D30" s="79" t="n"/>
      <c r="E30" s="1055" t="n"/>
      <c r="F30" s="1061" t="n"/>
      <c r="G30" s="79" t="n"/>
      <c r="H30" s="1055" t="n"/>
      <c r="I30" s="1061">
        <f>I13*1%</f>
        <v/>
      </c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>
        <f>U13*1.35%</f>
        <v/>
      </c>
      <c r="V30" s="79" t="n"/>
      <c r="W30" s="1055" t="n"/>
      <c r="X30" s="1061">
        <f>X13*1.35%</f>
        <v/>
      </c>
      <c r="Y30" s="79" t="n"/>
      <c r="Z30" s="1055" t="n"/>
      <c r="AA30" s="1061">
        <f>AA13*1.35%</f>
        <v/>
      </c>
      <c r="AB30" s="79" t="n"/>
      <c r="AC30" s="1055" t="n"/>
      <c r="AD30" s="1061">
        <f>AD13*1.35%</f>
        <v/>
      </c>
      <c r="AE30" s="79" t="n"/>
      <c r="AF30" s="1055" t="n"/>
      <c r="AG30" s="1061">
        <f>AG13*1.35%</f>
        <v/>
      </c>
      <c r="AH30" s="79" t="n"/>
      <c r="AI30" s="1055" t="n"/>
      <c r="AJ30" s="1061">
        <f>AJ13*1.35%</f>
        <v/>
      </c>
      <c r="AK30" s="79" t="n"/>
      <c r="AL30" s="80" t="n"/>
      <c r="AM30" s="212">
        <f>C30+F30+I30+L30+O30+R30+U30+X30+AA30+AD30+AG30+AJ30</f>
        <v/>
      </c>
      <c r="AN30" s="79" t="n"/>
      <c r="AO30" s="1056" t="n"/>
      <c r="AQ30" s="81" t="n"/>
      <c r="AR30" s="81" t="n"/>
      <c r="AS30" s="81" t="n"/>
    </row>
    <row r="31" outlineLevel="1" ht="15" customHeight="1" s="985">
      <c r="B31" s="105" t="n"/>
      <c r="C31" s="1062" t="n"/>
      <c r="D31" s="43" t="n"/>
      <c r="E31" s="1045" t="n"/>
      <c r="F31" s="1062" t="n"/>
      <c r="G31" s="43" t="n"/>
      <c r="H31" s="1045" t="n"/>
      <c r="I31" s="1062">
        <f>I13*0.6%</f>
        <v/>
      </c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  <c r="AQ31" s="24" t="n"/>
      <c r="AR31" s="24" t="n"/>
      <c r="AS31" s="24" t="n"/>
    </row>
    <row r="32" outlineLevel="1" ht="15" customFormat="1" customHeight="1" s="108">
      <c r="A32" s="229" t="n"/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  <c r="AQ32" s="24" t="n"/>
      <c r="AR32" s="24" t="n"/>
      <c r="AS32" s="24" t="n"/>
    </row>
    <row r="33" hidden="1" outlineLevel="1" ht="15" customFormat="1" customHeight="1" s="108">
      <c r="A33" s="229" t="n"/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1062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  <c r="AQ33" s="24" t="n"/>
      <c r="AR33" s="24" t="n"/>
      <c r="AS33" s="24" t="n"/>
    </row>
    <row r="34" hidden="1" outlineLevel="1" ht="15" customHeight="1" s="985" thickBot="1">
      <c r="B34" s="105" t="n"/>
      <c r="C34" s="25">
        <f>(C$13*10%)*3.5%</f>
        <v/>
      </c>
      <c r="D34" s="43" t="n"/>
      <c r="E34" s="1045" t="n"/>
      <c r="F34" s="25" t="n"/>
      <c r="G34" s="43" t="n"/>
      <c r="H34" s="1045" t="n"/>
      <c r="I34" s="25">
        <f>I13*2.5%</f>
        <v/>
      </c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  <c r="AQ34" s="24" t="n"/>
      <c r="AR34" s="24" t="n"/>
      <c r="AS34" s="24" t="n"/>
    </row>
    <row r="35" hidden="1" outlineLevel="1" ht="15" customFormat="1" customHeight="1" s="108" thickBot="1">
      <c r="A35" s="229" t="n"/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  <c r="AQ35" s="133" t="n"/>
      <c r="AR35" s="133" t="n"/>
      <c r="AS35" s="133" t="n"/>
    </row>
    <row r="36" hidden="1" outlineLevel="1" ht="15" customFormat="1" customHeight="1" s="108" thickBot="1">
      <c r="A36" s="229" t="n"/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  <c r="AQ36" s="24" t="n"/>
      <c r="AR36" s="24" t="n"/>
      <c r="AS36" s="24" t="n"/>
    </row>
    <row r="37" hidden="1" outlineLevel="1" ht="15" customHeight="1" s="985" thickBot="1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  <c r="AQ37" s="23" t="n"/>
      <c r="AR37" s="23" t="n"/>
      <c r="AS37" s="23" t="n"/>
    </row>
    <row r="38" hidden="1" outlineLevel="1" ht="15" customHeight="1" s="985" thickBot="1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  <c r="AQ38" s="23" t="n"/>
      <c r="AR38" s="23" t="n"/>
      <c r="AS38" s="23" t="n"/>
    </row>
    <row r="39" hidden="1" outlineLevel="1" ht="15" customHeight="1" s="985" thickBot="1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  <c r="AQ39" s="23" t="n"/>
      <c r="AR39" s="23" t="n"/>
      <c r="AS39" s="23" t="n"/>
    </row>
    <row r="40" hidden="1" outlineLevel="1" ht="15" customHeight="1" s="985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  <c r="AQ40" s="23" t="n"/>
      <c r="AR40" s="23" t="n"/>
      <c r="AS40" s="23" t="n"/>
    </row>
    <row r="41" hidden="1" outlineLevel="1" ht="15" customHeight="1" s="985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  <c r="AQ41" s="23" t="n"/>
      <c r="AR41" s="23" t="n"/>
      <c r="AS41" s="23" t="n"/>
    </row>
    <row r="42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  <c r="AQ42" s="626">
        <f>+AQ14+AQ23-AQ28</f>
        <v/>
      </c>
      <c r="AR42" s="626" t="n"/>
      <c r="AS42" s="626" t="n"/>
    </row>
    <row r="43" ht="15" customHeight="1" s="985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  <c r="AQ43" s="136" t="n"/>
      <c r="AR43" s="2" t="n"/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 t="n"/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>
        <f>AJ44/AJ$13</f>
        <v/>
      </c>
      <c r="AM44" s="583">
        <f>C44+F44+I44+L44+O44+R44+U44+X44+AA44+AD44+AG44+AJ44</f>
        <v/>
      </c>
      <c r="AN44" s="492" t="n"/>
      <c r="AO44" s="1070">
        <f>AM44/AM$13</f>
        <v/>
      </c>
      <c r="AQ44" s="627">
        <f>+AQ45+AQ60+AQ78</f>
        <v/>
      </c>
      <c r="AR44" s="627" t="n"/>
      <c r="AS44" s="1104" t="n"/>
    </row>
    <row r="45" ht="15" customHeight="1" s="985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49">
        <f>+AD46+AD57</f>
        <v/>
      </c>
      <c r="AE45" s="3" t="n"/>
      <c r="AF45" s="1053" t="n"/>
      <c r="AG45" s="49">
        <f>+AG46+AG57</f>
        <v/>
      </c>
      <c r="AH45" s="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  <c r="AQ45" s="17">
        <f>+AQ46+AQ57</f>
        <v/>
      </c>
      <c r="AR45" s="17" t="n"/>
      <c r="AS45" s="1105" t="n"/>
    </row>
    <row r="46" ht="15" customHeight="1" s="985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46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  <c r="AQ46" s="38">
        <f>SUM(AQ47:AQ56)</f>
        <v/>
      </c>
      <c r="AR46" s="38" t="n"/>
      <c r="AS46" s="1106" t="n"/>
    </row>
    <row r="47" ht="15" customHeight="1" s="985">
      <c r="B47" s="97" t="inlineStr">
        <is>
          <t>SUMINISTRO</t>
        </is>
      </c>
      <c r="C47" s="76" t="n"/>
      <c r="D47" s="42" t="n"/>
      <c r="E47" s="1057" t="n"/>
      <c r="F47" s="76" t="n"/>
      <c r="G47" s="42" t="n"/>
      <c r="H47" s="1057" t="n"/>
      <c r="I47" s="76" t="n"/>
      <c r="J47" s="42">
        <f>I47/I5</f>
        <v/>
      </c>
      <c r="K47" s="1057">
        <f>I47/I16</f>
        <v/>
      </c>
      <c r="L47" s="76" t="n"/>
      <c r="M47" s="42" t="n"/>
      <c r="N47" s="1057" t="n"/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AA47/AA5</f>
        <v/>
      </c>
      <c r="AC47" s="1057">
        <f>AA47/AA16</f>
        <v/>
      </c>
      <c r="AD47" s="76" t="n"/>
      <c r="AE47" s="42">
        <f>AD47/AD5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 t="n"/>
      <c r="AK47" s="42">
        <f>AJ47/AJ5</f>
        <v/>
      </c>
      <c r="AL47" s="1057">
        <f>AJ47/AJ16</f>
        <v/>
      </c>
      <c r="AM47" s="97">
        <f>C47+F47+I47+L47+O47+R47+U47+X47+AA47+AD47+AG47+AJ47</f>
        <v/>
      </c>
      <c r="AN47" s="42">
        <f>AM47/$AM$5</f>
        <v/>
      </c>
      <c r="AO47" s="1058">
        <f>AM47/AM13</f>
        <v/>
      </c>
      <c r="AQ47" s="23" t="n"/>
      <c r="AR47" s="23" t="n"/>
      <c r="AS47" s="1107" t="n"/>
    </row>
    <row r="48" ht="15" customHeight="1" s="985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>
        <f>AM48/AM12</f>
        <v/>
      </c>
      <c r="AO48" s="1046" t="n"/>
      <c r="AQ48" s="24" t="n"/>
      <c r="AR48" s="24" t="n"/>
      <c r="AS48" s="1108" t="n"/>
    </row>
    <row r="49" hidden="1" ht="15" customHeight="1" s="985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  <c r="AQ49" s="24" t="n"/>
      <c r="AR49" s="24" t="n"/>
      <c r="AS49" s="1108" t="n"/>
    </row>
    <row r="50" hidden="1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  <c r="AQ50" s="24" t="n"/>
      <c r="AR50" s="24" t="n"/>
      <c r="AS50" s="1108" t="n"/>
    </row>
    <row r="51" hidden="1" ht="15" customHeight="1" s="985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  <c r="AQ51" s="24" t="n"/>
      <c r="AR51" s="24" t="n"/>
      <c r="AS51" s="1108" t="n"/>
    </row>
    <row r="52" hidden="1" ht="15" customHeight="1" s="985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  <c r="AQ52" s="24" t="n"/>
      <c r="AR52" s="24" t="n"/>
      <c r="AS52" s="1108" t="n"/>
    </row>
    <row r="53" hidden="1" ht="15" customHeight="1" s="985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  <c r="AQ53" s="24" t="n"/>
      <c r="AR53" s="24" t="n"/>
      <c r="AS53" s="1108" t="n"/>
    </row>
    <row r="54" hidden="1" ht="15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  <c r="AQ54" s="24" t="n"/>
      <c r="AR54" s="24" t="n"/>
      <c r="AS54" s="1108" t="n"/>
    </row>
    <row r="55" hidden="1" ht="15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  <c r="AQ55" s="24" t="n"/>
      <c r="AR55" s="24" t="n"/>
      <c r="AS55" s="1108" t="n"/>
    </row>
    <row r="56" hidden="1" ht="15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  <c r="AQ56" s="23" t="n"/>
      <c r="AR56" s="23" t="n"/>
      <c r="AS56" s="1107" t="n"/>
    </row>
    <row r="57" hidden="1" ht="15" customHeight="1" s="985">
      <c r="B57" s="36" t="inlineStr">
        <is>
          <t>FLETES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 t="n"/>
      <c r="N57" s="1071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67" t="n"/>
      <c r="AI57" s="1071" t="n"/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AM57/AM12</f>
        <v/>
      </c>
      <c r="AO57" s="1050">
        <f>AM57/AM13</f>
        <v/>
      </c>
      <c r="AQ57" s="29" t="n"/>
      <c r="AR57" s="29" t="n"/>
      <c r="AS57" s="1110" t="n"/>
    </row>
    <row r="58" hidden="1" ht="15" customHeight="1" s="985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  <c r="AQ58" s="298" t="n"/>
      <c r="AR58" s="298" t="n"/>
      <c r="AS58" s="1113" t="n"/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  <c r="AQ59" s="349" t="n"/>
      <c r="AR59" s="349" t="n"/>
      <c r="AS59" s="1115" t="n"/>
    </row>
    <row r="60" ht="15" customHeight="1" s="985">
      <c r="B60" s="16" t="inlineStr">
        <is>
          <t>COSTOS PREPARADOS</t>
        </is>
      </c>
      <c r="C60" s="49">
        <f>+C61+C73+C74+C75+C76+C77</f>
        <v/>
      </c>
      <c r="D60" s="67" t="n"/>
      <c r="E60" s="1071" t="n"/>
      <c r="F60" s="49">
        <f>+F61+F72+F75+F76+F77</f>
        <v/>
      </c>
      <c r="G60" s="3" t="n"/>
      <c r="H60" s="1053">
        <f>F60/F13</f>
        <v/>
      </c>
      <c r="I60" s="49">
        <f>+I61+I72+I75+I76+I77</f>
        <v/>
      </c>
      <c r="J60" s="3" t="n"/>
      <c r="K60" s="1053">
        <f>I60/I13</f>
        <v/>
      </c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49">
        <f>+R61+R72+R75+R76+R77</f>
        <v/>
      </c>
      <c r="S60" s="3" t="n"/>
      <c r="T60" s="1053" t="n"/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49">
        <f>+AD61+AD72+AD75+AD76+AD77</f>
        <v/>
      </c>
      <c r="AE60" s="3" t="n"/>
      <c r="AF60" s="1053" t="n"/>
      <c r="AG60" s="49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  <c r="AQ60" s="17">
        <f>+AQ61+AQ72+AQ75+AQ76+AQ77</f>
        <v/>
      </c>
      <c r="AR60" s="17" t="n"/>
      <c r="AS60" s="1105" t="n"/>
    </row>
    <row r="61" hidden="1" ht="15" customHeight="1" s="985"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 t="n"/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  <c r="AQ61" s="38">
        <f>SUM(AQ62:AQ71)</f>
        <v/>
      </c>
      <c r="AR61" s="38" t="n"/>
      <c r="AS61" s="1106" t="n"/>
    </row>
    <row r="62" hidden="1" ht="15" customHeight="1" s="985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>
        <f>AM62/$O$5</f>
        <v/>
      </c>
      <c r="AO62" s="1056">
        <f>AM62/$O$13</f>
        <v/>
      </c>
      <c r="AQ62" s="81" t="n"/>
      <c r="AR62" s="81" t="n"/>
      <c r="AS62" s="1116" t="n"/>
    </row>
    <row r="63" hidden="1" ht="15" customHeight="1" s="985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>
        <f>AM63/$O$5</f>
        <v/>
      </c>
      <c r="AO63" s="1046">
        <f>AM63/$O$13</f>
        <v/>
      </c>
      <c r="AQ63" s="24" t="n"/>
      <c r="AR63" s="24" t="n"/>
      <c r="AS63" s="1108" t="n"/>
    </row>
    <row r="64" hidden="1" ht="15" customHeight="1" s="985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  <c r="AQ64" s="24" t="n"/>
      <c r="AR64" s="24" t="n"/>
      <c r="AS64" s="1108" t="n"/>
    </row>
    <row r="65" hidden="1" ht="15" customHeight="1" s="985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  <c r="AQ65" s="24" t="n"/>
      <c r="AR65" s="24" t="n"/>
      <c r="AS65" s="1108" t="n"/>
    </row>
    <row r="66" hidden="1" ht="15" customHeight="1" s="985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  <c r="AQ66" s="24" t="n"/>
      <c r="AR66" s="24" t="n"/>
      <c r="AS66" s="1108" t="n"/>
    </row>
    <row r="67" hidden="1" ht="15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>
        <f>AM67/$O$5</f>
        <v/>
      </c>
      <c r="AO67" s="1046">
        <f>AM67/$O$13</f>
        <v/>
      </c>
      <c r="AQ67" s="24" t="n"/>
      <c r="AR67" s="24" t="n"/>
      <c r="AS67" s="1108" t="n"/>
    </row>
    <row r="68" hidden="1" ht="15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>
        <f>AM68/$O$5</f>
        <v/>
      </c>
      <c r="AO68" s="1046">
        <f>AM68/$O$13</f>
        <v/>
      </c>
      <c r="AQ68" s="24" t="n"/>
      <c r="AR68" s="24" t="n"/>
      <c r="AS68" s="1108" t="n"/>
    </row>
    <row r="69" hidden="1" ht="15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>
        <f>AM69/$O$5</f>
        <v/>
      </c>
      <c r="AO69" s="1046">
        <f>AM69/$O$13</f>
        <v/>
      </c>
      <c r="AQ69" s="24" t="n"/>
      <c r="AR69" s="24" t="n"/>
      <c r="AS69" s="1108" t="n"/>
    </row>
    <row r="70" hidden="1" ht="15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>
        <f>AM70/$O$5</f>
        <v/>
      </c>
      <c r="AO70" s="1046">
        <f>AM70/$O$13</f>
        <v/>
      </c>
      <c r="AQ70" s="24" t="n"/>
      <c r="AR70" s="24" t="n"/>
      <c r="AS70" s="1108" t="n"/>
    </row>
    <row r="71" hidden="1" ht="15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  <c r="AQ71" s="349" t="n"/>
      <c r="AR71" s="349" t="n"/>
      <c r="AS71" s="1115" t="n"/>
    </row>
    <row r="72" ht="15" customHeight="1" s="985">
      <c r="B72" s="36" t="inlineStr">
        <is>
          <t>FLETES</t>
        </is>
      </c>
      <c r="C72" s="37" t="n"/>
      <c r="D72" s="67" t="n"/>
      <c r="E72" s="1071" t="n"/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 t="n"/>
      <c r="N72" s="1049" t="n"/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67" t="n"/>
      <c r="AL72" s="68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  <c r="AQ72" s="29">
        <f>SUM(AQ73:AQ74)</f>
        <v/>
      </c>
      <c r="AR72" s="29" t="n"/>
      <c r="AS72" s="1110" t="n"/>
    </row>
    <row r="73" ht="15" customHeight="1" s="985">
      <c r="B73" s="412" t="inlineStr">
        <is>
          <t>PREPARADOS PROPIOS</t>
        </is>
      </c>
      <c r="C73" s="37" t="n"/>
      <c r="D73" s="67" t="n"/>
      <c r="E73" s="1071" t="n"/>
      <c r="F73" s="304" t="n"/>
      <c r="G73" s="305" t="n"/>
      <c r="H73" s="1111" t="n"/>
      <c r="I73" s="304" t="n"/>
      <c r="J73" s="305" t="n"/>
      <c r="K73" s="1111" t="n"/>
      <c r="L73" s="304" t="n"/>
      <c r="M73" s="305" t="n"/>
      <c r="N73" s="1111" t="n"/>
      <c r="O73" s="304" t="n"/>
      <c r="P73" s="305" t="n"/>
      <c r="Q73" s="1111" t="n"/>
      <c r="R73" s="304" t="n"/>
      <c r="S73" s="305" t="n"/>
      <c r="T73" s="1111" t="n"/>
      <c r="U73" s="304" t="n"/>
      <c r="V73" s="305" t="n"/>
      <c r="W73" s="1111" t="n"/>
      <c r="X73" s="304" t="n"/>
      <c r="Y73" s="305" t="n"/>
      <c r="Z73" s="1111" t="n"/>
      <c r="AA73" s="304" t="n"/>
      <c r="AB73" s="305" t="n"/>
      <c r="AC73" s="1111" t="n"/>
      <c r="AD73" s="304" t="n"/>
      <c r="AE73" s="305" t="n"/>
      <c r="AF73" s="1111" t="n"/>
      <c r="AG73" s="304" t="n"/>
      <c r="AH73" s="305" t="n"/>
      <c r="AI73" s="1111" t="n"/>
      <c r="AJ73" s="304" t="n"/>
      <c r="AK73" s="305" t="n"/>
      <c r="AL73" s="86" t="n"/>
      <c r="AM73" s="414">
        <f>C73+F73+I73+L73+O73+R73+U73+X73+AA73+AD73+AG73+AJ73</f>
        <v/>
      </c>
      <c r="AN73" s="305" t="n"/>
      <c r="AO73" s="1117" t="n"/>
      <c r="AQ73" s="298" t="n"/>
      <c r="AR73" s="298" t="n"/>
      <c r="AS73" s="1113" t="n"/>
    </row>
    <row r="74" ht="15" customHeight="1" s="985">
      <c r="B74" s="416" t="inlineStr">
        <is>
          <t>PREPARADOS TERCEROS</t>
        </is>
      </c>
      <c r="C74" s="37" t="n"/>
      <c r="D74" s="67" t="n"/>
      <c r="E74" s="1071" t="n"/>
      <c r="F74" s="83" t="n"/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8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8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85" t="n"/>
      <c r="AM74" s="206">
        <f>C74+F74+I74+L74+O74+R74+U74+X74+AA74+AD74+AG74+AJ74</f>
        <v/>
      </c>
      <c r="AN74" s="84" t="n"/>
      <c r="AO74" s="1114" t="n"/>
      <c r="AQ74" s="349" t="n"/>
      <c r="AR74" s="349" t="n"/>
      <c r="AS74" s="1115" t="n"/>
    </row>
    <row r="75" ht="15" customHeight="1" s="985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>
        <f>AM75/AM$13</f>
        <v/>
      </c>
      <c r="AQ75" s="38" t="n"/>
      <c r="AR75" s="38" t="n"/>
      <c r="AS75" s="1106" t="n"/>
    </row>
    <row r="76" ht="15" customHeight="1" s="985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  <c r="AQ76" s="38" t="n"/>
      <c r="AR76" s="38" t="n"/>
      <c r="AS76" s="1106" t="n"/>
    </row>
    <row r="77" ht="15" customHeight="1" s="985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  <c r="AQ77" s="27" t="n"/>
      <c r="AR77" s="27" t="n"/>
      <c r="AS77" s="1119" t="n"/>
    </row>
    <row r="78" ht="15" customHeight="1" s="985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 t="n"/>
      <c r="O78" s="49">
        <f>SUM(O79:O81)</f>
        <v/>
      </c>
      <c r="P78" s="3" t="n"/>
      <c r="Q78" s="1053" t="n"/>
      <c r="R78" s="49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  <c r="AQ78" s="17">
        <f>SUM(AQ79:AQ81)</f>
        <v/>
      </c>
      <c r="AR78" s="17" t="n"/>
      <c r="AS78" s="1105" t="n"/>
    </row>
    <row r="79" ht="15" customHeight="1" s="985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  <c r="AQ79" s="621" t="n"/>
      <c r="AR79" s="621" t="n"/>
      <c r="AS79" s="1120" t="n"/>
    </row>
    <row r="80" ht="15" customHeight="1" s="985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  <c r="AQ80" s="24" t="n"/>
      <c r="AR80" s="24" t="n"/>
      <c r="AS80" s="1108" t="n"/>
    </row>
    <row r="81" ht="15" customHeight="1" s="985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  <c r="AQ81" s="98" t="n"/>
      <c r="AR81" s="98" t="n"/>
      <c r="AS81" s="1121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  <c r="AQ82" s="136" t="n"/>
      <c r="AR82" s="136" t="n"/>
      <c r="AS82" s="1122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 t="n"/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 t="n"/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>
        <f>AJ83/(AJ$13)</f>
        <v/>
      </c>
      <c r="AM83" s="583">
        <f>C83+F83+I83+L83+O83+R83+U83+X83+AA83+AD83+AG83+AJ83</f>
        <v/>
      </c>
      <c r="AN83" s="492" t="n"/>
      <c r="AO83" s="1081">
        <f>AM83/(AM$13)</f>
        <v/>
      </c>
      <c r="AQ83" s="627">
        <f>+AQ84+AQ89+AQ92+AQ96+AQ99+AQ109+AQ114+AQ120+AQ123+AQ127</f>
        <v/>
      </c>
      <c r="AR83" s="627" t="n"/>
      <c r="AS83" s="1104" t="n"/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 t="n"/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 t="n"/>
      <c r="O84" s="49">
        <f>SUM(O85:O88)</f>
        <v/>
      </c>
      <c r="P84" s="3" t="n"/>
      <c r="Q84" s="1053" t="n"/>
      <c r="R84" s="49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>
        <f>AJ84/(AJ$13)</f>
        <v/>
      </c>
      <c r="AM84" s="16">
        <f>C84+F84+I84+L84+O84+R84+U84+X84+AA84+AD84+AG84+AJ84</f>
        <v/>
      </c>
      <c r="AN84" s="3" t="n"/>
      <c r="AO84" s="1076">
        <f>AM84/(AM$13)</f>
        <v/>
      </c>
      <c r="AQ84" s="17">
        <f>SUM(AQ85:AQ88)</f>
        <v/>
      </c>
      <c r="AR84" s="17" t="n"/>
      <c r="AS84" s="1105" t="n"/>
    </row>
    <row r="85" ht="15" customHeight="1" s="985">
      <c r="B85" s="39" t="inlineStr">
        <is>
          <t>Costos Indirectos de Personal</t>
        </is>
      </c>
      <c r="C85" s="39" t="n"/>
      <c r="D85" s="69" t="n"/>
      <c r="E85" s="1077" t="n"/>
      <c r="F85" s="25" t="n"/>
      <c r="G85" s="69" t="n"/>
      <c r="H85" s="1077" t="n"/>
      <c r="I85" s="25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  <c r="AQ85" s="31" t="n"/>
      <c r="AR85" s="31" t="n"/>
      <c r="AS85" s="1123" t="n"/>
    </row>
    <row r="86" ht="15" customHeight="1" s="985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  <c r="AQ86" s="24" t="n"/>
      <c r="AR86" s="24" t="n"/>
      <c r="AS86" s="1108" t="n"/>
    </row>
    <row r="87" ht="15" customHeight="1" s="985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  <c r="AQ87" s="24" t="n"/>
      <c r="AR87" s="24" t="n"/>
      <c r="AS87" s="1108" t="n"/>
    </row>
    <row r="88" ht="15" customHeight="1" s="985">
      <c r="B88" s="206" t="inlineStr">
        <is>
          <t>Inacapacidades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  <c r="AQ88" s="349" t="n"/>
      <c r="AR88" s="349" t="n"/>
      <c r="AS88" s="1115" t="n"/>
    </row>
    <row r="89" ht="15" customHeight="1" s="985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 t="n"/>
      <c r="O89" s="49">
        <f>SUM(O90:O91)</f>
        <v/>
      </c>
      <c r="P89" s="3" t="n"/>
      <c r="Q89" s="1053" t="n"/>
      <c r="R89" s="49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  <c r="AQ89" s="17" t="n"/>
      <c r="AR89" s="17" t="n"/>
      <c r="AS89" s="1105" t="n"/>
    </row>
    <row r="90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  <c r="AQ90" s="31" t="n"/>
      <c r="AR90" s="31" t="n"/>
      <c r="AS90" s="1123" t="n"/>
    </row>
    <row r="91" outlineLevel="1" ht="15" customHeight="1" s="985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  <c r="AQ91" s="349" t="n"/>
      <c r="AR91" s="349" t="n"/>
      <c r="AS91" s="1115" t="n"/>
    </row>
    <row r="92" ht="15" customHeight="1" s="985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 t="n"/>
      <c r="O92" s="49">
        <f>SUM(O93:O95)</f>
        <v/>
      </c>
      <c r="P92" s="3" t="n"/>
      <c r="Q92" s="1053" t="n"/>
      <c r="R92" s="49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  <c r="AQ92" s="17" t="n"/>
      <c r="AR92" s="17" t="n"/>
      <c r="AS92" s="1105" t="n"/>
    </row>
    <row r="93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  <c r="AQ93" s="31" t="n"/>
      <c r="AR93" s="31" t="n"/>
      <c r="AS93" s="1123" t="n"/>
    </row>
    <row r="94" outlineLevel="1" ht="15" customHeight="1" s="985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  <c r="AQ94" s="24" t="n"/>
      <c r="AR94" s="24" t="n"/>
      <c r="AS94" s="1108" t="n"/>
    </row>
    <row r="95" outlineLevel="1" ht="15" customHeight="1" s="985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  <c r="AQ95" s="27" t="n"/>
      <c r="AR95" s="27" t="n"/>
      <c r="AS95" s="1119" t="n"/>
    </row>
    <row r="96" ht="15" customHeight="1" s="985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 t="n"/>
      <c r="O96" s="49">
        <f>SUM(O97:O98)</f>
        <v/>
      </c>
      <c r="P96" s="3" t="n"/>
      <c r="Q96" s="1053" t="n"/>
      <c r="R96" s="49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  <c r="AQ96" s="17">
        <f>SUM(AQ97:AQ98)</f>
        <v/>
      </c>
      <c r="AR96" s="17" t="n"/>
      <c r="AS96" s="1105" t="n"/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31" t="n"/>
      <c r="AR97" s="31" t="n"/>
      <c r="AS97" s="1123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79" t="n"/>
      <c r="AR98" s="279" t="n"/>
      <c r="AS98" s="1125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 t="n"/>
      <c r="O99" s="49">
        <f>SUM(O100:O108)</f>
        <v/>
      </c>
      <c r="P99" s="3" t="n"/>
      <c r="Q99" s="1053" t="n"/>
      <c r="R99" s="49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  <c r="AQ99" s="17" t="n"/>
      <c r="AR99" s="17" t="n"/>
      <c r="AS99" s="1105" t="n"/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  <c r="AQ100" s="31" t="n"/>
      <c r="AR100" s="31" t="n"/>
      <c r="AS100" s="1123" t="n"/>
    </row>
    <row r="101" outlineLevel="1" ht="15" customHeight="1" s="985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  <c r="AQ101" s="24" t="n"/>
      <c r="AR101" s="24" t="n"/>
      <c r="AS101" s="1108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  <c r="AQ102" s="24" t="n"/>
      <c r="AR102" s="24" t="n"/>
      <c r="AS102" s="1108" t="n"/>
    </row>
    <row r="103" outlineLevel="1" ht="15" customHeight="1" s="985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  <c r="AQ103" s="24" t="n"/>
      <c r="AR103" s="24" t="n"/>
      <c r="AS103" s="1108" t="n"/>
    </row>
    <row r="104" outlineLevel="1" ht="15" customHeight="1" s="985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  <c r="AQ104" s="24" t="n"/>
      <c r="AR104" s="24" t="n"/>
      <c r="AS104" s="1108" t="n"/>
    </row>
    <row r="105" outlineLevel="1" ht="15" customHeight="1" s="985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  <c r="AQ105" s="24" t="n"/>
      <c r="AR105" s="24" t="n"/>
      <c r="AS105" s="1108" t="n"/>
    </row>
    <row r="106" outlineLevel="1" ht="15" customHeight="1" s="985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  <c r="AQ106" s="24" t="n"/>
      <c r="AR106" s="24" t="n"/>
      <c r="AS106" s="1108" t="n"/>
    </row>
    <row r="107" outlineLevel="1" ht="15" customHeight="1" s="985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274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  <c r="AQ107" s="24" t="n"/>
      <c r="AR107" s="24" t="n"/>
      <c r="AS107" s="1108" t="n"/>
    </row>
    <row r="108" outlineLevel="1" ht="15" customHeight="1" s="985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2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  <c r="AQ108" s="23" t="n"/>
      <c r="AR108" s="23" t="n"/>
      <c r="AS108" s="1107" t="n"/>
    </row>
    <row r="109" ht="15" customHeight="1" s="985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 t="n"/>
      <c r="O109" s="49">
        <f>SUM(O110:O113)</f>
        <v/>
      </c>
      <c r="P109" s="3" t="n"/>
      <c r="Q109" s="1053" t="n"/>
      <c r="R109" s="49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  <c r="AQ109" s="17">
        <f>SUM(AQ110:AQ113)</f>
        <v/>
      </c>
      <c r="AR109" s="17" t="n"/>
      <c r="AS109" s="1105" t="n"/>
    </row>
    <row r="110" outlineLevel="1" ht="15" customHeight="1" s="985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  <c r="AQ110" s="31" t="n"/>
      <c r="AR110" s="31" t="n"/>
      <c r="AS110" s="1123" t="n"/>
    </row>
    <row r="111" outlineLevel="1" ht="15" customHeight="1" s="985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  <c r="AQ111" s="24" t="n"/>
      <c r="AR111" s="24" t="n"/>
      <c r="AS111" s="1108" t="n"/>
    </row>
    <row r="112" outlineLevel="1" ht="15" customHeight="1" s="985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  <c r="AQ112" s="24" t="n"/>
      <c r="AR112" s="24" t="n"/>
      <c r="AS112" s="1108" t="n"/>
    </row>
    <row r="113" outlineLevel="1" ht="15" customHeight="1" s="985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  <c r="AQ113" s="27" t="n"/>
      <c r="AR113" s="27" t="n"/>
      <c r="AS113" s="1119" t="n"/>
    </row>
    <row r="114" ht="15" customHeight="1" s="985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 t="n"/>
      <c r="O114" s="49">
        <f>SUM(O115:O116)</f>
        <v/>
      </c>
      <c r="P114" s="3" t="n"/>
      <c r="Q114" s="1053" t="n"/>
      <c r="R114" s="49">
        <f>SUM(R115:R116)</f>
        <v/>
      </c>
      <c r="S114" s="3" t="n"/>
      <c r="T114" s="1053">
        <f>R114/(R$13)</f>
        <v/>
      </c>
      <c r="U114" s="49">
        <f>SUM(U115:U119)</f>
        <v/>
      </c>
      <c r="V114" s="3" t="n"/>
      <c r="W114" s="1053">
        <f>U114/(U$13)</f>
        <v/>
      </c>
      <c r="X114" s="49">
        <f>SUM(X115:X118)</f>
        <v/>
      </c>
      <c r="Y114" s="3" t="n"/>
      <c r="Z114" s="1053">
        <f>X114/(X$13)</f>
        <v/>
      </c>
      <c r="AA114" s="49">
        <f>SUM(AA115:AA118)</f>
        <v/>
      </c>
      <c r="AB114" s="3" t="n"/>
      <c r="AC114" s="1053">
        <f>AA114/(AA$13)</f>
        <v/>
      </c>
      <c r="AD114" s="49">
        <f>SUM(AD115:AD118)</f>
        <v/>
      </c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  <c r="AQ114" s="17">
        <f>SUM(AQ115:AQ119)</f>
        <v/>
      </c>
      <c r="AR114" s="17" t="n"/>
      <c r="AS114" s="1105" t="n"/>
    </row>
    <row r="115" outlineLevel="1" ht="15" customHeight="1" s="985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  <c r="AQ115" s="31" t="n"/>
      <c r="AR115" s="31" t="n"/>
      <c r="AS115" s="1123" t="n"/>
    </row>
    <row r="116" outlineLevel="1" ht="15" customHeight="1" s="985">
      <c r="A116" s="226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  <c r="AQ116" s="24" t="n"/>
      <c r="AR116" s="24" t="n"/>
      <c r="AS116" s="1108" t="n"/>
    </row>
    <row r="117" outlineLevel="1" ht="15" customHeight="1" s="985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  <c r="AQ117" s="24" t="n"/>
      <c r="AR117" s="24" t="n"/>
      <c r="AS117" s="1108" t="n"/>
    </row>
    <row r="118" outlineLevel="1" ht="15" customHeight="1" s="985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  <c r="AQ118" s="24" t="n"/>
      <c r="AR118" s="24" t="n"/>
      <c r="AS118" s="1108" t="n"/>
    </row>
    <row r="119" outlineLevel="1" ht="15" customHeight="1" s="985">
      <c r="A119" s="226" t="inlineStr">
        <is>
          <t xml:space="preserve">73456001            </t>
        </is>
      </c>
      <c r="B119" s="97" t="inlineStr">
        <is>
          <t xml:space="preserve">Acueductos, planta y redes              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  <c r="AQ119" s="23" t="n"/>
      <c r="AR119" s="23" t="n"/>
      <c r="AS119" s="1107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 t="n"/>
      <c r="O120" s="49">
        <f>SUM(O121)</f>
        <v/>
      </c>
      <c r="P120" s="3" t="n"/>
      <c r="Q120" s="1053" t="n"/>
      <c r="R120" s="49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>
        <f>AA120/(AA$13)</f>
        <v/>
      </c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  <c r="AQ120" s="17">
        <f>SUM(AQ121:AQ122)</f>
        <v/>
      </c>
      <c r="AR120" s="17" t="n"/>
      <c r="AS120" s="1105" t="n"/>
    </row>
    <row r="121" ht="15" customHeight="1" s="985">
      <c r="A121" s="226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  <c r="AQ121" s="31" t="n"/>
      <c r="AR121" s="31" t="n"/>
      <c r="AS121" s="1123" t="n"/>
    </row>
    <row r="122" ht="15" customHeight="1" s="985">
      <c r="A122" s="226" t="inlineStr">
        <is>
          <t xml:space="preserve">73501501            </t>
        </is>
      </c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  <c r="AQ122" s="133" t="n"/>
      <c r="AR122" s="133" t="n"/>
      <c r="AS122" s="1126" t="n"/>
    </row>
    <row r="123" ht="15" customHeight="1" s="985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 t="n"/>
      <c r="O123" s="49">
        <f>SUM(O124:O126)</f>
        <v/>
      </c>
      <c r="P123" s="3" t="n"/>
      <c r="Q123" s="1053" t="n"/>
      <c r="R123" s="49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  <c r="AQ123" s="17">
        <f>SUM(AQ124:AQ126)</f>
        <v/>
      </c>
      <c r="AR123" s="17" t="n"/>
      <c r="AS123" s="1105" t="n"/>
    </row>
    <row r="124" outlineLevel="1" ht="15" customHeight="1" s="985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  <c r="AQ124" s="31" t="n"/>
      <c r="AR124" s="31" t="n"/>
      <c r="AS124" s="1123" t="n"/>
    </row>
    <row r="125" outlineLevel="1" ht="15" customHeight="1" s="985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  <c r="AQ125" s="24" t="n"/>
      <c r="AR125" s="24" t="n"/>
      <c r="AS125" s="1108" t="n"/>
    </row>
    <row r="126" outlineLevel="1" ht="15" customHeight="1" s="985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  <c r="AQ126" s="27" t="n"/>
      <c r="AR126" s="27" t="n"/>
      <c r="AS126" s="1119" t="n"/>
    </row>
    <row r="127" ht="15" customHeight="1" s="985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 t="n"/>
      <c r="O127" s="49">
        <f>SUM(O128:O142)</f>
        <v/>
      </c>
      <c r="P127" s="3" t="n"/>
      <c r="Q127" s="1053" t="n"/>
      <c r="R127" s="49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  <c r="AQ127" s="17">
        <f>SUM(AQ128:AQ142)</f>
        <v/>
      </c>
      <c r="AR127" s="17" t="n"/>
      <c r="AS127" s="1105" t="n"/>
    </row>
    <row r="128" outlineLevel="1" ht="15" customHeight="1" s="985">
      <c r="A128" s="226" t="inlineStr">
        <is>
          <t xml:space="preserve">73951001            </t>
        </is>
      </c>
      <c r="B128" s="39" t="inlineStr">
        <is>
          <t xml:space="preserve">Bioseguridad 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  <c r="AQ128" s="31" t="n"/>
      <c r="AR128" s="31" t="n"/>
      <c r="AS128" s="1123" t="n"/>
    </row>
    <row r="129" outlineLevel="1" ht="15" customHeight="1" s="985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  <c r="AQ129" s="24" t="n"/>
      <c r="AR129" s="24" t="n"/>
      <c r="AS129" s="1108" t="n"/>
    </row>
    <row r="130" outlineLevel="1" ht="15" customHeight="1" s="985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  <c r="AQ130" s="24" t="n"/>
      <c r="AR130" s="24" t="n"/>
      <c r="AS130" s="1108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  <c r="AQ131" s="24" t="n"/>
      <c r="AR131" s="24" t="n"/>
      <c r="AS131" s="1108" t="n"/>
    </row>
    <row r="132" outlineLevel="1" ht="15" customHeight="1" s="985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  <c r="AQ132" s="24" t="n"/>
      <c r="AR132" s="24" t="n"/>
      <c r="AS132" s="1108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  <c r="AQ133" s="24" t="n"/>
      <c r="AR133" s="24" t="n"/>
      <c r="AS133" s="1108" t="n"/>
    </row>
    <row r="134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  <c r="AQ134" s="24" t="n"/>
      <c r="AR134" s="24" t="n"/>
      <c r="AS134" s="1108" t="n"/>
    </row>
    <row r="135" outlineLevel="1" ht="15" customHeight="1" s="985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  <c r="AQ135" s="24" t="n"/>
      <c r="AR135" s="24" t="n"/>
      <c r="AS135" s="1108" t="n"/>
    </row>
    <row r="136" outlineLevel="1" ht="15" customHeight="1" s="985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  <c r="AQ136" s="24" t="n"/>
      <c r="AR136" s="24" t="n"/>
      <c r="AS136" s="1108" t="n"/>
    </row>
    <row r="137" outlineLevel="1" ht="15" customHeight="1" s="985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  <c r="AQ137" s="24" t="n"/>
      <c r="AR137" s="24" t="n"/>
      <c r="AS137" s="1108" t="n"/>
    </row>
    <row r="138" outlineLevel="1" ht="15" customHeight="1" s="985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  <c r="AQ138" s="24" t="n"/>
      <c r="AR138" s="24" t="n"/>
      <c r="AS138" s="1108" t="n"/>
    </row>
    <row r="139" outlineLevel="1" ht="15" customHeight="1" s="985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  <c r="AQ139" s="23" t="n"/>
      <c r="AR139" s="23" t="n"/>
      <c r="AS139" s="1107" t="n"/>
    </row>
    <row r="140" outlineLevel="1" ht="15" customHeight="1" s="985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  <c r="AQ140" s="23" t="n"/>
      <c r="AR140" s="23" t="n"/>
      <c r="AS140" s="1107" t="n"/>
      <c r="BI140" s="274" t="n"/>
      <c r="BJ140" s="274" t="n"/>
      <c r="BK140" s="274" t="n"/>
    </row>
    <row r="14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  <c r="AQ141" s="23" t="n"/>
      <c r="AR141" s="23" t="n"/>
      <c r="AS141" s="1107" t="n"/>
      <c r="BI141" s="274" t="n"/>
      <c r="BJ141" s="274" t="n"/>
      <c r="BK141" s="274" t="n"/>
    </row>
    <row r="142" outlineLevel="1" ht="15" customHeight="1" s="985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  <c r="AQ142" s="98" t="n"/>
      <c r="AR142" s="98" t="n"/>
      <c r="AS142" s="1121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  <c r="AQ143" s="136" t="n"/>
      <c r="AR143" s="136" t="n"/>
      <c r="AS143" s="1122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  <c r="AQ144" s="628">
        <f>+AQ42-AQ44-AQ83</f>
        <v/>
      </c>
      <c r="AR144" s="628" t="n"/>
      <c r="AS144" s="1130" t="n"/>
    </row>
    <row r="145" ht="15" customHeight="1" s="985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  <c r="AQ145" s="629">
        <f>IFERROR(AQ144/AQ13," ")</f>
        <v/>
      </c>
      <c r="AR145" s="629" t="n"/>
      <c r="AS145" s="1131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  <c r="AQ146" s="633" t="n"/>
      <c r="AR146" s="633" t="n"/>
      <c r="AS146" s="1132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 t="n"/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 t="n"/>
      <c r="O147" s="491">
        <f>SUM(O148:O151)</f>
        <v/>
      </c>
      <c r="P147" s="492" t="n"/>
      <c r="Q147" s="1069" t="n"/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  <c r="AQ147" s="627">
        <f>SUM(AQ148:AQ151)</f>
        <v/>
      </c>
      <c r="AR147" s="627" t="n"/>
      <c r="AS147" s="1104" t="n"/>
    </row>
    <row r="148" ht="15" customHeight="1" s="985">
      <c r="B148" s="18" t="inlineStr">
        <is>
          <t>Gastos Fijos Administracion</t>
        </is>
      </c>
      <c r="C148" s="39" t="n"/>
      <c r="D148" s="69" t="n"/>
      <c r="E148" s="1077" t="n"/>
      <c r="F148" s="39" t="n"/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  <c r="AQ148" s="31" t="n"/>
      <c r="AR148" s="31" t="n"/>
      <c r="AS148" s="1123" t="n"/>
    </row>
    <row r="149" ht="15" customHeight="1" s="985">
      <c r="B149" s="285" t="inlineStr">
        <is>
          <t>Gastos Fijos Directivos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  <c r="AQ149" s="24" t="n"/>
      <c r="AR149" s="24" t="n"/>
      <c r="AS149" s="1108" t="n"/>
    </row>
    <row r="150" ht="15" customHeight="1" s="985">
      <c r="B150" s="107" t="inlineStr">
        <is>
          <t>Gastos Financieros Directos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  <c r="AQ150" s="24" t="n"/>
      <c r="AR150" s="24" t="n"/>
      <c r="AS150" s="1108" t="n"/>
    </row>
    <row r="151" ht="15" customHeight="1" s="985" thickBot="1">
      <c r="B151" s="300" t="inlineStr">
        <is>
          <t>Donaciones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  <c r="AQ151" s="300" t="n"/>
      <c r="AR151" s="300" t="n"/>
      <c r="AS151" s="1133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  <c r="AQ152" s="136" t="n"/>
      <c r="AR152" s="136" t="n"/>
      <c r="AS152" s="1122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  <c r="AQ153" s="630">
        <f>SUM(AQ154:AQ160)</f>
        <v/>
      </c>
      <c r="AR153" s="630" t="n"/>
      <c r="AS153" s="1134" t="n"/>
    </row>
    <row r="154" ht="15" customHeight="1" s="985" thickTop="1">
      <c r="B154" s="1135" t="inlineStr">
        <is>
          <t>Novedades</t>
        </is>
      </c>
      <c r="C154" s="286" t="n"/>
      <c r="D154" s="230" t="n"/>
      <c r="E154" s="1136" t="n"/>
      <c r="F154" s="286" t="n"/>
      <c r="G154" s="230" t="n"/>
      <c r="H154" s="1136" t="n"/>
      <c r="I154" s="286" t="n"/>
      <c r="J154" s="230" t="n"/>
      <c r="K154" s="1136" t="n"/>
      <c r="L154" s="286" t="n"/>
      <c r="M154" s="230" t="n"/>
      <c r="N154" s="1136" t="n"/>
      <c r="O154" s="1172" t="n"/>
      <c r="P154" s="230" t="n"/>
      <c r="Q154" s="1136" t="n"/>
      <c r="R154" s="286" t="n"/>
      <c r="S154" s="230" t="n"/>
      <c r="T154" s="1136" t="n"/>
      <c r="U154" s="287" t="n"/>
      <c r="V154" s="230" t="n"/>
      <c r="W154" s="1136" t="n"/>
      <c r="X154" s="287" t="n"/>
      <c r="Y154" s="230" t="n"/>
      <c r="Z154" s="1136" t="n"/>
      <c r="AA154" s="287" t="n"/>
      <c r="AB154" s="230" t="n"/>
      <c r="AC154" s="1136" t="n"/>
      <c r="AD154" s="287" t="n"/>
      <c r="AE154" s="230" t="n"/>
      <c r="AF154" s="1136" t="n"/>
      <c r="AG154" s="287" t="n"/>
      <c r="AH154" s="230" t="n"/>
      <c r="AI154" s="1136" t="n"/>
      <c r="AJ154" s="287" t="n"/>
      <c r="AK154" s="230" t="n"/>
      <c r="AL154" s="245" t="n"/>
      <c r="AM154" s="718">
        <f>C154+F154+I154+L154+O154+R154+U154+X154+AA154+AD154+AG154+AJ154</f>
        <v/>
      </c>
      <c r="AN154" s="230" t="n"/>
      <c r="AO154" s="1137" t="n"/>
      <c r="AQ154" s="289" t="n"/>
      <c r="AR154" s="289" t="n"/>
      <c r="AS154" s="1138" t="n"/>
    </row>
    <row r="155" ht="15" customHeight="1" s="985">
      <c r="B155" s="1139" t="inlineStr">
        <is>
          <t>Donacion</t>
        </is>
      </c>
      <c r="C155" s="693" t="n"/>
      <c r="D155" s="9" t="n"/>
      <c r="E155" s="1140" t="n"/>
      <c r="F155" s="693" t="n"/>
      <c r="G155" s="9" t="n"/>
      <c r="H155" s="1140" t="n"/>
      <c r="I155" s="694" t="n"/>
      <c r="J155" s="9" t="n"/>
      <c r="K155" s="1140" t="n"/>
      <c r="L155" s="694" t="n"/>
      <c r="M155" s="9" t="n"/>
      <c r="N155" s="1140" t="n"/>
      <c r="O155" s="1179" t="n"/>
      <c r="P155" s="9" t="n"/>
      <c r="Q155" s="1140" t="n"/>
      <c r="R155" s="694" t="n"/>
      <c r="S155" s="9" t="n"/>
      <c r="T155" s="1140" t="n"/>
      <c r="U155" s="694" t="n"/>
      <c r="V155" s="9" t="n"/>
      <c r="W155" s="1140" t="n"/>
      <c r="X155" s="694" t="n"/>
      <c r="Y155" s="9" t="n"/>
      <c r="Z155" s="1140" t="n"/>
      <c r="AA155" s="694" t="n"/>
      <c r="AB155" s="9" t="n"/>
      <c r="AC155" s="1140" t="n"/>
      <c r="AD155" s="1179" t="n"/>
      <c r="AE155" s="9" t="n"/>
      <c r="AF155" s="1140" t="n"/>
      <c r="AG155" s="1179" t="n"/>
      <c r="AH155" s="9" t="n"/>
      <c r="AI155" s="1140" t="n"/>
      <c r="AJ155" s="1179" t="n"/>
      <c r="AK155" s="9" t="n"/>
      <c r="AL155" s="240" t="n"/>
      <c r="AM155" s="294">
        <f>C155+F155+I155+L155+O155+R155+U155+X155+AA155+AD155+AG155+AJ155</f>
        <v/>
      </c>
      <c r="AN155" s="9" t="n"/>
      <c r="AO155" s="1141" t="n"/>
      <c r="AQ155" s="248" t="n"/>
      <c r="AR155" s="248" t="n"/>
      <c r="AS155" s="1142" t="n"/>
    </row>
    <row r="156" ht="15" customHeight="1" s="985">
      <c r="B156" s="1143" t="inlineStr">
        <is>
          <t>Donacion</t>
        </is>
      </c>
      <c r="C156" s="687" t="n"/>
      <c r="D156" s="677" t="n"/>
      <c r="E156" s="1144" t="n"/>
      <c r="F156" s="687" t="n"/>
      <c r="G156" s="677" t="n"/>
      <c r="H156" s="1144" t="n"/>
      <c r="I156" s="688" t="n"/>
      <c r="J156" s="677" t="n"/>
      <c r="K156" s="1144" t="n"/>
      <c r="L156" s="688" t="n"/>
      <c r="M156" s="677" t="n"/>
      <c r="N156" s="1144" t="n"/>
      <c r="O156" s="1199" t="n"/>
      <c r="P156" s="677" t="n"/>
      <c r="Q156" s="1144" t="n"/>
      <c r="R156" s="688" t="n"/>
      <c r="S156" s="677" t="n"/>
      <c r="T156" s="1144" t="n"/>
      <c r="U156" s="688" t="n"/>
      <c r="V156" s="677" t="n"/>
      <c r="W156" s="1144" t="n"/>
      <c r="X156" s="688" t="n"/>
      <c r="Y156" s="677" t="n"/>
      <c r="Z156" s="1144" t="n"/>
      <c r="AA156" s="688" t="n"/>
      <c r="AB156" s="677" t="n"/>
      <c r="AC156" s="1144" t="n"/>
      <c r="AD156" s="1199" t="n"/>
      <c r="AE156" s="677" t="n"/>
      <c r="AF156" s="1144" t="n"/>
      <c r="AG156" s="1199" t="n"/>
      <c r="AH156" s="677" t="n"/>
      <c r="AI156" s="1144" t="n"/>
      <c r="AJ156" s="1199" t="n"/>
      <c r="AK156" s="677" t="n"/>
      <c r="AL156" s="681" t="n"/>
      <c r="AM156" s="715">
        <f>C156+F156+I156+L156+O156+R156+U156+X156+AA156+AD156+AG156+AJ156</f>
        <v/>
      </c>
      <c r="AN156" s="677" t="n"/>
      <c r="AO156" s="1145" t="n"/>
      <c r="AQ156" s="248" t="n"/>
      <c r="AR156" s="248" t="n"/>
      <c r="AS156" s="1142" t="n"/>
    </row>
    <row r="157" ht="15" customHeight="1" s="985">
      <c r="B157" s="1146" t="inlineStr">
        <is>
          <t>Otros Ajustes</t>
        </is>
      </c>
      <c r="C157" s="563" t="n"/>
      <c r="D157" s="553" t="n"/>
      <c r="E157" s="1147" t="n"/>
      <c r="F157" s="563" t="n"/>
      <c r="G157" s="553" t="n"/>
      <c r="H157" s="1147" t="n"/>
      <c r="I157" s="567" t="n"/>
      <c r="J157" s="553" t="n"/>
      <c r="K157" s="1147" t="n"/>
      <c r="L157" s="567" t="n"/>
      <c r="M157" s="553" t="n"/>
      <c r="N157" s="1147" t="n"/>
      <c r="O157" s="567" t="n"/>
      <c r="P157" s="553" t="n"/>
      <c r="Q157" s="1147" t="n"/>
      <c r="R157" s="567" t="n"/>
      <c r="S157" s="553" t="n"/>
      <c r="T157" s="1147" t="n"/>
      <c r="U157" s="567" t="n"/>
      <c r="V157" s="553" t="n"/>
      <c r="W157" s="1147" t="n"/>
      <c r="X157" s="567" t="n"/>
      <c r="Y157" s="553" t="n"/>
      <c r="Z157" s="1147" t="n"/>
      <c r="AA157" s="567" t="n"/>
      <c r="AB157" s="553" t="n"/>
      <c r="AC157" s="1147" t="n"/>
      <c r="AD157" s="567" t="n"/>
      <c r="AE157" s="553" t="n"/>
      <c r="AF157" s="1147" t="n"/>
      <c r="AG157" s="567" t="n"/>
      <c r="AH157" s="553" t="n"/>
      <c r="AI157" s="1147" t="n"/>
      <c r="AJ157" s="567" t="n"/>
      <c r="AK157" s="553" t="n"/>
      <c r="AL157" s="557" t="n"/>
      <c r="AM157" s="294">
        <f>C157+F157+I157+L157+O157+R157+U157+X157+AA157+AD157+AG157+AJ157</f>
        <v/>
      </c>
      <c r="AN157" s="553" t="n"/>
      <c r="AO157" s="1178">
        <f>AM157/AM42</f>
        <v/>
      </c>
      <c r="AQ157" s="561" t="n"/>
      <c r="AR157" s="561" t="n"/>
      <c r="AS157" s="1149" t="n"/>
    </row>
    <row r="158" ht="15" customHeight="1" s="985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567" t="n"/>
      <c r="P158" s="13" t="n"/>
      <c r="Q158" s="1151" t="n"/>
      <c r="R158" s="567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AM158/$AM$42</f>
        <v/>
      </c>
      <c r="AQ158" s="296" t="n"/>
      <c r="AR158" s="296" t="n"/>
      <c r="AS158" s="1153" t="n"/>
    </row>
    <row r="159" ht="15" customHeight="1" s="985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567" t="n"/>
      <c r="P159" s="13" t="n"/>
      <c r="Q159" s="1151" t="n"/>
      <c r="R159" s="567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>
        <f>AM159/$AM$42</f>
        <v/>
      </c>
      <c r="AQ159" s="296" t="n"/>
      <c r="AR159" s="296" t="n"/>
      <c r="AS159" s="1153" t="n"/>
    </row>
    <row r="160" ht="15" customHeight="1" s="985" thickBot="1">
      <c r="B160" s="1154" t="inlineStr">
        <is>
          <t>Otros Ajustes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233" t="n"/>
      <c r="AO160" s="1156">
        <f>AM160/$AM$42</f>
        <v/>
      </c>
      <c r="AQ160" s="622" t="n"/>
      <c r="AR160" s="622" t="n"/>
      <c r="AS160" s="1157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  <c r="AQ161" s="630">
        <f>AQ144-AQ147-AQ153</f>
        <v/>
      </c>
      <c r="AR161" s="630" t="n"/>
      <c r="AS161" s="1134" t="n"/>
    </row>
    <row r="162" ht="15" customHeight="1" s="985" thickBot="1" thickTop="1">
      <c r="B162" s="65" t="n"/>
      <c r="C162" s="455">
        <f>IFERROR(C161/C13," ")</f>
        <v/>
      </c>
      <c r="D162" s="446" t="n"/>
      <c r="E162" s="1200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  <c r="AQ162" s="631">
        <f>IFERROR(AQ161/AQ13," ")</f>
        <v/>
      </c>
      <c r="AR162" s="631" t="n"/>
      <c r="AS162" s="1134" t="n"/>
    </row>
    <row r="163" ht="10.8" customHeight="1" s="985" thickTop="1"/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1.xml><?xml version="1.0" encoding="utf-8"?>
<worksheet xmlns="http://schemas.openxmlformats.org/spreadsheetml/2006/main">
  <sheetPr codeName="Hoja19">
    <outlinePr summaryBelow="1" summaryRight="1"/>
    <pageSetUpPr/>
  </sheetPr>
  <dimension ref="A2:AT172"/>
  <sheetViews>
    <sheetView zoomScaleNormal="100" workbookViewId="0">
      <pane xSplit="2" ySplit="13" topLeftCell="C144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4.44140625" customWidth="1" style="989" min="18" max="18"/>
    <col width="8.6640625" customWidth="1" style="989" min="19" max="19"/>
    <col width="8.6640625" customWidth="1" style="1033" min="20" max="20"/>
    <col width="14.4414062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7"/>
    <col width="8.6640625" customWidth="1" style="1033" min="38" max="38"/>
    <col width="15.6640625" customWidth="1" style="989" min="39" max="39"/>
    <col width="8.6640625" customWidth="1" style="989" min="40" max="40"/>
    <col width="8.6640625" customWidth="1" style="1033" min="41" max="41"/>
    <col width="7.44140625" customWidth="1" style="2" min="42" max="42"/>
    <col width="11.44140625" customWidth="1" style="2" min="43" max="47"/>
    <col width="11.44140625" customWidth="1" style="2" min="48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PYG COMEDORES CALI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614" t="n"/>
      <c r="AO2" s="1096" t="n"/>
    </row>
    <row r="3" ht="21.75" customHeight="1" s="985" thickBot="1" thickTop="1">
      <c r="B3" s="523" t="inlineStr">
        <is>
          <t xml:space="preserve">DIAS DE ATENCIÓN </t>
        </is>
      </c>
      <c r="C3" s="479" t="n">
        <v>16</v>
      </c>
      <c r="D3" s="480" t="n"/>
      <c r="E3" s="1035" t="n"/>
      <c r="F3" s="479" t="n">
        <v>20</v>
      </c>
      <c r="G3" s="480" t="n"/>
      <c r="H3" s="1035" t="n"/>
      <c r="I3" s="479" t="n">
        <v>21</v>
      </c>
      <c r="J3" s="480" t="n"/>
      <c r="K3" s="1035" t="n"/>
      <c r="L3" s="479" t="n">
        <v>20</v>
      </c>
      <c r="M3" s="480" t="n"/>
      <c r="N3" s="1035" t="n"/>
      <c r="O3" s="479" t="n">
        <v>19</v>
      </c>
      <c r="P3" s="480" t="n"/>
      <c r="Q3" s="1035" t="n"/>
      <c r="R3" s="479" t="n">
        <v>19</v>
      </c>
      <c r="S3" s="480" t="n"/>
      <c r="T3" s="1035" t="n"/>
      <c r="U3" s="479" t="n">
        <v>22</v>
      </c>
      <c r="V3" s="480" t="n"/>
      <c r="W3" s="1035" t="n"/>
      <c r="X3" s="479" t="n">
        <v>19</v>
      </c>
      <c r="Y3" s="480" t="n"/>
      <c r="Z3" s="1035" t="n"/>
      <c r="AA3" s="479" t="n">
        <v>22</v>
      </c>
      <c r="AB3" s="480" t="n"/>
      <c r="AC3" s="1035" t="n"/>
      <c r="AD3" s="479" t="n">
        <v>21</v>
      </c>
      <c r="AE3" s="480" t="n"/>
      <c r="AF3" s="1035" t="n"/>
      <c r="AG3" s="479" t="n">
        <v>19</v>
      </c>
      <c r="AH3" s="480" t="n"/>
      <c r="AI3" s="1035" t="n"/>
      <c r="AJ3" s="479" t="n">
        <v>21</v>
      </c>
      <c r="AK3" s="480" t="n"/>
      <c r="AL3" s="1035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482" t="inlineStr">
        <is>
          <t>ENE</t>
        </is>
      </c>
      <c r="D4" s="483" t="inlineStr">
        <is>
          <t>x racion</t>
        </is>
      </c>
      <c r="E4" s="103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103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SUMINISTRO lunes a viernes</t>
        </is>
      </c>
      <c r="C5" s="257" t="n"/>
      <c r="D5" s="89" t="n"/>
      <c r="E5" s="1041" t="n"/>
      <c r="F5" s="257" t="n"/>
      <c r="G5" s="89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1041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SUMINISTRO lunes a viernes   OP</t>
        </is>
      </c>
      <c r="C6" s="25" t="n"/>
      <c r="D6" s="43" t="n"/>
      <c r="E6" s="1045" t="n"/>
      <c r="F6" s="25" t="n"/>
      <c r="G6" s="89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1045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 xml:space="preserve">SUMINISTRO Fines de Semana  </t>
        </is>
      </c>
      <c r="C7" s="25" t="n"/>
      <c r="D7" s="43" t="n"/>
      <c r="E7" s="1045" t="n"/>
      <c r="F7" s="25" t="n"/>
      <c r="G7" s="89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1045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inlineStr">
        <is>
          <t>Contingencia</t>
        </is>
      </c>
      <c r="C8" s="74" t="n"/>
      <c r="D8" s="43" t="n"/>
      <c r="E8" s="1045" t="n"/>
      <c r="F8" s="25" t="n"/>
      <c r="G8" s="43" t="n"/>
      <c r="H8" s="1045" t="n"/>
      <c r="I8" s="25" t="n"/>
      <c r="J8" s="43" t="n"/>
      <c r="K8" s="1045" t="n"/>
      <c r="L8" s="25" t="n"/>
      <c r="M8" s="43" t="n"/>
      <c r="N8" s="1045" t="n"/>
      <c r="O8" s="25" t="n"/>
      <c r="P8" s="43" t="n"/>
      <c r="Q8" s="1045" t="n"/>
      <c r="R8" s="25" t="n"/>
      <c r="S8" s="43" t="n"/>
      <c r="T8" s="1045" t="n"/>
      <c r="U8" s="25" t="n"/>
      <c r="V8" s="43" t="n"/>
      <c r="W8" s="1045" t="n"/>
      <c r="X8" s="25" t="n"/>
      <c r="Y8" s="43" t="n"/>
      <c r="Z8" s="1045" t="n"/>
      <c r="AA8" s="25" t="n"/>
      <c r="AB8" s="43" t="n"/>
      <c r="AC8" s="1045" t="n"/>
      <c r="AD8" s="25" t="n"/>
      <c r="AE8" s="43" t="n"/>
      <c r="AF8" s="1045" t="n"/>
      <c r="AG8" s="25" t="n"/>
      <c r="AH8" s="43" t="n"/>
      <c r="AI8" s="1045" t="n"/>
      <c r="AJ8" s="74" t="n"/>
      <c r="AK8" s="43" t="n"/>
      <c r="AL8" s="1045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741" t="n"/>
      <c r="C9" s="74" t="n"/>
      <c r="D9" s="43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1045" t="n"/>
      <c r="AM9" s="205">
        <f>C9+F9+I9+L9+O9+R9+U9+X9+AA9+AD9+AG9+AJ9</f>
        <v/>
      </c>
      <c r="AN9" s="43" t="n"/>
      <c r="AO9" s="1046" t="n"/>
    </row>
    <row r="10" ht="15" customFormat="1" customHeight="1" s="223">
      <c r="A10" s="228" t="n"/>
      <c r="B10" s="258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1045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1047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1049" t="n"/>
      <c r="AM12" s="207">
        <f>C12+F12+I12+L12+O12+R12+U12+X12+AA12+AD12+AG12+AJ12</f>
        <v/>
      </c>
      <c r="AN12" s="47" t="n"/>
      <c r="AO12" s="1050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1051" t="n"/>
      <c r="AM13" s="580">
        <f>C13+F13+I13+L13+O13+R13+U13+X13+AA13+AD13+AG13+AJ13</f>
        <v/>
      </c>
      <c r="AN13" s="486" t="n"/>
      <c r="AO13" s="1052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1053" t="n"/>
      <c r="AM14" s="16">
        <f>C14+F14+I14+L14+O14+R14+U14+X14+AA14+AD14+AG14+AJ14</f>
        <v/>
      </c>
      <c r="AN14" s="3" t="n"/>
      <c r="AO14" s="1054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>
        <f>AA15/AA15</f>
        <v/>
      </c>
      <c r="AD15" s="90">
        <f>SUM(AD16:AD22)</f>
        <v/>
      </c>
      <c r="AE15" s="96" t="n"/>
      <c r="AF15" s="1053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1053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5">
      <c r="B16" s="258" t="inlineStr">
        <is>
          <t>SUMINISTRO lunes a viernes</t>
        </is>
      </c>
      <c r="C16" s="257" t="n"/>
      <c r="D16" s="79" t="n"/>
      <c r="E16" s="1055" t="n"/>
      <c r="F16" s="257" t="n"/>
      <c r="G16" s="79" t="n"/>
      <c r="H16" s="1055" t="n"/>
      <c r="I16" s="257" t="n"/>
      <c r="J16" s="79">
        <f>I16/I5</f>
        <v/>
      </c>
      <c r="K16" s="1055" t="n"/>
      <c r="L16" s="257" t="n"/>
      <c r="M16" s="79">
        <f>L16/L5</f>
        <v/>
      </c>
      <c r="N16" s="1055" t="n"/>
      <c r="O16" s="257" t="n"/>
      <c r="P16" s="79">
        <f>O16/O5</f>
        <v/>
      </c>
      <c r="Q16" s="1055" t="n"/>
      <c r="R16" s="257" t="n"/>
      <c r="S16" s="79">
        <f>R16/R5</f>
        <v/>
      </c>
      <c r="T16" s="1055" t="n"/>
      <c r="U16" s="257" t="n"/>
      <c r="V16" s="79">
        <f>U16/U5</f>
        <v/>
      </c>
      <c r="W16" s="1055" t="n"/>
      <c r="X16" s="257" t="n"/>
      <c r="Y16" s="79">
        <f>X16/X5</f>
        <v/>
      </c>
      <c r="Z16" s="1055" t="n"/>
      <c r="AA16" s="257" t="n"/>
      <c r="AB16" s="79">
        <f>AA16/AA5</f>
        <v/>
      </c>
      <c r="AC16" s="1055" t="n"/>
      <c r="AD16" s="257" t="n"/>
      <c r="AE16" s="79">
        <f>AD16/AD5</f>
        <v/>
      </c>
      <c r="AF16" s="1055" t="n"/>
      <c r="AG16" s="257" t="n"/>
      <c r="AH16" s="79">
        <f>AG16/AG5</f>
        <v/>
      </c>
      <c r="AI16" s="1055" t="n"/>
      <c r="AJ16" s="257" t="n"/>
      <c r="AK16" s="79">
        <f>AJ16/AJ5</f>
        <v/>
      </c>
      <c r="AL16" s="1055" t="n"/>
      <c r="AM16" s="212">
        <f>C16+F16+I16+L16+O16+R16+U16+X16+AA16+AD16+AG16+AJ16</f>
        <v/>
      </c>
      <c r="AN16" s="79">
        <f>AM16/(AM5)</f>
        <v/>
      </c>
      <c r="AO16" s="1056">
        <f>AM16/AM$13</f>
        <v/>
      </c>
    </row>
    <row r="17" ht="15" customHeight="1" s="985">
      <c r="B17" s="258" t="inlineStr">
        <is>
          <t>SUMINISTRO lunes a viernes   OP</t>
        </is>
      </c>
      <c r="C17" s="25" t="n"/>
      <c r="D17" s="43" t="n"/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1045" t="n"/>
      <c r="AM17" s="205">
        <f>C17+F17+I17+L17+O17+R17+U17+X17+AA17+AD17+AG17+AJ17</f>
        <v/>
      </c>
      <c r="AN17" s="43" t="n"/>
      <c r="AO17" s="1046">
        <f>AM17/AM$13</f>
        <v/>
      </c>
    </row>
    <row r="18" ht="15" customHeight="1" s="985">
      <c r="B18" s="258" t="inlineStr">
        <is>
          <t xml:space="preserve">SUMINISTRO Fines de Semana    </t>
        </is>
      </c>
      <c r="C18" s="25" t="n"/>
      <c r="D18" s="43" t="n"/>
      <c r="E18" s="1045" t="n"/>
      <c r="F18" s="25" t="n"/>
      <c r="G18" s="43" t="n"/>
      <c r="H18" s="1045" t="n"/>
      <c r="I18" s="25" t="n"/>
      <c r="J18" s="43">
        <f>I18/I7</f>
        <v/>
      </c>
      <c r="K18" s="1045" t="n"/>
      <c r="L18" s="25" t="n"/>
      <c r="M18" s="43">
        <f>L18/L7</f>
        <v/>
      </c>
      <c r="N18" s="1045" t="n"/>
      <c r="O18" s="25" t="n"/>
      <c r="P18" s="43">
        <f>O18/O7</f>
        <v/>
      </c>
      <c r="Q18" s="1045" t="n"/>
      <c r="R18" s="25" t="n"/>
      <c r="S18" s="43">
        <f>R18/R7</f>
        <v/>
      </c>
      <c r="T18" s="1045" t="n"/>
      <c r="U18" s="25" t="n"/>
      <c r="V18" s="43">
        <f>U18/U7</f>
        <v/>
      </c>
      <c r="W18" s="1045" t="n"/>
      <c r="X18" s="25" t="n"/>
      <c r="Y18" s="43">
        <f>X18/X7</f>
        <v/>
      </c>
      <c r="Z18" s="1045" t="n"/>
      <c r="AA18" s="25" t="n"/>
      <c r="AB18" s="43">
        <f>AA18/AA7</f>
        <v/>
      </c>
      <c r="AC18" s="1045" t="n"/>
      <c r="AD18" s="25" t="n"/>
      <c r="AE18" s="43">
        <f>AD18/AD7</f>
        <v/>
      </c>
      <c r="AF18" s="1045" t="n"/>
      <c r="AG18" s="25" t="n"/>
      <c r="AH18" s="43">
        <f>AG18/AG7</f>
        <v/>
      </c>
      <c r="AI18" s="1045" t="n"/>
      <c r="AJ18" s="25" t="n"/>
      <c r="AK18" s="43">
        <f>AJ18/AJ7</f>
        <v/>
      </c>
      <c r="AL18" s="1045" t="n"/>
      <c r="AM18" s="205">
        <f>C18+F18+I18+L18+O18+R18+U18+X18+AA18+AD18+AG18+AJ18</f>
        <v/>
      </c>
      <c r="AN18" s="43">
        <f>AM18/AM7</f>
        <v/>
      </c>
      <c r="AO18" s="1046">
        <f>AM18/AM$13</f>
        <v/>
      </c>
    </row>
    <row r="19" ht="15" customHeight="1" s="985">
      <c r="B19" s="258" t="inlineStr">
        <is>
          <t xml:space="preserve">Contingencia   </t>
        </is>
      </c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1045" t="n"/>
      <c r="AM19" s="205">
        <f>C19+F19+I19+L19+O19+R19+U19+X19+AA19+AD19+AG19+AJ19</f>
        <v/>
      </c>
      <c r="AN19" s="43" t="n"/>
      <c r="AO19" s="1046" t="n"/>
    </row>
    <row r="20" ht="15" customHeight="1" s="985">
      <c r="B20" s="741" t="n"/>
      <c r="C20" s="74" t="n"/>
      <c r="D20" s="43" t="n"/>
      <c r="E20" s="1045" t="n"/>
      <c r="F20" s="7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1045" t="n"/>
      <c r="AM20" s="205">
        <f>C20+F20+I20+L20+O20+R20+U20+X20+AA20+AD20+AG20+AJ20</f>
        <v/>
      </c>
      <c r="AN20" s="43" t="n"/>
      <c r="AO20" s="1046" t="n"/>
    </row>
    <row r="21" ht="15" customHeight="1" s="985">
      <c r="B21" s="433" t="inlineStr">
        <is>
          <t>TRANSPORTE Lunes a viernes</t>
        </is>
      </c>
      <c r="C21" s="75" t="n"/>
      <c r="D21" s="43" t="n"/>
      <c r="E21" s="1045" t="n"/>
      <c r="F21" s="7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1045" t="n"/>
      <c r="AM21" s="205">
        <f>C21+F21+I21+L21+O21+R21+U21+X21+AA21+AD21+AG21+AJ21</f>
        <v/>
      </c>
      <c r="AN21" s="43" t="n"/>
      <c r="AO21" s="1046" t="n"/>
    </row>
    <row r="22" ht="15" customHeight="1" s="985">
      <c r="B22" s="433" t="inlineStr">
        <is>
          <t>TRANSPORTE Fines de Semana</t>
        </is>
      </c>
      <c r="C22" s="51" t="n"/>
      <c r="D22" s="42" t="n"/>
      <c r="E22" s="1057" t="n"/>
      <c r="F22" s="51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1057" t="n"/>
      <c r="AM22" s="97">
        <f>C22+F22+I22+L22+O22+R22+U22+X22+AA22+AD22+AG22+AJ22</f>
        <v/>
      </c>
      <c r="AN22" s="42" t="n"/>
      <c r="AO22" s="1058" t="n"/>
    </row>
    <row r="23" hidden="1" outlineLevel="1" ht="10.2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49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1053" t="n"/>
      <c r="AM23" s="16">
        <f>C23+F23+I23+L23+O23+R23+U23+X23+AA23+AD23+AG23+AJ23</f>
        <v/>
      </c>
      <c r="AN23" s="3" t="n"/>
      <c r="AO23" s="1054" t="n"/>
    </row>
    <row r="24" hidden="1" outlineLevel="1" ht="10.2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1053" t="n"/>
      <c r="AM24" s="16">
        <f>C24+F24+I24+L24+O24+R24+U24+X24+AA24+AD24+AG24+AJ24</f>
        <v/>
      </c>
      <c r="AN24" s="3" t="n"/>
      <c r="AO24" s="1054" t="n"/>
    </row>
    <row r="25" hidden="1" outlineLevel="1" ht="10.2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1059" t="n"/>
      <c r="AM25" s="34">
        <f>C25+F25+I25+L25+O25+R25+U25+X25+AA25+AD25+AG25+AJ25</f>
        <v/>
      </c>
      <c r="AN25" s="52" t="n"/>
      <c r="AO25" s="1060" t="n"/>
    </row>
    <row r="26" hidden="1" outlineLevel="1" ht="10.2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1059" t="n"/>
      <c r="AM26" s="34">
        <f>C26+F26+I26+L26+O26+R26+U26+X26+AA26+AD26+AG26+AJ26</f>
        <v/>
      </c>
      <c r="AN26" s="52" t="n"/>
      <c r="AO26" s="1060" t="n"/>
    </row>
    <row r="27" hidden="1" outlineLevel="1" ht="10.2" customHeight="1" s="985">
      <c r="B27" s="32" t="inlineStr">
        <is>
          <t>otros Fin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1059" t="n"/>
      <c r="AM27" s="34">
        <f>C27+F27+I27+L27+O27+R27+U27+X27+AA27+AD27+AG27+AJ27</f>
        <v/>
      </c>
      <c r="AN27" s="52" t="n"/>
      <c r="AO27" s="1060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49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1053" t="n"/>
      <c r="AM28" s="16">
        <f>C28+F28+I28+L28+O28+R28+U28+X28+AA28+AD28+AG28+AJ28</f>
        <v/>
      </c>
      <c r="AN28" s="3" t="n"/>
      <c r="AO28" s="1054" t="n"/>
    </row>
    <row r="29" ht="15" customHeight="1" s="985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49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766">
        <f>X29/X13</f>
        <v/>
      </c>
      <c r="AA29" s="90">
        <f>SUM(AA30:AA35)</f>
        <v/>
      </c>
      <c r="AB29" s="3" t="n"/>
      <c r="AC29" s="1053">
        <f>AA29/AA13</f>
        <v/>
      </c>
      <c r="AD29" s="90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1053" t="n"/>
      <c r="AM29" s="16">
        <f>C29+F29+I29+L29+O29+R29+U29+X29+AA29+AD29+AG29+AJ29</f>
        <v/>
      </c>
      <c r="AN29" s="3">
        <f>AM29/$AM$5</f>
        <v/>
      </c>
      <c r="AO29" s="1054">
        <f>AM29/AM13</f>
        <v/>
      </c>
    </row>
    <row r="30" hidden="1" outlineLevel="1" ht="15" customHeight="1" s="985"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1055" t="n"/>
      <c r="AM30" s="212">
        <f>C30+F30+I30+L30+O30+R30+U30+X30+AA30+AD30+AG30+AJ30</f>
        <v/>
      </c>
      <c r="AN30" s="79" t="n"/>
      <c r="AO30" s="1056" t="n"/>
    </row>
    <row r="31" hidden="1" outlineLevel="1" ht="15" customHeight="1" s="985" thickBot="1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1045" t="n"/>
      <c r="AM31" s="205">
        <f>C31+F31+I31+L31+O31+R31+U31+X31+AA31+AD31+AG31+AJ31</f>
        <v/>
      </c>
      <c r="AN31" s="43" t="n"/>
      <c r="AO31" s="1046" t="n"/>
    </row>
    <row r="32" hidden="1" outlineLevel="1" ht="15" customHeight="1" s="985" thickBot="1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1045" t="n"/>
      <c r="AM32" s="205">
        <f>C32+F32+I32+L32+O32+R32+U32+X32+AA32+AD32+AG32+AJ32</f>
        <v/>
      </c>
      <c r="AN32" s="43" t="n"/>
      <c r="AO32" s="1046" t="n"/>
    </row>
    <row r="33" hidden="1" outlineLevel="1" ht="15" customHeight="1" s="985" thickBot="1">
      <c r="B33" s="105" t="n"/>
      <c r="C33" s="1062" t="n"/>
      <c r="D33" s="43" t="n"/>
      <c r="E33" s="1045" t="n"/>
      <c r="F33" s="1062" t="n"/>
      <c r="G33" s="43" t="n"/>
      <c r="H33" s="1045" t="n"/>
      <c r="I33" s="1062" t="n"/>
      <c r="J33" s="43" t="n"/>
      <c r="K33" s="1045" t="n"/>
      <c r="L33" s="1062" t="n"/>
      <c r="M33" s="43" t="n"/>
      <c r="N33" s="1045" t="n"/>
      <c r="O33" s="1062" t="n"/>
      <c r="P33" s="43" t="n"/>
      <c r="Q33" s="1045" t="n"/>
      <c r="R33" s="1062" t="n"/>
      <c r="S33" s="43" t="n"/>
      <c r="T33" s="1045" t="n"/>
      <c r="U33" s="1062" t="n"/>
      <c r="V33" s="43" t="n"/>
      <c r="W33" s="1045" t="n"/>
      <c r="X33" s="1062" t="n"/>
      <c r="Y33" s="43" t="n"/>
      <c r="Z33" s="1045" t="n"/>
      <c r="AA33" s="1062" t="n"/>
      <c r="AB33" s="43" t="n"/>
      <c r="AC33" s="1045" t="n"/>
      <c r="AD33" s="1062" t="n"/>
      <c r="AE33" s="43" t="n"/>
      <c r="AF33" s="1045" t="n"/>
      <c r="AG33" s="1062" t="n"/>
      <c r="AH33" s="43" t="n"/>
      <c r="AI33" s="1045" t="n"/>
      <c r="AJ33" s="1062" t="n"/>
      <c r="AK33" s="43" t="n"/>
      <c r="AL33" s="1045" t="n"/>
      <c r="AM33" s="205">
        <f>C33+F33+I33+L33+O33+R33+U33+X33+AA33+AD33+AG33+AJ33</f>
        <v/>
      </c>
      <c r="AN33" s="43" t="n"/>
      <c r="AO33" s="1046" t="n"/>
    </row>
    <row r="34" hidden="1" outlineLevel="1" ht="15" customHeight="1" s="985" thickBot="1">
      <c r="B34" s="105" t="n"/>
      <c r="C34" s="1062" t="n"/>
      <c r="D34" s="43" t="n"/>
      <c r="E34" s="1045" t="n"/>
      <c r="F34" s="1062" t="n"/>
      <c r="G34" s="43" t="n"/>
      <c r="H34" s="1045" t="n"/>
      <c r="I34" s="1062" t="n"/>
      <c r="J34" s="43" t="n"/>
      <c r="K34" s="1045" t="n"/>
      <c r="L34" s="1062" t="n"/>
      <c r="M34" s="43" t="n"/>
      <c r="N34" s="1045" t="n"/>
      <c r="O34" s="1062" t="n"/>
      <c r="P34" s="43" t="n"/>
      <c r="Q34" s="1045" t="n"/>
      <c r="R34" s="1062" t="n"/>
      <c r="S34" s="43" t="n"/>
      <c r="T34" s="1045" t="n"/>
      <c r="U34" s="1062" t="n"/>
      <c r="V34" s="43" t="n"/>
      <c r="W34" s="1045" t="n"/>
      <c r="X34" s="1062" t="n"/>
      <c r="Y34" s="43" t="n"/>
      <c r="Z34" s="1045" t="n"/>
      <c r="AA34" s="1062" t="n"/>
      <c r="AB34" s="43" t="n"/>
      <c r="AC34" s="1045" t="n"/>
      <c r="AD34" s="1062" t="n"/>
      <c r="AE34" s="43" t="n"/>
      <c r="AF34" s="1045" t="n"/>
      <c r="AG34" s="1062" t="n"/>
      <c r="AH34" s="43" t="n"/>
      <c r="AI34" s="1045" t="n"/>
      <c r="AJ34" s="1062" t="n"/>
      <c r="AK34" s="43" t="n"/>
      <c r="AL34" s="1045" t="n"/>
      <c r="AM34" s="205">
        <f>C34+F34+I34+L34+O34+R34+U34+X34+AA34+AD34+AG34+AJ34</f>
        <v/>
      </c>
      <c r="AN34" s="43" t="n"/>
      <c r="AO34" s="1046" t="n"/>
    </row>
    <row r="35" hidden="1" outlineLevel="1" ht="15" customHeight="1" s="985" thickBot="1">
      <c r="B35" s="335" t="n"/>
      <c r="C35" s="1062" t="n"/>
      <c r="D35" s="92" t="n"/>
      <c r="E35" s="1063" t="n"/>
      <c r="F35" s="1062" t="n"/>
      <c r="G35" s="92" t="n"/>
      <c r="H35" s="1063" t="n"/>
      <c r="I35" s="1062" t="n"/>
      <c r="J35" s="92" t="n"/>
      <c r="K35" s="1063" t="n"/>
      <c r="L35" s="1062" t="n"/>
      <c r="M35" s="92" t="n"/>
      <c r="N35" s="1063" t="n"/>
      <c r="O35" s="1062" t="n"/>
      <c r="P35" s="92" t="n"/>
      <c r="Q35" s="1063" t="n"/>
      <c r="R35" s="1062" t="n"/>
      <c r="S35" s="92" t="n"/>
      <c r="T35" s="1063" t="n"/>
      <c r="U35" s="1062" t="n"/>
      <c r="V35" s="92" t="n"/>
      <c r="W35" s="1063" t="n"/>
      <c r="X35" s="1062" t="n"/>
      <c r="Y35" s="92" t="n"/>
      <c r="Z35" s="1063" t="n"/>
      <c r="AA35" s="1062" t="n"/>
      <c r="AB35" s="92" t="n"/>
      <c r="AC35" s="1063" t="n"/>
      <c r="AD35" s="1062" t="n"/>
      <c r="AE35" s="92" t="n"/>
      <c r="AF35" s="1063" t="n"/>
      <c r="AG35" s="1062" t="n"/>
      <c r="AH35" s="92" t="n"/>
      <c r="AI35" s="1063" t="n"/>
      <c r="AJ35" s="1062" t="n"/>
      <c r="AK35" s="92" t="n"/>
      <c r="AL35" s="1063" t="n"/>
      <c r="AM35" s="284">
        <f>C35+F35+I35+L35+O35+R35+U35+X35+AA35+AD35+AG35+AJ35</f>
        <v/>
      </c>
      <c r="AN35" s="92" t="n"/>
      <c r="AO35" s="1064" t="n"/>
    </row>
    <row r="36" hidden="1" outlineLevel="1" ht="15" customFormat="1" customHeight="1" s="108" thickBot="1">
      <c r="A36" s="226" t="n"/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98" t="n"/>
      <c r="AA36" s="25" t="n"/>
      <c r="AB36" s="43" t="n"/>
      <c r="AC36" s="1098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1045" t="n"/>
      <c r="AM36" s="25" t="n"/>
      <c r="AN36" s="43" t="n"/>
      <c r="AO36" s="1046" t="n"/>
    </row>
    <row r="37" hidden="1" outlineLevel="1" ht="15" customHeight="1" s="985" thickBot="1">
      <c r="B37" s="105" t="n"/>
      <c r="C37" s="25" t="n"/>
      <c r="D37" s="43" t="n"/>
      <c r="E37" s="1045" t="n"/>
      <c r="F37" s="25" t="n"/>
      <c r="G37" s="43" t="n"/>
      <c r="H37" s="1045" t="n"/>
      <c r="I37" s="25" t="n"/>
      <c r="J37" s="43" t="n"/>
      <c r="K37" s="1045" t="n"/>
      <c r="L37" s="25" t="n"/>
      <c r="M37" s="43" t="n"/>
      <c r="N37" s="1045" t="n"/>
      <c r="O37" s="25" t="n"/>
      <c r="P37" s="43" t="n"/>
      <c r="Q37" s="1045" t="n"/>
      <c r="R37" s="25" t="n"/>
      <c r="S37" s="43" t="n"/>
      <c r="T37" s="1045" t="n"/>
      <c r="U37" s="25" t="n"/>
      <c r="V37" s="43" t="n"/>
      <c r="W37" s="1045" t="n"/>
      <c r="X37" s="25" t="n"/>
      <c r="Y37" s="43" t="n"/>
      <c r="Z37" s="1045" t="n"/>
      <c r="AA37" s="25" t="n"/>
      <c r="AB37" s="43" t="n"/>
      <c r="AC37" s="1045" t="n"/>
      <c r="AD37" s="25" t="n"/>
      <c r="AE37" s="43" t="n"/>
      <c r="AF37" s="1045" t="n"/>
      <c r="AG37" s="25" t="n"/>
      <c r="AH37" s="43" t="n"/>
      <c r="AI37" s="1045" t="n"/>
      <c r="AJ37" s="25" t="n"/>
      <c r="AK37" s="43" t="n"/>
      <c r="AL37" s="1045" t="n"/>
      <c r="AM37" s="205" t="n"/>
      <c r="AN37" s="43" t="n"/>
      <c r="AO37" s="1046" t="n"/>
    </row>
    <row r="38" hidden="1" outlineLevel="1" ht="15" customHeight="1" s="985" thickBot="1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1057" t="n"/>
      <c r="AM38" s="97" t="n"/>
      <c r="AN38" s="42" t="n"/>
      <c r="AO38" s="1058" t="n"/>
    </row>
    <row r="39" hidden="1" outlineLevel="1" ht="15" customHeight="1" s="985" thickBot="1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1057" t="n"/>
      <c r="AM39" s="97" t="n"/>
      <c r="AN39" s="42" t="n"/>
      <c r="AO39" s="1058" t="n"/>
    </row>
    <row r="40" hidden="1" outlineLevel="1" ht="15" customHeight="1" s="985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1057" t="n"/>
      <c r="AM40" s="97" t="n"/>
      <c r="AN40" s="42" t="n"/>
      <c r="AO40" s="1058" t="n"/>
    </row>
    <row r="41" hidden="1" outlineLevel="1" ht="15" customHeight="1" s="985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1057" t="n"/>
      <c r="AM41" s="97" t="n"/>
      <c r="AN41" s="42" t="n"/>
      <c r="AO41" s="1058" t="n"/>
    </row>
    <row r="42" collapsed="1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1065" t="n"/>
      <c r="AM42" s="578">
        <f>C42+F42+I42+L42+O42+R42+U42+X42+AA42+AD42+AG42+AJ42</f>
        <v/>
      </c>
      <c r="AN42" s="489" t="n"/>
      <c r="AO42" s="1066" t="n"/>
    </row>
    <row r="43" ht="15" customHeight="1" s="985" thickBot="1" thickTop="1">
      <c r="C43" s="885" t="n"/>
      <c r="D43" s="1099" t="n"/>
      <c r="E43" s="1095" t="n"/>
      <c r="F43" s="885" t="n"/>
      <c r="G43" s="700" t="n"/>
      <c r="H43" s="1101" t="n"/>
      <c r="I43" s="705" t="n"/>
      <c r="J43" s="705" t="n"/>
      <c r="K43" s="1101" t="n"/>
      <c r="L43" s="705" t="n"/>
      <c r="M43" s="705" t="n"/>
      <c r="N43" s="1101" t="n"/>
      <c r="O43" s="705" t="n"/>
      <c r="P43" s="705" t="n"/>
      <c r="Q43" s="1101" t="n"/>
      <c r="R43" s="705" t="n"/>
      <c r="S43" s="705" t="n"/>
      <c r="T43" s="1101" t="n"/>
      <c r="U43" s="705" t="n"/>
      <c r="V43" s="705" t="n"/>
      <c r="W43" s="1101" t="n"/>
      <c r="X43" s="705" t="n"/>
      <c r="Y43" s="705" t="n"/>
      <c r="Z43" s="1101" t="n"/>
      <c r="AA43" s="705" t="n"/>
      <c r="AB43" s="705" t="n"/>
      <c r="AC43" s="1101" t="n"/>
      <c r="AD43" s="885" t="n"/>
      <c r="AE43" s="885" t="n"/>
      <c r="AF43" s="1201" t="n"/>
      <c r="AG43" s="885" t="n"/>
      <c r="AH43" s="885" t="n"/>
      <c r="AI43" s="1201" t="n"/>
      <c r="AJ43" s="885" t="n"/>
      <c r="AK43" s="705" t="n"/>
      <c r="AL43" s="705" t="n"/>
      <c r="AM43" s="885" t="n"/>
      <c r="AN43" s="705" t="n"/>
      <c r="AO43" s="1101" t="n"/>
      <c r="AP43" s="700" t="n"/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>
        <f>C44/C$13</f>
        <v/>
      </c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41">
        <f>+L45+L60+L78</f>
        <v/>
      </c>
      <c r="M44" s="442" t="n"/>
      <c r="N44" s="1103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1070">
        <f>AJ44/AJ$13</f>
        <v/>
      </c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5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90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90">
        <f>+AG46+AG57</f>
        <v/>
      </c>
      <c r="AH45" s="763" t="n"/>
      <c r="AI45" s="1159" t="n"/>
      <c r="AJ45" s="49">
        <f>+AJ46+AJ57</f>
        <v/>
      </c>
      <c r="AK45" s="3" t="n"/>
      <c r="AL45" s="1053" t="n"/>
      <c r="AM45" s="16">
        <f>C45+F45+I45+L45+O45+R45+U45+X45+AA45+AD45+AG45+AJ45</f>
        <v/>
      </c>
      <c r="AN45" s="3" t="n"/>
      <c r="AO45" s="1054">
        <f>AM45/AM13</f>
        <v/>
      </c>
    </row>
    <row r="46" ht="15" customHeight="1" s="985">
      <c r="B46" s="36" t="inlineStr">
        <is>
          <t>INSUMOS CI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1071" t="n"/>
      <c r="AM46" s="211">
        <f>C46+F46+I46+L46+O46+R46+U46+X46+AA46+AD46+AG46+AJ46</f>
        <v/>
      </c>
      <c r="AN46" s="67" t="n"/>
      <c r="AO46" s="1072">
        <f>AM46/(AM16+AM18+AM19)</f>
        <v/>
      </c>
    </row>
    <row r="47" ht="15" customHeight="1" s="985">
      <c r="A47" s="226" t="inlineStr">
        <is>
          <t xml:space="preserve">7105                </t>
        </is>
      </c>
      <c r="B47" s="258" t="inlineStr">
        <is>
          <t xml:space="preserve">SUMINISTRO lunes a viernes     </t>
        </is>
      </c>
      <c r="C47" s="76" t="n">
        <v>1848522571.533922</v>
      </c>
      <c r="D47" s="42">
        <f>C47/C12</f>
        <v/>
      </c>
      <c r="E47" s="1057">
        <f>C47/(C16+C18)</f>
        <v/>
      </c>
      <c r="F47" s="76" t="n">
        <v>2190302626.345448</v>
      </c>
      <c r="G47" s="42">
        <f>F47/F12</f>
        <v/>
      </c>
      <c r="H47" s="1202">
        <f>F47/(F16+F18)</f>
        <v/>
      </c>
      <c r="I47" s="76" t="n"/>
      <c r="J47" s="42">
        <f>I47/I12</f>
        <v/>
      </c>
      <c r="K47" s="1057">
        <f>I47/(I16+I18)</f>
        <v/>
      </c>
      <c r="L47" s="76" t="n"/>
      <c r="M47" s="42">
        <f>L47/L12</f>
        <v/>
      </c>
      <c r="N47" s="1057">
        <f>L47/(L16+L18)</f>
        <v/>
      </c>
      <c r="O47" s="76" t="n"/>
      <c r="P47" s="42">
        <f>O47/O12</f>
        <v/>
      </c>
      <c r="Q47" s="1057">
        <f>O47/(O16+O18)</f>
        <v/>
      </c>
      <c r="R47" s="76" t="n"/>
      <c r="S47" s="42">
        <f>R47/R12</f>
        <v/>
      </c>
      <c r="T47" s="1057">
        <f>R47/(R16+R18)</f>
        <v/>
      </c>
      <c r="U47" s="76" t="n"/>
      <c r="V47" s="42">
        <f>U47/U12</f>
        <v/>
      </c>
      <c r="W47" s="1057">
        <f>U47/(U16+U18)</f>
        <v/>
      </c>
      <c r="X47" s="76" t="n"/>
      <c r="Y47" s="42">
        <f>X47/X12</f>
        <v/>
      </c>
      <c r="Z47" s="1057">
        <f>X47/(X16+X18)</f>
        <v/>
      </c>
      <c r="AA47" s="76" t="n"/>
      <c r="AB47" s="42">
        <f>AA47/AA12</f>
        <v/>
      </c>
      <c r="AC47" s="1057">
        <f>AA47/(AA16+AA18)</f>
        <v/>
      </c>
      <c r="AD47" s="76" t="n"/>
      <c r="AE47" s="42">
        <f>AD47/AD12</f>
        <v/>
      </c>
      <c r="AF47" s="1057">
        <f>AD47/(AD16+AD18)</f>
        <v/>
      </c>
      <c r="AG47" s="76" t="n"/>
      <c r="AH47" s="42">
        <f>AG47/AG12</f>
        <v/>
      </c>
      <c r="AI47" s="1057">
        <f>AG47/(AG16+AG18)</f>
        <v/>
      </c>
      <c r="AJ47" s="76" t="n"/>
      <c r="AK47" s="42">
        <f>AJ47/AJ12</f>
        <v/>
      </c>
      <c r="AL47" s="1057">
        <f>AJ47/(AJ16+AJ18)</f>
        <v/>
      </c>
      <c r="AM47" s="97">
        <f>C47+F47+I47+L47+O47+R47+U47+X47+AA47+AD47+AG47+AJ47</f>
        <v/>
      </c>
      <c r="AN47" s="42">
        <f>AM47/(AM5+AM7+AM8)</f>
        <v/>
      </c>
      <c r="AO47" s="1057">
        <f>AM47/(AM16+AM18+AM19)</f>
        <v/>
      </c>
    </row>
    <row r="48" ht="15" customHeight="1" s="985">
      <c r="B48" s="258" t="inlineStr">
        <is>
          <t xml:space="preserve">SUMINISTRO lunes a viernes   OP    </t>
        </is>
      </c>
      <c r="C48" s="75" t="n"/>
      <c r="D48" s="43" t="n"/>
      <c r="E48" s="1045" t="n"/>
      <c r="F48" s="7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5" t="n"/>
    </row>
    <row r="49" ht="15" customFormat="1" customHeight="1" s="108">
      <c r="A49" s="229" t="n"/>
      <c r="B49" s="741" t="inlineStr">
        <is>
          <t xml:space="preserve">SUMINISTRO Fines de Semana     </t>
        </is>
      </c>
      <c r="C49" s="75" t="n"/>
      <c r="D49" s="43" t="n"/>
      <c r="E49" s="1045" t="n"/>
      <c r="F49" s="7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1045" t="n"/>
      <c r="AM49" s="205">
        <f>C49+F49+I49+L49+O49+R49+U49+X49+AA49+AD49+AG49+AJ49</f>
        <v/>
      </c>
      <c r="AN49" s="43">
        <f>AM49/AM7</f>
        <v/>
      </c>
      <c r="AO49" s="1045">
        <f>AM49/AM18</f>
        <v/>
      </c>
      <c r="AQ49" s="2" t="n"/>
      <c r="AR49" s="2" t="n"/>
    </row>
    <row r="50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1045" t="n"/>
      <c r="AM50" s="205">
        <f>C50+F50+I50+L50+O50+R50+U50+X50+AA50+AD50+AG50+AJ50</f>
        <v/>
      </c>
      <c r="AN50" s="43" t="n"/>
      <c r="AO50" s="1046" t="n"/>
    </row>
    <row r="51" hidden="1" ht="14.4" customHeight="1" s="985">
      <c r="B51" s="258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351" t="n"/>
      <c r="AE51" s="43" t="n"/>
      <c r="AF51" s="1045" t="n"/>
      <c r="AG51" s="1109" t="n"/>
      <c r="AH51" s="43" t="n"/>
      <c r="AI51" s="1045" t="n"/>
      <c r="AJ51" s="25" t="n"/>
      <c r="AK51" s="43" t="n"/>
      <c r="AL51" s="1045" t="n"/>
      <c r="AM51" s="205">
        <f>C51+F51+I51+L51+O51+R51+U51+X51+AA51+AD51+AG51+AJ51</f>
        <v/>
      </c>
      <c r="AN51" s="43" t="n"/>
      <c r="AO51" s="1046" t="n"/>
    </row>
    <row r="52" hidden="1" ht="10.2" customHeight="1" s="985">
      <c r="B52" s="411" t="inlineStr">
        <is>
          <t>REFRIGERIOS</t>
        </is>
      </c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1045" t="n"/>
      <c r="AM52" s="205">
        <f>C52+F52+I52+L52+O52+R52+U52+X52+AA52+AD52+AG52+AJ52</f>
        <v/>
      </c>
      <c r="AN52" s="43" t="n"/>
      <c r="AO52" s="1046" t="n"/>
    </row>
    <row r="53" hidden="1" ht="10.2" customHeight="1" s="985">
      <c r="B53" s="25" t="inlineStr">
        <is>
          <t>PAQUETES MANIPULADORAS</t>
        </is>
      </c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1045" t="n"/>
      <c r="AM53" s="205">
        <f>C53+F53+I53+L53+O53+R53+U53+X53+AA53+AD53+AG53+AJ53</f>
        <v/>
      </c>
      <c r="AN53" s="43" t="n"/>
      <c r="AO53" s="1046" t="n"/>
    </row>
    <row r="54" hidden="1" ht="10.2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1045" t="n"/>
      <c r="AM54" s="205" t="n"/>
      <c r="AN54" s="43" t="n"/>
      <c r="AO54" s="1046" t="n"/>
    </row>
    <row r="55" hidden="1" ht="10.2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1045" t="n"/>
      <c r="AM55" s="205" t="n"/>
      <c r="AN55" s="43" t="n"/>
      <c r="AO55" s="1046" t="n"/>
    </row>
    <row r="56" hidden="1" ht="10.2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1057" t="n"/>
      <c r="AM56" s="97" t="n"/>
      <c r="AN56" s="42" t="n"/>
      <c r="AO56" s="1058" t="n"/>
    </row>
    <row r="57" hidden="1" ht="15" customHeight="1" s="985">
      <c r="B57" s="36" t="inlineStr">
        <is>
          <t>FLETES OPERADORES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47" t="n"/>
      <c r="N57" s="1049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47" t="n"/>
      <c r="AI57" s="1049" t="n"/>
      <c r="AJ57" s="46">
        <f>SUM(AJ58:AJ59)</f>
        <v/>
      </c>
      <c r="AK57" s="47" t="n"/>
      <c r="AL57" s="1049" t="n"/>
      <c r="AM57" s="207">
        <f>C57+F57+I57+L57+O57+R57+U57+X57+AA57+AD57+AG57+AJ57</f>
        <v/>
      </c>
      <c r="AN57" s="47">
        <f>AM57/AM12</f>
        <v/>
      </c>
      <c r="AO57" s="1049">
        <f>AM57/AM13</f>
        <v/>
      </c>
    </row>
    <row r="58" hidden="1" ht="15" customHeight="1" s="985">
      <c r="B58" s="412" t="inlineStr">
        <is>
          <t>ENTREGA TERCEROS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1111" t="n"/>
      <c r="AM58" s="414">
        <f>C58+F58+I58+L58+O58+R58+U58+X58+AA58+AD58+AG58+AJ58</f>
        <v/>
      </c>
      <c r="AN58" s="305" t="n"/>
      <c r="AO58" s="1112">
        <f>AM58/AM$13</f>
        <v/>
      </c>
    </row>
    <row r="59" hidden="1" ht="15" customFormat="1" customHeight="1" s="108">
      <c r="A59" s="229" t="n"/>
      <c r="B59" s="416" t="inlineStr">
        <is>
          <t>ENTREGA MATERIA PRIMA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1047" t="n"/>
      <c r="AM59" s="206">
        <f>C59+F59+I59+L59+O59+R59+U59+X59+AA59+AD59+AG59+AJ59</f>
        <v/>
      </c>
      <c r="AN59" s="84" t="n"/>
      <c r="AO59" s="1114">
        <f>AM59/AM$13</f>
        <v/>
      </c>
      <c r="AQ59" s="2" t="n"/>
      <c r="AR59" s="2" t="n"/>
    </row>
    <row r="60" hidden="1" ht="15" customHeight="1" s="985">
      <c r="B60" s="16" t="inlineStr">
        <is>
          <t>COSTOS PREPARADOS</t>
        </is>
      </c>
      <c r="C60" s="49">
        <f>+C61+C72+C75+C76+C77</f>
        <v/>
      </c>
      <c r="D60" s="3" t="n"/>
      <c r="E60" s="1049" t="n"/>
      <c r="F60" s="49">
        <f>+F61+F72+F75+F76+F77</f>
        <v/>
      </c>
      <c r="G60" s="3" t="n"/>
      <c r="H60" s="1049" t="n"/>
      <c r="I60" s="49">
        <f>+I61+I72+I75+I76+I77</f>
        <v/>
      </c>
      <c r="J60" s="3" t="n"/>
      <c r="K60" s="1049" t="n"/>
      <c r="L60" s="49">
        <f>+L61+L72+L75+L76+L77</f>
        <v/>
      </c>
      <c r="M60" s="3" t="n"/>
      <c r="N60" s="1049" t="n"/>
      <c r="O60" s="49">
        <f>+O61+O72+O75+O76+O77</f>
        <v/>
      </c>
      <c r="P60" s="3" t="n"/>
      <c r="Q60" s="1049" t="n"/>
      <c r="R60" s="90">
        <f>+R61+R72+R75+R76+R77</f>
        <v/>
      </c>
      <c r="S60" s="3" t="n"/>
      <c r="T60" s="1049" t="n"/>
      <c r="U60" s="49">
        <f>+U61+U72+U75+U76+U77</f>
        <v/>
      </c>
      <c r="V60" s="3" t="n"/>
      <c r="W60" s="1049" t="n"/>
      <c r="X60" s="49">
        <f>+X61+X72+X75+X76+X77</f>
        <v/>
      </c>
      <c r="Y60" s="3" t="n"/>
      <c r="Z60" s="1049" t="n"/>
      <c r="AA60" s="49">
        <f>+AA61+AA72+AA75+AA76+AA77</f>
        <v/>
      </c>
      <c r="AB60" s="3" t="n"/>
      <c r="AC60" s="1049" t="n"/>
      <c r="AD60" s="49">
        <f>+AD61+AD72+AD75+AD76+AD77</f>
        <v/>
      </c>
      <c r="AE60" s="3" t="n"/>
      <c r="AF60" s="1049" t="n"/>
      <c r="AG60" s="49">
        <f>+AG61+AG72+AG75+AG76+AG77</f>
        <v/>
      </c>
      <c r="AH60" s="3" t="n"/>
      <c r="AI60" s="1049" t="n"/>
      <c r="AJ60" s="49">
        <f>+AJ61+AJ72+AJ75+AJ76+AJ77</f>
        <v/>
      </c>
      <c r="AK60" s="3" t="n"/>
      <c r="AL60" s="1053" t="n"/>
      <c r="AM60" s="16">
        <f>C60+F60+I60+L60+O60+R60+U60+X60+AA60+AD60+AG60+AJ60</f>
        <v/>
      </c>
      <c r="AN60" s="3">
        <f>AM60/$AM$5</f>
        <v/>
      </c>
      <c r="AO60" s="1049">
        <f>AM60/AM$13</f>
        <v/>
      </c>
    </row>
    <row r="61" hidden="1" ht="15" customHeight="1" s="985">
      <c r="B61" s="36" t="inlineStr">
        <is>
          <t>INSUMOS CP</t>
        </is>
      </c>
      <c r="C61" s="37">
        <f>SUM(C62:C71)</f>
        <v/>
      </c>
      <c r="D61" s="67" t="n"/>
      <c r="E61" s="1071" t="n"/>
      <c r="F61" s="46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>
        <f>O61/$O$13</f>
        <v/>
      </c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1071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</row>
    <row r="62" hidden="1" ht="15" customHeight="1" s="985">
      <c r="B62" s="258" t="inlineStr">
        <is>
          <t>COMPLEMENTO PREPARADO (Ins)</t>
        </is>
      </c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1055" t="n"/>
      <c r="AM62" s="212">
        <f>C62+F62+I62+L62+O62+R62+U62+X62+AA62+AD62+AG62+AJ62</f>
        <v/>
      </c>
      <c r="AN62" s="79">
        <f>AM62/$O$5</f>
        <v/>
      </c>
      <c r="AO62" s="1055">
        <f>AM62/$O$13</f>
        <v/>
      </c>
    </row>
    <row r="63" hidden="1" ht="15" customHeight="1" s="985">
      <c r="B63" s="258" t="inlineStr">
        <is>
          <t>ALMUERZO JORNADA UNICA (Ins)</t>
        </is>
      </c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1045" t="n"/>
      <c r="AM63" s="205">
        <f>C63+F63+I63+L63+O63+R63+U63+X63+AA63+AD63+AG63+AJ63</f>
        <v/>
      </c>
      <c r="AN63" s="43">
        <f>AM63/$O$5</f>
        <v/>
      </c>
      <c r="AO63" s="1045">
        <f>AM63/$O$13</f>
        <v/>
      </c>
    </row>
    <row r="64" hidden="1" ht="15" customHeight="1" s="985">
      <c r="B64" s="25" t="n"/>
      <c r="C64" s="82" t="n"/>
      <c r="D64" s="43" t="n"/>
      <c r="E64" s="1045" t="n"/>
      <c r="F64" s="82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1045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</row>
    <row r="65" hidden="1" ht="15" customHeight="1" s="985">
      <c r="B65" s="258" t="inlineStr">
        <is>
          <t>RACION MANIPULADORAS</t>
        </is>
      </c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1045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</row>
    <row r="66" hidden="1" ht="15" customHeight="1" s="985">
      <c r="B66" s="411" t="inlineStr">
        <is>
          <t>MENU ESPECIAL</t>
        </is>
      </c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1045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</row>
    <row r="67" hidden="1" ht="10.2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1045" t="n"/>
      <c r="AM67" s="205" t="n"/>
      <c r="AN67" s="43">
        <f>AM67/$O$5</f>
        <v/>
      </c>
      <c r="AO67" s="1046">
        <f>AM67/$O$13</f>
        <v/>
      </c>
    </row>
    <row r="68" hidden="1" ht="10.2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1045" t="n"/>
      <c r="AM68" s="205" t="n"/>
      <c r="AN68" s="43">
        <f>AM68/$O$5</f>
        <v/>
      </c>
      <c r="AO68" s="1046">
        <f>AM68/$O$13</f>
        <v/>
      </c>
    </row>
    <row r="69" hidden="1" ht="10.2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1045" t="n"/>
      <c r="AM69" s="205" t="n"/>
      <c r="AN69" s="43">
        <f>AM69/$O$5</f>
        <v/>
      </c>
      <c r="AO69" s="1046">
        <f>AM69/$O$13</f>
        <v/>
      </c>
    </row>
    <row r="70" hidden="1" ht="10.2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1045" t="n"/>
      <c r="AM70" s="205" t="n"/>
      <c r="AN70" s="43">
        <f>AM70/$O$5</f>
        <v/>
      </c>
      <c r="AO70" s="1046">
        <f>AM70/$O$13</f>
        <v/>
      </c>
    </row>
    <row r="71" hidden="1" ht="10.2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1047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</row>
    <row r="72" ht="15" customHeight="1" s="985">
      <c r="B72" s="36" t="inlineStr">
        <is>
          <t xml:space="preserve">FLETES 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67">
        <f>AJ72/AJ12</f>
        <v/>
      </c>
      <c r="AL72" s="1071">
        <f>AJ72/AJ13</f>
        <v/>
      </c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5">
      <c r="B73" s="412" t="inlineStr">
        <is>
          <t>PREPARADOS PROPIOS</t>
        </is>
      </c>
      <c r="C73" s="78">
        <f>'GASTOS VEHICULOS'!C25*'%DIST'!B25</f>
        <v/>
      </c>
      <c r="D73" s="79" t="n"/>
      <c r="E73" s="1055" t="n"/>
      <c r="F73" s="304">
        <f>'GASTOS VEHICULOS'!D25*'%DIST'!D25</f>
        <v/>
      </c>
      <c r="G73" s="305" t="n"/>
      <c r="H73" s="1111" t="n"/>
      <c r="I73" s="304">
        <f>'GASTOS VEHICULOS'!E25*'%DIST'!F25</f>
        <v/>
      </c>
      <c r="J73" s="305" t="n"/>
      <c r="K73" s="1111" t="n"/>
      <c r="L73" s="304">
        <f>'GASTOS VEHICULOS'!F25*'%DIST'!H25</f>
        <v/>
      </c>
      <c r="M73" s="305" t="n"/>
      <c r="N73" s="1111" t="n"/>
      <c r="O73" s="78">
        <f>'GASTOS VEHICULOS'!G25*'%DIST'!J25</f>
        <v/>
      </c>
      <c r="P73" s="305" t="n"/>
      <c r="Q73" s="1111" t="n"/>
      <c r="R73" s="304">
        <f>'GASTOS VEHICULOS'!H25*'%DIST'!L25</f>
        <v/>
      </c>
      <c r="S73" s="305" t="n"/>
      <c r="T73" s="1111" t="n"/>
      <c r="U73" s="304">
        <f>'GASTOS VEHICULOS'!I25*'%DIST'!N25</f>
        <v/>
      </c>
      <c r="V73" s="305" t="n"/>
      <c r="W73" s="1111" t="n"/>
      <c r="X73" s="78">
        <f>'GASTOS VEHICULOS'!J25*'%DIST'!P25</f>
        <v/>
      </c>
      <c r="Y73" s="305" t="n"/>
      <c r="Z73" s="1111" t="n"/>
      <c r="AA73" s="78">
        <f>'GASTOS VEHICULOS'!K25*'%DIST'!R25</f>
        <v/>
      </c>
      <c r="AB73" s="305" t="n"/>
      <c r="AC73" s="1111" t="n"/>
      <c r="AD73" s="78">
        <f>'GASTOS VEHICULOS'!L25*'%DIST'!T25</f>
        <v/>
      </c>
      <c r="AE73" s="305" t="n"/>
      <c r="AF73" s="1111" t="n"/>
      <c r="AG73" s="304">
        <f>'GASTOS VEHICULOS'!M25*'%DIST'!V25</f>
        <v/>
      </c>
      <c r="AH73" s="305" t="n"/>
      <c r="AI73" s="1111" t="n"/>
      <c r="AJ73" s="304">
        <f>'GASTOS VEHICULOS'!N25*'%DIST'!X25</f>
        <v/>
      </c>
      <c r="AK73" s="305" t="n"/>
      <c r="AL73" s="1111" t="n"/>
      <c r="AM73" s="414">
        <f>C73+F73+I73+L73+O73+R73+U73+X73+AA73+AD73+AG73+AJ73</f>
        <v/>
      </c>
      <c r="AN73" s="305" t="n"/>
      <c r="AO73" s="1117" t="n"/>
    </row>
    <row r="74" ht="15" customHeight="1" s="985">
      <c r="A74" s="226" t="inlineStr">
        <is>
          <t xml:space="preserve">73355001            </t>
        </is>
      </c>
      <c r="B74" s="416" t="inlineStr">
        <is>
          <t>PREPARADOS TERCEROS</t>
        </is>
      </c>
      <c r="C74" s="273">
        <f>'[9]Hoja 1'!$C$315</f>
        <v/>
      </c>
      <c r="D74" s="134" t="n"/>
      <c r="E74" s="1118" t="n"/>
      <c r="F74" s="83">
        <f>'[10]Hoja 1'!$C$310</f>
        <v/>
      </c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8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8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1047" t="n"/>
      <c r="AM74" s="206">
        <f>C74+F74+I74+L74+O74+R74+U74+X74+AA74+AD74+AG74+AJ74</f>
        <v/>
      </c>
      <c r="AN74" s="84" t="n"/>
      <c r="AO74" s="1047">
        <f>AM72/AM13</f>
        <v/>
      </c>
    </row>
    <row r="75" ht="15" customHeight="1" s="985">
      <c r="A75" s="226" t="inlineStr">
        <is>
          <t xml:space="preserve">71100501            </t>
        </is>
      </c>
      <c r="B75" s="36" t="inlineStr">
        <is>
          <t>Material de empaque</t>
        </is>
      </c>
      <c r="C75" s="37">
        <f>'[9]Hoja 1'!$C$309-9947928.12</f>
        <v/>
      </c>
      <c r="D75" s="67" t="n"/>
      <c r="E75" s="1071" t="n"/>
      <c r="F75" s="37">
        <f>'[10]Hoja 1'!$C$304-10303069.4</f>
        <v/>
      </c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1071" t="n"/>
      <c r="AM75" s="211">
        <f>C75+F75+I75+L75+O75+R75+U75+X75+AA75+AD75+AG75+AJ75</f>
        <v/>
      </c>
      <c r="AN75" s="67" t="n"/>
      <c r="AO75" s="1072">
        <f>AM75/AM$13</f>
        <v/>
      </c>
    </row>
    <row r="76" ht="15" customHeight="1" s="985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1071" t="n"/>
      <c r="AM76" s="211">
        <f>C76+F76+I76+L76+O76+R76+U76+X76+AA76+AD76+AG76+AJ76</f>
        <v/>
      </c>
      <c r="AN76" s="67" t="n"/>
      <c r="AO76" s="1075" t="n"/>
    </row>
    <row r="77" ht="15" customHeight="1" s="985">
      <c r="B77" s="66" t="inlineStr">
        <is>
          <t>Servicio de Gas</t>
        </is>
      </c>
      <c r="C77" s="28" t="n"/>
      <c r="D77" s="45" t="n"/>
      <c r="E77" s="1071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1071" t="n"/>
      <c r="AM77" s="26">
        <f>C77+F77+I77+L77+O77+R77+U77+X77+AA77+AD77+AG77+AJ77</f>
        <v/>
      </c>
      <c r="AN77" s="42" t="n"/>
      <c r="AO77" s="1075" t="n"/>
    </row>
    <row r="78" ht="15" customHeight="1" s="985">
      <c r="B78" s="17" t="inlineStr">
        <is>
          <t>MANO DE OBRA DIRECTA</t>
        </is>
      </c>
      <c r="C78" s="49">
        <f>SUM(C79:C81)</f>
        <v/>
      </c>
      <c r="D78" s="3" t="n"/>
      <c r="E78" s="1053" t="n"/>
      <c r="F78" s="93">
        <f>SUM(F79:F81)</f>
        <v/>
      </c>
      <c r="G78" s="3" t="n"/>
      <c r="H78" s="1053">
        <f>F78/(F$13)</f>
        <v/>
      </c>
      <c r="I78" s="93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90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1053" t="n"/>
      <c r="AM78" s="16">
        <f>C78+F78+I78+L78+O78+R78+U78+X78+AA78+AD78+AG78+AJ78</f>
        <v/>
      </c>
      <c r="AN78" s="3" t="n"/>
      <c r="AO78" s="1076">
        <f>AM78/(AM$13)</f>
        <v/>
      </c>
    </row>
    <row r="79" ht="15" customHeight="1" s="985">
      <c r="B79" s="474" t="inlineStr">
        <is>
          <t>Manipuladoras</t>
        </is>
      </c>
      <c r="C79" s="39" t="n"/>
      <c r="D79" s="267" t="n"/>
      <c r="E79" s="139" t="n"/>
      <c r="F79" s="39" t="n"/>
      <c r="G79" s="267" t="n"/>
      <c r="H79" s="139" t="n"/>
      <c r="I79" s="39" t="n"/>
      <c r="J79" s="267" t="n"/>
      <c r="K79" s="139" t="n"/>
      <c r="L79" s="39" t="n"/>
      <c r="M79" s="267" t="n"/>
      <c r="N79" s="139" t="n"/>
      <c r="O79" s="39" t="n"/>
      <c r="P79" s="267" t="n"/>
      <c r="Q79" s="139" t="n"/>
      <c r="R79" s="39" t="n"/>
      <c r="S79" s="267" t="n"/>
      <c r="T79" s="139" t="n"/>
      <c r="U79" s="39" t="n"/>
      <c r="V79" s="267" t="n"/>
      <c r="W79" s="139" t="n"/>
      <c r="X79" s="39" t="n"/>
      <c r="Y79" s="267" t="n"/>
      <c r="Z79" s="139" t="n"/>
      <c r="AA79" s="39" t="n"/>
      <c r="AB79" s="267" t="n"/>
      <c r="AC79" s="139" t="n"/>
      <c r="AD79" s="39" t="n"/>
      <c r="AE79" s="267" t="n"/>
      <c r="AF79" s="139" t="n"/>
      <c r="AG79" s="39" t="n"/>
      <c r="AH79" s="267" t="n"/>
      <c r="AI79" s="139" t="n"/>
      <c r="AJ79" s="7" t="n"/>
      <c r="AK79" s="69" t="n"/>
      <c r="AL79" s="1077" t="n"/>
      <c r="AM79" s="268">
        <f>C79+F79+I79+L79+O79+R79+U79+X79+AA79+AD79+AG79+AJ79</f>
        <v/>
      </c>
      <c r="AN79" s="4">
        <f>AM79/AM12</f>
        <v/>
      </c>
      <c r="AO79" s="1078" t="n"/>
      <c r="AP79" s="698" t="n"/>
    </row>
    <row r="80" ht="15" customHeight="1" s="985">
      <c r="B80" s="475" t="inlineStr">
        <is>
          <t>Personal Supervisor - Coordinadores</t>
        </is>
      </c>
      <c r="C80" s="25">
        <f>'[21]Hoja 1'!$D$16+'[22]Hoja 1'!$D$16</f>
        <v/>
      </c>
      <c r="D80" s="43" t="n"/>
      <c r="E80" s="1045" t="n"/>
      <c r="F80" s="25">
        <f>'[29]Hoja 1'!$D$17+'[33]Hoja 1'!$D$13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81" t="n"/>
      <c r="AK80" s="43" t="n"/>
      <c r="AL80" s="1045" t="n"/>
      <c r="AM80" s="205">
        <f>C80+F80+I80+L80+O80+R80+U80+X80+AA80+AD80+AG80+AJ80</f>
        <v/>
      </c>
      <c r="AN80" s="43" t="n"/>
      <c r="AO80" s="1046" t="n"/>
      <c r="AP80" s="1099" t="n"/>
    </row>
    <row r="81" ht="15" customHeight="1" s="985" thickBot="1">
      <c r="B81" s="300" t="inlineStr">
        <is>
          <t>Personal Otros OP</t>
        </is>
      </c>
      <c r="C81" s="269" t="n"/>
      <c r="D81" s="214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813" t="n"/>
      <c r="AK81" s="214" t="n"/>
      <c r="AL81" s="1079" t="n"/>
      <c r="AM81" s="213">
        <f>C81+F81+I81+L81+O81+R81+U81+X81+AA81+AD81+AG81+AJ81</f>
        <v/>
      </c>
      <c r="AN81" s="214" t="n"/>
      <c r="AO81" s="1080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1067" t="n"/>
      <c r="AM82" s="136" t="n"/>
      <c r="AN82" s="2" t="n"/>
      <c r="AO82" s="1067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5">
      <c r="B85" s="284" t="inlineStr">
        <is>
          <t>Costos Indirectos de Personal</t>
        </is>
      </c>
      <c r="C85" s="91">
        <f>'GASTOS OPERATIVOS'!C17*'%DIST'!C9</f>
        <v/>
      </c>
      <c r="D85" s="69" t="n"/>
      <c r="E85" s="1077" t="n"/>
      <c r="F85" s="91">
        <f>'GASTOS OPERATIVOS'!D17*'%DIST'!E9</f>
        <v/>
      </c>
      <c r="G85" s="69" t="n"/>
      <c r="H85" s="1077" t="n"/>
      <c r="I85" s="91" t="n"/>
      <c r="J85" s="69" t="n"/>
      <c r="K85" s="1077" t="n"/>
      <c r="L85" s="91" t="n"/>
      <c r="M85" s="69" t="n"/>
      <c r="N85" s="1077" t="n"/>
      <c r="O85" s="91" t="n"/>
      <c r="P85" s="69" t="n"/>
      <c r="Q85" s="1077" t="n"/>
      <c r="R85" s="91" t="n"/>
      <c r="S85" s="69" t="n"/>
      <c r="T85" s="1077" t="n"/>
      <c r="U85" s="91" t="n"/>
      <c r="V85" s="69" t="n"/>
      <c r="W85" s="1077" t="n"/>
      <c r="X85" s="91" t="n"/>
      <c r="Y85" s="69" t="n"/>
      <c r="Z85" s="1077" t="n"/>
      <c r="AA85" s="91" t="n"/>
      <c r="AB85" s="69" t="n"/>
      <c r="AC85" s="1077" t="n"/>
      <c r="AD85" s="91" t="n"/>
      <c r="AE85" s="69" t="n"/>
      <c r="AF85" s="1077" t="n"/>
      <c r="AG85" s="91" t="n"/>
      <c r="AH85" s="69" t="n"/>
      <c r="AI85" s="70" t="n"/>
      <c r="AJ85" s="91" t="n"/>
      <c r="AK85" s="69" t="n"/>
      <c r="AL85" s="1077" t="n"/>
      <c r="AM85" s="209">
        <f>C85+F85+I85+L85+O85+R85+U85+X85+AA85+AD85+AG85+AJ85</f>
        <v/>
      </c>
      <c r="AN85" s="69" t="n"/>
      <c r="AO85" s="1077">
        <f>AM85/(AM$13)</f>
        <v/>
      </c>
      <c r="AP85" s="1203" t="n">
        <v>1.095</v>
      </c>
    </row>
    <row r="86" ht="15" customHeight="1" s="985">
      <c r="B86" s="24" t="inlineStr">
        <is>
          <t>Dotación y Suministros</t>
        </is>
      </c>
      <c r="C86" s="25" t="n"/>
      <c r="D86" s="43" t="n"/>
      <c r="E86" s="1045" t="n"/>
      <c r="F86" s="25" t="n"/>
      <c r="G86" s="43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5" t="n"/>
      <c r="Y86" s="43" t="n"/>
      <c r="Z86" s="57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45" t="n"/>
      <c r="AM86" s="25">
        <f>C86+F86+I86+L86+O86+R86+U86+X86+AA86+AD86+AG86+AJ86</f>
        <v/>
      </c>
      <c r="AN86" s="43" t="n"/>
      <c r="AO86" s="1045">
        <f>AN86/AM13</f>
        <v/>
      </c>
    </row>
    <row r="87" ht="15" customHeight="1" s="985">
      <c r="B87" s="24" t="inlineStr">
        <is>
          <t>Gastos Medicos</t>
        </is>
      </c>
      <c r="C87" s="25" t="n"/>
      <c r="D87" s="43" t="n"/>
      <c r="E87" s="1045" t="n"/>
      <c r="F87" s="25" t="n"/>
      <c r="G87" s="43" t="n"/>
      <c r="H87" s="1045" t="n"/>
      <c r="I87" s="25" t="n"/>
      <c r="J87" s="43" t="n"/>
      <c r="K87" s="1045" t="n"/>
      <c r="L87" s="25" t="n"/>
      <c r="M87" s="43" t="n"/>
      <c r="N87" s="1045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5" t="n"/>
      <c r="AH87" s="43" t="n"/>
      <c r="AI87" s="57" t="n"/>
      <c r="AJ87" s="25" t="n"/>
      <c r="AK87" s="43" t="n"/>
      <c r="AL87" s="1045" t="n"/>
      <c r="AM87" s="25">
        <f>C87+F87+I87+L87+O87+R87+U87+X87+AA87+AD87+AG87+AJ87</f>
        <v/>
      </c>
      <c r="AN87" s="43" t="n"/>
      <c r="AO87" s="1045" t="n"/>
    </row>
    <row r="88" ht="15" customHeight="1" s="985">
      <c r="B88" s="430" t="inlineStr">
        <is>
          <t>Incapacidades</t>
        </is>
      </c>
      <c r="C88" s="273" t="n"/>
      <c r="D88" s="134" t="n"/>
      <c r="E88" s="1118" t="n"/>
      <c r="F88" s="273" t="n"/>
      <c r="G88" s="134" t="n"/>
      <c r="H88" s="1118" t="n"/>
      <c r="I88" s="273" t="n"/>
      <c r="J88" s="134" t="n"/>
      <c r="K88" s="1118" t="n"/>
      <c r="L88" s="273" t="n"/>
      <c r="M88" s="134" t="n"/>
      <c r="N88" s="1118" t="n"/>
      <c r="O88" s="273" t="n"/>
      <c r="P88" s="134" t="n"/>
      <c r="Q88" s="1118" t="n"/>
      <c r="R88" s="273" t="n"/>
      <c r="S88" s="134" t="n"/>
      <c r="T88" s="1118" t="n"/>
      <c r="U88" s="273" t="n"/>
      <c r="V88" s="134" t="n"/>
      <c r="W88" s="1118" t="n"/>
      <c r="X88" s="273" t="n"/>
      <c r="Y88" s="134" t="n"/>
      <c r="Z88" s="1118" t="n"/>
      <c r="AA88" s="273" t="n"/>
      <c r="AB88" s="134" t="n"/>
      <c r="AC88" s="1118" t="n"/>
      <c r="AD88" s="273" t="n"/>
      <c r="AE88" s="134" t="n"/>
      <c r="AF88" s="1118" t="n"/>
      <c r="AG88" s="273" t="n"/>
      <c r="AH88" s="134" t="n"/>
      <c r="AI88" s="1118" t="n"/>
      <c r="AJ88" s="273" t="n"/>
      <c r="AK88" s="134" t="n"/>
      <c r="AL88" s="1118" t="n"/>
      <c r="AM88" s="430" t="n"/>
      <c r="AN88" s="134" t="n"/>
      <c r="AO88" s="1048" t="n"/>
    </row>
    <row r="89" ht="15" customHeight="1" s="985">
      <c r="B89" s="16" t="inlineStr">
        <is>
          <t>HONORARIOS</t>
        </is>
      </c>
      <c r="C89" s="90">
        <f>SUM(C90:C91)</f>
        <v/>
      </c>
      <c r="D89" s="3" t="n"/>
      <c r="E89" s="1053">
        <f>C89/(C$13)</f>
        <v/>
      </c>
      <c r="F89" s="90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1053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1077" t="n"/>
      <c r="AM90" s="209">
        <f>C90+F90+I90+L90+O90+R90+U90+X90+AA90+AD90+AG90+AJ90</f>
        <v/>
      </c>
      <c r="AN90" s="69" t="n"/>
      <c r="AO90" s="1082" t="n"/>
    </row>
    <row r="91" outlineLevel="1" ht="15" customHeight="1" s="985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1047" t="n"/>
      <c r="AM91" s="206">
        <f>C91+F91+I91+L91+O91+R91+U91+X91+AA91+AD91+AG91+AJ91</f>
        <v/>
      </c>
      <c r="AN91" s="84" t="n"/>
      <c r="AO91" s="1048" t="n"/>
    </row>
    <row r="92" ht="15" customHeight="1" s="985">
      <c r="B92" s="16" t="inlineStr">
        <is>
          <t>ARRENDAMIENTOS</t>
        </is>
      </c>
      <c r="C92" s="90">
        <f>SUM(C93:C95)</f>
        <v/>
      </c>
      <c r="D92" s="3" t="n"/>
      <c r="E92" s="1053">
        <f>C92/(C$13)</f>
        <v/>
      </c>
      <c r="F92" s="90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1053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1077" t="n"/>
      <c r="AM93" s="209">
        <f>C93+F93+I93+L93+O93+R93+U93+X93+AA93+AD93+AG93+AJ93</f>
        <v/>
      </c>
      <c r="AN93" s="69" t="n"/>
      <c r="AO93" s="1082" t="n"/>
      <c r="AP93" s="1124" t="n"/>
    </row>
    <row r="94" outlineLevel="1" ht="15" customHeight="1" s="985">
      <c r="B94" s="39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1045" t="n"/>
      <c r="AM94" s="205">
        <f>C94+F94+I94+L94+O94+R94+U94+X94+AA94+AD94+AG94+AJ94</f>
        <v/>
      </c>
      <c r="AN94" s="43" t="n"/>
      <c r="AO94" s="1046" t="n"/>
    </row>
    <row r="95" outlineLevel="1" ht="15" customHeight="1" s="985">
      <c r="B95" s="39" t="inlineStr">
        <is>
          <t>Equipo de Oficina</t>
        </is>
      </c>
      <c r="C95" s="25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1073" t="n"/>
      <c r="AM95" s="26">
        <f>C95+F95+I95+L95+O95+R95+U95+X95+AA95+AD95+AG95+AJ95</f>
        <v/>
      </c>
      <c r="AN95" s="45" t="n"/>
      <c r="AO95" s="1083" t="n"/>
    </row>
    <row r="96" ht="15" customHeight="1" s="985">
      <c r="B96" s="106" t="inlineStr">
        <is>
          <t>SEGUROS</t>
        </is>
      </c>
      <c r="C96" s="90">
        <f>SUM(C97:C98)</f>
        <v/>
      </c>
      <c r="D96" s="3" t="n"/>
      <c r="E96" s="1053">
        <f>C96/(C$13)</f>
        <v/>
      </c>
      <c r="F96" s="90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1053" t="n"/>
      <c r="AM96" s="16">
        <f>C96+F96+I96+L96+O96+R96+U96+X96+AA96+AD96+AG96+AJ96</f>
        <v/>
      </c>
      <c r="AN96" s="3" t="n"/>
      <c r="AO96" s="1076">
        <f>AM96/(AM$13)</f>
        <v/>
      </c>
    </row>
    <row r="97" outlineLevel="1" ht="15" customFormat="1" customHeight="1" s="108">
      <c r="A97" s="229" t="n"/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1077" t="n"/>
      <c r="AM97" s="209">
        <f>C97+F97+I97+L97+O97+R97+U97+X97+AA97+AD97+AG97+AJ97</f>
        <v/>
      </c>
      <c r="AN97" s="69" t="n"/>
      <c r="AO97" s="1082" t="n"/>
      <c r="AQ97" s="2" t="n"/>
      <c r="AR97" s="2" t="n"/>
      <c r="AS97" s="2" t="n"/>
      <c r="AT97" s="2" t="n"/>
    </row>
    <row r="98" outlineLevel="1" ht="15" customFormat="1" customHeight="1" s="108">
      <c r="A98" s="229" t="n"/>
      <c r="B98" s="275" t="inlineStr">
        <is>
          <t>Responsabilidad Civil Y Extracontractual</t>
        </is>
      </c>
      <c r="C98" s="275" t="n"/>
      <c r="D98" s="276" t="n"/>
      <c r="E98" s="1084" t="n"/>
      <c r="F98" s="83" t="n"/>
      <c r="G98" s="84" t="n"/>
      <c r="H98" s="1047" t="n"/>
      <c r="I98" s="83" t="n"/>
      <c r="J98" s="84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1084" t="n"/>
      <c r="AM98" s="278">
        <f>C98+F98+I98+L98+O98+R98+U98+X98+AA98+AD98+AG98+AJ98</f>
        <v/>
      </c>
      <c r="AN98" s="276" t="n"/>
      <c r="AO98" s="1085" t="n"/>
      <c r="AQ98" s="2" t="n"/>
      <c r="AR98" s="2" t="n"/>
      <c r="AS98" s="2" t="n"/>
      <c r="AT98" s="2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1053">
        <f>F99/(F$13)</f>
        <v/>
      </c>
      <c r="I99" s="49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1053" t="n"/>
      <c r="AM99" s="16">
        <f>C99+F99+I99+L99+O99+R99+U99+X99+AA99+AD99+AG99+AJ99</f>
        <v/>
      </c>
      <c r="AN99" s="3" t="n"/>
      <c r="AO99" s="1076">
        <f>AM99/(AM$13)</f>
        <v/>
      </c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077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5">
      <c r="B101" s="25" t="inlineStr">
        <is>
          <t>Temporales Serv</t>
        </is>
      </c>
      <c r="C101" s="25" t="n"/>
      <c r="D101" s="43" t="n"/>
      <c r="E101" s="1045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45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45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5">
      <c r="B103" s="25" t="inlineStr">
        <is>
          <t>Laboratorio</t>
        </is>
      </c>
      <c r="C103" s="25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1045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5">
      <c r="B104" s="25" t="inlineStr">
        <is>
          <t>Fumigacion</t>
        </is>
      </c>
      <c r="C104" s="25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1045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5">
      <c r="B105" s="25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1045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5">
      <c r="B106" s="25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25" t="n"/>
      <c r="M106" s="43" t="n"/>
      <c r="N106" s="1045" t="n"/>
      <c r="O106" s="25" t="n"/>
      <c r="P106" s="43" t="n"/>
      <c r="Q106" s="1045" t="n"/>
      <c r="R106" s="25" t="n"/>
      <c r="S106" s="43" t="n"/>
      <c r="T106" s="1045" t="n"/>
      <c r="U106" s="25" t="n"/>
      <c r="V106" s="43" t="n"/>
      <c r="W106" s="1045" t="n"/>
      <c r="X106" s="25" t="n"/>
      <c r="Y106" s="43" t="n"/>
      <c r="Z106" s="1045" t="n"/>
      <c r="AA106" s="25" t="n"/>
      <c r="AB106" s="43" t="n"/>
      <c r="AC106" s="1045" t="n"/>
      <c r="AD106" s="25" t="n"/>
      <c r="AE106" s="43" t="n"/>
      <c r="AF106" s="1045" t="n"/>
      <c r="AG106" s="25" t="n"/>
      <c r="AH106" s="43" t="n"/>
      <c r="AI106" s="1045" t="n"/>
      <c r="AJ106" s="25" t="n"/>
      <c r="AK106" s="43" t="n"/>
      <c r="AL106" s="1045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5">
      <c r="B107" s="205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25" t="n"/>
      <c r="M107" s="43" t="n"/>
      <c r="N107" s="1045" t="n"/>
      <c r="O107" s="25" t="n"/>
      <c r="P107" s="43" t="n"/>
      <c r="Q107" s="1045" t="n"/>
      <c r="R107" s="25" t="n"/>
      <c r="S107" s="43" t="n"/>
      <c r="T107" s="1045" t="n"/>
      <c r="U107" s="25" t="n"/>
      <c r="V107" s="43" t="n"/>
      <c r="W107" s="1045" t="n"/>
      <c r="X107" s="25" t="n"/>
      <c r="Y107" s="43" t="n"/>
      <c r="Z107" s="1045" t="n"/>
      <c r="AA107" s="25" t="n"/>
      <c r="AB107" s="43" t="n"/>
      <c r="AC107" s="1045" t="n"/>
      <c r="AD107" s="25" t="n"/>
      <c r="AE107" s="43" t="n"/>
      <c r="AF107" s="1045" t="n"/>
      <c r="AG107" s="25" t="n"/>
      <c r="AH107" s="43" t="n"/>
      <c r="AI107" s="1045" t="n"/>
      <c r="AJ107" s="25" t="n"/>
      <c r="AK107" s="43" t="n"/>
      <c r="AL107" s="1045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5">
      <c r="B108" s="349" t="inlineStr">
        <is>
          <t>Correo, porte y telegramas</t>
        </is>
      </c>
      <c r="C108" s="2" t="n"/>
      <c r="D108" s="42" t="n"/>
      <c r="E108" s="1057" t="n"/>
      <c r="F108" s="2" t="n"/>
      <c r="G108" s="42" t="n"/>
      <c r="H108" s="1057" t="n"/>
      <c r="I108" s="2" t="n"/>
      <c r="J108" s="42" t="n"/>
      <c r="K108" s="1057" t="n"/>
      <c r="L108" s="2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" t="n"/>
      <c r="AH108" s="42" t="n"/>
      <c r="AI108" s="1057" t="n"/>
      <c r="AJ108" s="2" t="n"/>
      <c r="AK108" s="42" t="n"/>
      <c r="AL108" s="1057" t="n"/>
      <c r="AM108" s="97">
        <f>C108+F108+I108+L108+O108+R108+U108+X108+AA108+AD108+AG108+AJ108</f>
        <v/>
      </c>
      <c r="AN108" s="42" t="n"/>
      <c r="AO108" s="1058" t="n"/>
    </row>
    <row r="109" ht="15" customHeight="1" s="985">
      <c r="B109" s="16" t="inlineStr">
        <is>
          <t>GASTOS LEGALES</t>
        </is>
      </c>
      <c r="C109" s="90">
        <f>SUM(C110:C113)</f>
        <v/>
      </c>
      <c r="D109" s="3" t="n"/>
      <c r="E109" s="1053">
        <f>C109/(C$13)</f>
        <v/>
      </c>
      <c r="F109" s="90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1053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5"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1077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5"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1045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5"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1045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5"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1073" t="n"/>
      <c r="AM113" s="26">
        <f>C113+F113+I113+L113+O113+R113+U113+X113+AA113+AD113+AG113+AJ113</f>
        <v/>
      </c>
      <c r="AN113" s="45" t="n"/>
      <c r="AO113" s="1083" t="n"/>
    </row>
    <row r="114" ht="15" customHeight="1" s="985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>
        <f>C114/(C$13)</f>
        <v/>
      </c>
      <c r="F114" s="49">
        <f>SUM(F115:F116)</f>
        <v/>
      </c>
      <c r="G114" s="3" t="n"/>
      <c r="H114" s="1053">
        <f>F114/(F$13)</f>
        <v/>
      </c>
      <c r="I114" s="49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>
        <f>L114/(L$13)</f>
        <v/>
      </c>
      <c r="O114" s="49">
        <f>SUM(O115:O116)</f>
        <v/>
      </c>
      <c r="P114" s="3" t="n"/>
      <c r="Q114" s="1053">
        <f>O114/(O$13)</f>
        <v/>
      </c>
      <c r="R114" s="90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>
        <f>AA114/(AA$13)</f>
        <v/>
      </c>
      <c r="AD114" s="49">
        <f>SUM(AD115:AD116)</f>
        <v/>
      </c>
      <c r="AE114" s="3" t="n"/>
      <c r="AF114" s="1053">
        <f>AD114/(AD$13)</f>
        <v/>
      </c>
      <c r="AG114" s="49">
        <f>SUM(AG115:AG119)</f>
        <v/>
      </c>
      <c r="AH114" s="3" t="n"/>
      <c r="AI114" s="1053">
        <f>AG114/(AG$13)</f>
        <v/>
      </c>
      <c r="AJ114" s="49">
        <f>SUM(AJ115:AJ119)</f>
        <v/>
      </c>
      <c r="AK114" s="3" t="n"/>
      <c r="AL114" s="1053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outlineLevel="1" ht="15" customHeight="1" s="985">
      <c r="B115" s="205" t="inlineStr">
        <is>
          <t xml:space="preserve">Construcciones y Edificaciones          </t>
        </is>
      </c>
      <c r="C115" s="39" t="n"/>
      <c r="D115" s="69" t="n"/>
      <c r="E115" s="1077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78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055" t="n"/>
      <c r="AJ115" s="78" t="n"/>
      <c r="AK115" s="79" t="n"/>
      <c r="AL115" s="1077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5">
      <c r="B116" s="20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45" t="n"/>
      <c r="AJ116" s="25" t="n"/>
      <c r="AK116" s="43" t="n"/>
      <c r="AL116" s="1045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5"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45" t="n"/>
      <c r="AJ117" s="25" t="n"/>
      <c r="AK117" s="43" t="n"/>
      <c r="AL117" s="1045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5"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25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45" t="n"/>
      <c r="AJ118" s="25" t="n"/>
      <c r="AK118" s="43" t="n"/>
      <c r="AL118" s="1045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5">
      <c r="B119" s="205" t="inlineStr">
        <is>
          <t>Planta Plan Basico de Saneamiento</t>
        </is>
      </c>
      <c r="C119" s="22" t="n"/>
      <c r="D119" s="42" t="n"/>
      <c r="E119" s="1057" t="n"/>
      <c r="F119" s="83" t="n"/>
      <c r="G119" s="84" t="n"/>
      <c r="H119" s="1047" t="n"/>
      <c r="I119" s="83" t="n"/>
      <c r="J119" s="84" t="n"/>
      <c r="K119" s="1047" t="n"/>
      <c r="L119" s="83" t="n"/>
      <c r="M119" s="84" t="n"/>
      <c r="N119" s="1047" t="n"/>
      <c r="O119" s="83" t="n"/>
      <c r="P119" s="84" t="n"/>
      <c r="Q119" s="1047" t="n"/>
      <c r="R119" s="83" t="n"/>
      <c r="S119" s="84" t="n"/>
      <c r="T119" s="1047" t="n"/>
      <c r="U119" s="83" t="n"/>
      <c r="V119" s="84" t="n"/>
      <c r="W119" s="1047" t="n"/>
      <c r="X119" s="83" t="n"/>
      <c r="Y119" s="84" t="n"/>
      <c r="Z119" s="1047" t="n"/>
      <c r="AA119" s="83" t="n"/>
      <c r="AB119" s="84" t="n"/>
      <c r="AC119" s="1047" t="n"/>
      <c r="AD119" s="83" t="n"/>
      <c r="AE119" s="84" t="n"/>
      <c r="AF119" s="1047" t="n"/>
      <c r="AG119" s="83" t="n"/>
      <c r="AH119" s="84" t="n"/>
      <c r="AI119" s="1047" t="n"/>
      <c r="AJ119" s="83" t="n"/>
      <c r="AK119" s="84" t="n"/>
      <c r="AL119" s="1057" t="n"/>
      <c r="AM119" s="97">
        <f>C119+F119+I119+L119+O119+R119+U119+X119+AA119+AD119+AG119+AJ119</f>
        <v/>
      </c>
      <c r="AN119" s="42" t="n"/>
      <c r="AO119" s="1058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SUM(F121)</f>
        <v/>
      </c>
      <c r="G120" s="3" t="n"/>
      <c r="H120" s="1053">
        <f>F120/(F$13)</f>
        <v/>
      </c>
      <c r="I120" s="49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SUM(AA121:AA122)</f>
        <v/>
      </c>
      <c r="AB120" s="3" t="n"/>
      <c r="AC120" s="1053">
        <f>AA120/(AA$13)</f>
        <v/>
      </c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SUM(AJ121:AJ122)</f>
        <v/>
      </c>
      <c r="AK120" s="3" t="n"/>
      <c r="AL120" s="1053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5">
      <c r="B121" s="205" t="inlineStr">
        <is>
          <t>Instalaciones Electricas</t>
        </is>
      </c>
      <c r="C121" s="353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1077" t="n"/>
      <c r="AM121" s="209">
        <f>C121+F121+I121+L121+O121+R121+U121+X121+AA121+AD121+AG121+AJ121</f>
        <v/>
      </c>
      <c r="AN121" s="69" t="n"/>
      <c r="AO121" s="1082" t="n"/>
    </row>
    <row r="122" ht="15" customHeight="1" s="985">
      <c r="B122" s="205" t="inlineStr">
        <is>
          <t>Inversion - Infreastructura</t>
        </is>
      </c>
      <c r="C122" s="354" t="n"/>
      <c r="D122" s="92" t="n"/>
      <c r="E122" s="1063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47" t="n"/>
      <c r="AJ122" s="83" t="n"/>
      <c r="AK122" s="84" t="n"/>
      <c r="AL122" s="1047" t="n"/>
      <c r="AM122" s="206">
        <f>C122+F122+I122+L122+O122+R122+U122+X122+AA122+AD122+AG122+AJ122</f>
        <v/>
      </c>
      <c r="AN122" s="84" t="n"/>
      <c r="AO122" s="1064" t="n"/>
    </row>
    <row r="123" ht="15" customHeight="1" s="985">
      <c r="B123" s="16" t="inlineStr">
        <is>
          <t>GASTOS DE VIAJE</t>
        </is>
      </c>
      <c r="C123" s="90">
        <f>SUM(C124:C126)</f>
        <v/>
      </c>
      <c r="D123" s="3" t="n"/>
      <c r="E123" s="1053">
        <f>C123/(C$13)</f>
        <v/>
      </c>
      <c r="F123" s="90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1053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5"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1077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5"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1045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5"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1073" t="n"/>
      <c r="AM126" s="26">
        <f>C126+F126+I126+L126+O126+R126+U126+X126+AA126+AD126+AG126+AJ126</f>
        <v/>
      </c>
      <c r="AN126" s="45" t="n"/>
      <c r="AO126" s="1083" t="n"/>
    </row>
    <row r="127" ht="15" customHeight="1" s="985">
      <c r="B127" s="16" t="inlineStr">
        <is>
          <t>DIVERSOS</t>
        </is>
      </c>
      <c r="C127" s="90">
        <f>SUM(C128:C142)</f>
        <v/>
      </c>
      <c r="D127" s="3" t="n"/>
      <c r="E127" s="1053">
        <f>C127/(C$13)</f>
        <v/>
      </c>
      <c r="F127" s="90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1053" t="n"/>
      <c r="AM127" s="16">
        <f>C127+F127+I127+L127+O127+R127+U127+X127+AA127+AD127+AG127+AJ127</f>
        <v/>
      </c>
      <c r="AN127" s="3" t="n"/>
      <c r="AO127" s="1076">
        <f>AM127/(AM$13)</f>
        <v/>
      </c>
    </row>
    <row r="128" outlineLevel="1" ht="15" customHeight="1" s="985">
      <c r="B128" s="25" t="inlineStr">
        <is>
          <t>Elementos de Proteccion Personal</t>
        </is>
      </c>
      <c r="C128" s="39" t="n"/>
      <c r="D128" s="69" t="n"/>
      <c r="E128" s="1077" t="n"/>
      <c r="F128" s="39" t="n"/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70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39" t="n"/>
      <c r="AH128" s="69" t="n"/>
      <c r="AI128" s="1077" t="n"/>
      <c r="AJ128" s="39" t="n"/>
      <c r="AK128" s="69" t="n"/>
      <c r="AL128" s="1077" t="n"/>
      <c r="AM128" s="209">
        <f>C128+F128+I128+L128+O128+R128+U128+X128+AA128+AD128+AG128+AJ128</f>
        <v/>
      </c>
      <c r="AN128" s="42" t="n"/>
      <c r="AO128" s="1090" t="n"/>
    </row>
    <row r="129" outlineLevel="1" ht="15" customHeight="1" s="985">
      <c r="B129" s="25" t="inlineStr">
        <is>
          <t>Habitos de Vida Saludable</t>
        </is>
      </c>
      <c r="C129" s="91" t="n"/>
      <c r="D129" s="43" t="n"/>
      <c r="E129" s="1045" t="n"/>
      <c r="F129" s="25" t="n"/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5" t="n"/>
      <c r="AH129" s="43" t="n"/>
      <c r="AI129" s="1045" t="n"/>
      <c r="AJ129" s="25" t="n"/>
      <c r="AK129" s="43" t="n"/>
      <c r="AL129" s="1045" t="n"/>
      <c r="AM129" s="205">
        <f>C129+F129+I129+L129+O129+R129+U129+X129+AA129+AD129+AG129+AJ129</f>
        <v/>
      </c>
      <c r="AN129" s="92" t="n"/>
      <c r="AO129" s="1127" t="n"/>
    </row>
    <row r="130" outlineLevel="1" ht="15" customHeight="1" s="985">
      <c r="A130" s="226" t="inlineStr">
        <is>
          <t xml:space="preserve">71101001            </t>
        </is>
      </c>
      <c r="B130" s="25" t="inlineStr">
        <is>
          <t>Elementos de Aseo y Cafetería</t>
        </is>
      </c>
      <c r="C130" s="25">
        <f>'[9]Hoja 1'!$C$311+'[9]Hoja 1'!$C$287</f>
        <v/>
      </c>
      <c r="D130" s="43" t="n"/>
      <c r="E130" s="1045" t="n"/>
      <c r="F130" s="25">
        <f>'[10]Hoja 1'!$C$306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1045" t="n"/>
      <c r="AM130" s="205">
        <f>C130+F130+I130+L130+O130+R130+U130+X130+AA130+AD130+AG130+AJ130</f>
        <v/>
      </c>
      <c r="AN130" s="43" t="n"/>
      <c r="AO130" s="1045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1045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5"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1045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>
        <f>'[9]Hoja 1'!$C$318</f>
        <v/>
      </c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1045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1045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5"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1045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5"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5"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1045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5">
      <c r="B138" s="25" t="inlineStr">
        <is>
          <t>Compra Equipos de Oficina</t>
        </is>
      </c>
      <c r="C138" s="428" t="n"/>
      <c r="D138" s="89" t="n"/>
      <c r="E138" s="1041" t="n"/>
      <c r="F138" s="428" t="n"/>
      <c r="G138" s="89" t="n"/>
      <c r="H138" s="1041" t="n"/>
      <c r="I138" s="829" t="n"/>
      <c r="J138" s="89" t="n"/>
      <c r="K138" s="1041" t="n"/>
      <c r="L138" s="428" t="n"/>
      <c r="M138" s="89" t="n"/>
      <c r="N138" s="1041" t="n"/>
      <c r="O138" s="428" t="n"/>
      <c r="P138" s="89" t="n"/>
      <c r="Q138" s="1041" t="n"/>
      <c r="R138" s="25" t="n"/>
      <c r="S138" s="89" t="n"/>
      <c r="T138" s="1041" t="n"/>
      <c r="U138" s="428" t="n"/>
      <c r="V138" s="89" t="n"/>
      <c r="W138" s="1041" t="n"/>
      <c r="X138" s="428" t="n"/>
      <c r="Y138" s="89" t="n"/>
      <c r="Z138" s="1041" t="n"/>
      <c r="AA138" s="428" t="n"/>
      <c r="AB138" s="89" t="n"/>
      <c r="AC138" s="1041" t="n"/>
      <c r="AD138" s="428" t="n"/>
      <c r="AE138" s="89" t="n"/>
      <c r="AF138" s="1041" t="n"/>
      <c r="AG138" s="428" t="n"/>
      <c r="AH138" s="89" t="n"/>
      <c r="AI138" s="1041" t="n"/>
      <c r="AJ138" s="428" t="n"/>
      <c r="AK138" s="89" t="n"/>
      <c r="AL138" s="1041" t="n"/>
      <c r="AM138" s="261">
        <f>C138+F138+I138+L138+O138+R138+U138+X138+AA138+AD138+AG138+AJ138</f>
        <v/>
      </c>
      <c r="AN138" s="89" t="n"/>
      <c r="AO138" s="1042" t="n"/>
    </row>
    <row r="139" outlineLevel="1" ht="15" customHeight="1" s="985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1045" t="n"/>
      <c r="AM139" s="261">
        <f>C139+F139+I139+L139+O139+R139+U139+X139+AA139+AD139+AG139+AJ139</f>
        <v/>
      </c>
      <c r="AN139" s="43" t="n"/>
      <c r="AO139" s="1046" t="n"/>
    </row>
    <row r="140" outlineLevel="1" ht="15" customHeight="1" s="985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1045" t="n"/>
      <c r="AM140" s="261">
        <f>C140+F140+I140+L140+O140+R140+U140+X140+AA140+AD140+AG140+AJ140</f>
        <v/>
      </c>
      <c r="AN140" s="43" t="n"/>
      <c r="AO140" s="1046" t="n"/>
    </row>
    <row r="14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1045" t="n"/>
      <c r="AM141" s="261">
        <f>C141+F141+I141+L141+O141+R141+U141+X141+AA141+AD141+AG141+AJ141</f>
        <v/>
      </c>
      <c r="AN141" s="43" t="n"/>
      <c r="AO141" s="1046" t="n"/>
    </row>
    <row r="142" outlineLevel="1" ht="15" customHeight="1" s="985" thickBot="1"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1079" t="n"/>
      <c r="AM142" s="213">
        <f>C142+F142+I142+L142+O142+R142+U142+X142+AA142+AD142+AG142+AJ142</f>
        <v/>
      </c>
      <c r="AN142" s="214" t="n"/>
      <c r="AO142" s="1092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1067" t="n"/>
      <c r="AM143" s="151" t="n"/>
      <c r="AN143" s="2" t="n"/>
      <c r="AO143" s="1067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1128" t="n"/>
      <c r="AM144" s="585">
        <f>C144+F144+I144+L144+O144+R144+U144+X144+AA144+AD144+AG144+AJ144</f>
        <v/>
      </c>
      <c r="AN144" s="495" t="n"/>
      <c r="AO144" s="1129" t="n"/>
    </row>
    <row r="145" ht="15" customHeight="1" s="985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1065" t="n"/>
      <c r="AM145" s="497">
        <f>IFERROR(AM144/AM13," ")</f>
        <v/>
      </c>
      <c r="AN145" s="489" t="n"/>
      <c r="AO145" s="1066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1067" t="n"/>
      <c r="AM146" s="145" t="n"/>
      <c r="AN146" s="145" t="n"/>
      <c r="AO146" s="1067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1069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5">
      <c r="B148" s="18" t="inlineStr">
        <is>
          <t>Gastos Fijos Administracion</t>
        </is>
      </c>
      <c r="C148" s="39">
        <f>'GASTOS ADMINISTRATIVOS'!C96*'%DIST'!B41</f>
        <v/>
      </c>
      <c r="D148" s="69" t="n"/>
      <c r="E148" s="1077" t="n"/>
      <c r="F148" s="39">
        <f>'GASTOS ADMINISTRATIVOS'!D96*'%DIST'!D41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1077" t="n"/>
      <c r="AM148" s="209">
        <f>C148+F148+I148+L148+O148+R148+U148+X148+AA148+AD148+AG148+AJ148</f>
        <v/>
      </c>
      <c r="AN148" s="69" t="n"/>
      <c r="AO148" s="1082" t="n"/>
      <c r="AP148" s="1068" t="n"/>
    </row>
    <row r="149" ht="15" customHeight="1" s="985">
      <c r="B149" s="285" t="inlineStr">
        <is>
          <t>Gastos financieros</t>
        </is>
      </c>
      <c r="C149" s="25">
        <f>'GASTOS ADMINISTRATIVOS'!C109*'%DIST'!C57</f>
        <v/>
      </c>
      <c r="D149" s="43" t="n"/>
      <c r="E149" s="1045" t="n"/>
      <c r="F149" s="25">
        <f>'GASTOS ADMINISTRATIVOS'!D109*'%DIST'!E57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1045" t="n"/>
      <c r="AM149" s="205">
        <f>C149+F149+I149+L149+O149+R149+U149+X149+AA149+AD149+AG149+AJ149</f>
        <v/>
      </c>
      <c r="AN149" s="43" t="n"/>
      <c r="AO149" s="1046" t="n"/>
    </row>
    <row r="150" ht="15" customHeight="1" s="985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1057" t="n"/>
      <c r="AM150" s="205">
        <f>C150+F150+I150+L150+O150+R150+U150+X150+AA150+AD150+AG150+AJ150</f>
        <v/>
      </c>
      <c r="AN150" s="42" t="n"/>
      <c r="AO150" s="1058" t="n"/>
      <c r="AP150" s="1068" t="n"/>
    </row>
    <row r="151" ht="15" customHeight="1" s="985" thickBot="1">
      <c r="B151" s="300" t="inlineStr">
        <is>
          <t>Gastos No Operacionales</t>
        </is>
      </c>
      <c r="C151" s="71">
        <f>'GASTOS ADMINISTRATIVOS'!C119*'%DIST'!C57</f>
        <v/>
      </c>
      <c r="D151" s="72" t="n"/>
      <c r="E151" s="1086" t="n"/>
      <c r="F151" s="71">
        <f>'GASTOS ADMINISTRATIVOS'!D119*'%DIST'!E57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1086" t="n"/>
      <c r="AM151" s="301">
        <f>C151+F151+I151+L151+O151+R151+U151+X151+AA151+AD151+AG151+AJ151</f>
        <v/>
      </c>
      <c r="AN151" s="72" t="n"/>
      <c r="AO151" s="1087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1067" t="n"/>
      <c r="AM152" s="151" t="n"/>
      <c r="AN152" s="2" t="n"/>
      <c r="AO152" s="1067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>
        <f>C153/C13</f>
        <v/>
      </c>
      <c r="F153" s="498">
        <f>SUM(F154:F160)</f>
        <v/>
      </c>
      <c r="G153" s="499" t="n"/>
      <c r="H153" s="1093">
        <f>F153/F13</f>
        <v/>
      </c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1093" t="n"/>
      <c r="AM153" s="587">
        <f>C153+F153+I153+L153+O153+R153+U153+X153+AA153+AD153+AG153+AJ153</f>
        <v/>
      </c>
      <c r="AN153" s="499" t="n"/>
      <c r="AO153" s="1094">
        <f>AM153/AM13</f>
        <v/>
      </c>
    </row>
    <row r="154" ht="15" customHeight="1" s="985" thickTop="1">
      <c r="B154" s="1204" t="inlineStr">
        <is>
          <t>Campaña</t>
        </is>
      </c>
      <c r="C154" s="724" t="n"/>
      <c r="D154" s="550" t="n"/>
      <c r="E154" s="1171" t="n"/>
      <c r="F154" s="724" t="n"/>
      <c r="G154" s="550" t="n"/>
      <c r="H154" s="1171" t="n"/>
      <c r="I154" s="724" t="n"/>
      <c r="J154" s="550" t="n"/>
      <c r="K154" s="1171" t="n"/>
      <c r="L154" s="724" t="n"/>
      <c r="M154" s="550" t="n"/>
      <c r="N154" s="1171" t="n"/>
      <c r="O154" s="724" t="n"/>
      <c r="P154" s="550" t="n"/>
      <c r="Q154" s="1171" t="n"/>
      <c r="R154" s="724" t="n"/>
      <c r="S154" s="550" t="n"/>
      <c r="T154" s="1171" t="n"/>
      <c r="U154" s="724" t="n"/>
      <c r="V154" s="550" t="n"/>
      <c r="W154" s="1171" t="n"/>
      <c r="X154" s="724" t="n"/>
      <c r="Y154" s="550" t="n"/>
      <c r="Z154" s="1171" t="n"/>
      <c r="AA154" s="724" t="n"/>
      <c r="AB154" s="550" t="n"/>
      <c r="AC154" s="1171" t="n"/>
      <c r="AD154" s="724" t="n"/>
      <c r="AE154" s="550" t="n"/>
      <c r="AF154" s="1171" t="n"/>
      <c r="AG154" s="724" t="n"/>
      <c r="AH154" s="550" t="n"/>
      <c r="AI154" s="1171" t="n"/>
      <c r="AJ154" s="724" t="n"/>
      <c r="AK154" s="550" t="n"/>
      <c r="AL154" s="1171" t="n"/>
      <c r="AM154" s="718">
        <f>C154+F154+I154+L154+O154+R154+U154+X154+AA154+AD154+AG154+AJ154</f>
        <v/>
      </c>
      <c r="AN154" s="230" t="n"/>
      <c r="AO154" s="1137" t="n"/>
    </row>
    <row r="155" ht="15" customHeight="1" s="985">
      <c r="B155" s="1205" t="inlineStr">
        <is>
          <t>Banco de Occidente</t>
        </is>
      </c>
      <c r="C155" s="707" t="n"/>
      <c r="D155" s="13" t="n"/>
      <c r="E155" s="1151" t="n"/>
      <c r="F155" s="707" t="n"/>
      <c r="G155" s="13" t="n"/>
      <c r="H155" s="1151" t="n"/>
      <c r="I155" s="707" t="n"/>
      <c r="J155" s="13" t="n"/>
      <c r="K155" s="1151" t="n"/>
      <c r="L155" s="707" t="n"/>
      <c r="M155" s="13" t="n"/>
      <c r="N155" s="1151" t="n"/>
      <c r="O155" s="707" t="n"/>
      <c r="P155" s="13" t="n"/>
      <c r="Q155" s="1151" t="n"/>
      <c r="R155" s="707" t="n"/>
      <c r="S155" s="13" t="n"/>
      <c r="T155" s="1151" t="n"/>
      <c r="U155" s="707" t="n"/>
      <c r="V155" s="13" t="n"/>
      <c r="W155" s="1151" t="n"/>
      <c r="X155" s="707" t="n"/>
      <c r="Y155" s="13" t="n"/>
      <c r="Z155" s="1151" t="n"/>
      <c r="AA155" s="707" t="n"/>
      <c r="AB155" s="13" t="n"/>
      <c r="AC155" s="1151" t="n"/>
      <c r="AD155" s="707" t="n"/>
      <c r="AE155" s="13" t="n"/>
      <c r="AF155" s="1151" t="n"/>
      <c r="AG155" s="707" t="n"/>
      <c r="AH155" s="13" t="n"/>
      <c r="AI155" s="1151" t="n"/>
      <c r="AJ155" s="707" t="n"/>
      <c r="AK155" s="13" t="n"/>
      <c r="AL155" s="1151" t="n"/>
      <c r="AM155" s="294">
        <f>C155+F155+I155+L155+O155+R155+U155+X155+AA155+AD155+AG155+AJ155</f>
        <v/>
      </c>
      <c r="AN155" s="13" t="n"/>
      <c r="AO155" s="1141" t="n"/>
    </row>
    <row r="156" ht="15" customHeight="1" s="985">
      <c r="B156" s="1206" t="inlineStr">
        <is>
          <t>Abono 2025 - GAP</t>
        </is>
      </c>
      <c r="C156" s="707" t="n"/>
      <c r="D156" s="679" t="n"/>
      <c r="E156" s="1173" t="n"/>
      <c r="F156" s="707" t="n"/>
      <c r="G156" s="679" t="n"/>
      <c r="H156" s="1173" t="n"/>
      <c r="I156" s="707" t="n"/>
      <c r="J156" s="679" t="n"/>
      <c r="K156" s="1173" t="n"/>
      <c r="L156" s="707" t="n"/>
      <c r="M156" s="679" t="n"/>
      <c r="N156" s="1173" t="n"/>
      <c r="O156" s="707" t="n"/>
      <c r="P156" s="679" t="n"/>
      <c r="Q156" s="1173" t="n"/>
      <c r="R156" s="707" t="n"/>
      <c r="S156" s="679" t="n"/>
      <c r="T156" s="1173" t="n"/>
      <c r="U156" s="707" t="n"/>
      <c r="V156" s="679" t="n"/>
      <c r="W156" s="1173" t="n"/>
      <c r="X156" s="707" t="n"/>
      <c r="Y156" s="679" t="n"/>
      <c r="Z156" s="1173" t="n"/>
      <c r="AA156" s="707" t="n"/>
      <c r="AB156" s="679" t="n"/>
      <c r="AC156" s="1173" t="n"/>
      <c r="AD156" s="707" t="n"/>
      <c r="AE156" s="679" t="n"/>
      <c r="AF156" s="1173" t="n"/>
      <c r="AG156" s="707" t="n"/>
      <c r="AH156" s="679" t="n"/>
      <c r="AI156" s="1173" t="n"/>
      <c r="AJ156" s="707" t="n"/>
      <c r="AK156" s="679" t="n"/>
      <c r="AL156" s="1173" t="n"/>
      <c r="AM156" s="715">
        <f>C156+F156+I156+L156+O156+R156+U156+X156+AA156+AD156+AG156+AJ156</f>
        <v/>
      </c>
      <c r="AN156" s="679" t="n"/>
      <c r="AO156" s="1145" t="n"/>
    </row>
    <row r="157" ht="15" customHeight="1" s="985">
      <c r="B157" s="1207" t="inlineStr">
        <is>
          <t>Otros Ajustes 1</t>
        </is>
      </c>
      <c r="C157" s="707" t="n"/>
      <c r="D157" s="13" t="n"/>
      <c r="E157" s="1151" t="n"/>
      <c r="F157" s="707" t="n"/>
      <c r="G157" s="13" t="n"/>
      <c r="H157" s="1151" t="n"/>
      <c r="I157" s="707" t="n"/>
      <c r="J157" s="13" t="n"/>
      <c r="K157" s="1151" t="n"/>
      <c r="L157" s="707" t="n"/>
      <c r="M157" s="13" t="n"/>
      <c r="N157" s="1151" t="n"/>
      <c r="O157" s="707" t="n"/>
      <c r="P157" s="13" t="n"/>
      <c r="Q157" s="1151" t="n"/>
      <c r="R157" s="707" t="n"/>
      <c r="S157" s="13" t="n"/>
      <c r="T157" s="1151" t="n"/>
      <c r="U157" s="707" t="n"/>
      <c r="V157" s="13" t="n"/>
      <c r="W157" s="1151" t="n"/>
      <c r="X157" s="707" t="n"/>
      <c r="Y157" s="13" t="n"/>
      <c r="Z157" s="1151" t="n"/>
      <c r="AA157" s="707" t="n"/>
      <c r="AB157" s="13" t="n"/>
      <c r="AC157" s="1151" t="n"/>
      <c r="AD157" s="707" t="n"/>
      <c r="AE157" s="13" t="n"/>
      <c r="AF157" s="1151" t="n"/>
      <c r="AG157" s="707" t="n"/>
      <c r="AH157" s="13" t="n"/>
      <c r="AI157" s="1151" t="n"/>
      <c r="AJ157" s="707" t="n"/>
      <c r="AK157" s="13" t="n"/>
      <c r="AL157" s="1151" t="n"/>
      <c r="AM157" s="294">
        <f>C157+F157+I157+L157+O157+R157+U157+X157+AA157+AD157+AG157+AJ157</f>
        <v/>
      </c>
      <c r="AN157" s="13" t="n"/>
      <c r="AO157" s="789" t="n"/>
    </row>
    <row r="158" ht="15" customHeight="1" s="985">
      <c r="B158" s="1150" t="inlineStr">
        <is>
          <t>Otros Ajustes 2</t>
        </is>
      </c>
      <c r="C158" s="75" t="n"/>
      <c r="D158" s="13" t="n"/>
      <c r="E158" s="1151" t="n"/>
      <c r="F158" s="75" t="n"/>
      <c r="G158" s="13" t="n"/>
      <c r="H158" s="1151" t="n"/>
      <c r="I158" s="75" t="n"/>
      <c r="J158" s="13" t="n"/>
      <c r="K158" s="1151" t="n"/>
      <c r="L158" s="75" t="n"/>
      <c r="M158" s="13" t="n"/>
      <c r="N158" s="1151" t="n"/>
      <c r="O158" s="75" t="n"/>
      <c r="P158" s="13" t="n"/>
      <c r="Q158" s="1151" t="n"/>
      <c r="R158" s="75" t="n"/>
      <c r="S158" s="13" t="n"/>
      <c r="T158" s="1151" t="n"/>
      <c r="U158" s="75" t="n"/>
      <c r="V158" s="13" t="n"/>
      <c r="W158" s="1151" t="n"/>
      <c r="X158" s="75" t="n"/>
      <c r="Y158" s="13" t="n"/>
      <c r="Z158" s="1151" t="n"/>
      <c r="AA158" s="75" t="n"/>
      <c r="AB158" s="13" t="n"/>
      <c r="AC158" s="1151" t="n"/>
      <c r="AD158" s="75" t="n"/>
      <c r="AE158" s="13" t="n"/>
      <c r="AF158" s="1151" t="n"/>
      <c r="AG158" s="75" t="n"/>
      <c r="AH158" s="13" t="n"/>
      <c r="AI158" s="1151" t="n"/>
      <c r="AJ158" s="75" t="n"/>
      <c r="AK158" s="13" t="n"/>
      <c r="AL158" s="1151" t="n"/>
      <c r="AM158" s="205">
        <f>C158+F158+I158+L158+O158+R158+U158+X158+AA158+AD158+AG158+AJ158</f>
        <v/>
      </c>
      <c r="AN158" s="13" t="n"/>
      <c r="AO158" s="1152" t="n"/>
    </row>
    <row r="159" ht="15" customHeight="1" s="985">
      <c r="B159" s="1150" t="inlineStr">
        <is>
          <t>Otros Ajustes 3</t>
        </is>
      </c>
      <c r="C159" s="707" t="n"/>
      <c r="D159" s="13" t="n"/>
      <c r="E159" s="1151" t="n"/>
      <c r="F159" s="707" t="n"/>
      <c r="G159" s="13" t="n"/>
      <c r="H159" s="1151" t="n"/>
      <c r="I159" s="707" t="n"/>
      <c r="J159" s="13" t="n"/>
      <c r="K159" s="1151" t="n"/>
      <c r="L159" s="707" t="n"/>
      <c r="M159" s="13" t="n"/>
      <c r="N159" s="1151" t="n"/>
      <c r="O159" s="707" t="n"/>
      <c r="P159" s="13" t="n"/>
      <c r="Q159" s="1151" t="n"/>
      <c r="R159" s="707" t="n"/>
      <c r="S159" s="13" t="n"/>
      <c r="T159" s="1151" t="n"/>
      <c r="U159" s="707" t="n"/>
      <c r="V159" s="13" t="n"/>
      <c r="W159" s="1151" t="n"/>
      <c r="X159" s="707" t="n"/>
      <c r="Y159" s="13" t="n"/>
      <c r="Z159" s="1151" t="n"/>
      <c r="AA159" s="707" t="n"/>
      <c r="AB159" s="13" t="n"/>
      <c r="AC159" s="1151" t="n"/>
      <c r="AD159" s="707" t="n"/>
      <c r="AE159" s="43" t="n"/>
      <c r="AF159" s="1151" t="n"/>
      <c r="AG159" s="707" t="n"/>
      <c r="AH159" s="13" t="n"/>
      <c r="AI159" s="1151" t="n"/>
      <c r="AJ159" s="707" t="n"/>
      <c r="AK159" s="13" t="n"/>
      <c r="AL159" s="1151" t="n"/>
      <c r="AM159" s="205">
        <f>C159+F159+I159+L159+O159+R159+U159+X159+AA159+AD159+AG159+AJ159</f>
        <v/>
      </c>
      <c r="AN159" s="13" t="n"/>
      <c r="AO159" s="1152" t="n"/>
    </row>
    <row r="160" ht="15" customHeight="1" s="985" thickBot="1">
      <c r="B160" s="1208" t="inlineStr">
        <is>
          <t>Otros Ajustes 4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1155" t="n"/>
      <c r="AM160" s="292">
        <f>C160+F160+I160+L160+O160+R160+U160+X160+AA160+AD160+AG160+AJ160</f>
        <v/>
      </c>
      <c r="AN160" s="812" t="n"/>
      <c r="AO160" s="1156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1093" t="n"/>
      <c r="AM161" s="587">
        <f>C161+F161+I161+L161+O161+R161+U161+X161+AA161+AD161+AG161+AJ161</f>
        <v/>
      </c>
      <c r="AN161" s="499" t="n"/>
      <c r="AO161" s="1094" t="n"/>
    </row>
    <row r="162" ht="15" customHeight="1" s="985" thickBot="1" thickTop="1">
      <c r="B162" s="65" t="n"/>
      <c r="C162" s="501">
        <f>IFERROR(C161/C13," ")</f>
        <v/>
      </c>
      <c r="D162" s="502" t="n"/>
      <c r="E162" s="1093" t="n"/>
      <c r="F162" s="501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1093" t="n"/>
      <c r="AM162" s="589">
        <f>IFERROR(AM161/AM13," ")</f>
        <v/>
      </c>
      <c r="AN162" s="502" t="n"/>
      <c r="AO162" s="1094" t="n"/>
    </row>
    <row r="163" ht="10.8" customHeight="1" s="985" thickTop="1"/>
    <row r="164">
      <c r="C164" s="618">
        <f>C44+C83-C73-C85+'CTAS EN PPACION'!C164</f>
        <v/>
      </c>
      <c r="F164" s="618">
        <f>F44+F83-F73-F85+'CTAS EN PPACION'!F164</f>
        <v/>
      </c>
      <c r="I164" s="618">
        <f>I44+I83-I73-I85</f>
        <v/>
      </c>
      <c r="L164" s="618">
        <f>L44+L83-L73-L85</f>
        <v/>
      </c>
      <c r="O164" s="618">
        <f>O44+O83-O73-O85</f>
        <v/>
      </c>
      <c r="R164" s="618">
        <f>R44+R83-R73-R85</f>
        <v/>
      </c>
      <c r="U164" s="618">
        <f>U44+U83-U73-U85</f>
        <v/>
      </c>
      <c r="X164" s="618">
        <f>X44+X83-X73-X85</f>
        <v/>
      </c>
      <c r="AA164" s="618">
        <f>AA44+AA83-AA73-AA85+'CTAS EN PPACION'!AA164</f>
        <v/>
      </c>
      <c r="AD164" s="618">
        <f>AD44+AD83-AD73-AD85+'CTAS EN PPACION'!AD164</f>
        <v/>
      </c>
      <c r="AG164" s="618">
        <f>AG44+AG83-AG73-AG85+'CTAS EN PPACION'!AG164</f>
        <v/>
      </c>
      <c r="AJ164" s="618">
        <f>AJ44+AJ83-AJ73-AJ85+'CTAS EN PPACION'!AJ164</f>
        <v/>
      </c>
    </row>
    <row r="165">
      <c r="C165" s="618">
        <f>'[9]Hoja 1'!$C$278+'[9]Hoja 1'!$C$299-'[9]Hoja 1'!$C$309+'[9]Hoja 1'!$C$330+'[9]Hoja 1'!$C$387+'[22]Hoja 1'!$D$16+'[22]Hoja 1'!$D$20</f>
        <v/>
      </c>
      <c r="F165" s="618">
        <f>'[10]Hoja 1'!$C$291+'[10]Hoja 1'!$C$279-'[10]Hoja 1'!$C$304-'[10]Hoja 1'!$C$312+'[10]Hoja 1'!$C$324+'[10]Hoja 1'!$C$396+'[18]Hoja 1'!$C$103+'[33]Hoja 1'!$D$13+'[20]Hoja 1'!$C$108</f>
        <v/>
      </c>
      <c r="I165" s="618" t="n">
        <v>2985496113.86</v>
      </c>
      <c r="L165" s="618" t="n">
        <v>3625851913.54</v>
      </c>
      <c r="O165" s="618" t="n">
        <v>3323110405.53</v>
      </c>
      <c r="R165" s="618" t="n">
        <v>3094110603.05</v>
      </c>
      <c r="U165" s="618" t="n">
        <v>3405629371.39</v>
      </c>
      <c r="X165" s="618" t="n">
        <v>2674284425.360001</v>
      </c>
      <c r="AA165" s="618" t="n">
        <v>4314883838.200001</v>
      </c>
      <c r="AD165" s="618" t="n">
        <v>3537589844.47</v>
      </c>
      <c r="AG165" s="618" t="n">
        <v>3595747620.96</v>
      </c>
      <c r="AJ165" s="618" t="n">
        <v>3354883060.72</v>
      </c>
      <c r="AM165" s="989">
        <f>AM13+'CTAS EN PPACION'!AM13</f>
        <v/>
      </c>
    </row>
    <row r="166">
      <c r="C166" s="618">
        <f>C164-C165</f>
        <v/>
      </c>
      <c r="F166" s="618">
        <f>F164-F165</f>
        <v/>
      </c>
      <c r="I166" s="618">
        <f>I164-I165</f>
        <v/>
      </c>
      <c r="L166" s="618">
        <f>L164-L165</f>
        <v/>
      </c>
      <c r="O166" s="618">
        <f>O164-O165</f>
        <v/>
      </c>
      <c r="R166" s="618">
        <f>R164-R165</f>
        <v/>
      </c>
      <c r="U166" s="618">
        <f>U164-U165</f>
        <v/>
      </c>
      <c r="X166" s="618">
        <f>X164-X165</f>
        <v/>
      </c>
      <c r="AA166" s="618">
        <f>AA164-AA165</f>
        <v/>
      </c>
      <c r="AD166" s="618">
        <f>AD164-AD165</f>
        <v/>
      </c>
      <c r="AG166" s="618">
        <f>AG164-AG165</f>
        <v/>
      </c>
      <c r="AJ166" s="618">
        <f>AJ164-AJ165</f>
        <v/>
      </c>
    </row>
    <row r="170" ht="11.4" customHeight="1" s="985">
      <c r="AM170" s="932">
        <f>AM161+'CTAS EN PPACION'!AM161</f>
        <v/>
      </c>
    </row>
    <row r="172">
      <c r="AM172" s="914" t="n"/>
    </row>
  </sheetData>
  <mergeCells count="1">
    <mergeCell ref="C2:AM2"/>
  </mergeCells>
  <conditionalFormatting sqref="B3:B4">
    <cfRule type="expression" priority="4" dxfId="1" stopIfTrue="1">
      <formula>AND(COUNTIF($B$3:$B$4, B3)+COUNTIF($B$7:$B$161, B3)&gt;1,NOT(ISBLANK(B3)))</formula>
    </cfRule>
  </conditionalFormatting>
  <conditionalFormatting sqref="B5:B6">
    <cfRule type="duplicateValues" priority="3" dxfId="0" stopIfTrue="1"/>
  </conditionalFormatting>
  <conditionalFormatting sqref="B7:B161">
    <cfRule type="expression" priority="1" dxfId="1" stopIfTrue="1">
      <formula>AND(COUNTIF($B$3:$B$4, B7)+COUNTIF($B$7:$B$161, B7)&gt;1,NOT(ISBLANK(B7)))</formula>
    </cfRule>
  </conditionalFormatting>
  <pageMargins left="0.7" right="0.7" top="0.75" bottom="0.75" header="0.3" footer="0.3"/>
  <pageSetup orientation="landscape" scale="40"/>
</worksheet>
</file>

<file path=xl/worksheets/sheet12.xml><?xml version="1.0" encoding="utf-8"?>
<worksheet xmlns="http://schemas.openxmlformats.org/spreadsheetml/2006/main">
  <sheetPr codeName="Hoja27">
    <outlinePr summaryBelow="1" summaryRight="1"/>
    <pageSetUpPr/>
  </sheetPr>
  <dimension ref="A2:BG216"/>
  <sheetViews>
    <sheetView zoomScaleNormal="100" workbookViewId="0">
      <pane xSplit="2" ySplit="13" topLeftCell="C72" activePane="bottomRight" state="frozen"/>
      <selection activeCell="J90" sqref="J90"/>
      <selection pane="topRight" activeCell="J90" sqref="J90"/>
      <selection pane="bottomLeft" activeCell="J90" sqref="J90"/>
      <selection pane="bottomRight" activeCell="C6" sqref="C6:F6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6.109375" customWidth="1" style="989" min="18" max="18"/>
    <col width="8.6640625" customWidth="1" style="989" min="19" max="19"/>
    <col width="8.6640625" customWidth="1" style="1033" min="20" max="20"/>
    <col width="16.10937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5.6640625" customWidth="1" style="989" min="39" max="39"/>
    <col width="8.6640625" customWidth="1" style="989" min="40" max="40"/>
    <col width="8.6640625" customWidth="1" style="1033" min="41" max="41"/>
    <col width="6.88671875" customWidth="1" style="2" min="42" max="42"/>
    <col width="11.44140625" customWidth="1" style="2" min="43" max="47"/>
    <col width="11.44140625" customWidth="1" style="2" min="48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PYG  CUENTAS EN PARTICIPACION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</row>
    <row r="3" ht="21.75" customHeight="1" s="985" thickBot="1" thickTop="1">
      <c r="B3" s="523" t="inlineStr">
        <is>
          <t xml:space="preserve">DIAS DE ATENCIÓN </t>
        </is>
      </c>
      <c r="C3" s="537" t="n">
        <v>20</v>
      </c>
      <c r="D3" s="480" t="n"/>
      <c r="E3" s="1035" t="n"/>
      <c r="F3" s="537" t="n">
        <v>20</v>
      </c>
      <c r="G3" s="480" t="n"/>
      <c r="H3" s="1035" t="n"/>
      <c r="I3" s="479" t="n">
        <v>20</v>
      </c>
      <c r="J3" s="480" t="n"/>
      <c r="K3" s="1035" t="n"/>
      <c r="L3" s="479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n"/>
      <c r="C5" s="257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inlineStr">
        <is>
          <t>RACIONES</t>
        </is>
      </c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n"/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49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>
        <f>AA15/AA15</f>
        <v/>
      </c>
      <c r="AD15" s="49">
        <f>SUM(AD16:AD22)</f>
        <v/>
      </c>
      <c r="AE15" s="399" t="n"/>
      <c r="AF15" s="1054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5">
      <c r="B16" s="830" t="n"/>
      <c r="C16" s="103" t="n"/>
      <c r="D16" s="79" t="n"/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05">
        <f>C16+F16+I16+L16+O16+R16+U16+X16+AA16+AD16+AG16+AJ16</f>
        <v/>
      </c>
      <c r="AN16" s="79" t="n"/>
      <c r="AO16" s="1056" t="n"/>
    </row>
    <row r="17" ht="15" customHeight="1" s="985">
      <c r="B17" s="765" t="inlineStr">
        <is>
          <t>SUMINISTRO</t>
        </is>
      </c>
      <c r="C17" s="25" t="n"/>
      <c r="D17" s="43" t="n"/>
      <c r="E17" s="1045" t="n"/>
      <c r="F17" s="25" t="n"/>
      <c r="G17" s="43" t="n"/>
      <c r="H17" s="1045" t="n"/>
      <c r="I17" s="25" t="n"/>
      <c r="J17" s="43">
        <f>I17/I6</f>
        <v/>
      </c>
      <c r="K17" s="1045" t="n"/>
      <c r="L17" s="25" t="n"/>
      <c r="M17" s="43">
        <f>L17/L6</f>
        <v/>
      </c>
      <c r="N17" s="1045" t="n"/>
      <c r="O17" s="25" t="n"/>
      <c r="P17" s="43">
        <f>O17/O6</f>
        <v/>
      </c>
      <c r="Q17" s="1045" t="n"/>
      <c r="R17" s="25" t="n"/>
      <c r="S17" s="43">
        <f>R17/R6</f>
        <v/>
      </c>
      <c r="T17" s="1045" t="n"/>
      <c r="U17" s="25" t="n"/>
      <c r="V17" s="43">
        <f>U17/U6</f>
        <v/>
      </c>
      <c r="W17" s="1045" t="n"/>
      <c r="X17" s="25" t="n"/>
      <c r="Y17" s="43">
        <f>X17/X6</f>
        <v/>
      </c>
      <c r="Z17" s="1045" t="n"/>
      <c r="AA17" s="25" t="n"/>
      <c r="AB17" s="43">
        <f>AA17/AA6</f>
        <v/>
      </c>
      <c r="AC17" s="1045" t="n"/>
      <c r="AD17" s="25" t="n"/>
      <c r="AE17" s="43">
        <f>AD17/AD6</f>
        <v/>
      </c>
      <c r="AF17" s="1045" t="n"/>
      <c r="AG17" s="25" t="n"/>
      <c r="AH17" s="43">
        <f>AG17/AG6</f>
        <v/>
      </c>
      <c r="AI17" s="1045" t="n"/>
      <c r="AJ17" s="25" t="n"/>
      <c r="AK17" s="43">
        <f>AJ17/AJ6</f>
        <v/>
      </c>
      <c r="AL17" s="57" t="n"/>
      <c r="AM17" s="205">
        <f>C17+F17+I17+L17+O17+R17+U17+X17+AA17+AD17+AG17+AJ17</f>
        <v/>
      </c>
      <c r="AN17" s="43" t="n"/>
      <c r="AO17" s="1046" t="n"/>
    </row>
    <row r="18" ht="15" customHeight="1" s="985">
      <c r="B18" s="104" t="n"/>
      <c r="C18" s="75" t="n"/>
      <c r="D18" s="43" t="n"/>
      <c r="E18" s="1045" t="n"/>
      <c r="F18" s="75" t="n"/>
      <c r="G18" s="43" t="n"/>
      <c r="H18" s="1045" t="n"/>
      <c r="I18" s="75" t="n"/>
      <c r="J18" s="43">
        <f>I18/I7</f>
        <v/>
      </c>
      <c r="K18" s="1045" t="n"/>
      <c r="L18" s="75" t="n"/>
      <c r="M18" s="43">
        <f>L18/L7</f>
        <v/>
      </c>
      <c r="N18" s="1045" t="n"/>
      <c r="O18" s="75" t="n"/>
      <c r="P18" s="43">
        <f>O18/O7</f>
        <v/>
      </c>
      <c r="Q18" s="1045" t="n"/>
      <c r="R18" s="75" t="n"/>
      <c r="S18" s="43">
        <f>R18/R7</f>
        <v/>
      </c>
      <c r="T18" s="1045" t="n"/>
      <c r="U18" s="75" t="n"/>
      <c r="V18" s="43">
        <f>U18/U7</f>
        <v/>
      </c>
      <c r="W18" s="1045" t="n"/>
      <c r="X18" s="75" t="n"/>
      <c r="Y18" s="43">
        <f>X18/X7</f>
        <v/>
      </c>
      <c r="Z18" s="1045" t="n"/>
      <c r="AA18" s="75" t="n"/>
      <c r="AB18" s="43">
        <f>AA18/AA7</f>
        <v/>
      </c>
      <c r="AC18" s="1045" t="n"/>
      <c r="AD18" s="75" t="n"/>
      <c r="AE18" s="43">
        <f>AD18/AD7</f>
        <v/>
      </c>
      <c r="AF18" s="1045" t="n"/>
      <c r="AG18" s="75" t="n"/>
      <c r="AH18" s="43">
        <f>AG18/AG7</f>
        <v/>
      </c>
      <c r="AI18" s="1045" t="n"/>
      <c r="AJ18" s="75" t="n"/>
      <c r="AK18" s="43" t="n"/>
      <c r="AL18" s="57" t="n"/>
      <c r="AM18" s="205">
        <f>C18+F18+I18+L18+O18+R18+U18+X18+AA18+AD18+AG18+AJ18</f>
        <v/>
      </c>
      <c r="AN18" s="43" t="n"/>
      <c r="AO18" s="1046" t="n"/>
    </row>
    <row r="19" ht="15" customHeight="1" s="985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91" t="n"/>
      <c r="Y19" s="92" t="n"/>
      <c r="Z19" s="1045" t="n"/>
      <c r="AA19" s="91" t="n"/>
      <c r="AB19" s="92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t="15" customHeight="1" s="985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5">
      <c r="B21" s="765" t="inlineStr">
        <is>
          <t>TRANSPORTE</t>
        </is>
      </c>
      <c r="C21" s="75" t="n"/>
      <c r="D21" s="43" t="n"/>
      <c r="E21" s="1045" t="n"/>
      <c r="F21" s="25" t="n"/>
      <c r="G21" s="43" t="n"/>
      <c r="H21" s="1045" t="n"/>
      <c r="I21" s="2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t="15" customHeight="1" s="985">
      <c r="B22" s="30" t="n"/>
      <c r="C22" s="51" t="n"/>
      <c r="D22" s="42" t="n"/>
      <c r="E22" s="1057" t="n"/>
      <c r="F22" s="22" t="n"/>
      <c r="G22" s="42" t="n"/>
      <c r="H22" s="1057" t="n"/>
      <c r="I22" s="51" t="n"/>
      <c r="J22" s="42" t="n"/>
      <c r="K22" s="1057" t="n"/>
      <c r="L22" s="448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hidden="1" outlineLevel="1" ht="15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49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hidden="1" outlineLevel="1" ht="15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49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hidden="1" outlineLevel="1" ht="15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hidden="1" outlineLevel="1" ht="15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hidden="1" outlineLevel="1" ht="15" customHeight="1" s="985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49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5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90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1159">
        <f>X29/X13</f>
        <v/>
      </c>
      <c r="AA29" s="90">
        <f>SUM(AA30:AA35)</f>
        <v/>
      </c>
      <c r="AB29" s="3" t="n"/>
      <c r="AC29" s="1053">
        <f>AA29/AA13</f>
        <v/>
      </c>
      <c r="AD29" s="49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AM29/$AM$6</f>
        <v/>
      </c>
      <c r="AO29" s="1054">
        <f>AM29/AM13</f>
        <v/>
      </c>
    </row>
    <row r="30" hidden="1" outlineLevel="1" ht="15" customFormat="1" customHeight="1" s="108">
      <c r="A30" s="229" t="n"/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</row>
    <row r="31" hidden="1" outlineLevel="1" ht="15" customHeight="1" s="985">
      <c r="B31" s="105" t="inlineStr">
        <is>
          <t>Rete fuente</t>
        </is>
      </c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hidden="1" outlineLevel="1" ht="15" customHeight="1" s="985">
      <c r="B32" s="105" t="inlineStr">
        <is>
          <t>Rete fuente</t>
        </is>
      </c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hidden="1" outlineLevel="1" ht="15" customHeight="1" s="985"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hidden="1" outlineLevel="1" ht="15" customHeight="1" s="985"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hidden="1" outlineLevel="1" ht="15" customHeight="1" s="985"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hidden="1" outlineLevel="1" ht="15" customHeight="1" s="985"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</row>
    <row r="37" hidden="1" outlineLevel="1" ht="15" customHeight="1" s="985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hidden="1" outlineLevel="1" ht="15" customHeight="1" s="985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hidden="1" outlineLevel="1" ht="15" customHeight="1" s="985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hidden="1" outlineLevel="1" ht="15" customHeight="1" s="985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hidden="1" outlineLevel="1" ht="15" customHeight="1" s="985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collapsed="1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5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 t="n"/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5">
      <c r="B45" s="16" t="inlineStr">
        <is>
          <t>COSTOS INDUSTRIALIZADOS</t>
        </is>
      </c>
      <c r="C45" s="49">
        <f>+C46+C57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90">
        <f>+AA46+AA57</f>
        <v/>
      </c>
      <c r="AB45" s="3" t="n"/>
      <c r="AC45" s="1053" t="n"/>
      <c r="AD45" s="49">
        <f>+AD46+AD57</f>
        <v/>
      </c>
      <c r="AE45" s="3" t="n"/>
      <c r="AF45" s="1053" t="n"/>
      <c r="AG45" s="90">
        <f>+AG46+AG57</f>
        <v/>
      </c>
      <c r="AH45" s="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t="15" customHeight="1" s="985">
      <c r="B46" s="36" t="inlineStr">
        <is>
          <t>INSUMOS</t>
        </is>
      </c>
      <c r="C46" s="37">
        <f>SUM(C47:C56)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37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t="15" customHeight="1" s="985">
      <c r="B47" s="97" t="inlineStr">
        <is>
          <t>SUMINISTRO</t>
        </is>
      </c>
      <c r="C47" s="76" t="n">
        <v>704316261.6960775</v>
      </c>
      <c r="D47" s="42">
        <f>C47/C12</f>
        <v/>
      </c>
      <c r="E47" s="1057">
        <f>C47/C13</f>
        <v/>
      </c>
      <c r="F47" s="76" t="n">
        <v>702700861.7745461</v>
      </c>
      <c r="G47" s="42">
        <f>F47/F12</f>
        <v/>
      </c>
      <c r="H47" s="1057">
        <f>F47/F13</f>
        <v/>
      </c>
      <c r="I47" s="76" t="n"/>
      <c r="J47" s="42">
        <f>I47/I12</f>
        <v/>
      </c>
      <c r="K47" s="1057">
        <f>I47/I13</f>
        <v/>
      </c>
      <c r="L47" s="76" t="n"/>
      <c r="M47" s="42">
        <f>L47/L12</f>
        <v/>
      </c>
      <c r="N47" s="1057">
        <f>L47/L13</f>
        <v/>
      </c>
      <c r="O47" s="76" t="n"/>
      <c r="P47" s="42">
        <f>O47/O12</f>
        <v/>
      </c>
      <c r="Q47" s="1057">
        <f>O47/O13</f>
        <v/>
      </c>
      <c r="R47" s="76" t="n"/>
      <c r="S47" s="42">
        <f>R47/R12</f>
        <v/>
      </c>
      <c r="T47" s="1057">
        <f>R47/R13</f>
        <v/>
      </c>
      <c r="U47" s="76" t="n"/>
      <c r="V47" s="42">
        <f>U47/U12</f>
        <v/>
      </c>
      <c r="W47" s="1057">
        <f>U47/U13</f>
        <v/>
      </c>
      <c r="X47" s="76" t="n"/>
      <c r="Y47" s="42">
        <f>X47/X12</f>
        <v/>
      </c>
      <c r="Z47" s="1057">
        <f>X47/X13</f>
        <v/>
      </c>
      <c r="AA47" s="76" t="n"/>
      <c r="AB47" s="42">
        <f>AA47/AA12</f>
        <v/>
      </c>
      <c r="AC47" s="1057">
        <f>AA47/AA13</f>
        <v/>
      </c>
      <c r="AD47" s="76" t="n"/>
      <c r="AE47" s="42">
        <f>AD47/AD12</f>
        <v/>
      </c>
      <c r="AF47" s="1057">
        <f>AD47/AD13</f>
        <v/>
      </c>
      <c r="AG47" s="76" t="n"/>
      <c r="AH47" s="42">
        <f>AG47/AG12</f>
        <v/>
      </c>
      <c r="AI47" s="1057">
        <f>AG47/AG13</f>
        <v/>
      </c>
      <c r="AJ47" s="76" t="n"/>
      <c r="AK47" s="42">
        <f>AJ47/AJ12</f>
        <v/>
      </c>
      <c r="AL47" s="1057">
        <f>AJ47/AJ13</f>
        <v/>
      </c>
      <c r="AM47" s="97">
        <f>C47+F47+I47+L47+O47+R47+U47+X47+AA47+AD47+AG47+AJ47</f>
        <v/>
      </c>
      <c r="AN47" s="42">
        <f>AM47/$AM$12</f>
        <v/>
      </c>
      <c r="AO47" s="1058">
        <f>AM47/AM13</f>
        <v/>
      </c>
      <c r="AP47" s="138" t="n"/>
    </row>
    <row r="48" ht="15" customHeight="1" s="985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>
        <f>AM48/AM12</f>
        <v/>
      </c>
      <c r="AO48" s="1046" t="n"/>
    </row>
    <row r="49" ht="15" customHeight="1" s="985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idden="1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idden="1" ht="15" customHeight="1" s="985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idden="1" ht="15" customHeight="1" s="985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idden="1" ht="15" customHeight="1" s="985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idden="1" ht="15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idden="1" ht="15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idden="1" ht="15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t="15" customHeight="1" s="985">
      <c r="B57" s="36" t="inlineStr">
        <is>
          <t>FLETES - OTROS OPERADORES</t>
        </is>
      </c>
      <c r="C57" s="46">
        <f>SUM(C58:C59)</f>
        <v/>
      </c>
      <c r="D57" s="47">
        <f>C57/C12</f>
        <v/>
      </c>
      <c r="E57" s="1049">
        <f>C57/C13</f>
        <v/>
      </c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47">
        <f>L57/L12</f>
        <v/>
      </c>
      <c r="N57" s="1049">
        <f>L57/L13</f>
        <v/>
      </c>
      <c r="O57" s="46">
        <f>SUM(O58:O59)</f>
        <v/>
      </c>
      <c r="P57" s="47">
        <f>O57/O12</f>
        <v/>
      </c>
      <c r="Q57" s="1049">
        <f>O57/O13</f>
        <v/>
      </c>
      <c r="R57" s="46">
        <f>SUM(R58:R59)</f>
        <v/>
      </c>
      <c r="S57" s="47">
        <f>R57/R12</f>
        <v/>
      </c>
      <c r="T57" s="1049">
        <f>R57/R13</f>
        <v/>
      </c>
      <c r="U57" s="46">
        <f>SUM(U58:U59)</f>
        <v/>
      </c>
      <c r="V57" s="47">
        <f>U57/U12</f>
        <v/>
      </c>
      <c r="W57" s="1049">
        <f>U57/U13</f>
        <v/>
      </c>
      <c r="X57" s="46">
        <f>SUM(X58:X59)</f>
        <v/>
      </c>
      <c r="Y57" s="47">
        <f>X57/X12</f>
        <v/>
      </c>
      <c r="Z57" s="1049">
        <f>X57/X13</f>
        <v/>
      </c>
      <c r="AA57" s="46">
        <f>SUM(AA58:AA59)</f>
        <v/>
      </c>
      <c r="AB57" s="47">
        <f>AA57/AA12</f>
        <v/>
      </c>
      <c r="AC57" s="1049">
        <f>AA57/AA13</f>
        <v/>
      </c>
      <c r="AD57" s="46">
        <f>SUM(AD58:AD59)</f>
        <v/>
      </c>
      <c r="AE57" s="47">
        <f>AD57/AD12</f>
        <v/>
      </c>
      <c r="AF57" s="1049">
        <f>AD57/AD13</f>
        <v/>
      </c>
      <c r="AG57" s="46">
        <f>SUM(AG58:AG59)</f>
        <v/>
      </c>
      <c r="AH57" s="47">
        <f>AG57/AG12</f>
        <v/>
      </c>
      <c r="AI57" s="1049">
        <f>AG57/AG13</f>
        <v/>
      </c>
      <c r="AJ57" s="46">
        <f>SUM(AJ58:AJ59)</f>
        <v/>
      </c>
      <c r="AK57" s="47">
        <f>AJ57/AJ12</f>
        <v/>
      </c>
      <c r="AL57" s="1049">
        <f>AJ57/AJ13</f>
        <v/>
      </c>
      <c r="AM57" s="207">
        <f>C57+F57+I57+L57+O57+R57+U57+X57+AA57+AD57+AG57+AJ57</f>
        <v/>
      </c>
      <c r="AN57" s="47">
        <f>AM57/AM12</f>
        <v/>
      </c>
      <c r="AO57" s="1050">
        <f>AM57/AM13</f>
        <v/>
      </c>
    </row>
    <row r="58" ht="15" customHeight="1" s="985">
      <c r="B58" s="412" t="inlineStr">
        <is>
          <t>ENTREGA POR RACION</t>
        </is>
      </c>
      <c r="C58" s="304">
        <f>[56]ENERO!$G$22</f>
        <v/>
      </c>
      <c r="D58" s="305" t="n"/>
      <c r="E58" s="1111" t="n"/>
      <c r="F58" s="304">
        <f>[56]FEBRERO!$G$22</f>
        <v/>
      </c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  <c r="AP58" s="1068" t="n"/>
    </row>
    <row r="59" ht="15" customFormat="1" customHeight="1" s="108">
      <c r="A59" s="229" t="n"/>
      <c r="B59" s="416" t="inlineStr">
        <is>
          <t>ENTREGA MATERIA PRIMA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</row>
    <row r="60" ht="15" customHeight="1" s="985">
      <c r="B60" s="16" t="inlineStr">
        <is>
          <t>COSTOS PREPARADOS</t>
        </is>
      </c>
      <c r="C60" s="49">
        <f>+C61+C73+C74+C75+C76+C77</f>
        <v/>
      </c>
      <c r="D60" s="67" t="n"/>
      <c r="E60" s="1071" t="n"/>
      <c r="F60" s="49">
        <f>+F61+F72+F75+F76+F77</f>
        <v/>
      </c>
      <c r="G60" s="3" t="n"/>
      <c r="H60" s="1053">
        <f>F60/F13</f>
        <v/>
      </c>
      <c r="I60" s="49">
        <f>+I61+I72+I75+I76+I77</f>
        <v/>
      </c>
      <c r="J60" s="3" t="n"/>
      <c r="K60" s="1053">
        <f>I60/I13</f>
        <v/>
      </c>
      <c r="L60" s="49">
        <f>+L61+L72+L75+L76+L77</f>
        <v/>
      </c>
      <c r="M60" s="3" t="n"/>
      <c r="N60" s="1053">
        <f>L60/L13</f>
        <v/>
      </c>
      <c r="O60" s="49">
        <f>+O61+O72+O75+O76+O77</f>
        <v/>
      </c>
      <c r="P60" s="3" t="n"/>
      <c r="Q60" s="1053">
        <f>O60/$O$13</f>
        <v/>
      </c>
      <c r="R60" s="90">
        <f>+R61+R72+R75+R76+R77</f>
        <v/>
      </c>
      <c r="S60" s="3" t="n"/>
      <c r="T60" s="1053">
        <f>R60/$O$13</f>
        <v/>
      </c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49">
        <f>+AD61+AD72+AD75+AD76+AD77</f>
        <v/>
      </c>
      <c r="AE60" s="3" t="n"/>
      <c r="AF60" s="1053" t="n"/>
      <c r="AG60" s="90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idden="1" ht="15" customHeight="1" s="985"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>
        <f>O61/$O$13</f>
        <v/>
      </c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 t="n"/>
      <c r="AO61" s="1072" t="n"/>
    </row>
    <row r="62" hidden="1" ht="15" customHeight="1" s="985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 t="n"/>
      <c r="AO62" s="1056" t="n"/>
    </row>
    <row r="63" hidden="1" ht="15" customHeight="1" s="985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 t="n"/>
      <c r="AO63" s="1046" t="n"/>
    </row>
    <row r="64" hidden="1" ht="15" customHeight="1" s="985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 t="n"/>
      <c r="AO64" s="1046" t="n"/>
    </row>
    <row r="65" hidden="1" ht="15" customHeight="1" s="985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idden="1" ht="15" customHeight="1" s="985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idden="1" ht="15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 t="n"/>
      <c r="AO67" s="1046" t="n"/>
    </row>
    <row r="68" hidden="1" ht="15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 t="n"/>
      <c r="AO68" s="1046" t="n"/>
    </row>
    <row r="69" hidden="1" ht="15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 t="n"/>
      <c r="AO69" s="1046" t="n"/>
    </row>
    <row r="70" hidden="1" ht="15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 t="n"/>
      <c r="AO70" s="1046" t="n"/>
    </row>
    <row r="71" hidden="1" ht="15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t="15" customHeight="1" s="985">
      <c r="B72" s="36" t="inlineStr">
        <is>
          <t>FLETES - CHVS</t>
        </is>
      </c>
      <c r="C72" s="37" t="n"/>
      <c r="D72" s="67" t="n"/>
      <c r="E72" s="1071" t="n"/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67" t="n"/>
      <c r="N72" s="1071" t="n"/>
      <c r="O72" s="46">
        <f>SUM(O73:O74)</f>
        <v/>
      </c>
      <c r="P72" s="67" t="n"/>
      <c r="Q72" s="1071" t="n"/>
      <c r="R72" s="46">
        <f>SUM(R73:R74)</f>
        <v/>
      </c>
      <c r="S72" s="67" t="n"/>
      <c r="T72" s="1071" t="n"/>
      <c r="U72" s="46">
        <f>SUM(U73:U74)</f>
        <v/>
      </c>
      <c r="V72" s="47">
        <f>U72/U12</f>
        <v/>
      </c>
      <c r="W72" s="1071" t="n"/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 t="n"/>
      <c r="AL72" s="1049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5">
      <c r="B73" s="412" t="n"/>
      <c r="C73" s="78" t="n"/>
      <c r="D73" s="79" t="n"/>
      <c r="E73" s="1055" t="n"/>
      <c r="F73" s="304" t="n"/>
      <c r="G73" s="305" t="n"/>
      <c r="H73" s="1111" t="n"/>
      <c r="I73" s="304" t="n"/>
      <c r="J73" s="305" t="n"/>
      <c r="K73" s="1111" t="n"/>
      <c r="L73" s="304" t="n"/>
      <c r="M73" s="305" t="n"/>
      <c r="N73" s="1111" t="n"/>
      <c r="O73" s="304" t="n"/>
      <c r="P73" s="305" t="n"/>
      <c r="Q73" s="1111" t="n"/>
      <c r="R73" s="304" t="n"/>
      <c r="S73" s="305" t="n"/>
      <c r="T73" s="1111" t="n"/>
      <c r="U73" s="304" t="n"/>
      <c r="V73" s="305" t="n"/>
      <c r="W73" s="1111" t="n"/>
      <c r="X73" s="304" t="n"/>
      <c r="Y73" s="305" t="n"/>
      <c r="Z73" s="1111" t="n"/>
      <c r="AA73" s="304" t="n"/>
      <c r="AB73" s="305" t="n"/>
      <c r="AC73" s="1111" t="n"/>
      <c r="AD73" s="304" t="n"/>
      <c r="AE73" s="305" t="n"/>
      <c r="AF73" s="1111" t="n"/>
      <c r="AG73" s="304" t="n"/>
      <c r="AH73" s="305" t="n"/>
      <c r="AI73" s="1111" t="n"/>
      <c r="AJ73" s="304" t="n"/>
      <c r="AK73" s="305" t="n"/>
      <c r="AL73" s="86" t="n"/>
      <c r="AM73" s="414">
        <f>C73+F73+I73+L73+O73+R73+U73+X73+AA73+AD73+AG73+AJ73</f>
        <v/>
      </c>
      <c r="AN73" s="305" t="n"/>
      <c r="AO73" s="1117" t="n"/>
    </row>
    <row r="74" ht="15" customFormat="1" customHeight="1" s="108" thickBot="1">
      <c r="A74" s="229" t="n"/>
      <c r="B74" s="833" t="inlineStr">
        <is>
          <t>TERCEROS</t>
        </is>
      </c>
      <c r="C74" s="71" t="n"/>
      <c r="D74" s="72" t="n"/>
      <c r="E74" s="1086" t="n"/>
      <c r="F74" s="71" t="n"/>
      <c r="G74" s="72" t="n"/>
      <c r="H74" s="1086" t="n"/>
      <c r="I74" s="71" t="n"/>
      <c r="J74" s="72" t="n"/>
      <c r="K74" s="1086" t="n"/>
      <c r="L74" s="71" t="n"/>
      <c r="M74" s="72" t="n"/>
      <c r="N74" s="1086" t="n"/>
      <c r="O74" s="71" t="n"/>
      <c r="P74" s="72" t="n"/>
      <c r="Q74" s="1086" t="n"/>
      <c r="R74" s="71" t="n"/>
      <c r="S74" s="72" t="n"/>
      <c r="T74" s="1086" t="n"/>
      <c r="U74" s="71" t="n"/>
      <c r="V74" s="72" t="n"/>
      <c r="W74" s="1086" t="n"/>
      <c r="X74" s="71" t="n"/>
      <c r="Y74" s="72" t="n"/>
      <c r="Z74" s="1086" t="n"/>
      <c r="AA74" s="71" t="n"/>
      <c r="AB74" s="72" t="n"/>
      <c r="AC74" s="1086" t="n"/>
      <c r="AD74" s="71" t="n"/>
      <c r="AE74" s="72" t="n"/>
      <c r="AF74" s="1086" t="n"/>
      <c r="AG74" s="71" t="n"/>
      <c r="AH74" s="72" t="n"/>
      <c r="AI74" s="1086" t="n"/>
      <c r="AJ74" s="71" t="n"/>
      <c r="AK74" s="72" t="n"/>
      <c r="AL74" s="73" t="n"/>
      <c r="AM74" s="301">
        <f>C74+F74+I74+L74+O74+R74+U74+X74+AA74+AD74+AG74+AJ74</f>
        <v/>
      </c>
      <c r="AN74" s="72" t="n"/>
      <c r="AO74" s="1209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</row>
    <row r="75" hidden="1" ht="15" customHeight="1" s="985">
      <c r="B75" s="831" t="inlineStr">
        <is>
          <t>Material de empaque</t>
        </is>
      </c>
      <c r="C75" s="273" t="n"/>
      <c r="D75" s="134" t="n"/>
      <c r="E75" s="1118" t="n"/>
      <c r="F75" s="273" t="n"/>
      <c r="G75" s="134" t="n"/>
      <c r="H75" s="1118" t="n"/>
      <c r="I75" s="273" t="n"/>
      <c r="J75" s="134" t="n"/>
      <c r="K75" s="1118" t="n"/>
      <c r="L75" s="273" t="n"/>
      <c r="M75" s="134" t="n"/>
      <c r="N75" s="1118" t="n"/>
      <c r="O75" s="273" t="n"/>
      <c r="P75" s="134" t="n"/>
      <c r="Q75" s="1118" t="n"/>
      <c r="R75" s="273" t="n"/>
      <c r="S75" s="134" t="n"/>
      <c r="T75" s="1118" t="n"/>
      <c r="U75" s="273" t="n"/>
      <c r="V75" s="134" t="n"/>
      <c r="W75" s="1118" t="n"/>
      <c r="X75" s="273" t="n"/>
      <c r="Y75" s="134" t="n"/>
      <c r="Z75" s="1118" t="n"/>
      <c r="AA75" s="273" t="n"/>
      <c r="AB75" s="134" t="n"/>
      <c r="AC75" s="1118" t="n"/>
      <c r="AD75" s="273" t="n"/>
      <c r="AE75" s="134" t="n"/>
      <c r="AF75" s="1118" t="n"/>
      <c r="AG75" s="273" t="n"/>
      <c r="AH75" s="134" t="n"/>
      <c r="AI75" s="1118" t="n"/>
      <c r="AJ75" s="273" t="n"/>
      <c r="AK75" s="134" t="n"/>
      <c r="AL75" s="135" t="n"/>
      <c r="AM75" s="430">
        <f>C75+F75+I75+L75+O75+R75+U75+X75+AA75+AD75+AG75+AJ75</f>
        <v/>
      </c>
      <c r="AN75" s="134" t="n"/>
      <c r="AO75" s="1210" t="n"/>
    </row>
    <row r="76" hidden="1" ht="15" customHeight="1" s="985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</row>
    <row r="77" hidden="1" ht="15" customHeight="1" s="985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</row>
    <row r="78" hidden="1" ht="15" customHeight="1" s="985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49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</row>
    <row r="79" hidden="1" ht="15" customHeight="1" s="985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  <c r="AP79" s="1068" t="n"/>
    </row>
    <row r="80" hidden="1" ht="15" customHeight="1" s="985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</row>
    <row r="81" hidden="1" ht="15" customHeight="1" s="985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793" t="n"/>
      <c r="M81" s="794" t="n"/>
      <c r="N81" s="1211" t="n"/>
      <c r="O81" s="793" t="n"/>
      <c r="P81" s="794" t="n"/>
      <c r="Q81" s="1211" t="n"/>
      <c r="R81" s="793" t="n"/>
      <c r="S81" s="794" t="n"/>
      <c r="T81" s="1211" t="n"/>
      <c r="U81" s="793" t="n"/>
      <c r="V81" s="794" t="n"/>
      <c r="W81" s="1211" t="n"/>
      <c r="X81" s="793" t="n"/>
      <c r="Y81" s="794" t="n"/>
      <c r="Z81" s="1211" t="n"/>
      <c r="AA81" s="793" t="n"/>
      <c r="AB81" s="794" t="n"/>
      <c r="AC81" s="1211" t="n"/>
      <c r="AD81" s="793" t="n"/>
      <c r="AE81" s="794" t="n"/>
      <c r="AF81" s="1211" t="n"/>
      <c r="AG81" s="793" t="n"/>
      <c r="AH81" s="794" t="n"/>
      <c r="AI81" s="1211" t="n"/>
      <c r="AJ81" s="796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>
        <f>I58/I6</f>
        <v/>
      </c>
      <c r="J82" s="2" t="n"/>
      <c r="K82" s="2" t="n"/>
      <c r="L82" s="2">
        <f>L58/L6</f>
        <v/>
      </c>
      <c r="M82" s="2" t="n"/>
      <c r="N82" s="2" t="n"/>
      <c r="O82" s="2">
        <f>O58/O6</f>
        <v/>
      </c>
      <c r="P82" s="2" t="n"/>
      <c r="Q82" s="2" t="n"/>
      <c r="R82" s="2">
        <f>R58/R6</f>
        <v/>
      </c>
      <c r="S82" s="2" t="n"/>
      <c r="T82" s="2" t="n"/>
      <c r="U82" s="2">
        <f>U58/U6</f>
        <v/>
      </c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1067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 t="n"/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511" t="n"/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 t="n"/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5">
      <c r="B85" s="39" t="inlineStr">
        <is>
          <t>Costos Indirectos de Personal</t>
        </is>
      </c>
      <c r="C85" s="39">
        <f>'[22]Hoja 1'!$D$20</f>
        <v/>
      </c>
      <c r="D85" s="69" t="n"/>
      <c r="E85" s="1077" t="n"/>
      <c r="F85" s="25">
        <f>'[30]Hoja 1'!$D$14+'[35]Hoja 1'!$D$15</f>
        <v/>
      </c>
      <c r="G85" s="69" t="n"/>
      <c r="H85" s="1077" t="n"/>
      <c r="I85" s="91" t="n"/>
      <c r="J85" s="69" t="n"/>
      <c r="K85" s="1077" t="n"/>
      <c r="L85" s="91" t="n"/>
      <c r="M85" s="69" t="n"/>
      <c r="N85" s="1077" t="n"/>
      <c r="O85" s="91" t="n"/>
      <c r="P85" s="69" t="n"/>
      <c r="Q85" s="1077" t="n"/>
      <c r="R85" s="91" t="n"/>
      <c r="S85" s="69" t="n"/>
      <c r="T85" s="1077" t="n"/>
      <c r="U85" s="91" t="n"/>
      <c r="V85" s="69" t="n"/>
      <c r="W85" s="1077" t="n"/>
      <c r="X85" s="91" t="n"/>
      <c r="Y85" s="69" t="n"/>
      <c r="Z85" s="1077" t="n"/>
      <c r="AA85" s="91" t="n"/>
      <c r="AB85" s="69" t="n"/>
      <c r="AC85" s="1077" t="n"/>
      <c r="AD85" s="91" t="n"/>
      <c r="AE85" s="69" t="n"/>
      <c r="AF85" s="1077" t="n"/>
      <c r="AG85" s="91" t="n"/>
      <c r="AH85" s="69" t="n"/>
      <c r="AI85" s="70" t="n"/>
      <c r="AJ85" s="913" t="n"/>
      <c r="AK85" s="69" t="n"/>
      <c r="AL85" s="70" t="n"/>
      <c r="AM85" s="209">
        <f>C85+F85+I85+L85+O85+R85+U85+X85+AA85+AD85+AG85+AJ85</f>
        <v/>
      </c>
      <c r="AN85" s="69">
        <f>AM85/$AM$6</f>
        <v/>
      </c>
      <c r="AO85" s="1082">
        <f>AM85/(AM$13)</f>
        <v/>
      </c>
    </row>
    <row r="86" ht="15" customHeight="1" s="985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</row>
    <row r="87" ht="15" customHeight="1" s="985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</row>
    <row r="88" ht="15" customHeight="1" s="985">
      <c r="B88" s="206" t="inlineStr">
        <is>
          <t>Inacapacidades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</row>
    <row r="89" hidden="1" ht="15" customHeight="1" s="985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49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</row>
    <row r="90" hidden="1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</row>
    <row r="91" hidden="1" outlineLevel="1" ht="15" customHeight="1" s="985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</row>
    <row r="92" hidden="1" collapsed="1" ht="15" customHeight="1" s="985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49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</row>
    <row r="93" hidden="1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</row>
    <row r="94" hidden="1" outlineLevel="1" ht="15" customHeight="1" s="985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</row>
    <row r="95" hidden="1" outlineLevel="1" ht="15" customHeight="1" s="985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</row>
    <row r="96" hidden="1" collapsed="1" ht="15" customHeight="1" s="985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49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</row>
    <row r="97" hidden="1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</row>
    <row r="98" hidden="1" outlineLevel="1" ht="15" customFormat="1" customHeight="1" s="108">
      <c r="A98" s="229" t="inlineStr">
        <is>
          <t xml:space="preserve">73306001            </t>
        </is>
      </c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</row>
    <row r="99" hidden="1" collapsed="1" ht="15" customHeight="1" s="985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49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</row>
    <row r="100" hidden="1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</row>
    <row r="101" hidden="1" outlineLevel="1" ht="15" customHeight="1" s="985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hidden="1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hidden="1" outlineLevel="1" ht="15" customHeight="1" s="985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hidden="1" outlineLevel="1" ht="15" customHeight="1" s="985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hidden="1" outlineLevel="1" ht="15" customHeight="1" s="985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hidden="1" outlineLevel="1" ht="15" customHeight="1" s="985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hidden="1" outlineLevel="1" ht="15" customHeight="1" s="985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274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</row>
    <row r="108" hidden="1" outlineLevel="1" ht="15" customHeight="1" s="985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2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</row>
    <row r="109" hidden="1" collapsed="1" ht="15" customHeight="1" s="985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49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hidden="1" outlineLevel="1" ht="15" customHeight="1" s="985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</row>
    <row r="111" hidden="1" outlineLevel="1" ht="15" customHeight="1" s="985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hidden="1" outlineLevel="1" ht="15" customHeight="1" s="985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</row>
    <row r="113" hidden="1" outlineLevel="1" ht="15" customHeight="1" s="985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</row>
    <row r="114" hidden="1" collapsed="1" ht="15" customHeight="1" s="985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>
        <f>L114/(L$13)</f>
        <v/>
      </c>
      <c r="O114" s="49">
        <f>SUM(O115:O116)</f>
        <v/>
      </c>
      <c r="P114" s="3" t="n"/>
      <c r="Q114" s="1053">
        <f>O114/(O$13)</f>
        <v/>
      </c>
      <c r="R114" s="49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>
        <f>AA114/(AA$13)</f>
        <v/>
      </c>
      <c r="AD114" s="49">
        <f>SUM(AD115:AD116)</f>
        <v/>
      </c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hidden="1" outlineLevel="1" ht="15" customHeight="1" s="985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</row>
    <row r="116" hidden="1" outlineLevel="1" ht="15" customHeight="1" s="985">
      <c r="A116" s="226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hidden="1" outlineLevel="1" ht="15" customHeight="1" s="985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hidden="1" outlineLevel="1" ht="15" customHeight="1" s="985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</row>
    <row r="119" hidden="1" outlineLevel="1" ht="15" customHeight="1" s="985">
      <c r="A119" s="226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</row>
    <row r="120" hidden="1" collapsed="1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49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>
        <f>AA120/(AA$13)</f>
        <v/>
      </c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idden="1" ht="15" customHeight="1" s="985">
      <c r="A121" s="226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</row>
    <row r="122" hidden="1" ht="15" customHeight="1" s="985">
      <c r="A122" s="226" t="inlineStr">
        <is>
          <t xml:space="preserve">73501501            </t>
        </is>
      </c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</row>
    <row r="123" hidden="1" ht="15" customHeight="1" s="985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49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hidden="1" outlineLevel="1" ht="15" customHeight="1" s="985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</row>
    <row r="125" hidden="1" outlineLevel="1" ht="15" customHeight="1" s="985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</row>
    <row r="126" hidden="1" outlineLevel="1" ht="15" customHeight="1" s="985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</row>
    <row r="127" hidden="1" collapsed="1" ht="15" customHeight="1" s="985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49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</row>
    <row r="128" hidden="1" outlineLevel="1" ht="15" customHeight="1" s="985">
      <c r="A128" s="226" t="inlineStr">
        <is>
          <t xml:space="preserve">73951001            </t>
        </is>
      </c>
      <c r="B128" s="39" t="inlineStr">
        <is>
          <t xml:space="preserve">Bioseguridad 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</row>
    <row r="129" hidden="1" outlineLevel="1" ht="15" customHeight="1" s="985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hidden="1" outlineLevel="1" ht="15" customHeight="1" s="985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</row>
    <row r="131" hidden="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</row>
    <row r="132" hidden="1" outlineLevel="1" ht="15" customHeight="1" s="985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hidden="1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hidden="1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hidden="1" outlineLevel="1" ht="15" customHeight="1" s="985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hidden="1" outlineLevel="1" ht="15" customHeight="1" s="985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hidden="1" outlineLevel="1" ht="15" customHeight="1" s="985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hidden="1" outlineLevel="1" ht="15" customHeight="1" s="985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hidden="1" outlineLevel="1" ht="15" customHeight="1" s="985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</row>
    <row r="140" hidden="1" outlineLevel="1" ht="15" customHeight="1" s="985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</row>
    <row r="141" hidden="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</row>
    <row r="142" hidden="1" outlineLevel="1" ht="15" customHeight="1" s="985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</row>
    <row r="143" collapsed="1" ht="15" customHeight="1" s="985" thickBot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</row>
    <row r="145" ht="15" customHeight="1" s="985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 t="n"/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>
        <f>AM147/$AM$6</f>
        <v/>
      </c>
      <c r="AO147" s="1070">
        <f>AM147/(AM$13)</f>
        <v/>
      </c>
    </row>
    <row r="148" ht="15" customHeight="1" s="985">
      <c r="B148" s="18" t="inlineStr">
        <is>
          <t>Gastos Fijos Administracion</t>
        </is>
      </c>
      <c r="C148" s="39">
        <f>'GASTOS ADMINISTRATIVOS'!C96*'%DIST'!B45</f>
        <v/>
      </c>
      <c r="D148" s="69" t="n"/>
      <c r="E148" s="1077" t="n"/>
      <c r="F148" s="39">
        <f>'GASTOS ADMINISTRATIVOS'!D96*'%DIST'!D45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</row>
    <row r="149" ht="15" customHeight="1" s="985">
      <c r="B149" s="285" t="inlineStr">
        <is>
          <t>Gastos financieros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</row>
    <row r="150" ht="15" customHeight="1" s="985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</row>
    <row r="151" ht="15" customHeight="1" s="985" thickBot="1">
      <c r="B151" s="300" t="inlineStr">
        <is>
          <t>Gastos No Operacionales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</row>
    <row r="153" hidden="1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</row>
    <row r="154" hidden="1" ht="15" customHeight="1" s="985" thickTop="1">
      <c r="B154" s="1135" t="inlineStr">
        <is>
          <t>Novedades</t>
        </is>
      </c>
      <c r="C154" s="286" t="n"/>
      <c r="D154" s="230" t="n"/>
      <c r="E154" s="1136" t="n"/>
      <c r="F154" s="286" t="n"/>
      <c r="G154" s="230" t="n"/>
      <c r="H154" s="1136" t="n"/>
      <c r="I154" s="287" t="n"/>
      <c r="J154" s="230" t="n"/>
      <c r="K154" s="1136" t="n"/>
      <c r="L154" s="287" t="n"/>
      <c r="M154" s="230" t="n"/>
      <c r="N154" s="1136" t="n"/>
      <c r="O154" s="1172" t="n"/>
      <c r="P154" s="230" t="n"/>
      <c r="Q154" s="1136" t="n"/>
      <c r="R154" s="1172" t="n"/>
      <c r="S154" s="230" t="n"/>
      <c r="T154" s="1136" t="n"/>
      <c r="U154" s="287" t="n"/>
      <c r="V154" s="230" t="n"/>
      <c r="W154" s="1136" t="n"/>
      <c r="X154" s="287" t="n"/>
      <c r="Y154" s="230" t="n"/>
      <c r="Z154" s="1136" t="n"/>
      <c r="AA154" s="1172" t="n"/>
      <c r="AB154" s="230" t="n"/>
      <c r="AC154" s="1136" t="n"/>
      <c r="AD154" s="1172" t="n"/>
      <c r="AE154" s="230" t="n"/>
      <c r="AF154" s="1136" t="n"/>
      <c r="AG154" s="1172" t="n"/>
      <c r="AH154" s="230" t="n"/>
      <c r="AI154" s="1136" t="n"/>
      <c r="AJ154" s="1172" t="n"/>
      <c r="AK154" s="230" t="n"/>
      <c r="AL154" s="245" t="n"/>
      <c r="AM154" s="287">
        <f>C154+F154+I154+L154+O154+R154+U154+X154+AA154+AD154+AG154+AJ154</f>
        <v/>
      </c>
      <c r="AN154" s="230" t="n"/>
      <c r="AO154" s="1137" t="n"/>
      <c r="AP154" s="632" t="n"/>
    </row>
    <row r="155" hidden="1" ht="15" customHeight="1" s="985">
      <c r="B155" s="1139" t="inlineStr">
        <is>
          <t>Donacion</t>
        </is>
      </c>
      <c r="C155" s="693" t="n"/>
      <c r="D155" s="9" t="n"/>
      <c r="E155" s="1140" t="n"/>
      <c r="F155" s="693" t="n"/>
      <c r="G155" s="9" t="n"/>
      <c r="H155" s="1140" t="n"/>
      <c r="I155" s="567" t="n"/>
      <c r="J155" s="9" t="n"/>
      <c r="K155" s="1140" t="n"/>
      <c r="L155" s="567" t="n"/>
      <c r="M155" s="9" t="n"/>
      <c r="N155" s="1140" t="n"/>
      <c r="O155" s="567" t="n"/>
      <c r="P155" s="9" t="n"/>
      <c r="Q155" s="1140" t="n"/>
      <c r="R155" s="567" t="n"/>
      <c r="S155" s="9" t="n"/>
      <c r="T155" s="1140" t="n"/>
      <c r="U155" s="567" t="n"/>
      <c r="V155" s="9" t="n"/>
      <c r="W155" s="1140" t="n"/>
      <c r="X155" s="567" t="n"/>
      <c r="Y155" s="9" t="n"/>
      <c r="Z155" s="1140" t="n"/>
      <c r="AA155" s="567" t="n"/>
      <c r="AB155" s="9" t="n"/>
      <c r="AC155" s="1140" t="n"/>
      <c r="AD155" s="567" t="n"/>
      <c r="AE155" s="9" t="n"/>
      <c r="AF155" s="1140" t="n"/>
      <c r="AG155" s="567" t="n"/>
      <c r="AH155" s="9" t="n"/>
      <c r="AI155" s="1140" t="n"/>
      <c r="AJ155" s="567" t="n"/>
      <c r="AK155" s="9" t="n"/>
      <c r="AL155" s="240" t="n"/>
      <c r="AM155" s="567">
        <f>C155+F155+I155+L155+O155+R155+U155+X155+AA155+AD155+AG155+AJ155</f>
        <v/>
      </c>
      <c r="AN155" s="9">
        <f>AM155/AM12</f>
        <v/>
      </c>
      <c r="AO155" s="1141" t="n"/>
      <c r="AP155" s="709" t="n"/>
    </row>
    <row r="156" hidden="1" ht="15" customHeight="1" s="985">
      <c r="B156" s="1143" t="inlineStr">
        <is>
          <t>Donacion</t>
        </is>
      </c>
      <c r="C156" s="687" t="n"/>
      <c r="D156" s="677" t="n"/>
      <c r="E156" s="1144" t="n"/>
      <c r="F156" s="687" t="n"/>
      <c r="G156" s="677" t="n"/>
      <c r="H156" s="1144" t="n"/>
      <c r="I156" s="682" t="n"/>
      <c r="J156" s="677" t="n"/>
      <c r="K156" s="1144" t="n"/>
      <c r="L156" s="682" t="n"/>
      <c r="M156" s="677" t="n"/>
      <c r="N156" s="1144" t="n"/>
      <c r="O156" s="682" t="n"/>
      <c r="P156" s="677" t="n"/>
      <c r="Q156" s="1144" t="n"/>
      <c r="R156" s="682" t="n"/>
      <c r="S156" s="677" t="n"/>
      <c r="T156" s="1144" t="n"/>
      <c r="U156" s="682" t="n"/>
      <c r="V156" s="677" t="n"/>
      <c r="W156" s="1144" t="n"/>
      <c r="X156" s="682" t="n"/>
      <c r="Y156" s="677" t="n"/>
      <c r="Z156" s="1144" t="n"/>
      <c r="AA156" s="682" t="n"/>
      <c r="AB156" s="677" t="n"/>
      <c r="AC156" s="1144" t="n"/>
      <c r="AD156" s="682" t="n"/>
      <c r="AE156" s="677" t="n"/>
      <c r="AF156" s="1144" t="n"/>
      <c r="AG156" s="682" t="n"/>
      <c r="AH156" s="677" t="n"/>
      <c r="AI156" s="1144" t="n"/>
      <c r="AJ156" s="682" t="n"/>
      <c r="AK156" s="677" t="n"/>
      <c r="AL156" s="681" t="n"/>
      <c r="AM156" s="682">
        <f>C156+F156+I156+L156+O156+R156+U156+X156+AA156+AD156+AG156+AJ156</f>
        <v/>
      </c>
      <c r="AN156" s="677">
        <f>AM156/AM12</f>
        <v/>
      </c>
      <c r="AO156" s="1145" t="n"/>
      <c r="AP156" s="709" t="n"/>
    </row>
    <row r="157" hidden="1" ht="15" customHeight="1" s="985">
      <c r="B157" s="1146" t="inlineStr">
        <is>
          <t>Otros Ajustes</t>
        </is>
      </c>
      <c r="C157" s="563" t="n"/>
      <c r="D157" s="553" t="n"/>
      <c r="E157" s="1147" t="n"/>
      <c r="F157" s="563" t="n"/>
      <c r="G157" s="553" t="n"/>
      <c r="H157" s="1147" t="n"/>
      <c r="I157" s="567" t="n"/>
      <c r="J157" s="553" t="n"/>
      <c r="K157" s="1147" t="n"/>
      <c r="L157" s="567" t="n"/>
      <c r="M157" s="553" t="n"/>
      <c r="N157" s="1147" t="n"/>
      <c r="O157" s="567" t="n"/>
      <c r="P157" s="553" t="n"/>
      <c r="Q157" s="1147" t="n"/>
      <c r="R157" s="567" t="n"/>
      <c r="S157" s="553" t="n"/>
      <c r="T157" s="1147" t="n"/>
      <c r="U157" s="567" t="n"/>
      <c r="V157" s="553" t="n"/>
      <c r="W157" s="1147" t="n"/>
      <c r="X157" s="567" t="n"/>
      <c r="Y157" s="553" t="n"/>
      <c r="Z157" s="1147" t="n"/>
      <c r="AA157" s="567" t="n"/>
      <c r="AB157" s="553" t="n"/>
      <c r="AC157" s="1147" t="n"/>
      <c r="AD157" s="567" t="n"/>
      <c r="AE157" s="553" t="n"/>
      <c r="AF157" s="1147" t="n"/>
      <c r="AG157" s="567" t="n"/>
      <c r="AH157" s="553" t="n"/>
      <c r="AI157" s="1147" t="n"/>
      <c r="AJ157" s="567" t="n"/>
      <c r="AK157" s="553" t="n"/>
      <c r="AL157" s="557" t="n"/>
      <c r="AM157" s="294">
        <f>C157+F157+I157+L157+O157+R157+U157+X157+AA157+AD157+AG157+AJ157</f>
        <v/>
      </c>
      <c r="AN157" s="553" t="n"/>
      <c r="AO157" s="1178">
        <f>AM157/AM13</f>
        <v/>
      </c>
      <c r="AP157" s="634" t="n"/>
    </row>
    <row r="158" hidden="1" ht="15" customHeight="1" s="985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51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1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AM158/AM13</f>
        <v/>
      </c>
      <c r="AP158" s="634" t="n"/>
    </row>
    <row r="159" hidden="1" ht="15" customHeight="1" s="985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1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>
        <f>AM159/AM13</f>
        <v/>
      </c>
      <c r="AP159" s="634" t="n"/>
    </row>
    <row r="160" hidden="1" ht="15" customHeight="1" s="985" thickBot="1">
      <c r="B160" s="1154" t="inlineStr">
        <is>
          <t>Otros Ajustes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812" t="n"/>
      <c r="AO160" s="454" t="n"/>
      <c r="AP160" s="635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8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</row>
    <row r="162" ht="15" customHeight="1" s="985" thickBot="1" thickTop="1">
      <c r="B162" s="65" t="n"/>
      <c r="C162" s="455">
        <f>IFERROR(C161/C13," ")</f>
        <v/>
      </c>
      <c r="D162" s="446" t="n"/>
      <c r="E162" s="1200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</row>
    <row r="163" ht="10.8" customHeight="1" s="985" thickTop="1"/>
    <row r="164" hidden="1" s="985">
      <c r="C164" s="618">
        <f>C44+C83</f>
        <v/>
      </c>
      <c r="F164" s="618">
        <f>F44+F83</f>
        <v/>
      </c>
      <c r="L164" s="618">
        <f>L44+L83+L147</f>
        <v/>
      </c>
      <c r="O164" s="618">
        <f>O44+O83</f>
        <v/>
      </c>
      <c r="R164" s="618">
        <f>R44+R83</f>
        <v/>
      </c>
      <c r="U164" s="618">
        <f>U44+U83</f>
        <v/>
      </c>
      <c r="X164" s="618">
        <f>X44+X83</f>
        <v/>
      </c>
      <c r="AA164" s="995">
        <f>AA44+AA83-AA73-AA85</f>
        <v/>
      </c>
      <c r="AD164" s="995">
        <f>AD44+AD83-AD73-AD85</f>
        <v/>
      </c>
      <c r="AG164" s="995">
        <f>AG44+AG83-AG73-AG85</f>
        <v/>
      </c>
      <c r="AJ164" s="995">
        <f>AJ44+AJ83-AJ73-AJ85</f>
        <v/>
      </c>
    </row>
    <row r="165">
      <c r="L165" s="618" t="n">
        <v>569714340.78</v>
      </c>
      <c r="O165" s="618" t="n">
        <v>866604637.3200001</v>
      </c>
      <c r="R165" s="618" t="n">
        <v>777933614.05</v>
      </c>
      <c r="U165" s="618" t="n">
        <v>937031600.53</v>
      </c>
      <c r="X165" s="618" t="n">
        <v>1447577388.22</v>
      </c>
      <c r="AA165" s="995" t="n">
        <v>1217442425.63</v>
      </c>
      <c r="AG165" s="995" t="n">
        <v>366076117.29</v>
      </c>
      <c r="AJ165" s="995" t="n"/>
    </row>
    <row r="166">
      <c r="L166" s="618">
        <f>L164-L165</f>
        <v/>
      </c>
      <c r="O166" s="618">
        <f>O164-O165</f>
        <v/>
      </c>
      <c r="R166" s="618">
        <f>R164-R165</f>
        <v/>
      </c>
      <c r="U166" s="618">
        <f>U164-U165</f>
        <v/>
      </c>
      <c r="X166" s="618">
        <f>X164-X165</f>
        <v/>
      </c>
      <c r="AA166" s="995">
        <f>AA164-AA165</f>
        <v/>
      </c>
      <c r="AB166" s="989" t="inlineStr">
        <is>
          <t>MP</t>
        </is>
      </c>
      <c r="AG166" s="995">
        <f>AG164-AG165</f>
        <v/>
      </c>
      <c r="AJ166" s="995">
        <f>AJ164-AJ165</f>
        <v/>
      </c>
    </row>
    <row r="216">
      <c r="AM216" s="989">
        <f>22+31+19+39+34+32+26</f>
        <v/>
      </c>
    </row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3.xml><?xml version="1.0" encoding="utf-8"?>
<worksheet xmlns="http://schemas.openxmlformats.org/spreadsheetml/2006/main">
  <sheetPr codeName="Hoja26">
    <outlinePr summaryBelow="1" summaryRight="1"/>
    <pageSetUpPr/>
  </sheetPr>
  <dimension ref="A2:BI170"/>
  <sheetViews>
    <sheetView zoomScaleNormal="100" workbookViewId="0">
      <pane xSplit="2" ySplit="13" topLeftCell="C143" activePane="bottomRight" state="frozen"/>
      <selection activeCell="J90" sqref="J90"/>
      <selection pane="topRight" activeCell="J90" sqref="J90"/>
      <selection pane="bottomLeft" activeCell="J90" sqref="J90"/>
      <selection pane="bottomRight" activeCell="H1" sqref="H1:AM1048576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6.109375" customWidth="1" style="989" min="18" max="18"/>
    <col width="8.6640625" customWidth="1" style="989" min="19" max="19"/>
    <col width="8.6640625" customWidth="1" style="1033" min="20" max="20"/>
    <col width="16.10937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5.6640625" customWidth="1" style="989" min="39" max="39"/>
    <col width="8.6640625" customWidth="1" style="989" min="40" max="40"/>
    <col width="8.6640625" customWidth="1" style="1033" min="41" max="41"/>
    <col width="6.5546875" customWidth="1" style="2" min="42" max="42"/>
    <col width="11.44140625" customWidth="1" style="2" min="43" max="47"/>
    <col width="11.44140625" customWidth="1" style="2" min="48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PYG  COMEDORES PALMIRA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</row>
    <row r="3" ht="21.75" customHeight="1" s="985" thickBot="1" thickTop="1">
      <c r="B3" s="523" t="inlineStr">
        <is>
          <t xml:space="preserve">DIAS DE ATENCIÓN </t>
        </is>
      </c>
      <c r="C3" s="537" t="n">
        <v>10</v>
      </c>
      <c r="D3" s="480" t="n"/>
      <c r="E3" s="1035" t="n"/>
      <c r="F3" s="537" t="n">
        <v>20</v>
      </c>
      <c r="G3" s="480" t="n"/>
      <c r="H3" s="1035" t="n"/>
      <c r="I3" s="537" t="n">
        <v>20</v>
      </c>
      <c r="J3" s="480" t="n"/>
      <c r="K3" s="1035" t="n"/>
      <c r="L3" s="537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t="15" customFormat="1" customHeight="1" s="223" thickTop="1">
      <c r="A5" s="228" t="n"/>
      <c r="B5" s="258" t="inlineStr">
        <is>
          <t>SUMINISTRO</t>
        </is>
      </c>
      <c r="C5" s="257" t="n">
        <v>22050</v>
      </c>
      <c r="D5" s="89" t="n"/>
      <c r="E5" s="1041" t="n"/>
      <c r="F5" s="257" t="n">
        <v>21565</v>
      </c>
      <c r="G5" s="260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t="15" customFormat="1" customHeight="1" s="223">
      <c r="A7" s="228" t="n"/>
      <c r="B7" s="258" t="inlineStr">
        <is>
          <t>RACIONES ADICIONALES</t>
        </is>
      </c>
      <c r="C7" s="25" t="n">
        <v>750</v>
      </c>
      <c r="D7" s="43" t="n"/>
      <c r="E7" s="1045" t="n"/>
      <c r="F7" s="25" t="n">
        <v>1235</v>
      </c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 t="n"/>
      <c r="AD15" s="90">
        <f>SUM(AD16:AD22)</f>
        <v/>
      </c>
      <c r="AE15" s="399" t="n"/>
      <c r="AF15" s="1054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1053">
        <f>AJ15/AJ15</f>
        <v/>
      </c>
      <c r="AM15" s="16">
        <f>C15+F15+I15+L15+O15+R15+U15+X15+AA15+AD15+AG15+AJ15</f>
        <v/>
      </c>
      <c r="AN15" s="3" t="n"/>
      <c r="AO15" s="1054">
        <f>AM15/AM15</f>
        <v/>
      </c>
    </row>
    <row r="16" ht="15" customHeight="1" s="985">
      <c r="B16" s="262" t="inlineStr">
        <is>
          <t>SUMINISTRO</t>
        </is>
      </c>
      <c r="C16" s="103" t="n"/>
      <c r="D16" s="79" t="n"/>
      <c r="E16" s="1055" t="n"/>
      <c r="F16" s="103" t="n"/>
      <c r="G16" s="79" t="n"/>
      <c r="H16" s="1055" t="n"/>
      <c r="I16" s="103" t="n"/>
      <c r="J16" s="79">
        <f>I16/I5</f>
        <v/>
      </c>
      <c r="K16" s="1055" t="n"/>
      <c r="L16" s="103" t="n"/>
      <c r="M16" s="79">
        <f>L16/L5</f>
        <v/>
      </c>
      <c r="N16" s="1055" t="n"/>
      <c r="O16" s="103" t="n"/>
      <c r="P16" s="79">
        <f>O16/O5</f>
        <v/>
      </c>
      <c r="Q16" s="1055" t="n"/>
      <c r="R16" s="103" t="n"/>
      <c r="S16" s="79">
        <f>R16/R5</f>
        <v/>
      </c>
      <c r="T16" s="1055" t="n"/>
      <c r="U16" s="103" t="n"/>
      <c r="V16" s="79">
        <f>U16/U5</f>
        <v/>
      </c>
      <c r="W16" s="1055" t="n"/>
      <c r="X16" s="103" t="n"/>
      <c r="Y16" s="79">
        <f>X16/X5</f>
        <v/>
      </c>
      <c r="Z16" s="1055" t="n"/>
      <c r="AA16" s="103" t="n"/>
      <c r="AB16" s="79">
        <f>AA16/AA5</f>
        <v/>
      </c>
      <c r="AC16" s="1055" t="n"/>
      <c r="AD16" s="103" t="n"/>
      <c r="AE16" s="79">
        <f>AD16/AD5</f>
        <v/>
      </c>
      <c r="AF16" s="1055" t="n"/>
      <c r="AG16" s="103" t="n"/>
      <c r="AH16" s="79">
        <f>AG16/AG5</f>
        <v/>
      </c>
      <c r="AI16" s="1055" t="n"/>
      <c r="AJ16" s="103" t="n"/>
      <c r="AK16" s="79">
        <f>AJ16/AJ5</f>
        <v/>
      </c>
      <c r="AL16" s="80" t="n"/>
      <c r="AM16" s="212">
        <f>C16+F16+I16+L16+O16+R16+U16+X16+AA16+AD16+AG16+AJ16</f>
        <v/>
      </c>
      <c r="AN16" s="79">
        <f>AM16/AM5</f>
        <v/>
      </c>
      <c r="AO16" s="1056" t="n"/>
    </row>
    <row r="17" ht="15" customHeight="1" s="985">
      <c r="B17" s="104" t="n"/>
      <c r="C17" s="25" t="n"/>
      <c r="D17" s="43" t="n"/>
      <c r="E17" s="1045" t="n"/>
      <c r="F17" s="25" t="n"/>
      <c r="G17" s="43" t="n"/>
      <c r="H17" s="1045" t="n"/>
      <c r="I17" s="25" t="n"/>
      <c r="J17" s="43">
        <f>I17/I5</f>
        <v/>
      </c>
      <c r="K17" s="1045" t="n"/>
      <c r="L17" s="25" t="n"/>
      <c r="M17" s="43">
        <f>L17/L5</f>
        <v/>
      </c>
      <c r="N17" s="1045" t="n"/>
      <c r="O17" s="25" t="n"/>
      <c r="P17" s="43">
        <f>O17/O5</f>
        <v/>
      </c>
      <c r="Q17" s="1045" t="n"/>
      <c r="R17" s="25" t="n"/>
      <c r="S17" s="43">
        <f>R17/R5</f>
        <v/>
      </c>
      <c r="T17" s="1045" t="n"/>
      <c r="U17" s="25" t="n"/>
      <c r="V17" s="43">
        <f>U17/U5</f>
        <v/>
      </c>
      <c r="W17" s="1045" t="n"/>
      <c r="X17" s="25" t="n"/>
      <c r="Y17" s="43">
        <f>X17/X5</f>
        <v/>
      </c>
      <c r="Z17" s="1045" t="n"/>
      <c r="AA17" s="25" t="n"/>
      <c r="AB17" s="43">
        <f>AA17/AA5</f>
        <v/>
      </c>
      <c r="AC17" s="1045" t="n"/>
      <c r="AD17" s="25" t="n"/>
      <c r="AE17" s="43">
        <f>AD17/AD5</f>
        <v/>
      </c>
      <c r="AF17" s="1045" t="n"/>
      <c r="AG17" s="25" t="n"/>
      <c r="AH17" s="43">
        <f>AG17/AG5</f>
        <v/>
      </c>
      <c r="AI17" s="1045" t="n"/>
      <c r="AJ17" s="25" t="n"/>
      <c r="AK17" s="43">
        <f>AJ17/AJ5</f>
        <v/>
      </c>
      <c r="AL17" s="57" t="n"/>
      <c r="AM17" s="205">
        <f>C17+F17+I17+L17+O17+R17+U17+X17+AA17+AD17+AG17+AJ17</f>
        <v/>
      </c>
      <c r="AN17" s="43">
        <f>AM17/AM5</f>
        <v/>
      </c>
      <c r="AO17" s="1046" t="n"/>
    </row>
    <row r="18" ht="15" customHeight="1" s="985">
      <c r="B18" s="104" t="inlineStr">
        <is>
          <t>ADICIONAL</t>
        </is>
      </c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4" t="n"/>
      <c r="AH18" s="43" t="n"/>
      <c r="AI18" s="1045" t="n"/>
      <c r="AJ18" s="74" t="n"/>
      <c r="AK18" s="43" t="n"/>
      <c r="AL18" s="57" t="n"/>
      <c r="AM18" s="205">
        <f>C18+F18+I18+L18+O18+R18+U18+X18+AA18+AD18+AG18+AJ18</f>
        <v/>
      </c>
      <c r="AN18" s="43" t="n"/>
      <c r="AO18" s="1046" t="n"/>
    </row>
    <row r="19" ht="15" customHeight="1" s="985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t="15" customHeight="1" s="985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t="15" customHeight="1" s="985">
      <c r="B21" s="104" t="inlineStr">
        <is>
          <t>TRANSPORTE</t>
        </is>
      </c>
      <c r="C21" s="25" t="n"/>
      <c r="D21" s="43" t="n"/>
      <c r="E21" s="1045" t="n"/>
      <c r="F21" s="25" t="n"/>
      <c r="G21" s="43" t="n"/>
      <c r="H21" s="1045" t="n"/>
      <c r="I21" s="2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25" t="n"/>
      <c r="Y21" s="43" t="n"/>
      <c r="Z21" s="1045" t="n"/>
      <c r="AA21" s="25" t="n"/>
      <c r="AB21" s="43" t="n"/>
      <c r="AC21" s="1045" t="n"/>
      <c r="AD21" s="25" t="n"/>
      <c r="AE21" s="43" t="n"/>
      <c r="AF21" s="1045" t="n"/>
      <c r="AG21" s="25" t="n"/>
      <c r="AH21" s="43" t="n"/>
      <c r="AI21" s="1045" t="n"/>
      <c r="AJ21" s="2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t="15" customHeight="1" s="985">
      <c r="B22" s="30" t="n"/>
      <c r="C22" s="22" t="n"/>
      <c r="D22" s="42" t="n"/>
      <c r="E22" s="1057" t="n"/>
      <c r="F22" s="22" t="n"/>
      <c r="G22" s="42" t="n"/>
      <c r="H22" s="1057" t="n"/>
      <c r="I22" s="22" t="n"/>
      <c r="J22" s="42" t="n"/>
      <c r="K22" s="1057" t="n"/>
      <c r="L22" s="22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hidden="1" outlineLevel="1" ht="15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hidden="1" outlineLevel="1" ht="15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hidden="1" outlineLevel="1" ht="15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hidden="1" outlineLevel="1" ht="15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hidden="1" outlineLevel="1" ht="15" customHeight="1" s="985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t="15" customHeight="1" s="985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90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1159">
        <f>X29/X13</f>
        <v/>
      </c>
      <c r="AA29" s="90">
        <f>SUM(AA30:AA35)</f>
        <v/>
      </c>
      <c r="AB29" s="3" t="n"/>
      <c r="AC29" s="1053" t="n"/>
      <c r="AD29" s="90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AM29/$AM$5</f>
        <v/>
      </c>
      <c r="AO29" s="1054">
        <f>AM29/AM13</f>
        <v/>
      </c>
    </row>
    <row r="30" hidden="1" outlineLevel="1" ht="15" customFormat="1" customHeight="1" s="108">
      <c r="A30" s="229" t="n"/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</row>
    <row r="31" hidden="1" outlineLevel="1" ht="15" customHeight="1" s="985" thickBot="1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hidden="1" outlineLevel="1" ht="15" customHeight="1" s="985" thickBot="1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hidden="1" outlineLevel="1" ht="15" customHeight="1" s="985" thickBot="1"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hidden="1" outlineLevel="1" ht="15" customHeight="1" s="985" thickBot="1"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hidden="1" outlineLevel="1" ht="15" customHeight="1" s="985" thickBot="1"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hidden="1" outlineLevel="1" ht="15" customHeight="1" s="985" thickBot="1"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</row>
    <row r="37" hidden="1" outlineLevel="1" ht="15" customHeight="1" s="985" thickBot="1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hidden="1" outlineLevel="1" ht="15" customHeight="1" s="985" thickBot="1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hidden="1" outlineLevel="1" ht="15" customHeight="1" s="985" thickBot="1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hidden="1" outlineLevel="1" ht="15" customHeight="1" s="985" thickBot="1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hidden="1" outlineLevel="1" ht="15" customHeight="1" s="985" thickBot="1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collapsed="1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</row>
    <row r="43" ht="15" customHeight="1" s="985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70">
        <f>C44/C$13</f>
        <v/>
      </c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>
        <f>AJ44/AJ$13</f>
        <v/>
      </c>
      <c r="AM44" s="583">
        <f>C44+F44+I44+L44+O44+R44+U44+X44+AA44+AD44+AG44+AJ44</f>
        <v/>
      </c>
      <c r="AN44" s="492" t="n"/>
      <c r="AO44" s="1070">
        <f>AM44/AM$13</f>
        <v/>
      </c>
    </row>
    <row r="45" ht="15" customHeight="1" s="985">
      <c r="B45" s="16" t="inlineStr">
        <is>
          <t>COSTOS INDUSTRIALIZADOS</t>
        </is>
      </c>
      <c r="C45" s="49">
        <f>+C46+C57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90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90">
        <f>+AG46+AG57</f>
        <v/>
      </c>
      <c r="AH45" s="76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t="15" customHeight="1" s="985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46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t="15" customHeight="1" s="985">
      <c r="B47" s="97" t="inlineStr">
        <is>
          <t>SUMINISTRO</t>
        </is>
      </c>
      <c r="C47" s="965">
        <f>'[44]Hoja 1'!$D$22+26928489</f>
        <v/>
      </c>
      <c r="D47" s="42">
        <f>C47/C5</f>
        <v/>
      </c>
      <c r="E47" s="1057">
        <f>C47/C16</f>
        <v/>
      </c>
      <c r="F47" s="76">
        <f>'[57]Hoja 1'!$G$29+'[45]Hoja 1'!$D$23</f>
        <v/>
      </c>
      <c r="G47" s="42">
        <f>F47/F5</f>
        <v/>
      </c>
      <c r="H47" s="1057">
        <f>F47/F16</f>
        <v/>
      </c>
      <c r="I47" s="76" t="n"/>
      <c r="J47" s="42">
        <f>I47/I5</f>
        <v/>
      </c>
      <c r="K47" s="1057">
        <f>I47/I16</f>
        <v/>
      </c>
      <c r="L47" s="76" t="n"/>
      <c r="M47" s="42">
        <f>L47/L5</f>
        <v/>
      </c>
      <c r="N47" s="1057">
        <f>L47/L16</f>
        <v/>
      </c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AA47/AA5</f>
        <v/>
      </c>
      <c r="AC47" s="1057">
        <f>AA47/AA16</f>
        <v/>
      </c>
      <c r="AD47" s="76" t="n"/>
      <c r="AE47" s="42">
        <f>AD47/AD5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 t="n"/>
      <c r="AK47" s="42">
        <f>AJ47/AJ5</f>
        <v/>
      </c>
      <c r="AL47" s="1057">
        <f>AJ47/AJ16</f>
        <v/>
      </c>
      <c r="AM47" s="97">
        <f>C47+F47+I47+L47+O47+R47+U47+X47+AA47+AD47+AG47+AJ47</f>
        <v/>
      </c>
      <c r="AN47" s="42">
        <f>AM47/$AM$5</f>
        <v/>
      </c>
      <c r="AO47" s="1058">
        <f>AM47/AM16</f>
        <v/>
      </c>
    </row>
    <row r="48" ht="15" customHeight="1" s="985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6" t="n"/>
    </row>
    <row r="49" ht="15" customHeight="1" s="985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</row>
    <row r="50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</row>
    <row r="51" hidden="1" ht="15" customHeight="1" s="985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</row>
    <row r="52" hidden="1" ht="15" customHeight="1" s="985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</row>
    <row r="53" hidden="1" ht="15" customHeight="1" s="985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</row>
    <row r="54" hidden="1" ht="15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idden="1" ht="15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idden="1" ht="15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idden="1" ht="15" customHeight="1" s="985">
      <c r="B57" s="36" t="inlineStr">
        <is>
          <t>FLETES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 t="n"/>
      <c r="N57" s="1071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67" t="n"/>
      <c r="AI57" s="1071" t="n"/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AM57/AM12</f>
        <v/>
      </c>
      <c r="AO57" s="1050">
        <f>AM57/AM13</f>
        <v/>
      </c>
    </row>
    <row r="58" hidden="1" ht="15" customHeight="1" s="985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</row>
    <row r="60" ht="15" customHeight="1" s="985">
      <c r="B60" s="16" t="inlineStr">
        <is>
          <t>COSTOS PREPARADOS</t>
        </is>
      </c>
      <c r="C60" s="49">
        <f>+C61+C72+C75+C76+C77</f>
        <v/>
      </c>
      <c r="D60" s="67" t="n"/>
      <c r="E60" s="1071" t="n"/>
      <c r="F60" s="49">
        <f>+F61+F72+F75+F76+F77</f>
        <v/>
      </c>
      <c r="G60" s="3" t="n"/>
      <c r="H60" s="1053" t="n"/>
      <c r="I60" s="49">
        <f>+I61+I72+I75+I76+I77</f>
        <v/>
      </c>
      <c r="J60" s="3" t="n"/>
      <c r="K60" s="1053" t="n"/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90">
        <f>+R61+R72+R75+R76+R77</f>
        <v/>
      </c>
      <c r="S60" s="3" t="n"/>
      <c r="T60" s="1053" t="n"/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90">
        <f>+AD61+AD72+AD75+AD76+AD77</f>
        <v/>
      </c>
      <c r="AE60" s="3" t="n"/>
      <c r="AF60" s="1053" t="n"/>
      <c r="AG60" s="49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idden="1" ht="15" customHeight="1" s="985">
      <c r="B61" s="36" t="inlineStr">
        <is>
          <t>INSUMOS</t>
        </is>
      </c>
      <c r="C61" s="37">
        <f>SUM(C62:C71)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>
        <f>O61/$O$13</f>
        <v/>
      </c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</row>
    <row r="62" hidden="1" ht="15" customHeight="1" s="985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>
        <f>AM62/$O$5</f>
        <v/>
      </c>
      <c r="AO62" s="1056">
        <f>AM62/$O$13</f>
        <v/>
      </c>
    </row>
    <row r="63" hidden="1" ht="15" customHeight="1" s="985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>
        <f>AM63/$O$5</f>
        <v/>
      </c>
      <c r="AO63" s="1046">
        <f>AM63/$O$13</f>
        <v/>
      </c>
    </row>
    <row r="64" hidden="1" ht="15" customHeight="1" s="985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</row>
    <row r="65" hidden="1" ht="15" customHeight="1" s="985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</row>
    <row r="66" hidden="1" ht="15" customHeight="1" s="985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</row>
    <row r="67" hidden="1" ht="15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>
        <f>AM67/$O$5</f>
        <v/>
      </c>
      <c r="AO67" s="1046">
        <f>AM67/$O$13</f>
        <v/>
      </c>
    </row>
    <row r="68" hidden="1" ht="15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>
        <f>AM68/$O$5</f>
        <v/>
      </c>
      <c r="AO68" s="1046">
        <f>AM68/$O$13</f>
        <v/>
      </c>
    </row>
    <row r="69" hidden="1" ht="15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>
        <f>AM69/$O$5</f>
        <v/>
      </c>
      <c r="AO69" s="1046">
        <f>AM69/$O$13</f>
        <v/>
      </c>
    </row>
    <row r="70" hidden="1" ht="15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>
        <f>AM70/$O$5</f>
        <v/>
      </c>
      <c r="AO70" s="1046">
        <f>AM70/$O$13</f>
        <v/>
      </c>
    </row>
    <row r="71" hidden="1" ht="15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</row>
    <row r="72" ht="15" customHeight="1" s="985">
      <c r="B72" s="36" t="inlineStr">
        <is>
          <t>FLETES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>
        <f>AJ72/AJ12</f>
        <v/>
      </c>
      <c r="AL72" s="1049">
        <f>AJ72/AJ13</f>
        <v/>
      </c>
      <c r="AM72" s="207">
        <f>C72+F72+I72+L72+O72+R72+U72+X72+AA72+AD72+AG72+AJ72</f>
        <v/>
      </c>
      <c r="AN72" s="47">
        <f>AM72/AM12</f>
        <v/>
      </c>
      <c r="AO72" s="1049">
        <f>AM72/AM13</f>
        <v/>
      </c>
    </row>
    <row r="73" ht="15" customHeight="1" s="985">
      <c r="B73" s="412" t="inlineStr">
        <is>
          <t>PREPARADOS PROPIOS</t>
        </is>
      </c>
      <c r="C73" s="78">
        <f>'GASTOS VEHICULOS'!C25*'%DIST'!B27</f>
        <v/>
      </c>
      <c r="D73" s="79" t="n"/>
      <c r="E73" s="1055" t="n"/>
      <c r="F73" s="78">
        <f>'GASTOS VEHICULOS'!D25*'%DIST'!D27</f>
        <v/>
      </c>
      <c r="G73" s="79" t="n"/>
      <c r="H73" s="1055" t="n"/>
      <c r="I73" s="78" t="n"/>
      <c r="J73" s="79" t="n"/>
      <c r="K73" s="1055" t="n"/>
      <c r="L73" s="78" t="n"/>
      <c r="M73" s="79" t="n"/>
      <c r="N73" s="1055" t="n"/>
      <c r="O73" s="78" t="n"/>
      <c r="P73" s="79" t="n"/>
      <c r="Q73" s="1055" t="n"/>
      <c r="R73" s="78" t="n"/>
      <c r="S73" s="79" t="n"/>
      <c r="T73" s="1055" t="n"/>
      <c r="U73" s="78">
        <f>'GASTOS VEHICULOS'!I25*'%DIST'!N27</f>
        <v/>
      </c>
      <c r="V73" s="79" t="n"/>
      <c r="W73" s="1055" t="n"/>
      <c r="X73" s="78">
        <f>'GASTOS VEHICULOS'!J25*'%DIST'!P27</f>
        <v/>
      </c>
      <c r="Y73" s="79" t="n"/>
      <c r="Z73" s="1055" t="n"/>
      <c r="AA73" s="78">
        <f>'GASTOS VEHICULOS'!K25*'%DIST'!R27</f>
        <v/>
      </c>
      <c r="AB73" s="79" t="n"/>
      <c r="AC73" s="1055" t="n"/>
      <c r="AD73" s="78">
        <f>'GASTOS VEHICULOS'!L25*'%DIST'!T27</f>
        <v/>
      </c>
      <c r="AE73" s="79" t="n"/>
      <c r="AF73" s="1055" t="n"/>
      <c r="AG73" s="78">
        <f>'GASTOS VEHICULOS'!M25*'%DIST'!V27</f>
        <v/>
      </c>
      <c r="AH73" s="79" t="n"/>
      <c r="AI73" s="1055" t="n"/>
      <c r="AJ73" s="78">
        <f>'GASTOS VEHICULOS'!N25*'%DIST'!X27</f>
        <v/>
      </c>
      <c r="AK73" s="79" t="n"/>
      <c r="AL73" s="80" t="n"/>
      <c r="AM73" s="212">
        <f>C73+F73+I73+L73+O73+R73+U73+X73+AA73+AD73+AG73+AJ73</f>
        <v/>
      </c>
      <c r="AN73" s="79" t="n"/>
      <c r="AO73" s="1212" t="n"/>
    </row>
    <row r="74" ht="15" customHeight="1" s="985">
      <c r="B74" s="416" t="inlineStr">
        <is>
          <t>PREPARADOS TERCEROS</t>
        </is>
      </c>
      <c r="C74" s="273">
        <f>'[9]Hoja 1'!$C$381</f>
        <v/>
      </c>
      <c r="D74" s="134" t="n"/>
      <c r="E74" s="1118" t="n"/>
      <c r="F74" s="273">
        <f>'[10]Hoja 1'!$C$378</f>
        <v/>
      </c>
      <c r="G74" s="134" t="n"/>
      <c r="H74" s="1118" t="n"/>
      <c r="I74" s="273" t="n"/>
      <c r="J74" s="134" t="n"/>
      <c r="K74" s="1118" t="n"/>
      <c r="L74" s="273" t="n"/>
      <c r="M74" s="134" t="n"/>
      <c r="N74" s="1118" t="n"/>
      <c r="O74" s="273" t="n"/>
      <c r="P74" s="134" t="n"/>
      <c r="Q74" s="1118" t="n"/>
      <c r="R74" s="273" t="n"/>
      <c r="S74" s="134" t="n"/>
      <c r="T74" s="1118" t="n"/>
      <c r="U74" s="273" t="n"/>
      <c r="V74" s="134" t="n"/>
      <c r="W74" s="1118" t="n"/>
      <c r="X74" s="273" t="n"/>
      <c r="Y74" s="134" t="n"/>
      <c r="Z74" s="1118" t="n"/>
      <c r="AA74" s="273" t="n"/>
      <c r="AB74" s="134" t="n"/>
      <c r="AC74" s="1118" t="n"/>
      <c r="AD74" s="273" t="n"/>
      <c r="AE74" s="134" t="n"/>
      <c r="AF74" s="1118" t="n"/>
      <c r="AG74" s="273" t="n"/>
      <c r="AH74" s="134" t="n"/>
      <c r="AI74" s="1118" t="n"/>
      <c r="AJ74" s="273" t="n"/>
      <c r="AK74" s="134" t="n"/>
      <c r="AL74" s="135" t="n"/>
      <c r="AM74" s="430">
        <f>C74+F74+I74+L74+O74+R74+U74+X74+AA74+AD74+AG74+AJ74</f>
        <v/>
      </c>
      <c r="AN74" s="134" t="n"/>
      <c r="AO74" s="1213" t="n"/>
      <c r="AP74" s="1203" t="n"/>
    </row>
    <row r="75" ht="15" customHeight="1" s="985">
      <c r="B75" s="36" t="inlineStr">
        <is>
          <t>Material de empaque</t>
        </is>
      </c>
      <c r="C75" s="37" t="n"/>
      <c r="D75" s="67" t="n"/>
      <c r="E75" s="1071" t="n"/>
      <c r="F75" s="37">
        <f>'[10]Hoja 1'!$C$381</f>
        <v/>
      </c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>
        <f>AM75/AM$13</f>
        <v/>
      </c>
    </row>
    <row r="76" ht="15" customHeight="1" s="985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</row>
    <row r="77" ht="15" customHeight="1" s="985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</row>
    <row r="78" ht="15" customHeight="1" s="985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90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</row>
    <row r="79" ht="15" customHeight="1" s="985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</row>
    <row r="80" ht="15" customHeight="1" s="985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</row>
    <row r="81" ht="15" customHeight="1" s="985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 t="n"/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>
        <f>AJ83/(AJ$13)</f>
        <v/>
      </c>
      <c r="AM83" s="583">
        <f>C83+F83+I83+L83+O83+R83+U83+X83+AA83+AD83+AG83+AJ83</f>
        <v/>
      </c>
      <c r="AN83" s="492" t="n"/>
      <c r="AO83" s="1081">
        <f>AM83/(AM$13)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 t="n"/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>
        <f>AJ84/(AJ$13)</f>
        <v/>
      </c>
      <c r="AM84" s="16">
        <f>C84+F84+I84+L84+O84+R84+U84+X84+AA84+AD84+AG84+AJ84</f>
        <v/>
      </c>
      <c r="AN84" s="3" t="n"/>
      <c r="AO84" s="1076">
        <f>AM84/(AM$13)</f>
        <v/>
      </c>
    </row>
    <row r="85" ht="15" customHeight="1" s="985">
      <c r="B85" s="39" t="inlineStr">
        <is>
          <t>Costos Indirectos de Personal</t>
        </is>
      </c>
      <c r="C85" s="39">
        <f>'GASTOS OPERATIVOS'!C17*'%DIST'!C11</f>
        <v/>
      </c>
      <c r="D85" s="69">
        <f>$L$85</f>
        <v/>
      </c>
      <c r="E85" s="1077">
        <f>C85/(C$13)</f>
        <v/>
      </c>
      <c r="F85" s="39">
        <f>'GASTOS OPERATIVOS'!D17*'%DIST'!E11</f>
        <v/>
      </c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  <c r="AP85" s="1203" t="n"/>
    </row>
    <row r="86" ht="15" customHeight="1" s="985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</row>
    <row r="87" ht="15" customHeight="1" s="985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</row>
    <row r="88" ht="15" customHeight="1" s="985">
      <c r="B88" s="206" t="inlineStr">
        <is>
          <t>Incapacidades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</row>
    <row r="89" ht="15" customHeight="1" s="985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 t="n"/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</row>
    <row r="90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</row>
    <row r="91" outlineLevel="1" ht="15" customHeight="1" s="985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</row>
    <row r="92" ht="15" customHeight="1" s="985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 t="n"/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</row>
    <row r="93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</row>
    <row r="94" outlineLevel="1" ht="15" customHeight="1" s="985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</row>
    <row r="95" outlineLevel="1" ht="15" customHeight="1" s="985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</row>
    <row r="96" ht="15" customHeight="1" s="985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 t="n"/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 t="n"/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</row>
    <row r="101" outlineLevel="1" ht="15" customHeight="1" s="985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5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5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5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5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848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5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848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</row>
    <row r="108" outlineLevel="1" ht="15" customHeight="1" s="985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</row>
    <row r="109" ht="15" customHeight="1" s="985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 t="n"/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</row>
    <row r="110" outlineLevel="1" ht="15" customHeight="1" s="985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</row>
    <row r="111" outlineLevel="1" ht="15" customHeight="1" s="985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5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</row>
    <row r="113" outlineLevel="1" ht="15" customHeight="1" s="985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</row>
    <row r="114" ht="15" customHeight="1" s="985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>
        <f>L114/(L$13)</f>
        <v/>
      </c>
      <c r="O114" s="49">
        <f>SUM(O115:O116)</f>
        <v/>
      </c>
      <c r="P114" s="3" t="n"/>
      <c r="Q114" s="1053">
        <f>O114/(O$13)</f>
        <v/>
      </c>
      <c r="R114" s="90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 t="n"/>
      <c r="AD114" s="49" t="n"/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</row>
    <row r="115" outlineLevel="1" ht="15" customHeight="1" s="985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</row>
    <row r="116" outlineLevel="1" ht="15" customHeight="1" s="985">
      <c r="A116" s="226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5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5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</row>
    <row r="119" outlineLevel="1" ht="15" customHeight="1" s="985">
      <c r="A119" s="226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 t="n"/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</row>
    <row r="121" ht="15" customHeight="1" s="985">
      <c r="A121" s="226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</row>
    <row r="122" ht="15" customHeight="1" s="985">
      <c r="A122" s="226" t="inlineStr">
        <is>
          <t xml:space="preserve">73501501            </t>
        </is>
      </c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</row>
    <row r="123" ht="15" customHeight="1" s="985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 t="n"/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</row>
    <row r="124" outlineLevel="1" ht="15" customHeight="1" s="985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</row>
    <row r="125" outlineLevel="1" ht="15" customHeight="1" s="985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</row>
    <row r="126" outlineLevel="1" ht="15" customHeight="1" s="985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</row>
    <row r="127" ht="15" customHeight="1" s="985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 t="n"/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</row>
    <row r="128" outlineLevel="1" ht="15" customHeight="1" s="985">
      <c r="A128" s="226" t="inlineStr">
        <is>
          <t xml:space="preserve">73951001            </t>
        </is>
      </c>
      <c r="B128" s="39" t="inlineStr">
        <is>
          <t>Elementos de Proteccion Personal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</row>
    <row r="129" outlineLevel="1" ht="15" customHeight="1" s="985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5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>
        <f>'[9]Hoja 1'!$C$384</f>
        <v/>
      </c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</row>
    <row r="132" outlineLevel="1" ht="15" customHeight="1" s="985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>
        <f>'[10]Hoja 1'!$C$383</f>
        <v/>
      </c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</row>
    <row r="134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>
        <f>'[10]Hoja 1'!$C$385</f>
        <v/>
      </c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5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5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>
        <f>'[10]Hoja 1'!$C$387</f>
        <v/>
      </c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5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5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outlineLevel="1" ht="15" customHeight="1" s="985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</row>
    <row r="140" outlineLevel="1" ht="15" customHeight="1" s="985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</row>
    <row r="14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</row>
    <row r="142" outlineLevel="1" ht="15" customHeight="1" s="985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</row>
    <row r="145" ht="15" customHeight="1" s="985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 t="n"/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</row>
    <row r="148" ht="15" customHeight="1" s="985">
      <c r="B148" s="18" t="inlineStr">
        <is>
          <t>Gastos Fijos Administracion</t>
        </is>
      </c>
      <c r="C148" s="39">
        <f>'GASTOS ADMINISTRATIVOS'!C96*'%DIST'!B43</f>
        <v/>
      </c>
      <c r="D148" s="69" t="n"/>
      <c r="E148" s="1077" t="n"/>
      <c r="F148" s="39">
        <f>'GASTOS ADMINISTRATIVOS'!D96*'%DIST'!D43</f>
        <v/>
      </c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  <c r="AP148" s="1068" t="n"/>
    </row>
    <row r="149" ht="15" customHeight="1" s="985">
      <c r="B149" s="285" t="inlineStr">
        <is>
          <t>Gastos financieros</t>
        </is>
      </c>
      <c r="C149" s="25">
        <f>'GASTOS ADMINISTRATIVOS'!C109*'%DIST'!C59</f>
        <v/>
      </c>
      <c r="D149" s="43" t="n"/>
      <c r="E149" s="1045" t="n"/>
      <c r="F149" s="25">
        <f>'GASTOS ADMINISTRATIVOS'!D109*'%DIST'!E59</f>
        <v/>
      </c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</row>
    <row r="150" ht="15" customHeight="1" s="985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  <c r="AP150" s="1068" t="n"/>
    </row>
    <row r="151" ht="15" customHeight="1" s="985" thickBot="1">
      <c r="B151" s="300" t="inlineStr">
        <is>
          <t>Gastos No Operacionales</t>
        </is>
      </c>
      <c r="C151" s="71">
        <f>'GASTOS ADMINISTRATIVOS'!C119*'%DIST'!C59</f>
        <v/>
      </c>
      <c r="D151" s="72" t="n"/>
      <c r="E151" s="1086" t="n"/>
      <c r="F151" s="71">
        <f>'GASTOS ADMINISTRATIVOS'!D119*'%DIST'!E59</f>
        <v/>
      </c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</row>
    <row r="154" ht="15" customHeight="1" s="985" thickTop="1">
      <c r="B154" s="1135" t="inlineStr">
        <is>
          <t>Novedades</t>
        </is>
      </c>
      <c r="C154" s="636" t="n"/>
      <c r="D154" s="550" t="n"/>
      <c r="E154" s="1171" t="n"/>
      <c r="F154" s="636" t="n"/>
      <c r="G154" s="550" t="n"/>
      <c r="H154" s="1171" t="n"/>
      <c r="I154" s="636" t="n"/>
      <c r="J154" s="550" t="n"/>
      <c r="K154" s="1171" t="n"/>
      <c r="L154" s="636" t="n"/>
      <c r="M154" s="550" t="n"/>
      <c r="N154" s="1171" t="n"/>
      <c r="O154" s="1172" t="n"/>
      <c r="P154" s="550" t="n"/>
      <c r="Q154" s="1171" t="n"/>
      <c r="R154" s="636" t="n"/>
      <c r="S154" s="550" t="n"/>
      <c r="T154" s="1171" t="n"/>
      <c r="U154" s="636" t="n"/>
      <c r="V154" s="550" t="n"/>
      <c r="W154" s="1171" t="n"/>
      <c r="X154" s="636" t="n"/>
      <c r="Y154" s="550" t="n"/>
      <c r="Z154" s="1171" t="n"/>
      <c r="AA154" s="1172" t="n"/>
      <c r="AB154" s="550" t="n"/>
      <c r="AC154" s="1171" t="n"/>
      <c r="AD154" s="1172" t="n"/>
      <c r="AE154" s="550" t="n"/>
      <c r="AF154" s="1171" t="n"/>
      <c r="AG154" s="1172" t="n"/>
      <c r="AH154" s="550" t="n"/>
      <c r="AI154" s="1171" t="n"/>
      <c r="AJ154" s="1172" t="n"/>
      <c r="AK154" s="230" t="n"/>
      <c r="AL154" s="245" t="n"/>
      <c r="AM154" s="287">
        <f>C154+F154+I154+L154+O154+R154+U154+X154+AA154+AD154+AG154+AJ154</f>
        <v/>
      </c>
      <c r="AN154" s="230" t="n"/>
      <c r="AO154" s="1137" t="n"/>
    </row>
    <row r="155" ht="15" customHeight="1" s="985">
      <c r="B155" s="1139" t="inlineStr">
        <is>
          <t>Donacion</t>
        </is>
      </c>
      <c r="C155" s="707">
        <f>C17</f>
        <v/>
      </c>
      <c r="D155" s="13" t="n"/>
      <c r="E155" s="1151" t="n"/>
      <c r="F155" s="707">
        <f>F17</f>
        <v/>
      </c>
      <c r="G155" s="13" t="n"/>
      <c r="H155" s="1151" t="n"/>
      <c r="I155" s="707">
        <f>I17</f>
        <v/>
      </c>
      <c r="J155" s="13" t="n"/>
      <c r="K155" s="1151" t="n"/>
      <c r="L155" s="707">
        <f>L17</f>
        <v/>
      </c>
      <c r="M155" s="13" t="n"/>
      <c r="N155" s="1151" t="n"/>
      <c r="O155" s="707">
        <f>O17</f>
        <v/>
      </c>
      <c r="P155" s="13" t="n"/>
      <c r="Q155" s="1151" t="n"/>
      <c r="R155" s="707">
        <f>R17</f>
        <v/>
      </c>
      <c r="S155" s="13" t="n"/>
      <c r="T155" s="1151" t="n"/>
      <c r="U155" s="707">
        <f>U17</f>
        <v/>
      </c>
      <c r="V155" s="13" t="n"/>
      <c r="W155" s="1151" t="n"/>
      <c r="X155" s="707">
        <f>X17</f>
        <v/>
      </c>
      <c r="Y155" s="13" t="n"/>
      <c r="Z155" s="1151" t="n"/>
      <c r="AA155" s="707">
        <f>AA17</f>
        <v/>
      </c>
      <c r="AB155" s="13" t="n"/>
      <c r="AC155" s="1151" t="n"/>
      <c r="AD155" s="707">
        <f>AD17</f>
        <v/>
      </c>
      <c r="AE155" s="13" t="n"/>
      <c r="AF155" s="1151" t="n"/>
      <c r="AG155" s="707">
        <f>AG17</f>
        <v/>
      </c>
      <c r="AH155" s="13" t="n"/>
      <c r="AI155" s="1151" t="n"/>
      <c r="AJ155" s="707">
        <f>AJ17</f>
        <v/>
      </c>
      <c r="AK155" s="9" t="n"/>
      <c r="AL155" s="240" t="n"/>
      <c r="AM155" s="567">
        <f>C155+F155+I155+L155+O155+R155+U155+X155+AA155+AD155+AG155+AJ155</f>
        <v/>
      </c>
      <c r="AN155" s="9" t="n"/>
      <c r="AO155" s="1141" t="n"/>
      <c r="AP155" s="1099" t="n"/>
    </row>
    <row r="156" ht="15" customHeight="1" s="985">
      <c r="B156" s="1143" t="inlineStr">
        <is>
          <t>Donacion</t>
        </is>
      </c>
      <c r="C156" s="720">
        <f>C22</f>
        <v/>
      </c>
      <c r="D156" s="679" t="n"/>
      <c r="E156" s="1173" t="n"/>
      <c r="F156" s="720">
        <f>F22</f>
        <v/>
      </c>
      <c r="G156" s="679" t="n"/>
      <c r="H156" s="1173" t="n"/>
      <c r="I156" s="720">
        <f>I22</f>
        <v/>
      </c>
      <c r="J156" s="679" t="n"/>
      <c r="K156" s="1173" t="n"/>
      <c r="L156" s="720">
        <f>L22</f>
        <v/>
      </c>
      <c r="M156" s="679" t="n"/>
      <c r="N156" s="1173" t="n"/>
      <c r="O156" s="720">
        <f>O22</f>
        <v/>
      </c>
      <c r="P156" s="679" t="n"/>
      <c r="Q156" s="1173" t="n"/>
      <c r="R156" s="720">
        <f>R22</f>
        <v/>
      </c>
      <c r="S156" s="679" t="n"/>
      <c r="T156" s="1173" t="n"/>
      <c r="U156" s="720">
        <f>U22</f>
        <v/>
      </c>
      <c r="V156" s="679" t="n"/>
      <c r="W156" s="1173" t="n"/>
      <c r="X156" s="720">
        <f>X22</f>
        <v/>
      </c>
      <c r="Y156" s="679" t="n"/>
      <c r="Z156" s="1173" t="n"/>
      <c r="AA156" s="720">
        <f>AA22</f>
        <v/>
      </c>
      <c r="AB156" s="679" t="n"/>
      <c r="AC156" s="1173" t="n"/>
      <c r="AD156" s="720">
        <f>AD22</f>
        <v/>
      </c>
      <c r="AE156" s="679" t="n"/>
      <c r="AF156" s="1173" t="n"/>
      <c r="AG156" s="720">
        <f>AG22</f>
        <v/>
      </c>
      <c r="AH156" s="679" t="n"/>
      <c r="AI156" s="1173" t="n"/>
      <c r="AJ156" s="720">
        <f>AJ22</f>
        <v/>
      </c>
      <c r="AK156" s="677" t="n"/>
      <c r="AL156" s="681" t="n"/>
      <c r="AM156" s="682">
        <f>C156+F156+I156+L156+O156+R156+U156+X156+AA156+AD156+AG156+AJ156</f>
        <v/>
      </c>
      <c r="AN156" s="677" t="n"/>
      <c r="AO156" s="1145" t="n"/>
      <c r="AP156" s="1099" t="n"/>
    </row>
    <row r="157" ht="15" customHeight="1" s="985">
      <c r="B157" s="1146" t="inlineStr">
        <is>
          <t>Otros Ajustes</t>
        </is>
      </c>
      <c r="C157" s="714">
        <f>C18</f>
        <v/>
      </c>
      <c r="D157" s="555" t="n"/>
      <c r="E157" s="1175" t="n"/>
      <c r="F157" s="714">
        <f>F18</f>
        <v/>
      </c>
      <c r="G157" s="555" t="n"/>
      <c r="H157" s="1175" t="n"/>
      <c r="I157" s="725" t="n"/>
      <c r="J157" s="555" t="n"/>
      <c r="K157" s="1175" t="n"/>
      <c r="L157" s="1172" t="n"/>
      <c r="M157" s="555" t="n"/>
      <c r="N157" s="1175" t="n"/>
      <c r="O157" s="1172">
        <f>O19</f>
        <v/>
      </c>
      <c r="P157" s="555" t="n"/>
      <c r="Q157" s="1175" t="n"/>
      <c r="R157" s="1172">
        <f>R19</f>
        <v/>
      </c>
      <c r="S157" s="555" t="n"/>
      <c r="T157" s="1175" t="n"/>
      <c r="U157" s="1172">
        <f>U19</f>
        <v/>
      </c>
      <c r="V157" s="555" t="n"/>
      <c r="W157" s="1175" t="n"/>
      <c r="X157" s="1172">
        <f>X19</f>
        <v/>
      </c>
      <c r="Y157" s="555" t="n"/>
      <c r="Z157" s="1175" t="n"/>
      <c r="AA157" s="1172">
        <f>AA19</f>
        <v/>
      </c>
      <c r="AB157" s="555" t="n"/>
      <c r="AC157" s="1175" t="n"/>
      <c r="AD157" s="707">
        <f>AD19</f>
        <v/>
      </c>
      <c r="AE157" s="555" t="n"/>
      <c r="AF157" s="1175" t="n"/>
      <c r="AG157" s="707">
        <f>AG19</f>
        <v/>
      </c>
      <c r="AH157" s="555" t="n"/>
      <c r="AI157" s="1175" t="n"/>
      <c r="AJ157" s="707">
        <f>AJ19</f>
        <v/>
      </c>
      <c r="AK157" s="553" t="n"/>
      <c r="AL157" s="557" t="n"/>
      <c r="AM157" s="294">
        <f>C157+F157+I157+L157+O157+R157+U157+X157+AA157+AD157+AG157+AJ157</f>
        <v/>
      </c>
      <c r="AN157" s="553" t="n"/>
      <c r="AO157" s="1178" t="n"/>
    </row>
    <row r="158" ht="15" customHeight="1" s="985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51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 t="n"/>
    </row>
    <row r="159" ht="15" customHeight="1" s="985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 t="n"/>
    </row>
    <row r="160" ht="15" customHeight="1" s="985" thickBot="1">
      <c r="B160" s="1154" t="inlineStr">
        <is>
          <t>Otros Ajustes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812" t="n"/>
      <c r="AO160" s="1156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</row>
    <row r="162" ht="15" customHeight="1" s="985" thickBot="1" thickTop="1">
      <c r="B162" s="65" t="n"/>
      <c r="C162" s="540">
        <f>IFERROR(C161/C13," ")</f>
        <v/>
      </c>
      <c r="D162" s="502" t="n"/>
      <c r="E162" s="1093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</row>
    <row r="163" ht="10.8" customHeight="1" s="985" thickTop="1">
      <c r="C163" s="996" t="n"/>
    </row>
    <row r="164" hidden="1" customFormat="1" s="153">
      <c r="A164" s="226" t="n"/>
      <c r="C164" s="473">
        <f>C44+C83-C73-C85</f>
        <v/>
      </c>
      <c r="D164" s="549" t="n"/>
      <c r="E164" s="1214" t="n"/>
      <c r="F164" s="473">
        <f>F44+F83-F73-F85</f>
        <v/>
      </c>
      <c r="G164" s="996" t="n"/>
      <c r="H164" s="1188" t="n"/>
      <c r="I164" s="473">
        <f>I44+I83-I73-I85</f>
        <v/>
      </c>
      <c r="J164" s="996" t="n"/>
      <c r="K164" s="1188" t="n"/>
      <c r="L164" s="473">
        <f>L44+L83-L73-L85</f>
        <v/>
      </c>
      <c r="M164" s="996" t="n"/>
      <c r="N164" s="1188" t="n"/>
      <c r="O164" s="473">
        <f>O44+O83-O73-O85</f>
        <v/>
      </c>
      <c r="P164" s="996" t="n"/>
      <c r="Q164" s="1188" t="n"/>
      <c r="R164" s="473">
        <f>R44+R83-R73-R85</f>
        <v/>
      </c>
      <c r="S164" s="996" t="n"/>
      <c r="T164" s="1188" t="n"/>
      <c r="U164" s="473">
        <f>U44+U83-U73-U85</f>
        <v/>
      </c>
      <c r="V164" s="996" t="n"/>
      <c r="W164" s="1188" t="n"/>
      <c r="X164" s="476">
        <f>X44+X83-X73-X85-X58</f>
        <v/>
      </c>
      <c r="Y164" s="996" t="n"/>
      <c r="Z164" s="1188" t="n"/>
      <c r="AA164" s="476">
        <f>AA44+AA83-AA73-AA85-AA58</f>
        <v/>
      </c>
      <c r="AB164" s="996" t="n"/>
      <c r="AC164" s="1188" t="n"/>
      <c r="AD164" s="476">
        <f>AD44+AD83-AD73-AD85-AD58</f>
        <v/>
      </c>
      <c r="AE164" s="996" t="n"/>
      <c r="AF164" s="1188" t="n"/>
      <c r="AG164" s="476">
        <f>AG44+AG83-AG73-AG85-AG58</f>
        <v/>
      </c>
      <c r="AH164" s="996" t="n"/>
      <c r="AI164" s="1188" t="n"/>
      <c r="AJ164" s="476">
        <f>AJ44+AJ83-AJ73-AJ85-AJ58</f>
        <v/>
      </c>
      <c r="AK164" s="996" t="n"/>
      <c r="AL164" s="996" t="n"/>
      <c r="AM164" s="996" t="n"/>
      <c r="AN164" s="996" t="n"/>
      <c r="AO164" s="1188" t="n"/>
    </row>
    <row r="165" hidden="1" customFormat="1" s="153">
      <c r="A165" s="226" t="n"/>
      <c r="C165" s="473">
        <f>'[9]Hoja 1'!$C$370</f>
        <v/>
      </c>
      <c r="D165" s="549" t="n"/>
      <c r="E165" s="1214" t="n"/>
      <c r="F165" s="473">
        <f>'[10]Hoja 1'!$C$356+'[10]Hoja 1'!$C$365-26928489</f>
        <v/>
      </c>
      <c r="G165" s="996" t="n"/>
      <c r="H165" s="1188" t="n"/>
      <c r="I165" s="473" t="n">
        <v>70048069.05</v>
      </c>
      <c r="J165" s="996" t="n"/>
      <c r="K165" s="1188" t="n"/>
      <c r="L165" s="473" t="n">
        <v>48123625.71000001</v>
      </c>
      <c r="M165" s="996" t="n"/>
      <c r="N165" s="1188" t="n"/>
      <c r="O165" s="473" t="n">
        <v>91046571.73999999</v>
      </c>
      <c r="P165" s="996" t="n"/>
      <c r="Q165" s="1188" t="n"/>
      <c r="R165" s="473" t="n">
        <v>61660665.32</v>
      </c>
      <c r="S165" s="996" t="n"/>
      <c r="T165" s="1188" t="n"/>
      <c r="U165" s="473" t="n">
        <v>61566467.29</v>
      </c>
      <c r="V165" s="996" t="n"/>
      <c r="W165" s="1188" t="n"/>
      <c r="X165" s="476" t="n">
        <v>61323136.3</v>
      </c>
      <c r="Y165" s="996" t="n"/>
      <c r="Z165" s="1188" t="n"/>
      <c r="AA165" s="476" t="n">
        <v>59864944.02</v>
      </c>
      <c r="AB165" s="996" t="n"/>
      <c r="AC165" s="1188" t="n"/>
      <c r="AD165" s="476" t="n">
        <v>56913588.74</v>
      </c>
      <c r="AE165" s="996" t="n"/>
      <c r="AF165" s="1188" t="n"/>
      <c r="AG165" s="476" t="n">
        <v>80549716.34</v>
      </c>
      <c r="AH165" s="996" t="n"/>
      <c r="AI165" s="1188" t="n"/>
      <c r="AJ165" s="476" t="n">
        <v>93324.84</v>
      </c>
      <c r="AK165" s="996" t="n"/>
      <c r="AL165" s="996" t="n"/>
      <c r="AM165" s="402" t="n"/>
      <c r="AN165" s="996" t="n"/>
      <c r="AO165" s="1188" t="n"/>
    </row>
    <row r="166" hidden="1" customFormat="1" s="153">
      <c r="A166" s="226" t="n"/>
      <c r="C166" s="473">
        <f>C164-C165</f>
        <v/>
      </c>
      <c r="D166" s="702" t="n"/>
      <c r="E166" s="1214" t="n"/>
      <c r="F166" s="473">
        <f>F164-F165</f>
        <v/>
      </c>
      <c r="G166" s="995" t="n"/>
      <c r="H166" s="1189" t="n"/>
      <c r="I166" s="473">
        <f>I164-I165</f>
        <v/>
      </c>
      <c r="J166" s="996" t="n"/>
      <c r="K166" s="1189" t="n"/>
      <c r="L166" s="473">
        <f>L164-L165</f>
        <v/>
      </c>
      <c r="M166" s="996" t="n"/>
      <c r="N166" s="1188" t="n"/>
      <c r="O166" s="473">
        <f>O164-O165</f>
        <v/>
      </c>
      <c r="P166" s="996" t="n"/>
      <c r="Q166" s="1188" t="n"/>
      <c r="R166" s="473">
        <f>R164-R165</f>
        <v/>
      </c>
      <c r="S166" s="995" t="n"/>
      <c r="T166" s="1188" t="n"/>
      <c r="U166" s="473">
        <f>U164-U165</f>
        <v/>
      </c>
      <c r="V166" s="402" t="n"/>
      <c r="W166" s="1188" t="n"/>
      <c r="X166" s="476">
        <f>X164-X165</f>
        <v/>
      </c>
      <c r="Y166" s="996" t="n"/>
      <c r="Z166" s="1188" t="n"/>
      <c r="AA166" s="476">
        <f>AA164-AA165</f>
        <v/>
      </c>
      <c r="AB166" s="996" t="n"/>
      <c r="AC166" s="1188" t="n"/>
      <c r="AD166" s="476">
        <f>AD164-AD165</f>
        <v/>
      </c>
      <c r="AE166" s="613" t="inlineStr">
        <is>
          <t>MP</t>
        </is>
      </c>
      <c r="AF166" s="1188" t="n"/>
      <c r="AG166" s="476">
        <f>AG164-AG165</f>
        <v/>
      </c>
      <c r="AH166" s="996" t="n"/>
      <c r="AI166" s="1188" t="n"/>
      <c r="AJ166" s="476">
        <f>AJ164-AJ165</f>
        <v/>
      </c>
      <c r="AK166" s="996" t="n"/>
      <c r="AL166" s="996" t="n"/>
      <c r="AM166" s="995" t="n"/>
      <c r="AN166" s="996" t="n"/>
      <c r="AO166" s="1188" t="n"/>
    </row>
    <row r="167" customFormat="1" s="153">
      <c r="A167" s="226" t="n"/>
      <c r="C167" s="996" t="n"/>
      <c r="D167" s="996" t="n"/>
      <c r="E167" s="1188" t="n"/>
      <c r="F167" s="996" t="n"/>
      <c r="G167" s="996" t="n"/>
      <c r="H167" s="1188" t="n"/>
      <c r="I167" s="995" t="n"/>
      <c r="J167" s="996" t="n"/>
      <c r="K167" s="1188" t="n"/>
      <c r="L167" s="996" t="n"/>
      <c r="M167" s="996" t="n"/>
      <c r="N167" s="1188" t="n"/>
      <c r="O167" s="996" t="n"/>
      <c r="P167" s="996" t="n"/>
      <c r="Q167" s="1188" t="n"/>
      <c r="R167" s="996" t="n"/>
      <c r="S167" s="996" t="n"/>
      <c r="T167" s="1188" t="n"/>
      <c r="U167" s="996" t="n"/>
      <c r="V167" s="996" t="n"/>
      <c r="W167" s="1188" t="n"/>
      <c r="X167" s="996" t="n"/>
      <c r="Y167" s="996" t="n"/>
      <c r="Z167" s="1188" t="n"/>
      <c r="AA167" s="996" t="n"/>
      <c r="AB167" s="996" t="n"/>
      <c r="AC167" s="1188" t="n"/>
      <c r="AD167" s="996" t="n"/>
      <c r="AE167" s="996" t="n"/>
      <c r="AF167" s="1188" t="n"/>
      <c r="AG167" s="402" t="n"/>
      <c r="AH167" s="996" t="n"/>
      <c r="AI167" s="1188" t="n"/>
      <c r="AJ167" s="989" t="n"/>
      <c r="AK167" s="996" t="n"/>
      <c r="AL167" s="996" t="n"/>
      <c r="AM167" s="641" t="n"/>
      <c r="AN167" s="996" t="n"/>
      <c r="AO167" s="1188" t="n"/>
    </row>
    <row r="168">
      <c r="O168" s="989">
        <f>SUM(O155:O157)</f>
        <v/>
      </c>
      <c r="R168" s="989">
        <f>SUM(R155:R157)</f>
        <v/>
      </c>
    </row>
    <row r="169">
      <c r="O169" s="989">
        <f>O168*6%</f>
        <v/>
      </c>
      <c r="R169" s="989">
        <f>R168*6%</f>
        <v/>
      </c>
    </row>
    <row r="170">
      <c r="F170" s="1215" t="n"/>
      <c r="R170" s="989">
        <f>R168*0.94</f>
        <v/>
      </c>
    </row>
  </sheetData>
  <mergeCells count="1">
    <mergeCell ref="C2:AM2"/>
  </mergeCell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Hoja11">
    <outlinePr summaryBelow="1" summaryRight="1"/>
    <pageSetUpPr/>
  </sheetPr>
  <dimension ref="A2:AW170"/>
  <sheetViews>
    <sheetView zoomScaleNormal="100" workbookViewId="0">
      <pane xSplit="2" ySplit="13" topLeftCell="W143" activePane="bottomRight" state="frozen"/>
      <selection activeCell="J90" sqref="J90"/>
      <selection pane="topRight" activeCell="J90" sqref="J90"/>
      <selection pane="bottomLeft" activeCell="J90" sqref="J90"/>
      <selection pane="bottomRight" activeCell="AT74" sqref="AT74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hidden="1" width="14.44140625" customWidth="1" style="989" min="3" max="3"/>
    <col hidden="1" width="8.6640625" customWidth="1" style="989" min="4" max="4"/>
    <col hidden="1" width="8.6640625" customWidth="1" style="1033" min="5" max="5"/>
    <col hidden="1" width="14.44140625" customWidth="1" style="989" min="6" max="6"/>
    <col hidden="1" width="8.6640625" customWidth="1" style="989" min="7" max="7"/>
    <col hidden="1" width="8.6640625" customWidth="1" style="1033" min="8" max="8"/>
    <col hidden="1" width="14.44140625" customWidth="1" style="989" min="9" max="9"/>
    <col hidden="1" width="8.6640625" customWidth="1" style="989" min="10" max="10"/>
    <col hidden="1" width="8.6640625" customWidth="1" style="1033" min="11" max="11"/>
    <col hidden="1" width="14.44140625" customWidth="1" style="989" min="12" max="12"/>
    <col hidden="1" width="8.6640625" customWidth="1" style="989" min="13" max="13"/>
    <col hidden="1"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6.109375" customWidth="1" style="989" min="18" max="18"/>
    <col width="8.6640625" customWidth="1" style="989" min="19" max="19"/>
    <col width="8.6640625" customWidth="1" style="1033" min="20" max="20"/>
    <col width="16.10937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5.6640625" customWidth="1" style="989" min="39" max="39"/>
    <col width="8.6640625" customWidth="1" style="989" min="40" max="40"/>
    <col width="8.6640625" customWidth="1" style="1033" min="41" max="41"/>
    <col width="6.5546875" customWidth="1" style="2" min="42" max="42"/>
    <col width="15.6640625" customWidth="1" style="989" min="43" max="43"/>
    <col width="7.33203125" customWidth="1" style="989" min="44" max="44"/>
    <col width="7.33203125" customWidth="1" style="2" min="45" max="45"/>
    <col width="7.44140625" customWidth="1" style="2" min="46" max="46"/>
    <col width="11.44140625" customWidth="1" style="2" min="47" max="54"/>
    <col width="11.44140625" customWidth="1" style="2" min="55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PYG  COMEDORES VALLE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  <c r="AQ2" s="2" t="n"/>
      <c r="AR2" s="2" t="n"/>
    </row>
    <row r="3" ht="21.75" customHeight="1" s="985" thickBot="1" thickTop="1">
      <c r="B3" s="523" t="inlineStr">
        <is>
          <t xml:space="preserve">DIAS DE ATENCIÓN </t>
        </is>
      </c>
      <c r="C3" s="537" t="n"/>
      <c r="D3" s="480" t="n"/>
      <c r="E3" s="1035" t="n"/>
      <c r="F3" s="537" t="n"/>
      <c r="G3" s="480" t="n"/>
      <c r="H3" s="1035" t="n"/>
      <c r="I3" s="537" t="n">
        <v>20</v>
      </c>
      <c r="J3" s="480" t="n"/>
      <c r="K3" s="1035" t="n"/>
      <c r="L3" s="537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  <c r="AQ3" s="623" t="n"/>
      <c r="AR3" s="623" t="n"/>
      <c r="AS3" s="623" t="n"/>
      <c r="AU3" s="1216" t="n">
        <v>1.051</v>
      </c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620" t="inlineStr">
        <is>
          <t>PPTO ENE</t>
        </is>
      </c>
      <c r="AR4" s="624" t="n"/>
      <c r="AS4" s="624" t="n"/>
      <c r="AU4" s="1217" t="inlineStr">
        <is>
          <t>CUPOS</t>
        </is>
      </c>
      <c r="AV4" s="1218" t="inlineStr">
        <is>
          <t>VR RACION CHVS</t>
        </is>
      </c>
      <c r="AW4" s="1219" t="inlineStr">
        <is>
          <t>COSTO RACION</t>
        </is>
      </c>
    </row>
    <row r="5" ht="15" customFormat="1" customHeight="1" s="223" thickTop="1">
      <c r="A5" s="228" t="n"/>
      <c r="B5" s="258" t="inlineStr">
        <is>
          <t>SUMINISTRO</t>
        </is>
      </c>
      <c r="C5" s="257" t="n"/>
      <c r="D5" s="89" t="n"/>
      <c r="E5" s="1041" t="n"/>
      <c r="F5" s="257" t="n"/>
      <c r="G5" s="260" t="n"/>
      <c r="H5" s="1041" t="n"/>
      <c r="I5" s="257" t="n"/>
      <c r="J5" s="89" t="n"/>
      <c r="K5" s="1041" t="n"/>
      <c r="L5" s="257" t="n"/>
      <c r="M5" s="89" t="n"/>
      <c r="N5" s="1041" t="n"/>
      <c r="O5" s="257" t="n"/>
      <c r="P5" s="89" t="n"/>
      <c r="Q5" s="1041" t="n"/>
      <c r="R5" s="257" t="n"/>
      <c r="S5" s="89" t="n"/>
      <c r="T5" s="1041" t="n"/>
      <c r="U5" s="257" t="n"/>
      <c r="V5" s="89" t="n"/>
      <c r="W5" s="1041" t="n"/>
      <c r="X5" s="257" t="n"/>
      <c r="Y5" s="89" t="n"/>
      <c r="Z5" s="1041" t="n"/>
      <c r="AA5" s="257" t="n"/>
      <c r="AB5" s="89" t="n"/>
      <c r="AC5" s="1041" t="n"/>
      <c r="AD5" s="257" t="n"/>
      <c r="AE5" s="89" t="n"/>
      <c r="AF5" s="1041" t="n"/>
      <c r="AG5" s="257" t="n"/>
      <c r="AH5" s="89" t="n"/>
      <c r="AI5" s="1041" t="n"/>
      <c r="AJ5" s="257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  <c r="AQ5" s="299" t="n"/>
      <c r="AR5" s="299" t="n"/>
      <c r="AS5" s="299" t="n"/>
      <c r="AU5" s="758" t="n">
        <v>12000</v>
      </c>
      <c r="AV5" s="1220">
        <f>4333*AU3</f>
        <v/>
      </c>
      <c r="AW5" s="1220" t="n">
        <v>2779.775631150401</v>
      </c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  <c r="AQ6" s="24" t="n"/>
      <c r="AR6" s="24" t="n"/>
      <c r="AS6" s="24" t="n"/>
      <c r="AU6" s="1221" t="n">
        <v>0.06</v>
      </c>
      <c r="AV6" s="1222" t="n"/>
      <c r="AW6" s="1222" t="n"/>
    </row>
    <row r="7" ht="15" customFormat="1" customHeight="1" s="223">
      <c r="A7" s="228" t="n"/>
      <c r="B7" s="258" t="inlineStr">
        <is>
          <t>RACIONES ADICIONALES</t>
        </is>
      </c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  <c r="AQ7" s="24" t="n"/>
      <c r="AR7" s="24" t="n"/>
      <c r="AS7" s="24" t="n"/>
      <c r="AU7" s="1223" t="n">
        <v>0.045</v>
      </c>
      <c r="AV7" s="911" t="n"/>
      <c r="AW7" s="1222" t="n"/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  <c r="AQ8" s="24" t="n"/>
      <c r="AR8" s="24" t="n"/>
      <c r="AS8" s="24" t="n"/>
      <c r="AU8" s="1224" t="n">
        <v>8</v>
      </c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  <c r="AQ9" s="24" t="n"/>
      <c r="AR9" s="24" t="n"/>
      <c r="AS9" s="24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  <c r="AQ10" s="24" t="n"/>
      <c r="AR10" s="24" t="n"/>
      <c r="AS10" s="24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  <c r="AQ11" s="349" t="n"/>
      <c r="AR11" s="349" t="n"/>
      <c r="AS11" s="349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  <c r="AQ12" s="29">
        <f>SUM(AQ5:AQ11)</f>
        <v/>
      </c>
      <c r="AR12" s="29" t="n"/>
      <c r="AS12" s="29" t="n"/>
      <c r="AU12" s="2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  <c r="AQ13" s="625">
        <f>AQ14+AQ23</f>
        <v/>
      </c>
      <c r="AR13" s="625" t="n"/>
      <c r="AS13" s="625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  <c r="AQ14" s="17">
        <f>AQ15</f>
        <v/>
      </c>
      <c r="AR14" s="17" t="n"/>
      <c r="AS14" s="17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 t="n"/>
      <c r="AD15" s="90">
        <f>SUM(AD16:AD22)</f>
        <v/>
      </c>
      <c r="AE15" s="399" t="n"/>
      <c r="AF15" s="1054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1053" t="n"/>
      <c r="AM15" s="16">
        <f>C15+F15+I15+L15+O15+R15+U15+X15+AA15+AD15+AG15+AJ15</f>
        <v/>
      </c>
      <c r="AN15" s="3" t="n"/>
      <c r="AO15" s="1054">
        <f>AM15/AM15</f>
        <v/>
      </c>
      <c r="AQ15" s="17">
        <f>SUM(AQ16:AQ22)</f>
        <v/>
      </c>
      <c r="AR15" s="17" t="n"/>
      <c r="AS15" s="17" t="n"/>
    </row>
    <row r="16" ht="15" customHeight="1" s="985">
      <c r="B16" s="262" t="inlineStr">
        <is>
          <t>SUMINISTRO</t>
        </is>
      </c>
      <c r="C16" s="103" t="n"/>
      <c r="D16" s="79">
        <f>C16/C5</f>
        <v/>
      </c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>
        <f>AM16/AM5</f>
        <v/>
      </c>
      <c r="AO16" s="1056" t="n"/>
      <c r="AQ16" s="81" t="n"/>
      <c r="AR16" s="81" t="n"/>
      <c r="AS16" s="81" t="n"/>
    </row>
    <row r="17" ht="15" customHeight="1" s="985">
      <c r="B17" s="104" t="n"/>
      <c r="C17" s="25" t="n"/>
      <c r="D17" s="43">
        <f>C17/C5</f>
        <v/>
      </c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57" t="n"/>
      <c r="AM17" s="205">
        <f>C17+F17+I17+L17+O17+R17+U17+X17+AA17+AD17+AG17+AJ17</f>
        <v/>
      </c>
      <c r="AN17" s="43">
        <f>AM17/AM5</f>
        <v/>
      </c>
      <c r="AO17" s="1046" t="n"/>
      <c r="AQ17" s="24" t="n"/>
      <c r="AR17" s="24" t="n"/>
      <c r="AS17" s="24" t="n"/>
    </row>
    <row r="18" ht="15" customHeight="1" s="985">
      <c r="B18" s="104" t="inlineStr">
        <is>
          <t>RACIONES ADICIONALES</t>
        </is>
      </c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4" t="n"/>
      <c r="AH18" s="43" t="n"/>
      <c r="AI18" s="1045" t="n"/>
      <c r="AJ18" s="74" t="n"/>
      <c r="AK18" s="43" t="n"/>
      <c r="AL18" s="57" t="n"/>
      <c r="AM18" s="205">
        <f>C18+F18+I18+L18+O18+R18+U18+X18+AA18+AD18+AG18+AJ18</f>
        <v/>
      </c>
      <c r="AN18" s="43" t="n"/>
      <c r="AO18" s="1046" t="n"/>
      <c r="AQ18" s="24" t="n"/>
      <c r="AR18" s="24" t="n"/>
      <c r="AS18" s="24" t="n"/>
    </row>
    <row r="19" hidden="1" ht="15" customHeight="1" s="985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  <c r="AQ19" s="24" t="n"/>
      <c r="AR19" s="43" t="n"/>
      <c r="AS19" s="24" t="n"/>
    </row>
    <row r="20" hidden="1" ht="15" customHeight="1" s="985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  <c r="AQ20" s="24" t="n"/>
      <c r="AR20" s="24" t="n"/>
      <c r="AS20" s="24" t="n"/>
    </row>
    <row r="21" hidden="1" ht="15" customHeight="1" s="985">
      <c r="B21" s="104" t="n"/>
      <c r="C21" s="25" t="n"/>
      <c r="D21" s="43" t="n"/>
      <c r="E21" s="1045" t="n"/>
      <c r="F21" s="25" t="n"/>
      <c r="G21" s="43" t="n"/>
      <c r="H21" s="1045" t="n"/>
      <c r="I21" s="2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25" t="n"/>
      <c r="Y21" s="43" t="n"/>
      <c r="Z21" s="1045" t="n"/>
      <c r="AA21" s="25" t="n"/>
      <c r="AB21" s="43" t="n"/>
      <c r="AC21" s="1045" t="n"/>
      <c r="AD21" s="25" t="n"/>
      <c r="AE21" s="43" t="n"/>
      <c r="AF21" s="1045" t="n"/>
      <c r="AG21" s="25" t="n"/>
      <c r="AH21" s="43" t="n"/>
      <c r="AI21" s="1045" t="n"/>
      <c r="AJ21" s="25" t="n"/>
      <c r="AK21" s="43" t="n"/>
      <c r="AL21" s="57" t="n"/>
      <c r="AM21" s="205">
        <f>C21+F21+I21+L21+O21+R21+U21+X21+AA21+AD21+AG21+AJ21</f>
        <v/>
      </c>
      <c r="AN21" s="43" t="n"/>
      <c r="AO21" s="1046" t="n"/>
      <c r="AQ21" s="24" t="n"/>
      <c r="AR21" s="24" t="n"/>
      <c r="AS21" s="24" t="n"/>
    </row>
    <row r="22" hidden="1" ht="15" customHeight="1" s="985">
      <c r="B22" s="30" t="n"/>
      <c r="C22" s="22" t="n"/>
      <c r="D22" s="42" t="n"/>
      <c r="E22" s="1057" t="n"/>
      <c r="F22" s="22" t="n"/>
      <c r="G22" s="42" t="n"/>
      <c r="H22" s="1057" t="n"/>
      <c r="I22" s="22" t="n"/>
      <c r="J22" s="42" t="n"/>
      <c r="K22" s="1057" t="n"/>
      <c r="L22" s="22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  <c r="AQ22" s="23" t="n"/>
      <c r="AR22" s="23" t="n"/>
      <c r="AS22" s="23" t="n"/>
    </row>
    <row r="23" hidden="1" outlineLevel="1" ht="15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  <c r="AQ23" s="17" t="n"/>
      <c r="AR23" s="17" t="n"/>
      <c r="AS23" s="17" t="n"/>
    </row>
    <row r="24" hidden="1" outlineLevel="1" ht="15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  <c r="AQ24" s="17" t="n"/>
      <c r="AR24" s="17" t="n"/>
      <c r="AS24" s="17" t="n"/>
    </row>
    <row r="25" hidden="1" outlineLevel="1" ht="15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  <c r="AQ25" s="33" t="n"/>
      <c r="AR25" s="33" t="n"/>
      <c r="AS25" s="33" t="n"/>
    </row>
    <row r="26" hidden="1" outlineLevel="1" ht="15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  <c r="AQ26" s="33" t="n"/>
      <c r="AR26" s="33" t="n"/>
      <c r="AS26" s="33" t="n"/>
    </row>
    <row r="27" hidden="1" outlineLevel="1" ht="15" customHeight="1" s="985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  <c r="AQ27" s="33" t="n"/>
      <c r="AR27" s="33" t="n"/>
      <c r="AS27" s="33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  <c r="AQ28" s="17">
        <f>+AQ29</f>
        <v/>
      </c>
      <c r="AR28" s="17" t="n"/>
      <c r="AS28" s="17" t="n"/>
    </row>
    <row r="29" ht="15" customHeight="1" s="985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90">
        <f>SUM(R30:R35)</f>
        <v/>
      </c>
      <c r="S29" s="3" t="n"/>
      <c r="T29" s="1053">
        <f>R29/R13</f>
        <v/>
      </c>
      <c r="U29" s="90">
        <f>SUM(U30:U35)</f>
        <v/>
      </c>
      <c r="V29" s="3" t="n"/>
      <c r="W29" s="1053">
        <f>U29/U13</f>
        <v/>
      </c>
      <c r="X29" s="90">
        <f>SUM(X30:X35)</f>
        <v/>
      </c>
      <c r="Y29" s="763" t="n"/>
      <c r="Z29" s="1159">
        <f>X29/X13</f>
        <v/>
      </c>
      <c r="AA29" s="90">
        <f>SUM(AA30:AA35)</f>
        <v/>
      </c>
      <c r="AB29" s="3" t="n"/>
      <c r="AC29" s="1053" t="n"/>
      <c r="AD29" s="90">
        <f>SUM(AD30:AD35)</f>
        <v/>
      </c>
      <c r="AE29" s="3" t="n"/>
      <c r="AF29" s="1053">
        <f>AD29/AD13</f>
        <v/>
      </c>
      <c r="AG29" s="90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AM29/$AM$5</f>
        <v/>
      </c>
      <c r="AO29" s="1054">
        <f>AM29/AM13</f>
        <v/>
      </c>
      <c r="AQ29" s="17">
        <f>SUM(AQ30:AQ37)</f>
        <v/>
      </c>
      <c r="AR29" s="17" t="n"/>
      <c r="AS29" s="17" t="n"/>
    </row>
    <row r="30" hidden="1" outlineLevel="1" ht="15" customFormat="1" customHeight="1" s="108">
      <c r="A30" s="229" t="n"/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  <c r="AQ30" s="739" t="n"/>
      <c r="AR30" s="739" t="n"/>
      <c r="AS30" s="739" t="n"/>
    </row>
    <row r="31" hidden="1" outlineLevel="1" ht="15" customHeight="1" s="985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  <c r="AQ31" s="740" t="n"/>
      <c r="AR31" s="740" t="n"/>
      <c r="AS31" s="740" t="n"/>
    </row>
    <row r="32" hidden="1" outlineLevel="1" ht="15" customHeight="1" s="985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  <c r="AQ32" s="24" t="n"/>
      <c r="AR32" s="24" t="n"/>
      <c r="AS32" s="24" t="n"/>
    </row>
    <row r="33" hidden="1" outlineLevel="1" ht="15" customHeight="1" s="985"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  <c r="AQ33" s="24" t="n"/>
      <c r="AR33" s="24" t="n"/>
      <c r="AS33" s="24" t="n"/>
    </row>
    <row r="34" hidden="1" outlineLevel="1" ht="15" customHeight="1" s="985"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  <c r="AQ34" s="24" t="n"/>
      <c r="AR34" s="24" t="n"/>
      <c r="AS34" s="24" t="n"/>
    </row>
    <row r="35" hidden="1" outlineLevel="1" ht="15" customHeight="1" s="985"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  <c r="AQ35" s="133" t="n"/>
      <c r="AR35" s="133" t="n"/>
      <c r="AS35" s="133" t="n"/>
    </row>
    <row r="36" hidden="1" outlineLevel="1" ht="15" customHeight="1" s="985"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  <c r="AQ36" s="24" t="n"/>
      <c r="AR36" s="24" t="n"/>
      <c r="AS36" s="24" t="n"/>
    </row>
    <row r="37" hidden="1" outlineLevel="1" ht="15" customHeight="1" s="985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  <c r="AQ37" s="23" t="n"/>
      <c r="AR37" s="23" t="n"/>
      <c r="AS37" s="23" t="n"/>
    </row>
    <row r="38" hidden="1" outlineLevel="1" ht="15" customHeight="1" s="985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  <c r="AQ38" s="23" t="n"/>
      <c r="AR38" s="23" t="n"/>
      <c r="AS38" s="23" t="n"/>
    </row>
    <row r="39" hidden="1" outlineLevel="1" ht="15" customHeight="1" s="985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  <c r="AQ39" s="23" t="n"/>
      <c r="AR39" s="23" t="n"/>
      <c r="AS39" s="23" t="n"/>
    </row>
    <row r="40" hidden="1" outlineLevel="1" ht="15" customHeight="1" s="985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  <c r="AQ40" s="23" t="n"/>
      <c r="AR40" s="23" t="n"/>
      <c r="AS40" s="23" t="n"/>
    </row>
    <row r="41" hidden="1" outlineLevel="1" ht="15" customHeight="1" s="985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  <c r="AQ41" s="23" t="n"/>
      <c r="AR41" s="23" t="n"/>
      <c r="AS41" s="23" t="n"/>
    </row>
    <row r="42" collapsed="1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  <c r="AQ42" s="626">
        <f>+AQ14+AQ23-AQ28</f>
        <v/>
      </c>
      <c r="AR42" s="626" t="n"/>
      <c r="AS42" s="626" t="n"/>
    </row>
    <row r="43" ht="15" customHeight="1" s="985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  <c r="AQ43" s="136" t="n"/>
      <c r="AR43" s="2" t="n"/>
      <c r="AS43" s="1225">
        <f>(AQ46+AQ61)/(AQ13-AQ20-AQ21-AQ22)</f>
        <v/>
      </c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70">
        <f>C44/C$13</f>
        <v/>
      </c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>
        <f>L44/L$13</f>
        <v/>
      </c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 t="n"/>
      <c r="AM44" s="583">
        <f>C44+F44+I44+L44+O44+R44+U44+X44+AA44+AD44+AG44+AJ44</f>
        <v/>
      </c>
      <c r="AN44" s="492" t="n"/>
      <c r="AO44" s="1070">
        <f>AM44/AM$13</f>
        <v/>
      </c>
      <c r="AQ44" s="627">
        <f>+AQ45+AQ60+AQ78</f>
        <v/>
      </c>
      <c r="AR44" s="627" t="n"/>
      <c r="AS44" s="1104">
        <f>AQ44/AQ$13</f>
        <v/>
      </c>
    </row>
    <row r="45" ht="15" customHeight="1" s="985">
      <c r="B45" s="16" t="inlineStr">
        <is>
          <t>COSTOS INDUSTRIALIZADOS</t>
        </is>
      </c>
      <c r="C45" s="49">
        <f>+C46+C57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90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90">
        <f>+AG46+AG57</f>
        <v/>
      </c>
      <c r="AH45" s="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  <c r="AQ45" s="17">
        <f>+AQ46+AQ57</f>
        <v/>
      </c>
      <c r="AR45" s="17" t="n"/>
      <c r="AS45" s="1105">
        <f>AQ45/AQ13</f>
        <v/>
      </c>
    </row>
    <row r="46" ht="15" customHeight="1" s="985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37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 t="n"/>
      <c r="AC46" s="1071" t="n"/>
      <c r="AD46" s="46">
        <f>SUM(AD47:AD56)</f>
        <v/>
      </c>
      <c r="AE46" s="67" t="n"/>
      <c r="AF46" s="1071" t="n"/>
      <c r="AG46" s="37">
        <f>SUM(AG47:AG56)</f>
        <v/>
      </c>
      <c r="AH46" s="67" t="n"/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  <c r="AQ46" s="38">
        <f>SUM(AQ47:AQ56)</f>
        <v/>
      </c>
      <c r="AR46" s="38" t="n"/>
      <c r="AS46" s="1106" t="n"/>
    </row>
    <row r="47" ht="15" customHeight="1" s="985">
      <c r="B47" s="97" t="inlineStr">
        <is>
          <t>SUMINISTRO</t>
        </is>
      </c>
      <c r="C47" s="76" t="n"/>
      <c r="D47" s="42">
        <f>C47/C5</f>
        <v/>
      </c>
      <c r="E47" s="1057">
        <f>C47/C16</f>
        <v/>
      </c>
      <c r="F47" s="76" t="n"/>
      <c r="G47" s="42">
        <f>F47/F5</f>
        <v/>
      </c>
      <c r="H47" s="1057">
        <f>F47/F16</f>
        <v/>
      </c>
      <c r="I47" s="76">
        <f>I5*$AW$5</f>
        <v/>
      </c>
      <c r="J47" s="42">
        <f>I47/I5</f>
        <v/>
      </c>
      <c r="K47" s="1057">
        <f>I47/I16</f>
        <v/>
      </c>
      <c r="L47" s="76">
        <f>L5*$AW$5</f>
        <v/>
      </c>
      <c r="M47" s="42">
        <f>L47/L12</f>
        <v/>
      </c>
      <c r="N47" s="1057">
        <f>L47/L16</f>
        <v/>
      </c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AA47/AA12</f>
        <v/>
      </c>
      <c r="AC47" s="1057">
        <f>AA47/(AA16+AA17)</f>
        <v/>
      </c>
      <c r="AD47" s="76" t="n"/>
      <c r="AE47" s="42">
        <f>AD47/AD12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>
        <f>AJ5*$AW$5</f>
        <v/>
      </c>
      <c r="AK47" s="42" t="n"/>
      <c r="AL47" s="1057" t="n"/>
      <c r="AM47" s="97">
        <f>C47+F47+I47+L47+O47+R47+U47+X47+AA47+AD47+AG47+AJ47</f>
        <v/>
      </c>
      <c r="AN47" s="42">
        <f>AM47/$AM$5</f>
        <v/>
      </c>
      <c r="AO47" s="1058">
        <f>AM47/AM16</f>
        <v/>
      </c>
      <c r="AQ47" s="23" t="n"/>
      <c r="AR47" s="23">
        <f>AQ47/AQ5</f>
        <v/>
      </c>
      <c r="AS47" s="1107">
        <f>AQ47/AQ16</f>
        <v/>
      </c>
    </row>
    <row r="48" ht="15" customHeight="1" s="985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 t="n"/>
      <c r="AO48" s="1046" t="n"/>
      <c r="AQ48" s="24" t="n"/>
      <c r="AR48" s="24" t="n"/>
      <c r="AS48" s="1108" t="n"/>
    </row>
    <row r="49" ht="15" customHeight="1" s="985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  <c r="AQ49" s="24" t="n"/>
      <c r="AR49" s="24" t="n"/>
      <c r="AS49" s="1108" t="n"/>
    </row>
    <row r="50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  <c r="AQ50" s="24" t="n"/>
      <c r="AR50" s="24" t="n"/>
      <c r="AS50" s="1108" t="n"/>
    </row>
    <row r="51" hidden="1" ht="15" customHeight="1" s="985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  <c r="AQ51" s="24" t="n"/>
      <c r="AR51" s="24" t="n"/>
      <c r="AS51" s="1108" t="n"/>
    </row>
    <row r="52" hidden="1" ht="15" customHeight="1" s="985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  <c r="AQ52" s="24" t="n"/>
      <c r="AR52" s="24" t="n"/>
      <c r="AS52" s="1108" t="n"/>
    </row>
    <row r="53" hidden="1" ht="15" customHeight="1" s="985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  <c r="AQ53" s="24" t="n"/>
      <c r="AR53" s="24" t="n"/>
      <c r="AS53" s="1108" t="n"/>
    </row>
    <row r="54" hidden="1" ht="15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  <c r="AQ54" s="24" t="n"/>
      <c r="AR54" s="24" t="n"/>
      <c r="AS54" s="1108" t="n"/>
    </row>
    <row r="55" hidden="1" ht="15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  <c r="AQ55" s="24" t="n"/>
      <c r="AR55" s="24" t="n"/>
      <c r="AS55" s="1108" t="n"/>
    </row>
    <row r="56" hidden="1" ht="15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  <c r="AQ56" s="23" t="n"/>
      <c r="AR56" s="23" t="n"/>
      <c r="AS56" s="1107" t="n"/>
    </row>
    <row r="57" hidden="1" ht="15" customHeight="1" s="985">
      <c r="B57" s="36" t="inlineStr">
        <is>
          <t>FLETES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 t="n"/>
      <c r="N57" s="1071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67" t="n"/>
      <c r="AI57" s="1071" t="n"/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AM57/AM12</f>
        <v/>
      </c>
      <c r="AO57" s="1050">
        <f>AM57/AM13</f>
        <v/>
      </c>
      <c r="AQ57" s="29" t="n"/>
      <c r="AR57" s="29" t="n"/>
      <c r="AS57" s="1110" t="n"/>
    </row>
    <row r="58" hidden="1" ht="15" customHeight="1" s="985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  <c r="AQ58" s="298" t="n"/>
      <c r="AR58" s="298" t="n"/>
      <c r="AS58" s="1113" t="n"/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  <c r="AQ59" s="349" t="n"/>
      <c r="AR59" s="349" t="n"/>
      <c r="AS59" s="1115" t="n"/>
    </row>
    <row r="60" ht="15" customHeight="1" s="985">
      <c r="B60" s="16" t="inlineStr">
        <is>
          <t>COSTOS PREPARADOS</t>
        </is>
      </c>
      <c r="C60" s="49">
        <f>+C61+C72+C75+C76+C77</f>
        <v/>
      </c>
      <c r="D60" s="67" t="n"/>
      <c r="E60" s="1071" t="n"/>
      <c r="F60" s="49">
        <f>+F61+F72+F75+F76+F77</f>
        <v/>
      </c>
      <c r="G60" s="3" t="n"/>
      <c r="H60" s="1053" t="n"/>
      <c r="I60" s="49">
        <f>+I61+I72+I75+I76+I77</f>
        <v/>
      </c>
      <c r="J60" s="3" t="n"/>
      <c r="K60" s="1053" t="n"/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90">
        <f>+R61+R72+R75+R76+R77</f>
        <v/>
      </c>
      <c r="S60" s="3" t="n"/>
      <c r="T60" s="1053" t="n"/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49">
        <f>+AD61+AD72+AD75+AD76+AD77</f>
        <v/>
      </c>
      <c r="AE60" s="3" t="n"/>
      <c r="AF60" s="1053" t="n"/>
      <c r="AG60" s="49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  <c r="AQ60" s="17">
        <f>+AQ61+AQ72+AQ75+AQ76+AQ77</f>
        <v/>
      </c>
      <c r="AR60" s="17" t="n"/>
      <c r="AS60" s="1105" t="n"/>
    </row>
    <row r="61" hidden="1" ht="15" customHeight="1" s="985">
      <c r="B61" s="36" t="inlineStr">
        <is>
          <t>INSUMOS</t>
        </is>
      </c>
      <c r="C61" s="37">
        <f>SUM(C62:C71)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>
        <f>O61/$O$13</f>
        <v/>
      </c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  <c r="AQ61" s="38">
        <f>SUM(AQ62:AQ71)</f>
        <v/>
      </c>
      <c r="AR61" s="38" t="n"/>
      <c r="AS61" s="1106" t="n"/>
    </row>
    <row r="62" hidden="1" ht="15" customHeight="1" s="985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>
        <f>AM62/$O$5</f>
        <v/>
      </c>
      <c r="AO62" s="1056">
        <f>AM62/$O$13</f>
        <v/>
      </c>
      <c r="AQ62" s="81" t="n"/>
      <c r="AR62" s="81">
        <f>AQ62/AQ6</f>
        <v/>
      </c>
      <c r="AS62" s="1116">
        <f>AQ62/AQ17</f>
        <v/>
      </c>
    </row>
    <row r="63" hidden="1" ht="15" customHeight="1" s="985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>
        <f>AM63/$O$5</f>
        <v/>
      </c>
      <c r="AO63" s="1046">
        <f>AM63/$O$13</f>
        <v/>
      </c>
      <c r="AQ63" s="24" t="n"/>
      <c r="AR63" s="24">
        <f>AQ63/AQ7</f>
        <v/>
      </c>
      <c r="AS63" s="1108">
        <f>AQ63/AQ18</f>
        <v/>
      </c>
    </row>
    <row r="64" hidden="1" ht="15" customHeight="1" s="985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  <c r="AQ64" s="24" t="n"/>
      <c r="AR64" s="24">
        <f>AQ64/AQ8</f>
        <v/>
      </c>
      <c r="AS64" s="1108">
        <f>AQ64/AQ19</f>
        <v/>
      </c>
    </row>
    <row r="65" hidden="1" ht="15" customHeight="1" s="985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  <c r="AQ65" s="24" t="n"/>
      <c r="AR65" s="24" t="n"/>
      <c r="AS65" s="1108" t="n"/>
    </row>
    <row r="66" hidden="1" ht="15" customHeight="1" s="985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  <c r="AQ66" s="24" t="n"/>
      <c r="AR66" s="24" t="n"/>
      <c r="AS66" s="1108" t="n"/>
    </row>
    <row r="67" hidden="1" ht="15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>
        <f>AM67/$O$5</f>
        <v/>
      </c>
      <c r="AO67" s="1046">
        <f>AM67/$O$13</f>
        <v/>
      </c>
      <c r="AQ67" s="24" t="n"/>
      <c r="AR67" s="24" t="n"/>
      <c r="AS67" s="1108" t="n"/>
    </row>
    <row r="68" hidden="1" ht="15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>
        <f>AM68/$O$5</f>
        <v/>
      </c>
      <c r="AO68" s="1046">
        <f>AM68/$O$13</f>
        <v/>
      </c>
      <c r="AQ68" s="24" t="n"/>
      <c r="AR68" s="24" t="n"/>
      <c r="AS68" s="1108" t="n"/>
    </row>
    <row r="69" hidden="1" ht="15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>
        <f>AM69/$O$5</f>
        <v/>
      </c>
      <c r="AO69" s="1046">
        <f>AM69/$O$13</f>
        <v/>
      </c>
      <c r="AQ69" s="24" t="n"/>
      <c r="AR69" s="24" t="n"/>
      <c r="AS69" s="1108" t="n"/>
    </row>
    <row r="70" hidden="1" ht="15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>
        <f>AM70/$O$5</f>
        <v/>
      </c>
      <c r="AO70" s="1046">
        <f>AM70/$O$13</f>
        <v/>
      </c>
      <c r="AQ70" s="24" t="n"/>
      <c r="AR70" s="24" t="n"/>
      <c r="AS70" s="1108" t="n"/>
    </row>
    <row r="71" hidden="1" ht="15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  <c r="AQ71" s="349" t="n"/>
      <c r="AR71" s="349" t="n"/>
      <c r="AS71" s="1115" t="n"/>
    </row>
    <row r="72" ht="15" customHeight="1" s="985">
      <c r="B72" s="36" t="inlineStr">
        <is>
          <t>FLETES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>
        <f>AG72/AG12</f>
        <v/>
      </c>
      <c r="AI72" s="1049">
        <f>AG72/AG13</f>
        <v/>
      </c>
      <c r="AJ72" s="46">
        <f>SUM(AJ73:AJ74)</f>
        <v/>
      </c>
      <c r="AK72" s="47" t="n"/>
      <c r="AL72" s="1049" t="n"/>
      <c r="AM72" s="207">
        <f>C72+F72+I72+L72+O72+R72+U72+X72+AA72+AD72+AG72+AJ72</f>
        <v/>
      </c>
      <c r="AN72" s="47">
        <f>AM72/AM12</f>
        <v/>
      </c>
      <c r="AO72" s="1049">
        <f>AM72/AM13</f>
        <v/>
      </c>
      <c r="AQ72" s="29">
        <f>SUM(AQ73:AQ74)</f>
        <v/>
      </c>
      <c r="AR72" s="29">
        <f>AQ72/(AQ$12-AQ$9)</f>
        <v/>
      </c>
      <c r="AS72" s="1110">
        <f>AQ72/(AQ$13-AQ$20)</f>
        <v/>
      </c>
    </row>
    <row r="73" ht="15" customHeight="1" s="985">
      <c r="B73" s="412" t="inlineStr">
        <is>
          <t>PREPARADOS PROPIOS</t>
        </is>
      </c>
      <c r="C73" s="78" t="n"/>
      <c r="D73" s="79" t="n"/>
      <c r="E73" s="1055" t="n"/>
      <c r="F73" s="78" t="n"/>
      <c r="G73" s="79" t="n"/>
      <c r="H73" s="1055" t="n"/>
      <c r="I73" s="78" t="n"/>
      <c r="J73" s="79" t="n"/>
      <c r="K73" s="1055" t="n"/>
      <c r="L73" s="78" t="n"/>
      <c r="M73" s="79" t="n"/>
      <c r="N73" s="1055" t="n"/>
      <c r="O73" s="78">
        <f>'GASTOS VEHICULOS'!G25*'%DIST'!J26</f>
        <v/>
      </c>
      <c r="P73" s="79" t="n"/>
      <c r="Q73" s="1055" t="n"/>
      <c r="R73" s="78">
        <f>'GASTOS VEHICULOS'!H25*'%DIST'!L26</f>
        <v/>
      </c>
      <c r="S73" s="79" t="n"/>
      <c r="T73" s="1055" t="n"/>
      <c r="U73" s="78">
        <f>'GASTOS VEHICULOS'!I25*'%DIST'!N26</f>
        <v/>
      </c>
      <c r="V73" s="79" t="n"/>
      <c r="W73" s="1055" t="n"/>
      <c r="X73" s="78">
        <f>'GASTOS VEHICULOS'!J25*'%DIST'!P26</f>
        <v/>
      </c>
      <c r="Y73" s="79" t="n"/>
      <c r="Z73" s="1055" t="n"/>
      <c r="AA73" s="78">
        <f>'GASTOS VEHICULOS'!K25*'%DIST'!R26</f>
        <v/>
      </c>
      <c r="AB73" s="79" t="n"/>
      <c r="AC73" s="1055" t="n"/>
      <c r="AD73" s="78">
        <f>'GASTOS VEHICULOS'!L25*'%DIST'!T26</f>
        <v/>
      </c>
      <c r="AE73" s="79" t="n"/>
      <c r="AF73" s="1055" t="n"/>
      <c r="AG73" s="78">
        <f>'GASTOS VEHICULOS'!M25*'%DIST'!V26</f>
        <v/>
      </c>
      <c r="AH73" s="79" t="n"/>
      <c r="AI73" s="1055" t="n"/>
      <c r="AJ73" s="78" t="n"/>
      <c r="AK73" s="79" t="n"/>
      <c r="AL73" s="80" t="n"/>
      <c r="AM73" s="212">
        <f>C73+F73+I73+L73+O73+R73+U73+X73+AA73+AD73+AG73+AJ73</f>
        <v/>
      </c>
      <c r="AN73" s="79" t="n"/>
      <c r="AO73" s="1212" t="n"/>
      <c r="AQ73" s="298" t="n"/>
      <c r="AR73" s="298" t="n"/>
      <c r="AS73" s="1113" t="n"/>
    </row>
    <row r="74" ht="15" customHeight="1" s="985">
      <c r="B74" s="416" t="inlineStr">
        <is>
          <t>PREPARADOS TERCEROS</t>
        </is>
      </c>
      <c r="C74" s="273" t="n"/>
      <c r="D74" s="134" t="n"/>
      <c r="E74" s="1118" t="n"/>
      <c r="F74" s="273" t="n"/>
      <c r="G74" s="134" t="n"/>
      <c r="H74" s="1118" t="n"/>
      <c r="I74" s="273" t="n"/>
      <c r="J74" s="134" t="n"/>
      <c r="K74" s="1118" t="n"/>
      <c r="L74" s="273" t="n"/>
      <c r="M74" s="134" t="n"/>
      <c r="N74" s="1118" t="n"/>
      <c r="O74" s="273" t="n"/>
      <c r="P74" s="134" t="n"/>
      <c r="Q74" s="1118" t="n"/>
      <c r="R74" s="273" t="n"/>
      <c r="S74" s="134" t="n"/>
      <c r="T74" s="1118" t="n"/>
      <c r="U74" s="273" t="n"/>
      <c r="V74" s="134" t="n"/>
      <c r="W74" s="1118" t="n"/>
      <c r="X74" s="273" t="n"/>
      <c r="Y74" s="134" t="n"/>
      <c r="Z74" s="1118" t="n"/>
      <c r="AA74" s="273" t="n"/>
      <c r="AB74" s="134" t="n"/>
      <c r="AC74" s="1118" t="n"/>
      <c r="AD74" s="273" t="n"/>
      <c r="AE74" s="134" t="n"/>
      <c r="AF74" s="1118" t="n"/>
      <c r="AG74" s="273" t="n"/>
      <c r="AH74" s="134" t="n"/>
      <c r="AI74" s="1118" t="n"/>
      <c r="AJ74" s="787" t="n"/>
      <c r="AK74" s="134" t="n"/>
      <c r="AL74" s="135" t="n"/>
      <c r="AM74" s="430">
        <f>C74+F74+I74+L74+O74+R74+U74+X74+AA74+AD74+AG74+AJ74</f>
        <v/>
      </c>
      <c r="AN74" s="134" t="n"/>
      <c r="AO74" s="1213" t="n"/>
      <c r="AP74" s="1203" t="n"/>
      <c r="AQ74" s="349" t="n"/>
      <c r="AR74" s="349" t="n"/>
      <c r="AS74" s="1115" t="n"/>
      <c r="AT74" s="1099" t="n"/>
      <c r="AU74" s="1099">
        <f>$AT$74</f>
        <v/>
      </c>
    </row>
    <row r="75" ht="15" customHeight="1" s="985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>
        <f>AM75/AM$13</f>
        <v/>
      </c>
      <c r="AQ75" s="38" t="n"/>
      <c r="AR75" s="38" t="n"/>
      <c r="AS75" s="1106" t="n"/>
    </row>
    <row r="76" ht="15" customHeight="1" s="985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  <c r="AQ76" s="38" t="n"/>
      <c r="AR76" s="38" t="n"/>
      <c r="AS76" s="1106" t="n"/>
    </row>
    <row r="77" ht="15" customHeight="1" s="985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  <c r="AQ77" s="27" t="n"/>
      <c r="AR77" s="27" t="n"/>
      <c r="AS77" s="1119" t="n"/>
    </row>
    <row r="78" ht="15" customHeight="1" s="985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>
        <f>L78/(L$13)</f>
        <v/>
      </c>
      <c r="O78" s="49">
        <f>SUM(O79:O81)</f>
        <v/>
      </c>
      <c r="P78" s="3" t="n"/>
      <c r="Q78" s="1053">
        <f>O78/(O$13)</f>
        <v/>
      </c>
      <c r="R78" s="90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  <c r="AQ78" s="17">
        <f>SUM(AQ79:AQ81)</f>
        <v/>
      </c>
      <c r="AR78" s="17">
        <f>AQ78/(AQ$12-AQ$9)</f>
        <v/>
      </c>
      <c r="AS78" s="1105">
        <f>AQ78/(AQ$13-AQ$20)</f>
        <v/>
      </c>
    </row>
    <row r="79" ht="15" customHeight="1" s="985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  <c r="AQ79" s="621" t="n"/>
      <c r="AR79" s="621" t="n"/>
      <c r="AS79" s="1120" t="n"/>
    </row>
    <row r="80" ht="15" customHeight="1" s="985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  <c r="AQ80" s="24" t="n"/>
      <c r="AR80" s="24" t="n"/>
      <c r="AS80" s="1108" t="n"/>
    </row>
    <row r="81" ht="15" customHeight="1" s="985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  <c r="AQ81" s="98" t="n"/>
      <c r="AR81" s="98" t="n"/>
      <c r="AS81" s="1121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  <c r="AQ82" s="136" t="n"/>
      <c r="AR82" s="136" t="n"/>
      <c r="AS82" s="1122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C83/(C$13)</f>
        <v/>
      </c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>
        <f>L83/(L$13)</f>
        <v/>
      </c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 t="n"/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 t="n"/>
      <c r="AM83" s="583">
        <f>C83+F83+I83+L83+O83+R83+U83+X83+AA83+AD83+AG83+AJ83</f>
        <v/>
      </c>
      <c r="AN83" s="492" t="n"/>
      <c r="AO83" s="1081">
        <f>AM83/(AM$13)</f>
        <v/>
      </c>
      <c r="AQ83" s="627">
        <f>+AQ84+AQ89+AQ92+AQ96+AQ99+AQ109+AQ114+AQ120+AQ123+AQ127</f>
        <v/>
      </c>
      <c r="AR83" s="627">
        <f>AQ83/(AQ$12-AQ$9)</f>
        <v/>
      </c>
      <c r="AS83" s="1104">
        <f>AQ83/(AQ$13-AQ$20)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>
        <f>L84/(L$13)</f>
        <v/>
      </c>
      <c r="O84" s="49">
        <f>SUM(O85:O88)</f>
        <v/>
      </c>
      <c r="P84" s="3" t="n"/>
      <c r="Q84" s="1053">
        <f>O84/(O$13)</f>
        <v/>
      </c>
      <c r="R84" s="90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 t="n"/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 t="n"/>
      <c r="AM84" s="16">
        <f>C84+F84+I84+L84+O84+R84+U84+X84+AA84+AD84+AG84+AJ84</f>
        <v/>
      </c>
      <c r="AN84" s="3" t="n"/>
      <c r="AO84" s="1076">
        <f>AM84/(AM$13)</f>
        <v/>
      </c>
      <c r="AQ84" s="17">
        <f>SUM(AQ85:AQ88)</f>
        <v/>
      </c>
      <c r="AR84" s="17">
        <f>AQ84/(AQ$12-AQ$9)</f>
        <v/>
      </c>
      <c r="AS84" s="1105">
        <f>AQ84/(AQ$13-AQ$20)</f>
        <v/>
      </c>
    </row>
    <row r="85" ht="15" customHeight="1" s="985">
      <c r="B85" s="39" t="inlineStr">
        <is>
          <t>Costos Indirectos de Personal</t>
        </is>
      </c>
      <c r="C85" s="39" t="n"/>
      <c r="D85" s="69">
        <f>$L$85</f>
        <v/>
      </c>
      <c r="E85" s="1077">
        <f>C85/(C$13)</f>
        <v/>
      </c>
      <c r="F85" s="39" t="n"/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  <c r="AP85" s="1203" t="n"/>
      <c r="AQ85" s="31" t="n"/>
      <c r="AR85" s="31" t="n"/>
      <c r="AS85" s="1123" t="n"/>
      <c r="AT85" s="898" t="n"/>
    </row>
    <row r="86" ht="15" customHeight="1" s="985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  <c r="AQ86" s="24" t="n"/>
      <c r="AR86" s="24" t="n"/>
      <c r="AS86" s="1108" t="n"/>
    </row>
    <row r="87" ht="15" customHeight="1" s="985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  <c r="AQ87" s="24" t="n"/>
      <c r="AR87" s="24" t="n"/>
      <c r="AS87" s="1108" t="n"/>
    </row>
    <row r="88" ht="15" customHeight="1" s="985">
      <c r="B88" s="206" t="inlineStr">
        <is>
          <t>Incapacidades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  <c r="AQ88" s="349" t="n"/>
      <c r="AR88" s="349" t="n"/>
      <c r="AS88" s="1115" t="n"/>
    </row>
    <row r="89" ht="15" customHeight="1" s="985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>
        <f>L89/(L$13)</f>
        <v/>
      </c>
      <c r="O89" s="49">
        <f>SUM(O90:O91)</f>
        <v/>
      </c>
      <c r="P89" s="3" t="n"/>
      <c r="Q89" s="1053">
        <f>O89/(O$13)</f>
        <v/>
      </c>
      <c r="R89" s="90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 t="n"/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  <c r="AQ89" s="17">
        <f>SUM(AQ90:AQ91)</f>
        <v/>
      </c>
      <c r="AR89" s="17">
        <f>AQ89/(AQ$12-AQ$9)</f>
        <v/>
      </c>
      <c r="AS89" s="1105">
        <f>AQ89/(AQ$13-AQ$20)</f>
        <v/>
      </c>
    </row>
    <row r="90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  <c r="AQ90" s="31" t="n"/>
      <c r="AR90" s="31" t="n"/>
      <c r="AS90" s="1123" t="n"/>
    </row>
    <row r="91" outlineLevel="1" ht="15" customHeight="1" s="985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  <c r="AQ91" s="349" t="n"/>
      <c r="AR91" s="349" t="n"/>
      <c r="AS91" s="1115" t="n"/>
    </row>
    <row r="92" ht="15" customHeight="1" s="985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>
        <f>L92/(L$13)</f>
        <v/>
      </c>
      <c r="O92" s="49">
        <f>SUM(O93:O95)</f>
        <v/>
      </c>
      <c r="P92" s="3" t="n"/>
      <c r="Q92" s="1053">
        <f>O92/(O$13)</f>
        <v/>
      </c>
      <c r="R92" s="90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 t="n"/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  <c r="AQ92" s="17">
        <f>SUM(AQ93:AQ95)</f>
        <v/>
      </c>
      <c r="AR92" s="17">
        <f>AQ92/(AQ$12-AQ$9)</f>
        <v/>
      </c>
      <c r="AS92" s="1105">
        <f>AQ92/(AQ$13-AQ$20)</f>
        <v/>
      </c>
    </row>
    <row r="93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  <c r="AQ93" s="31" t="n"/>
      <c r="AR93" s="31" t="n"/>
      <c r="AS93" s="1123" t="n"/>
    </row>
    <row r="94" outlineLevel="1" ht="15" customHeight="1" s="985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  <c r="AQ94" s="24" t="n"/>
      <c r="AR94" s="24" t="n"/>
      <c r="AS94" s="1108" t="n"/>
    </row>
    <row r="95" outlineLevel="1" ht="15" customHeight="1" s="985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  <c r="AQ95" s="27" t="n"/>
      <c r="AR95" s="27" t="n"/>
      <c r="AS95" s="1119" t="n"/>
    </row>
    <row r="96" ht="15" customHeight="1" s="985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053">
        <f>L96/(L$13)</f>
        <v/>
      </c>
      <c r="O96" s="49">
        <f>SUM(O97:O98)</f>
        <v/>
      </c>
      <c r="P96" s="3" t="n"/>
      <c r="Q96" s="1053">
        <f>O96/(O$13)</f>
        <v/>
      </c>
      <c r="R96" s="90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 t="n"/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  <c r="AQ96" s="17">
        <f>SUM(AQ97:AQ98)</f>
        <v/>
      </c>
      <c r="AR96" s="17">
        <f>AQ96/(AQ$12-AQ$9)</f>
        <v/>
      </c>
      <c r="AS96" s="1105">
        <f>AQ96/(AQ$13-AQ$20)</f>
        <v/>
      </c>
    </row>
    <row r="97" outlineLevel="1" ht="15" customFormat="1" customHeight="1" s="108">
      <c r="A97" s="229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31" t="n"/>
      <c r="AR97" s="31" t="n"/>
      <c r="AS97" s="1123" t="n"/>
    </row>
    <row r="98" outlineLevel="1" ht="15" customFormat="1" customHeight="1" s="108">
      <c r="A98" s="229" t="inlineStr">
        <is>
          <t xml:space="preserve">73306001            </t>
        </is>
      </c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79" t="n"/>
      <c r="AR98" s="279" t="n"/>
      <c r="AS98" s="1125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>
        <f>L99/(L$13)</f>
        <v/>
      </c>
      <c r="O99" s="49">
        <f>SUM(O100:O108)</f>
        <v/>
      </c>
      <c r="P99" s="3" t="n"/>
      <c r="Q99" s="1053">
        <f>O99/(O$13)</f>
        <v/>
      </c>
      <c r="R99" s="90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 t="n"/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  <c r="AQ99" s="17">
        <f>SUM(AQ100:AQ108)</f>
        <v/>
      </c>
      <c r="AR99" s="17">
        <f>AQ99/(AQ$12-AQ$9)</f>
        <v/>
      </c>
      <c r="AS99" s="1105">
        <f>AQ99/(AQ$13-AQ$20)</f>
        <v/>
      </c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  <c r="AQ100" s="31" t="n"/>
      <c r="AR100" s="31" t="n"/>
      <c r="AS100" s="1123" t="n"/>
    </row>
    <row r="101" outlineLevel="1" ht="15" customHeight="1" s="985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  <c r="AQ101" s="24" t="n"/>
      <c r="AR101" s="24" t="n"/>
      <c r="AS101" s="1108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  <c r="AQ102" s="24" t="n"/>
      <c r="AR102" s="24" t="n"/>
      <c r="AS102" s="1108" t="n"/>
    </row>
    <row r="103" outlineLevel="1" ht="15" customHeight="1" s="985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  <c r="AQ103" s="24" t="n"/>
      <c r="AR103" s="24" t="n"/>
      <c r="AS103" s="1108" t="n"/>
    </row>
    <row r="104" outlineLevel="1" ht="15" customHeight="1" s="985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  <c r="AQ104" s="24" t="n"/>
      <c r="AR104" s="24" t="n"/>
      <c r="AS104" s="1108" t="n"/>
    </row>
    <row r="105" outlineLevel="1" ht="15" customHeight="1" s="985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  <c r="AQ105" s="24" t="n"/>
      <c r="AR105" s="24" t="n"/>
      <c r="AS105" s="1108" t="n"/>
    </row>
    <row r="106" outlineLevel="1" ht="15" customHeight="1" s="985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848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  <c r="AQ106" s="24" t="n"/>
      <c r="AR106" s="24" t="n"/>
      <c r="AS106" s="1108" t="n"/>
    </row>
    <row r="107" outlineLevel="1" ht="15" customHeight="1" s="985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848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  <c r="AQ107" s="24" t="n"/>
      <c r="AR107" s="24" t="n"/>
      <c r="AS107" s="1108" t="n"/>
    </row>
    <row r="108" outlineLevel="1" ht="15" customHeight="1" s="985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108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  <c r="AQ108" s="23" t="n"/>
      <c r="AR108" s="23" t="n"/>
      <c r="AS108" s="1107" t="n"/>
    </row>
    <row r="109" ht="15" customHeight="1" s="985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>
        <f>L109/(L$13)</f>
        <v/>
      </c>
      <c r="O109" s="49">
        <f>SUM(O110:O113)</f>
        <v/>
      </c>
      <c r="P109" s="3" t="n"/>
      <c r="Q109" s="1053">
        <f>O109/(O$13)</f>
        <v/>
      </c>
      <c r="R109" s="90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 t="n"/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  <c r="AQ109" s="17">
        <f>SUM(AQ110:AQ113)</f>
        <v/>
      </c>
      <c r="AR109" s="17">
        <f>AQ109/(AQ$12-AQ$9)</f>
        <v/>
      </c>
      <c r="AS109" s="1105">
        <f>AQ109/(AQ$13-AQ$20)</f>
        <v/>
      </c>
    </row>
    <row r="110" outlineLevel="1" ht="15" customHeight="1" s="985">
      <c r="A110" s="226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  <c r="AQ110" s="31" t="n"/>
      <c r="AR110" s="31" t="n"/>
      <c r="AS110" s="1123" t="n"/>
    </row>
    <row r="111" outlineLevel="1" ht="15" customHeight="1" s="985">
      <c r="A111" s="226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  <c r="AQ111" s="24" t="n"/>
      <c r="AR111" s="24" t="n"/>
      <c r="AS111" s="1108" t="n"/>
    </row>
    <row r="112" outlineLevel="1" ht="15" customHeight="1" s="985">
      <c r="A112" s="226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  <c r="AQ112" s="24" t="n"/>
      <c r="AR112" s="24" t="n"/>
      <c r="AS112" s="1108" t="n"/>
    </row>
    <row r="113" outlineLevel="1" ht="15" customHeight="1" s="985">
      <c r="A113" s="226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  <c r="AQ113" s="27" t="n"/>
      <c r="AR113" s="27" t="n"/>
      <c r="AS113" s="1119" t="n"/>
    </row>
    <row r="114" ht="15" customHeight="1" s="985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>
        <f>L114/(L$13)</f>
        <v/>
      </c>
      <c r="O114" s="49">
        <f>SUM(O115:O116)</f>
        <v/>
      </c>
      <c r="P114" s="3" t="n"/>
      <c r="Q114" s="1053">
        <f>O114/(O$13)</f>
        <v/>
      </c>
      <c r="R114" s="90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 t="n"/>
      <c r="AD114" s="49" t="n"/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  <c r="AQ114" s="17">
        <f>SUM(AQ115:AQ119)</f>
        <v/>
      </c>
      <c r="AR114" s="17">
        <f>AQ114/(AQ$12-AQ$9)</f>
        <v/>
      </c>
      <c r="AS114" s="1105">
        <f>AQ114/(AQ$13-AQ$20)</f>
        <v/>
      </c>
    </row>
    <row r="115" outlineLevel="1" ht="15" customHeight="1" s="985">
      <c r="A115" s="226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  <c r="AQ115" s="31" t="n"/>
      <c r="AR115" s="31" t="n"/>
      <c r="AS115" s="1123" t="n"/>
    </row>
    <row r="116" outlineLevel="1" ht="15" customHeight="1" s="985">
      <c r="A116" s="226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  <c r="AQ116" s="24" t="n"/>
      <c r="AR116" s="24" t="n"/>
      <c r="AS116" s="1108" t="n"/>
    </row>
    <row r="117" outlineLevel="1" ht="15" customHeight="1" s="985">
      <c r="A117" s="226" t="inlineStr">
        <is>
          <t xml:space="preserve">73451502            </t>
        </is>
      </c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  <c r="AQ117" s="24" t="n"/>
      <c r="AR117" s="24" t="n"/>
      <c r="AS117" s="1108" t="n"/>
    </row>
    <row r="118" outlineLevel="1" ht="15" customHeight="1" s="985">
      <c r="A118" s="226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  <c r="AQ118" s="24" t="n"/>
      <c r="AR118" s="24" t="n"/>
      <c r="AS118" s="1108" t="n"/>
    </row>
    <row r="119" outlineLevel="1" ht="15" customHeight="1" s="985">
      <c r="A119" s="226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  <c r="AQ119" s="23" t="n"/>
      <c r="AR119" s="23" t="n"/>
      <c r="AS119" s="1107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>
        <f>L120/(L$13)</f>
        <v/>
      </c>
      <c r="O120" s="49">
        <f>SUM(O121)</f>
        <v/>
      </c>
      <c r="P120" s="3" t="n"/>
      <c r="Q120" s="1053">
        <f>O120/(O$13)</f>
        <v/>
      </c>
      <c r="R120" s="90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 t="n"/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  <c r="AQ120" s="17">
        <f>SUM(AQ121:AQ122)</f>
        <v/>
      </c>
      <c r="AR120" s="17">
        <f>AQ120/(AQ$12-AQ$9)</f>
        <v/>
      </c>
      <c r="AS120" s="1105">
        <f>AQ120/(AQ$13-AQ$20)</f>
        <v/>
      </c>
    </row>
    <row r="121" ht="15" customHeight="1" s="985">
      <c r="A121" s="226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  <c r="AQ121" s="31" t="n"/>
      <c r="AR121" s="31" t="n"/>
      <c r="AS121" s="1123" t="n"/>
    </row>
    <row r="122" ht="15" customHeight="1" s="985">
      <c r="A122" s="226" t="inlineStr">
        <is>
          <t xml:space="preserve">73501501            </t>
        </is>
      </c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  <c r="AQ122" s="133" t="n"/>
      <c r="AR122" s="133" t="n"/>
      <c r="AS122" s="1126" t="n"/>
    </row>
    <row r="123" ht="15" customHeight="1" s="985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>
        <f>L123/(L$13)</f>
        <v/>
      </c>
      <c r="O123" s="49">
        <f>SUM(O124:O126)</f>
        <v/>
      </c>
      <c r="P123" s="3" t="n"/>
      <c r="Q123" s="1053">
        <f>O123/(O$13)</f>
        <v/>
      </c>
      <c r="R123" s="90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 t="n"/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  <c r="AQ123" s="17">
        <f>SUM(AQ124:AQ126)</f>
        <v/>
      </c>
      <c r="AR123" s="17">
        <f>AQ123/(AQ$12-AQ$9)</f>
        <v/>
      </c>
      <c r="AS123" s="1105">
        <f>AQ123/(AQ$13-AQ$20)</f>
        <v/>
      </c>
    </row>
    <row r="124" outlineLevel="1" ht="15" customHeight="1" s="985">
      <c r="A124" s="226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  <c r="AQ124" s="31" t="n"/>
      <c r="AR124" s="31" t="n"/>
      <c r="AS124" s="1123" t="n"/>
    </row>
    <row r="125" outlineLevel="1" ht="15" customHeight="1" s="985">
      <c r="A125" s="226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  <c r="AQ125" s="24" t="n"/>
      <c r="AR125" s="24" t="n"/>
      <c r="AS125" s="1108" t="n"/>
    </row>
    <row r="126" outlineLevel="1" ht="15" customHeight="1" s="985">
      <c r="A126" s="226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  <c r="AQ126" s="27" t="n"/>
      <c r="AR126" s="27" t="n"/>
      <c r="AS126" s="1119" t="n"/>
    </row>
    <row r="127" ht="15" customHeight="1" s="985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>
        <f>L127/(L$13)</f>
        <v/>
      </c>
      <c r="O127" s="49">
        <f>SUM(O128:O142)</f>
        <v/>
      </c>
      <c r="P127" s="3" t="n"/>
      <c r="Q127" s="1053">
        <f>O127/(O$13)</f>
        <v/>
      </c>
      <c r="R127" s="90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 t="n"/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  <c r="AQ127" s="17">
        <f>SUM(AQ128:AQ142)</f>
        <v/>
      </c>
      <c r="AR127" s="17">
        <f>AQ127/(AQ$12-AQ$9)</f>
        <v/>
      </c>
      <c r="AS127" s="1105">
        <f>AQ127/(AQ$13-AQ$20)</f>
        <v/>
      </c>
    </row>
    <row r="128" outlineLevel="1" ht="15" customHeight="1" s="985">
      <c r="A128" s="226" t="inlineStr">
        <is>
          <t xml:space="preserve">73951001            </t>
        </is>
      </c>
      <c r="B128" s="39" t="inlineStr">
        <is>
          <t>Elementos de Proteccion Personal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  <c r="AQ128" s="31" t="n"/>
      <c r="AR128" s="31" t="n"/>
      <c r="AS128" s="1123" t="n"/>
    </row>
    <row r="129" outlineLevel="1" ht="15" customHeight="1" s="985">
      <c r="A129" s="226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  <c r="AQ129" s="24" t="n"/>
      <c r="AR129" s="24" t="n"/>
      <c r="AS129" s="1108" t="n"/>
    </row>
    <row r="130" outlineLevel="1" ht="15" customHeight="1" s="985">
      <c r="A130" s="226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  <c r="AQ130" s="24" t="n"/>
      <c r="AR130" s="24" t="n"/>
      <c r="AS130" s="1108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  <c r="AQ131" s="24" t="n"/>
      <c r="AR131" s="24" t="n"/>
      <c r="AS131" s="1108" t="n"/>
    </row>
    <row r="132" outlineLevel="1" ht="15" customHeight="1" s="985">
      <c r="A132" s="226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  <c r="AQ132" s="24" t="n"/>
      <c r="AR132" s="24" t="n"/>
      <c r="AS132" s="1108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  <c r="AQ133" s="24" t="n"/>
      <c r="AR133" s="24" t="n"/>
      <c r="AS133" s="1108" t="n"/>
    </row>
    <row r="134" outlineLevel="1" ht="15" customHeight="1" s="985">
      <c r="A134" s="226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  <c r="AQ134" s="24" t="n"/>
      <c r="AR134" s="24" t="n"/>
      <c r="AS134" s="1108" t="n"/>
    </row>
    <row r="135" outlineLevel="1" ht="15" customHeight="1" s="985">
      <c r="A135" s="226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  <c r="AQ135" s="24" t="n"/>
      <c r="AR135" s="24" t="n"/>
      <c r="AS135" s="1108" t="n"/>
    </row>
    <row r="136" outlineLevel="1" ht="15" customHeight="1" s="985">
      <c r="A136" s="226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  <c r="AQ136" s="24" t="n"/>
      <c r="AR136" s="24" t="n"/>
      <c r="AS136" s="1108" t="n"/>
    </row>
    <row r="137" outlineLevel="1" ht="15" customHeight="1" s="985">
      <c r="A137" s="226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  <c r="AQ137" s="24" t="n"/>
      <c r="AR137" s="24" t="n"/>
      <c r="AS137" s="1108" t="n"/>
    </row>
    <row r="138" outlineLevel="1" ht="15" customHeight="1" s="985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  <c r="AQ138" s="24" t="n"/>
      <c r="AR138" s="24" t="n"/>
      <c r="AS138" s="1108" t="n"/>
    </row>
    <row r="139" outlineLevel="1" ht="15" customHeight="1" s="985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  <c r="AQ139" s="23" t="n"/>
      <c r="AR139" s="23" t="n"/>
      <c r="AS139" s="1107" t="n"/>
    </row>
    <row r="140" outlineLevel="1" ht="15" customHeight="1" s="985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  <c r="AQ140" s="24" t="n"/>
      <c r="AR140" s="24" t="n"/>
      <c r="AS140" s="1108" t="n"/>
    </row>
    <row r="14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  <c r="AQ141" s="24" t="n"/>
      <c r="AR141" s="24" t="n"/>
      <c r="AS141" s="1108" t="n"/>
    </row>
    <row r="142" outlineLevel="1" ht="15" customHeight="1" s="985" thickBot="1">
      <c r="A142" s="226" t="inlineStr">
        <is>
          <t xml:space="preserve">73959505            </t>
        </is>
      </c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  <c r="AQ142" s="98" t="n"/>
      <c r="AR142" s="98" t="n"/>
      <c r="AS142" s="1121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  <c r="AQ143" s="136" t="n"/>
      <c r="AR143" s="136" t="n"/>
      <c r="AS143" s="1122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  <c r="AQ144" s="628">
        <f>+AQ42-AQ44-AQ83</f>
        <v/>
      </c>
      <c r="AR144" s="628" t="n"/>
      <c r="AS144" s="1130" t="n"/>
    </row>
    <row r="145" ht="15" customHeight="1" s="985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  <c r="AQ145" s="629">
        <f>IFERROR(AQ144/AQ13," ")</f>
        <v/>
      </c>
      <c r="AR145" s="629" t="n"/>
      <c r="AS145" s="1131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  <c r="AQ146" s="633" t="n"/>
      <c r="AR146" s="633" t="n"/>
      <c r="AS146" s="1132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 t="n"/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  <c r="AQ147" s="627">
        <f>SUM(AQ148:AQ151)</f>
        <v/>
      </c>
      <c r="AR147" s="627" t="n"/>
      <c r="AS147" s="1104">
        <f>AQ147/(AQ$13-AQ$20)</f>
        <v/>
      </c>
    </row>
    <row r="148" ht="15" customHeight="1" s="985">
      <c r="B148" s="18" t="inlineStr">
        <is>
          <t>Gastos Fijos Administracion</t>
        </is>
      </c>
      <c r="C148" s="39" t="n"/>
      <c r="D148" s="69" t="n"/>
      <c r="E148" s="1077" t="n"/>
      <c r="F148" s="39" t="n"/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  <c r="AP148" s="1068" t="n">
        <v>0.054</v>
      </c>
      <c r="AQ148" s="31" t="n"/>
      <c r="AR148" s="31" t="n"/>
      <c r="AS148" s="1123" t="n"/>
    </row>
    <row r="149" ht="15" customHeight="1" s="985">
      <c r="B149" s="285" t="inlineStr">
        <is>
          <t>Gastos financieros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  <c r="AQ149" s="24" t="n"/>
      <c r="AR149" s="24" t="n"/>
      <c r="AS149" s="1108" t="n"/>
    </row>
    <row r="150" ht="15" customHeight="1" s="985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  <c r="AP150" s="1068" t="n">
        <v>0.01</v>
      </c>
      <c r="AQ150" s="24" t="n"/>
      <c r="AR150" s="24" t="n"/>
      <c r="AS150" s="1108" t="n"/>
    </row>
    <row r="151" ht="15" customHeight="1" s="985" thickBot="1">
      <c r="B151" s="300" t="inlineStr">
        <is>
          <t>Gastos No Operacionales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  <c r="AQ151" s="300" t="n"/>
      <c r="AR151" s="300" t="n"/>
      <c r="AS151" s="1133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  <c r="AQ152" s="136" t="n"/>
      <c r="AR152" s="136" t="n"/>
      <c r="AS152" s="1122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  <c r="AQ153" s="630">
        <f>SUM(AQ154:AQ160)</f>
        <v/>
      </c>
      <c r="AR153" s="630" t="n"/>
      <c r="AS153" s="1134">
        <f>AQ153/(AQ$13-AQ$20)</f>
        <v/>
      </c>
    </row>
    <row r="154" ht="15" customHeight="1" s="985" thickTop="1">
      <c r="B154" s="1135" t="inlineStr">
        <is>
          <t>Novedades</t>
        </is>
      </c>
      <c r="C154" s="636" t="n"/>
      <c r="D154" s="550" t="n"/>
      <c r="E154" s="1171" t="n"/>
      <c r="F154" s="636" t="n"/>
      <c r="G154" s="550" t="n"/>
      <c r="H154" s="1171" t="n"/>
      <c r="I154" s="636" t="n"/>
      <c r="J154" s="550" t="n"/>
      <c r="K154" s="1171" t="n"/>
      <c r="L154" s="636" t="n"/>
      <c r="M154" s="550" t="n"/>
      <c r="N154" s="1171" t="n"/>
      <c r="O154" s="1172" t="n"/>
      <c r="P154" s="550" t="n"/>
      <c r="Q154" s="1171" t="n"/>
      <c r="R154" s="636" t="n"/>
      <c r="S154" s="550" t="n"/>
      <c r="T154" s="1171" t="n"/>
      <c r="U154" s="636" t="n"/>
      <c r="V154" s="550" t="n"/>
      <c r="W154" s="1171" t="n"/>
      <c r="X154" s="636" t="n"/>
      <c r="Y154" s="550" t="n"/>
      <c r="Z154" s="1171" t="n"/>
      <c r="AA154" s="1172" t="n"/>
      <c r="AB154" s="550" t="n"/>
      <c r="AC154" s="1171" t="n"/>
      <c r="AD154" s="1172" t="n"/>
      <c r="AE154" s="550" t="n"/>
      <c r="AF154" s="1171" t="n"/>
      <c r="AG154" s="1172">
        <f>AG18*0.9</f>
        <v/>
      </c>
      <c r="AH154" s="550" t="n"/>
      <c r="AI154" s="1171" t="n"/>
      <c r="AJ154" s="1172" t="n"/>
      <c r="AK154" s="230" t="n"/>
      <c r="AL154" s="245" t="n"/>
      <c r="AM154" s="287">
        <f>C154+F154+I154+L154+O154+R154+U154+X154+AA154+AD154+AG154+AJ154</f>
        <v/>
      </c>
      <c r="AN154" s="230" t="n"/>
      <c r="AO154" s="1137" t="n"/>
      <c r="AQ154" s="724" t="n"/>
      <c r="AR154" s="289" t="n"/>
      <c r="AS154" s="1138" t="n"/>
    </row>
    <row r="155" ht="15" customHeight="1" s="985">
      <c r="B155" s="1139" t="inlineStr">
        <is>
          <t>Donacion</t>
        </is>
      </c>
      <c r="C155" s="707" t="n"/>
      <c r="D155" s="13" t="n"/>
      <c r="E155" s="1151" t="n"/>
      <c r="F155" s="707" t="n"/>
      <c r="G155" s="13" t="n"/>
      <c r="H155" s="1151" t="n"/>
      <c r="I155" s="707" t="n"/>
      <c r="J155" s="13" t="n"/>
      <c r="K155" s="1151" t="n"/>
      <c r="L155" s="707" t="n"/>
      <c r="M155" s="13" t="n"/>
      <c r="N155" s="1151" t="n"/>
      <c r="O155" s="707" t="n"/>
      <c r="P155" s="13" t="n"/>
      <c r="Q155" s="1151" t="n"/>
      <c r="R155" s="707" t="n"/>
      <c r="S155" s="13" t="n"/>
      <c r="T155" s="1151" t="n"/>
      <c r="U155" s="707" t="n"/>
      <c r="V155" s="13" t="n"/>
      <c r="W155" s="1151" t="n"/>
      <c r="X155" s="707" t="n"/>
      <c r="Y155" s="13" t="n"/>
      <c r="Z155" s="1151" t="n"/>
      <c r="AA155" s="707" t="n"/>
      <c r="AB155" s="13" t="n"/>
      <c r="AC155" s="1151" t="n"/>
      <c r="AD155" s="707" t="n"/>
      <c r="AE155" s="13" t="n"/>
      <c r="AF155" s="1151" t="n"/>
      <c r="AG155" s="707" t="n"/>
      <c r="AH155" s="13" t="n"/>
      <c r="AI155" s="1151" t="n"/>
      <c r="AJ155" s="707" t="n"/>
      <c r="AK155" s="9" t="n"/>
      <c r="AL155" s="240" t="n"/>
      <c r="AM155" s="567">
        <f>C155+F155+I155+L155+O155+R155+U155+X155+AA155+AD155+AG155+AJ155</f>
        <v/>
      </c>
      <c r="AN155" s="9">
        <f>AM155/AM12</f>
        <v/>
      </c>
      <c r="AO155" s="1141" t="n"/>
      <c r="AP155" s="1099" t="n"/>
      <c r="AQ155" s="707" t="n"/>
      <c r="AR155" s="248" t="n"/>
      <c r="AS155" s="1142" t="n"/>
    </row>
    <row r="156" ht="15" customHeight="1" s="985">
      <c r="B156" s="1143" t="inlineStr">
        <is>
          <t>Donacion</t>
        </is>
      </c>
      <c r="C156" s="720" t="n"/>
      <c r="D156" s="679" t="n"/>
      <c r="E156" s="1173" t="n"/>
      <c r="F156" s="720" t="n"/>
      <c r="G156" s="679" t="n"/>
      <c r="H156" s="1173" t="n"/>
      <c r="I156" s="720" t="n"/>
      <c r="J156" s="679" t="n"/>
      <c r="K156" s="1173" t="n"/>
      <c r="L156" s="720" t="n"/>
      <c r="M156" s="679" t="n"/>
      <c r="N156" s="1173" t="n"/>
      <c r="O156" s="720" t="n"/>
      <c r="P156" s="679" t="n"/>
      <c r="Q156" s="1173" t="n"/>
      <c r="R156" s="720" t="n"/>
      <c r="S156" s="679" t="n"/>
      <c r="T156" s="1173" t="n"/>
      <c r="U156" s="720" t="n"/>
      <c r="V156" s="679" t="n"/>
      <c r="W156" s="1173" t="n"/>
      <c r="X156" s="720" t="n"/>
      <c r="Y156" s="679" t="n"/>
      <c r="Z156" s="1173" t="n"/>
      <c r="AA156" s="720" t="n"/>
      <c r="AB156" s="679" t="n"/>
      <c r="AC156" s="1173" t="n"/>
      <c r="AD156" s="720" t="n"/>
      <c r="AE156" s="679" t="n"/>
      <c r="AF156" s="1173" t="n"/>
      <c r="AG156" s="720" t="n"/>
      <c r="AH156" s="679" t="n"/>
      <c r="AI156" s="1173" t="n"/>
      <c r="AJ156" s="720" t="n"/>
      <c r="AK156" s="677" t="n"/>
      <c r="AL156" s="681" t="n"/>
      <c r="AM156" s="682">
        <f>C156+F156+I156+L156+O156+R156+U156+X156+AA156+AD156+AG156+AJ156</f>
        <v/>
      </c>
      <c r="AN156" s="677" t="n"/>
      <c r="AO156" s="1145" t="n"/>
      <c r="AP156" s="1099" t="n"/>
      <c r="AQ156" s="767" t="n"/>
      <c r="AR156" s="248" t="n"/>
      <c r="AS156" s="1142" t="n"/>
    </row>
    <row r="157" ht="15" customHeight="1" s="985">
      <c r="B157" s="1146" t="inlineStr">
        <is>
          <t>Otros Ajustes</t>
        </is>
      </c>
      <c r="C157" s="725" t="n"/>
      <c r="D157" s="555" t="n"/>
      <c r="E157" s="1175" t="n"/>
      <c r="F157" s="725" t="n"/>
      <c r="G157" s="555" t="n"/>
      <c r="H157" s="1175" t="n"/>
      <c r="I157" s="725" t="n"/>
      <c r="J157" s="555" t="n"/>
      <c r="K157" s="1175" t="n"/>
      <c r="L157" s="1172" t="n"/>
      <c r="M157" s="555" t="n"/>
      <c r="N157" s="1175" t="n"/>
      <c r="O157" s="1172">
        <f>O13*$AU$6</f>
        <v/>
      </c>
      <c r="P157" s="555" t="n"/>
      <c r="Q157" s="1175" t="n"/>
      <c r="R157" s="1172">
        <f>R13*$AU$6</f>
        <v/>
      </c>
      <c r="S157" s="555" t="n"/>
      <c r="T157" s="1175" t="n"/>
      <c r="U157" s="1172">
        <f>U13*$AU$6</f>
        <v/>
      </c>
      <c r="V157" s="555" t="n"/>
      <c r="W157" s="1175" t="n"/>
      <c r="X157" s="1172">
        <f>X13*$AU$6</f>
        <v/>
      </c>
      <c r="Y157" s="555" t="n"/>
      <c r="Z157" s="1175" t="n"/>
      <c r="AA157" s="1172">
        <f>AA13*$AU$6</f>
        <v/>
      </c>
      <c r="AB157" s="555" t="n"/>
      <c r="AC157" s="1175" t="n"/>
      <c r="AD157" s="1172">
        <f>AD13*$AU$6</f>
        <v/>
      </c>
      <c r="AE157" s="555" t="n"/>
      <c r="AF157" s="1175" t="n"/>
      <c r="AG157" s="1172">
        <f>AG13*$AU$6</f>
        <v/>
      </c>
      <c r="AH157" s="555" t="n"/>
      <c r="AI157" s="1175" t="n"/>
      <c r="AJ157" s="1172">
        <f>AJ13*$AU$6</f>
        <v/>
      </c>
      <c r="AK157" s="553" t="n"/>
      <c r="AL157" s="557" t="n"/>
      <c r="AM157" s="294">
        <f>C157+F157+I157+L157+O157+R157+U157+X157+AA157+AD157+AG157+AJ157</f>
        <v/>
      </c>
      <c r="AN157" s="884" t="n"/>
      <c r="AO157" s="1178">
        <f>AM157/$AM$13</f>
        <v/>
      </c>
      <c r="AQ157" s="707" t="n"/>
      <c r="AR157" s="561" t="n"/>
      <c r="AS157" s="1149">
        <f>AQ157/AQ13</f>
        <v/>
      </c>
    </row>
    <row r="158" ht="15" customHeight="1" s="985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>
        <f>O13*$AU$7</f>
        <v/>
      </c>
      <c r="P158" s="13" t="n"/>
      <c r="Q158" s="1151" t="n"/>
      <c r="R158" s="1148">
        <f>R13*$AU$7</f>
        <v/>
      </c>
      <c r="S158" s="13" t="n"/>
      <c r="T158" s="1151" t="n"/>
      <c r="U158" s="1148">
        <f>U13*$AU$7</f>
        <v/>
      </c>
      <c r="V158" s="13" t="n"/>
      <c r="W158" s="1151" t="n"/>
      <c r="X158" s="1148">
        <f>X13*$AU$7</f>
        <v/>
      </c>
      <c r="Y158" s="13" t="n"/>
      <c r="Z158" s="1151" t="n"/>
      <c r="AA158" s="1148">
        <f>AA13*$AU$7</f>
        <v/>
      </c>
      <c r="AB158" s="13" t="n"/>
      <c r="AC158" s="1151" t="n"/>
      <c r="AD158" s="1148">
        <f>AD13*$AU$7</f>
        <v/>
      </c>
      <c r="AE158" s="43" t="n"/>
      <c r="AF158" s="1151" t="n"/>
      <c r="AG158" s="1148">
        <f>AG13*$AU$7</f>
        <v/>
      </c>
      <c r="AH158" s="13" t="n"/>
      <c r="AI158" s="1151" t="n"/>
      <c r="AJ158" s="1148">
        <f>AJ13*$AU$7</f>
        <v/>
      </c>
      <c r="AK158" s="13" t="n"/>
      <c r="AL158" s="246" t="n"/>
      <c r="AM158" s="294">
        <f>C158+F158+I158+L158+O158+R158+U158+X158+AA158+AD158+AG158+AJ158</f>
        <v/>
      </c>
      <c r="AN158" s="13" t="n"/>
      <c r="AO158" s="1178">
        <f>AM158/$AM$13</f>
        <v/>
      </c>
      <c r="AQ158" s="75" t="n"/>
      <c r="AR158" s="296" t="n"/>
      <c r="AS158" s="1153" t="n"/>
    </row>
    <row r="159" ht="15" customHeight="1" s="985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>
        <f>O12*$AU$8</f>
        <v/>
      </c>
      <c r="P159" s="13" t="n"/>
      <c r="Q159" s="1151" t="n"/>
      <c r="R159" s="1148">
        <f>R12*$AU$8</f>
        <v/>
      </c>
      <c r="S159" s="13" t="n"/>
      <c r="T159" s="1151" t="n"/>
      <c r="U159" s="1148">
        <f>U12*$AU$8</f>
        <v/>
      </c>
      <c r="V159" s="13" t="n"/>
      <c r="W159" s="1151" t="n"/>
      <c r="X159" s="1148">
        <f>X12*$AU$8</f>
        <v/>
      </c>
      <c r="Y159" s="13" t="n"/>
      <c r="Z159" s="1151" t="n"/>
      <c r="AA159" s="1148">
        <f>AA12*$AU$8</f>
        <v/>
      </c>
      <c r="AB159" s="13" t="n"/>
      <c r="AC159" s="1151" t="n"/>
      <c r="AD159" s="1148">
        <f>AD12*$AU$8</f>
        <v/>
      </c>
      <c r="AE159" s="43" t="n"/>
      <c r="AF159" s="1151" t="n"/>
      <c r="AG159" s="1148">
        <f>AG12*$AU$8</f>
        <v/>
      </c>
      <c r="AH159" s="13" t="n"/>
      <c r="AI159" s="1151" t="n"/>
      <c r="AJ159" s="1148">
        <f>AJ12*$AU$8</f>
        <v/>
      </c>
      <c r="AK159" s="13" t="n"/>
      <c r="AL159" s="246" t="n"/>
      <c r="AM159" s="294">
        <f>C159+F159+I159+L159+O159+R159+U159+X159+AA159+AD159+AG159+AJ159</f>
        <v/>
      </c>
      <c r="AN159" s="13" t="n"/>
      <c r="AO159" s="1152" t="n"/>
      <c r="AQ159" s="296" t="n"/>
      <c r="AR159" s="296" t="n"/>
      <c r="AS159" s="1153" t="n"/>
    </row>
    <row r="160" ht="15" customHeight="1" s="985" thickBot="1">
      <c r="B160" s="1154" t="inlineStr">
        <is>
          <t>Otros Ajustes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234" t="n"/>
      <c r="M160" s="233" t="n"/>
      <c r="N160" s="1155" t="n"/>
      <c r="O160" s="234" t="n"/>
      <c r="P160" s="233" t="n"/>
      <c r="Q160" s="1155" t="n"/>
      <c r="R160" s="234" t="n"/>
      <c r="S160" s="233" t="n"/>
      <c r="T160" s="1155" t="n"/>
      <c r="U160" s="234" t="n"/>
      <c r="V160" s="233" t="n"/>
      <c r="W160" s="1155" t="n"/>
      <c r="X160" s="234" t="n"/>
      <c r="Y160" s="233" t="n"/>
      <c r="Z160" s="1155" t="n"/>
      <c r="AA160" s="234" t="n"/>
      <c r="AB160" s="233" t="n"/>
      <c r="AC160" s="1155" t="n"/>
      <c r="AD160" s="234" t="n"/>
      <c r="AE160" s="233" t="n"/>
      <c r="AF160" s="1155" t="n"/>
      <c r="AG160" s="234" t="n"/>
      <c r="AH160" s="233" t="n"/>
      <c r="AI160" s="1155" t="n"/>
      <c r="AJ160" s="234" t="n"/>
      <c r="AK160" s="233" t="n"/>
      <c r="AL160" s="247" t="n"/>
      <c r="AM160" s="292">
        <f>C160+F160+I160+L160+O160+R160+U160+X160+AA160+AD160+AG160+AJ160</f>
        <v/>
      </c>
      <c r="AN160" s="812" t="n"/>
      <c r="AO160" s="1156" t="n"/>
      <c r="AQ160" s="622" t="n"/>
      <c r="AR160" s="622" t="n"/>
      <c r="AS160" s="1157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  <c r="AQ161" s="630">
        <f>AQ144-AQ147-AQ153</f>
        <v/>
      </c>
      <c r="AR161" s="630" t="n"/>
      <c r="AS161" s="1134" t="n"/>
    </row>
    <row r="162" ht="15" customHeight="1" s="985" thickBot="1" thickTop="1">
      <c r="B162" s="65" t="n"/>
      <c r="C162" s="455">
        <f>IFERROR(C161/C13," ")</f>
        <v/>
      </c>
      <c r="D162" s="446" t="n"/>
      <c r="E162" s="1200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  <c r="AQ162" s="631">
        <f>IFERROR(AQ161/AQ13," ")</f>
        <v/>
      </c>
      <c r="AR162" s="631" t="n"/>
      <c r="AS162" s="1134" t="n"/>
    </row>
    <row r="163" ht="10.8" customHeight="1" s="985" thickTop="1">
      <c r="C163" s="996" t="n"/>
    </row>
    <row r="164" hidden="1" customFormat="1" s="153">
      <c r="A164" s="226" t="n"/>
      <c r="C164" s="473">
        <f>C44+C83-C73-C85</f>
        <v/>
      </c>
      <c r="D164" s="549" t="n"/>
      <c r="E164" s="1214" t="n"/>
      <c r="F164" s="473">
        <f>F44+F83-F73-F85</f>
        <v/>
      </c>
      <c r="G164" s="996" t="n"/>
      <c r="H164" s="1188" t="n"/>
      <c r="I164" s="473">
        <f>I44+I83-I73-I85</f>
        <v/>
      </c>
      <c r="J164" s="996" t="n"/>
      <c r="K164" s="1188" t="n"/>
      <c r="L164" s="473">
        <f>L44+L83-L73-L85</f>
        <v/>
      </c>
      <c r="M164" s="996" t="n"/>
      <c r="N164" s="1188" t="n"/>
      <c r="O164" s="473">
        <f>O44+O83-O73</f>
        <v/>
      </c>
      <c r="P164" s="996" t="n"/>
      <c r="Q164" s="1188" t="n"/>
      <c r="R164" s="473">
        <f>R44+R83-R73-R85</f>
        <v/>
      </c>
      <c r="S164" s="996" t="n"/>
      <c r="T164" s="1188" t="n"/>
      <c r="U164" s="473">
        <f>U44+U83-U73-U85</f>
        <v/>
      </c>
      <c r="V164" s="996" t="n"/>
      <c r="W164" s="1188" t="n"/>
      <c r="X164" s="476">
        <f>X44+X83-X73-X85-X58</f>
        <v/>
      </c>
      <c r="Y164" s="996" t="n"/>
      <c r="Z164" s="1188" t="n"/>
      <c r="AA164" s="476">
        <f>AA44+AA83-AA73-AA58</f>
        <v/>
      </c>
      <c r="AB164" s="996" t="n"/>
      <c r="AC164" s="1188" t="n"/>
      <c r="AD164" s="476">
        <f>AD44+AD83-AD73-AD58</f>
        <v/>
      </c>
      <c r="AE164" s="996" t="n"/>
      <c r="AF164" s="1188" t="n"/>
      <c r="AG164" s="476">
        <f>AG44+AG83-AG73-AG58</f>
        <v/>
      </c>
      <c r="AH164" s="996" t="n"/>
      <c r="AI164" s="1188" t="n"/>
      <c r="AJ164" s="476">
        <f>AJ44+AJ83-AJ73-AJ85-AJ58</f>
        <v/>
      </c>
      <c r="AK164" s="996" t="n"/>
      <c r="AL164" s="996" t="n"/>
      <c r="AM164" s="996" t="n"/>
      <c r="AN164" s="996" t="n"/>
      <c r="AO164" s="1188" t="n"/>
      <c r="AQ164" s="989" t="n"/>
      <c r="AR164" s="989" t="n"/>
      <c r="AS164" s="2" t="n"/>
    </row>
    <row r="165" hidden="1" customFormat="1" s="153">
      <c r="A165" s="226" t="n"/>
      <c r="C165" s="473" t="n">
        <v>47016022.88</v>
      </c>
      <c r="D165" s="549" t="n"/>
      <c r="E165" s="1214" t="n"/>
      <c r="F165" s="473" t="n">
        <v>48773877.27</v>
      </c>
      <c r="G165" s="996" t="n"/>
      <c r="H165" s="1188" t="n"/>
      <c r="I165" s="473" t="n">
        <v>70048069.05</v>
      </c>
      <c r="J165" s="996" t="n"/>
      <c r="K165" s="1188" t="n"/>
      <c r="L165" s="473" t="n">
        <v>48123625.71000001</v>
      </c>
      <c r="M165" s="996" t="n"/>
      <c r="N165" s="1188" t="n"/>
      <c r="O165" s="473" t="n">
        <v>517164154.95</v>
      </c>
      <c r="P165" s="996" t="n"/>
      <c r="Q165" s="1188" t="n"/>
      <c r="R165" s="473" t="n">
        <v>675567081.08</v>
      </c>
      <c r="S165" s="996" t="n"/>
      <c r="T165" s="1188" t="n"/>
      <c r="U165" s="473" t="n">
        <v>681804153.1799999</v>
      </c>
      <c r="V165" s="996" t="n"/>
      <c r="W165" s="1188" t="n"/>
      <c r="X165" s="476" t="n">
        <v>692050605.86</v>
      </c>
      <c r="Y165" s="996" t="n"/>
      <c r="Z165" s="1188" t="n"/>
      <c r="AA165" s="476" t="n">
        <v>641035328.9</v>
      </c>
      <c r="AB165" s="996" t="n"/>
      <c r="AC165" s="1188" t="n"/>
      <c r="AD165" s="476" t="n">
        <v>831021932.09</v>
      </c>
      <c r="AE165" s="996" t="n"/>
      <c r="AF165" s="1188" t="n"/>
      <c r="AG165" s="476" t="n">
        <v>592985589.73</v>
      </c>
      <c r="AH165" s="996" t="n"/>
      <c r="AI165" s="1188" t="n"/>
      <c r="AJ165" s="476" t="n">
        <v>394419.68</v>
      </c>
      <c r="AK165" s="996" t="n"/>
      <c r="AL165" s="996" t="n"/>
      <c r="AM165" s="996" t="n"/>
      <c r="AN165" s="996" t="n"/>
      <c r="AO165" s="1188" t="n"/>
      <c r="AQ165" s="989" t="n"/>
      <c r="AR165" s="989" t="n"/>
      <c r="AS165" s="2" t="n"/>
    </row>
    <row r="166" hidden="1" customFormat="1" s="153">
      <c r="A166" s="226" t="n"/>
      <c r="C166" s="473">
        <f>C164-C165</f>
        <v/>
      </c>
      <c r="D166" s="702" t="n"/>
      <c r="E166" s="1214" t="n"/>
      <c r="F166" s="473">
        <f>F164-F165</f>
        <v/>
      </c>
      <c r="G166" s="995" t="n"/>
      <c r="H166" s="1189" t="n"/>
      <c r="I166" s="473">
        <f>I164-I165</f>
        <v/>
      </c>
      <c r="J166" s="996" t="n"/>
      <c r="K166" s="1189" t="n"/>
      <c r="L166" s="473">
        <f>L164-L165</f>
        <v/>
      </c>
      <c r="M166" s="996" t="n"/>
      <c r="N166" s="1188" t="n"/>
      <c r="O166" s="473">
        <f>O164-O165</f>
        <v/>
      </c>
      <c r="P166" s="996" t="n"/>
      <c r="Q166" s="1188" t="n"/>
      <c r="R166" s="473">
        <f>R164-R165</f>
        <v/>
      </c>
      <c r="S166" s="995" t="n"/>
      <c r="T166" s="1188" t="n"/>
      <c r="U166" s="473">
        <f>U164-U165</f>
        <v/>
      </c>
      <c r="V166" s="402" t="n"/>
      <c r="W166" s="1188" t="n"/>
      <c r="X166" s="476">
        <f>X164-X165</f>
        <v/>
      </c>
      <c r="Y166" s="996" t="n"/>
      <c r="Z166" s="1188" t="n"/>
      <c r="AA166" s="476">
        <f>AA164-AA165</f>
        <v/>
      </c>
      <c r="AB166" s="996" t="n"/>
      <c r="AC166" s="1188" t="n"/>
      <c r="AD166" s="476">
        <f>AD164-AD165</f>
        <v/>
      </c>
      <c r="AE166" s="613" t="inlineStr">
        <is>
          <t>MP</t>
        </is>
      </c>
      <c r="AF166" s="1188" t="n"/>
      <c r="AG166" s="476">
        <f>AG164-AG165</f>
        <v/>
      </c>
      <c r="AH166" s="996" t="n"/>
      <c r="AI166" s="1188" t="n"/>
      <c r="AJ166" s="476">
        <f>AJ164-AJ165</f>
        <v/>
      </c>
      <c r="AK166" s="996" t="n"/>
      <c r="AL166" s="996" t="n"/>
      <c r="AM166" s="995" t="n"/>
      <c r="AN166" s="996" t="n"/>
      <c r="AO166" s="1188" t="n"/>
      <c r="AQ166" s="989" t="n"/>
      <c r="AR166" s="989" t="n"/>
      <c r="AS166" s="2" t="n"/>
    </row>
    <row r="167" customFormat="1" s="153">
      <c r="A167" s="226" t="n"/>
      <c r="C167" s="996" t="n"/>
      <c r="D167" s="996" t="n"/>
      <c r="E167" s="1188" t="n"/>
      <c r="F167" s="996" t="n"/>
      <c r="G167" s="996" t="n"/>
      <c r="H167" s="1188" t="n"/>
      <c r="I167" s="995" t="n"/>
      <c r="J167" s="996" t="n"/>
      <c r="K167" s="1188" t="n"/>
      <c r="L167" s="996" t="n"/>
      <c r="M167" s="996" t="n"/>
      <c r="N167" s="1188" t="n"/>
      <c r="O167" s="996" t="n"/>
      <c r="P167" s="996" t="n"/>
      <c r="Q167" s="1188" t="n"/>
      <c r="R167" s="996" t="n"/>
      <c r="S167" s="996" t="n"/>
      <c r="T167" s="1188" t="n"/>
      <c r="U167" s="996" t="n"/>
      <c r="V167" s="996" t="n"/>
      <c r="W167" s="1188" t="n"/>
      <c r="X167" s="996" t="n"/>
      <c r="Y167" s="996" t="n"/>
      <c r="Z167" s="1188" t="n"/>
      <c r="AA167" s="996" t="n"/>
      <c r="AB167" s="996" t="n"/>
      <c r="AC167" s="1188" t="n"/>
      <c r="AD167" s="996" t="n"/>
      <c r="AE167" s="996" t="n"/>
      <c r="AF167" s="1188" t="n"/>
      <c r="AG167" s="1226" t="n"/>
      <c r="AH167" s="996" t="n"/>
      <c r="AJ167" s="989" t="n"/>
      <c r="AK167" s="996" t="n"/>
      <c r="AL167" s="996" t="n"/>
      <c r="AM167" s="641" t="n"/>
      <c r="AN167" s="996" t="n"/>
      <c r="AO167" s="1188" t="n"/>
      <c r="AQ167" s="989" t="n"/>
      <c r="AR167" s="989" t="n"/>
      <c r="AS167" s="2" t="n"/>
    </row>
    <row r="170">
      <c r="F170" s="1215" t="n"/>
    </row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5.xml><?xml version="1.0" encoding="utf-8"?>
<worksheet xmlns="http://schemas.openxmlformats.org/spreadsheetml/2006/main">
  <sheetPr codeName="Hoja18">
    <outlinePr summaryBelow="1" summaryRight="1"/>
    <pageSetUpPr/>
  </sheetPr>
  <dimension ref="A2:AT170"/>
  <sheetViews>
    <sheetView zoomScaleNormal="100" workbookViewId="0">
      <pane xSplit="2" ySplit="13" topLeftCell="AD141" activePane="bottomRight" state="frozen"/>
      <selection activeCell="J90" sqref="J90"/>
      <selection pane="topRight" activeCell="J90" sqref="J90"/>
      <selection pane="bottomLeft" activeCell="J90" sqref="J90"/>
      <selection pane="bottomRight" activeCell="AQ1" sqref="AQ1:AS1048576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hidden="1" width="14.44140625" customWidth="1" style="989" min="3" max="3"/>
    <col hidden="1" width="8.6640625" customWidth="1" style="989" min="4" max="4"/>
    <col hidden="1" width="8.6640625" customWidth="1" style="1033" min="5" max="5"/>
    <col hidden="1" width="14.44140625" customWidth="1" style="989" min="6" max="6"/>
    <col hidden="1" width="8.6640625" customWidth="1" style="989" min="7" max="7"/>
    <col hidden="1" width="8.6640625" customWidth="1" style="1033" min="8" max="8"/>
    <col hidden="1" width="14.44140625" customWidth="1" style="989" min="9" max="9"/>
    <col hidden="1" width="8.6640625" customWidth="1" style="989" min="10" max="10"/>
    <col hidden="1"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6.109375" customWidth="1" style="989" min="18" max="18"/>
    <col width="8.6640625" customWidth="1" style="989" min="19" max="19"/>
    <col width="8.6640625" customWidth="1" style="1033" min="20" max="20"/>
    <col width="16.10937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5.6640625" customWidth="1" style="989" min="39" max="39"/>
    <col width="8.6640625" customWidth="1" style="989" min="40" max="40"/>
    <col width="8.6640625" customWidth="1" style="1033" min="41" max="41"/>
    <col width="4.6640625" customWidth="1" style="2" min="42" max="42"/>
    <col width="15.6640625" customWidth="1" style="989" min="43" max="43"/>
    <col width="7.5546875" customWidth="1" style="989" min="44" max="44"/>
    <col width="7.33203125" customWidth="1" style="2" min="45" max="46"/>
    <col width="11.44140625" customWidth="1" style="2" min="47" max="51"/>
    <col width="11.44140625" customWidth="1" style="2" min="52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PYG  ADULTO MAYOR YUMBO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  <c r="AQ2" s="2" t="n"/>
      <c r="AR2" s="2" t="n"/>
    </row>
    <row r="3" ht="21.75" customHeight="1" s="985" thickBot="1" thickTop="1">
      <c r="B3" s="523" t="inlineStr">
        <is>
          <t xml:space="preserve">DIAS DE ATENCIÓN </t>
        </is>
      </c>
      <c r="C3" s="537" t="n"/>
      <c r="D3" s="480" t="n"/>
      <c r="E3" s="1035" t="n"/>
      <c r="F3" s="537" t="n"/>
      <c r="G3" s="480" t="n"/>
      <c r="H3" s="1035" t="n"/>
      <c r="I3" s="479" t="n"/>
      <c r="J3" s="480" t="n"/>
      <c r="K3" s="1035" t="n"/>
      <c r="L3" s="479" t="n">
        <v>20</v>
      </c>
      <c r="M3" s="480" t="n"/>
      <c r="N3" s="1035" t="n"/>
      <c r="O3" s="479" t="n">
        <v>20</v>
      </c>
      <c r="P3" s="480" t="n"/>
      <c r="Q3" s="1035" t="n"/>
      <c r="R3" s="479" t="n">
        <v>20</v>
      </c>
      <c r="S3" s="480" t="n"/>
      <c r="T3" s="1035" t="n"/>
      <c r="U3" s="479" t="n">
        <v>20</v>
      </c>
      <c r="V3" s="480" t="n"/>
      <c r="W3" s="1035" t="n"/>
      <c r="X3" s="479" t="n">
        <v>20</v>
      </c>
      <c r="Y3" s="480" t="n"/>
      <c r="Z3" s="1035" t="n"/>
      <c r="AA3" s="479" t="n">
        <v>20</v>
      </c>
      <c r="AB3" s="480" t="n"/>
      <c r="AC3" s="1035" t="n"/>
      <c r="AD3" s="479" t="n">
        <v>20</v>
      </c>
      <c r="AE3" s="480" t="n"/>
      <c r="AF3" s="1035" t="n"/>
      <c r="AG3" s="479" t="n">
        <v>20</v>
      </c>
      <c r="AH3" s="480" t="n"/>
      <c r="AI3" s="1035" t="n"/>
      <c r="AJ3" s="479" t="n">
        <v>20</v>
      </c>
      <c r="AK3" s="480" t="n"/>
      <c r="AL3" s="538" t="n"/>
      <c r="AM3" s="573">
        <f>SUM(C3:AL3)</f>
        <v/>
      </c>
      <c r="AN3" s="574" t="n"/>
      <c r="AO3" s="1036" t="n"/>
      <c r="AQ3" s="623" t="n"/>
      <c r="AR3" s="623" t="n"/>
      <c r="AS3" s="623" t="n"/>
      <c r="AT3" s="824" t="n"/>
    </row>
    <row r="4" ht="24.75" customFormat="1" customHeight="1" s="215" thickBot="1" thickTop="1">
      <c r="A4" s="227" t="n"/>
      <c r="B4" s="21" t="n"/>
      <c r="C4" s="469" t="inlineStr">
        <is>
          <t>ENE</t>
        </is>
      </c>
      <c r="D4" s="470" t="inlineStr">
        <is>
          <t>x racion</t>
        </is>
      </c>
      <c r="E4" s="119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  <c r="AQ4" s="896" t="inlineStr">
        <is>
          <t>PPTO ENE</t>
        </is>
      </c>
      <c r="AR4" s="624" t="n"/>
      <c r="AS4" s="624" t="n"/>
      <c r="AT4" s="236" t="n"/>
    </row>
    <row r="5" ht="15" customFormat="1" customHeight="1" s="223" thickTop="1">
      <c r="A5" s="228" t="n"/>
      <c r="B5" s="258" t="inlineStr">
        <is>
          <t>SUMINISTRO</t>
        </is>
      </c>
      <c r="C5" s="257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  <c r="AQ5" s="299" t="n"/>
      <c r="AR5" s="299" t="n"/>
      <c r="AS5" s="299" t="n"/>
      <c r="AT5" s="823" t="n"/>
    </row>
    <row r="6" ht="15" customFormat="1" customHeight="1" s="223">
      <c r="A6" s="228" t="n"/>
      <c r="B6" s="258" t="n"/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  <c r="AQ6" s="24" t="n"/>
      <c r="AR6" s="24" t="n"/>
      <c r="AS6" s="24" t="n"/>
      <c r="AT6" s="823" t="n"/>
    </row>
    <row r="7" ht="15" customFormat="1" customHeight="1" s="223">
      <c r="A7" s="228" t="n"/>
      <c r="B7" s="258" t="n"/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  <c r="AQ7" s="24" t="n"/>
      <c r="AR7" s="24" t="n"/>
      <c r="AS7" s="24" t="n"/>
      <c r="AT7" s="823" t="n"/>
    </row>
    <row r="8" ht="15" customFormat="1" customHeight="1" s="223">
      <c r="A8" s="228" t="n"/>
      <c r="B8" s="258" t="n"/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  <c r="AQ8" s="24" t="n"/>
      <c r="AR8" s="24" t="n"/>
      <c r="AS8" s="24" t="n"/>
      <c r="AT8" s="823" t="n"/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  <c r="AQ9" s="24" t="n"/>
      <c r="AR9" s="24" t="n"/>
      <c r="AS9" s="24" t="n"/>
      <c r="AT9" s="823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  <c r="AQ10" s="24" t="n"/>
      <c r="AR10" s="24" t="n"/>
      <c r="AS10" s="24" t="n"/>
      <c r="AT10" s="823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  <c r="AQ11" s="349" t="n"/>
      <c r="AR11" s="349" t="n"/>
      <c r="AS11" s="349" t="n"/>
      <c r="AT11" s="823" t="n"/>
    </row>
    <row r="12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  <c r="AQ12" s="29">
        <f>SUM(AQ5:AQ11)</f>
        <v/>
      </c>
      <c r="AR12" s="29" t="n"/>
      <c r="AS12" s="29" t="n"/>
      <c r="AT12" s="825" t="n"/>
    </row>
    <row r="13" ht="15" customHeight="1" s="985">
      <c r="B13" s="524" t="inlineStr">
        <is>
          <t>INGRESOS BRUTOS</t>
        </is>
      </c>
      <c r="C13" s="485">
        <f>C14+C23</f>
        <v/>
      </c>
      <c r="D13" s="486" t="n"/>
      <c r="E13" s="1051" t="n"/>
      <c r="F13" s="485">
        <f>F14+F23</f>
        <v/>
      </c>
      <c r="G13" s="486" t="n"/>
      <c r="H13" s="1051" t="n"/>
      <c r="I13" s="485">
        <f>I14+I23</f>
        <v/>
      </c>
      <c r="J13" s="486" t="n"/>
      <c r="K13" s="1051" t="n"/>
      <c r="L13" s="485">
        <f>L14+L23</f>
        <v/>
      </c>
      <c r="M13" s="486" t="n"/>
      <c r="N13" s="1051" t="n"/>
      <c r="O13" s="485">
        <f>O14+O23</f>
        <v/>
      </c>
      <c r="P13" s="486" t="n"/>
      <c r="Q13" s="1051" t="n"/>
      <c r="R13" s="485">
        <f>R14+R23</f>
        <v/>
      </c>
      <c r="S13" s="486" t="n"/>
      <c r="T13" s="1051" t="n"/>
      <c r="U13" s="485">
        <f>U14+U23</f>
        <v/>
      </c>
      <c r="V13" s="486" t="n"/>
      <c r="W13" s="1051" t="n"/>
      <c r="X13" s="485">
        <f>X14+X23</f>
        <v/>
      </c>
      <c r="Y13" s="486" t="n"/>
      <c r="Z13" s="1051" t="n"/>
      <c r="AA13" s="485">
        <f>AA14+AA23</f>
        <v/>
      </c>
      <c r="AB13" s="486" t="n"/>
      <c r="AC13" s="1051" t="n"/>
      <c r="AD13" s="485">
        <f>AD14+AD23</f>
        <v/>
      </c>
      <c r="AE13" s="486" t="n"/>
      <c r="AF13" s="1051" t="n"/>
      <c r="AG13" s="485">
        <f>AG14+AG23</f>
        <v/>
      </c>
      <c r="AH13" s="486" t="n"/>
      <c r="AI13" s="1051" t="n"/>
      <c r="AJ13" s="485">
        <f>AJ14+AJ23</f>
        <v/>
      </c>
      <c r="AK13" s="486" t="n"/>
      <c r="AL13" s="508" t="n"/>
      <c r="AM13" s="580">
        <f>C13+F13+I13+L13+O13+R13+U13+X13+AA13+AD13+AG13+AJ13</f>
        <v/>
      </c>
      <c r="AN13" s="486" t="n"/>
      <c r="AO13" s="1052" t="n"/>
      <c r="AQ13" s="625">
        <f>AQ14+AQ23</f>
        <v/>
      </c>
      <c r="AR13" s="625" t="n"/>
      <c r="AS13" s="625" t="n"/>
      <c r="AT13" s="700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90">
        <f>R15</f>
        <v/>
      </c>
      <c r="S14" s="3" t="n"/>
      <c r="T14" s="1053" t="n"/>
      <c r="U14" s="90">
        <f>U15</f>
        <v/>
      </c>
      <c r="V14" s="3" t="n"/>
      <c r="W14" s="1053" t="n"/>
      <c r="X14" s="90">
        <f>X15</f>
        <v/>
      </c>
      <c r="Y14" s="763" t="n"/>
      <c r="Z14" s="1159" t="n"/>
      <c r="AA14" s="90">
        <f>AA15</f>
        <v/>
      </c>
      <c r="AB14" s="3" t="n"/>
      <c r="AC14" s="1053" t="n"/>
      <c r="AD14" s="90">
        <f>AD15</f>
        <v/>
      </c>
      <c r="AE14" s="3" t="n"/>
      <c r="AF14" s="1053" t="n"/>
      <c r="AG14" s="90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  <c r="AQ14" s="17">
        <f>AQ15</f>
        <v/>
      </c>
      <c r="AR14" s="17" t="n"/>
      <c r="AS14" s="17" t="n"/>
      <c r="AT14" s="700" t="n"/>
    </row>
    <row r="15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90">
        <f>SUM(R16:R22)</f>
        <v/>
      </c>
      <c r="S15" s="3" t="n"/>
      <c r="T15" s="1053" t="n"/>
      <c r="U15" s="90">
        <f>SUM(U16:U22)</f>
        <v/>
      </c>
      <c r="V15" s="3" t="n"/>
      <c r="W15" s="1053" t="n"/>
      <c r="X15" s="90">
        <f>SUM(X16:X22)</f>
        <v/>
      </c>
      <c r="Y15" s="763" t="n"/>
      <c r="Z15" s="1159">
        <f>X15/X15</f>
        <v/>
      </c>
      <c r="AA15" s="90">
        <f>SUM(AA16:AA22)</f>
        <v/>
      </c>
      <c r="AB15" s="3" t="n"/>
      <c r="AC15" s="1053">
        <f>AA15/AA15</f>
        <v/>
      </c>
      <c r="AD15" s="90">
        <f>SUM(AD16:AD22)</f>
        <v/>
      </c>
      <c r="AE15" s="399" t="n"/>
      <c r="AF15" s="1054">
        <f>AD15/AD15</f>
        <v/>
      </c>
      <c r="AG15" s="90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  <c r="AQ15" s="17">
        <f>SUM(AQ16:AQ22)</f>
        <v/>
      </c>
      <c r="AR15" s="17" t="n"/>
      <c r="AS15" s="17" t="n"/>
      <c r="AT15" s="700" t="n"/>
    </row>
    <row r="16" ht="15" customHeight="1" s="985">
      <c r="B16" s="262" t="inlineStr">
        <is>
          <t>SUMINISTRO</t>
        </is>
      </c>
      <c r="C16" s="103" t="n"/>
      <c r="D16" s="79" t="n"/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>
        <f>L16/L5</f>
        <v/>
      </c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 t="n"/>
      <c r="AO16" s="1056">
        <f>AM16/AM$13</f>
        <v/>
      </c>
      <c r="AQ16" s="81" t="n"/>
      <c r="AR16" s="81">
        <f>AQ16/AQ5</f>
        <v/>
      </c>
      <c r="AS16" s="81" t="n"/>
      <c r="AT16" s="823" t="n"/>
    </row>
    <row r="17" ht="15" customHeight="1" s="985">
      <c r="B17" s="104" t="n"/>
      <c r="C17" s="25" t="n"/>
      <c r="D17" s="43" t="n"/>
      <c r="E17" s="1045" t="n"/>
      <c r="F17" s="25" t="n"/>
      <c r="G17" s="43" t="n"/>
      <c r="H17" s="1045" t="n"/>
      <c r="I17" s="91" t="n"/>
      <c r="J17" s="92" t="n"/>
      <c r="K17" s="1045" t="n"/>
      <c r="L17" s="91" t="n"/>
      <c r="M17" s="92" t="n"/>
      <c r="N17" s="1045" t="n"/>
      <c r="O17" s="91" t="n"/>
      <c r="P17" s="92" t="n"/>
      <c r="Q17" s="1045" t="n"/>
      <c r="R17" s="91" t="n"/>
      <c r="S17" s="92" t="n"/>
      <c r="T17" s="1045" t="n"/>
      <c r="U17" s="91" t="n"/>
      <c r="V17" s="92" t="n"/>
      <c r="W17" s="1045" t="n"/>
      <c r="X17" s="91" t="n"/>
      <c r="Y17" s="92" t="n"/>
      <c r="Z17" s="1045" t="n"/>
      <c r="AA17" s="91" t="n"/>
      <c r="AB17" s="92" t="n"/>
      <c r="AC17" s="1045" t="n"/>
      <c r="AD17" s="91" t="n"/>
      <c r="AE17" s="92" t="n"/>
      <c r="AF17" s="1045" t="n"/>
      <c r="AG17" s="91" t="n"/>
      <c r="AH17" s="92" t="n"/>
      <c r="AI17" s="1045" t="n"/>
      <c r="AJ17" s="91" t="n"/>
      <c r="AK17" s="92" t="n"/>
      <c r="AL17" s="57" t="n"/>
      <c r="AM17" s="205">
        <f>C17+F17+I17+L17+O17+R17+U17+X17+AA17+AD17+AG17+AJ17</f>
        <v/>
      </c>
      <c r="AN17" s="43" t="n"/>
      <c r="AO17" s="1046">
        <f>AM17/AM$13</f>
        <v/>
      </c>
      <c r="AQ17" s="24" t="n"/>
      <c r="AR17" s="24" t="n"/>
      <c r="AS17" s="24" t="n"/>
      <c r="AT17" s="823" t="n"/>
    </row>
    <row r="18" ht="15" customHeight="1" s="985">
      <c r="B18" s="104" t="n"/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75" t="n"/>
      <c r="M18" s="43" t="n"/>
      <c r="N18" s="1045" t="n"/>
      <c r="O18" s="75" t="n"/>
      <c r="P18" s="43" t="n"/>
      <c r="Q18" s="1045" t="n"/>
      <c r="R18" s="75" t="n"/>
      <c r="S18" s="43" t="n"/>
      <c r="T18" s="1045" t="n"/>
      <c r="U18" s="75" t="n"/>
      <c r="V18" s="43" t="n"/>
      <c r="W18" s="1045" t="n"/>
      <c r="X18" s="75" t="n"/>
      <c r="Y18" s="43" t="n"/>
      <c r="Z18" s="1045" t="n"/>
      <c r="AA18" s="75" t="n"/>
      <c r="AB18" s="43" t="n"/>
      <c r="AC18" s="1045" t="n"/>
      <c r="AD18" s="75" t="n"/>
      <c r="AE18" s="43" t="n"/>
      <c r="AF18" s="1045" t="n"/>
      <c r="AG18" s="75" t="n"/>
      <c r="AH18" s="43" t="n"/>
      <c r="AI18" s="1045" t="n"/>
      <c r="AJ18" s="75" t="n"/>
      <c r="AK18" s="43" t="n"/>
      <c r="AL18" s="57" t="n"/>
      <c r="AM18" s="205">
        <f>C18+F18+I18+L18+O18+R18+U18+X18+AA18+AD18+AG18+AJ18</f>
        <v/>
      </c>
      <c r="AN18" s="43" t="n"/>
      <c r="AO18" s="1046">
        <f>AM18/AM$13</f>
        <v/>
      </c>
      <c r="AQ18" s="24" t="n"/>
      <c r="AR18" s="24" t="n"/>
      <c r="AS18" s="24" t="n"/>
      <c r="AT18" s="823" t="n"/>
    </row>
    <row r="19" hidden="1" ht="15" customHeight="1" s="985">
      <c r="B19" s="104" t="n"/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25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  <c r="AQ19" s="24" t="n"/>
      <c r="AR19" s="43" t="n"/>
      <c r="AS19" s="24" t="n"/>
      <c r="AT19" s="823" t="n"/>
    </row>
    <row r="20" hidden="1" ht="15" customHeight="1" s="985">
      <c r="B20" s="104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  <c r="AQ20" s="24" t="n"/>
      <c r="AR20" s="24" t="n"/>
      <c r="AS20" s="24" t="n"/>
      <c r="AT20" s="823" t="n"/>
    </row>
    <row r="21" hidden="1" ht="15" customHeight="1" s="985">
      <c r="B21" s="104" t="n"/>
      <c r="C21" s="75" t="n"/>
      <c r="D21" s="43" t="n"/>
      <c r="E21" s="1045" t="n"/>
      <c r="F21" s="25" t="n"/>
      <c r="G21" s="43" t="n"/>
      <c r="H21" s="1045" t="n"/>
      <c r="I21" s="75" t="n"/>
      <c r="J21" s="43" t="n"/>
      <c r="K21" s="1045" t="n"/>
      <c r="L21" s="25" t="n"/>
      <c r="M21" s="43" t="n"/>
      <c r="N21" s="1045" t="n"/>
      <c r="O21" s="25" t="n"/>
      <c r="P21" s="43" t="n"/>
      <c r="Q21" s="1045" t="n"/>
      <c r="R21" s="25" t="n"/>
      <c r="S21" s="43" t="n"/>
      <c r="T21" s="1045" t="n"/>
      <c r="U21" s="25" t="n"/>
      <c r="V21" s="43" t="n"/>
      <c r="W21" s="1045" t="n"/>
      <c r="X21" s="25" t="n"/>
      <c r="Y21" s="43" t="n"/>
      <c r="Z21" s="1045" t="n"/>
      <c r="AA21" s="25" t="n"/>
      <c r="AB21" s="43" t="n"/>
      <c r="AC21" s="1045" t="n"/>
      <c r="AD21" s="25" t="n"/>
      <c r="AE21" s="43" t="n"/>
      <c r="AF21" s="1045" t="n"/>
      <c r="AG21" s="25" t="n"/>
      <c r="AH21" s="43" t="n"/>
      <c r="AI21" s="1045" t="n"/>
      <c r="AJ21" s="25" t="n"/>
      <c r="AK21" s="43" t="n"/>
      <c r="AL21" s="57" t="n"/>
      <c r="AM21" s="205">
        <f>C21+F21+I21+L21+O21+R21+U21+X21+AA21+AD21+AG21+AJ21</f>
        <v/>
      </c>
      <c r="AN21" s="43" t="n"/>
      <c r="AO21" s="1046" t="n"/>
      <c r="AQ21" s="24" t="n"/>
      <c r="AR21" s="24" t="n"/>
      <c r="AS21" s="24" t="n"/>
      <c r="AT21" s="823" t="n"/>
    </row>
    <row r="22" hidden="1" ht="15" customHeight="1" s="985">
      <c r="B22" s="30" t="n"/>
      <c r="C22" s="51" t="n"/>
      <c r="D22" s="42" t="n"/>
      <c r="E22" s="1057" t="n"/>
      <c r="F22" s="22" t="n"/>
      <c r="G22" s="42" t="n"/>
      <c r="H22" s="1057" t="n"/>
      <c r="I22" s="51" t="n"/>
      <c r="J22" s="42" t="n"/>
      <c r="K22" s="1057" t="n"/>
      <c r="L22" s="448" t="n"/>
      <c r="M22" s="42" t="n"/>
      <c r="N22" s="1057" t="n"/>
      <c r="O22" s="22" t="n"/>
      <c r="P22" s="42" t="n"/>
      <c r="Q22" s="1057" t="n"/>
      <c r="R22" s="22" t="n"/>
      <c r="S22" s="42" t="n"/>
      <c r="T22" s="1057" t="n"/>
      <c r="U22" s="22" t="n"/>
      <c r="V22" s="42" t="n"/>
      <c r="W22" s="1057" t="n"/>
      <c r="X22" s="22" t="n"/>
      <c r="Y22" s="42" t="n"/>
      <c r="Z22" s="1057" t="n"/>
      <c r="AA22" s="22" t="n"/>
      <c r="AB22" s="42" t="n"/>
      <c r="AC22" s="1057" t="n"/>
      <c r="AD22" s="22" t="n"/>
      <c r="AE22" s="42" t="n"/>
      <c r="AF22" s="1057" t="n"/>
      <c r="AG22" s="22" t="n"/>
      <c r="AH22" s="42" t="n"/>
      <c r="AI22" s="1057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058" t="n"/>
      <c r="AQ22" s="23" t="n"/>
      <c r="AR22" s="23" t="n"/>
      <c r="AS22" s="23" t="n"/>
      <c r="AT22" s="823" t="n"/>
    </row>
    <row r="23" hidden="1" outlineLevel="1" ht="15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90">
        <f>R24</f>
        <v/>
      </c>
      <c r="S23" s="3" t="n"/>
      <c r="T23" s="1053" t="n"/>
      <c r="U23" s="90">
        <f>U24</f>
        <v/>
      </c>
      <c r="V23" s="3" t="n"/>
      <c r="W23" s="1053" t="n"/>
      <c r="X23" s="90">
        <f>X24</f>
        <v/>
      </c>
      <c r="Y23" s="763" t="n"/>
      <c r="Z23" s="1159" t="n"/>
      <c r="AA23" s="90">
        <f>AA24</f>
        <v/>
      </c>
      <c r="AB23" s="3" t="n"/>
      <c r="AC23" s="1053" t="n"/>
      <c r="AD23" s="90" t="n"/>
      <c r="AE23" s="3" t="n"/>
      <c r="AF23" s="1053" t="n"/>
      <c r="AG23" s="90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  <c r="AQ23" s="17" t="n"/>
      <c r="AR23" s="17" t="n"/>
      <c r="AS23" s="17" t="n"/>
      <c r="AT23" s="700" t="n"/>
    </row>
    <row r="24" hidden="1" outlineLevel="1" ht="15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90">
        <f>SUM(R25:R27)</f>
        <v/>
      </c>
      <c r="S24" s="3" t="n"/>
      <c r="T24" s="1053" t="n"/>
      <c r="U24" s="90">
        <f>SUM(U25:U27)</f>
        <v/>
      </c>
      <c r="V24" s="3" t="n"/>
      <c r="W24" s="1053" t="n"/>
      <c r="X24" s="90">
        <f>SUM(X25:X27)</f>
        <v/>
      </c>
      <c r="Y24" s="763" t="n"/>
      <c r="Z24" s="1159" t="n"/>
      <c r="AA24" s="90">
        <f>SUM(AA25:AA27)</f>
        <v/>
      </c>
      <c r="AB24" s="3" t="n"/>
      <c r="AC24" s="1053" t="n"/>
      <c r="AD24" s="90">
        <f>SUM(AD25:AD27)</f>
        <v/>
      </c>
      <c r="AE24" s="3" t="n"/>
      <c r="AF24" s="1053" t="n"/>
      <c r="AG24" s="90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  <c r="AQ24" s="17" t="n"/>
      <c r="AR24" s="17" t="n"/>
      <c r="AS24" s="17" t="n"/>
      <c r="AT24" s="700" t="n"/>
    </row>
    <row r="25" hidden="1" outlineLevel="1" ht="15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  <c r="AQ25" s="33" t="n"/>
      <c r="AR25" s="33" t="n"/>
      <c r="AS25" s="33" t="n"/>
      <c r="AT25" s="823" t="n"/>
    </row>
    <row r="26" hidden="1" outlineLevel="1" ht="15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  <c r="AQ26" s="33" t="n"/>
      <c r="AR26" s="33" t="n"/>
      <c r="AS26" s="33" t="n"/>
      <c r="AT26" s="823" t="n"/>
    </row>
    <row r="27" hidden="1" outlineLevel="1" ht="15" customHeight="1" s="985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  <c r="AQ27" s="33" t="n"/>
      <c r="AR27" s="33" t="n"/>
      <c r="AS27" s="33" t="n"/>
      <c r="AT27" s="823" t="n"/>
    </row>
    <row r="28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90">
        <f>+R29</f>
        <v/>
      </c>
      <c r="S28" s="3" t="n"/>
      <c r="T28" s="1053" t="n"/>
      <c r="U28" s="90">
        <f>+U29</f>
        <v/>
      </c>
      <c r="V28" s="3" t="n"/>
      <c r="W28" s="1053" t="n"/>
      <c r="X28" s="90">
        <f>+X29</f>
        <v/>
      </c>
      <c r="Y28" s="763" t="n"/>
      <c r="Z28" s="1159" t="n"/>
      <c r="AA28" s="90">
        <f>+AA29</f>
        <v/>
      </c>
      <c r="AB28" s="3" t="n"/>
      <c r="AC28" s="1053" t="n"/>
      <c r="AD28" s="90">
        <f>+AD29</f>
        <v/>
      </c>
      <c r="AE28" s="3" t="n"/>
      <c r="AF28" s="1053" t="n"/>
      <c r="AG28" s="90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  <c r="AQ28" s="17">
        <f>+AQ29</f>
        <v/>
      </c>
      <c r="AR28" s="17" t="n"/>
      <c r="AS28" s="17" t="n"/>
      <c r="AT28" s="700" t="n"/>
    </row>
    <row r="29" ht="15" customHeight="1" s="985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SUM(L30:L37)</f>
        <v/>
      </c>
      <c r="M29" s="3" t="n"/>
      <c r="N29" s="1054">
        <f>L29/L13</f>
        <v/>
      </c>
      <c r="O29" s="49">
        <f>SUM(O30:O41)</f>
        <v/>
      </c>
      <c r="P29" s="3" t="n"/>
      <c r="Q29" s="1053" t="n"/>
      <c r="R29" s="90">
        <f>SUM(R30:R37)</f>
        <v/>
      </c>
      <c r="S29" s="3" t="n"/>
      <c r="T29" s="1053">
        <f>R29/R13</f>
        <v/>
      </c>
      <c r="U29" s="90">
        <f>SUM(U30:U37)</f>
        <v/>
      </c>
      <c r="V29" s="3" t="n"/>
      <c r="W29" s="1053">
        <f>U29/U13</f>
        <v/>
      </c>
      <c r="X29" s="90">
        <f>SUM(X30:X37)</f>
        <v/>
      </c>
      <c r="Y29" s="763" t="n"/>
      <c r="Z29" s="1159">
        <f>X29/X13</f>
        <v/>
      </c>
      <c r="AA29" s="90">
        <f>SUM(AA30:AA37)</f>
        <v/>
      </c>
      <c r="AB29" s="3" t="n"/>
      <c r="AC29" s="1053">
        <f>AA29/AA13</f>
        <v/>
      </c>
      <c r="AD29" s="90">
        <f>SUM(AD30:AD37)</f>
        <v/>
      </c>
      <c r="AE29" s="3" t="n"/>
      <c r="AF29" s="1053">
        <f>AD29/AD13</f>
        <v/>
      </c>
      <c r="AG29" s="90">
        <f>SUM(AG30:AG37)</f>
        <v/>
      </c>
      <c r="AH29" s="3" t="n"/>
      <c r="AI29" s="1053">
        <f>AG29/AG13</f>
        <v/>
      </c>
      <c r="AJ29" s="49">
        <f>SUM(AJ30:AJ37)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  <c r="AQ29" s="17">
        <f>SUM(AQ30:AQ37)</f>
        <v/>
      </c>
      <c r="AR29" s="17" t="n"/>
      <c r="AS29" s="17" t="n"/>
      <c r="AT29" s="700" t="n"/>
    </row>
    <row r="30" outlineLevel="1" ht="15" customHeight="1" s="985">
      <c r="A30" s="229" t="n"/>
      <c r="B30" s="262" t="inlineStr">
        <is>
          <t>Prohospitales 1%</t>
        </is>
      </c>
      <c r="C30" s="1061" t="n"/>
      <c r="D30" s="79" t="n"/>
      <c r="E30" s="1055" t="n"/>
      <c r="F30" s="1061">
        <f>F13*1%</f>
        <v/>
      </c>
      <c r="G30" s="79" t="n"/>
      <c r="H30" s="1055" t="n"/>
      <c r="I30" s="1061">
        <f>I13*1%</f>
        <v/>
      </c>
      <c r="J30" s="79" t="n"/>
      <c r="K30" s="1055" t="n"/>
      <c r="L30" s="1061">
        <f>L13*1%</f>
        <v/>
      </c>
      <c r="M30" s="79" t="n"/>
      <c r="N30" s="1055" t="n"/>
      <c r="O30" s="1061">
        <f>O13*1%</f>
        <v/>
      </c>
      <c r="P30" s="79" t="n"/>
      <c r="Q30" s="1055" t="n"/>
      <c r="R30" s="1061">
        <f>R13*1%</f>
        <v/>
      </c>
      <c r="S30" s="79" t="n"/>
      <c r="T30" s="1055" t="n"/>
      <c r="U30" s="1061">
        <f>U13*1%</f>
        <v/>
      </c>
      <c r="V30" s="79" t="n"/>
      <c r="W30" s="1055" t="n"/>
      <c r="X30" s="1061">
        <f>X13*1%</f>
        <v/>
      </c>
      <c r="Y30" s="79" t="n"/>
      <c r="Z30" s="1055" t="n"/>
      <c r="AA30" s="1061">
        <f>AA13*1%</f>
        <v/>
      </c>
      <c r="AB30" s="79" t="n"/>
      <c r="AC30" s="1055" t="n"/>
      <c r="AD30" s="1061">
        <f>AD13*1%</f>
        <v/>
      </c>
      <c r="AE30" s="79" t="n"/>
      <c r="AF30" s="1055" t="n"/>
      <c r="AG30" s="1061">
        <f>AG13*1%</f>
        <v/>
      </c>
      <c r="AH30" s="79" t="n"/>
      <c r="AI30" s="1055" t="n"/>
      <c r="AJ30" s="1061">
        <f>AJ13*1%</f>
        <v/>
      </c>
      <c r="AK30" s="79" t="n"/>
      <c r="AL30" s="80" t="n"/>
      <c r="AM30" s="212">
        <f>C30+F30+I30+L30+O30+R30+U30+X30+AA30+AD30+AG30+AJ30</f>
        <v/>
      </c>
      <c r="AN30" s="79" t="n"/>
      <c r="AO30" s="1056" t="n"/>
      <c r="AP30" s="108" t="n"/>
      <c r="AQ30" s="739" t="n"/>
      <c r="AR30" s="739" t="n"/>
      <c r="AS30" s="739" t="n"/>
      <c r="AT30" s="823" t="n"/>
    </row>
    <row r="31" outlineLevel="1" ht="15" customHeight="1" s="985">
      <c r="B31" s="105" t="inlineStr">
        <is>
          <t>Rete Ica 0,6%</t>
        </is>
      </c>
      <c r="C31" s="1062" t="n"/>
      <c r="D31" s="43" t="n"/>
      <c r="E31" s="1045" t="n"/>
      <c r="F31" s="1062">
        <f>F13*0.6%</f>
        <v/>
      </c>
      <c r="G31" s="43" t="n"/>
      <c r="H31" s="1045" t="n"/>
      <c r="I31" s="1062">
        <f>I13*0.6%</f>
        <v/>
      </c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  <c r="AQ31" s="740" t="n"/>
      <c r="AR31" s="740" t="n"/>
      <c r="AS31" s="740" t="n"/>
      <c r="AT31" s="823" t="n"/>
    </row>
    <row r="32" outlineLevel="1" ht="15" customHeight="1" s="985">
      <c r="B32" s="105" t="inlineStr">
        <is>
          <t>Procultura 0.5%</t>
        </is>
      </c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>
        <f>L13*0.5%</f>
        <v/>
      </c>
      <c r="M32" s="43" t="n"/>
      <c r="N32" s="1045" t="n"/>
      <c r="O32" s="1062">
        <f>O13*0.5%</f>
        <v/>
      </c>
      <c r="P32" s="43" t="n"/>
      <c r="Q32" s="1045" t="n"/>
      <c r="R32" s="1062">
        <f>R13*0.5%</f>
        <v/>
      </c>
      <c r="S32" s="43" t="n"/>
      <c r="T32" s="1045" t="n"/>
      <c r="U32" s="1062">
        <f>U13*0.5%</f>
        <v/>
      </c>
      <c r="V32" s="43" t="n"/>
      <c r="W32" s="1045" t="n"/>
      <c r="X32" s="1062">
        <f>X13*0.5%</f>
        <v/>
      </c>
      <c r="Y32" s="43" t="n"/>
      <c r="Z32" s="1045" t="n"/>
      <c r="AA32" s="1062">
        <f>AA13*0.5%</f>
        <v/>
      </c>
      <c r="AB32" s="43" t="n"/>
      <c r="AC32" s="1045" t="n"/>
      <c r="AD32" s="1062">
        <f>AD13*0.5%</f>
        <v/>
      </c>
      <c r="AE32" s="43" t="n"/>
      <c r="AF32" s="1045" t="n"/>
      <c r="AG32" s="1062">
        <f>AG13*0.5%</f>
        <v/>
      </c>
      <c r="AH32" s="43" t="n"/>
      <c r="AI32" s="1045" t="n"/>
      <c r="AJ32" s="1062">
        <f>AJ13*0.5%</f>
        <v/>
      </c>
      <c r="AK32" s="43" t="n"/>
      <c r="AL32" s="57" t="n"/>
      <c r="AM32" s="205">
        <f>C32+F32+I32+L32+O32+R32+U32+X32+AA32+AD32+AG32+AJ32</f>
        <v/>
      </c>
      <c r="AN32" s="43" t="n"/>
      <c r="AO32" s="1046" t="n"/>
      <c r="AQ32" s="24" t="n"/>
      <c r="AR32" s="24" t="n"/>
      <c r="AS32" s="24" t="n"/>
      <c r="AT32" s="823" t="n"/>
    </row>
    <row r="33" outlineLevel="1" ht="15" customHeight="1" s="985">
      <c r="B33" s="105" t="inlineStr">
        <is>
          <t>Adulto Mayor 2%</t>
        </is>
      </c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1062">
        <f>L13*2%</f>
        <v/>
      </c>
      <c r="M33" s="43" t="n"/>
      <c r="N33" s="1045" t="n"/>
      <c r="O33" s="1062">
        <f>O13*2%</f>
        <v/>
      </c>
      <c r="P33" s="43" t="n"/>
      <c r="Q33" s="1045" t="n"/>
      <c r="R33" s="1062">
        <f>R13*2%</f>
        <v/>
      </c>
      <c r="S33" s="43" t="n"/>
      <c r="T33" s="1045" t="n"/>
      <c r="U33" s="1062">
        <f>U13*2%</f>
        <v/>
      </c>
      <c r="V33" s="43" t="n"/>
      <c r="W33" s="1045" t="n"/>
      <c r="X33" s="1062">
        <f>X13*2%</f>
        <v/>
      </c>
      <c r="Y33" s="43" t="n"/>
      <c r="Z33" s="1045" t="n"/>
      <c r="AA33" s="1062">
        <f>AA13*2%</f>
        <v/>
      </c>
      <c r="AB33" s="43" t="n"/>
      <c r="AC33" s="1045" t="n"/>
      <c r="AD33" s="1062">
        <f>AD13*2%</f>
        <v/>
      </c>
      <c r="AE33" s="43" t="n"/>
      <c r="AF33" s="1045" t="n"/>
      <c r="AG33" s="1062">
        <f>AG13*2%</f>
        <v/>
      </c>
      <c r="AH33" s="43" t="n"/>
      <c r="AI33" s="1045" t="n"/>
      <c r="AJ33" s="1062">
        <f>AJ13*2%</f>
        <v/>
      </c>
      <c r="AK33" s="43" t="n"/>
      <c r="AL33" s="57" t="n"/>
      <c r="AM33" s="205">
        <f>C33+F33+I33+L33+O33+R33+U33+X33+AA33+AD33+AG33+AJ33</f>
        <v/>
      </c>
      <c r="AN33" s="43" t="n"/>
      <c r="AO33" s="1046" t="n"/>
      <c r="AQ33" s="24" t="n"/>
      <c r="AR33" s="24" t="n"/>
      <c r="AS33" s="24" t="n"/>
      <c r="AT33" s="823" t="n"/>
    </row>
    <row r="34" outlineLevel="1" ht="15" customHeight="1" s="985">
      <c r="B34" s="105" t="inlineStr">
        <is>
          <t>Prodeporte 2,5%</t>
        </is>
      </c>
      <c r="C34" s="25">
        <f>(C$13*10%)*3.5%</f>
        <v/>
      </c>
      <c r="D34" s="43" t="n"/>
      <c r="E34" s="1045" t="n"/>
      <c r="F34" s="25">
        <f>F13*2.5%</f>
        <v/>
      </c>
      <c r="G34" s="43" t="n"/>
      <c r="H34" s="1045" t="n"/>
      <c r="I34" s="25">
        <f>I13*2.5%</f>
        <v/>
      </c>
      <c r="J34" s="43" t="n"/>
      <c r="K34" s="1045" t="n"/>
      <c r="L34" s="25">
        <f>L13*2.5%</f>
        <v/>
      </c>
      <c r="M34" s="43" t="n"/>
      <c r="N34" s="1045" t="n"/>
      <c r="O34" s="25">
        <f>O13*2.5%</f>
        <v/>
      </c>
      <c r="P34" s="43" t="n"/>
      <c r="Q34" s="1045" t="n"/>
      <c r="R34" s="25">
        <f>R13*2.5%</f>
        <v/>
      </c>
      <c r="S34" s="43" t="n"/>
      <c r="T34" s="1045" t="n"/>
      <c r="U34" s="25">
        <f>U13*2.5%</f>
        <v/>
      </c>
      <c r="V34" s="43" t="n"/>
      <c r="W34" s="1045" t="n"/>
      <c r="X34" s="25">
        <f>X13*2.5%</f>
        <v/>
      </c>
      <c r="Y34" s="43" t="n"/>
      <c r="Z34" s="1045" t="n"/>
      <c r="AA34" s="25">
        <f>AA13*2.5%</f>
        <v/>
      </c>
      <c r="AB34" s="43" t="n"/>
      <c r="AC34" s="1045" t="n"/>
      <c r="AD34" s="25">
        <f>AD13*2.5%</f>
        <v/>
      </c>
      <c r="AE34" s="43" t="n"/>
      <c r="AF34" s="1045" t="n"/>
      <c r="AG34" s="25">
        <f>AG13*2.5%</f>
        <v/>
      </c>
      <c r="AH34" s="43" t="n"/>
      <c r="AI34" s="1045" t="n"/>
      <c r="AJ34" s="25">
        <f>AJ13*2.5%</f>
        <v/>
      </c>
      <c r="AK34" s="43" t="n"/>
      <c r="AL34" s="57" t="n"/>
      <c r="AM34" s="205">
        <f>C34+F34+I34+L34+O34+R34+U34+X34+AA34+AD34+AG34+AJ34</f>
        <v/>
      </c>
      <c r="AN34" s="43" t="n"/>
      <c r="AO34" s="1046" t="n"/>
      <c r="AQ34" s="24" t="n"/>
      <c r="AR34" s="24" t="n"/>
      <c r="AS34" s="24" t="n"/>
      <c r="AT34" s="823" t="n"/>
    </row>
    <row r="35" outlineLevel="1" ht="15" customHeight="1" s="985">
      <c r="A35" s="229" t="n"/>
      <c r="B35" s="335" t="inlineStr">
        <is>
          <t>2% Juzgado de Familia</t>
        </is>
      </c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>
        <f>L13*2%</f>
        <v/>
      </c>
      <c r="M35" s="92" t="n"/>
      <c r="N35" s="1063" t="n"/>
      <c r="O35" s="91">
        <f>O13*2%</f>
        <v/>
      </c>
      <c r="P35" s="92" t="n"/>
      <c r="Q35" s="1063" t="n"/>
      <c r="R35" s="91">
        <f>R13*2%</f>
        <v/>
      </c>
      <c r="S35" s="92" t="n"/>
      <c r="T35" s="1063" t="n"/>
      <c r="U35" s="91">
        <f>U13*2%</f>
        <v/>
      </c>
      <c r="V35" s="92" t="n"/>
      <c r="W35" s="1063" t="n"/>
      <c r="X35" s="91">
        <f>X13*2%</f>
        <v/>
      </c>
      <c r="Y35" s="92" t="n"/>
      <c r="Z35" s="1063" t="n"/>
      <c r="AA35" s="91">
        <f>AA13*2%</f>
        <v/>
      </c>
      <c r="AB35" s="92" t="n"/>
      <c r="AC35" s="1063" t="n"/>
      <c r="AD35" s="91">
        <f>AD13*2%</f>
        <v/>
      </c>
      <c r="AE35" s="92" t="n"/>
      <c r="AF35" s="1063" t="n"/>
      <c r="AG35" s="91">
        <f>AG13*2%</f>
        <v/>
      </c>
      <c r="AH35" s="92" t="n"/>
      <c r="AI35" s="1063" t="n"/>
      <c r="AJ35" s="91">
        <f>AJ13*2%</f>
        <v/>
      </c>
      <c r="AK35" s="92" t="n"/>
      <c r="AL35" s="88" t="n"/>
      <c r="AM35" s="284">
        <f>C35+F35+I35+L35+O35+R35+U35+X35+AA35+AD35+AG35+AJ35</f>
        <v/>
      </c>
      <c r="AN35" s="92" t="n"/>
      <c r="AO35" s="1064" t="n"/>
      <c r="AP35" s="108" t="n"/>
      <c r="AQ35" s="133" t="n"/>
      <c r="AR35" s="133" t="n"/>
      <c r="AS35" s="133" t="n"/>
      <c r="AT35" s="823" t="n"/>
    </row>
    <row r="36" outlineLevel="1" ht="15" customHeight="1" s="985">
      <c r="A36" s="229" t="n"/>
      <c r="B36" s="105" t="inlineStr">
        <is>
          <t>0,5% Propacifico</t>
        </is>
      </c>
      <c r="C36" s="835" t="n"/>
      <c r="D36" s="836" t="n"/>
      <c r="E36" s="1227" t="n"/>
      <c r="F36" s="835" t="n"/>
      <c r="G36" s="836" t="n"/>
      <c r="H36" s="1227" t="n"/>
      <c r="I36" s="25" t="n"/>
      <c r="J36" s="43" t="n"/>
      <c r="K36" s="1045" t="n"/>
      <c r="L36" s="25">
        <f>L14*0.5%</f>
        <v/>
      </c>
      <c r="M36" s="43" t="n"/>
      <c r="N36" s="1045" t="n"/>
      <c r="O36" s="25">
        <f>O14*0.5%</f>
        <v/>
      </c>
      <c r="P36" s="43" t="n"/>
      <c r="Q36" s="1045" t="n"/>
      <c r="R36" s="25">
        <f>R14*0.5%</f>
        <v/>
      </c>
      <c r="S36" s="43" t="n"/>
      <c r="T36" s="1045" t="n"/>
      <c r="U36" s="25">
        <f>U14*0.5%</f>
        <v/>
      </c>
      <c r="V36" s="43" t="n"/>
      <c r="W36" s="1045" t="n"/>
      <c r="X36" s="25">
        <f>X14*0.5%</f>
        <v/>
      </c>
      <c r="Y36" s="43" t="n"/>
      <c r="Z36" s="1045" t="n"/>
      <c r="AA36" s="25">
        <f>AA14*0.5%</f>
        <v/>
      </c>
      <c r="AB36" s="43" t="n"/>
      <c r="AC36" s="1045" t="n"/>
      <c r="AD36" s="25">
        <f>AD14*0.5%</f>
        <v/>
      </c>
      <c r="AE36" s="43" t="n"/>
      <c r="AF36" s="1045" t="n"/>
      <c r="AG36" s="25">
        <f>AG14*0.5%</f>
        <v/>
      </c>
      <c r="AH36" s="43" t="n"/>
      <c r="AI36" s="1045" t="n"/>
      <c r="AJ36" s="25">
        <f>AJ14*0.5%</f>
        <v/>
      </c>
      <c r="AK36" s="43" t="n"/>
      <c r="AL36" s="57" t="n"/>
      <c r="AM36" s="205">
        <f>C36+F36+I36+L36+O36+R36+U36+X36+AA36+AD36+AG36+AJ36</f>
        <v/>
      </c>
      <c r="AN36" s="43" t="n"/>
      <c r="AO36" s="1046" t="n"/>
      <c r="AP36" s="108" t="n"/>
      <c r="AQ36" s="24" t="n"/>
      <c r="AR36" s="24" t="n"/>
      <c r="AS36" s="24" t="n"/>
      <c r="AT36" s="823" t="n"/>
    </row>
    <row r="37" outlineLevel="1" ht="15" customHeight="1" s="985">
      <c r="B37" s="30" t="inlineStr">
        <is>
          <t>Impuesto de timbre 1%</t>
        </is>
      </c>
      <c r="C37" s="838" t="n"/>
      <c r="D37" s="839" t="n"/>
      <c r="E37" s="1228" t="n"/>
      <c r="F37" s="838" t="n"/>
      <c r="G37" s="839" t="n"/>
      <c r="H37" s="1228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>
        <f>C37+F37+I37+L37+O37+R37+U37+X37+AA37+AD37+AG37+AJ37</f>
        <v/>
      </c>
      <c r="AN37" s="42" t="n"/>
      <c r="AO37" s="1058" t="n"/>
      <c r="AQ37" s="23" t="n"/>
      <c r="AR37" s="23" t="n"/>
      <c r="AS37" s="23" t="n"/>
      <c r="AT37" s="823" t="n"/>
    </row>
    <row r="38" hidden="1" outlineLevel="1" ht="15" customHeight="1" s="985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  <c r="AQ38" s="23" t="n"/>
      <c r="AR38" s="23" t="n"/>
      <c r="AS38" s="23" t="n"/>
      <c r="AT38" s="823" t="n"/>
    </row>
    <row r="39" hidden="1" outlineLevel="1" ht="15" customHeight="1" s="985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  <c r="AQ39" s="23" t="n"/>
      <c r="AR39" s="23" t="n"/>
      <c r="AS39" s="23" t="n"/>
      <c r="AT39" s="823" t="n"/>
    </row>
    <row r="40" hidden="1" outlineLevel="1" ht="15" customHeight="1" s="985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  <c r="AQ40" s="23" t="n"/>
      <c r="AR40" s="23" t="n"/>
      <c r="AS40" s="23" t="n"/>
      <c r="AT40" s="823" t="n"/>
    </row>
    <row r="41" hidden="1" outlineLevel="1" ht="15" customHeight="1" s="985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  <c r="AQ41" s="23" t="n"/>
      <c r="AR41" s="23" t="n"/>
      <c r="AS41" s="23" t="n"/>
      <c r="AT41" s="823" t="n"/>
    </row>
    <row r="42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1065" t="n"/>
      <c r="F42" s="488">
        <f>+F14+F23-F28</f>
        <v/>
      </c>
      <c r="G42" s="489" t="n"/>
      <c r="H42" s="1065" t="n"/>
      <c r="I42" s="488">
        <f>+I14+I23-I28</f>
        <v/>
      </c>
      <c r="J42" s="489" t="n"/>
      <c r="K42" s="1065" t="n"/>
      <c r="L42" s="488">
        <f>+L14+L23-L28</f>
        <v/>
      </c>
      <c r="M42" s="489" t="n"/>
      <c r="N42" s="1065" t="n"/>
      <c r="O42" s="488">
        <f>+O14+O23-O28</f>
        <v/>
      </c>
      <c r="P42" s="489" t="n"/>
      <c r="Q42" s="1065" t="n"/>
      <c r="R42" s="488">
        <f>+R14+R23-R28</f>
        <v/>
      </c>
      <c r="S42" s="489" t="n"/>
      <c r="T42" s="1065" t="n"/>
      <c r="U42" s="488">
        <f>+U14+U23-U28</f>
        <v/>
      </c>
      <c r="V42" s="489" t="n"/>
      <c r="W42" s="1065" t="n"/>
      <c r="X42" s="488">
        <f>+X14+X23-X28</f>
        <v/>
      </c>
      <c r="Y42" s="489" t="n"/>
      <c r="Z42" s="1065" t="n"/>
      <c r="AA42" s="488">
        <f>+AA14+AA23-AA28</f>
        <v/>
      </c>
      <c r="AB42" s="489" t="n"/>
      <c r="AC42" s="1065" t="n"/>
      <c r="AD42" s="488">
        <f>+AD14+AD23-AD28</f>
        <v/>
      </c>
      <c r="AE42" s="489" t="n"/>
      <c r="AF42" s="1065" t="n"/>
      <c r="AG42" s="488">
        <f>+AG14+AG23-AG28</f>
        <v/>
      </c>
      <c r="AH42" s="489" t="n"/>
      <c r="AI42" s="1065" t="n"/>
      <c r="AJ42" s="488">
        <f>+AJ14+AJ23-AJ28</f>
        <v/>
      </c>
      <c r="AK42" s="489" t="n"/>
      <c r="AL42" s="510" t="n"/>
      <c r="AM42" s="578">
        <f>C42+F42+I42+L42+O42+R42+U42+X42+AA42+AD42+AG42+AJ42</f>
        <v/>
      </c>
      <c r="AN42" s="489" t="n"/>
      <c r="AO42" s="1066" t="n"/>
      <c r="AQ42" s="626">
        <f>+AQ14+AQ23-AQ28</f>
        <v/>
      </c>
      <c r="AR42" s="626" t="n"/>
      <c r="AS42" s="626" t="n"/>
      <c r="AT42" s="700" t="n"/>
    </row>
    <row r="43" ht="15" customHeight="1" s="985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229">
        <f>(L46+L61)/(L13)</f>
        <v/>
      </c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7" t="n"/>
      <c r="AA43" s="2" t="n"/>
      <c r="AB43" s="2" t="n"/>
      <c r="AC43" s="1067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229">
        <f>(AM46+AM61)/(AM13)</f>
        <v/>
      </c>
      <c r="AQ43" s="136" t="n"/>
      <c r="AR43" s="2" t="n"/>
      <c r="AS43" s="1225">
        <f>(AQ46+AQ61)/(AQ13-AQ20-AQ21-AQ22)</f>
        <v/>
      </c>
      <c r="AT43" s="1102" t="n"/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>
        <f>F44/F$13</f>
        <v/>
      </c>
      <c r="I44" s="491">
        <f>+I45+I60+I78</f>
        <v/>
      </c>
      <c r="J44" s="492" t="n"/>
      <c r="K44" s="1069">
        <f>I44/I$13</f>
        <v/>
      </c>
      <c r="L44" s="491">
        <f>+L45+L60+L78</f>
        <v/>
      </c>
      <c r="M44" s="492" t="n"/>
      <c r="N44" s="1069" t="n"/>
      <c r="O44" s="491">
        <f>+O45+O60+O78</f>
        <v/>
      </c>
      <c r="P44" s="492" t="n"/>
      <c r="Q44" s="1069">
        <f>O44/O$13</f>
        <v/>
      </c>
      <c r="R44" s="491">
        <f>+R45+R60+R78</f>
        <v/>
      </c>
      <c r="S44" s="492" t="n"/>
      <c r="T44" s="1069">
        <f>R44/R$13</f>
        <v/>
      </c>
      <c r="U44" s="491">
        <f>+U45+U60+U78</f>
        <v/>
      </c>
      <c r="V44" s="492" t="n"/>
      <c r="W44" s="1069">
        <f>U44/U$13</f>
        <v/>
      </c>
      <c r="X44" s="491">
        <f>+X45+X60+X78</f>
        <v/>
      </c>
      <c r="Y44" s="492" t="n"/>
      <c r="Z44" s="1069">
        <f>X44/X$13</f>
        <v/>
      </c>
      <c r="AA44" s="491">
        <f>+AA45+AA60+AA78</f>
        <v/>
      </c>
      <c r="AB44" s="492" t="n"/>
      <c r="AC44" s="1069">
        <f>AA44/AA$13</f>
        <v/>
      </c>
      <c r="AD44" s="491">
        <f>+AD45+AD60+AD78</f>
        <v/>
      </c>
      <c r="AE44" s="492" t="n"/>
      <c r="AF44" s="1069">
        <f>AD44/AD$13</f>
        <v/>
      </c>
      <c r="AG44" s="491">
        <f>+AG45+AG60+AG78</f>
        <v/>
      </c>
      <c r="AH44" s="492" t="n"/>
      <c r="AI44" s="1069">
        <f>AG44/AG$13</f>
        <v/>
      </c>
      <c r="AJ44" s="491">
        <f>+AJ45+AJ60+AJ78</f>
        <v/>
      </c>
      <c r="AK44" s="492" t="n"/>
      <c r="AL44" s="511">
        <f>AJ44/AJ$13</f>
        <v/>
      </c>
      <c r="AM44" s="583">
        <f>C44+F44+I44+L44+O44+R44+U44+X44+AA44+AD44+AG44+AJ44</f>
        <v/>
      </c>
      <c r="AN44" s="492" t="n"/>
      <c r="AO44" s="1070">
        <f>AM44/AM$13</f>
        <v/>
      </c>
      <c r="AQ44" s="627">
        <f>+AQ45+AQ60+AQ78</f>
        <v/>
      </c>
      <c r="AR44" s="627" t="n"/>
      <c r="AS44" s="1104">
        <f>AQ44/AQ$13</f>
        <v/>
      </c>
      <c r="AT44" s="1100" t="n"/>
    </row>
    <row r="45" ht="15" customHeight="1" s="985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 t="n"/>
      <c r="O45" s="49">
        <f>+O46+O57</f>
        <v/>
      </c>
      <c r="P45" s="3" t="n"/>
      <c r="Q45" s="1053" t="n"/>
      <c r="R45" s="49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 t="n"/>
      <c r="AA45" s="49">
        <f>+AA46+AA57</f>
        <v/>
      </c>
      <c r="AB45" s="3" t="n"/>
      <c r="AC45" s="1053" t="n"/>
      <c r="AD45" s="90">
        <f>+AD46+AD57</f>
        <v/>
      </c>
      <c r="AE45" s="3" t="n"/>
      <c r="AF45" s="1053" t="n"/>
      <c r="AG45" s="49">
        <f>+AG46+AG57</f>
        <v/>
      </c>
      <c r="AH45" s="3" t="n"/>
      <c r="AI45" s="1053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  <c r="AQ45" s="17">
        <f>+AQ46+AQ57</f>
        <v/>
      </c>
      <c r="AR45" s="17" t="n"/>
      <c r="AS45" s="1105">
        <f>AQ45/AQ13</f>
        <v/>
      </c>
      <c r="AT45" s="1100" t="n"/>
    </row>
    <row r="46" ht="15" customHeight="1" s="985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</f>
        <v/>
      </c>
      <c r="G46" s="67" t="n"/>
      <c r="H46" s="1071" t="n"/>
      <c r="I46" s="37">
        <f>SUM(I47:I56)</f>
        <v/>
      </c>
      <c r="J46" s="67" t="n"/>
      <c r="K46" s="1071" t="n"/>
      <c r="L46" s="37">
        <f>SUM(L47:L56)</f>
        <v/>
      </c>
      <c r="M46" s="67" t="n"/>
      <c r="N46" s="1071" t="n"/>
      <c r="O46" s="37">
        <f>SUM(O47:O56)</f>
        <v/>
      </c>
      <c r="P46" s="67" t="n"/>
      <c r="Q46" s="1071" t="n"/>
      <c r="R46" s="46">
        <f>SUM(R47:R56)</f>
        <v/>
      </c>
      <c r="S46" s="67" t="n"/>
      <c r="T46" s="1071" t="n"/>
      <c r="U46" s="37">
        <f>SUM(U47:U56)</f>
        <v/>
      </c>
      <c r="V46" s="67" t="n"/>
      <c r="W46" s="1071" t="n"/>
      <c r="X46" s="37">
        <f>SUM(X47:X56)</f>
        <v/>
      </c>
      <c r="Y46" s="67" t="n"/>
      <c r="Z46" s="1071" t="n"/>
      <c r="AA46" s="37">
        <f>SUM(AA47:AA56)</f>
        <v/>
      </c>
      <c r="AB46" s="67">
        <f>AA46/AA5</f>
        <v/>
      </c>
      <c r="AC46" s="1071" t="n"/>
      <c r="AD46" s="37">
        <f>SUM(AD47:AD56)</f>
        <v/>
      </c>
      <c r="AE46" s="67">
        <f>AD46/AD5</f>
        <v/>
      </c>
      <c r="AF46" s="1071" t="n"/>
      <c r="AG46" s="37">
        <f>SUM(AG47:AG56)</f>
        <v/>
      </c>
      <c r="AH46" s="67">
        <f>AG46/AG5</f>
        <v/>
      </c>
      <c r="AI46" s="1071" t="n"/>
      <c r="AJ46" s="37">
        <f>SUM(AJ47:AJ56)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  <c r="AQ46" s="38">
        <f>SUM(AQ47:AQ56)</f>
        <v/>
      </c>
      <c r="AR46" s="38" t="n"/>
      <c r="AS46" s="1106" t="n"/>
      <c r="AT46" s="1230" t="n"/>
    </row>
    <row r="47" ht="15" customHeight="1" s="985">
      <c r="A47" s="226" t="inlineStr">
        <is>
          <t>7105 -  71101001</t>
        </is>
      </c>
      <c r="B47" s="97" t="inlineStr">
        <is>
          <t>SUMINISTRO</t>
        </is>
      </c>
      <c r="C47" s="76" t="n"/>
      <c r="D47" s="42" t="n"/>
      <c r="E47" s="1057" t="n"/>
      <c r="F47" s="76" t="n"/>
      <c r="G47" s="42">
        <f>F47/F5</f>
        <v/>
      </c>
      <c r="H47" s="1057">
        <f>F47/F16</f>
        <v/>
      </c>
      <c r="I47" s="76" t="n"/>
      <c r="J47" s="42">
        <f>I47/I5</f>
        <v/>
      </c>
      <c r="K47" s="1057">
        <f>I47/I16</f>
        <v/>
      </c>
      <c r="L47" s="76" t="n"/>
      <c r="M47" s="42">
        <f>L47/L5</f>
        <v/>
      </c>
      <c r="N47" s="1057">
        <f>L47/L16</f>
        <v/>
      </c>
      <c r="O47" s="76" t="n"/>
      <c r="P47" s="42">
        <f>O47/O5</f>
        <v/>
      </c>
      <c r="Q47" s="1057">
        <f>O47/O16</f>
        <v/>
      </c>
      <c r="R47" s="76" t="n"/>
      <c r="S47" s="42">
        <f>R47/R5</f>
        <v/>
      </c>
      <c r="T47" s="1057">
        <f>R47/R16</f>
        <v/>
      </c>
      <c r="U47" s="76" t="n"/>
      <c r="V47" s="42">
        <f>U47/U5</f>
        <v/>
      </c>
      <c r="W47" s="1057">
        <f>U47/U16</f>
        <v/>
      </c>
      <c r="X47" s="76" t="n"/>
      <c r="Y47" s="42">
        <f>X47/X5</f>
        <v/>
      </c>
      <c r="Z47" s="1057">
        <f>X47/X16</f>
        <v/>
      </c>
      <c r="AA47" s="76" t="n"/>
      <c r="AB47" s="42">
        <f>AA47/AA5</f>
        <v/>
      </c>
      <c r="AC47" s="1057">
        <f>AA47/AA16</f>
        <v/>
      </c>
      <c r="AD47" s="76" t="n"/>
      <c r="AE47" s="42">
        <f>AD47/AD5</f>
        <v/>
      </c>
      <c r="AF47" s="1057">
        <f>AD47/AD16</f>
        <v/>
      </c>
      <c r="AG47" s="76" t="n"/>
      <c r="AH47" s="42">
        <f>AG47/AG5</f>
        <v/>
      </c>
      <c r="AI47" s="1057">
        <f>AG47/AG16</f>
        <v/>
      </c>
      <c r="AJ47" s="76" t="n"/>
      <c r="AK47" s="42">
        <f>AJ47/AJ5</f>
        <v/>
      </c>
      <c r="AL47" s="1057">
        <f>AJ47/AJ16</f>
        <v/>
      </c>
      <c r="AM47" s="97">
        <f>C47+F47+I47+L47+O47+R47+U47+X47+AA47+AD47+AG47+AJ47</f>
        <v/>
      </c>
      <c r="AN47" s="42">
        <f>AM47/$AM$5</f>
        <v/>
      </c>
      <c r="AO47" s="1058">
        <f>AM47/AM13</f>
        <v/>
      </c>
      <c r="AQ47" s="23" t="n"/>
      <c r="AR47" s="42">
        <f>AQ47/$AM$5</f>
        <v/>
      </c>
      <c r="AS47" s="1058">
        <f>AQ47/AQ13</f>
        <v/>
      </c>
      <c r="AT47" s="1230" t="n"/>
    </row>
    <row r="48" ht="15" customHeight="1" s="985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1045" t="n"/>
      <c r="AM48" s="205">
        <f>C48+F48+I48+L48+O48+R48+U48+X48+AA48+AD48+AG48+AJ48</f>
        <v/>
      </c>
      <c r="AN48" s="43">
        <f>AM48/AM12</f>
        <v/>
      </c>
      <c r="AO48" s="1046" t="n"/>
      <c r="AQ48" s="24" t="n"/>
      <c r="AR48" s="43">
        <f>AQ48/AQ12</f>
        <v/>
      </c>
      <c r="AS48" s="1046" t="n"/>
      <c r="AT48" s="1230" t="n"/>
    </row>
    <row r="49" ht="15" customHeight="1" s="985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>
        <f>C49+F49+I49+L49+O49+R49+U49+X49+AA49+AD49+AG49+AJ49</f>
        <v/>
      </c>
      <c r="AN49" s="43" t="n"/>
      <c r="AO49" s="1046" t="n"/>
      <c r="AQ49" s="24" t="n"/>
      <c r="AR49" s="24" t="n"/>
      <c r="AS49" s="1108" t="n"/>
      <c r="AT49" s="1230" t="n"/>
    </row>
    <row r="50" hidden="1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>
        <f>C50+F50+I50+L50+O50+R50+U50+X50+AA50+AD50+AG50+AJ50</f>
        <v/>
      </c>
      <c r="AN50" s="43" t="n"/>
      <c r="AO50" s="1046" t="n"/>
      <c r="AQ50" s="24" t="n"/>
      <c r="AR50" s="24" t="n"/>
      <c r="AS50" s="1108" t="n"/>
      <c r="AT50" s="1230" t="n"/>
    </row>
    <row r="51" hidden="1" ht="15" customHeight="1" s="985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>
        <f>C51+F51+I51+L51+O51+R51+U51+X51+AA51+AD51+AG51+AJ51</f>
        <v/>
      </c>
      <c r="AN51" s="43" t="n"/>
      <c r="AO51" s="1046" t="n"/>
      <c r="AQ51" s="24" t="n"/>
      <c r="AR51" s="24" t="n"/>
      <c r="AS51" s="1108" t="n"/>
      <c r="AT51" s="1230" t="n"/>
    </row>
    <row r="52" hidden="1" ht="15" customHeight="1" s="985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>
        <f>C52+F52+I52+L52+O52+R52+U52+X52+AA52+AD52+AG52+AJ52</f>
        <v/>
      </c>
      <c r="AN52" s="43" t="n"/>
      <c r="AO52" s="1046" t="n"/>
      <c r="AQ52" s="24" t="n"/>
      <c r="AR52" s="24" t="n"/>
      <c r="AS52" s="1108" t="n"/>
      <c r="AT52" s="1230" t="n"/>
    </row>
    <row r="53" hidden="1" ht="15" customHeight="1" s="985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>
        <f>C53+F53+I53+L53+O53+R53+U53+X53+AA53+AD53+AG53+AJ53</f>
        <v/>
      </c>
      <c r="AN53" s="43" t="n"/>
      <c r="AO53" s="1046" t="n"/>
      <c r="AQ53" s="24" t="n"/>
      <c r="AR53" s="24" t="n"/>
      <c r="AS53" s="1108" t="n"/>
      <c r="AT53" s="1230" t="n"/>
    </row>
    <row r="54" hidden="1" ht="15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  <c r="AQ54" s="24" t="n"/>
      <c r="AR54" s="24" t="n"/>
      <c r="AS54" s="1108" t="n"/>
      <c r="AT54" s="1230" t="n"/>
    </row>
    <row r="55" hidden="1" ht="15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  <c r="AQ55" s="24" t="n"/>
      <c r="AR55" s="24" t="n"/>
      <c r="AS55" s="1108" t="n"/>
      <c r="AT55" s="1230" t="n"/>
    </row>
    <row r="56" hidden="1" ht="15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  <c r="AQ56" s="23" t="n"/>
      <c r="AR56" s="23" t="n"/>
      <c r="AS56" s="1107" t="n"/>
      <c r="AT56" s="1230" t="n"/>
    </row>
    <row r="57" hidden="1" ht="15" customHeight="1" s="985">
      <c r="B57" s="36" t="inlineStr">
        <is>
          <t>FLETES</t>
        </is>
      </c>
      <c r="C57" s="37" t="n"/>
      <c r="D57" s="67" t="n"/>
      <c r="E57" s="1071" t="n"/>
      <c r="F57" s="46">
        <f>SUM(F58:F59)</f>
        <v/>
      </c>
      <c r="G57" s="47">
        <f>F57/F12</f>
        <v/>
      </c>
      <c r="H57" s="1049">
        <f>F57/F13</f>
        <v/>
      </c>
      <c r="I57" s="46">
        <f>SUM(I58:I59)</f>
        <v/>
      </c>
      <c r="J57" s="47">
        <f>I57/I12</f>
        <v/>
      </c>
      <c r="K57" s="1049">
        <f>I57/I13</f>
        <v/>
      </c>
      <c r="L57" s="46">
        <f>SUM(L58:L59)</f>
        <v/>
      </c>
      <c r="M57" s="67" t="n"/>
      <c r="N57" s="1071" t="n"/>
      <c r="O57" s="46">
        <f>SUM(O58:O59)</f>
        <v/>
      </c>
      <c r="P57" s="47" t="n"/>
      <c r="Q57" s="1049" t="n"/>
      <c r="R57" s="46">
        <f>SUM(R58:R59)</f>
        <v/>
      </c>
      <c r="S57" s="47" t="n"/>
      <c r="T57" s="1049" t="n"/>
      <c r="U57" s="46">
        <f>SUM(U58:U59)</f>
        <v/>
      </c>
      <c r="V57" s="47" t="n"/>
      <c r="W57" s="1049" t="n"/>
      <c r="X57" s="46">
        <f>SUM(X58:X59)</f>
        <v/>
      </c>
      <c r="Y57" s="47" t="n"/>
      <c r="Z57" s="1049" t="n"/>
      <c r="AA57" s="46">
        <f>SUM(AA58:AA59)</f>
        <v/>
      </c>
      <c r="AB57" s="47" t="n"/>
      <c r="AC57" s="1049" t="n"/>
      <c r="AD57" s="46">
        <f>SUM(AD58:AD59)</f>
        <v/>
      </c>
      <c r="AE57" s="47" t="n"/>
      <c r="AF57" s="1049" t="n"/>
      <c r="AG57" s="46">
        <f>SUM(AG58:AG59)</f>
        <v/>
      </c>
      <c r="AH57" s="67" t="n"/>
      <c r="AI57" s="1071" t="n"/>
      <c r="AJ57" s="46">
        <f>SUM(AJ58:AJ59)</f>
        <v/>
      </c>
      <c r="AK57" s="67" t="n"/>
      <c r="AL57" s="68" t="n"/>
      <c r="AM57" s="207">
        <f>C57+F57+I57+L57+O57+R57+U57+X57+AA57+AD57+AG57+AJ57</f>
        <v/>
      </c>
      <c r="AN57" s="47">
        <f>AM57/AM12</f>
        <v/>
      </c>
      <c r="AO57" s="1050">
        <f>AM57/AM13</f>
        <v/>
      </c>
      <c r="AQ57" s="29" t="n"/>
      <c r="AR57" s="29" t="n"/>
      <c r="AS57" s="1110" t="n"/>
      <c r="AT57" s="1231" t="n"/>
    </row>
    <row r="58" hidden="1" ht="15" customHeight="1" s="985">
      <c r="B58" s="412" t="inlineStr">
        <is>
          <t>INDUSTRIALIZADOS PROPIOS</t>
        </is>
      </c>
      <c r="C58" s="304" t="n"/>
      <c r="D58" s="305" t="n"/>
      <c r="E58" s="1111" t="n"/>
      <c r="F58" s="304" t="n"/>
      <c r="G58" s="305" t="n"/>
      <c r="H58" s="1111" t="n"/>
      <c r="I58" s="304" t="n"/>
      <c r="J58" s="305" t="n"/>
      <c r="K58" s="1111" t="n"/>
      <c r="L58" s="304" t="n"/>
      <c r="M58" s="305" t="n"/>
      <c r="N58" s="1111" t="n"/>
      <c r="O58" s="304" t="n"/>
      <c r="P58" s="305" t="n"/>
      <c r="Q58" s="1111" t="n"/>
      <c r="R58" s="304" t="n"/>
      <c r="S58" s="305" t="n"/>
      <c r="T58" s="1111" t="n"/>
      <c r="U58" s="304" t="n"/>
      <c r="V58" s="305" t="n"/>
      <c r="W58" s="1111" t="n"/>
      <c r="X58" s="304" t="n"/>
      <c r="Y58" s="305" t="n"/>
      <c r="Z58" s="1111" t="n"/>
      <c r="AA58" s="304" t="n"/>
      <c r="AB58" s="305" t="n"/>
      <c r="AC58" s="1111" t="n"/>
      <c r="AD58" s="304" t="n"/>
      <c r="AE58" s="305" t="n"/>
      <c r="AF58" s="1111" t="n"/>
      <c r="AG58" s="304" t="n"/>
      <c r="AH58" s="305" t="n"/>
      <c r="AI58" s="1111" t="n"/>
      <c r="AJ58" s="304" t="n"/>
      <c r="AK58" s="305" t="n"/>
      <c r="AL58" s="86" t="n"/>
      <c r="AM58" s="414">
        <f>C58+F58+I58+L58+O58+R58+U58+X58+AA58+AD58+AG58+AJ58</f>
        <v/>
      </c>
      <c r="AN58" s="305" t="n"/>
      <c r="AO58" s="1112">
        <f>AM58/AM$13</f>
        <v/>
      </c>
      <c r="AQ58" s="298" t="n"/>
      <c r="AR58" s="298" t="n"/>
      <c r="AS58" s="1113" t="n"/>
      <c r="AT58" s="1230" t="n"/>
    </row>
    <row r="59" hidden="1" ht="15" customFormat="1" customHeight="1" s="108">
      <c r="A59" s="229" t="n"/>
      <c r="B59" s="416" t="inlineStr">
        <is>
          <t>INDUSTRIALIZADOS TERCEROS</t>
        </is>
      </c>
      <c r="C59" s="83" t="n"/>
      <c r="D59" s="84" t="n"/>
      <c r="E59" s="1047" t="n"/>
      <c r="F59" s="83" t="n"/>
      <c r="G59" s="84" t="n"/>
      <c r="H59" s="1047" t="n"/>
      <c r="I59" s="83" t="n"/>
      <c r="J59" s="84" t="n"/>
      <c r="K59" s="1047" t="n"/>
      <c r="L59" s="83" t="n"/>
      <c r="M59" s="84" t="n"/>
      <c r="N59" s="1047" t="n"/>
      <c r="O59" s="83" t="n"/>
      <c r="P59" s="84" t="n"/>
      <c r="Q59" s="1047" t="n"/>
      <c r="R59" s="83" t="n"/>
      <c r="S59" s="84" t="n"/>
      <c r="T59" s="1047" t="n"/>
      <c r="U59" s="83" t="n"/>
      <c r="V59" s="84" t="n"/>
      <c r="W59" s="1047" t="n"/>
      <c r="X59" s="83" t="n"/>
      <c r="Y59" s="84" t="n"/>
      <c r="Z59" s="1047" t="n"/>
      <c r="AA59" s="83" t="n"/>
      <c r="AB59" s="84" t="n"/>
      <c r="AC59" s="1047" t="n"/>
      <c r="AD59" s="83" t="n"/>
      <c r="AE59" s="84" t="n"/>
      <c r="AF59" s="1047" t="n"/>
      <c r="AG59" s="83" t="n"/>
      <c r="AH59" s="84" t="n"/>
      <c r="AI59" s="1047" t="n"/>
      <c r="AJ59" s="83" t="n"/>
      <c r="AK59" s="84" t="n"/>
      <c r="AL59" s="85" t="n"/>
      <c r="AM59" s="206">
        <f>C59+F59+I59+L59+O59+R59+U59+X59+AA59+AD59+AG59+AJ59</f>
        <v/>
      </c>
      <c r="AN59" s="84" t="n"/>
      <c r="AO59" s="1114">
        <f>AM59/AM$13</f>
        <v/>
      </c>
      <c r="AQ59" s="349" t="n"/>
      <c r="AR59" s="349" t="n"/>
      <c r="AS59" s="1115" t="n"/>
      <c r="AT59" s="1230" t="n"/>
    </row>
    <row r="60" hidden="1" ht="15" customHeight="1" s="985">
      <c r="B60" s="16" t="inlineStr">
        <is>
          <t>COSTOS PREPARADOS</t>
        </is>
      </c>
      <c r="C60" s="49">
        <f>+C61+C73+C74+C75+C76+C77</f>
        <v/>
      </c>
      <c r="D60" s="67" t="n"/>
      <c r="E60" s="1071" t="n"/>
      <c r="F60" s="49">
        <f>+F61+F72+F75+F76+F77</f>
        <v/>
      </c>
      <c r="G60" s="3" t="n"/>
      <c r="H60" s="1053">
        <f>F60/F13</f>
        <v/>
      </c>
      <c r="I60" s="49">
        <f>+I61+I72+I75+I76+I77</f>
        <v/>
      </c>
      <c r="J60" s="3" t="n"/>
      <c r="K60" s="1053">
        <f>I60/I13</f>
        <v/>
      </c>
      <c r="L60" s="49">
        <f>+L61+L72+L75+L76+L77</f>
        <v/>
      </c>
      <c r="M60" s="3" t="n"/>
      <c r="N60" s="1053" t="n"/>
      <c r="O60" s="49">
        <f>+O61+O72+O75+O76+O77</f>
        <v/>
      </c>
      <c r="P60" s="3" t="n"/>
      <c r="Q60" s="1053" t="n"/>
      <c r="R60" s="49">
        <f>+R61+R72+R75+R76+R77</f>
        <v/>
      </c>
      <c r="S60" s="3" t="n"/>
      <c r="T60" s="1053" t="n"/>
      <c r="U60" s="49">
        <f>+U61+U72+U75+U76+U77</f>
        <v/>
      </c>
      <c r="V60" s="3" t="n"/>
      <c r="W60" s="1053" t="n"/>
      <c r="X60" s="49">
        <f>+X61+X72+X75+X76+X77</f>
        <v/>
      </c>
      <c r="Y60" s="3" t="n"/>
      <c r="Z60" s="1053" t="n"/>
      <c r="AA60" s="49">
        <f>+AA61+AA72+AA75+AA76+AA77</f>
        <v/>
      </c>
      <c r="AB60" s="3" t="n"/>
      <c r="AC60" s="1053" t="n"/>
      <c r="AD60" s="49">
        <f>+AD61+AD72+AD75+AD76+AD77</f>
        <v/>
      </c>
      <c r="AE60" s="3" t="n"/>
      <c r="AF60" s="1053" t="n"/>
      <c r="AG60" s="49">
        <f>+AG61+AG72+AG75+AG76+AG77</f>
        <v/>
      </c>
      <c r="AH60" s="3" t="n"/>
      <c r="AI60" s="1053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  <c r="AQ60" s="17">
        <f>+AQ61+AQ72+AQ75+AQ76+AQ77</f>
        <v/>
      </c>
      <c r="AR60" s="17" t="n"/>
      <c r="AS60" s="1105" t="n"/>
      <c r="AT60" s="1100" t="n"/>
    </row>
    <row r="61" hidden="1" ht="15" customHeight="1" s="985"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</f>
        <v/>
      </c>
      <c r="G61" s="67" t="n"/>
      <c r="H61" s="1071" t="n"/>
      <c r="I61" s="37">
        <f>SUM(I62:I71)</f>
        <v/>
      </c>
      <c r="J61" s="67" t="n"/>
      <c r="K61" s="1071" t="n"/>
      <c r="L61" s="37">
        <f>SUM(L62:L71)</f>
        <v/>
      </c>
      <c r="M61" s="67" t="n"/>
      <c r="N61" s="1071" t="n"/>
      <c r="O61" s="37">
        <f>SUM(O62:O71)</f>
        <v/>
      </c>
      <c r="P61" s="67">
        <f>O61/$O$5</f>
        <v/>
      </c>
      <c r="Q61" s="1071" t="n"/>
      <c r="R61" s="37">
        <f>SUM(R62:R71)</f>
        <v/>
      </c>
      <c r="S61" s="67">
        <f>R61/$O$5</f>
        <v/>
      </c>
      <c r="T61" s="1071">
        <f>R61/$O$13</f>
        <v/>
      </c>
      <c r="U61" s="37">
        <f>SUM(U62:U71)</f>
        <v/>
      </c>
      <c r="V61" s="67">
        <f>U61/$O$5</f>
        <v/>
      </c>
      <c r="W61" s="1071">
        <f>U61/$O$13</f>
        <v/>
      </c>
      <c r="X61" s="37">
        <f>SUM(X62:X71)</f>
        <v/>
      </c>
      <c r="Y61" s="67" t="n"/>
      <c r="Z61" s="1071" t="n"/>
      <c r="AA61" s="37">
        <f>SUM(AA62:AA71)</f>
        <v/>
      </c>
      <c r="AB61" s="67" t="n"/>
      <c r="AC61" s="1071" t="n"/>
      <c r="AD61" s="37">
        <f>SUM(AD62:AD71)</f>
        <v/>
      </c>
      <c r="AE61" s="67" t="n"/>
      <c r="AF61" s="1071" t="n"/>
      <c r="AG61" s="37">
        <f>SUM(AG62:AG71)</f>
        <v/>
      </c>
      <c r="AH61" s="67" t="n"/>
      <c r="AI61" s="1071" t="n"/>
      <c r="AJ61" s="37">
        <f>SUM(AJ62:AJ71)</f>
        <v/>
      </c>
      <c r="AK61" s="67" t="n"/>
      <c r="AL61" s="68" t="n"/>
      <c r="AM61" s="211">
        <f>C61+F61+I61+L61+O61+R61+U61+X61+AA61+AD61+AG61+AJ61</f>
        <v/>
      </c>
      <c r="AN61" s="67">
        <f>AM61/$O$5</f>
        <v/>
      </c>
      <c r="AO61" s="1072">
        <f>AM61/$O$13</f>
        <v/>
      </c>
      <c r="AQ61" s="38">
        <f>SUM(AQ62:AQ71)</f>
        <v/>
      </c>
      <c r="AR61" s="38" t="n"/>
      <c r="AS61" s="1106" t="n"/>
      <c r="AT61" s="1230" t="n"/>
    </row>
    <row r="62" hidden="1" ht="15" customHeight="1" s="985">
      <c r="B62" s="100" t="n"/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80" t="n"/>
      <c r="AM62" s="212">
        <f>C62+F62+I62+L62+O62+R62+U62+X62+AA62+AD62+AG62+AJ62</f>
        <v/>
      </c>
      <c r="AN62" s="79">
        <f>AM62/$O$5</f>
        <v/>
      </c>
      <c r="AO62" s="1056">
        <f>AM62/$O$13</f>
        <v/>
      </c>
      <c r="AQ62" s="81" t="n"/>
      <c r="AR62" s="81">
        <f>AQ62/AQ6</f>
        <v/>
      </c>
      <c r="AS62" s="1116">
        <f>AQ62/AQ17</f>
        <v/>
      </c>
      <c r="AT62" s="1230" t="n"/>
    </row>
    <row r="63" hidden="1" ht="15" customHeight="1" s="985">
      <c r="B63" s="101" t="n"/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57" t="n"/>
      <c r="AM63" s="205">
        <f>C63+F63+I63+L63+O63+R63+U63+X63+AA63+AD63+AG63+AJ63</f>
        <v/>
      </c>
      <c r="AN63" s="43">
        <f>AM63/$O$5</f>
        <v/>
      </c>
      <c r="AO63" s="1046">
        <f>AM63/$O$13</f>
        <v/>
      </c>
      <c r="AQ63" s="24" t="n"/>
      <c r="AR63" s="24">
        <f>AQ63/AQ7</f>
        <v/>
      </c>
      <c r="AS63" s="1108">
        <f>AQ63/AQ18</f>
        <v/>
      </c>
      <c r="AT63" s="1230" t="n"/>
    </row>
    <row r="64" hidden="1" ht="15" customHeight="1" s="985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>
        <f>AM64/$O$5</f>
        <v/>
      </c>
      <c r="AO64" s="1046">
        <f>AM64/$O$13</f>
        <v/>
      </c>
      <c r="AQ64" s="24" t="n"/>
      <c r="AR64" s="24">
        <f>AQ64/AQ8</f>
        <v/>
      </c>
      <c r="AS64" s="1108">
        <f>AQ64/AQ19</f>
        <v/>
      </c>
      <c r="AT64" s="1230" t="n"/>
    </row>
    <row r="65" hidden="1" ht="15" customHeight="1" s="985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>
        <f>AM65/$O$5</f>
        <v/>
      </c>
      <c r="AO65" s="1046">
        <f>AM65/$O$13</f>
        <v/>
      </c>
      <c r="AQ65" s="24" t="n"/>
      <c r="AR65" s="24" t="n"/>
      <c r="AS65" s="1108" t="n"/>
      <c r="AT65" s="1230" t="n"/>
    </row>
    <row r="66" hidden="1" ht="15" customHeight="1" s="985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>
        <f>AM66/$O$5</f>
        <v/>
      </c>
      <c r="AO66" s="1046">
        <f>AM66/$O$13</f>
        <v/>
      </c>
      <c r="AQ66" s="24" t="n"/>
      <c r="AR66" s="24" t="n"/>
      <c r="AS66" s="1108" t="n"/>
      <c r="AT66" s="1230" t="n"/>
    </row>
    <row r="67" hidden="1" ht="15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>
        <f>AM67/$O$5</f>
        <v/>
      </c>
      <c r="AO67" s="1046">
        <f>AM67/$O$13</f>
        <v/>
      </c>
      <c r="AQ67" s="24" t="n"/>
      <c r="AR67" s="24" t="n"/>
      <c r="AS67" s="1108" t="n"/>
      <c r="AT67" s="1230" t="n"/>
    </row>
    <row r="68" hidden="1" ht="15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>
        <f>AM68/$O$5</f>
        <v/>
      </c>
      <c r="AO68" s="1046">
        <f>AM68/$O$13</f>
        <v/>
      </c>
      <c r="AQ68" s="24" t="n"/>
      <c r="AR68" s="24" t="n"/>
      <c r="AS68" s="1108" t="n"/>
      <c r="AT68" s="1230" t="n"/>
    </row>
    <row r="69" hidden="1" ht="15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>
        <f>AM69/$O$5</f>
        <v/>
      </c>
      <c r="AO69" s="1046">
        <f>AM69/$O$13</f>
        <v/>
      </c>
      <c r="AQ69" s="24" t="n"/>
      <c r="AR69" s="24" t="n"/>
      <c r="AS69" s="1108" t="n"/>
      <c r="AT69" s="1230" t="n"/>
    </row>
    <row r="70" hidden="1" ht="15" customHeight="1" s="985">
      <c r="B70" s="91" t="n"/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>
        <f>AM70/$O$5</f>
        <v/>
      </c>
      <c r="AO70" s="1046">
        <f>AM70/$O$13</f>
        <v/>
      </c>
      <c r="AQ70" s="24" t="n"/>
      <c r="AR70" s="24" t="n"/>
      <c r="AS70" s="1108" t="n"/>
      <c r="AT70" s="1230" t="n"/>
    </row>
    <row r="71" hidden="1" ht="15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>
        <f>AM71/$O$5</f>
        <v/>
      </c>
      <c r="AO71" s="1048">
        <f>AM71/$O$13</f>
        <v/>
      </c>
      <c r="AQ71" s="349" t="n"/>
      <c r="AR71" s="349" t="n"/>
      <c r="AS71" s="1115" t="n"/>
      <c r="AT71" s="1230" t="n"/>
    </row>
    <row r="72" ht="15" customHeight="1" s="985">
      <c r="B72" s="36" t="inlineStr">
        <is>
          <t>FLETES</t>
        </is>
      </c>
      <c r="C72" s="37" t="n"/>
      <c r="D72" s="67" t="n"/>
      <c r="E72" s="1071" t="n"/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 t="n"/>
      <c r="K72" s="1049">
        <f>I72/I13</f>
        <v/>
      </c>
      <c r="L72" s="46">
        <f>SUM(L73:L74)</f>
        <v/>
      </c>
      <c r="M72" s="47" t="n"/>
      <c r="N72" s="1049">
        <f>L72/L13</f>
        <v/>
      </c>
      <c r="O72" s="46">
        <f>SUM(O73:O74)</f>
        <v/>
      </c>
      <c r="P72" s="47" t="n"/>
      <c r="Q72" s="1049">
        <f>O72/O13</f>
        <v/>
      </c>
      <c r="R72" s="46">
        <f>SUM(R73:R74)</f>
        <v/>
      </c>
      <c r="S72" s="47" t="n"/>
      <c r="T72" s="1049">
        <f>R72/R13</f>
        <v/>
      </c>
      <c r="U72" s="46">
        <f>SUM(U73:U74)</f>
        <v/>
      </c>
      <c r="V72" s="47" t="n"/>
      <c r="W72" s="1049">
        <f>U72/U13</f>
        <v/>
      </c>
      <c r="X72" s="46">
        <f>SUM(X73:X74)</f>
        <v/>
      </c>
      <c r="Y72" s="47" t="n"/>
      <c r="Z72" s="1049">
        <f>X72/X13</f>
        <v/>
      </c>
      <c r="AA72" s="46">
        <f>SUM(AA73:AA74)</f>
        <v/>
      </c>
      <c r="AB72" s="47" t="n"/>
      <c r="AC72" s="1049">
        <f>AA72/AA13</f>
        <v/>
      </c>
      <c r="AD72" s="46">
        <f>SUM(AD73:AD74)</f>
        <v/>
      </c>
      <c r="AE72" s="47" t="n"/>
      <c r="AF72" s="1049">
        <f>AD72/AD13</f>
        <v/>
      </c>
      <c r="AG72" s="46">
        <f>SUM(AG73:AG74)</f>
        <v/>
      </c>
      <c r="AH72" s="47" t="n"/>
      <c r="AI72" s="1049">
        <f>AG72/AG13</f>
        <v/>
      </c>
      <c r="AJ72" s="46">
        <f>SUM(AJ73:AJ74)</f>
        <v/>
      </c>
      <c r="AK72" s="67" t="n"/>
      <c r="AL72" s="1049">
        <f>AJ72/AJ13</f>
        <v/>
      </c>
      <c r="AM72" s="207">
        <f>C72+F72+I72+L72+O72+R72+U72+X72+AA72+AD72+AG72+AJ72</f>
        <v/>
      </c>
      <c r="AN72" s="47" t="n"/>
      <c r="AO72" s="1049">
        <f>AM72/AM13</f>
        <v/>
      </c>
      <c r="AQ72" s="29">
        <f>SUM(AQ73:AQ74)</f>
        <v/>
      </c>
      <c r="AR72" s="29" t="n"/>
      <c r="AS72" s="1110">
        <f>AQ72/(AQ$13-AQ$20)</f>
        <v/>
      </c>
      <c r="AT72" s="1231" t="n"/>
    </row>
    <row r="73" ht="15" customHeight="1" s="985">
      <c r="B73" s="412" t="inlineStr">
        <is>
          <t>PREPARADOS PROPIOS</t>
        </is>
      </c>
      <c r="C73" s="37" t="n"/>
      <c r="D73" s="67" t="n"/>
      <c r="E73" s="1071" t="n"/>
      <c r="F73" s="304" t="n"/>
      <c r="G73" s="305" t="n"/>
      <c r="H73" s="1111" t="n"/>
      <c r="I73" s="304" t="n"/>
      <c r="J73" s="305" t="n"/>
      <c r="K73" s="1111" t="n"/>
      <c r="L73" s="304">
        <f>'GASTOS VEHICULOS'!F25*'%DIST'!H28</f>
        <v/>
      </c>
      <c r="M73" s="305" t="n"/>
      <c r="N73" s="1111" t="n"/>
      <c r="O73" s="304">
        <f>'GASTOS VEHICULOS'!G25*'%DIST'!J28</f>
        <v/>
      </c>
      <c r="P73" s="305" t="n"/>
      <c r="Q73" s="1111" t="n"/>
      <c r="R73" s="304">
        <f>'GASTOS VEHICULOS'!H25*'%DIST'!L28</f>
        <v/>
      </c>
      <c r="S73" s="305" t="n"/>
      <c r="T73" s="1111" t="n"/>
      <c r="U73" s="304">
        <f>'GASTOS VEHICULOS'!I25*'%DIST'!N28</f>
        <v/>
      </c>
      <c r="V73" s="305" t="n"/>
      <c r="W73" s="1111" t="n"/>
      <c r="X73" s="304">
        <f>'GASTOS VEHICULOS'!J25*'%DIST'!P28</f>
        <v/>
      </c>
      <c r="Y73" s="305" t="n"/>
      <c r="Z73" s="1111" t="n"/>
      <c r="AA73" s="304">
        <f>'GASTOS VEHICULOS'!K25*'%DIST'!R28</f>
        <v/>
      </c>
      <c r="AB73" s="305" t="n"/>
      <c r="AC73" s="1111" t="n"/>
      <c r="AD73" s="304">
        <f>'GASTOS VEHICULOS'!L25*'%DIST'!T28</f>
        <v/>
      </c>
      <c r="AE73" s="305" t="n"/>
      <c r="AF73" s="1111" t="n"/>
      <c r="AG73" s="304">
        <f>'GASTOS VEHICULOS'!M25*'%DIST'!V28</f>
        <v/>
      </c>
      <c r="AH73" s="305" t="n"/>
      <c r="AI73" s="1111" t="n"/>
      <c r="AJ73" s="304" t="n"/>
      <c r="AK73" s="305" t="n"/>
      <c r="AL73" s="86" t="n"/>
      <c r="AM73" s="414">
        <f>C73+F73+I73+L73+O73+R73+U73+X73+AA73+AD73+AG73+AJ73</f>
        <v/>
      </c>
      <c r="AN73" s="305" t="n"/>
      <c r="AO73" s="1117" t="n"/>
      <c r="AQ73" s="298" t="n"/>
      <c r="AR73" s="298" t="n"/>
      <c r="AS73" s="1113" t="n"/>
      <c r="AT73" s="1230" t="n"/>
    </row>
    <row r="74" ht="15" customHeight="1" s="985">
      <c r="B74" s="416" t="inlineStr">
        <is>
          <t>PREPARADOS TERCEROS</t>
        </is>
      </c>
      <c r="C74" s="37" t="n"/>
      <c r="D74" s="67" t="n"/>
      <c r="E74" s="1071" t="n"/>
      <c r="F74" s="83" t="n"/>
      <c r="G74" s="84" t="n"/>
      <c r="H74" s="1047" t="n"/>
      <c r="I74" s="83" t="n"/>
      <c r="J74" s="84" t="n"/>
      <c r="K74" s="1047" t="n"/>
      <c r="L74" s="83" t="n"/>
      <c r="M74" s="84" t="n"/>
      <c r="N74" s="1047" t="n"/>
      <c r="O74" s="83" t="n"/>
      <c r="P74" s="84" t="n"/>
      <c r="Q74" s="1047" t="n"/>
      <c r="R74" s="83" t="n"/>
      <c r="S74" s="84" t="n"/>
      <c r="T74" s="1047" t="n"/>
      <c r="U74" s="83" t="n"/>
      <c r="V74" s="84" t="n"/>
      <c r="W74" s="1047" t="n"/>
      <c r="X74" s="83" t="n"/>
      <c r="Y74" s="84" t="n"/>
      <c r="Z74" s="1047" t="n"/>
      <c r="AA74" s="83" t="n"/>
      <c r="AB74" s="84" t="n"/>
      <c r="AC74" s="1047" t="n"/>
      <c r="AD74" s="83" t="n"/>
      <c r="AE74" s="84" t="n"/>
      <c r="AF74" s="1047" t="n"/>
      <c r="AG74" s="83" t="n"/>
      <c r="AH74" s="84" t="n"/>
      <c r="AI74" s="1047" t="n"/>
      <c r="AJ74" s="83" t="n"/>
      <c r="AK74" s="84" t="n"/>
      <c r="AL74" s="85" t="n"/>
      <c r="AM74" s="206">
        <f>C74+F74+I74+L74+O74+R74+U74+X74+AA74+AD74+AG74+AJ74</f>
        <v/>
      </c>
      <c r="AN74" s="84" t="n"/>
      <c r="AO74" s="1114" t="n"/>
      <c r="AQ74" s="349" t="n"/>
      <c r="AR74" s="349" t="n"/>
      <c r="AS74" s="1115" t="n"/>
      <c r="AT74" s="1230" t="n"/>
    </row>
    <row r="75" ht="15" customHeight="1" s="985">
      <c r="A75" s="226" t="inlineStr">
        <is>
          <t xml:space="preserve">73954001            </t>
        </is>
      </c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>
        <f>AM75/AM$13</f>
        <v/>
      </c>
      <c r="AQ75" s="38" t="n"/>
      <c r="AR75" s="38" t="n"/>
      <c r="AS75" s="1106" t="n"/>
      <c r="AT75" s="1230" t="n"/>
    </row>
    <row r="76" ht="15" customHeight="1" s="985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  <c r="AQ76" s="38" t="n"/>
      <c r="AR76" s="38" t="n"/>
      <c r="AS76" s="1106" t="n"/>
      <c r="AT76" s="1230" t="n"/>
    </row>
    <row r="77" ht="15" customHeight="1" s="985">
      <c r="B77" s="66" t="inlineStr">
        <is>
          <t>Servicio de Gas</t>
        </is>
      </c>
      <c r="C77" s="28" t="n"/>
      <c r="D77" s="45" t="n"/>
      <c r="E77" s="1166" t="n"/>
      <c r="F77" s="28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  <c r="AQ77" s="27" t="n"/>
      <c r="AR77" s="27" t="n"/>
      <c r="AS77" s="1119" t="n"/>
      <c r="AT77" s="1230" t="n"/>
    </row>
    <row r="78" ht="15" customHeight="1" s="985">
      <c r="B78" s="16" t="inlineStr">
        <is>
          <t>MANO DE OBRA DIRECTA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>
        <f>F78/(F$13)</f>
        <v/>
      </c>
      <c r="I78" s="49">
        <f>SUM(I79:I81)</f>
        <v/>
      </c>
      <c r="J78" s="3" t="n"/>
      <c r="K78" s="1053">
        <f>I78/(I$13)</f>
        <v/>
      </c>
      <c r="L78" s="49">
        <f>SUM(L79:L81)</f>
        <v/>
      </c>
      <c r="M78" s="3" t="n"/>
      <c r="N78" s="1053" t="n"/>
      <c r="O78" s="49">
        <f>SUM(O79:O81)</f>
        <v/>
      </c>
      <c r="P78" s="3" t="n"/>
      <c r="Q78" s="1053" t="n"/>
      <c r="R78" s="49">
        <f>SUM(R79:R81)</f>
        <v/>
      </c>
      <c r="S78" s="3" t="n"/>
      <c r="T78" s="1053">
        <f>R78/(R$13)</f>
        <v/>
      </c>
      <c r="U78" s="49">
        <f>SUM(U79:U81)</f>
        <v/>
      </c>
      <c r="V78" s="3" t="n"/>
      <c r="W78" s="1053">
        <f>U78/(U$13)</f>
        <v/>
      </c>
      <c r="X78" s="49">
        <f>SUM(X79:X81)</f>
        <v/>
      </c>
      <c r="Y78" s="3" t="n"/>
      <c r="Z78" s="1053">
        <f>X78/(X$13)</f>
        <v/>
      </c>
      <c r="AA78" s="49">
        <f>SUM(AA79:AA81)</f>
        <v/>
      </c>
      <c r="AB78" s="3" t="n"/>
      <c r="AC78" s="1053">
        <f>AA78/(AA$13)</f>
        <v/>
      </c>
      <c r="AD78" s="49">
        <f>SUM(AD79:AD81)</f>
        <v/>
      </c>
      <c r="AE78" s="3" t="n"/>
      <c r="AF78" s="1053">
        <f>AD78/(AD$13)</f>
        <v/>
      </c>
      <c r="AG78" s="49">
        <f>SUM(AG79:AG81)</f>
        <v/>
      </c>
      <c r="AH78" s="3" t="n"/>
      <c r="AI78" s="1053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>
        <f>AM78/(AM$13)</f>
        <v/>
      </c>
      <c r="AQ78" s="17">
        <f>SUM(AQ79:AQ81)</f>
        <v/>
      </c>
      <c r="AR78" s="17">
        <f>AQ78/(AQ$12-AQ$9)</f>
        <v/>
      </c>
      <c r="AS78" s="1105">
        <f>AQ78/(AQ$13-AQ$20)</f>
        <v/>
      </c>
      <c r="AT78" s="1100" t="n"/>
    </row>
    <row r="79" ht="15" customHeight="1" s="985">
      <c r="B79" s="39" t="inlineStr">
        <is>
          <t>Manipuladoras</t>
        </is>
      </c>
      <c r="C79" s="266" t="n"/>
      <c r="D79" s="267" t="n"/>
      <c r="E79" s="1077" t="n"/>
      <c r="F79" s="266" t="n"/>
      <c r="G79" s="69" t="n"/>
      <c r="H79" s="1077" t="n"/>
      <c r="I79" s="39" t="n"/>
      <c r="J79" s="69" t="n"/>
      <c r="K79" s="1077" t="n"/>
      <c r="L79" s="39" t="n"/>
      <c r="M79" s="69" t="n"/>
      <c r="N79" s="1077" t="n"/>
      <c r="O79" s="39" t="n"/>
      <c r="P79" s="69" t="n"/>
      <c r="Q79" s="1077" t="n"/>
      <c r="R79" s="39" t="n"/>
      <c r="S79" s="69" t="n"/>
      <c r="T79" s="1077" t="n"/>
      <c r="U79" s="39" t="n"/>
      <c r="V79" s="69" t="n"/>
      <c r="W79" s="1077" t="n"/>
      <c r="X79" s="39" t="n"/>
      <c r="Y79" s="69" t="n"/>
      <c r="Z79" s="1077" t="n"/>
      <c r="AA79" s="39" t="n"/>
      <c r="AB79" s="69" t="n"/>
      <c r="AC79" s="1077" t="n"/>
      <c r="AD79" s="39" t="n"/>
      <c r="AE79" s="69" t="n"/>
      <c r="AF79" s="1077" t="n"/>
      <c r="AG79" s="39" t="n"/>
      <c r="AH79" s="69" t="n"/>
      <c r="AI79" s="1077" t="n"/>
      <c r="AJ79" s="7" t="n"/>
      <c r="AK79" s="69" t="n"/>
      <c r="AL79" s="70" t="n"/>
      <c r="AM79" s="268">
        <f>C79+F79+I79+L79+O79+R79+U79+X79+AA79+AD79+AG79+AJ79</f>
        <v/>
      </c>
      <c r="AN79" s="4">
        <f>AM79/AM12</f>
        <v/>
      </c>
      <c r="AO79" s="1078" t="n"/>
      <c r="AQ79" s="621" t="n"/>
      <c r="AR79" s="621" t="n"/>
      <c r="AS79" s="1120" t="n"/>
      <c r="AT79" s="1067" t="n"/>
    </row>
    <row r="80" ht="15" customHeight="1" s="985">
      <c r="B80" s="25" t="inlineStr">
        <is>
          <t>Personal Supervisor - Coordinadores</t>
        </is>
      </c>
      <c r="C80" s="25" t="n"/>
      <c r="D80" s="272" t="n"/>
      <c r="E80" s="1045" t="n"/>
      <c r="F80" s="25" t="n"/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  <c r="AQ80" s="24" t="n"/>
      <c r="AR80" s="24" t="n"/>
      <c r="AS80" s="1108" t="n"/>
      <c r="AT80" s="1230" t="n"/>
    </row>
    <row r="81" ht="15" customHeight="1" s="985" thickBot="1">
      <c r="B81" s="98" t="inlineStr">
        <is>
          <t>Temporales</t>
        </is>
      </c>
      <c r="C81" s="269" t="n"/>
      <c r="D81" s="270" t="n"/>
      <c r="E81" s="1079" t="n"/>
      <c r="F81" s="269" t="n"/>
      <c r="G81" s="214" t="n"/>
      <c r="H81" s="1079" t="n"/>
      <c r="I81" s="269" t="n"/>
      <c r="J81" s="214" t="n"/>
      <c r="K81" s="1079" t="n"/>
      <c r="L81" s="269" t="n"/>
      <c r="M81" s="214" t="n"/>
      <c r="N81" s="1079" t="n"/>
      <c r="O81" s="269" t="n"/>
      <c r="P81" s="214" t="n"/>
      <c r="Q81" s="1079" t="n"/>
      <c r="R81" s="269" t="n"/>
      <c r="S81" s="214" t="n"/>
      <c r="T81" s="1079" t="n"/>
      <c r="U81" s="269" t="n"/>
      <c r="V81" s="214" t="n"/>
      <c r="W81" s="1079" t="n"/>
      <c r="X81" s="269" t="n"/>
      <c r="Y81" s="214" t="n"/>
      <c r="Z81" s="1079" t="n"/>
      <c r="AA81" s="269" t="n"/>
      <c r="AB81" s="214" t="n"/>
      <c r="AC81" s="1079" t="n"/>
      <c r="AD81" s="269" t="n"/>
      <c r="AE81" s="214" t="n"/>
      <c r="AF81" s="1079" t="n"/>
      <c r="AG81" s="269" t="n"/>
      <c r="AH81" s="214" t="n"/>
      <c r="AI81" s="1079" t="n"/>
      <c r="AJ81" s="269" t="n"/>
      <c r="AK81" s="214" t="n"/>
      <c r="AL81" s="271" t="n"/>
      <c r="AM81" s="213">
        <f>C81+F81+I81+L81+O81+R81+U81+X81+AA81+AD81+AG81+AJ81</f>
        <v/>
      </c>
      <c r="AN81" s="214" t="n"/>
      <c r="AO81" s="1080" t="n"/>
      <c r="AQ81" s="98" t="n"/>
      <c r="AR81" s="98" t="n"/>
      <c r="AS81" s="1121" t="n"/>
      <c r="AT81" s="1230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36" t="n"/>
      <c r="AN82" s="2" t="n"/>
      <c r="AO82" s="1067" t="n"/>
      <c r="AQ82" s="136" t="n"/>
      <c r="AR82" s="136" t="n"/>
      <c r="AS82" s="1122" t="n"/>
      <c r="AT82" s="1067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 t="n"/>
      <c r="F83" s="491">
        <f>+F84+F89+F92+F96+F99+F109+F114+F120+F123+F127</f>
        <v/>
      </c>
      <c r="G83" s="492" t="n"/>
      <c r="H83" s="1069">
        <f>F83/(F$13)</f>
        <v/>
      </c>
      <c r="I83" s="491">
        <f>+I84+I89+I92+I96+I99+I109+I114+I120+I123+I127</f>
        <v/>
      </c>
      <c r="J83" s="492" t="n"/>
      <c r="K83" s="1069">
        <f>I83/(I$13)</f>
        <v/>
      </c>
      <c r="L83" s="491">
        <f>+L84+L89+L92+L96+L99+L109+L114+L120+L123+L127</f>
        <v/>
      </c>
      <c r="M83" s="492" t="n"/>
      <c r="N83" s="1069" t="n"/>
      <c r="O83" s="491">
        <f>+O84+O89+O92+O96+O99+O109+O114+O120+O123+O127</f>
        <v/>
      </c>
      <c r="P83" s="492" t="n"/>
      <c r="Q83" s="1069">
        <f>O83/(O$13)</f>
        <v/>
      </c>
      <c r="R83" s="491">
        <f>+R84+R89+R92+R96+R99+R109+R114+R120+R123+R127</f>
        <v/>
      </c>
      <c r="S83" s="492" t="n"/>
      <c r="T83" s="1069">
        <f>R83/(R$13)</f>
        <v/>
      </c>
      <c r="U83" s="491">
        <f>+U84+U89+U92+U96+U99+U109+U114+U120+U123+U127</f>
        <v/>
      </c>
      <c r="V83" s="492" t="n"/>
      <c r="W83" s="1069">
        <f>U83/(U$13)</f>
        <v/>
      </c>
      <c r="X83" s="491">
        <f>+X84+X89+X92+X96+X99+X109+X114+X120+X123+X127</f>
        <v/>
      </c>
      <c r="Y83" s="492" t="n"/>
      <c r="Z83" s="1069">
        <f>X83/(X$13)</f>
        <v/>
      </c>
      <c r="AA83" s="491">
        <f>+AA84+AA89+AA92+AA96+AA99+AA109+AA114+AA120+AA123+AA127</f>
        <v/>
      </c>
      <c r="AB83" s="492" t="n"/>
      <c r="AC83" s="1069">
        <f>AA83/(AA$13)</f>
        <v/>
      </c>
      <c r="AD83" s="491">
        <f>+AD84+AD89+AD92+AD96+AD99+AD109+AD114+AD120+AD123+AD127</f>
        <v/>
      </c>
      <c r="AE83" s="492" t="n"/>
      <c r="AF83" s="1069">
        <f>AD83/(AD$13)</f>
        <v/>
      </c>
      <c r="AG83" s="491">
        <f>+AG84+AG89+AG92+AG96+AG99+AG109+AG114+AG120+AG123+AG127</f>
        <v/>
      </c>
      <c r="AH83" s="492" t="n"/>
      <c r="AI83" s="1069">
        <f>AG83/(AG$13)</f>
        <v/>
      </c>
      <c r="AJ83" s="491">
        <f>+AJ84+AJ89+AJ92+AJ96+AJ99+AJ109+AJ114+AJ120+AJ123+AJ127</f>
        <v/>
      </c>
      <c r="AK83" s="492" t="n"/>
      <c r="AL83" s="1069">
        <f>AJ83/(AJ$13)</f>
        <v/>
      </c>
      <c r="AM83" s="583">
        <f>C83+F83+I83+L83+O83+R83+U83+X83+AA83+AD83+AG83+AJ83</f>
        <v/>
      </c>
      <c r="AN83" s="492" t="n"/>
      <c r="AO83" s="1081">
        <f>AM83/(AM$13)</f>
        <v/>
      </c>
      <c r="AQ83" s="627">
        <f>+AQ84+AQ89+AQ92+AQ96+AQ99+AQ109+AQ114+AQ120+AQ123+AQ127</f>
        <v/>
      </c>
      <c r="AR83" s="627">
        <f>AQ83/(AQ$12-AQ$9)</f>
        <v/>
      </c>
      <c r="AS83" s="1104">
        <f>AQ83/(AQ$13-AQ$20)</f>
        <v/>
      </c>
      <c r="AT83" s="1100" t="n"/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 t="n"/>
      <c r="F84" s="49">
        <f>SUM(F85:F88)</f>
        <v/>
      </c>
      <c r="G84" s="3" t="n"/>
      <c r="H84" s="1053">
        <f>F84/(F$13)</f>
        <v/>
      </c>
      <c r="I84" s="49">
        <f>SUM(I85:I88)</f>
        <v/>
      </c>
      <c r="J84" s="3" t="n"/>
      <c r="K84" s="1053">
        <f>I84/(I$13)</f>
        <v/>
      </c>
      <c r="L84" s="49">
        <f>SUM(L85:L88)</f>
        <v/>
      </c>
      <c r="M84" s="3" t="n"/>
      <c r="N84" s="1053" t="n"/>
      <c r="O84" s="49">
        <f>SUM(O85:O88)</f>
        <v/>
      </c>
      <c r="P84" s="3" t="n"/>
      <c r="Q84" s="1053" t="n"/>
      <c r="R84" s="49">
        <f>SUM(R85:R88)</f>
        <v/>
      </c>
      <c r="S84" s="3" t="n"/>
      <c r="T84" s="1053">
        <f>R84/(R$13)</f>
        <v/>
      </c>
      <c r="U84" s="49">
        <f>SUM(U85:U88)</f>
        <v/>
      </c>
      <c r="V84" s="3" t="n"/>
      <c r="W84" s="1053">
        <f>U84/(U$13)</f>
        <v/>
      </c>
      <c r="X84" s="49">
        <f>SUM(X85:X88)</f>
        <v/>
      </c>
      <c r="Y84" s="3" t="n"/>
      <c r="Z84" s="1053">
        <f>X84/(X$13)</f>
        <v/>
      </c>
      <c r="AA84" s="49">
        <f>SUM(AA85:AA88)</f>
        <v/>
      </c>
      <c r="AB84" s="3" t="n"/>
      <c r="AC84" s="1053">
        <f>AA84/(AA$13)</f>
        <v/>
      </c>
      <c r="AD84" s="49">
        <f>SUM(AD85:AD88)</f>
        <v/>
      </c>
      <c r="AE84" s="3" t="n"/>
      <c r="AF84" s="1053">
        <f>AD84/(AD$13)</f>
        <v/>
      </c>
      <c r="AG84" s="49">
        <f>SUM(AG85:AG88)</f>
        <v/>
      </c>
      <c r="AH84" s="3" t="n"/>
      <c r="AI84" s="1053">
        <f>AG84/(AG$13)</f>
        <v/>
      </c>
      <c r="AJ84" s="49">
        <f>SUM(AJ85:AJ88)</f>
        <v/>
      </c>
      <c r="AK84" s="3" t="n"/>
      <c r="AL84" s="1053">
        <f>AJ84/(AJ$13)</f>
        <v/>
      </c>
      <c r="AM84" s="16">
        <f>C84+F84+I84+L84+O84+R84+U84+X84+AA84+AD84+AG84+AJ84</f>
        <v/>
      </c>
      <c r="AN84" s="3" t="n"/>
      <c r="AO84" s="1076">
        <f>AM84/(AM$13)</f>
        <v/>
      </c>
      <c r="AQ84" s="17">
        <f>SUM(AQ85:AQ88)</f>
        <v/>
      </c>
      <c r="AR84" s="17">
        <f>AQ84/(AQ$12-AQ$9)</f>
        <v/>
      </c>
      <c r="AS84" s="1105">
        <f>AQ84/(AQ$13-AQ$20)</f>
        <v/>
      </c>
      <c r="AT84" s="1100" t="n"/>
    </row>
    <row r="85" ht="15" customHeight="1" s="985">
      <c r="B85" s="39" t="inlineStr">
        <is>
          <t>Costos Indirectos de Personal</t>
        </is>
      </c>
      <c r="C85" s="39" t="n"/>
      <c r="D85" s="69" t="n"/>
      <c r="E85" s="1077" t="n"/>
      <c r="F85" s="39" t="n"/>
      <c r="G85" s="69" t="n"/>
      <c r="H85" s="1077" t="n"/>
      <c r="I85" s="39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>
        <f>AM85/(AM$13)</f>
        <v/>
      </c>
      <c r="AQ85" s="31" t="n"/>
      <c r="AR85" s="31" t="n"/>
      <c r="AS85" s="1123" t="n"/>
      <c r="AT85" s="1230" t="n"/>
    </row>
    <row r="86" ht="15" customHeight="1" s="985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5">
        <f>C86+F86+I86+L86+O86+R86+U86+X86+AA86+AD86+AG86+AJ86</f>
        <v/>
      </c>
      <c r="AN86" s="43" t="n"/>
      <c r="AO86" s="1046" t="n"/>
      <c r="AQ86" s="24" t="n"/>
      <c r="AR86" s="24" t="n"/>
      <c r="AS86" s="1108" t="n"/>
      <c r="AT86" s="1230" t="n"/>
    </row>
    <row r="87" ht="15" customHeight="1" s="985">
      <c r="B87" s="97" t="inlineStr">
        <is>
          <t>Gastos Medicos</t>
        </is>
      </c>
      <c r="C87" s="22" t="n"/>
      <c r="D87" s="42" t="n"/>
      <c r="E87" s="1057" t="n"/>
      <c r="F87" s="22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5">
        <f>C87+F87+I87+L87+O87+R87+U87+X87+AA87+AD87+AG87+AJ87</f>
        <v/>
      </c>
      <c r="AN87" s="42" t="n"/>
      <c r="AO87" s="1058" t="n"/>
      <c r="AQ87" s="24" t="n"/>
      <c r="AR87" s="24" t="n"/>
      <c r="AS87" s="1108" t="n"/>
      <c r="AT87" s="1230" t="n"/>
    </row>
    <row r="88" ht="15" customHeight="1" s="985">
      <c r="B88" s="206" t="inlineStr">
        <is>
          <t>Inacapacidades</t>
        </is>
      </c>
      <c r="C88" s="83" t="n"/>
      <c r="D88" s="84" t="n"/>
      <c r="E88" s="1047" t="n"/>
      <c r="F88" s="83" t="n"/>
      <c r="G88" s="421" t="n"/>
      <c r="H88" s="1047" t="n"/>
      <c r="I88" s="83" t="n"/>
      <c r="J88" s="84" t="n"/>
      <c r="K88" s="1047" t="n"/>
      <c r="L88" s="83" t="n"/>
      <c r="M88" s="84" t="n"/>
      <c r="N88" s="1047" t="n"/>
      <c r="O88" s="83" t="n"/>
      <c r="P88" s="84" t="n"/>
      <c r="Q88" s="1047" t="n"/>
      <c r="R88" s="83" t="n"/>
      <c r="S88" s="84" t="n"/>
      <c r="T88" s="1047" t="n"/>
      <c r="U88" s="83" t="n"/>
      <c r="V88" s="84" t="n"/>
      <c r="W88" s="1047" t="n"/>
      <c r="X88" s="83" t="n"/>
      <c r="Y88" s="84" t="n"/>
      <c r="Z88" s="1047" t="n"/>
      <c r="AA88" s="83" t="n"/>
      <c r="AB88" s="84" t="n"/>
      <c r="AC88" s="1047" t="n"/>
      <c r="AD88" s="83" t="n"/>
      <c r="AE88" s="84" t="n"/>
      <c r="AF88" s="1047" t="n"/>
      <c r="AG88" s="83" t="n"/>
      <c r="AH88" s="84" t="n"/>
      <c r="AI88" s="1047" t="n"/>
      <c r="AJ88" s="83" t="n"/>
      <c r="AK88" s="84" t="n"/>
      <c r="AL88" s="85" t="n"/>
      <c r="AM88" s="206">
        <f>C88+F88+I88+L88+O88+R88+U88+X88+AA88+AD88+AG88+AJ88</f>
        <v/>
      </c>
      <c r="AN88" s="84" t="n"/>
      <c r="AO88" s="1048" t="n"/>
      <c r="AQ88" s="349" t="n"/>
      <c r="AR88" s="349" t="n"/>
      <c r="AS88" s="1115" t="n"/>
      <c r="AT88" s="1230" t="n"/>
    </row>
    <row r="89" ht="15" customHeight="1" s="985">
      <c r="B89" s="16" t="inlineStr">
        <is>
          <t>HONORARIOS</t>
        </is>
      </c>
      <c r="C89" s="49">
        <f>SUM(C90:C91)</f>
        <v/>
      </c>
      <c r="D89" s="3" t="n"/>
      <c r="E89" s="1053" t="n"/>
      <c r="F89" s="49">
        <f>SUM(F90:F91)</f>
        <v/>
      </c>
      <c r="G89" s="3" t="n"/>
      <c r="H89" s="1053">
        <f>F89/(F$13)</f>
        <v/>
      </c>
      <c r="I89" s="90">
        <f>SUM(I90:I91)</f>
        <v/>
      </c>
      <c r="J89" s="3" t="n"/>
      <c r="K89" s="1053">
        <f>I89/(I$13)</f>
        <v/>
      </c>
      <c r="L89" s="49">
        <f>SUM(L90:L91)</f>
        <v/>
      </c>
      <c r="M89" s="3" t="n"/>
      <c r="N89" s="1053" t="n"/>
      <c r="O89" s="49">
        <f>SUM(O90:O91)</f>
        <v/>
      </c>
      <c r="P89" s="3" t="n"/>
      <c r="Q89" s="1053" t="n"/>
      <c r="R89" s="49">
        <f>SUM(R90:R91)</f>
        <v/>
      </c>
      <c r="S89" s="3" t="n"/>
      <c r="T89" s="1053">
        <f>R89/(R$13)</f>
        <v/>
      </c>
      <c r="U89" s="49">
        <f>SUM(U90:U91)</f>
        <v/>
      </c>
      <c r="V89" s="3" t="n"/>
      <c r="W89" s="1053">
        <f>U89/(U$13)</f>
        <v/>
      </c>
      <c r="X89" s="49">
        <f>SUM(X90:X91)</f>
        <v/>
      </c>
      <c r="Y89" s="3" t="n"/>
      <c r="Z89" s="1053">
        <f>X89/(X$13)</f>
        <v/>
      </c>
      <c r="AA89" s="49">
        <f>SUM(AA90:AA91)</f>
        <v/>
      </c>
      <c r="AB89" s="3" t="n"/>
      <c r="AC89" s="1053">
        <f>AA89/(AA$13)</f>
        <v/>
      </c>
      <c r="AD89" s="49">
        <f>SUM(AD90:AD91)</f>
        <v/>
      </c>
      <c r="AE89" s="3" t="n"/>
      <c r="AF89" s="1053">
        <f>AD89/(AD$13)</f>
        <v/>
      </c>
      <c r="AG89" s="49">
        <f>SUM(AG90:AG91)</f>
        <v/>
      </c>
      <c r="AH89" s="3" t="n"/>
      <c r="AI89" s="1053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076">
        <f>AM89/(AM$13)</f>
        <v/>
      </c>
      <c r="AQ89" s="17">
        <f>SUM(AQ90:AQ91)</f>
        <v/>
      </c>
      <c r="AR89" s="17">
        <f>AQ89/(AQ$12-AQ$9)</f>
        <v/>
      </c>
      <c r="AS89" s="1105">
        <f>AQ89/(AQ$13-AQ$20)</f>
        <v/>
      </c>
      <c r="AT89" s="1100" t="n"/>
    </row>
    <row r="90" outlineLevel="1" ht="15" customHeight="1" s="985">
      <c r="B90" s="39" t="inlineStr">
        <is>
          <t>Asesoría Juridica</t>
        </is>
      </c>
      <c r="C90" s="39" t="n"/>
      <c r="D90" s="69" t="n"/>
      <c r="E90" s="1077" t="n"/>
      <c r="F90" s="39" t="n"/>
      <c r="G90" s="69" t="n"/>
      <c r="H90" s="1077" t="n"/>
      <c r="I90" s="39" t="n"/>
      <c r="J90" s="69" t="n"/>
      <c r="K90" s="1077" t="n"/>
      <c r="L90" s="39" t="n"/>
      <c r="M90" s="69" t="n"/>
      <c r="N90" s="1077" t="n"/>
      <c r="O90" s="39" t="n"/>
      <c r="P90" s="69" t="n"/>
      <c r="Q90" s="1077" t="n"/>
      <c r="R90" s="39" t="n"/>
      <c r="S90" s="69" t="n"/>
      <c r="T90" s="1077" t="n"/>
      <c r="U90" s="39" t="n"/>
      <c r="V90" s="69" t="n"/>
      <c r="W90" s="1077" t="n"/>
      <c r="X90" s="39" t="n"/>
      <c r="Y90" s="69" t="n"/>
      <c r="Z90" s="1077" t="n"/>
      <c r="AA90" s="39" t="n"/>
      <c r="AB90" s="69" t="n"/>
      <c r="AC90" s="1077" t="n"/>
      <c r="AD90" s="39" t="n"/>
      <c r="AE90" s="69" t="n"/>
      <c r="AF90" s="1077" t="n"/>
      <c r="AG90" s="39" t="n"/>
      <c r="AH90" s="69" t="n"/>
      <c r="AI90" s="1077" t="n"/>
      <c r="AJ90" s="39" t="n"/>
      <c r="AK90" s="69" t="n"/>
      <c r="AL90" s="70" t="n"/>
      <c r="AM90" s="209">
        <f>C90+F90+I90+L90+O90+R90+U90+X90+AA90+AD90+AG90+AJ90</f>
        <v/>
      </c>
      <c r="AN90" s="69" t="n"/>
      <c r="AO90" s="1082" t="n"/>
      <c r="AQ90" s="31" t="n"/>
      <c r="AR90" s="31" t="n"/>
      <c r="AS90" s="1123" t="n"/>
      <c r="AT90" s="1230" t="n"/>
    </row>
    <row r="91" outlineLevel="1" ht="15" customHeight="1" s="985">
      <c r="B91" s="83" t="inlineStr">
        <is>
          <t>Asesoría Tecnica</t>
        </is>
      </c>
      <c r="C91" s="83" t="n"/>
      <c r="D91" s="84" t="n"/>
      <c r="E91" s="1047" t="n"/>
      <c r="F91" s="83" t="n"/>
      <c r="G91" s="84" t="n"/>
      <c r="H91" s="1047" t="n"/>
      <c r="I91" s="83" t="n"/>
      <c r="J91" s="84" t="n"/>
      <c r="K91" s="1047" t="n"/>
      <c r="L91" s="83" t="n"/>
      <c r="M91" s="84" t="n"/>
      <c r="N91" s="1047" t="n"/>
      <c r="O91" s="83" t="n"/>
      <c r="P91" s="84" t="n"/>
      <c r="Q91" s="1047" t="n"/>
      <c r="R91" s="83" t="n"/>
      <c r="S91" s="84" t="n"/>
      <c r="T91" s="1047" t="n"/>
      <c r="U91" s="83" t="n"/>
      <c r="V91" s="84" t="n"/>
      <c r="W91" s="1047" t="n"/>
      <c r="X91" s="83" t="n"/>
      <c r="Y91" s="84" t="n"/>
      <c r="Z91" s="1047" t="n"/>
      <c r="AA91" s="83" t="n"/>
      <c r="AB91" s="84" t="n"/>
      <c r="AC91" s="1047" t="n"/>
      <c r="AD91" s="83" t="n"/>
      <c r="AE91" s="84" t="n"/>
      <c r="AF91" s="1047" t="n"/>
      <c r="AG91" s="83" t="n"/>
      <c r="AH91" s="84" t="n"/>
      <c r="AI91" s="1047" t="n"/>
      <c r="AJ91" s="83" t="n"/>
      <c r="AK91" s="84" t="n"/>
      <c r="AL91" s="85" t="n"/>
      <c r="AM91" s="206">
        <f>C91+F91+I91+L91+O91+R91+U91+X91+AA91+AD91+AG91+AJ91</f>
        <v/>
      </c>
      <c r="AN91" s="84" t="n"/>
      <c r="AO91" s="1048" t="n"/>
      <c r="AQ91" s="349" t="n"/>
      <c r="AR91" s="349" t="n"/>
      <c r="AS91" s="1115" t="n"/>
      <c r="AT91" s="1230" t="n"/>
    </row>
    <row r="92" ht="15" customHeight="1" s="985">
      <c r="B92" s="16" t="inlineStr">
        <is>
          <t>ARRENDAMIENTOS</t>
        </is>
      </c>
      <c r="C92" s="49">
        <f>SUM(C93:C95)</f>
        <v/>
      </c>
      <c r="D92" s="3" t="n"/>
      <c r="E92" s="1053" t="n"/>
      <c r="F92" s="49">
        <f>SUM(F93:F95)</f>
        <v/>
      </c>
      <c r="G92" s="3" t="n"/>
      <c r="H92" s="1053">
        <f>F92/(F$13)</f>
        <v/>
      </c>
      <c r="I92" s="90">
        <f>SUM(I93:I95)</f>
        <v/>
      </c>
      <c r="J92" s="3" t="n"/>
      <c r="K92" s="1053">
        <f>I92/(I$13)</f>
        <v/>
      </c>
      <c r="L92" s="49">
        <f>SUM(L93:L95)</f>
        <v/>
      </c>
      <c r="M92" s="3" t="n"/>
      <c r="N92" s="1053" t="n"/>
      <c r="O92" s="49">
        <f>SUM(O93:O95)</f>
        <v/>
      </c>
      <c r="P92" s="3" t="n"/>
      <c r="Q92" s="1053" t="n"/>
      <c r="R92" s="49">
        <f>SUM(R93:R95)</f>
        <v/>
      </c>
      <c r="S92" s="3" t="n"/>
      <c r="T92" s="1053">
        <f>R92/(R$13)</f>
        <v/>
      </c>
      <c r="U92" s="49">
        <f>SUM(U93:U95)</f>
        <v/>
      </c>
      <c r="V92" s="3" t="n"/>
      <c r="W92" s="1053">
        <f>U92/(U$13)</f>
        <v/>
      </c>
      <c r="X92" s="49">
        <f>SUM(X93:X95)</f>
        <v/>
      </c>
      <c r="Y92" s="3" t="n"/>
      <c r="Z92" s="1053">
        <f>X92/(X$13)</f>
        <v/>
      </c>
      <c r="AA92" s="49">
        <f>SUM(AA93:AA95)</f>
        <v/>
      </c>
      <c r="AB92" s="3" t="n"/>
      <c r="AC92" s="1053">
        <f>AA92/(AA$13)</f>
        <v/>
      </c>
      <c r="AD92" s="49">
        <f>SUM(AD93:AD95)</f>
        <v/>
      </c>
      <c r="AE92" s="3" t="n"/>
      <c r="AF92" s="1053">
        <f>AD92/(AD$13)</f>
        <v/>
      </c>
      <c r="AG92" s="49">
        <f>SUM(AG93:AG95)</f>
        <v/>
      </c>
      <c r="AH92" s="3" t="n"/>
      <c r="AI92" s="1053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076">
        <f>AM92/(AM$13)</f>
        <v/>
      </c>
      <c r="AQ92" s="17">
        <f>SUM(AQ93:AQ95)</f>
        <v/>
      </c>
      <c r="AR92" s="17">
        <f>AQ92/(AQ$12-AQ$9)</f>
        <v/>
      </c>
      <c r="AS92" s="1105">
        <f>AQ92/(AQ$13-AQ$20)</f>
        <v/>
      </c>
      <c r="AT92" s="1100" t="n"/>
    </row>
    <row r="93" outlineLevel="1" ht="15" customHeight="1" s="985">
      <c r="B93" s="39" t="inlineStr">
        <is>
          <t>Construcciones y Edificaciones</t>
        </is>
      </c>
      <c r="C93" s="39" t="n"/>
      <c r="D93" s="69" t="n"/>
      <c r="E93" s="1077" t="n"/>
      <c r="F93" s="39" t="n"/>
      <c r="G93" s="69" t="n"/>
      <c r="H93" s="1077" t="n"/>
      <c r="I93" s="39" t="n"/>
      <c r="J93" s="69" t="n"/>
      <c r="K93" s="1077" t="n"/>
      <c r="L93" s="39" t="n"/>
      <c r="M93" s="69" t="n"/>
      <c r="N93" s="1077" t="n"/>
      <c r="O93" s="39" t="n"/>
      <c r="P93" s="69" t="n"/>
      <c r="Q93" s="1077" t="n"/>
      <c r="R93" s="39" t="n"/>
      <c r="S93" s="69" t="n"/>
      <c r="T93" s="1077" t="n"/>
      <c r="U93" s="39" t="n"/>
      <c r="V93" s="69" t="n"/>
      <c r="W93" s="1077" t="n"/>
      <c r="X93" s="39" t="n"/>
      <c r="Y93" s="69" t="n"/>
      <c r="Z93" s="1077" t="n"/>
      <c r="AA93" s="39" t="n"/>
      <c r="AB93" s="69" t="n"/>
      <c r="AC93" s="1077" t="n"/>
      <c r="AD93" s="39" t="n"/>
      <c r="AE93" s="69" t="n"/>
      <c r="AF93" s="1077" t="n"/>
      <c r="AG93" s="39" t="n"/>
      <c r="AH93" s="69" t="n"/>
      <c r="AI93" s="1077" t="n"/>
      <c r="AJ93" s="39" t="n"/>
      <c r="AK93" s="69" t="n"/>
      <c r="AL93" s="70" t="n"/>
      <c r="AM93" s="209">
        <f>C93+F93+I93+L93+O93+R93+U93+X93+AA93+AD93+AG93+AJ93</f>
        <v/>
      </c>
      <c r="AN93" s="69" t="n"/>
      <c r="AO93" s="1082" t="n"/>
      <c r="AQ93" s="31" t="n"/>
      <c r="AR93" s="31" t="n"/>
      <c r="AS93" s="1123" t="n"/>
      <c r="AT93" s="1230" t="n"/>
    </row>
    <row r="94" outlineLevel="1" ht="15" customHeight="1" s="985">
      <c r="B94" s="25" t="inlineStr">
        <is>
          <t>Maquinaria y Equipo</t>
        </is>
      </c>
      <c r="C94" s="25" t="n"/>
      <c r="D94" s="43" t="n"/>
      <c r="E94" s="1045" t="n"/>
      <c r="F94" s="25" t="n"/>
      <c r="G94" s="43" t="n"/>
      <c r="H94" s="1045" t="n"/>
      <c r="I94" s="25" t="n"/>
      <c r="J94" s="43" t="n"/>
      <c r="K94" s="1045" t="n"/>
      <c r="L94" s="25" t="n"/>
      <c r="M94" s="43" t="n"/>
      <c r="N94" s="1045" t="n"/>
      <c r="O94" s="25" t="n"/>
      <c r="P94" s="43" t="n"/>
      <c r="Q94" s="1045" t="n"/>
      <c r="R94" s="25" t="n"/>
      <c r="S94" s="43" t="n"/>
      <c r="T94" s="1045" t="n"/>
      <c r="U94" s="25" t="n"/>
      <c r="V94" s="43" t="n"/>
      <c r="W94" s="1045" t="n"/>
      <c r="X94" s="25" t="n"/>
      <c r="Y94" s="43" t="n"/>
      <c r="Z94" s="1045" t="n"/>
      <c r="AA94" s="25" t="n"/>
      <c r="AB94" s="43" t="n"/>
      <c r="AC94" s="1045" t="n"/>
      <c r="AD94" s="25" t="n"/>
      <c r="AE94" s="43" t="n"/>
      <c r="AF94" s="1045" t="n"/>
      <c r="AG94" s="25" t="n"/>
      <c r="AH94" s="43" t="n"/>
      <c r="AI94" s="1045" t="n"/>
      <c r="AJ94" s="25" t="n"/>
      <c r="AK94" s="43" t="n"/>
      <c r="AL94" s="57" t="n"/>
      <c r="AM94" s="205">
        <f>C94+F94+I94+L94+O94+R94+U94+X94+AA94+AD94+AG94+AJ94</f>
        <v/>
      </c>
      <c r="AN94" s="43" t="n"/>
      <c r="AO94" s="1046" t="n"/>
      <c r="AQ94" s="24" t="n"/>
      <c r="AR94" s="24" t="n"/>
      <c r="AS94" s="1108" t="n"/>
      <c r="AT94" s="1230" t="n"/>
    </row>
    <row r="95" outlineLevel="1" ht="15" customHeight="1" s="985">
      <c r="B95" s="28" t="inlineStr">
        <is>
          <t>Equipo de Oficina</t>
        </is>
      </c>
      <c r="C95" s="28" t="n"/>
      <c r="D95" s="45" t="n"/>
      <c r="E95" s="1073" t="n"/>
      <c r="F95" s="28" t="n"/>
      <c r="G95" s="45" t="n"/>
      <c r="H95" s="1073" t="n"/>
      <c r="I95" s="28" t="n"/>
      <c r="J95" s="45" t="n"/>
      <c r="K95" s="1073" t="n"/>
      <c r="L95" s="28" t="n"/>
      <c r="M95" s="45" t="n"/>
      <c r="N95" s="1073" t="n"/>
      <c r="O95" s="28" t="n"/>
      <c r="P95" s="45" t="n"/>
      <c r="Q95" s="1073" t="n"/>
      <c r="R95" s="28" t="n"/>
      <c r="S95" s="45" t="n"/>
      <c r="T95" s="1073" t="n"/>
      <c r="U95" s="28" t="n"/>
      <c r="V95" s="45" t="n"/>
      <c r="W95" s="1073" t="n"/>
      <c r="X95" s="28" t="n"/>
      <c r="Y95" s="45" t="n"/>
      <c r="Z95" s="1073" t="n"/>
      <c r="AA95" s="28" t="n"/>
      <c r="AB95" s="45" t="n"/>
      <c r="AC95" s="1073" t="n"/>
      <c r="AD95" s="28" t="n"/>
      <c r="AE95" s="45" t="n"/>
      <c r="AF95" s="1073" t="n"/>
      <c r="AG95" s="28" t="n"/>
      <c r="AH95" s="45" t="n"/>
      <c r="AI95" s="1073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083" t="n"/>
      <c r="AQ95" s="27" t="n"/>
      <c r="AR95" s="27" t="n"/>
      <c r="AS95" s="1119" t="n"/>
      <c r="AT95" s="1230" t="n"/>
    </row>
    <row r="96" ht="15" customHeight="1" s="985">
      <c r="B96" s="106" t="inlineStr">
        <is>
          <t>SEGUROS</t>
        </is>
      </c>
      <c r="C96" s="49">
        <f>SUM(C97:C98)</f>
        <v/>
      </c>
      <c r="D96" s="3" t="n"/>
      <c r="E96" s="1053" t="n"/>
      <c r="F96" s="49">
        <f>SUM(F97:F98)</f>
        <v/>
      </c>
      <c r="G96" s="3" t="n"/>
      <c r="H96" s="1053">
        <f>F96/(F$13)</f>
        <v/>
      </c>
      <c r="I96" s="90">
        <f>SUM(I97:I98)</f>
        <v/>
      </c>
      <c r="J96" s="3" t="n"/>
      <c r="K96" s="1053">
        <f>I96/(I$13)</f>
        <v/>
      </c>
      <c r="L96" s="49">
        <f>SUM(L97:L98)</f>
        <v/>
      </c>
      <c r="M96" s="3" t="n"/>
      <c r="N96" s="132">
        <f>L96/AM13</f>
        <v/>
      </c>
      <c r="O96" s="49">
        <f>SUM(O97:O98)</f>
        <v/>
      </c>
      <c r="P96" s="3" t="n"/>
      <c r="Q96" s="1053" t="n"/>
      <c r="R96" s="49">
        <f>SUM(R97:R98)</f>
        <v/>
      </c>
      <c r="S96" s="3" t="n"/>
      <c r="T96" s="1053">
        <f>R96/(R$13)</f>
        <v/>
      </c>
      <c r="U96" s="49">
        <f>SUM(U97:U98)</f>
        <v/>
      </c>
      <c r="V96" s="3" t="n"/>
      <c r="W96" s="1053">
        <f>U96/(U$13)</f>
        <v/>
      </c>
      <c r="X96" s="49">
        <f>SUM(X97:X98)</f>
        <v/>
      </c>
      <c r="Y96" s="3" t="n"/>
      <c r="Z96" s="1053">
        <f>X96/(X$13)</f>
        <v/>
      </c>
      <c r="AA96" s="49">
        <f>SUM(AA97:AA98)</f>
        <v/>
      </c>
      <c r="AB96" s="3" t="n"/>
      <c r="AC96" s="1053">
        <f>AA96/(AA$13)</f>
        <v/>
      </c>
      <c r="AD96" s="49">
        <f>SUM(AD97:AD98)</f>
        <v/>
      </c>
      <c r="AE96" s="3" t="n"/>
      <c r="AF96" s="1053">
        <f>AD96/(AD$13)</f>
        <v/>
      </c>
      <c r="AG96" s="49">
        <f>SUM(AG97:AG98)</f>
        <v/>
      </c>
      <c r="AH96" s="3" t="n"/>
      <c r="AI96" s="1053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076">
        <f>AM96/(AM$13)</f>
        <v/>
      </c>
      <c r="AQ96" s="17">
        <f>SUM(AQ97:AQ98)</f>
        <v/>
      </c>
      <c r="AR96" s="17">
        <f>AQ96/(AQ$12-AQ$9)</f>
        <v/>
      </c>
      <c r="AS96" s="1105">
        <f>AQ96/(AQ$13-AQ$20)</f>
        <v/>
      </c>
      <c r="AT96" s="1100" t="n"/>
    </row>
    <row r="97" outlineLevel="1" ht="15" customFormat="1" customHeight="1" s="108">
      <c r="A97" s="229" t="n"/>
      <c r="B97" s="39" t="inlineStr">
        <is>
          <t xml:space="preserve">Cumplimiento </t>
        </is>
      </c>
      <c r="C97" s="39" t="n"/>
      <c r="D97" s="69" t="n"/>
      <c r="E97" s="1077" t="n"/>
      <c r="F97" s="39" t="n"/>
      <c r="G97" s="69" t="n"/>
      <c r="H97" s="1077" t="n"/>
      <c r="I97" s="39" t="n"/>
      <c r="J97" s="69" t="n"/>
      <c r="K97" s="1077" t="n"/>
      <c r="L97" s="39" t="n"/>
      <c r="M97" s="69" t="n"/>
      <c r="N97" s="1077" t="n"/>
      <c r="O97" s="39" t="n"/>
      <c r="P97" s="69" t="n"/>
      <c r="Q97" s="1077" t="n"/>
      <c r="R97" s="39" t="n"/>
      <c r="S97" s="69" t="n"/>
      <c r="T97" s="1077" t="n"/>
      <c r="U97" s="39" t="n"/>
      <c r="V97" s="69" t="n"/>
      <c r="W97" s="1077" t="n"/>
      <c r="X97" s="39" t="n"/>
      <c r="Y97" s="69" t="n"/>
      <c r="Z97" s="1077" t="n"/>
      <c r="AA97" s="39" t="n"/>
      <c r="AB97" s="69" t="n"/>
      <c r="AC97" s="1077" t="n"/>
      <c r="AD97" s="39" t="n"/>
      <c r="AE97" s="69" t="n"/>
      <c r="AF97" s="1077" t="n"/>
      <c r="AG97" s="39" t="n"/>
      <c r="AH97" s="69" t="n"/>
      <c r="AI97" s="1077" t="n"/>
      <c r="AJ97" s="39" t="n"/>
      <c r="AK97" s="69" t="n"/>
      <c r="AL97" s="70" t="n"/>
      <c r="AM97" s="209">
        <f>C97+F97+I97+L97+O97+R97+U97+X97+AA97+AD97+AG97+AJ97</f>
        <v/>
      </c>
      <c r="AN97" s="69" t="n"/>
      <c r="AO97" s="1082" t="n"/>
      <c r="AQ97" s="31" t="n"/>
      <c r="AR97" s="31" t="n"/>
      <c r="AS97" s="1123" t="n"/>
      <c r="AT97" s="1230" t="n"/>
    </row>
    <row r="98" outlineLevel="1" ht="15" customFormat="1" customHeight="1" s="108">
      <c r="A98" s="229" t="n"/>
      <c r="B98" s="275" t="inlineStr">
        <is>
          <t>Respomsabilidad Civil Y Extracontractual</t>
        </is>
      </c>
      <c r="C98" s="275" t="n"/>
      <c r="D98" s="276" t="n"/>
      <c r="E98" s="1084" t="n"/>
      <c r="F98" s="275" t="n"/>
      <c r="G98" s="276" t="n"/>
      <c r="H98" s="1084" t="n"/>
      <c r="I98" s="275" t="n"/>
      <c r="J98" s="276" t="n"/>
      <c r="K98" s="1084" t="n"/>
      <c r="L98" s="275" t="n"/>
      <c r="M98" s="276" t="n"/>
      <c r="N98" s="1084" t="n"/>
      <c r="O98" s="275" t="n"/>
      <c r="P98" s="276" t="n"/>
      <c r="Q98" s="1084" t="n"/>
      <c r="R98" s="275" t="n"/>
      <c r="S98" s="276" t="n"/>
      <c r="T98" s="1084" t="n"/>
      <c r="U98" s="275" t="n"/>
      <c r="V98" s="276" t="n"/>
      <c r="W98" s="1084" t="n"/>
      <c r="X98" s="275" t="n"/>
      <c r="Y98" s="276" t="n"/>
      <c r="Z98" s="1084" t="n"/>
      <c r="AA98" s="275" t="n"/>
      <c r="AB98" s="276" t="n"/>
      <c r="AC98" s="1084" t="n"/>
      <c r="AD98" s="275" t="n"/>
      <c r="AE98" s="276" t="n"/>
      <c r="AF98" s="1084" t="n"/>
      <c r="AG98" s="275" t="n"/>
      <c r="AH98" s="276" t="n"/>
      <c r="AI98" s="1084" t="n"/>
      <c r="AJ98" s="275" t="n"/>
      <c r="AK98" s="276" t="n"/>
      <c r="AL98" s="277" t="n"/>
      <c r="AM98" s="278">
        <f>C98+F98+I98+L98+O98+R98+U98+X98+AA98+AD98+AG98+AJ98</f>
        <v/>
      </c>
      <c r="AN98" s="276" t="n"/>
      <c r="AO98" s="1085" t="n"/>
      <c r="AQ98" s="279" t="n"/>
      <c r="AR98" s="279" t="n"/>
      <c r="AS98" s="1125" t="n"/>
      <c r="AT98" s="1230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 t="n"/>
      <c r="F99" s="49">
        <f>SUM(F100:F108)</f>
        <v/>
      </c>
      <c r="G99" s="3" t="n"/>
      <c r="H99" s="1053">
        <f>F99/(F$13)</f>
        <v/>
      </c>
      <c r="I99" s="90">
        <f>SUM(I100:I106)</f>
        <v/>
      </c>
      <c r="J99" s="3" t="n"/>
      <c r="K99" s="1053">
        <f>I99/(I$13)</f>
        <v/>
      </c>
      <c r="L99" s="49">
        <f>SUM(L100:L108)</f>
        <v/>
      </c>
      <c r="M99" s="3" t="n"/>
      <c r="N99" s="1053" t="n"/>
      <c r="O99" s="49">
        <f>SUM(O100:O108)</f>
        <v/>
      </c>
      <c r="P99" s="3" t="n"/>
      <c r="Q99" s="1053" t="n"/>
      <c r="R99" s="49">
        <f>SUM(R100:R108)</f>
        <v/>
      </c>
      <c r="S99" s="3" t="n"/>
      <c r="T99" s="1053">
        <f>R99/(R$13)</f>
        <v/>
      </c>
      <c r="U99" s="49">
        <f>SUM(U100:U108)</f>
        <v/>
      </c>
      <c r="V99" s="3" t="n"/>
      <c r="W99" s="1053">
        <f>U99/(U$13)</f>
        <v/>
      </c>
      <c r="X99" s="49">
        <f>SUM(X100:X108)</f>
        <v/>
      </c>
      <c r="Y99" s="3" t="n"/>
      <c r="Z99" s="1053">
        <f>X99/(X$13)</f>
        <v/>
      </c>
      <c r="AA99" s="49">
        <f>SUM(AA100:AA108)</f>
        <v/>
      </c>
      <c r="AB99" s="3" t="n"/>
      <c r="AC99" s="1053">
        <f>AA99/(AA$13)</f>
        <v/>
      </c>
      <c r="AD99" s="49">
        <f>SUM(AD100:AD108)</f>
        <v/>
      </c>
      <c r="AE99" s="3" t="n"/>
      <c r="AF99" s="1053">
        <f>AD99/(AD$13)</f>
        <v/>
      </c>
      <c r="AG99" s="49">
        <f>SUM(AG100:AG108)</f>
        <v/>
      </c>
      <c r="AH99" s="3" t="n"/>
      <c r="AI99" s="1053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076">
        <f>AM99/(AM$13)</f>
        <v/>
      </c>
      <c r="AQ99" s="17">
        <f>SUM(AQ100:AQ108)</f>
        <v/>
      </c>
      <c r="AR99" s="17">
        <f>AQ99/(AQ$12-AQ$9)</f>
        <v/>
      </c>
      <c r="AS99" s="1105">
        <f>AQ99/(AQ$13-AQ$20)</f>
        <v/>
      </c>
      <c r="AT99" s="1100" t="n"/>
    </row>
    <row r="100" outlineLevel="1" ht="15" customHeight="1" s="985">
      <c r="B100" s="39" t="inlineStr">
        <is>
          <t>Aseo y Vigilancia</t>
        </is>
      </c>
      <c r="C100" s="39" t="n"/>
      <c r="D100" s="69" t="n"/>
      <c r="E100" s="1077" t="n"/>
      <c r="F100" s="39" t="n"/>
      <c r="G100" s="69" t="n"/>
      <c r="H100" s="1077" t="n"/>
      <c r="I100" s="39" t="n"/>
      <c r="J100" s="69" t="n"/>
      <c r="K100" s="1077" t="n"/>
      <c r="L100" s="39" t="n"/>
      <c r="M100" s="69" t="n"/>
      <c r="N100" s="1077" t="n"/>
      <c r="O100" s="39" t="n"/>
      <c r="P100" s="69" t="n"/>
      <c r="Q100" s="1077" t="n"/>
      <c r="R100" s="39" t="n"/>
      <c r="S100" s="69" t="n"/>
      <c r="T100" s="1077" t="n"/>
      <c r="U100" s="39" t="n"/>
      <c r="V100" s="69" t="n"/>
      <c r="W100" s="1077" t="n"/>
      <c r="X100" s="39" t="n"/>
      <c r="Y100" s="69" t="n"/>
      <c r="Z100" s="1077" t="n"/>
      <c r="AA100" s="39" t="n"/>
      <c r="AB100" s="69" t="n"/>
      <c r="AC100" s="1077" t="n"/>
      <c r="AD100" s="39" t="n"/>
      <c r="AE100" s="69" t="n"/>
      <c r="AF100" s="1077" t="n"/>
      <c r="AG100" s="39" t="n"/>
      <c r="AH100" s="69" t="n"/>
      <c r="AI100" s="1077" t="n"/>
      <c r="AJ100" s="39" t="n"/>
      <c r="AK100" s="69" t="n"/>
      <c r="AL100" s="70" t="n"/>
      <c r="AM100" s="209">
        <f>C100+F100+I100+L100+O100+R100+U100+X100+AA100+AD100+AG100+AJ100</f>
        <v/>
      </c>
      <c r="AN100" s="69" t="n"/>
      <c r="AO100" s="1082" t="n"/>
      <c r="AQ100" s="31" t="n"/>
      <c r="AR100" s="31" t="n"/>
      <c r="AS100" s="1123" t="n"/>
      <c r="AT100" s="1230" t="n"/>
    </row>
    <row r="101" outlineLevel="1" ht="15" customHeight="1" s="985">
      <c r="B101" s="25" t="inlineStr">
        <is>
          <t>Temporales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  <c r="AQ101" s="24" t="n"/>
      <c r="AR101" s="24" t="n"/>
      <c r="AS101" s="1108" t="n"/>
      <c r="AT101" s="1230" t="n"/>
    </row>
    <row r="102" outlineLevel="1" ht="15" customHeight="1" s="985">
      <c r="B102" s="25" t="inlineStr">
        <is>
          <t>Mensajeria</t>
        </is>
      </c>
      <c r="C102" s="25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  <c r="AQ102" s="24" t="n"/>
      <c r="AR102" s="24" t="n"/>
      <c r="AS102" s="1108" t="n"/>
      <c r="AT102" s="1230" t="n"/>
    </row>
    <row r="103" outlineLevel="1" ht="15" customHeight="1" s="985">
      <c r="B103" s="25" t="inlineStr">
        <is>
          <t>Laboratorio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  <c r="AQ103" s="24" t="n"/>
      <c r="AR103" s="24" t="n"/>
      <c r="AS103" s="1108" t="n"/>
      <c r="AT103" s="1230" t="n"/>
    </row>
    <row r="104" outlineLevel="1" ht="15" customHeight="1" s="985">
      <c r="B104" s="25" t="inlineStr">
        <is>
          <t>Fumigacion</t>
        </is>
      </c>
      <c r="C104" s="281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  <c r="AQ104" s="24" t="n"/>
      <c r="AR104" s="24" t="n"/>
      <c r="AS104" s="1108" t="n"/>
      <c r="AT104" s="1230" t="n"/>
    </row>
    <row r="105" outlineLevel="1" ht="15" customHeight="1" s="985">
      <c r="B105" s="24" t="inlineStr">
        <is>
          <t>Acueducto y Alcantarillado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5" t="n"/>
      <c r="M105" s="43" t="n"/>
      <c r="N105" s="1045" t="n"/>
      <c r="O105" s="25" t="n"/>
      <c r="P105" s="43" t="n"/>
      <c r="Q105" s="1045" t="n"/>
      <c r="R105" s="25" t="n"/>
      <c r="S105" s="43" t="n"/>
      <c r="T105" s="1045" t="n"/>
      <c r="U105" s="25" t="n"/>
      <c r="V105" s="43" t="n"/>
      <c r="W105" s="1045" t="n"/>
      <c r="X105" s="25" t="n"/>
      <c r="Y105" s="43" t="n"/>
      <c r="Z105" s="1045" t="n"/>
      <c r="AA105" s="25" t="n"/>
      <c r="AB105" s="43" t="n"/>
      <c r="AC105" s="1045" t="n"/>
      <c r="AD105" s="25" t="n"/>
      <c r="AE105" s="43" t="n"/>
      <c r="AF105" s="1045" t="n"/>
      <c r="AG105" s="25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  <c r="AQ105" s="24" t="n"/>
      <c r="AR105" s="24" t="n"/>
      <c r="AS105" s="1108" t="n"/>
      <c r="AT105" s="1230" t="n"/>
    </row>
    <row r="106" outlineLevel="1" ht="15" customHeight="1" s="985">
      <c r="B106" s="24" t="inlineStr">
        <is>
          <t>Energia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391" t="n"/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  <c r="AQ106" s="24" t="n"/>
      <c r="AR106" s="24" t="n"/>
      <c r="AS106" s="1108" t="n"/>
      <c r="AT106" s="1230" t="n"/>
    </row>
    <row r="107" outlineLevel="1" ht="15" customHeight="1" s="985">
      <c r="B107" s="24" t="inlineStr">
        <is>
          <t>Telefono e Internet</t>
        </is>
      </c>
      <c r="C107" s="25" t="n"/>
      <c r="D107" s="43" t="n"/>
      <c r="E107" s="1045" t="n"/>
      <c r="F107" s="25" t="n"/>
      <c r="G107" s="43" t="n"/>
      <c r="H107" s="1045" t="n"/>
      <c r="I107" s="25" t="n"/>
      <c r="J107" s="43" t="n"/>
      <c r="K107" s="1045" t="n"/>
      <c r="L107" s="391" t="n"/>
      <c r="M107" s="43" t="n"/>
      <c r="N107" s="1045" t="n"/>
      <c r="O107" s="274" t="n"/>
      <c r="P107" s="43" t="n"/>
      <c r="Q107" s="1045" t="n"/>
      <c r="R107" s="274" t="n"/>
      <c r="S107" s="43" t="n"/>
      <c r="T107" s="1045" t="n"/>
      <c r="U107" s="274" t="n"/>
      <c r="V107" s="43" t="n"/>
      <c r="W107" s="1045" t="n"/>
      <c r="X107" s="274" t="n"/>
      <c r="Y107" s="43" t="n"/>
      <c r="Z107" s="1045" t="n"/>
      <c r="AA107" s="274" t="n"/>
      <c r="AB107" s="43" t="n"/>
      <c r="AC107" s="1045" t="n"/>
      <c r="AD107" s="282" t="n"/>
      <c r="AE107" s="43" t="n"/>
      <c r="AF107" s="1045" t="n"/>
      <c r="AG107" s="283" t="n"/>
      <c r="AH107" s="43" t="n"/>
      <c r="AI107" s="1045" t="n"/>
      <c r="AJ107" s="25" t="n"/>
      <c r="AK107" s="43" t="n"/>
      <c r="AL107" s="57" t="n"/>
      <c r="AM107" s="205">
        <f>C107+F107+I107+L107+O107+R107+U107+X107+AA107+AD107+AG107+AJ107</f>
        <v/>
      </c>
      <c r="AN107" s="43" t="n"/>
      <c r="AO107" s="1046" t="n"/>
      <c r="AQ107" s="24" t="n"/>
      <c r="AR107" s="24" t="n"/>
      <c r="AS107" s="1108" t="n"/>
      <c r="AT107" s="1230" t="n"/>
    </row>
    <row r="108" outlineLevel="1" ht="15" customHeight="1" s="985">
      <c r="B108" s="99" t="inlineStr">
        <is>
          <t>Correo, porte y telegramas</t>
        </is>
      </c>
      <c r="C108" s="22" t="n"/>
      <c r="D108" s="42" t="n"/>
      <c r="E108" s="1057" t="n"/>
      <c r="F108" s="2" t="n"/>
      <c r="G108" s="42" t="n"/>
      <c r="H108" s="1057" t="n"/>
      <c r="I108" s="108" t="n"/>
      <c r="J108" s="42" t="n"/>
      <c r="K108" s="1057" t="n"/>
      <c r="L108" s="451" t="n"/>
      <c r="M108" s="42" t="n"/>
      <c r="N108" s="1057" t="n"/>
      <c r="O108" s="2" t="n"/>
      <c r="P108" s="42" t="n"/>
      <c r="Q108" s="1057" t="n"/>
      <c r="R108" s="2" t="n"/>
      <c r="S108" s="42" t="n"/>
      <c r="T108" s="1057" t="n"/>
      <c r="U108" s="2" t="n"/>
      <c r="V108" s="42" t="n"/>
      <c r="W108" s="1057" t="n"/>
      <c r="X108" s="2" t="n"/>
      <c r="Y108" s="42" t="n"/>
      <c r="Z108" s="1057" t="n"/>
      <c r="AA108" s="2" t="n"/>
      <c r="AB108" s="42" t="n"/>
      <c r="AC108" s="1057" t="n"/>
      <c r="AD108" s="2" t="n"/>
      <c r="AE108" s="42" t="n"/>
      <c r="AF108" s="1057" t="n"/>
      <c r="AG108" s="28" t="n"/>
      <c r="AH108" s="42" t="n"/>
      <c r="AI108" s="1057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058" t="n"/>
      <c r="AQ108" s="23" t="n"/>
      <c r="AR108" s="23" t="n"/>
      <c r="AS108" s="1107" t="n"/>
      <c r="AT108" s="1230" t="n"/>
    </row>
    <row r="109" ht="15" customHeight="1" s="985">
      <c r="B109" s="16" t="inlineStr">
        <is>
          <t>GASTOS LEGALES</t>
        </is>
      </c>
      <c r="C109" s="49">
        <f>SUM(C110:C113)</f>
        <v/>
      </c>
      <c r="D109" s="3" t="n"/>
      <c r="E109" s="1053" t="n"/>
      <c r="F109" s="49">
        <f>SUM(F110:F113)</f>
        <v/>
      </c>
      <c r="G109" s="3" t="n"/>
      <c r="H109" s="1053">
        <f>F109/(F$13)</f>
        <v/>
      </c>
      <c r="I109" s="90">
        <f>SUM(I110:I113)</f>
        <v/>
      </c>
      <c r="J109" s="3" t="n"/>
      <c r="K109" s="1053">
        <f>I109/(I$13)</f>
        <v/>
      </c>
      <c r="L109" s="49">
        <f>SUM(L110:L113)</f>
        <v/>
      </c>
      <c r="M109" s="3" t="n"/>
      <c r="N109" s="1053" t="n"/>
      <c r="O109" s="49">
        <f>SUM(O110:O113)</f>
        <v/>
      </c>
      <c r="P109" s="3" t="n"/>
      <c r="Q109" s="1053" t="n"/>
      <c r="R109" s="49">
        <f>SUM(R110:R113)</f>
        <v/>
      </c>
      <c r="S109" s="3" t="n"/>
      <c r="T109" s="1053">
        <f>R109/(R$13)</f>
        <v/>
      </c>
      <c r="U109" s="49">
        <f>SUM(U110:U113)</f>
        <v/>
      </c>
      <c r="V109" s="3" t="n"/>
      <c r="W109" s="1053">
        <f>U109/(U$13)</f>
        <v/>
      </c>
      <c r="X109" s="49">
        <f>SUM(X110:X113)</f>
        <v/>
      </c>
      <c r="Y109" s="3" t="n"/>
      <c r="Z109" s="1053">
        <f>X109/(X$13)</f>
        <v/>
      </c>
      <c r="AA109" s="49">
        <f>SUM(AA110:AA113)</f>
        <v/>
      </c>
      <c r="AB109" s="3" t="n"/>
      <c r="AC109" s="1053">
        <f>AA109/(AA$13)</f>
        <v/>
      </c>
      <c r="AD109" s="49">
        <f>SUM(AD110:AD113)</f>
        <v/>
      </c>
      <c r="AE109" s="3" t="n"/>
      <c r="AF109" s="1053">
        <f>AD109/(AD$13)</f>
        <v/>
      </c>
      <c r="AG109" s="49">
        <f>SUM(AG110:AG113)</f>
        <v/>
      </c>
      <c r="AH109" s="3" t="n"/>
      <c r="AI109" s="1053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076">
        <f>AM109/(AM$13)</f>
        <v/>
      </c>
      <c r="AQ109" s="17">
        <f>SUM(AQ110:AQ113)</f>
        <v/>
      </c>
      <c r="AR109" s="17">
        <f>AQ109/(AQ$12-AQ$9)</f>
        <v/>
      </c>
      <c r="AS109" s="1105">
        <f>AQ109/(AQ$13-AQ$20)</f>
        <v/>
      </c>
      <c r="AT109" s="1100" t="n"/>
    </row>
    <row r="110" outlineLevel="1" ht="15" customHeight="1" s="985">
      <c r="B110" s="39" t="inlineStr">
        <is>
          <t>Notariales</t>
        </is>
      </c>
      <c r="C110" s="39" t="n"/>
      <c r="D110" s="69" t="n"/>
      <c r="E110" s="1077" t="n"/>
      <c r="F110" s="39" t="n"/>
      <c r="G110" s="69" t="n"/>
      <c r="H110" s="1077" t="n"/>
      <c r="I110" s="39" t="n"/>
      <c r="J110" s="69" t="n"/>
      <c r="K110" s="1077" t="n"/>
      <c r="L110" s="39" t="n"/>
      <c r="M110" s="69" t="n"/>
      <c r="N110" s="1077" t="n"/>
      <c r="O110" s="39" t="n"/>
      <c r="P110" s="69" t="n"/>
      <c r="Q110" s="1077" t="n"/>
      <c r="R110" s="39" t="n"/>
      <c r="S110" s="69" t="n"/>
      <c r="T110" s="1077" t="n"/>
      <c r="U110" s="39" t="n"/>
      <c r="V110" s="69" t="n"/>
      <c r="W110" s="1077" t="n"/>
      <c r="X110" s="39" t="n"/>
      <c r="Y110" s="69" t="n"/>
      <c r="Z110" s="1077" t="n"/>
      <c r="AA110" s="39" t="n"/>
      <c r="AB110" s="69" t="n"/>
      <c r="AC110" s="1077" t="n"/>
      <c r="AD110" s="39" t="n"/>
      <c r="AE110" s="69" t="n"/>
      <c r="AF110" s="1077" t="n"/>
      <c r="AG110" s="39" t="n"/>
      <c r="AH110" s="69" t="n"/>
      <c r="AI110" s="1077" t="n"/>
      <c r="AJ110" s="39" t="n"/>
      <c r="AK110" s="69" t="n"/>
      <c r="AL110" s="70" t="n"/>
      <c r="AM110" s="209">
        <f>C110+F110+I110+L110+O110+R110+U110+X110+AA110+AD110+AG110+AJ110</f>
        <v/>
      </c>
      <c r="AN110" s="69" t="n"/>
      <c r="AO110" s="1082" t="n"/>
      <c r="AQ110" s="31" t="n"/>
      <c r="AR110" s="31" t="n"/>
      <c r="AS110" s="1123" t="n"/>
      <c r="AT110" s="1230" t="n"/>
    </row>
    <row r="111" outlineLevel="1" ht="15" customHeight="1" s="985">
      <c r="B111" s="25" t="inlineStr">
        <is>
          <t>Registro Mercantil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  <c r="AQ111" s="24" t="n"/>
      <c r="AR111" s="24" t="n"/>
      <c r="AS111" s="1108" t="n"/>
      <c r="AT111" s="1230" t="n"/>
    </row>
    <row r="112" outlineLevel="1" ht="15" customHeight="1" s="985">
      <c r="B112" s="25" t="inlineStr">
        <is>
          <t>Trámites y Licencias</t>
        </is>
      </c>
      <c r="C112" s="25" t="n"/>
      <c r="D112" s="43" t="n"/>
      <c r="E112" s="1045" t="n"/>
      <c r="F112" s="25" t="n"/>
      <c r="G112" s="43" t="n"/>
      <c r="H112" s="1045" t="n"/>
      <c r="I112" s="25" t="n"/>
      <c r="J112" s="43" t="n"/>
      <c r="K112" s="1045" t="n"/>
      <c r="L112" s="25" t="n"/>
      <c r="M112" s="43" t="n"/>
      <c r="N112" s="1045" t="n"/>
      <c r="O112" s="25" t="n"/>
      <c r="P112" s="43" t="n"/>
      <c r="Q112" s="1045" t="n"/>
      <c r="R112" s="25" t="n"/>
      <c r="S112" s="43" t="n"/>
      <c r="T112" s="1045" t="n"/>
      <c r="U112" s="25" t="n"/>
      <c r="V112" s="43" t="n"/>
      <c r="W112" s="1045" t="n"/>
      <c r="X112" s="25" t="n"/>
      <c r="Y112" s="43" t="n"/>
      <c r="Z112" s="1045" t="n"/>
      <c r="AA112" s="25" t="n"/>
      <c r="AB112" s="43" t="n"/>
      <c r="AC112" s="1045" t="n"/>
      <c r="AD112" s="25" t="n"/>
      <c r="AE112" s="43" t="n"/>
      <c r="AF112" s="1045" t="n"/>
      <c r="AG112" s="25" t="n"/>
      <c r="AH112" s="43" t="n"/>
      <c r="AI112" s="1045" t="n"/>
      <c r="AJ112" s="25" t="n"/>
      <c r="AK112" s="43" t="n"/>
      <c r="AL112" s="57" t="n"/>
      <c r="AM112" s="205">
        <f>C112+F112+I112+L112+O112+R112+U112+X112+AA112+AD112+AG112+AJ112</f>
        <v/>
      </c>
      <c r="AN112" s="43" t="n"/>
      <c r="AO112" s="1046" t="n"/>
      <c r="AQ112" s="24" t="n"/>
      <c r="AR112" s="24" t="n"/>
      <c r="AS112" s="1108" t="n"/>
      <c r="AT112" s="1230" t="n"/>
    </row>
    <row r="113" outlineLevel="1" ht="15" customHeight="1" s="985">
      <c r="B113" s="28" t="inlineStr">
        <is>
          <t xml:space="preserve">Certificados Camara Comercio        </t>
        </is>
      </c>
      <c r="C113" s="28" t="n"/>
      <c r="D113" s="45" t="n"/>
      <c r="E113" s="1073" t="n"/>
      <c r="F113" s="28" t="n"/>
      <c r="G113" s="45" t="n"/>
      <c r="H113" s="1073" t="n"/>
      <c r="I113" s="28" t="n"/>
      <c r="J113" s="45" t="n"/>
      <c r="K113" s="1073" t="n"/>
      <c r="L113" s="28" t="n"/>
      <c r="M113" s="45" t="n"/>
      <c r="N113" s="1073" t="n"/>
      <c r="O113" s="28" t="n"/>
      <c r="P113" s="45" t="n"/>
      <c r="Q113" s="1073" t="n"/>
      <c r="R113" s="28" t="n"/>
      <c r="S113" s="45" t="n"/>
      <c r="T113" s="1073" t="n"/>
      <c r="U113" s="28" t="n"/>
      <c r="V113" s="45" t="n"/>
      <c r="W113" s="1073" t="n"/>
      <c r="X113" s="28" t="n"/>
      <c r="Y113" s="45" t="n"/>
      <c r="Z113" s="1073" t="n"/>
      <c r="AA113" s="28" t="n"/>
      <c r="AB113" s="45" t="n"/>
      <c r="AC113" s="1073" t="n"/>
      <c r="AD113" s="28" t="n"/>
      <c r="AE113" s="45" t="n"/>
      <c r="AF113" s="1073" t="n"/>
      <c r="AG113" s="28" t="n"/>
      <c r="AH113" s="45" t="n"/>
      <c r="AI113" s="1073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083" t="n"/>
      <c r="AQ113" s="27" t="n"/>
      <c r="AR113" s="27" t="n"/>
      <c r="AS113" s="1119" t="n"/>
      <c r="AT113" s="1230" t="n"/>
    </row>
    <row r="114" ht="15" customHeight="1" s="985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053" t="n"/>
      <c r="F114" s="49">
        <f>SUM(F115:F116)</f>
        <v/>
      </c>
      <c r="G114" s="3" t="n"/>
      <c r="H114" s="1053">
        <f>F114/(F$13)</f>
        <v/>
      </c>
      <c r="I114" s="90">
        <f>SUM(I115:I116)</f>
        <v/>
      </c>
      <c r="J114" s="3" t="n"/>
      <c r="K114" s="1053">
        <f>I114/(I$13)</f>
        <v/>
      </c>
      <c r="L114" s="49">
        <f>SUM(L115:L116)</f>
        <v/>
      </c>
      <c r="M114" s="3" t="n"/>
      <c r="N114" s="1053" t="n"/>
      <c r="O114" s="49">
        <f>SUM(O115:O116)</f>
        <v/>
      </c>
      <c r="P114" s="3" t="n"/>
      <c r="Q114" s="1053" t="n"/>
      <c r="R114" s="49">
        <f>SUM(R115:R116)</f>
        <v/>
      </c>
      <c r="S114" s="3" t="n"/>
      <c r="T114" s="1053">
        <f>R114/(R$13)</f>
        <v/>
      </c>
      <c r="U114" s="49">
        <f>SUM(U115:U116)</f>
        <v/>
      </c>
      <c r="V114" s="3" t="n"/>
      <c r="W114" s="1053">
        <f>U114/(U$13)</f>
        <v/>
      </c>
      <c r="X114" s="49">
        <f>SUM(X115:X116)</f>
        <v/>
      </c>
      <c r="Y114" s="3" t="n"/>
      <c r="Z114" s="1053">
        <f>X114/(X$13)</f>
        <v/>
      </c>
      <c r="AA114" s="49">
        <f>SUM(AA115:AA116)</f>
        <v/>
      </c>
      <c r="AB114" s="3" t="n"/>
      <c r="AC114" s="1053">
        <f>AA114/(AA$13)</f>
        <v/>
      </c>
      <c r="AD114" s="49" t="n"/>
      <c r="AE114" s="3" t="n"/>
      <c r="AF114" s="1053">
        <f>AD114/(AD$13)</f>
        <v/>
      </c>
      <c r="AG114" s="49">
        <f>SUM(AG115:AG116)</f>
        <v/>
      </c>
      <c r="AH114" s="3" t="n"/>
      <c r="AI114" s="1053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076">
        <f>AM114/(AM$13)</f>
        <v/>
      </c>
      <c r="AQ114" s="17">
        <f>SUM(AQ115:AQ119)</f>
        <v/>
      </c>
      <c r="AR114" s="17">
        <f>AQ114/(AQ$12-AQ$9)</f>
        <v/>
      </c>
      <c r="AS114" s="1105">
        <f>AQ114/(AQ$13-AQ$20)</f>
        <v/>
      </c>
      <c r="AT114" s="1100" t="n"/>
    </row>
    <row r="115" outlineLevel="1" ht="15" customHeight="1" s="985">
      <c r="B115" s="39" t="inlineStr">
        <is>
          <t xml:space="preserve">Construcciones y Edificaciones          </t>
        </is>
      </c>
      <c r="C115" s="39" t="n"/>
      <c r="D115" s="69" t="n"/>
      <c r="E115" s="1077" t="n"/>
      <c r="F115" s="39" t="n"/>
      <c r="G115" s="69" t="n"/>
      <c r="H115" s="1077" t="n"/>
      <c r="I115" s="39" t="n"/>
      <c r="J115" s="69" t="n"/>
      <c r="K115" s="1077" t="n"/>
      <c r="L115" s="39" t="n"/>
      <c r="M115" s="69" t="n"/>
      <c r="N115" s="1077" t="n"/>
      <c r="O115" s="39" t="n"/>
      <c r="P115" s="69" t="n"/>
      <c r="Q115" s="1077" t="n"/>
      <c r="R115" s="39" t="n"/>
      <c r="S115" s="69" t="n"/>
      <c r="T115" s="1077" t="n"/>
      <c r="U115" s="39" t="n"/>
      <c r="V115" s="69" t="n"/>
      <c r="W115" s="1077" t="n"/>
      <c r="X115" s="39" t="n"/>
      <c r="Y115" s="69" t="n"/>
      <c r="Z115" s="1077" t="n"/>
      <c r="AA115" s="39" t="n"/>
      <c r="AB115" s="69" t="n"/>
      <c r="AC115" s="1077" t="n"/>
      <c r="AD115" s="39" t="n"/>
      <c r="AE115" s="69" t="n"/>
      <c r="AF115" s="1077" t="n"/>
      <c r="AG115" s="39" t="n"/>
      <c r="AH115" s="69" t="n"/>
      <c r="AI115" s="1077" t="n"/>
      <c r="AJ115" s="39" t="n"/>
      <c r="AK115" s="69" t="n"/>
      <c r="AL115" s="70" t="n"/>
      <c r="AM115" s="209">
        <f>C115+F115+I115+L115+O115+R115+U115+X115+AA115+AD115+AG115+AJ115</f>
        <v/>
      </c>
      <c r="AN115" s="69" t="n"/>
      <c r="AO115" s="1082" t="n"/>
      <c r="AQ115" s="31" t="n"/>
      <c r="AR115" s="31" t="n"/>
      <c r="AS115" s="1123" t="n"/>
      <c r="AT115" s="1230" t="n"/>
    </row>
    <row r="116" outlineLevel="1" ht="15" customHeight="1" s="985">
      <c r="B116" s="25" t="inlineStr">
        <is>
          <t xml:space="preserve">Maquinaria y Equipo                     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  <c r="AQ116" s="24" t="n"/>
      <c r="AR116" s="24" t="n"/>
      <c r="AS116" s="1108" t="n"/>
      <c r="AT116" s="1230" t="n"/>
    </row>
    <row r="117" outlineLevel="1" ht="15" customHeight="1" s="985">
      <c r="B117" s="205" t="inlineStr">
        <is>
          <t>Equipos de Cocina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  <c r="AQ117" s="24" t="n"/>
      <c r="AR117" s="24" t="n"/>
      <c r="AS117" s="1108" t="n"/>
      <c r="AT117" s="1230" t="n"/>
    </row>
    <row r="118" outlineLevel="1" ht="15" customHeight="1" s="985">
      <c r="B118" s="205" t="inlineStr">
        <is>
          <t xml:space="preserve">Equipo de Oficina                       </t>
        </is>
      </c>
      <c r="C118" s="25" t="n"/>
      <c r="D118" s="43" t="n"/>
      <c r="E118" s="1045" t="n"/>
      <c r="F118" s="25" t="n"/>
      <c r="G118" s="43" t="n"/>
      <c r="H118" s="1045" t="n"/>
      <c r="I118" s="25" t="n"/>
      <c r="J118" s="43" t="n"/>
      <c r="K118" s="1045" t="n"/>
      <c r="L118" s="25" t="n"/>
      <c r="M118" s="43" t="n"/>
      <c r="N118" s="1045" t="n"/>
      <c r="O118" s="25" t="n"/>
      <c r="P118" s="43" t="n"/>
      <c r="Q118" s="1045" t="n"/>
      <c r="R118" s="25" t="n"/>
      <c r="S118" s="43" t="n"/>
      <c r="T118" s="1045" t="n"/>
      <c r="U118" s="25" t="n"/>
      <c r="V118" s="43" t="n"/>
      <c r="W118" s="1045" t="n"/>
      <c r="X118" s="25" t="n"/>
      <c r="Y118" s="43" t="n"/>
      <c r="Z118" s="1045" t="n"/>
      <c r="AA118" s="25" t="n"/>
      <c r="AB118" s="43" t="n"/>
      <c r="AC118" s="1045" t="n"/>
      <c r="AD118" s="25" t="n"/>
      <c r="AE118" s="43" t="n"/>
      <c r="AF118" s="1045" t="n"/>
      <c r="AG118" s="25" t="n"/>
      <c r="AH118" s="43" t="n"/>
      <c r="AI118" s="1045" t="n"/>
      <c r="AJ118" s="25" t="n"/>
      <c r="AK118" s="43" t="n"/>
      <c r="AL118" s="57" t="n"/>
      <c r="AM118" s="205">
        <f>C118+F118+I118+L118+O118+R118+U118+X118+AA118+AD118+AG118+AJ118</f>
        <v/>
      </c>
      <c r="AN118" s="43" t="n"/>
      <c r="AO118" s="1046" t="n"/>
      <c r="AQ118" s="24" t="n"/>
      <c r="AR118" s="24" t="n"/>
      <c r="AS118" s="1108" t="n"/>
      <c r="AT118" s="1230" t="n"/>
    </row>
    <row r="119" outlineLevel="1" ht="15" customHeight="1" s="985">
      <c r="B119" s="97" t="inlineStr">
        <is>
          <t xml:space="preserve">Acueductos, planta y redes              </t>
        </is>
      </c>
      <c r="C119" s="28" t="n"/>
      <c r="D119" s="42" t="n"/>
      <c r="E119" s="1057" t="n"/>
      <c r="F119" s="22" t="n"/>
      <c r="G119" s="42" t="n"/>
      <c r="H119" s="1057" t="n"/>
      <c r="I119" s="22" t="n"/>
      <c r="J119" s="42" t="n"/>
      <c r="K119" s="1057" t="n"/>
      <c r="L119" s="22" t="n"/>
      <c r="M119" s="42" t="n"/>
      <c r="N119" s="1057" t="n"/>
      <c r="O119" s="22" t="n"/>
      <c r="P119" s="42" t="n"/>
      <c r="Q119" s="1057" t="n"/>
      <c r="R119" s="22" t="n"/>
      <c r="S119" s="42" t="n"/>
      <c r="T119" s="1057" t="n"/>
      <c r="U119" s="22" t="n"/>
      <c r="V119" s="42" t="n"/>
      <c r="W119" s="1057" t="n"/>
      <c r="X119" s="22" t="n"/>
      <c r="Y119" s="42" t="n"/>
      <c r="Z119" s="1057" t="n"/>
      <c r="AA119" s="22" t="n"/>
      <c r="AB119" s="42" t="n"/>
      <c r="AC119" s="1057" t="n"/>
      <c r="AD119" s="22" t="n"/>
      <c r="AE119" s="42" t="n"/>
      <c r="AF119" s="1057" t="n"/>
      <c r="AG119" s="22" t="n"/>
      <c r="AH119" s="42" t="n"/>
      <c r="AI119" s="1057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058" t="n"/>
      <c r="AQ119" s="23" t="n"/>
      <c r="AR119" s="23" t="n"/>
      <c r="AS119" s="1107" t="n"/>
      <c r="AT119" s="1230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 t="n"/>
      <c r="F120" s="49">
        <f>SUM(F121)</f>
        <v/>
      </c>
      <c r="G120" s="3" t="n"/>
      <c r="H120" s="1053">
        <f>F120/(F$13)</f>
        <v/>
      </c>
      <c r="I120" s="90">
        <f>SUM(I121)</f>
        <v/>
      </c>
      <c r="J120" s="3" t="n"/>
      <c r="K120" s="1053">
        <f>I120/(I$13)</f>
        <v/>
      </c>
      <c r="L120" s="49">
        <f>SUM(L121)</f>
        <v/>
      </c>
      <c r="M120" s="3" t="n"/>
      <c r="N120" s="1053" t="n"/>
      <c r="O120" s="49">
        <f>SUM(O121)</f>
        <v/>
      </c>
      <c r="P120" s="3" t="n"/>
      <c r="Q120" s="1053" t="n"/>
      <c r="R120" s="49">
        <f>SUM(R121:R122)</f>
        <v/>
      </c>
      <c r="S120" s="3" t="n"/>
      <c r="T120" s="1053">
        <f>R120/(R$13)</f>
        <v/>
      </c>
      <c r="U120" s="49">
        <f>SUM(U121:U122)</f>
        <v/>
      </c>
      <c r="V120" s="3" t="n"/>
      <c r="W120" s="1053">
        <f>U120/(U$13)</f>
        <v/>
      </c>
      <c r="X120" s="49">
        <f>SUM(X121:X122)</f>
        <v/>
      </c>
      <c r="Y120" s="3" t="n"/>
      <c r="Z120" s="1053">
        <f>X120/(X$13)</f>
        <v/>
      </c>
      <c r="AA120" s="49">
        <f>SUM(AA121)</f>
        <v/>
      </c>
      <c r="AB120" s="3" t="n"/>
      <c r="AC120" s="1053">
        <f>AA120/(AA$13)</f>
        <v/>
      </c>
      <c r="AD120" s="49">
        <f>SUM(AD121)</f>
        <v/>
      </c>
      <c r="AE120" s="3" t="n"/>
      <c r="AF120" s="1053">
        <f>AD120/(AD$13)</f>
        <v/>
      </c>
      <c r="AG120" s="49">
        <f>SUM(AG121)</f>
        <v/>
      </c>
      <c r="AH120" s="3" t="n"/>
      <c r="AI120" s="1053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076">
        <f>AM120/(AM$13)</f>
        <v/>
      </c>
      <c r="AQ120" s="17">
        <f>SUM(AQ121:AQ122)</f>
        <v/>
      </c>
      <c r="AR120" s="17">
        <f>AQ120/(AQ$12-AQ$9)</f>
        <v/>
      </c>
      <c r="AS120" s="1105">
        <f>AQ120/(AQ$13-AQ$20)</f>
        <v/>
      </c>
      <c r="AT120" s="1100" t="n"/>
    </row>
    <row r="121" ht="15" customHeight="1" s="985">
      <c r="B121" s="39" t="inlineStr">
        <is>
          <t>Instalaciones Electricas</t>
        </is>
      </c>
      <c r="C121" s="39" t="n"/>
      <c r="D121" s="69" t="n"/>
      <c r="E121" s="1077" t="n"/>
      <c r="F121" s="39" t="n"/>
      <c r="G121" s="69" t="n"/>
      <c r="H121" s="1077" t="n"/>
      <c r="I121" s="39" t="n"/>
      <c r="J121" s="69" t="n"/>
      <c r="K121" s="1077" t="n"/>
      <c r="L121" s="39" t="n"/>
      <c r="M121" s="69" t="n"/>
      <c r="N121" s="1077" t="n"/>
      <c r="O121" s="39" t="n"/>
      <c r="P121" s="69" t="n"/>
      <c r="Q121" s="1077" t="n"/>
      <c r="R121" s="39" t="n"/>
      <c r="S121" s="69" t="n"/>
      <c r="T121" s="1077" t="n"/>
      <c r="U121" s="39" t="n"/>
      <c r="V121" s="69" t="n"/>
      <c r="W121" s="1077" t="n"/>
      <c r="X121" s="39" t="n"/>
      <c r="Y121" s="69" t="n"/>
      <c r="Z121" s="1077" t="n"/>
      <c r="AA121" s="39" t="n"/>
      <c r="AB121" s="69" t="n"/>
      <c r="AC121" s="1077" t="n"/>
      <c r="AD121" s="39" t="n"/>
      <c r="AE121" s="69" t="n"/>
      <c r="AF121" s="1077" t="n"/>
      <c r="AG121" s="39" t="n"/>
      <c r="AH121" s="69" t="n"/>
      <c r="AI121" s="1077" t="n"/>
      <c r="AJ121" s="39" t="n"/>
      <c r="AK121" s="69" t="n"/>
      <c r="AL121" s="70" t="n"/>
      <c r="AM121" s="209">
        <f>C121+F121+I121+L121+O121+R121+U121+X121+AA121+AD121+AG121+AJ121</f>
        <v/>
      </c>
      <c r="AN121" s="69" t="n"/>
      <c r="AO121" s="1082" t="n"/>
      <c r="AQ121" s="31" t="n"/>
      <c r="AR121" s="31" t="n"/>
      <c r="AS121" s="1123" t="n"/>
      <c r="AT121" s="1230" t="n"/>
    </row>
    <row r="122" ht="15" customHeight="1" s="985">
      <c r="B122" s="284" t="inlineStr">
        <is>
          <t>Reparaciones Locativas</t>
        </is>
      </c>
      <c r="C122" s="91" t="n"/>
      <c r="D122" s="92" t="n"/>
      <c r="E122" s="1063" t="n"/>
      <c r="F122" s="91" t="n"/>
      <c r="G122" s="92" t="n"/>
      <c r="H122" s="1063" t="n"/>
      <c r="I122" s="91" t="n"/>
      <c r="J122" s="92" t="n"/>
      <c r="K122" s="1063" t="n"/>
      <c r="L122" s="91" t="n"/>
      <c r="M122" s="92" t="n"/>
      <c r="N122" s="1063" t="n"/>
      <c r="O122" s="91" t="n"/>
      <c r="P122" s="92" t="n"/>
      <c r="Q122" s="1063" t="n"/>
      <c r="R122" s="91" t="n"/>
      <c r="S122" s="92" t="n"/>
      <c r="T122" s="1063" t="n"/>
      <c r="U122" s="91" t="n"/>
      <c r="V122" s="92" t="n"/>
      <c r="W122" s="1063" t="n"/>
      <c r="X122" s="91" t="n"/>
      <c r="Y122" s="92" t="n"/>
      <c r="Z122" s="1063" t="n"/>
      <c r="AA122" s="91" t="n"/>
      <c r="AB122" s="92" t="n"/>
      <c r="AC122" s="1063" t="n"/>
      <c r="AD122" s="91" t="n"/>
      <c r="AE122" s="92" t="n"/>
      <c r="AF122" s="1063" t="n"/>
      <c r="AG122" s="91" t="n"/>
      <c r="AH122" s="92" t="n"/>
      <c r="AI122" s="1063" t="n"/>
      <c r="AJ122" s="91" t="n"/>
      <c r="AK122" s="92" t="n"/>
      <c r="AL122" s="88" t="n"/>
      <c r="AM122" s="284">
        <f>C122+F122+I122+L122+O122+R122+U122+X122+AA122+AD122+AG122+AJ122</f>
        <v/>
      </c>
      <c r="AN122" s="92" t="n"/>
      <c r="AO122" s="1064" t="n"/>
      <c r="AQ122" s="133" t="n"/>
      <c r="AR122" s="133" t="n"/>
      <c r="AS122" s="1126" t="n"/>
      <c r="AT122" s="1230" t="n"/>
    </row>
    <row r="123" ht="15" customHeight="1" s="985">
      <c r="B123" s="16" t="inlineStr">
        <is>
          <t>GASTOS DE VIAJE</t>
        </is>
      </c>
      <c r="C123" s="49">
        <f>SUM(C124:C126)</f>
        <v/>
      </c>
      <c r="D123" s="3" t="n"/>
      <c r="E123" s="1053" t="n"/>
      <c r="F123" s="49">
        <f>SUM(F124:F126)</f>
        <v/>
      </c>
      <c r="G123" s="3" t="n"/>
      <c r="H123" s="1053">
        <f>F123/(F$13)</f>
        <v/>
      </c>
      <c r="I123" s="90">
        <f>SUM(I124:I126)</f>
        <v/>
      </c>
      <c r="J123" s="3" t="n"/>
      <c r="K123" s="1053">
        <f>I123/(I$13)</f>
        <v/>
      </c>
      <c r="L123" s="49">
        <f>SUM(L124:L126)</f>
        <v/>
      </c>
      <c r="M123" s="3" t="n"/>
      <c r="N123" s="1053" t="n"/>
      <c r="O123" s="49">
        <f>SUM(O124:O126)</f>
        <v/>
      </c>
      <c r="P123" s="3" t="n"/>
      <c r="Q123" s="1053" t="n"/>
      <c r="R123" s="49">
        <f>SUM(R124:R126)</f>
        <v/>
      </c>
      <c r="S123" s="3" t="n"/>
      <c r="T123" s="1053">
        <f>R123/(R$13)</f>
        <v/>
      </c>
      <c r="U123" s="49">
        <f>SUM(U124:U126)</f>
        <v/>
      </c>
      <c r="V123" s="3" t="n"/>
      <c r="W123" s="1053">
        <f>U123/(U$13)</f>
        <v/>
      </c>
      <c r="X123" s="49">
        <f>SUM(X124:X126)</f>
        <v/>
      </c>
      <c r="Y123" s="3" t="n"/>
      <c r="Z123" s="1053">
        <f>X123/(X$13)</f>
        <v/>
      </c>
      <c r="AA123" s="49">
        <f>SUM(AA124:AA126)</f>
        <v/>
      </c>
      <c r="AB123" s="3" t="n"/>
      <c r="AC123" s="1053">
        <f>AA123/(AA$13)</f>
        <v/>
      </c>
      <c r="AD123" s="49" t="n"/>
      <c r="AE123" s="3" t="n"/>
      <c r="AF123" s="1053">
        <f>AD123/(AD$13)</f>
        <v/>
      </c>
      <c r="AG123" s="49">
        <f>SUM(AG124:AG126)</f>
        <v/>
      </c>
      <c r="AH123" s="3" t="n"/>
      <c r="AI123" s="1053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076">
        <f>AM123/(AM$13)</f>
        <v/>
      </c>
      <c r="AQ123" s="17">
        <f>SUM(AQ124:AQ126)</f>
        <v/>
      </c>
      <c r="AR123" s="17">
        <f>AQ123/(AQ$12-AQ$9)</f>
        <v/>
      </c>
      <c r="AS123" s="1105">
        <f>AQ123/(AQ$13-AQ$20)</f>
        <v/>
      </c>
      <c r="AT123" s="1100" t="n"/>
    </row>
    <row r="124" outlineLevel="1" ht="15" customHeight="1" s="985">
      <c r="B124" s="39" t="inlineStr">
        <is>
          <t>Alojamiento y Manutención</t>
        </is>
      </c>
      <c r="C124" s="39" t="n"/>
      <c r="D124" s="69" t="n"/>
      <c r="E124" s="1077" t="n"/>
      <c r="F124" s="39" t="n"/>
      <c r="G124" s="69" t="n"/>
      <c r="H124" s="1077" t="n"/>
      <c r="I124" s="39" t="n"/>
      <c r="J124" s="69" t="n"/>
      <c r="K124" s="1077" t="n"/>
      <c r="L124" s="39" t="n"/>
      <c r="M124" s="69" t="n"/>
      <c r="N124" s="1077" t="n"/>
      <c r="O124" s="39" t="n"/>
      <c r="P124" s="69" t="n"/>
      <c r="Q124" s="1077" t="n"/>
      <c r="R124" s="39" t="n"/>
      <c r="S124" s="69" t="n"/>
      <c r="T124" s="1077" t="n"/>
      <c r="U124" s="39" t="n"/>
      <c r="V124" s="69" t="n"/>
      <c r="W124" s="1077" t="n"/>
      <c r="X124" s="39" t="n"/>
      <c r="Y124" s="69" t="n"/>
      <c r="Z124" s="1077" t="n"/>
      <c r="AA124" s="39" t="n"/>
      <c r="AB124" s="69" t="n"/>
      <c r="AC124" s="1077" t="n"/>
      <c r="AD124" s="39" t="n"/>
      <c r="AE124" s="69" t="n"/>
      <c r="AF124" s="1077" t="n"/>
      <c r="AG124" s="39" t="n"/>
      <c r="AH124" s="69" t="n"/>
      <c r="AI124" s="1077" t="n"/>
      <c r="AJ124" s="39" t="n"/>
      <c r="AK124" s="69" t="n"/>
      <c r="AL124" s="70" t="n"/>
      <c r="AM124" s="209">
        <f>C124+F124+I124+L124+O124+R124+U124+X124+AA124+AD124+AG124+AJ124</f>
        <v/>
      </c>
      <c r="AN124" s="69" t="n"/>
      <c r="AO124" s="1082" t="n"/>
      <c r="AQ124" s="31" t="n"/>
      <c r="AR124" s="31" t="n"/>
      <c r="AS124" s="1123" t="n"/>
      <c r="AT124" s="1230" t="n"/>
    </row>
    <row r="125" outlineLevel="1" ht="15" customHeight="1" s="985">
      <c r="B125" s="25" t="inlineStr">
        <is>
          <t>Pasajes Aereos</t>
        </is>
      </c>
      <c r="C125" s="25" t="n"/>
      <c r="D125" s="43" t="n"/>
      <c r="E125" s="1045" t="n"/>
      <c r="F125" s="25" t="n"/>
      <c r="G125" s="43" t="n"/>
      <c r="H125" s="1045" t="n"/>
      <c r="I125" s="25" t="n"/>
      <c r="J125" s="43" t="n"/>
      <c r="K125" s="1045" t="n"/>
      <c r="L125" s="25" t="n"/>
      <c r="M125" s="43" t="n"/>
      <c r="N125" s="1045" t="n"/>
      <c r="O125" s="25" t="n"/>
      <c r="P125" s="43" t="n"/>
      <c r="Q125" s="1045" t="n"/>
      <c r="R125" s="25" t="n"/>
      <c r="S125" s="43" t="n"/>
      <c r="T125" s="1045" t="n"/>
      <c r="U125" s="25" t="n"/>
      <c r="V125" s="43" t="n"/>
      <c r="W125" s="1045" t="n"/>
      <c r="X125" s="25" t="n"/>
      <c r="Y125" s="43" t="n"/>
      <c r="Z125" s="1045" t="n"/>
      <c r="AA125" s="25" t="n"/>
      <c r="AB125" s="43" t="n"/>
      <c r="AC125" s="1045" t="n"/>
      <c r="AD125" s="25" t="n"/>
      <c r="AE125" s="43" t="n"/>
      <c r="AF125" s="1045" t="n"/>
      <c r="AG125" s="25" t="n"/>
      <c r="AH125" s="43" t="n"/>
      <c r="AI125" s="1045" t="n"/>
      <c r="AJ125" s="25" t="n"/>
      <c r="AK125" s="43" t="n"/>
      <c r="AL125" s="57" t="n"/>
      <c r="AM125" s="205">
        <f>C125+F125+I125+L125+O125+R125+U125+X125+AA125+AD125+AG125+AJ125</f>
        <v/>
      </c>
      <c r="AN125" s="43" t="n"/>
      <c r="AO125" s="1046" t="n"/>
      <c r="AQ125" s="24" t="n"/>
      <c r="AR125" s="24" t="n"/>
      <c r="AS125" s="1108" t="n"/>
      <c r="AT125" s="1230" t="n"/>
    </row>
    <row r="126" outlineLevel="1" ht="15" customHeight="1" s="985">
      <c r="B126" s="28" t="inlineStr">
        <is>
          <t>Pasajes Terrestres</t>
        </is>
      </c>
      <c r="C126" s="28" t="n"/>
      <c r="D126" s="45" t="n"/>
      <c r="E126" s="1073" t="n"/>
      <c r="F126" s="28" t="n"/>
      <c r="G126" s="45" t="n"/>
      <c r="H126" s="1073" t="n"/>
      <c r="I126" s="28" t="n"/>
      <c r="J126" s="45" t="n"/>
      <c r="K126" s="1073" t="n"/>
      <c r="L126" s="28" t="n"/>
      <c r="M126" s="45" t="n"/>
      <c r="N126" s="1073" t="n"/>
      <c r="O126" s="28" t="n"/>
      <c r="P126" s="45" t="n"/>
      <c r="Q126" s="1073" t="n"/>
      <c r="R126" s="28" t="n"/>
      <c r="S126" s="45" t="n"/>
      <c r="T126" s="1073" t="n"/>
      <c r="U126" s="28" t="n"/>
      <c r="V126" s="45" t="n"/>
      <c r="W126" s="1073" t="n"/>
      <c r="X126" s="28" t="n"/>
      <c r="Y126" s="45" t="n"/>
      <c r="Z126" s="1073" t="n"/>
      <c r="AA126" s="28" t="n"/>
      <c r="AB126" s="45" t="n"/>
      <c r="AC126" s="1073" t="n"/>
      <c r="AD126" s="28" t="n"/>
      <c r="AE126" s="45" t="n"/>
      <c r="AF126" s="1073" t="n"/>
      <c r="AG126" s="28" t="n"/>
      <c r="AH126" s="45" t="n"/>
      <c r="AI126" s="1073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083" t="n"/>
      <c r="AQ126" s="27" t="n"/>
      <c r="AR126" s="27" t="n"/>
      <c r="AS126" s="1119" t="n"/>
      <c r="AT126" s="1230" t="n"/>
    </row>
    <row r="127" ht="15" customHeight="1" s="985">
      <c r="B127" s="16" t="inlineStr">
        <is>
          <t>DIVERSOS</t>
        </is>
      </c>
      <c r="C127" s="49">
        <f>SUM(C128:C142)</f>
        <v/>
      </c>
      <c r="D127" s="3" t="n"/>
      <c r="E127" s="1053" t="n"/>
      <c r="F127" s="49">
        <f>SUM(F128:F142)</f>
        <v/>
      </c>
      <c r="G127" s="3" t="n"/>
      <c r="H127" s="1053">
        <f>F127/(F$13)</f>
        <v/>
      </c>
      <c r="I127" s="90">
        <f>SUM(I128:I142)</f>
        <v/>
      </c>
      <c r="J127" s="3" t="n"/>
      <c r="K127" s="1053">
        <f>I127/(I$13)</f>
        <v/>
      </c>
      <c r="L127" s="49">
        <f>SUM(L128:L142)</f>
        <v/>
      </c>
      <c r="M127" s="3" t="n"/>
      <c r="N127" s="1053" t="n"/>
      <c r="O127" s="49">
        <f>SUM(O128:O142)</f>
        <v/>
      </c>
      <c r="P127" s="3" t="n"/>
      <c r="Q127" s="1053" t="n"/>
      <c r="R127" s="49">
        <f>SUM(R128:R142)</f>
        <v/>
      </c>
      <c r="S127" s="3" t="n"/>
      <c r="T127" s="1053">
        <f>R127/(R$13)</f>
        <v/>
      </c>
      <c r="U127" s="49">
        <f>SUM(U128:U142)</f>
        <v/>
      </c>
      <c r="V127" s="3" t="n"/>
      <c r="W127" s="1053">
        <f>U127/(U$13)</f>
        <v/>
      </c>
      <c r="X127" s="49">
        <f>SUM(X128:X142)</f>
        <v/>
      </c>
      <c r="Y127" s="3" t="n"/>
      <c r="Z127" s="1053">
        <f>X127/(X$13)</f>
        <v/>
      </c>
      <c r="AA127" s="49">
        <f>SUM(AA128:AA142)</f>
        <v/>
      </c>
      <c r="AB127" s="3" t="n"/>
      <c r="AC127" s="1053">
        <f>AA127/(AA$13)</f>
        <v/>
      </c>
      <c r="AD127" s="49">
        <f>SUM(AD128:AD142)</f>
        <v/>
      </c>
      <c r="AE127" s="3" t="n"/>
      <c r="AF127" s="1053">
        <f>AD127/(AD$13)</f>
        <v/>
      </c>
      <c r="AG127" s="49">
        <f>SUM(AG128:AG142)</f>
        <v/>
      </c>
      <c r="AH127" s="3" t="n"/>
      <c r="AI127" s="1053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076">
        <f>AM127/(AM$13)</f>
        <v/>
      </c>
      <c r="AQ127" s="17">
        <f>SUM(AQ128:AQ142)</f>
        <v/>
      </c>
      <c r="AR127" s="17">
        <f>AQ127/(AQ$12-AQ$9)</f>
        <v/>
      </c>
      <c r="AS127" s="1105">
        <f>AQ127/(AQ$13-AQ$20)</f>
        <v/>
      </c>
      <c r="AT127" s="1100" t="n"/>
    </row>
    <row r="128" outlineLevel="1" ht="15" customHeight="1" s="985">
      <c r="B128" s="39" t="inlineStr">
        <is>
          <t xml:space="preserve">Bioseguridad </t>
        </is>
      </c>
      <c r="C128" s="39" t="n"/>
      <c r="D128" s="69" t="n"/>
      <c r="E128" s="1077" t="n"/>
      <c r="F128" s="39" t="n"/>
      <c r="G128" s="69" t="n"/>
      <c r="H128" s="1077" t="n"/>
      <c r="I128" s="39" t="n"/>
      <c r="J128" s="69" t="n"/>
      <c r="K128" s="1077" t="n"/>
      <c r="L128" s="39" t="n"/>
      <c r="M128" s="69" t="n"/>
      <c r="N128" s="1077" t="n"/>
      <c r="O128" s="39" t="n"/>
      <c r="P128" s="69" t="n"/>
      <c r="Q128" s="1077" t="n"/>
      <c r="R128" s="39" t="n"/>
      <c r="S128" s="69" t="n"/>
      <c r="T128" s="1077" t="n"/>
      <c r="U128" s="39" t="n"/>
      <c r="V128" s="69" t="n"/>
      <c r="W128" s="1077" t="n"/>
      <c r="X128" s="39" t="n"/>
      <c r="Y128" s="69" t="n"/>
      <c r="Z128" s="1077" t="n"/>
      <c r="AA128" s="39" t="n"/>
      <c r="AB128" s="69" t="n"/>
      <c r="AC128" s="1077" t="n"/>
      <c r="AD128" s="39" t="n"/>
      <c r="AE128" s="69" t="n"/>
      <c r="AF128" s="1077" t="n"/>
      <c r="AG128" s="39" t="n"/>
      <c r="AH128" s="69" t="n"/>
      <c r="AI128" s="1077" t="n"/>
      <c r="AJ128" s="39" t="n"/>
      <c r="AK128" s="69" t="n"/>
      <c r="AL128" s="70" t="n"/>
      <c r="AM128" s="209">
        <f>C128+F128+I128+L128+O128+R128+U128+X128+AA128+AD128+AG128+AJ128</f>
        <v/>
      </c>
      <c r="AN128" s="42" t="n"/>
      <c r="AO128" s="1090" t="n"/>
      <c r="AQ128" s="31" t="n"/>
      <c r="AR128" s="31" t="n"/>
      <c r="AS128" s="1123" t="n"/>
      <c r="AT128" s="1230" t="n"/>
    </row>
    <row r="129" outlineLevel="1" ht="15" customHeight="1" s="985">
      <c r="B129" s="25" t="inlineStr">
        <is>
          <t>Habitos de Vida Saludable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  <c r="AQ129" s="24" t="n"/>
      <c r="AR129" s="24" t="n"/>
      <c r="AS129" s="1108" t="n"/>
      <c r="AT129" s="1230" t="n"/>
    </row>
    <row r="130" outlineLevel="1" ht="15" customHeight="1" s="985">
      <c r="B130" s="25" t="inlineStr">
        <is>
          <t>Elementos de Aseo y Cafetería</t>
        </is>
      </c>
      <c r="C130" s="25" t="n"/>
      <c r="D130" s="43" t="n"/>
      <c r="E130" s="1045" t="n"/>
      <c r="F130" s="25" t="n"/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  <c r="AQ130" s="24" t="n"/>
      <c r="AR130" s="24" t="n"/>
      <c r="AS130" s="1108" t="n"/>
      <c r="AT130" s="1230" t="n"/>
    </row>
    <row r="131" outlineLevel="1" ht="15" customHeight="1" s="985">
      <c r="A131" s="226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91" t="n"/>
      <c r="AQ131" s="24" t="n"/>
      <c r="AR131" s="24" t="n"/>
      <c r="AS131" s="1108" t="n"/>
      <c r="AT131" s="1230" t="n"/>
    </row>
    <row r="132" outlineLevel="1" ht="15" customHeight="1" s="985">
      <c r="B132" s="25" t="inlineStr">
        <is>
          <t>Combustibles y Lubricantes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  <c r="AQ132" s="24" t="n"/>
      <c r="AR132" s="24" t="n"/>
      <c r="AS132" s="1108" t="n"/>
      <c r="AT132" s="1230" t="n"/>
    </row>
    <row r="133" outlineLevel="1" ht="15" customHeight="1" s="985">
      <c r="A133" s="226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  <c r="AQ133" s="24" t="n"/>
      <c r="AR133" s="24" t="n"/>
      <c r="AS133" s="1108" t="n"/>
      <c r="AT133" s="1230" t="n"/>
    </row>
    <row r="134" outlineLevel="1" ht="15" customHeight="1" s="985">
      <c r="B134" s="25" t="inlineStr">
        <is>
          <t>Casino y Restaurante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  <c r="AQ134" s="24" t="n"/>
      <c r="AR134" s="24" t="n"/>
      <c r="AS134" s="1108" t="n"/>
      <c r="AT134" s="1230" t="n"/>
    </row>
    <row r="135" outlineLevel="1" ht="15" customHeight="1" s="985">
      <c r="B135" s="25" t="inlineStr">
        <is>
          <t xml:space="preserve">Parqueaderos                       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  <c r="AQ135" s="24" t="n"/>
      <c r="AR135" s="24" t="n"/>
      <c r="AS135" s="1108" t="n"/>
      <c r="AT135" s="1230" t="n"/>
    </row>
    <row r="136" outlineLevel="1" ht="15" customHeight="1" s="985">
      <c r="B136" s="25" t="inlineStr">
        <is>
          <t>Peajes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  <c r="AQ136" s="24" t="n"/>
      <c r="AR136" s="24" t="n"/>
      <c r="AS136" s="1108" t="n"/>
      <c r="AT136" s="1230" t="n"/>
    </row>
    <row r="137" outlineLevel="1" ht="15" customHeight="1" s="985">
      <c r="B137" s="25" t="inlineStr">
        <is>
          <t>Averias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25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  <c r="AQ137" s="24" t="n"/>
      <c r="AR137" s="24" t="n"/>
      <c r="AS137" s="1108" t="n"/>
      <c r="AT137" s="1230" t="n"/>
    </row>
    <row r="138" outlineLevel="1" ht="15" customHeight="1" s="985">
      <c r="B138" s="25" t="inlineStr">
        <is>
          <t>Compra Equipos de Oficina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  <c r="AQ138" s="24" t="n"/>
      <c r="AR138" s="24" t="n"/>
      <c r="AS138" s="1108" t="n"/>
      <c r="AT138" s="1230" t="n"/>
    </row>
    <row r="139" outlineLevel="1" ht="15" customHeight="1" s="985">
      <c r="B139" s="25" t="inlineStr">
        <is>
          <t>Herramientas y articulos ferreteria</t>
        </is>
      </c>
      <c r="C139" s="25" t="n"/>
      <c r="D139" s="43" t="n"/>
      <c r="E139" s="1045" t="n"/>
      <c r="F139" s="25" t="n"/>
      <c r="G139" s="43" t="n"/>
      <c r="H139" s="1045" t="n"/>
      <c r="I139" s="25" t="n"/>
      <c r="J139" s="43" t="n"/>
      <c r="K139" s="1045" t="n"/>
      <c r="L139" s="25" t="n"/>
      <c r="M139" s="43" t="n"/>
      <c r="N139" s="1045" t="n"/>
      <c r="O139" s="25" t="n"/>
      <c r="P139" s="43" t="n"/>
      <c r="Q139" s="1045" t="n"/>
      <c r="R139" s="25" t="n"/>
      <c r="S139" s="43" t="n"/>
      <c r="T139" s="1045" t="n"/>
      <c r="U139" s="25" t="n"/>
      <c r="V139" s="43" t="n"/>
      <c r="W139" s="1045" t="n"/>
      <c r="X139" s="25" t="n"/>
      <c r="Y139" s="43" t="n"/>
      <c r="Z139" s="1045" t="n"/>
      <c r="AA139" s="25" t="n"/>
      <c r="AB139" s="43" t="n"/>
      <c r="AC139" s="1045" t="n"/>
      <c r="AD139" s="25" t="n"/>
      <c r="AE139" s="43" t="n"/>
      <c r="AF139" s="1045" t="n"/>
      <c r="AG139" s="25" t="n"/>
      <c r="AH139" s="43" t="n"/>
      <c r="AI139" s="1045" t="n"/>
      <c r="AJ139" s="25" t="n"/>
      <c r="AK139" s="43" t="n"/>
      <c r="AL139" s="57" t="n"/>
      <c r="AM139" s="205">
        <f>C139+F139+I139+L139+O139+R139+U139+X139+AA139+AD139+AG139+AJ139</f>
        <v/>
      </c>
      <c r="AN139" s="43" t="n"/>
      <c r="AO139" s="1046" t="n"/>
      <c r="AQ139" s="23" t="n"/>
      <c r="AR139" s="23" t="n"/>
      <c r="AS139" s="1107" t="n"/>
      <c r="AT139" s="1230" t="n"/>
    </row>
    <row r="140" outlineLevel="1" ht="15" customHeight="1" s="985">
      <c r="B140" s="25" t="inlineStr">
        <is>
          <t>Equipos de Bodega</t>
        </is>
      </c>
      <c r="C140" s="25" t="n"/>
      <c r="D140" s="43" t="n"/>
      <c r="E140" s="1045" t="n"/>
      <c r="F140" s="25" t="n"/>
      <c r="G140" s="43" t="n"/>
      <c r="H140" s="1045" t="n"/>
      <c r="I140" s="25" t="n"/>
      <c r="J140" s="43" t="n"/>
      <c r="K140" s="1045" t="n"/>
      <c r="L140" s="25" t="n"/>
      <c r="M140" s="43" t="n"/>
      <c r="N140" s="1045" t="n"/>
      <c r="O140" s="25" t="n"/>
      <c r="P140" s="43" t="n"/>
      <c r="Q140" s="1045" t="n"/>
      <c r="R140" s="25" t="n"/>
      <c r="S140" s="43" t="n"/>
      <c r="T140" s="1045" t="n"/>
      <c r="U140" s="25" t="n"/>
      <c r="V140" s="43" t="n"/>
      <c r="W140" s="1045" t="n"/>
      <c r="X140" s="25" t="n"/>
      <c r="Y140" s="43" t="n"/>
      <c r="Z140" s="1045" t="n"/>
      <c r="AA140" s="25" t="n"/>
      <c r="AB140" s="43" t="n"/>
      <c r="AC140" s="1045" t="n"/>
      <c r="AD140" s="25" t="n"/>
      <c r="AE140" s="43" t="n"/>
      <c r="AF140" s="1045" t="n"/>
      <c r="AG140" s="25" t="n"/>
      <c r="AH140" s="43" t="n"/>
      <c r="AI140" s="1045" t="n"/>
      <c r="AJ140" s="25" t="n"/>
      <c r="AK140" s="43" t="n"/>
      <c r="AL140" s="57" t="n"/>
      <c r="AM140" s="205">
        <f>C140+F140+I140+L140+O140+R140+U140+X140+AA140+AD140+AG140+AJ140</f>
        <v/>
      </c>
      <c r="AN140" s="43" t="n"/>
      <c r="AO140" s="1046" t="n"/>
      <c r="AQ140" s="24" t="n"/>
      <c r="AR140" s="24" t="n"/>
      <c r="AS140" s="1108" t="n"/>
      <c r="AT140" s="1230" t="n"/>
    </row>
    <row r="141" outlineLevel="1" ht="15" customHeight="1" s="985">
      <c r="B141" s="25" t="inlineStr">
        <is>
          <t>Reuniones Fiestas y Detalles</t>
        </is>
      </c>
      <c r="C141" s="25" t="n"/>
      <c r="D141" s="43" t="n"/>
      <c r="E141" s="1045" t="n"/>
      <c r="F141" s="25" t="n"/>
      <c r="G141" s="43" t="n"/>
      <c r="H141" s="1045" t="n"/>
      <c r="I141" s="25" t="n"/>
      <c r="J141" s="43" t="n"/>
      <c r="K141" s="1045" t="n"/>
      <c r="L141" s="25" t="n"/>
      <c r="M141" s="43" t="n"/>
      <c r="N141" s="1045" t="n"/>
      <c r="O141" s="25" t="n"/>
      <c r="P141" s="43" t="n"/>
      <c r="Q141" s="1045" t="n"/>
      <c r="R141" s="25" t="n"/>
      <c r="S141" s="43" t="n"/>
      <c r="T141" s="1045" t="n"/>
      <c r="U141" s="25" t="n"/>
      <c r="V141" s="43" t="n"/>
      <c r="W141" s="1045" t="n"/>
      <c r="X141" s="25" t="n"/>
      <c r="Y141" s="43" t="n"/>
      <c r="Z141" s="1045" t="n"/>
      <c r="AA141" s="25" t="n"/>
      <c r="AB141" s="43" t="n"/>
      <c r="AC141" s="1045" t="n"/>
      <c r="AD141" s="25" t="n"/>
      <c r="AE141" s="43" t="n"/>
      <c r="AF141" s="1045" t="n"/>
      <c r="AG141" s="25" t="n"/>
      <c r="AH141" s="43" t="n"/>
      <c r="AI141" s="1045" t="n"/>
      <c r="AJ141" s="25" t="n"/>
      <c r="AK141" s="43" t="n"/>
      <c r="AL141" s="57" t="n"/>
      <c r="AM141" s="205">
        <f>C141+F141+I141+L141+O141+R141+U141+X141+AA141+AD141+AG141+AJ141</f>
        <v/>
      </c>
      <c r="AN141" s="43" t="n"/>
      <c r="AO141" s="1046" t="n"/>
      <c r="AQ141" s="24" t="n"/>
      <c r="AR141" s="24" t="n"/>
      <c r="AS141" s="1108" t="n"/>
      <c r="AT141" s="1230" t="n"/>
    </row>
    <row r="142" outlineLevel="1" ht="15" customHeight="1" s="985" thickBot="1">
      <c r="B142" s="269" t="inlineStr">
        <is>
          <t xml:space="preserve">Otros  </t>
        </is>
      </c>
      <c r="C142" s="269" t="n"/>
      <c r="D142" s="214" t="n"/>
      <c r="E142" s="1079" t="n"/>
      <c r="F142" s="269" t="n"/>
      <c r="G142" s="214" t="n"/>
      <c r="H142" s="1079" t="n"/>
      <c r="I142" s="269" t="n"/>
      <c r="J142" s="214" t="n"/>
      <c r="K142" s="1079" t="n"/>
      <c r="L142" s="269" t="n"/>
      <c r="M142" s="214" t="n"/>
      <c r="N142" s="1079" t="n"/>
      <c r="O142" s="269" t="n"/>
      <c r="P142" s="214" t="n"/>
      <c r="Q142" s="1079" t="n"/>
      <c r="R142" s="269" t="n"/>
      <c r="S142" s="214" t="n"/>
      <c r="T142" s="1079" t="n"/>
      <c r="U142" s="269" t="n"/>
      <c r="V142" s="214" t="n"/>
      <c r="W142" s="1079" t="n"/>
      <c r="X142" s="269" t="n"/>
      <c r="Y142" s="214" t="n"/>
      <c r="Z142" s="1079" t="n"/>
      <c r="AA142" s="269" t="n"/>
      <c r="AB142" s="214" t="n"/>
      <c r="AC142" s="1079" t="n"/>
      <c r="AD142" s="269" t="n"/>
      <c r="AE142" s="214" t="n"/>
      <c r="AF142" s="1079" t="n"/>
      <c r="AG142" s="269" t="n"/>
      <c r="AH142" s="214" t="n"/>
      <c r="AI142" s="1079" t="n"/>
      <c r="AJ142" s="269" t="n"/>
      <c r="AK142" s="214" t="n"/>
      <c r="AL142" s="271" t="n"/>
      <c r="AM142" s="213">
        <f>C142+F142+I142+L142+O142+R142+U142+X142+AA142+AD142+AG142+AJ142</f>
        <v/>
      </c>
      <c r="AN142" s="214" t="n"/>
      <c r="AO142" s="1092" t="n"/>
      <c r="AQ142" s="98" t="n"/>
      <c r="AR142" s="98" t="n"/>
      <c r="AS142" s="1121" t="n"/>
      <c r="AT142" s="1230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1067" t="n"/>
      <c r="I143" s="2" t="n"/>
      <c r="J143" s="2" t="n"/>
      <c r="K143" s="1067" t="n"/>
      <c r="L143" s="2" t="n"/>
      <c r="M143" s="2" t="n"/>
      <c r="N143" s="1067" t="n"/>
      <c r="O143" s="2" t="n"/>
      <c r="P143" s="2" t="n"/>
      <c r="Q143" s="1067" t="n"/>
      <c r="R143" s="2" t="n"/>
      <c r="S143" s="2" t="n"/>
      <c r="T143" s="1067" t="n"/>
      <c r="U143" s="2" t="n"/>
      <c r="V143" s="2" t="n"/>
      <c r="W143" s="1067" t="n"/>
      <c r="X143" s="2" t="n"/>
      <c r="Y143" s="2" t="n"/>
      <c r="Z143" s="1067" t="n"/>
      <c r="AA143" s="2" t="n"/>
      <c r="AB143" s="2" t="n"/>
      <c r="AC143" s="1067" t="n"/>
      <c r="AD143" s="2" t="n"/>
      <c r="AE143" s="2" t="n"/>
      <c r="AF143" s="1067" t="n"/>
      <c r="AG143" s="2" t="n"/>
      <c r="AH143" s="2" t="n"/>
      <c r="AI143" s="1067" t="n"/>
      <c r="AJ143" s="2" t="n"/>
      <c r="AK143" s="2" t="n"/>
      <c r="AL143" s="64" t="n"/>
      <c r="AM143" s="151" t="n"/>
      <c r="AN143" s="2" t="n"/>
      <c r="AO143" s="1067" t="n"/>
      <c r="AQ143" s="136" t="n"/>
      <c r="AR143" s="136" t="n"/>
      <c r="AS143" s="1122" t="n"/>
      <c r="AT143" s="1067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1128" t="n"/>
      <c r="I144" s="494">
        <f>+I42-I44-I83</f>
        <v/>
      </c>
      <c r="J144" s="495" t="n"/>
      <c r="K144" s="1128" t="n"/>
      <c r="L144" s="494">
        <f>+L42-L44-L83</f>
        <v/>
      </c>
      <c r="M144" s="495" t="n"/>
      <c r="N144" s="1128" t="n"/>
      <c r="O144" s="494">
        <f>+O42-O44-O83</f>
        <v/>
      </c>
      <c r="P144" s="495" t="n"/>
      <c r="Q144" s="1128" t="n"/>
      <c r="R144" s="494">
        <f>+R42-R44-R83</f>
        <v/>
      </c>
      <c r="S144" s="495" t="n"/>
      <c r="T144" s="1128" t="n"/>
      <c r="U144" s="494">
        <f>+U42-U44-U83</f>
        <v/>
      </c>
      <c r="V144" s="495" t="n"/>
      <c r="W144" s="1128" t="n"/>
      <c r="X144" s="494">
        <f>+X42-X44-X83</f>
        <v/>
      </c>
      <c r="Y144" s="495" t="n"/>
      <c r="Z144" s="1128" t="n"/>
      <c r="AA144" s="494">
        <f>+AA42-AA44-AA83</f>
        <v/>
      </c>
      <c r="AB144" s="495" t="n"/>
      <c r="AC144" s="1128" t="n"/>
      <c r="AD144" s="494">
        <f>+AD42-AD44-AD83</f>
        <v/>
      </c>
      <c r="AE144" s="495" t="n"/>
      <c r="AF144" s="1128" t="n"/>
      <c r="AG144" s="494">
        <f>+AG42-AG44-AG83</f>
        <v/>
      </c>
      <c r="AH144" s="495" t="n"/>
      <c r="AI144" s="1128" t="n"/>
      <c r="AJ144" s="494">
        <f>+AJ42-AJ44-AJ83</f>
        <v/>
      </c>
      <c r="AK144" s="495" t="n"/>
      <c r="AL144" s="509" t="n"/>
      <c r="AM144" s="585">
        <f>C144+F144+I144+L144+O144+R144+U144+X144+AA144+AD144+AG144+AJ144</f>
        <v/>
      </c>
      <c r="AN144" s="495" t="n"/>
      <c r="AO144" s="1129" t="n"/>
      <c r="AQ144" s="628">
        <f>+AQ42-AQ44-AQ83</f>
        <v/>
      </c>
      <c r="AR144" s="628" t="n"/>
      <c r="AS144" s="1130" t="n"/>
      <c r="AT144" s="1100" t="n"/>
    </row>
    <row r="145" ht="15" customHeight="1" s="985" thickBot="1" thickTop="1">
      <c r="B145" s="193" t="n"/>
      <c r="C145" s="444">
        <f>IFERROR(C144/C13," ")</f>
        <v/>
      </c>
      <c r="D145" s="439" t="n"/>
      <c r="E145" s="1198" t="n"/>
      <c r="F145" s="497">
        <f>IFERROR(F144/F13," ")</f>
        <v/>
      </c>
      <c r="G145" s="489" t="n"/>
      <c r="H145" s="1065" t="n"/>
      <c r="I145" s="497">
        <f>IFERROR(I144/I13," ")</f>
        <v/>
      </c>
      <c r="J145" s="489" t="n"/>
      <c r="K145" s="1065" t="n"/>
      <c r="L145" s="497">
        <f>IFERROR(L144/L13," ")</f>
        <v/>
      </c>
      <c r="M145" s="489" t="n"/>
      <c r="N145" s="1065" t="n"/>
      <c r="O145" s="497">
        <f>IFERROR(O144/O13," ")</f>
        <v/>
      </c>
      <c r="P145" s="489" t="n"/>
      <c r="Q145" s="1065" t="n"/>
      <c r="R145" s="497">
        <f>IFERROR(R144/R13," ")</f>
        <v/>
      </c>
      <c r="S145" s="489" t="n"/>
      <c r="T145" s="1065" t="n"/>
      <c r="U145" s="497">
        <f>IFERROR(U144/U13," ")</f>
        <v/>
      </c>
      <c r="V145" s="489" t="n"/>
      <c r="W145" s="1065" t="n"/>
      <c r="X145" s="497">
        <f>IFERROR(X144/X13," ")</f>
        <v/>
      </c>
      <c r="Y145" s="489" t="n"/>
      <c r="Z145" s="1065" t="n"/>
      <c r="AA145" s="497">
        <f>IFERROR(AA144/AA13," ")</f>
        <v/>
      </c>
      <c r="AB145" s="489" t="n"/>
      <c r="AC145" s="1065" t="n"/>
      <c r="AD145" s="497">
        <f>IFERROR(AD144/AD13," ")</f>
        <v/>
      </c>
      <c r="AE145" s="489" t="n"/>
      <c r="AF145" s="1065" t="n"/>
      <c r="AG145" s="497">
        <f>IFERROR(AG144/AG13," ")</f>
        <v/>
      </c>
      <c r="AH145" s="489" t="n"/>
      <c r="AI145" s="1065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489" t="n"/>
      <c r="AO145" s="1066" t="n"/>
      <c r="AQ145" s="629">
        <f>IFERROR(AQ144/AQ13," ")</f>
        <v/>
      </c>
      <c r="AR145" s="629" t="n"/>
      <c r="AS145" s="1131" t="n"/>
      <c r="AT145" s="1100" t="n"/>
    </row>
    <row r="146" ht="15" customHeight="1" s="985" thickBot="1" thickTop="1">
      <c r="C146" s="2" t="n"/>
      <c r="D146" s="2" t="n"/>
      <c r="E146" s="1067" t="n"/>
      <c r="F146" s="2" t="n"/>
      <c r="G146" s="2" t="n"/>
      <c r="H146" s="1067" t="n"/>
      <c r="I146" s="2" t="n"/>
      <c r="J146" s="2" t="n"/>
      <c r="K146" s="1067" t="n"/>
      <c r="L146" s="2" t="n"/>
      <c r="M146" s="2" t="n"/>
      <c r="N146" s="1067" t="n"/>
      <c r="O146" s="2" t="n"/>
      <c r="P146" s="2" t="n"/>
      <c r="Q146" s="1067" t="n"/>
      <c r="R146" s="2" t="n"/>
      <c r="S146" s="2" t="n"/>
      <c r="T146" s="1067" t="n"/>
      <c r="U146" s="2" t="n"/>
      <c r="V146" s="2" t="n"/>
      <c r="W146" s="1067" t="n"/>
      <c r="X146" s="2" t="n"/>
      <c r="Y146" s="2" t="n"/>
      <c r="Z146" s="1067" t="n"/>
      <c r="AA146" s="2" t="n"/>
      <c r="AB146" s="2" t="n"/>
      <c r="AC146" s="1067" t="n"/>
      <c r="AD146" s="2" t="n"/>
      <c r="AE146" s="2" t="n"/>
      <c r="AF146" s="1067" t="n"/>
      <c r="AG146" s="2" t="n"/>
      <c r="AH146" s="2" t="n"/>
      <c r="AI146" s="1067" t="n"/>
      <c r="AJ146" s="2" t="n"/>
      <c r="AK146" s="2" t="n"/>
      <c r="AL146" s="64" t="n"/>
      <c r="AM146" s="145" t="n"/>
      <c r="AN146" s="145" t="n"/>
      <c r="AO146" s="1067" t="n"/>
      <c r="AQ146" s="633" t="n"/>
      <c r="AR146" s="633" t="n"/>
      <c r="AS146" s="1132" t="n"/>
      <c r="AT146" s="1102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 t="n"/>
      <c r="F147" s="491">
        <f>SUM(F148:F151)</f>
        <v/>
      </c>
      <c r="G147" s="492" t="n"/>
      <c r="H147" s="1069">
        <f>F147/(F$13)</f>
        <v/>
      </c>
      <c r="I147" s="491">
        <f>SUM(I148:I151)</f>
        <v/>
      </c>
      <c r="J147" s="492" t="n"/>
      <c r="K147" s="1069">
        <f>I147/(I$13)</f>
        <v/>
      </c>
      <c r="L147" s="491">
        <f>SUM(L148:L151)</f>
        <v/>
      </c>
      <c r="M147" s="492" t="n"/>
      <c r="N147" s="1069">
        <f>L147/(L$13)</f>
        <v/>
      </c>
      <c r="O147" s="491">
        <f>SUM(O148:O151)</f>
        <v/>
      </c>
      <c r="P147" s="492" t="n"/>
      <c r="Q147" s="1069">
        <f>O147/(O$13)</f>
        <v/>
      </c>
      <c r="R147" s="491">
        <f>SUM(R148:R151)</f>
        <v/>
      </c>
      <c r="S147" s="492" t="n"/>
      <c r="T147" s="1069">
        <f>R147/(R$13)</f>
        <v/>
      </c>
      <c r="U147" s="491">
        <f>SUM(U148:U151)</f>
        <v/>
      </c>
      <c r="V147" s="492" t="n"/>
      <c r="W147" s="1069">
        <f>U147/(U$13)</f>
        <v/>
      </c>
      <c r="X147" s="491">
        <f>SUM(X148:X151)</f>
        <v/>
      </c>
      <c r="Y147" s="492" t="n"/>
      <c r="Z147" s="1069">
        <f>X147/(X$13)</f>
        <v/>
      </c>
      <c r="AA147" s="491">
        <f>SUM(AA148:AA151)</f>
        <v/>
      </c>
      <c r="AB147" s="492" t="n"/>
      <c r="AC147" s="1069">
        <f>AA147/(AA$13)</f>
        <v/>
      </c>
      <c r="AD147" s="491">
        <f>SUM(AD148:AD151)</f>
        <v/>
      </c>
      <c r="AE147" s="492" t="n"/>
      <c r="AF147" s="1069">
        <f>AD147/(AD$13)</f>
        <v/>
      </c>
      <c r="AG147" s="491">
        <f>SUM(AG148:AG151)</f>
        <v/>
      </c>
      <c r="AH147" s="492" t="n"/>
      <c r="AI147" s="1069">
        <f>AG147/(AG$13)</f>
        <v/>
      </c>
      <c r="AJ147" s="491">
        <f>SUM(AJ148:AJ151)</f>
        <v/>
      </c>
      <c r="AK147" s="492" t="n"/>
      <c r="AL147" s="511" t="n"/>
      <c r="AM147" s="583">
        <f>C147+F147+I147+L147+O147+R147+U147+X147+AA147+AD147+AG147+AJ147</f>
        <v/>
      </c>
      <c r="AN147" s="492" t="n"/>
      <c r="AO147" s="1070">
        <f>AM147/(AM$13)</f>
        <v/>
      </c>
      <c r="AQ147" s="627">
        <f>SUM(AQ148:AQ151)</f>
        <v/>
      </c>
      <c r="AR147" s="627" t="n"/>
      <c r="AS147" s="1104">
        <f>AQ147/(AQ$13-AQ$20)</f>
        <v/>
      </c>
      <c r="AT147" s="1100" t="n"/>
    </row>
    <row r="148" ht="15" customHeight="1" s="985">
      <c r="B148" s="18" t="inlineStr">
        <is>
          <t>Gastos Fijos Administracion</t>
        </is>
      </c>
      <c r="C148" s="39" t="n"/>
      <c r="D148" s="69" t="n"/>
      <c r="E148" s="1077" t="n"/>
      <c r="F148" s="39" t="n"/>
      <c r="G148" s="69" t="n"/>
      <c r="H148" s="1077" t="n"/>
      <c r="I148" s="39" t="n"/>
      <c r="J148" s="69" t="n"/>
      <c r="K148" s="1077" t="n"/>
      <c r="L148" s="39" t="n"/>
      <c r="M148" s="69" t="n"/>
      <c r="N148" s="1077" t="n"/>
      <c r="O148" s="39" t="n"/>
      <c r="P148" s="69" t="n"/>
      <c r="Q148" s="1077" t="n"/>
      <c r="R148" s="39" t="n"/>
      <c r="S148" s="69" t="n"/>
      <c r="T148" s="1077" t="n"/>
      <c r="U148" s="39" t="n"/>
      <c r="V148" s="69" t="n"/>
      <c r="W148" s="1077" t="n"/>
      <c r="X148" s="39" t="n"/>
      <c r="Y148" s="69" t="n"/>
      <c r="Z148" s="1077" t="n"/>
      <c r="AA148" s="39" t="n"/>
      <c r="AB148" s="69" t="n"/>
      <c r="AC148" s="1077" t="n"/>
      <c r="AD148" s="39" t="n"/>
      <c r="AE148" s="69" t="n"/>
      <c r="AF148" s="1077" t="n"/>
      <c r="AG148" s="39" t="n"/>
      <c r="AH148" s="69" t="n"/>
      <c r="AI148" s="1077" t="n"/>
      <c r="AJ148" s="39" t="n"/>
      <c r="AK148" s="69" t="n"/>
      <c r="AL148" s="70" t="n"/>
      <c r="AM148" s="209">
        <f>C148+F148+I148+L148+O148+R148+U148+X148+AA148+AD148+AG148+AJ148</f>
        <v/>
      </c>
      <c r="AN148" s="69" t="n"/>
      <c r="AO148" s="1082">
        <f>AM148/(AM$13)</f>
        <v/>
      </c>
      <c r="AP148" s="1068" t="n"/>
      <c r="AQ148" s="31" t="n"/>
      <c r="AR148" s="31" t="n"/>
      <c r="AS148" s="1123" t="n"/>
      <c r="AT148" s="1230" t="n"/>
    </row>
    <row r="149" ht="15" customHeight="1" s="985">
      <c r="B149" s="285" t="inlineStr">
        <is>
          <t>Gastos financieros</t>
        </is>
      </c>
      <c r="C149" s="25" t="n"/>
      <c r="D149" s="43" t="n"/>
      <c r="E149" s="1045" t="n"/>
      <c r="F149" s="25" t="n"/>
      <c r="G149" s="43" t="n"/>
      <c r="H149" s="1045" t="n"/>
      <c r="I149" s="25" t="n"/>
      <c r="J149" s="43" t="n"/>
      <c r="K149" s="1045" t="n"/>
      <c r="L149" s="25" t="n"/>
      <c r="M149" s="43" t="n"/>
      <c r="N149" s="1045" t="n"/>
      <c r="O149" s="25" t="n"/>
      <c r="P149" s="43" t="n"/>
      <c r="Q149" s="1045" t="n"/>
      <c r="R149" s="25" t="n"/>
      <c r="S149" s="43" t="n"/>
      <c r="T149" s="1045" t="n"/>
      <c r="U149" s="25" t="n"/>
      <c r="V149" s="43" t="n"/>
      <c r="W149" s="1045" t="n"/>
      <c r="X149" s="25" t="n"/>
      <c r="Y149" s="43" t="n"/>
      <c r="Z149" s="1045" t="n"/>
      <c r="AA149" s="25" t="n"/>
      <c r="AB149" s="43" t="n"/>
      <c r="AC149" s="1045" t="n"/>
      <c r="AD149" s="25" t="n"/>
      <c r="AE149" s="43" t="n"/>
      <c r="AF149" s="1045" t="n"/>
      <c r="AG149" s="25" t="n"/>
      <c r="AH149" s="43" t="n"/>
      <c r="AI149" s="1045" t="n"/>
      <c r="AJ149" s="25" t="n"/>
      <c r="AK149" s="43" t="n"/>
      <c r="AL149" s="57" t="n"/>
      <c r="AM149" s="205">
        <f>C149+F149+I149+L149+O149+R149+U149+X149+AA149+AD149+AG149+AJ149</f>
        <v/>
      </c>
      <c r="AN149" s="43" t="n"/>
      <c r="AO149" s="1046" t="n"/>
      <c r="AQ149" s="24" t="n"/>
      <c r="AR149" s="24" t="n"/>
      <c r="AS149" s="1108" t="n"/>
      <c r="AT149" s="1230" t="n"/>
    </row>
    <row r="150" ht="15" customHeight="1" s="985">
      <c r="B150" s="107" t="inlineStr">
        <is>
          <t>Costo de Facturas</t>
        </is>
      </c>
      <c r="C150" s="22" t="n"/>
      <c r="D150" s="42" t="n"/>
      <c r="E150" s="1057" t="n"/>
      <c r="F150" s="22" t="n"/>
      <c r="G150" s="42" t="n"/>
      <c r="H150" s="1057" t="n"/>
      <c r="I150" s="22" t="n"/>
      <c r="J150" s="42" t="n"/>
      <c r="K150" s="1057" t="n"/>
      <c r="L150" s="22" t="n"/>
      <c r="M150" s="42" t="n"/>
      <c r="N150" s="1057" t="n"/>
      <c r="O150" s="22" t="n"/>
      <c r="P150" s="42" t="n"/>
      <c r="Q150" s="1057" t="n"/>
      <c r="R150" s="22" t="n"/>
      <c r="S150" s="42" t="n"/>
      <c r="T150" s="1057" t="n"/>
      <c r="U150" s="22" t="n"/>
      <c r="V150" s="42" t="n"/>
      <c r="W150" s="1057" t="n"/>
      <c r="X150" s="22" t="n"/>
      <c r="Y150" s="42" t="n"/>
      <c r="Z150" s="1057" t="n"/>
      <c r="AA150" s="22" t="n"/>
      <c r="AB150" s="42" t="n"/>
      <c r="AC150" s="1057" t="n"/>
      <c r="AD150" s="22" t="n"/>
      <c r="AE150" s="42" t="n"/>
      <c r="AF150" s="1057" t="n"/>
      <c r="AG150" s="22" t="n"/>
      <c r="AH150" s="42" t="n"/>
      <c r="AI150" s="1057" t="n"/>
      <c r="AJ150" s="22" t="n"/>
      <c r="AK150" s="42" t="n"/>
      <c r="AL150" s="56" t="n"/>
      <c r="AM150" s="205">
        <f>C150+F150+I150+L150+O150+R150+U150+X150+AA150+AD150+AG150+AJ150</f>
        <v/>
      </c>
      <c r="AN150" s="42" t="n"/>
      <c r="AO150" s="1058">
        <f>AM150/(AM$13)</f>
        <v/>
      </c>
      <c r="AP150" s="1068" t="n"/>
      <c r="AQ150" s="24" t="n"/>
      <c r="AR150" s="24" t="n"/>
      <c r="AS150" s="1108" t="n"/>
      <c r="AT150" s="1230" t="n"/>
    </row>
    <row r="151" ht="15" customHeight="1" s="985" thickBot="1">
      <c r="B151" s="300" t="inlineStr">
        <is>
          <t>Gastos No Operacionales</t>
        </is>
      </c>
      <c r="C151" s="71" t="n"/>
      <c r="D151" s="72" t="n"/>
      <c r="E151" s="1086" t="n"/>
      <c r="F151" s="71" t="n"/>
      <c r="G151" s="72" t="n"/>
      <c r="H151" s="1086" t="n"/>
      <c r="I151" s="71" t="n"/>
      <c r="J151" s="72" t="n"/>
      <c r="K151" s="1086" t="n"/>
      <c r="L151" s="71" t="n"/>
      <c r="M151" s="72" t="n"/>
      <c r="N151" s="1086" t="n"/>
      <c r="O151" s="71" t="n"/>
      <c r="P151" s="72" t="n"/>
      <c r="Q151" s="1086" t="n"/>
      <c r="R151" s="71" t="n"/>
      <c r="S151" s="72" t="n"/>
      <c r="T151" s="1086" t="n"/>
      <c r="U151" s="71" t="n"/>
      <c r="V151" s="72" t="n"/>
      <c r="W151" s="1086" t="n"/>
      <c r="X151" s="71" t="n"/>
      <c r="Y151" s="72" t="n"/>
      <c r="Z151" s="1086" t="n"/>
      <c r="AA151" s="71" t="n"/>
      <c r="AB151" s="72" t="n"/>
      <c r="AC151" s="1086" t="n"/>
      <c r="AD151" s="71" t="n"/>
      <c r="AE151" s="72" t="n"/>
      <c r="AF151" s="1086" t="n"/>
      <c r="AG151" s="71" t="n"/>
      <c r="AH151" s="72" t="n"/>
      <c r="AI151" s="1086" t="n"/>
      <c r="AJ151" s="71" t="n"/>
      <c r="AK151" s="72" t="n"/>
      <c r="AL151" s="73" t="n"/>
      <c r="AM151" s="301">
        <f>C151+F151+I151+L151+O151+R151+U151+X151+AA151+AD151+AG151+AJ151</f>
        <v/>
      </c>
      <c r="AN151" s="72" t="n"/>
      <c r="AO151" s="1087" t="n"/>
      <c r="AQ151" s="300" t="n"/>
      <c r="AR151" s="300" t="n"/>
      <c r="AS151" s="1133" t="n"/>
      <c r="AT151" s="1230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1067" t="n"/>
      <c r="I152" s="2" t="n"/>
      <c r="J152" s="2" t="n"/>
      <c r="K152" s="1067" t="n"/>
      <c r="L152" s="2" t="n"/>
      <c r="M152" s="2" t="n"/>
      <c r="N152" s="1067" t="n"/>
      <c r="O152" s="2" t="n"/>
      <c r="P152" s="2" t="n"/>
      <c r="Q152" s="1067" t="n"/>
      <c r="R152" s="2" t="n"/>
      <c r="S152" s="2" t="n"/>
      <c r="T152" s="1067" t="n"/>
      <c r="U152" s="2" t="n"/>
      <c r="V152" s="2" t="n"/>
      <c r="W152" s="1067" t="n"/>
      <c r="X152" s="2" t="n"/>
      <c r="Y152" s="2" t="n"/>
      <c r="Z152" s="1067" t="n"/>
      <c r="AA152" s="2" t="n"/>
      <c r="AB152" s="2" t="n"/>
      <c r="AC152" s="1067" t="n"/>
      <c r="AD152" s="2" t="n"/>
      <c r="AE152" s="2" t="n"/>
      <c r="AF152" s="1067" t="n"/>
      <c r="AG152" s="2" t="n"/>
      <c r="AH152" s="2" t="n"/>
      <c r="AI152" s="1067" t="n"/>
      <c r="AJ152" s="2" t="n"/>
      <c r="AK152" s="2" t="n"/>
      <c r="AL152" s="64" t="n"/>
      <c r="AM152" s="151" t="n"/>
      <c r="AN152" s="2" t="n"/>
      <c r="AO152" s="1067" t="n"/>
      <c r="AQ152" s="136" t="n"/>
      <c r="AR152" s="136" t="n"/>
      <c r="AS152" s="1122" t="n"/>
      <c r="AT152" s="1067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 t="n"/>
      <c r="F153" s="498">
        <f>SUM(F154:F160)</f>
        <v/>
      </c>
      <c r="G153" s="499" t="n"/>
      <c r="H153" s="1093" t="n"/>
      <c r="I153" s="498">
        <f>SUM(I154:I160)</f>
        <v/>
      </c>
      <c r="J153" s="499" t="n"/>
      <c r="K153" s="1093" t="n"/>
      <c r="L153" s="498">
        <f>SUM(L154:L160)</f>
        <v/>
      </c>
      <c r="M153" s="499" t="n"/>
      <c r="N153" s="1093" t="n"/>
      <c r="O153" s="498">
        <f>SUM(O154:O160)</f>
        <v/>
      </c>
      <c r="P153" s="499" t="n"/>
      <c r="Q153" s="1093" t="n"/>
      <c r="R153" s="498">
        <f>SUM(R154:R160)</f>
        <v/>
      </c>
      <c r="S153" s="499" t="n"/>
      <c r="T153" s="1093" t="n"/>
      <c r="U153" s="498">
        <f>SUM(U154:U160)</f>
        <v/>
      </c>
      <c r="V153" s="499" t="n"/>
      <c r="W153" s="1093" t="n"/>
      <c r="X153" s="498">
        <f>SUM(X154:X160)</f>
        <v/>
      </c>
      <c r="Y153" s="499" t="n"/>
      <c r="Z153" s="1093" t="n"/>
      <c r="AA153" s="498">
        <f>SUM(AA154:AA160)</f>
        <v/>
      </c>
      <c r="AB153" s="499" t="n"/>
      <c r="AC153" s="1093" t="n"/>
      <c r="AD153" s="498">
        <f>SUM(AD154:AD160)</f>
        <v/>
      </c>
      <c r="AE153" s="499" t="n"/>
      <c r="AF153" s="1093" t="n"/>
      <c r="AG153" s="498">
        <f>SUM(AG154:AG160)</f>
        <v/>
      </c>
      <c r="AH153" s="499" t="n"/>
      <c r="AI153" s="1093" t="n"/>
      <c r="AJ153" s="498">
        <f>SUM(AJ154:AJ160)</f>
        <v/>
      </c>
      <c r="AK153" s="499" t="n"/>
      <c r="AL153" s="512" t="n"/>
      <c r="AM153" s="587">
        <f>C153+F153+I153+L153+O153+R153+U153+X153+AA153+AD153+AG153+AJ153</f>
        <v/>
      </c>
      <c r="AN153" s="499" t="n"/>
      <c r="AO153" s="1094">
        <f>AM153/(AM$13)</f>
        <v/>
      </c>
      <c r="AQ153" s="630">
        <f>SUM(AQ154:AQ160)</f>
        <v/>
      </c>
      <c r="AR153" s="630" t="n"/>
      <c r="AS153" s="1134">
        <f>AQ153/(AQ$13-AQ$20)</f>
        <v/>
      </c>
      <c r="AT153" s="1100" t="n"/>
    </row>
    <row r="154" ht="15" customHeight="1" s="985" thickTop="1">
      <c r="B154" s="1135" t="inlineStr">
        <is>
          <t>Novedades</t>
        </is>
      </c>
      <c r="C154" s="286" t="n"/>
      <c r="D154" s="230" t="n"/>
      <c r="E154" s="1136" t="n"/>
      <c r="F154" s="286" t="n"/>
      <c r="G154" s="230" t="n"/>
      <c r="H154" s="1136" t="n"/>
      <c r="I154" s="286" t="n"/>
      <c r="J154" s="230" t="n"/>
      <c r="K154" s="1136" t="n"/>
      <c r="L154" s="286" t="n"/>
      <c r="M154" s="230" t="n"/>
      <c r="N154" s="1136" t="n"/>
      <c r="O154" s="1172" t="n"/>
      <c r="P154" s="230" t="n"/>
      <c r="Q154" s="1136" t="n"/>
      <c r="R154" s="636" t="n"/>
      <c r="S154" s="230" t="n"/>
      <c r="T154" s="1136" t="n"/>
      <c r="U154" s="286" t="n"/>
      <c r="V154" s="230" t="n"/>
      <c r="W154" s="1136" t="n"/>
      <c r="X154" s="286" t="n"/>
      <c r="Y154" s="230" t="n"/>
      <c r="Z154" s="1136" t="n"/>
      <c r="AA154" s="1172" t="n"/>
      <c r="AB154" s="230" t="n"/>
      <c r="AC154" s="1136" t="n"/>
      <c r="AD154" s="1172" t="n"/>
      <c r="AE154" s="230" t="n"/>
      <c r="AF154" s="1136" t="n"/>
      <c r="AG154" s="1172" t="n"/>
      <c r="AH154" s="230" t="n"/>
      <c r="AI154" s="1136" t="n"/>
      <c r="AJ154" s="1172" t="n"/>
      <c r="AK154" s="230" t="n"/>
      <c r="AL154" s="245" t="n"/>
      <c r="AM154" s="287">
        <f>C154+F154+I154+L154+O154+R154+U154+X154+AA154+AD154+AG154+AJ154</f>
        <v/>
      </c>
      <c r="AN154" s="230" t="n"/>
      <c r="AO154" s="1137" t="n"/>
      <c r="AQ154" s="724" t="n"/>
      <c r="AR154" s="289" t="n"/>
      <c r="AS154" s="1138" t="n"/>
      <c r="AT154" s="1033" t="n"/>
    </row>
    <row r="155" ht="15" customHeight="1" s="985">
      <c r="B155" s="1139" t="inlineStr">
        <is>
          <t>Donacion</t>
        </is>
      </c>
      <c r="C155" s="693" t="n"/>
      <c r="D155" s="9" t="n"/>
      <c r="E155" s="1140" t="n"/>
      <c r="F155" s="693" t="n"/>
      <c r="G155" s="9" t="n"/>
      <c r="H155" s="1140" t="n"/>
      <c r="I155" s="694" t="n"/>
      <c r="J155" s="9" t="n"/>
      <c r="K155" s="1140" t="n"/>
      <c r="L155" s="694" t="n"/>
      <c r="M155" s="9" t="n"/>
      <c r="N155" s="1140" t="n"/>
      <c r="O155" s="1179" t="n"/>
      <c r="P155" s="9" t="n"/>
      <c r="Q155" s="1140" t="n"/>
      <c r="R155" s="851" t="n"/>
      <c r="S155" s="9" t="n"/>
      <c r="T155" s="1140" t="n"/>
      <c r="U155" s="694" t="n"/>
      <c r="V155" s="9" t="n"/>
      <c r="W155" s="1140" t="n"/>
      <c r="X155" s="694" t="n"/>
      <c r="Y155" s="9" t="n"/>
      <c r="Z155" s="1140" t="n"/>
      <c r="AA155" s="1179" t="n"/>
      <c r="AB155" s="9" t="n"/>
      <c r="AC155" s="1140" t="n"/>
      <c r="AD155" s="1179" t="n"/>
      <c r="AE155" s="9" t="n"/>
      <c r="AF155" s="1140" t="n"/>
      <c r="AG155" s="1179" t="n"/>
      <c r="AH155" s="9" t="n"/>
      <c r="AI155" s="1140" t="n"/>
      <c r="AJ155" s="1179" t="n"/>
      <c r="AK155" s="9" t="n"/>
      <c r="AL155" s="240" t="n"/>
      <c r="AM155" s="567">
        <f>C155+F155+I155+L155+O155+R155+U155+X155+AA155+AD155+AG155+AJ155</f>
        <v/>
      </c>
      <c r="AN155" s="9" t="n"/>
      <c r="AO155" s="1141" t="n"/>
      <c r="AQ155" s="707" t="n"/>
      <c r="AR155" s="248" t="n"/>
      <c r="AS155" s="1142" t="n"/>
      <c r="AT155" s="1033" t="n"/>
    </row>
    <row r="156" ht="15" customHeight="1" s="985">
      <c r="B156" s="1143" t="inlineStr">
        <is>
          <t>Donacion</t>
        </is>
      </c>
      <c r="C156" s="687" t="n"/>
      <c r="D156" s="677" t="n"/>
      <c r="E156" s="1144" t="n"/>
      <c r="F156" s="687" t="n"/>
      <c r="G156" s="677" t="n"/>
      <c r="H156" s="1144" t="n"/>
      <c r="I156" s="688" t="n"/>
      <c r="J156" s="677" t="n"/>
      <c r="K156" s="1144" t="n"/>
      <c r="L156" s="688" t="n"/>
      <c r="M156" s="677" t="n"/>
      <c r="N156" s="1144" t="n"/>
      <c r="O156" s="1199" t="n"/>
      <c r="P156" s="677" t="n"/>
      <c r="Q156" s="1144" t="n"/>
      <c r="R156" s="294" t="n">
        <v>0</v>
      </c>
      <c r="S156" s="677" t="n"/>
      <c r="T156" s="1144" t="n"/>
      <c r="U156" s="688" t="n"/>
      <c r="V156" s="677" t="n"/>
      <c r="W156" s="1144" t="n"/>
      <c r="X156" s="688" t="n"/>
      <c r="Y156" s="677" t="n"/>
      <c r="Z156" s="1144" t="n"/>
      <c r="AA156" s="1199" t="n"/>
      <c r="AB156" s="677" t="n"/>
      <c r="AC156" s="1144" t="n"/>
      <c r="AD156" s="1199" t="n"/>
      <c r="AE156" s="677" t="n"/>
      <c r="AF156" s="1144" t="n"/>
      <c r="AG156" s="1199" t="n"/>
      <c r="AH156" s="677" t="n"/>
      <c r="AI156" s="1144" t="n"/>
      <c r="AJ156" s="1199" t="n"/>
      <c r="AK156" s="677" t="n"/>
      <c r="AL156" s="681" t="n"/>
      <c r="AM156" s="682">
        <f>C156+F156+I156+L156+O156+R156+U156+X156+AA156+AD156+AG156+AJ156</f>
        <v/>
      </c>
      <c r="AN156" s="677" t="n"/>
      <c r="AO156" s="1145" t="n"/>
      <c r="AQ156" s="767" t="n"/>
      <c r="AR156" s="248" t="n"/>
      <c r="AS156" s="1142" t="n"/>
      <c r="AT156" s="1033" t="n"/>
    </row>
    <row r="157" ht="15" customHeight="1" s="985">
      <c r="B157" s="1146" t="inlineStr">
        <is>
          <t>Otros Ajustes</t>
        </is>
      </c>
      <c r="C157" s="563" t="n"/>
      <c r="D157" s="553" t="n"/>
      <c r="E157" s="1147" t="n"/>
      <c r="F157" s="567" t="n"/>
      <c r="G157" s="553" t="n"/>
      <c r="H157" s="1147" t="n"/>
      <c r="I157" s="567" t="n"/>
      <c r="J157" s="553" t="n"/>
      <c r="K157" s="1147" t="n"/>
      <c r="L157" s="567" t="n"/>
      <c r="M157" s="553" t="n"/>
      <c r="N157" s="1147" t="n"/>
      <c r="O157" s="567" t="n"/>
      <c r="P157" s="553" t="n"/>
      <c r="Q157" s="1147" t="n"/>
      <c r="R157" s="567" t="n"/>
      <c r="S157" s="553" t="n"/>
      <c r="T157" s="1147" t="n"/>
      <c r="U157" s="567" t="n"/>
      <c r="V157" s="553" t="n"/>
      <c r="W157" s="1147" t="n"/>
      <c r="X157" s="567" t="n"/>
      <c r="Y157" s="553" t="n"/>
      <c r="Z157" s="1147" t="n"/>
      <c r="AA157" s="567" t="n"/>
      <c r="AB157" s="553" t="n"/>
      <c r="AC157" s="1147" t="n"/>
      <c r="AD157" s="567" t="n"/>
      <c r="AE157" s="553" t="n"/>
      <c r="AF157" s="1147" t="n"/>
      <c r="AG157" s="567" t="n"/>
      <c r="AH157" s="553" t="n"/>
      <c r="AI157" s="1147" t="n"/>
      <c r="AJ157" s="567" t="n"/>
      <c r="AK157" s="553" t="n"/>
      <c r="AL157" s="557" t="n"/>
      <c r="AM157" s="294">
        <f>C157+F157+I157+L157+O157+R157+U157+X157+AA157+AD157+AG157+AJ157</f>
        <v/>
      </c>
      <c r="AN157" s="553" t="n"/>
      <c r="AO157" s="1178">
        <f>AM157/AM42</f>
        <v/>
      </c>
      <c r="AQ157" s="707" t="n"/>
      <c r="AR157" s="561" t="n"/>
      <c r="AS157" s="1149" t="n"/>
      <c r="AT157" s="1033" t="n"/>
    </row>
    <row r="158" ht="15" customHeight="1" s="985">
      <c r="B158" s="1150" t="inlineStr">
        <is>
          <t>Otros Ajustes</t>
        </is>
      </c>
      <c r="C158" s="1148" t="n"/>
      <c r="D158" s="13" t="n"/>
      <c r="E158" s="1151" t="n"/>
      <c r="F158" s="1148" t="n"/>
      <c r="G158" s="13" t="n"/>
      <c r="H158" s="1151" t="n"/>
      <c r="I158" s="1148" t="n"/>
      <c r="J158" s="13" t="n"/>
      <c r="K158" s="1151" t="n"/>
      <c r="L158" s="1148" t="n"/>
      <c r="M158" s="13" t="n"/>
      <c r="N158" s="1151" t="n"/>
      <c r="O158" s="1148" t="n"/>
      <c r="P158" s="13" t="n"/>
      <c r="Q158" s="1151" t="n"/>
      <c r="R158" s="1148" t="n"/>
      <c r="S158" s="13" t="n"/>
      <c r="T158" s="1151" t="n"/>
      <c r="U158" s="1148" t="n"/>
      <c r="V158" s="13" t="n"/>
      <c r="W158" s="1151" t="n"/>
      <c r="X158" s="1148" t="n"/>
      <c r="Y158" s="13" t="n"/>
      <c r="Z158" s="1151" t="n"/>
      <c r="AA158" s="1148" t="n"/>
      <c r="AB158" s="13" t="n"/>
      <c r="AC158" s="1151" t="n"/>
      <c r="AD158" s="1148" t="n"/>
      <c r="AE158" s="43" t="n"/>
      <c r="AF158" s="1151" t="n"/>
      <c r="AG158" s="1148" t="n"/>
      <c r="AH158" s="13" t="n"/>
      <c r="AI158" s="1151" t="n"/>
      <c r="AJ158" s="1148" t="n"/>
      <c r="AK158" s="13" t="n"/>
      <c r="AL158" s="246" t="n"/>
      <c r="AM158" s="294">
        <f>C158+F158+I158+L158+O158+R158+U158+X158+AA158+AD158+AG158+AJ158</f>
        <v/>
      </c>
      <c r="AN158" s="13" t="n"/>
      <c r="AO158" s="1152">
        <f>AM158/$AM$42</f>
        <v/>
      </c>
      <c r="AQ158" s="75" t="n"/>
      <c r="AR158" s="296" t="n"/>
      <c r="AS158" s="1153" t="n"/>
      <c r="AT158" s="1033" t="n"/>
    </row>
    <row r="159" ht="15" customHeight="1" s="985">
      <c r="B159" s="1150" t="inlineStr">
        <is>
          <t>Otros Ajustes</t>
        </is>
      </c>
      <c r="C159" s="1148" t="n"/>
      <c r="D159" s="13" t="n"/>
      <c r="E159" s="1151" t="n"/>
      <c r="F159" s="1148" t="n"/>
      <c r="G159" s="13" t="n"/>
      <c r="H159" s="1151" t="n"/>
      <c r="I159" s="1148" t="n"/>
      <c r="J159" s="13" t="n"/>
      <c r="K159" s="1151" t="n"/>
      <c r="L159" s="1148" t="n"/>
      <c r="M159" s="13" t="n"/>
      <c r="N159" s="1151" t="n"/>
      <c r="O159" s="1148" t="n"/>
      <c r="P159" s="13" t="n"/>
      <c r="Q159" s="1151" t="n"/>
      <c r="R159" s="1148" t="n"/>
      <c r="S159" s="13" t="n"/>
      <c r="T159" s="1151" t="n"/>
      <c r="U159" s="1148" t="n"/>
      <c r="V159" s="13" t="n"/>
      <c r="W159" s="1151" t="n"/>
      <c r="X159" s="1148" t="n"/>
      <c r="Y159" s="13" t="n"/>
      <c r="Z159" s="1151" t="n"/>
      <c r="AA159" s="1148" t="n"/>
      <c r="AB159" s="13" t="n"/>
      <c r="AC159" s="1151" t="n"/>
      <c r="AD159" s="1148" t="n"/>
      <c r="AE159" s="43" t="n"/>
      <c r="AF159" s="1151" t="n"/>
      <c r="AG159" s="1148" t="n"/>
      <c r="AH159" s="13" t="n"/>
      <c r="AI159" s="1151" t="n"/>
      <c r="AJ159" s="1148" t="n"/>
      <c r="AK159" s="13" t="n"/>
      <c r="AL159" s="246" t="n"/>
      <c r="AM159" s="294">
        <f>C159+F159+I159+L159+O159+R159+U159+X159+AA159+AD159+AG159+AJ159</f>
        <v/>
      </c>
      <c r="AN159" s="13" t="n"/>
      <c r="AO159" s="1152">
        <f>AM159/$AM$42</f>
        <v/>
      </c>
      <c r="AQ159" s="296" t="n"/>
      <c r="AR159" s="296" t="n"/>
      <c r="AS159" s="1153" t="n"/>
      <c r="AT159" s="1033" t="n"/>
    </row>
    <row r="160" ht="15" customHeight="1" s="985" thickBot="1">
      <c r="B160" s="1154" t="inlineStr">
        <is>
          <t>Paquetes de donacion</t>
        </is>
      </c>
      <c r="C160" s="234" t="n"/>
      <c r="D160" s="233" t="n"/>
      <c r="E160" s="1155" t="n"/>
      <c r="F160" s="234" t="n"/>
      <c r="G160" s="233" t="n"/>
      <c r="H160" s="1155" t="n"/>
      <c r="I160" s="234" t="n"/>
      <c r="J160" s="233" t="n"/>
      <c r="K160" s="1155" t="n"/>
      <c r="L160" s="1148" t="n"/>
      <c r="M160" s="13" t="n"/>
      <c r="N160" s="1151" t="n"/>
      <c r="O160" s="1148" t="n"/>
      <c r="P160" s="13" t="n"/>
      <c r="Q160" s="1151" t="n"/>
      <c r="R160" s="1148" t="n"/>
      <c r="S160" s="233" t="n"/>
      <c r="T160" s="1155" t="n"/>
      <c r="U160" s="1148" t="n"/>
      <c r="V160" s="233" t="n"/>
      <c r="W160" s="1155" t="n"/>
      <c r="X160" s="1148" t="n"/>
      <c r="Y160" s="233" t="n"/>
      <c r="Z160" s="1155" t="n"/>
      <c r="AA160" s="1148" t="n"/>
      <c r="AB160" s="233" t="n"/>
      <c r="AC160" s="1155" t="n"/>
      <c r="AD160" s="1148" t="n"/>
      <c r="AE160" s="233" t="n"/>
      <c r="AF160" s="1155" t="n"/>
      <c r="AG160" s="1148" t="n"/>
      <c r="AH160" s="233" t="n"/>
      <c r="AI160" s="1155" t="n"/>
      <c r="AJ160" s="1148" t="n"/>
      <c r="AK160" s="233" t="n"/>
      <c r="AL160" s="247" t="n"/>
      <c r="AM160" s="292">
        <f>C160+F160+I160+L160+O160+R160+U160+X160+AA160+AD160+AG160+AJ160</f>
        <v/>
      </c>
      <c r="AN160" s="812" t="n"/>
      <c r="AO160" s="1152">
        <f>AM160/AM13</f>
        <v/>
      </c>
      <c r="AQ160" s="622" t="n"/>
      <c r="AR160" s="622" t="n"/>
      <c r="AS160" s="1157" t="n"/>
      <c r="AT160" s="1033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1093" t="n"/>
      <c r="F161" s="498">
        <f>F144-F147-F153</f>
        <v/>
      </c>
      <c r="G161" s="499" t="n"/>
      <c r="H161" s="1093" t="n"/>
      <c r="I161" s="498">
        <f>I144-I147-I153</f>
        <v/>
      </c>
      <c r="J161" s="499" t="n"/>
      <c r="K161" s="1093" t="n"/>
      <c r="L161" s="498">
        <f>L144-L147-L153</f>
        <v/>
      </c>
      <c r="M161" s="499" t="n"/>
      <c r="N161" s="1093" t="n"/>
      <c r="O161" s="498">
        <f>O144-O147-O153</f>
        <v/>
      </c>
      <c r="P161" s="499" t="n"/>
      <c r="Q161" s="1093" t="n"/>
      <c r="R161" s="498">
        <f>R144-R147-R153</f>
        <v/>
      </c>
      <c r="S161" s="499" t="n"/>
      <c r="T161" s="1093" t="n"/>
      <c r="U161" s="498">
        <f>U144-U147-U153</f>
        <v/>
      </c>
      <c r="V161" s="499" t="n"/>
      <c r="W161" s="1093" t="n"/>
      <c r="X161" s="498">
        <f>X144-X147-X153</f>
        <v/>
      </c>
      <c r="Y161" s="499" t="n"/>
      <c r="Z161" s="1093" t="n"/>
      <c r="AA161" s="498">
        <f>AA144-AA147-AA153</f>
        <v/>
      </c>
      <c r="AB161" s="499" t="n"/>
      <c r="AC161" s="1093" t="n"/>
      <c r="AD161" s="498">
        <f>AD144-AD147-AD153</f>
        <v/>
      </c>
      <c r="AE161" s="499" t="n"/>
      <c r="AF161" s="1093" t="n"/>
      <c r="AG161" s="498">
        <f>AG144-AG147-AG153</f>
        <v/>
      </c>
      <c r="AH161" s="499" t="n"/>
      <c r="AI161" s="1093" t="n"/>
      <c r="AJ161" s="498">
        <f>AJ144-AJ147-AJ153</f>
        <v/>
      </c>
      <c r="AK161" s="499" t="n"/>
      <c r="AL161" s="512" t="n"/>
      <c r="AM161" s="587">
        <f>C161+F161+I161+L161+O161+R161+U161+X161+AA161+AD161+AG161+AJ161</f>
        <v/>
      </c>
      <c r="AN161" s="499" t="n"/>
      <c r="AO161" s="1094" t="n"/>
      <c r="AQ161" s="630">
        <f>AQ144-AQ147-AQ153</f>
        <v/>
      </c>
      <c r="AR161" s="630" t="n"/>
      <c r="AS161" s="1134" t="n"/>
      <c r="AT161" s="1100" t="n"/>
    </row>
    <row r="162" ht="14.4" customHeight="1" s="985" thickBot="1" thickTop="1">
      <c r="B162" s="65" t="n"/>
      <c r="C162" s="455">
        <f>IFERROR(C161/C13," ")</f>
        <v/>
      </c>
      <c r="D162" s="446" t="n"/>
      <c r="E162" s="1200" t="n"/>
      <c r="F162" s="540">
        <f>IFERROR(F161/F13," ")</f>
        <v/>
      </c>
      <c r="G162" s="502" t="n"/>
      <c r="H162" s="1093" t="n"/>
      <c r="I162" s="501">
        <f>IFERROR(I161/I13," ")</f>
        <v/>
      </c>
      <c r="J162" s="502" t="n"/>
      <c r="K162" s="1093" t="n"/>
      <c r="L162" s="501">
        <f>IFERROR(L161/L13," ")</f>
        <v/>
      </c>
      <c r="M162" s="502" t="n"/>
      <c r="N162" s="1093" t="n"/>
      <c r="O162" s="543">
        <f>IFERROR(O161/O13," ")</f>
        <v/>
      </c>
      <c r="P162" s="502" t="n"/>
      <c r="Q162" s="1093" t="n"/>
      <c r="R162" s="540">
        <f>IFERROR(R161/R13," ")</f>
        <v/>
      </c>
      <c r="S162" s="502" t="n"/>
      <c r="T162" s="1093" t="n"/>
      <c r="U162" s="540">
        <f>IFERROR(U161/U13," ")</f>
        <v/>
      </c>
      <c r="V162" s="502" t="n"/>
      <c r="W162" s="1093" t="n"/>
      <c r="X162" s="540">
        <f>IFERROR(X161/X13," ")</f>
        <v/>
      </c>
      <c r="Y162" s="502" t="n"/>
      <c r="Z162" s="1093" t="n"/>
      <c r="AA162" s="540">
        <f>IFERROR(AA161/AA13," ")</f>
        <v/>
      </c>
      <c r="AB162" s="502" t="n"/>
      <c r="AC162" s="1093" t="n"/>
      <c r="AD162" s="501">
        <f>IFERROR(AD161/AD13," ")</f>
        <v/>
      </c>
      <c r="AE162" s="502" t="n"/>
      <c r="AF162" s="1093" t="n"/>
      <c r="AG162" s="501">
        <f>IFERROR(AG161/AG13," ")</f>
        <v/>
      </c>
      <c r="AH162" s="502" t="n"/>
      <c r="AI162" s="1093" t="n"/>
      <c r="AJ162" s="501">
        <f>IFERROR(AJ161/AJ13," ")</f>
        <v/>
      </c>
      <c r="AK162" s="502" t="n"/>
      <c r="AL162" s="513" t="n"/>
      <c r="AM162" s="589">
        <f>IFERROR(AM161/AM13," ")</f>
        <v/>
      </c>
      <c r="AN162" s="502" t="n"/>
      <c r="AO162" s="1094" t="n"/>
      <c r="AQ162" s="631">
        <f>IFERROR(AQ161/AQ13," ")</f>
        <v/>
      </c>
      <c r="AR162" s="631" t="n"/>
      <c r="AS162" s="1134" t="n"/>
      <c r="AT162" s="1100" t="n"/>
    </row>
    <row r="163" ht="10.8" customHeight="1" s="985" thickTop="1"/>
    <row r="164" hidden="1" customFormat="1" s="153">
      <c r="A164" s="226" t="n"/>
      <c r="C164" s="996" t="n"/>
      <c r="D164" s="996" t="n"/>
      <c r="E164" s="1188" t="n"/>
      <c r="F164" s="549" t="n"/>
      <c r="G164" s="996" t="n"/>
      <c r="H164" s="1188" t="n"/>
      <c r="I164" s="549" t="n"/>
      <c r="J164" s="996" t="n"/>
      <c r="K164" s="1188" t="n"/>
      <c r="L164" s="618">
        <f>L44+L83-L73-L85</f>
        <v/>
      </c>
      <c r="M164" s="996" t="n"/>
      <c r="N164" s="1188" t="n"/>
      <c r="O164" s="473">
        <f>O44+O83-O73-O85</f>
        <v/>
      </c>
      <c r="P164" s="996" t="n"/>
      <c r="Q164" s="1188" t="n"/>
      <c r="R164" s="476">
        <f>R44+R83-R73-R85-R58</f>
        <v/>
      </c>
      <c r="S164" s="996" t="n"/>
      <c r="T164" s="1188" t="n"/>
      <c r="U164" s="476">
        <f>U44+U83-U73-U85-U58</f>
        <v/>
      </c>
      <c r="V164" s="996" t="n"/>
      <c r="W164" s="1188" t="n"/>
      <c r="X164" s="476">
        <f>X44+X83-X73-X85-X58</f>
        <v/>
      </c>
      <c r="Y164" s="996" t="n"/>
      <c r="Z164" s="1188" t="n"/>
      <c r="AA164" s="476">
        <f>AA44+AA83-AA73-AA85-AA58</f>
        <v/>
      </c>
      <c r="AB164" s="996" t="n"/>
      <c r="AC164" s="1188" t="n"/>
      <c r="AD164" s="476">
        <f>AD44+AD83-AD73-AD85-AD58</f>
        <v/>
      </c>
      <c r="AE164" s="996" t="n"/>
      <c r="AF164" s="1188" t="n"/>
      <c r="AG164" s="476">
        <f>AG44+AG83-AG73-AG85-AG58</f>
        <v/>
      </c>
      <c r="AH164" s="996" t="n"/>
      <c r="AI164" s="1188" t="n"/>
      <c r="AJ164" s="476">
        <f>AJ44+AJ83-AJ73-AJ85-AJ58</f>
        <v/>
      </c>
      <c r="AK164" s="996" t="n"/>
      <c r="AL164" s="996" t="n"/>
      <c r="AM164" s="996" t="n"/>
      <c r="AN164" s="996" t="n"/>
      <c r="AO164" s="1188" t="n"/>
      <c r="AQ164" s="989" t="n"/>
      <c r="AR164" s="989" t="n"/>
      <c r="AS164" s="2" t="n"/>
      <c r="AT164" s="2" t="n"/>
    </row>
    <row r="165" hidden="1" customFormat="1" s="153">
      <c r="A165" s="226" t="n"/>
      <c r="C165" s="996" t="n"/>
      <c r="D165" s="996" t="n"/>
      <c r="E165" s="1188" t="n"/>
      <c r="F165" s="549" t="n"/>
      <c r="G165" s="996" t="n"/>
      <c r="H165" s="1188" t="n"/>
      <c r="I165" s="549" t="n"/>
      <c r="J165" s="996" t="n"/>
      <c r="K165" s="1188" t="n"/>
      <c r="L165" s="618" t="n">
        <v>248496098.22</v>
      </c>
      <c r="M165" s="996" t="n"/>
      <c r="N165" s="1188" t="n"/>
      <c r="O165" s="473" t="n">
        <v>232932438</v>
      </c>
      <c r="P165" s="996" t="n"/>
      <c r="Q165" s="1188" t="n"/>
      <c r="R165" s="476" t="n">
        <v>247608078.26</v>
      </c>
      <c r="S165" s="996" t="n"/>
      <c r="T165" s="1188" t="n"/>
      <c r="U165" s="476" t="n">
        <v>2469802.02</v>
      </c>
      <c r="V165" s="996" t="n"/>
      <c r="W165" s="1188" t="n"/>
      <c r="X165" s="476" t="n">
        <v>242923595.62</v>
      </c>
      <c r="Y165" s="996" t="n"/>
      <c r="Z165" s="1188" t="n"/>
      <c r="AA165" s="476" t="n">
        <v>245927632.57</v>
      </c>
      <c r="AB165" s="996" t="n"/>
      <c r="AC165" s="1188" t="n"/>
      <c r="AD165" s="476" t="n">
        <v>247341748.46</v>
      </c>
      <c r="AE165" s="996" t="n"/>
      <c r="AF165" s="1188" t="n"/>
      <c r="AG165" s="476" t="n">
        <v>255609489.48</v>
      </c>
      <c r="AH165" s="996" t="n"/>
      <c r="AI165" s="1188" t="n"/>
      <c r="AJ165" s="476" t="n">
        <v>251921253.38</v>
      </c>
      <c r="AK165" s="996" t="n"/>
      <c r="AL165" s="996" t="n"/>
      <c r="AM165" s="996" t="n"/>
      <c r="AN165" s="996" t="n"/>
      <c r="AO165" s="1188" t="n"/>
      <c r="AQ165" s="989" t="n"/>
      <c r="AR165" s="989" t="n"/>
      <c r="AS165" s="2" t="n"/>
      <c r="AT165" s="2" t="n"/>
    </row>
    <row r="166" hidden="1" customFormat="1" s="153">
      <c r="A166" s="226" t="n"/>
      <c r="C166" s="996" t="n"/>
      <c r="D166" s="996" t="n"/>
      <c r="E166" s="1188" t="n"/>
      <c r="F166" s="549" t="n"/>
      <c r="G166" s="995" t="n"/>
      <c r="H166" s="1189" t="n"/>
      <c r="I166" s="570" t="n"/>
      <c r="J166" s="996" t="n"/>
      <c r="K166" s="1189" t="n"/>
      <c r="L166" s="618">
        <f>L164-L165</f>
        <v/>
      </c>
      <c r="M166" s="996" t="n"/>
      <c r="N166" s="1188" t="n"/>
      <c r="O166" s="473">
        <f>O164-O165</f>
        <v/>
      </c>
      <c r="P166" s="996" t="n"/>
      <c r="Q166" s="1188" t="n"/>
      <c r="R166" s="476">
        <f>R164-R165</f>
        <v/>
      </c>
      <c r="S166" s="996" t="n"/>
      <c r="T166" s="1188" t="n"/>
      <c r="U166" s="476">
        <f>U164-U165</f>
        <v/>
      </c>
      <c r="V166" s="996" t="n"/>
      <c r="W166" s="1188" t="n"/>
      <c r="X166" s="476">
        <f>X164-X165</f>
        <v/>
      </c>
      <c r="Y166" s="996" t="n"/>
      <c r="Z166" s="1188" t="n"/>
      <c r="AA166" s="476">
        <f>AA164-AA165</f>
        <v/>
      </c>
      <c r="AB166" s="996" t="n"/>
      <c r="AC166" s="1188" t="n"/>
      <c r="AD166" s="476">
        <f>AD164-AD165</f>
        <v/>
      </c>
      <c r="AE166" s="996" t="n"/>
      <c r="AF166" s="1188" t="n"/>
      <c r="AG166" s="476">
        <f>AG164-AG165</f>
        <v/>
      </c>
      <c r="AH166" s="996" t="n"/>
      <c r="AI166" s="1188" t="n"/>
      <c r="AJ166" s="476">
        <f>AJ164-AJ165</f>
        <v/>
      </c>
      <c r="AK166" s="996" t="n"/>
      <c r="AL166" s="996" t="n"/>
      <c r="AM166" s="995" t="n"/>
      <c r="AN166" s="996" t="n"/>
      <c r="AO166" s="1188" t="n"/>
      <c r="AQ166" s="989" t="n"/>
      <c r="AR166" s="989" t="n"/>
      <c r="AS166" s="2" t="n"/>
      <c r="AT166" s="2" t="n"/>
    </row>
    <row r="167" customFormat="1" s="153">
      <c r="A167" s="226" t="n"/>
      <c r="C167" s="996" t="n"/>
      <c r="D167" s="996" t="n"/>
      <c r="E167" s="1188" t="n"/>
      <c r="F167" s="996" t="n"/>
      <c r="G167" s="996" t="n"/>
      <c r="H167" s="1188" t="n"/>
      <c r="I167" s="995" t="n"/>
      <c r="J167" s="996" t="n"/>
      <c r="K167" s="1188" t="n"/>
      <c r="L167" s="996" t="n"/>
      <c r="M167" s="996" t="n"/>
      <c r="N167" s="1188" t="n"/>
      <c r="O167" s="996" t="n"/>
      <c r="P167" s="996" t="n"/>
      <c r="Q167" s="1188" t="n"/>
      <c r="R167" s="996" t="n"/>
      <c r="S167" s="996" t="n"/>
      <c r="T167" s="1188" t="n"/>
      <c r="U167" s="996" t="n"/>
      <c r="V167" s="996" t="n"/>
      <c r="W167" s="1188" t="n"/>
      <c r="X167" s="476" t="n"/>
      <c r="Y167" s="996" t="n"/>
      <c r="Z167" s="1188" t="n"/>
      <c r="AA167" s="996" t="n"/>
      <c r="AB167" s="996" t="n"/>
      <c r="AC167" s="1188" t="n"/>
      <c r="AD167" s="996" t="n"/>
      <c r="AE167" s="996" t="n"/>
      <c r="AF167" s="1188" t="n"/>
      <c r="AG167" s="402" t="n"/>
      <c r="AH167" s="996" t="n"/>
      <c r="AI167" s="1188" t="n"/>
      <c r="AJ167" s="989" t="n"/>
      <c r="AK167" s="996" t="n"/>
      <c r="AL167" s="996" t="n"/>
      <c r="AM167" s="402" t="n"/>
      <c r="AN167" s="996" t="n"/>
      <c r="AO167" s="1188" t="n"/>
      <c r="AQ167" s="989" t="n"/>
      <c r="AR167" s="989" t="n"/>
      <c r="AS167" s="2" t="n"/>
      <c r="AT167" s="2" t="n"/>
    </row>
    <row r="170">
      <c r="AD170" s="1215" t="n"/>
    </row>
  </sheetData>
  <mergeCells count="1">
    <mergeCell ref="C2:AM2"/>
  </mergeCells>
  <conditionalFormatting sqref="B36">
    <cfRule type="duplicateValues" priority="1" dxfId="0" stopIfTrue="1"/>
  </conditionalFormatting>
  <pageMargins left="0.7" right="0.7" top="0.75" bottom="0.75" header="0.3" footer="0.3"/>
  <pageSetup orientation="landscape" scale="40"/>
</worksheet>
</file>

<file path=xl/worksheets/sheet16.xml><?xml version="1.0" encoding="utf-8"?>
<worksheet xmlns="http://schemas.openxmlformats.org/spreadsheetml/2006/main">
  <sheetPr codeName="Hoja21">
    <tabColor rgb="FF00FFFF"/>
    <outlinePr summaryBelow="1" summaryRight="1"/>
    <pageSetUpPr/>
  </sheetPr>
  <dimension ref="A2:BM214"/>
  <sheetViews>
    <sheetView zoomScaleNormal="100" workbookViewId="0">
      <pane xSplit="2" ySplit="13" topLeftCell="C155" activePane="bottomRight" state="frozen"/>
      <selection activeCell="B148" sqref="B148:B151"/>
      <selection pane="topRight" activeCell="B148" sqref="B148:B151"/>
      <selection pane="bottomLeft" activeCell="B148" sqref="B148:B151"/>
      <selection pane="bottomRight" activeCell="AJ184" sqref="AJ184"/>
    </sheetView>
  </sheetViews>
  <sheetFormatPr baseColWidth="10" defaultColWidth="11.44140625" defaultRowHeight="10.2" outlineLevelRow="1"/>
  <cols>
    <col width="8.33203125" customWidth="1" style="153" min="1" max="1"/>
    <col width="41.5546875" customWidth="1" style="2" min="2" max="2"/>
    <col width="14.44140625" customWidth="1" style="989" min="3" max="3"/>
    <col width="8.6640625" customWidth="1" style="989" min="4" max="5"/>
    <col width="14.44140625" customWidth="1" style="989" min="6" max="6"/>
    <col width="8.6640625" customWidth="1" style="989" min="7" max="8"/>
    <col width="14.44140625" customWidth="1" style="989" min="9" max="9"/>
    <col width="8.6640625" customWidth="1" style="989" min="10" max="11"/>
    <col width="14.44140625" customWidth="1" style="989" min="12" max="12"/>
    <col width="8.6640625" customWidth="1" style="989" min="13" max="13"/>
    <col width="7" customWidth="1" style="989" min="14" max="14"/>
    <col width="14.44140625" customWidth="1" style="989" min="15" max="15"/>
    <col width="8.6640625" customWidth="1" style="989" min="16" max="17"/>
    <col width="14.44140625" customWidth="1" style="989" min="18" max="18"/>
    <col width="8.6640625" customWidth="1" style="989" min="19" max="20"/>
    <col width="14.44140625" customWidth="1" style="989" min="21" max="21"/>
    <col width="8.6640625" customWidth="1" style="989" min="22" max="23"/>
    <col width="15.33203125" customWidth="1" style="989" min="24" max="24"/>
    <col width="8.6640625" customWidth="1" style="989" min="25" max="26"/>
    <col width="16" customWidth="1" style="989" min="27" max="27"/>
    <col width="8.6640625" customWidth="1" style="989" min="28" max="28"/>
    <col width="7.6640625" customWidth="1" style="989" min="29" max="29"/>
    <col width="14.6640625" customWidth="1" style="989" min="30" max="30"/>
    <col width="8.44140625" customWidth="1" style="989" min="31" max="31"/>
    <col width="7.44140625" customWidth="1" style="989" min="32" max="32"/>
    <col width="14.44140625" customWidth="1" style="989" min="33" max="33"/>
    <col width="8.6640625" customWidth="1" style="989" min="34" max="35"/>
    <col width="14.44140625" customWidth="1" style="989" min="36" max="36"/>
    <col width="8.6640625" customWidth="1" style="989" min="37" max="38"/>
    <col width="17.109375" customWidth="1" style="989" min="39" max="39"/>
    <col width="8.44140625" customWidth="1" style="989" min="40" max="40"/>
    <col width="8.6640625" customWidth="1" style="989" min="41" max="41"/>
    <col width="11.44140625" customWidth="1" style="2" min="42" max="46"/>
    <col width="11.44140625" customWidth="1" style="2" min="47" max="16384"/>
  </cols>
  <sheetData>
    <row r="2" ht="20.25" customHeight="1" s="985" thickBot="1">
      <c r="B2" s="236" t="inlineStr">
        <is>
          <t xml:space="preserve">CORPORACIÓN HACIA UN VALLE SOLIDARIO </t>
        </is>
      </c>
      <c r="C2" s="987" t="inlineStr">
        <is>
          <t>PYG  TOTAL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237" t="n"/>
    </row>
    <row r="3" ht="21.75" customHeight="1" s="985" thickBot="1" thickTop="1">
      <c r="B3" s="523" t="inlineStr">
        <is>
          <t xml:space="preserve">DIAS DE ATENCIÓN </t>
        </is>
      </c>
      <c r="C3" s="479" t="n"/>
      <c r="D3" s="505" t="n"/>
      <c r="E3" s="506" t="n"/>
      <c r="F3" s="479" t="n"/>
      <c r="G3" s="505" t="n"/>
      <c r="H3" s="506" t="n"/>
      <c r="I3" s="479" t="n"/>
      <c r="J3" s="505" t="n"/>
      <c r="K3" s="506" t="n"/>
      <c r="L3" s="479" t="n"/>
      <c r="M3" s="505" t="n"/>
      <c r="N3" s="506" t="n"/>
      <c r="O3" s="479" t="n"/>
      <c r="P3" s="505" t="n"/>
      <c r="Q3" s="506" t="n"/>
      <c r="R3" s="479" t="n"/>
      <c r="S3" s="505" t="n"/>
      <c r="T3" s="506" t="n"/>
      <c r="U3" s="479" t="n"/>
      <c r="V3" s="505" t="n"/>
      <c r="W3" s="506" t="n"/>
      <c r="X3" s="479" t="n"/>
      <c r="Y3" s="505" t="n"/>
      <c r="Z3" s="506" t="n"/>
      <c r="AA3" s="479" t="n"/>
      <c r="AB3" s="505" t="n"/>
      <c r="AC3" s="506" t="n"/>
      <c r="AD3" s="479" t="n"/>
      <c r="AE3" s="505" t="n"/>
      <c r="AF3" s="506" t="n"/>
      <c r="AG3" s="479" t="n"/>
      <c r="AH3" s="505" t="n"/>
      <c r="AI3" s="506" t="n"/>
      <c r="AJ3" s="479" t="n"/>
      <c r="AK3" s="505" t="n"/>
      <c r="AL3" s="506" t="n"/>
      <c r="AM3" s="597" t="n"/>
      <c r="AN3" s="598" t="n"/>
      <c r="AO3" s="538" t="n"/>
    </row>
    <row r="4" ht="24.75" customFormat="1" customHeight="1" s="215" thickBot="1" thickTop="1">
      <c r="A4" s="745" t="n"/>
      <c r="B4" s="21" t="n"/>
      <c r="C4" s="482" t="inlineStr">
        <is>
          <t>ENE</t>
        </is>
      </c>
      <c r="D4" s="483" t="inlineStr">
        <is>
          <t>x racion</t>
        </is>
      </c>
      <c r="E4" s="507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50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50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50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50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50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50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50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50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50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50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507" t="inlineStr">
        <is>
          <t>%</t>
        </is>
      </c>
      <c r="AM4" s="590" t="inlineStr">
        <is>
          <t>ACUMULADO</t>
        </is>
      </c>
      <c r="AN4" s="591" t="inlineStr">
        <is>
          <t>x racion</t>
        </is>
      </c>
      <c r="AO4" s="507" t="inlineStr">
        <is>
          <t>%</t>
        </is>
      </c>
    </row>
    <row r="5" ht="15" customFormat="1" customHeight="1" s="223" thickTop="1">
      <c r="A5" s="746" t="n"/>
      <c r="B5" s="14" t="n"/>
      <c r="C5" s="41">
        <f>CALI!C5+HUNGRIA!C5+YUMBO!C5+'ADULTO MAYOR'!C5+'COMEDORES VALLE'!C5+BUGA!C5+'COMEDORES CALI'!C5+'CTAS EN PPACION'!C5+'COMEDORES PALMIRA'!C5+IMDERTY!C5</f>
        <v/>
      </c>
      <c r="D5" s="42" t="n"/>
      <c r="E5" s="56" t="n"/>
      <c r="F5" s="41">
        <f>CALI!F5+HUNGRIA!F5+YUMBO!F5+'ADULTO MAYOR'!F5+'COMEDORES VALLE'!F5+BUGA!F5+'COMEDORES CALI'!F5+'CTAS EN PPACION'!F5+'COMEDORES PALMIRA'!F5+IMDERTY!F5</f>
        <v/>
      </c>
      <c r="G5" s="42" t="n"/>
      <c r="H5" s="56" t="n"/>
      <c r="I5" s="41">
        <f>CALI!I5+HUNGRIA!I5+YUMBO!I5+'ADULTO MAYOR'!I5+'COMEDORES VALLE'!I5+BUGA!I5+'COMEDORES CALI'!I5+'CTAS EN PPACION'!I5+'COMEDORES PALMIRA'!I5+IMDERTY!I5</f>
        <v/>
      </c>
      <c r="J5" s="42" t="n"/>
      <c r="K5" s="56" t="n"/>
      <c r="L5" s="41">
        <f>CALI!L5+HUNGRIA!L5+YUMBO!L5+'ADULTO MAYOR'!L5+'COMEDORES VALLE'!L5+BUGA!L5+'COMEDORES CALI'!L5+'CTAS EN PPACION'!L5+'COMEDORES PALMIRA'!L5+IMDERTY!L5</f>
        <v/>
      </c>
      <c r="M5" s="42" t="n"/>
      <c r="N5" s="56" t="n"/>
      <c r="O5" s="41">
        <f>CALI!O5+HUNGRIA!O5+YUMBO!O5+'ADULTO MAYOR'!O5+'COMEDORES VALLE'!O5+BUGA!O5+'COMEDORES CALI'!O5+'CTAS EN PPACION'!O5+'COMEDORES PALMIRA'!O5+IMDERTY!O5</f>
        <v/>
      </c>
      <c r="P5" s="42" t="n"/>
      <c r="Q5" s="56" t="n"/>
      <c r="R5" s="41">
        <f>CALI!R5+YUMBO!R5+BUGA!R5+HUNGRIA!R5+'COMEDORES CALI'!R5+'CTAS EN PPACION'!R5+'COMEDORES PALMIRA'!R5+'ADULTO MAYOR'!R5+'COMEDORES VALLE'!R5</f>
        <v/>
      </c>
      <c r="S5" s="42" t="n"/>
      <c r="T5" s="56" t="n"/>
      <c r="U5" s="41">
        <f>CALI!U5+HUNGRIA!U5+YUMBO!U5+'ADULTO MAYOR'!U5+'COMEDORES VALLE'!U5+BUGA!U5+'COMEDORES CALI'!U5+'CTAS EN PPACION'!U5+'COMEDORES PALMIRA'!U5+IMDERTY!U5</f>
        <v/>
      </c>
      <c r="V5" s="42" t="n"/>
      <c r="W5" s="56" t="n"/>
      <c r="X5" s="41">
        <f>CALI!X5+HUNGRIA!X5+YUMBO!X5+'ADULTO MAYOR'!X5+'COMEDORES VALLE'!X5+BUGA!X5+'COMEDORES CALI'!X5+'CTAS EN PPACION'!X5+'COMEDORES PALMIRA'!X5+IMDERTY!X5</f>
        <v/>
      </c>
      <c r="Y5" s="42" t="n"/>
      <c r="Z5" s="56" t="n"/>
      <c r="AA5" s="41">
        <f>CALI!AA5+HUNGRIA!AA5+YUMBO!AA5+'ADULTO MAYOR'!AA5+'COMEDORES VALLE'!AA5+BUGA!AA5+'COMEDORES CALI'!AA5+'CTAS EN PPACION'!AA5+'COMEDORES PALMIRA'!AA5+IMDERTY!AA5</f>
        <v/>
      </c>
      <c r="AB5" s="42" t="n"/>
      <c r="AC5" s="56" t="n"/>
      <c r="AD5" s="41">
        <f>CALI!AD5+HUNGRIA!AD5+YUMBO!AD5+'ADULTO MAYOR'!AD5+'COMEDORES VALLE'!AD5+BUGA!AD5+'COMEDORES CALI'!AD5+'CTAS EN PPACION'!AD5+'COMEDORES PALMIRA'!AD5+IMDERTY!AD5</f>
        <v/>
      </c>
      <c r="AE5" s="42" t="n"/>
      <c r="AF5" s="56" t="n"/>
      <c r="AG5" s="41">
        <f>CALI!AG5+HUNGRIA!AG5+YUMBO!AG5+'ADULTO MAYOR'!AG5+'COMEDORES VALLE'!AG5+BUGA!AG5+'COMEDORES CALI'!AG5+'CTAS EN PPACION'!AG5+'COMEDORES PALMIRA'!AG5+IMDERTY!AG5</f>
        <v/>
      </c>
      <c r="AH5" s="42" t="n"/>
      <c r="AI5" s="56" t="n"/>
      <c r="AJ5" s="41">
        <f>CALI!AJ5+HUNGRIA!AJ5+YUMBO!AJ5+'ADULTO MAYOR'!AJ5+'COMEDORES VALLE'!AJ5+BUGA!AJ5+'COMEDORES CALI'!AJ5+'CTAS EN PPACION'!AJ5+'COMEDORES PALMIRA'!AJ5+IMDERTY!AJ5</f>
        <v/>
      </c>
      <c r="AK5" s="42" t="n"/>
      <c r="AL5" s="56" t="n"/>
      <c r="AM5" s="23">
        <f>C5+F5+I5+L5+O5+R5+U5+X5+AA5+AD5+AG5+AJ5</f>
        <v/>
      </c>
      <c r="AN5" s="194" t="n"/>
      <c r="AO5" s="56" t="n"/>
    </row>
    <row r="6" ht="15" customFormat="1" customHeight="1" s="223">
      <c r="A6" s="746" t="n"/>
      <c r="B6" s="14" t="n"/>
      <c r="C6" s="74">
        <f>CALI!C6+HUNGRIA!C6+YUMBO!C6+'ADULTO MAYOR'!C6+'COMEDORES VALLE'!C6+BUGA!C6+'COMEDORES CALI'!C6+'CTAS EN PPACION'!C6+'COMEDORES PALMIRA'!C6+IMDERTY!C6</f>
        <v/>
      </c>
      <c r="D6" s="43" t="n"/>
      <c r="E6" s="57" t="n"/>
      <c r="F6" s="74">
        <f>CALI!F6+HUNGRIA!F6+YUMBO!F6+'ADULTO MAYOR'!F6+'COMEDORES VALLE'!F6+BUGA!F6+'COMEDORES CALI'!F6+'CTAS EN PPACION'!F6+'COMEDORES PALMIRA'!F6+IMDERTY!F6</f>
        <v/>
      </c>
      <c r="G6" s="43" t="n"/>
      <c r="H6" s="57" t="n"/>
      <c r="I6" s="74">
        <f>CALI!I6+HUNGRIA!I6+YUMBO!I6+'ADULTO MAYOR'!I6+'COMEDORES VALLE'!I6+BUGA!I6+'COMEDORES CALI'!I6+'CTAS EN PPACION'!I6+'COMEDORES PALMIRA'!I6+IMDERTY!I6</f>
        <v/>
      </c>
      <c r="J6" s="43" t="n"/>
      <c r="K6" s="57" t="n"/>
      <c r="L6" s="74">
        <f>CALI!L6+HUNGRIA!L6+YUMBO!L6+'ADULTO MAYOR'!L6+'COMEDORES VALLE'!L6+BUGA!L6+'COMEDORES CALI'!L6+'CTAS EN PPACION'!L6+'COMEDORES PALMIRA'!L6+IMDERTY!L6</f>
        <v/>
      </c>
      <c r="M6" s="43" t="n"/>
      <c r="N6" s="57" t="n"/>
      <c r="O6" s="74">
        <f>CALI!O6+HUNGRIA!O6+YUMBO!O6+'ADULTO MAYOR'!O6+'COMEDORES VALLE'!O6+BUGA!O6+'COMEDORES CALI'!O6+'CTAS EN PPACION'!O6+'COMEDORES PALMIRA'!O6+IMDERTY!O6</f>
        <v/>
      </c>
      <c r="P6" s="43" t="n"/>
      <c r="Q6" s="57" t="n"/>
      <c r="R6" s="74">
        <f>CALI!R6+HUNGRIA!R6+YUMBO!R6+'ADULTO MAYOR'!R6+'COMEDORES VALLE'!R6+BUGA!R6+'COMEDORES CALI'!R6+'CTAS EN PPACION'!R6+'COMEDORES PALMIRA'!R6+IMDERTY!R6</f>
        <v/>
      </c>
      <c r="S6" s="43" t="n"/>
      <c r="T6" s="57" t="n"/>
      <c r="U6" s="74">
        <f>CALI!U6+HUNGRIA!U6+YUMBO!U6+'ADULTO MAYOR'!U6+'COMEDORES VALLE'!U6+BUGA!U6+'COMEDORES CALI'!U6+'CTAS EN PPACION'!U6+'COMEDORES PALMIRA'!U6+IMDERTY!U6</f>
        <v/>
      </c>
      <c r="V6" s="43" t="n"/>
      <c r="W6" s="57" t="n"/>
      <c r="X6" s="74">
        <f>CALI!X6+HUNGRIA!X6+YUMBO!X6+'ADULTO MAYOR'!X6+'COMEDORES VALLE'!X6+BUGA!X6+'COMEDORES CALI'!X6+'CTAS EN PPACION'!X6+'COMEDORES PALMIRA'!X6+IMDERTY!X6</f>
        <v/>
      </c>
      <c r="Y6" s="43" t="n"/>
      <c r="Z6" s="57" t="n"/>
      <c r="AA6" s="74">
        <f>CALI!AA6+HUNGRIA!AA6+YUMBO!AA6+'ADULTO MAYOR'!AA6+'COMEDORES VALLE'!AA6+BUGA!AA6+'COMEDORES CALI'!AA6+'CTAS EN PPACION'!AA6+'COMEDORES PALMIRA'!AA6+IMDERTY!AA6</f>
        <v/>
      </c>
      <c r="AB6" s="43" t="n"/>
      <c r="AC6" s="57" t="n"/>
      <c r="AD6" s="74">
        <f>CALI!AD6+HUNGRIA!AD6+YUMBO!AD6+'ADULTO MAYOR'!AD6+'COMEDORES VALLE'!AD6+BUGA!AD6+'COMEDORES CALI'!AD6+'CTAS EN PPACION'!AD6+'COMEDORES PALMIRA'!AD6+IMDERTY!AD6</f>
        <v/>
      </c>
      <c r="AE6" s="43" t="n"/>
      <c r="AF6" s="57" t="n"/>
      <c r="AG6" s="74">
        <f>CALI!AG6+HUNGRIA!AG6+YUMBO!AG6+'ADULTO MAYOR'!AG6+'COMEDORES VALLE'!AG6+BUGA!AG6+'COMEDORES CALI'!AG6+'CTAS EN PPACION'!AG6+'COMEDORES PALMIRA'!AG6+IMDERTY!AG6</f>
        <v/>
      </c>
      <c r="AH6" s="43" t="n"/>
      <c r="AI6" s="57" t="n"/>
      <c r="AJ6" s="74">
        <f>CALI!AJ6+HUNGRIA!AJ6+YUMBO!AJ6+'ADULTO MAYOR'!AJ6+'COMEDORES VALLE'!AJ6+BUGA!AJ6+'COMEDORES CALI'!AJ6+'CTAS EN PPACION'!AJ6+'COMEDORES PALMIRA'!AJ6+IMDERTY!AJ6</f>
        <v/>
      </c>
      <c r="AK6" s="43" t="n"/>
      <c r="AL6" s="57" t="n"/>
      <c r="AM6" s="24">
        <f>C6+F6+I6+L6+O6+R6+U6+X6+AA6+AD6+AG6+AJ6</f>
        <v/>
      </c>
      <c r="AN6" s="195" t="n"/>
      <c r="AO6" s="57" t="n"/>
    </row>
    <row r="7" ht="15" customFormat="1" customHeight="1" s="223">
      <c r="A7" s="746" t="n"/>
      <c r="B7" s="14" t="n"/>
      <c r="C7" s="74">
        <f>CALI!C7+HUNGRIA!C7+YUMBO!C7+'ADULTO MAYOR'!C7+'COMEDORES VALLE'!C7+BUGA!C7+'COMEDORES CALI'!C7+'CTAS EN PPACION'!C7+'COMEDORES PALMIRA'!C7+IMDERTY!C7</f>
        <v/>
      </c>
      <c r="D7" s="43" t="n"/>
      <c r="E7" s="57" t="n"/>
      <c r="F7" s="74">
        <f>CALI!F7+HUNGRIA!F7+YUMBO!F7+'ADULTO MAYOR'!F7+'COMEDORES VALLE'!F7+BUGA!F7+'COMEDORES CALI'!F7+'CTAS EN PPACION'!F7+'COMEDORES PALMIRA'!F7+IMDERTY!F7</f>
        <v/>
      </c>
      <c r="G7" s="43" t="n"/>
      <c r="H7" s="57" t="n"/>
      <c r="I7" s="74">
        <f>CALI!I7+HUNGRIA!I7+YUMBO!I7+'ADULTO MAYOR'!I7+'COMEDORES VALLE'!I7+BUGA!I7+'COMEDORES CALI'!I7+'CTAS EN PPACION'!I7+'COMEDORES PALMIRA'!I7+IMDERTY!I7</f>
        <v/>
      </c>
      <c r="J7" s="43" t="n"/>
      <c r="K7" s="57" t="n"/>
      <c r="L7" s="74">
        <f>CALI!L7+HUNGRIA!L7+YUMBO!L7+'ADULTO MAYOR'!L7+'COMEDORES VALLE'!L7+BUGA!L7+'COMEDORES CALI'!L7+'CTAS EN PPACION'!L7+'COMEDORES PALMIRA'!L7+IMDERTY!L7</f>
        <v/>
      </c>
      <c r="M7" s="43" t="n"/>
      <c r="N7" s="57" t="n"/>
      <c r="O7" s="74">
        <f>CALI!O7+HUNGRIA!O7+YUMBO!O7+'ADULTO MAYOR'!O7+'COMEDORES VALLE'!O7+BUGA!O7+'COMEDORES CALI'!O7+'CTAS EN PPACION'!O7+'COMEDORES PALMIRA'!O7+IMDERTY!O7</f>
        <v/>
      </c>
      <c r="P7" s="43" t="n"/>
      <c r="Q7" s="57" t="n"/>
      <c r="R7" s="74">
        <f>CALI!R7+HUNGRIA!R7+YUMBO!R7+'ADULTO MAYOR'!R7+'COMEDORES VALLE'!R7+BUGA!R7+'COMEDORES CALI'!R7+'CTAS EN PPACION'!R7+'COMEDORES PALMIRA'!R7+IMDERTY!R7</f>
        <v/>
      </c>
      <c r="S7" s="43" t="n"/>
      <c r="T7" s="57" t="n"/>
      <c r="U7" s="74">
        <f>CALI!U7+HUNGRIA!U7+YUMBO!U7+'ADULTO MAYOR'!U7+'COMEDORES VALLE'!U7+BUGA!U7+'COMEDORES CALI'!U7+'CTAS EN PPACION'!U7+'COMEDORES PALMIRA'!U7+IMDERTY!U7</f>
        <v/>
      </c>
      <c r="V7" s="43" t="n"/>
      <c r="W7" s="57" t="n"/>
      <c r="X7" s="74">
        <f>CALI!X7+HUNGRIA!X7+YUMBO!X7+'ADULTO MAYOR'!X7+'COMEDORES VALLE'!X7+BUGA!X7+'COMEDORES CALI'!X7+'CTAS EN PPACION'!X7+'COMEDORES PALMIRA'!X7+IMDERTY!X7</f>
        <v/>
      </c>
      <c r="Y7" s="43" t="n"/>
      <c r="Z7" s="57" t="n"/>
      <c r="AA7" s="74">
        <f>CALI!AA7+HUNGRIA!AA7+YUMBO!AA7+'ADULTO MAYOR'!AA7+'COMEDORES VALLE'!AA7+BUGA!AA7+'COMEDORES CALI'!AA7+'CTAS EN PPACION'!AA7+'COMEDORES PALMIRA'!AA7+IMDERTY!AA7</f>
        <v/>
      </c>
      <c r="AB7" s="43" t="n"/>
      <c r="AC7" s="57" t="n"/>
      <c r="AD7" s="74">
        <f>CALI!AD7+HUNGRIA!AD7+YUMBO!AD7+'ADULTO MAYOR'!AD7+'COMEDORES VALLE'!AD7+BUGA!AD7+'COMEDORES CALI'!AD7+'CTAS EN PPACION'!AD7+'COMEDORES PALMIRA'!AD7+IMDERTY!AD7</f>
        <v/>
      </c>
      <c r="AE7" s="43" t="n"/>
      <c r="AF7" s="57" t="n"/>
      <c r="AG7" s="74">
        <f>CALI!AG7+HUNGRIA!AG7+YUMBO!AG7+'ADULTO MAYOR'!AG7+'COMEDORES VALLE'!AG7+BUGA!AG7+'COMEDORES CALI'!AG7+'CTAS EN PPACION'!AG7+'COMEDORES PALMIRA'!AG7+IMDERTY!AG7</f>
        <v/>
      </c>
      <c r="AH7" s="43" t="n"/>
      <c r="AI7" s="57" t="n"/>
      <c r="AJ7" s="74">
        <f>CALI!AJ7+HUNGRIA!AJ7+YUMBO!AJ7+'ADULTO MAYOR'!AJ7+'COMEDORES VALLE'!AJ7+BUGA!AJ7+'COMEDORES CALI'!AJ7+'CTAS EN PPACION'!AJ7+'COMEDORES PALMIRA'!AJ7+IMDERTY!AJ7</f>
        <v/>
      </c>
      <c r="AK7" s="43" t="n"/>
      <c r="AL7" s="57" t="n"/>
      <c r="AM7" s="24">
        <f>C7+F7+I7+L7+O7+R7+U7+X7+AA7+AD7+AG7+AJ7</f>
        <v/>
      </c>
      <c r="AN7" s="195" t="n"/>
      <c r="AO7" s="57" t="n"/>
    </row>
    <row r="8" ht="15" customFormat="1" customHeight="1" s="223">
      <c r="A8" s="746" t="n"/>
      <c r="B8" s="14" t="n"/>
      <c r="C8" s="44">
        <f>CALI!C8+HUNGRIA!C8+YUMBO!C8+'ADULTO MAYOR'!C8+'COMEDORES VALLE'!C8+BUGA!C8+'COMEDORES CALI'!C8+'CTAS EN PPACION'!C8+'COMEDORES PALMIRA'!C8+IMDERTY!C8</f>
        <v/>
      </c>
      <c r="D8" s="42" t="n"/>
      <c r="E8" s="56" t="n"/>
      <c r="F8" s="44">
        <f>CALI!F8+HUNGRIA!F8+YUMBO!F8+'ADULTO MAYOR'!F8+'COMEDORES VALLE'!F8+BUGA!F8+'COMEDORES CALI'!F8+'CTAS EN PPACION'!F8+'COMEDORES PALMIRA'!F8+IMDERTY!F8</f>
        <v/>
      </c>
      <c r="G8" s="42" t="n"/>
      <c r="H8" s="56" t="n"/>
      <c r="I8" s="44">
        <f>CALI!I8+HUNGRIA!I8+YUMBO!I8+'ADULTO MAYOR'!I8+'COMEDORES VALLE'!I8+BUGA!I8+'COMEDORES CALI'!I8+'CTAS EN PPACION'!I8+'COMEDORES PALMIRA'!I8+IMDERTY!I8</f>
        <v/>
      </c>
      <c r="J8" s="42" t="n"/>
      <c r="K8" s="56" t="n"/>
      <c r="L8" s="44">
        <f>CALI!L8+HUNGRIA!L8+YUMBO!L8+'ADULTO MAYOR'!L8+'COMEDORES VALLE'!L8+BUGA!L8+'COMEDORES CALI'!L8+'CTAS EN PPACION'!L8+'COMEDORES PALMIRA'!L8+IMDERTY!L8</f>
        <v/>
      </c>
      <c r="M8" s="42" t="n"/>
      <c r="N8" s="56" t="n"/>
      <c r="O8" s="44">
        <f>CALI!O8+HUNGRIA!O8+YUMBO!O8+'ADULTO MAYOR'!O8+'COMEDORES VALLE'!O8+BUGA!O8+'COMEDORES CALI'!O8+'CTAS EN PPACION'!O8+'COMEDORES PALMIRA'!O8+IMDERTY!O8</f>
        <v/>
      </c>
      <c r="P8" s="42" t="n"/>
      <c r="Q8" s="56" t="n"/>
      <c r="R8" s="44">
        <f>CALI!R8+HUNGRIA!R8+YUMBO!R8+'ADULTO MAYOR'!R8+'COMEDORES VALLE'!R8+BUGA!R8+'COMEDORES CALI'!R8+'CTAS EN PPACION'!R8+'COMEDORES PALMIRA'!R8+IMDERTY!R8</f>
        <v/>
      </c>
      <c r="S8" s="42" t="n"/>
      <c r="T8" s="56" t="n"/>
      <c r="U8" s="44">
        <f>CALI!U8+HUNGRIA!U8+YUMBO!U8+'ADULTO MAYOR'!U8+'COMEDORES VALLE'!U8+BUGA!U8+'COMEDORES CALI'!U8+'CTAS EN PPACION'!U8+'COMEDORES PALMIRA'!U8+IMDERTY!U8</f>
        <v/>
      </c>
      <c r="V8" s="42" t="n"/>
      <c r="W8" s="56" t="n"/>
      <c r="X8" s="44">
        <f>CALI!X8+HUNGRIA!X8+YUMBO!X8+'ADULTO MAYOR'!X8+'COMEDORES VALLE'!X8+BUGA!X8+'COMEDORES CALI'!X8+'CTAS EN PPACION'!X8+'COMEDORES PALMIRA'!X8+IMDERTY!X8</f>
        <v/>
      </c>
      <c r="Y8" s="42" t="n"/>
      <c r="Z8" s="56" t="n"/>
      <c r="AA8" s="44">
        <f>CALI!AA8+HUNGRIA!AA8+YUMBO!AA8+'ADULTO MAYOR'!AA8+'COMEDORES VALLE'!AA8+BUGA!AA8+'COMEDORES CALI'!AA8+'CTAS EN PPACION'!AA8+'COMEDORES PALMIRA'!AA8+IMDERTY!AA8</f>
        <v/>
      </c>
      <c r="AB8" s="42" t="n"/>
      <c r="AC8" s="56" t="n"/>
      <c r="AD8" s="44">
        <f>CALI!AD8+HUNGRIA!AD8+YUMBO!AD8+'ADULTO MAYOR'!AD8+'COMEDORES VALLE'!AD8+BUGA!AD8+'COMEDORES CALI'!AD8+'CTAS EN PPACION'!AD8+'COMEDORES PALMIRA'!AD8+IMDERTY!AD8</f>
        <v/>
      </c>
      <c r="AE8" s="42" t="n"/>
      <c r="AF8" s="56" t="n"/>
      <c r="AG8" s="44">
        <f>CALI!AG8+HUNGRIA!AG8+YUMBO!AG8+'ADULTO MAYOR'!AG8+'COMEDORES VALLE'!AG8+BUGA!AG8+'COMEDORES CALI'!AG8+'CTAS EN PPACION'!AG8+'COMEDORES PALMIRA'!AG8+IMDERTY!AG8</f>
        <v/>
      </c>
      <c r="AH8" s="42" t="n"/>
      <c r="AI8" s="56" t="n"/>
      <c r="AJ8" s="44">
        <f>CALI!AJ8+HUNGRIA!AJ8+YUMBO!AJ8+'ADULTO MAYOR'!AJ8+'COMEDORES VALLE'!AJ8+BUGA!AJ8+'COMEDORES CALI'!AJ8+'CTAS EN PPACION'!AJ8+'COMEDORES PALMIRA'!AJ8+IMDERTY!AJ8</f>
        <v/>
      </c>
      <c r="AK8" s="42" t="n"/>
      <c r="AL8" s="56" t="n"/>
      <c r="AM8" s="23">
        <f>C8+F8+I8+L8+O8+R8+U8+X8+AA8+AD8+AG8+AJ8</f>
        <v/>
      </c>
      <c r="AN8" s="194" t="n"/>
      <c r="AO8" s="57" t="n"/>
    </row>
    <row r="9" ht="15" customFormat="1" customHeight="1" s="223">
      <c r="A9" s="746" t="n"/>
      <c r="B9" s="14" t="n"/>
      <c r="C9" s="74">
        <f>CALI!C9+HUNGRIA!C9+YUMBO!C9+'ADULTO MAYOR'!C9+'COMEDORES VALLE'!C9+BUGA!C9+'COMEDORES CALI'!C9+'CTAS EN PPACION'!C9+'COMEDORES PALMIRA'!C9+IMDERTY!C9</f>
        <v/>
      </c>
      <c r="D9" s="43" t="n"/>
      <c r="E9" s="57" t="n"/>
      <c r="F9" s="74">
        <f>CALI!F9+HUNGRIA!F9+YUMBO!F9+'ADULTO MAYOR'!F9+'COMEDORES VALLE'!F9+BUGA!F9+'COMEDORES CALI'!F9+'CTAS EN PPACION'!F9+'COMEDORES PALMIRA'!F9+IMDERTY!F9</f>
        <v/>
      </c>
      <c r="G9" s="43" t="n"/>
      <c r="H9" s="57" t="n"/>
      <c r="I9" s="74">
        <f>CALI!I9+HUNGRIA!I9+YUMBO!I9+'ADULTO MAYOR'!I9+'COMEDORES VALLE'!I9+BUGA!I9+'COMEDORES CALI'!I9+'CTAS EN PPACION'!I9+'COMEDORES PALMIRA'!I9+IMDERTY!I9</f>
        <v/>
      </c>
      <c r="J9" s="43" t="n"/>
      <c r="K9" s="57" t="n"/>
      <c r="L9" s="74">
        <f>CALI!L9+HUNGRIA!L9+YUMBO!L9+'ADULTO MAYOR'!L9+'COMEDORES VALLE'!L9+BUGA!L9+'COMEDORES CALI'!L9+'CTAS EN PPACION'!L9+'COMEDORES PALMIRA'!L9+IMDERTY!L9</f>
        <v/>
      </c>
      <c r="M9" s="43" t="n"/>
      <c r="N9" s="57" t="n"/>
      <c r="O9" s="74">
        <f>CALI!O9+HUNGRIA!O9+YUMBO!O9+'ADULTO MAYOR'!O9+'COMEDORES VALLE'!O9+BUGA!O9+'COMEDORES CALI'!O9+'CTAS EN PPACION'!O9+'COMEDORES PALMIRA'!O9+IMDERTY!O9</f>
        <v/>
      </c>
      <c r="P9" s="43" t="n"/>
      <c r="Q9" s="57" t="n"/>
      <c r="R9" s="74">
        <f>CALI!R9+HUNGRIA!R9+YUMBO!R9+'ADULTO MAYOR'!R9+'COMEDORES VALLE'!R9+BUGA!R9+'COMEDORES CALI'!R9+'CTAS EN PPACION'!R9+'COMEDORES PALMIRA'!R9+IMDERTY!R9</f>
        <v/>
      </c>
      <c r="S9" s="43" t="n"/>
      <c r="T9" s="57" t="n"/>
      <c r="U9" s="74">
        <f>CALI!U9+HUNGRIA!U9+YUMBO!U9+'ADULTO MAYOR'!U9+'COMEDORES VALLE'!U9+BUGA!U9+'COMEDORES CALI'!U9+'CTAS EN PPACION'!U9+'COMEDORES PALMIRA'!U9+IMDERTY!U9</f>
        <v/>
      </c>
      <c r="V9" s="43" t="n"/>
      <c r="W9" s="57" t="n"/>
      <c r="X9" s="74">
        <f>CALI!X9+HUNGRIA!X9+YUMBO!X9+'ADULTO MAYOR'!X9+'COMEDORES VALLE'!X9+BUGA!X9+'COMEDORES CALI'!X9+'CTAS EN PPACION'!X9+'COMEDORES PALMIRA'!X9+IMDERTY!X9</f>
        <v/>
      </c>
      <c r="Y9" s="43" t="n"/>
      <c r="Z9" s="57" t="n"/>
      <c r="AA9" s="74">
        <f>CALI!AA9+HUNGRIA!AA9+YUMBO!AA9+'ADULTO MAYOR'!AA9+'COMEDORES VALLE'!AA9+BUGA!AA9+'COMEDORES CALI'!AA9+'CTAS EN PPACION'!AA9+'COMEDORES PALMIRA'!AA9+IMDERTY!AA9</f>
        <v/>
      </c>
      <c r="AB9" s="43" t="n"/>
      <c r="AC9" s="57" t="n"/>
      <c r="AD9" s="74">
        <f>CALI!AD9+HUNGRIA!AD9+YUMBO!AD9+'ADULTO MAYOR'!AD9+'COMEDORES VALLE'!AD9+BUGA!AD9+'COMEDORES CALI'!AD9+'CTAS EN PPACION'!AD9+'COMEDORES PALMIRA'!AD9+IMDERTY!AD9</f>
        <v/>
      </c>
      <c r="AE9" s="43" t="n"/>
      <c r="AF9" s="57" t="n"/>
      <c r="AG9" s="74">
        <f>CALI!AG9+HUNGRIA!AG9+YUMBO!AG9+'ADULTO MAYOR'!AG9+'COMEDORES VALLE'!AG9+BUGA!AG9+'COMEDORES CALI'!AG9+'CTAS EN PPACION'!AG9+'COMEDORES PALMIRA'!AG9+IMDERTY!AG9</f>
        <v/>
      </c>
      <c r="AH9" s="43" t="n"/>
      <c r="AI9" s="57" t="n"/>
      <c r="AJ9" s="74">
        <f>CALI!AJ9+HUNGRIA!AJ9+YUMBO!AJ9+'ADULTO MAYOR'!AJ9+'COMEDORES VALLE'!AJ9+BUGA!AJ9+'COMEDORES CALI'!AJ9+'CTAS EN PPACION'!AJ9+'COMEDORES PALMIRA'!AJ9+IMDERTY!AJ9</f>
        <v/>
      </c>
      <c r="AK9" s="43" t="n"/>
      <c r="AL9" s="57" t="n"/>
      <c r="AM9" s="24">
        <f>C9+F9+I9+L9+O9+R9+U9+X9+AA9+AD9+AG9+AJ9</f>
        <v/>
      </c>
      <c r="AN9" s="195" t="n"/>
      <c r="AO9" s="57" t="n"/>
    </row>
    <row r="10" ht="15" customFormat="1" customHeight="1" s="223">
      <c r="A10" s="746" t="n"/>
      <c r="B10" s="14" t="n"/>
      <c r="C10" s="74">
        <f>CALI!C10+HUNGRIA!C10+YUMBO!C10+'ADULTO MAYOR'!C10+'COMEDORES VALLE'!C10+BUGA!C10+'COMEDORES CALI'!C10+'CTAS EN PPACION'!C10+'COMEDORES PALMIRA'!C10</f>
        <v/>
      </c>
      <c r="D10" s="43" t="n"/>
      <c r="E10" s="57" t="n"/>
      <c r="F10" s="74">
        <f>CALI!F10+HUNGRIA!F10+YUMBO!F10+'ADULTO MAYOR'!F10+'COMEDORES VALLE'!F10+BUGA!F10+'COMEDORES CALI'!F10+'CTAS EN PPACION'!F10+'COMEDORES PALMIRA'!F10</f>
        <v/>
      </c>
      <c r="G10" s="43" t="n"/>
      <c r="H10" s="57" t="n"/>
      <c r="I10" s="74">
        <f>CALI!I10+HUNGRIA!I10+YUMBO!I10+'ADULTO MAYOR'!I10+'COMEDORES VALLE'!I10+BUGA!I10+'COMEDORES CALI'!I10+'CTAS EN PPACION'!I10+'COMEDORES PALMIRA'!I10</f>
        <v/>
      </c>
      <c r="J10" s="43" t="n"/>
      <c r="K10" s="57" t="n"/>
      <c r="L10" s="74">
        <f>CALI!L10+HUNGRIA!L10+YUMBO!L10+'ADULTO MAYOR'!L10+'COMEDORES VALLE'!L10+BUGA!L10+'COMEDORES CALI'!L10+'CTAS EN PPACION'!L10+'COMEDORES PALMIRA'!L10</f>
        <v/>
      </c>
      <c r="M10" s="43" t="n"/>
      <c r="N10" s="57" t="n"/>
      <c r="O10" s="74">
        <f>CALI!O10+HUNGRIA!O10+YUMBO!O10+'ADULTO MAYOR'!O10+'COMEDORES VALLE'!O10+BUGA!O10+'COMEDORES CALI'!O10+'CTAS EN PPACION'!O10+'COMEDORES PALMIRA'!O10</f>
        <v/>
      </c>
      <c r="P10" s="43" t="n"/>
      <c r="Q10" s="57" t="n"/>
      <c r="R10" s="74">
        <f>CALI!R10+HUNGRIA!R10+YUMBO!R10+'ADULTO MAYOR'!R10+'COMEDORES VALLE'!R10+BUGA!R10+'COMEDORES CALI'!R10+'CTAS EN PPACION'!R10+'COMEDORES PALMIRA'!R10+IMDERTY!R10</f>
        <v/>
      </c>
      <c r="S10" s="43" t="n"/>
      <c r="T10" s="57" t="n"/>
      <c r="U10" s="74">
        <f>CALI!U10+HUNGRIA!U10+YUMBO!U10+'ADULTO MAYOR'!U10+'COMEDORES VALLE'!U10+BUGA!U10+'COMEDORES CALI'!U10+'CTAS EN PPACION'!U10+'COMEDORES PALMIRA'!U10+IMDERTY!U10</f>
        <v/>
      </c>
      <c r="V10" s="43" t="n"/>
      <c r="W10" s="57" t="n"/>
      <c r="X10" s="74">
        <f>CALI!X10+HUNGRIA!X10+YUMBO!X10+'ADULTO MAYOR'!X10+'COMEDORES VALLE'!X10+BUGA!X10+'COMEDORES CALI'!X10+'CTAS EN PPACION'!X10+'COMEDORES PALMIRA'!X10+IMDERTY!X10</f>
        <v/>
      </c>
      <c r="Y10" s="43" t="n"/>
      <c r="Z10" s="57" t="n"/>
      <c r="AA10" s="74">
        <f>CALI!AA10+HUNGRIA!AA10+YUMBO!AA10+'ADULTO MAYOR'!AA10+'COMEDORES VALLE'!AA10+BUGA!AA10+'COMEDORES CALI'!AA10+'CTAS EN PPACION'!AA10+'COMEDORES PALMIRA'!AA10+IMDERTY!AA10</f>
        <v/>
      </c>
      <c r="AB10" s="43" t="n"/>
      <c r="AC10" s="57" t="n"/>
      <c r="AD10" s="74">
        <f>CALI!AD10+HUNGRIA!AD10+YUMBO!AD10+'ADULTO MAYOR'!AD10+'COMEDORES VALLE'!AD10+BUGA!AD10+'COMEDORES CALI'!AD10+'CTAS EN PPACION'!AD10+'COMEDORES PALMIRA'!AD10+IMDERTY!AD10</f>
        <v/>
      </c>
      <c r="AE10" s="43" t="n"/>
      <c r="AF10" s="57" t="n"/>
      <c r="AG10" s="74">
        <f>CALI!AG10+HUNGRIA!AG10+YUMBO!AG10+'ADULTO MAYOR'!AG10+'COMEDORES VALLE'!AG10+BUGA!AG10+'COMEDORES CALI'!AG10+'CTAS EN PPACION'!AG10+'COMEDORES PALMIRA'!AG10+IMDERTY!AG10</f>
        <v/>
      </c>
      <c r="AH10" s="43" t="n"/>
      <c r="AI10" s="57" t="n"/>
      <c r="AJ10" s="74">
        <f>CALI!AJ10+HUNGRIA!AJ10+YUMBO!AJ10+'ADULTO MAYOR'!AJ10+'COMEDORES VALLE'!AJ10+BUGA!AJ10+'COMEDORES CALI'!AJ10+'CTAS EN PPACION'!AJ10+'COMEDORES PALMIRA'!AJ10+IMDERTY!AJ10</f>
        <v/>
      </c>
      <c r="AK10" s="43" t="n"/>
      <c r="AL10" s="57" t="n"/>
      <c r="AM10" s="24">
        <f>C10+F10+I10+L10+O10+R10+U10+X10+AA10+AD10+AG10+AJ10</f>
        <v/>
      </c>
      <c r="AN10" s="195" t="n"/>
      <c r="AO10" s="57" t="n"/>
    </row>
    <row r="11" ht="15" customFormat="1" customHeight="1" s="223">
      <c r="A11" s="746" t="n"/>
      <c r="B11" s="14" t="n"/>
      <c r="C11" s="44">
        <f>CALI!C11+HUNGRIA!C11+YUMBO!C11+'ADULTO MAYOR'!C11+'COMEDORES VALLE'!C11+BUGA!C11+'COMEDORES CALI'!C11+'CTAS EN PPACION'!C11</f>
        <v/>
      </c>
      <c r="D11" s="42" t="n"/>
      <c r="E11" s="56" t="n"/>
      <c r="F11" s="44">
        <f>CALI!F11+HUNGRIA!F11+YUMBO!F11+'ADULTO MAYOR'!F11+'COMEDORES VALLE'!F11+BUGA!F11+'COMEDORES CALI'!F11+'CTAS EN PPACION'!F11</f>
        <v/>
      </c>
      <c r="G11" s="42" t="n"/>
      <c r="H11" s="56" t="n"/>
      <c r="I11" s="44">
        <f>CALI!I11+HUNGRIA!I11+YUMBO!I11+'ADULTO MAYOR'!I11+'COMEDORES VALLE'!I11+BUGA!I11+'COMEDORES CALI'!I11+'CTAS EN PPACION'!I11</f>
        <v/>
      </c>
      <c r="J11" s="42" t="n"/>
      <c r="K11" s="56" t="n"/>
      <c r="L11" s="44">
        <f>CALI!L11+HUNGRIA!L11+YUMBO!L11+'ADULTO MAYOR'!L11+'COMEDORES VALLE'!L11+BUGA!L11+'COMEDORES CALI'!L11+'CTAS EN PPACION'!L11</f>
        <v/>
      </c>
      <c r="M11" s="42" t="n"/>
      <c r="N11" s="56" t="n"/>
      <c r="O11" s="44">
        <f>CALI!O11+HUNGRIA!O11+YUMBO!O11+'ADULTO MAYOR'!O11+'COMEDORES VALLE'!O11+BUGA!O11+'COMEDORES CALI'!O11+'CTAS EN PPACION'!O11</f>
        <v/>
      </c>
      <c r="P11" s="42" t="n"/>
      <c r="Q11" s="56" t="n"/>
      <c r="R11" s="44">
        <f>CALI!R11+HUNGRIA!R11+YUMBO!R11+'ADULTO MAYOR'!R11+'COMEDORES VALLE'!R11+BUGA!R11+'COMEDORES CALI'!R11+'CTAS EN PPACION'!R11</f>
        <v/>
      </c>
      <c r="S11" s="42" t="n"/>
      <c r="T11" s="56" t="n"/>
      <c r="U11" s="44">
        <f>CALI!U11+HUNGRIA!U11+YUMBO!U11+'ADULTO MAYOR'!U11+'COMEDORES VALLE'!U11+BUGA!U11+'COMEDORES CALI'!U11+'CTAS EN PPACION'!U11</f>
        <v/>
      </c>
      <c r="V11" s="42" t="n"/>
      <c r="W11" s="56" t="n"/>
      <c r="X11" s="44">
        <f>CALI!X11+HUNGRIA!X11+YUMBO!X11+'ADULTO MAYOR'!X11+'COMEDORES VALLE'!X11+BUGA!X11+'COMEDORES CALI'!X11+'CTAS EN PPACION'!X11</f>
        <v/>
      </c>
      <c r="Y11" s="42" t="n"/>
      <c r="Z11" s="56" t="n"/>
      <c r="AA11" s="44">
        <f>CALI!AA11+HUNGRIA!AA11+YUMBO!AA11+'ADULTO MAYOR'!AA11+'COMEDORES VALLE'!AA11+BUGA!AA11+'COMEDORES CALI'!AA11+'CTAS EN PPACION'!AA11</f>
        <v/>
      </c>
      <c r="AB11" s="42" t="n"/>
      <c r="AC11" s="56" t="n"/>
      <c r="AD11" s="44">
        <f>CALI!AD11+HUNGRIA!AD11+YUMBO!AD11+'ADULTO MAYOR'!AD11+'COMEDORES VALLE'!AD11+BUGA!AD11+'COMEDORES CALI'!AD11+'CTAS EN PPACION'!AD11</f>
        <v/>
      </c>
      <c r="AE11" s="42" t="n"/>
      <c r="AF11" s="56" t="n"/>
      <c r="AG11" s="44">
        <f>CALI!AG11+HUNGRIA!AG11+YUMBO!AG11+'ADULTO MAYOR'!AG11+'COMEDORES VALLE'!AG11+BUGA!AG11+'COMEDORES CALI'!AG11+'CTAS EN PPACION'!AG11</f>
        <v/>
      </c>
      <c r="AH11" s="42" t="n"/>
      <c r="AI11" s="56" t="n"/>
      <c r="AJ11" s="44">
        <f>CALI!AJ11+HUNGRIA!AJ11+YUMBO!AJ11+'ADULTO MAYOR'!AJ11+'COMEDORES VALLE'!AJ11+BUGA!AJ11+'COMEDORES CALI'!AJ11+'CTAS EN PPACION'!AJ11</f>
        <v/>
      </c>
      <c r="AK11" s="42" t="n"/>
      <c r="AL11" s="56" t="n"/>
      <c r="AM11" s="23">
        <f>C11+F11+I11+L11+O11+R11+U11+X11+AA11+AD11+AG11+AJ11</f>
        <v/>
      </c>
      <c r="AN11" s="194" t="n"/>
      <c r="AO11" s="135" t="n"/>
    </row>
    <row r="12" ht="15" customFormat="1" customHeight="1" s="223">
      <c r="A12" s="746" t="n"/>
      <c r="B12" s="15" t="inlineStr">
        <is>
          <t>TOTAL RACIONES</t>
        </is>
      </c>
      <c r="C12" s="46">
        <f>SUM(C5:C11)</f>
        <v/>
      </c>
      <c r="D12" s="47" t="n"/>
      <c r="E12" s="59" t="n"/>
      <c r="F12" s="46">
        <f>SUM(F5:F11)</f>
        <v/>
      </c>
      <c r="G12" s="47" t="n"/>
      <c r="H12" s="59" t="n"/>
      <c r="I12" s="46">
        <f>SUM(I5:I11)</f>
        <v/>
      </c>
      <c r="J12" s="47" t="n"/>
      <c r="K12" s="59" t="n"/>
      <c r="L12" s="46">
        <f>SUM(L5:L11)</f>
        <v/>
      </c>
      <c r="M12" s="47" t="n"/>
      <c r="N12" s="59" t="n"/>
      <c r="O12" s="46">
        <f>SUM(O5:O11)</f>
        <v/>
      </c>
      <c r="P12" s="47" t="n"/>
      <c r="Q12" s="59" t="n"/>
      <c r="R12" s="46">
        <f>SUM(R5:R11)</f>
        <v/>
      </c>
      <c r="S12" s="47" t="n"/>
      <c r="T12" s="59" t="n"/>
      <c r="U12" s="46">
        <f>SUM(U5:U11)</f>
        <v/>
      </c>
      <c r="V12" s="47" t="n"/>
      <c r="W12" s="59" t="n"/>
      <c r="X12" s="46">
        <f>SUM(X5:X11)</f>
        <v/>
      </c>
      <c r="Y12" s="47" t="n"/>
      <c r="Z12" s="59" t="n"/>
      <c r="AA12" s="46">
        <f>SUM(AA5:AA11)</f>
        <v/>
      </c>
      <c r="AB12" s="47" t="n"/>
      <c r="AC12" s="59" t="n"/>
      <c r="AD12" s="46">
        <f>SUM(AD5:AD11)</f>
        <v/>
      </c>
      <c r="AE12" s="47" t="n"/>
      <c r="AF12" s="59" t="n"/>
      <c r="AG12" s="46">
        <f>SUM(AG5:AG11)</f>
        <v/>
      </c>
      <c r="AH12" s="47" t="n"/>
      <c r="AI12" s="59" t="n"/>
      <c r="AJ12" s="46">
        <f>SUM(AJ5:AJ11)</f>
        <v/>
      </c>
      <c r="AK12" s="47" t="n"/>
      <c r="AL12" s="59" t="n"/>
      <c r="AM12" s="29">
        <f>C12+F12+I12+L12+O12+R12+U12+X12+AA12+AD12+AG12+AJ12</f>
        <v/>
      </c>
      <c r="AN12" s="196" t="n"/>
      <c r="AO12" s="59" t="n"/>
    </row>
    <row r="13" ht="15.75" customHeight="1" s="985">
      <c r="B13" s="524" t="inlineStr">
        <is>
          <t>INGRESOS BRUTOS</t>
        </is>
      </c>
      <c r="C13" s="485">
        <f>C14+C23</f>
        <v/>
      </c>
      <c r="D13" s="486" t="n"/>
      <c r="E13" s="508" t="n"/>
      <c r="F13" s="485">
        <f>F14+F23</f>
        <v/>
      </c>
      <c r="G13" s="486" t="n"/>
      <c r="H13" s="508" t="n"/>
      <c r="I13" s="485">
        <f>I14+I23</f>
        <v/>
      </c>
      <c r="J13" s="486" t="n"/>
      <c r="K13" s="508" t="n"/>
      <c r="L13" s="485">
        <f>L14+L23</f>
        <v/>
      </c>
      <c r="M13" s="486" t="n"/>
      <c r="N13" s="508" t="n"/>
      <c r="O13" s="485">
        <f>O14+O23</f>
        <v/>
      </c>
      <c r="P13" s="486" t="n"/>
      <c r="Q13" s="508" t="n"/>
      <c r="R13" s="485">
        <f>R14+R23</f>
        <v/>
      </c>
      <c r="S13" s="486" t="n"/>
      <c r="T13" s="508" t="n"/>
      <c r="U13" s="485">
        <f>U14+U23</f>
        <v/>
      </c>
      <c r="V13" s="486" t="n"/>
      <c r="W13" s="508" t="n"/>
      <c r="X13" s="485">
        <f>X14+X23</f>
        <v/>
      </c>
      <c r="Y13" s="486" t="n"/>
      <c r="Z13" s="508" t="n"/>
      <c r="AA13" s="485">
        <f>AA14+AA23</f>
        <v/>
      </c>
      <c r="AB13" s="486" t="n"/>
      <c r="AC13" s="508" t="n"/>
      <c r="AD13" s="599">
        <f>AD14+AD23</f>
        <v/>
      </c>
      <c r="AE13" s="600" t="n"/>
      <c r="AF13" s="601" t="n"/>
      <c r="AG13" s="599">
        <f>AG14+AG23</f>
        <v/>
      </c>
      <c r="AH13" s="600" t="n"/>
      <c r="AI13" s="601" t="n"/>
      <c r="AJ13" s="599">
        <f>AJ14+AJ23</f>
        <v/>
      </c>
      <c r="AK13" s="600" t="n"/>
      <c r="AL13" s="601" t="n"/>
      <c r="AM13" s="602">
        <f>C13+F13+I13+L13+O13+R13+U13+X13+AA13+AD13+AG13+AJ13</f>
        <v/>
      </c>
      <c r="AN13" s="592" t="n"/>
      <c r="AO13" s="508" t="n"/>
    </row>
    <row r="14" ht="15" customHeight="1" s="985">
      <c r="B14" s="16" t="inlineStr">
        <is>
          <t>OPERACIONALES</t>
        </is>
      </c>
      <c r="C14" s="49">
        <f>C15</f>
        <v/>
      </c>
      <c r="D14" s="3" t="n"/>
      <c r="E14" s="61" t="n"/>
      <c r="F14" s="49">
        <f>F15</f>
        <v/>
      </c>
      <c r="G14" s="3" t="n"/>
      <c r="H14" s="61" t="n"/>
      <c r="I14" s="49">
        <f>I15</f>
        <v/>
      </c>
      <c r="J14" s="3" t="n"/>
      <c r="K14" s="61" t="n"/>
      <c r="L14" s="49">
        <f>L15</f>
        <v/>
      </c>
      <c r="M14" s="3" t="n"/>
      <c r="N14" s="61" t="n"/>
      <c r="O14" s="49">
        <f>O15</f>
        <v/>
      </c>
      <c r="P14" s="3" t="n"/>
      <c r="Q14" s="61" t="n"/>
      <c r="R14" s="90">
        <f>R15</f>
        <v/>
      </c>
      <c r="S14" s="3" t="n"/>
      <c r="T14" s="61" t="n"/>
      <c r="U14" s="49">
        <f>U15</f>
        <v/>
      </c>
      <c r="V14" s="3" t="n"/>
      <c r="W14" s="61" t="n"/>
      <c r="X14" s="90">
        <f>X15</f>
        <v/>
      </c>
      <c r="Y14" s="763" t="n"/>
      <c r="Z14" s="869" t="n"/>
      <c r="AA14" s="90">
        <f>AA15</f>
        <v/>
      </c>
      <c r="AB14" s="3" t="n"/>
      <c r="AC14" s="61" t="n"/>
      <c r="AD14" s="49">
        <f>AD15</f>
        <v/>
      </c>
      <c r="AE14" s="3" t="n"/>
      <c r="AF14" s="61" t="n"/>
      <c r="AG14" s="49">
        <f>AG15</f>
        <v/>
      </c>
      <c r="AH14" s="3" t="n"/>
      <c r="AI14" s="61" t="n"/>
      <c r="AJ14" s="49">
        <f>AJ15</f>
        <v/>
      </c>
      <c r="AK14" s="3" t="n"/>
      <c r="AL14" s="61" t="n"/>
      <c r="AM14" s="17">
        <f>C14+F14+I14+L14+O14+R14+U14+X14+AA14+AD14+AG14+AJ14</f>
        <v/>
      </c>
      <c r="AN14" s="197" t="n"/>
      <c r="AO14" s="61" t="n"/>
    </row>
    <row r="15" ht="15" customHeight="1" s="985">
      <c r="B15" s="16" t="inlineStr">
        <is>
          <t>INDUSTRIAS MANUFACTURERAS</t>
        </is>
      </c>
      <c r="C15" s="90">
        <f>CALI!C15+HUNGRIA!C15+YUMBO!C15+'ADULTO MAYOR'!C15+'COMEDORES VALLE'!C15+BUGA!C15+'COMEDORES CALI'!C15+'CTAS EN PPACION'!C15+'COMEDORES PALMIRA'!C15+IMDERTY!C15</f>
        <v/>
      </c>
      <c r="D15" s="3" t="n"/>
      <c r="E15" s="61" t="n"/>
      <c r="F15" s="90">
        <f>CALI!F15+HUNGRIA!F15+YUMBO!F15+'ADULTO MAYOR'!F15+'COMEDORES VALLE'!F15+BUGA!F15+'COMEDORES CALI'!F15+'CTAS EN PPACION'!F15+'COMEDORES PALMIRA'!F15+IMDERTY!F15</f>
        <v/>
      </c>
      <c r="G15" s="3" t="n"/>
      <c r="H15" s="61" t="n"/>
      <c r="I15" s="90">
        <f>CALI!I15+HUNGRIA!I15+YUMBO!I15+'ADULTO MAYOR'!I15+'COMEDORES VALLE'!I15+BUGA!I15+'COMEDORES CALI'!I15+'CTAS EN PPACION'!I15+'COMEDORES PALMIRA'!I15+IMDERTY!I15</f>
        <v/>
      </c>
      <c r="J15" s="3" t="n"/>
      <c r="K15" s="61" t="n"/>
      <c r="L15" s="49">
        <f>CALI!L15+HUNGRIA!L15+YUMBO!L15+'ADULTO MAYOR'!L15+'COMEDORES VALLE'!L15+BUGA!L15+'COMEDORES CALI'!L15+'CTAS EN PPACION'!L15+'COMEDORES PALMIRA'!L15+IMDERTY!L15</f>
        <v/>
      </c>
      <c r="M15" s="3" t="n"/>
      <c r="N15" s="61" t="n"/>
      <c r="O15" s="49">
        <f>CALI!O15+HUNGRIA!O15+YUMBO!O15+'ADULTO MAYOR'!O15+'COMEDORES VALLE'!O15+BUGA!O15+'COMEDORES CALI'!O15+'CTAS EN PPACION'!O15+'COMEDORES PALMIRA'!O15+IMDERTY!O15</f>
        <v/>
      </c>
      <c r="P15" s="1" t="n"/>
      <c r="Q15" s="61" t="n"/>
      <c r="R15" s="90">
        <f>CALI!R15+HUNGRIA!R15+YUMBO!R15+'ADULTO MAYOR'!R15+'COMEDORES VALLE'!R15+BUGA!R15+'COMEDORES CALI'!R15+'CTAS EN PPACION'!R15+'COMEDORES PALMIRA'!R15+IMDERTY!R15</f>
        <v/>
      </c>
      <c r="S15" s="3" t="n"/>
      <c r="T15" s="61" t="n"/>
      <c r="U15" s="49">
        <f>CALI!U15+HUNGRIA!U15+YUMBO!U15+'ADULTO MAYOR'!U15+'COMEDORES VALLE'!U15+BUGA!U15+'COMEDORES CALI'!U15+'CTAS EN PPACION'!U15+'COMEDORES PALMIRA'!U15+IMDERTY!U15</f>
        <v/>
      </c>
      <c r="V15" s="3" t="n"/>
      <c r="W15" s="61" t="n"/>
      <c r="X15" s="90">
        <f>CALI!X15+HUNGRIA!X15+YUMBO!X15+'ADULTO MAYOR'!X15+'COMEDORES VALLE'!X15+BUGA!X15+'COMEDORES CALI'!X15+'CTAS EN PPACION'!X15+'COMEDORES PALMIRA'!X15+IMDERTY!X15</f>
        <v/>
      </c>
      <c r="Y15" s="763" t="n"/>
      <c r="Z15" s="869" t="n"/>
      <c r="AA15" s="90">
        <f>CALI!AA15+HUNGRIA!AA15+YUMBO!AA15+'ADULTO MAYOR'!AA15+'COMEDORES VALLE'!AA15+BUGA!AA15+'COMEDORES CALI'!AA15+'CTAS EN PPACION'!AA15+'COMEDORES PALMIRA'!AA15+IMDERTY!AA15</f>
        <v/>
      </c>
      <c r="AB15" s="3" t="n"/>
      <c r="AC15" s="61" t="n"/>
      <c r="AD15" s="95">
        <f>CALI!AD15+HUNGRIA!AD15+YUMBO!AD15+'ADULTO MAYOR'!AD15+'COMEDORES VALLE'!AD15+BUGA!AD15+'COMEDORES CALI'!AD15+'CTAS EN PPACION'!AD15+'COMEDORES PALMIRA'!AD15+IMDERTY!AD15</f>
        <v/>
      </c>
      <c r="AE15" s="3" t="n"/>
      <c r="AF15" s="61" t="n"/>
      <c r="AG15" s="95">
        <f>CALI!AG15+HUNGRIA!AG15+YUMBO!AG15+'ADULTO MAYOR'!AG15+'COMEDORES VALLE'!AG15+BUGA!AG15+'COMEDORES CALI'!AG15+'CTAS EN PPACION'!AG15+'COMEDORES PALMIRA'!AG15+IMDERTY!AG15</f>
        <v/>
      </c>
      <c r="AH15" s="3" t="n"/>
      <c r="AI15" s="61" t="n"/>
      <c r="AJ15" s="95">
        <f>CALI!AJ15+HUNGRIA!AJ15+YUMBO!AJ15+'ADULTO MAYOR'!AJ15+'COMEDORES VALLE'!AJ15+BUGA!AJ15+'COMEDORES CALI'!AJ15+'CTAS EN PPACION'!AJ15+'COMEDORES PALMIRA'!AJ15+IMDERTY!AJ15</f>
        <v/>
      </c>
      <c r="AK15" s="3" t="n"/>
      <c r="AL15" s="96" t="n"/>
      <c r="AM15" s="5">
        <f>C15+F15+I15+L15+O15+R15+U15+X15+AA15+AD15+AG15+AJ15</f>
        <v/>
      </c>
      <c r="AN15" s="5" t="n"/>
      <c r="AO15" s="61" t="n"/>
    </row>
    <row r="16" ht="15" customHeight="1" s="985">
      <c r="B16" s="433" t="n"/>
      <c r="C16" s="50">
        <f>CALI!C16+HUNGRIA!C16+YUMBO!C16+'ADULTO MAYOR'!C16+'COMEDORES VALLE'!C16+BUGA!C16+'COMEDORES CALI'!C16+'CTAS EN PPACION'!C16+'COMEDORES PALMIRA'!C16+IMDERTY!C16</f>
        <v/>
      </c>
      <c r="D16" s="42" t="n"/>
      <c r="E16" s="56" t="n"/>
      <c r="F16" s="50">
        <f>CALI!F16+HUNGRIA!F16+YUMBO!F16+'ADULTO MAYOR'!F16+'COMEDORES VALLE'!F16+BUGA!F16+'COMEDORES CALI'!F16+'CTAS EN PPACION'!F16+'COMEDORES PALMIRA'!F16+IMDERTY!F16</f>
        <v/>
      </c>
      <c r="G16" s="42" t="n"/>
      <c r="H16" s="56" t="n"/>
      <c r="I16" s="50">
        <f>CALI!I16+HUNGRIA!I16+YUMBO!I16+'ADULTO MAYOR'!I16+'COMEDORES VALLE'!I16+BUGA!I16+'COMEDORES CALI'!I16+'CTAS EN PPACION'!I16+'COMEDORES PALMIRA'!I16+IMDERTY!I16</f>
        <v/>
      </c>
      <c r="J16" s="42" t="n"/>
      <c r="K16" s="56" t="n"/>
      <c r="L16" s="11">
        <f>CALI!L16+HUNGRIA!L16+YUMBO!L16+'ADULTO MAYOR'!L16+'COMEDORES VALLE'!L16+BUGA!L16+'COMEDORES CALI'!L16+'CTAS EN PPACION'!L16+'COMEDORES PALMIRA'!L16+IMDERTY!L16</f>
        <v/>
      </c>
      <c r="M16" s="42" t="n"/>
      <c r="N16" s="56" t="n"/>
      <c r="O16" s="50">
        <f>CALI!O16+HUNGRIA!O16+YUMBO!O16+'ADULTO MAYOR'!O16+'COMEDORES VALLE'!O16+BUGA!O16+'COMEDORES CALI'!O16+'CTAS EN PPACION'!O16+'COMEDORES PALMIRA'!O16+IMDERTY!O16</f>
        <v/>
      </c>
      <c r="P16" s="94" t="n"/>
      <c r="Q16" s="56" t="n"/>
      <c r="R16" s="50">
        <f>CALI!R16+HUNGRIA!R16+YUMBO!R16+'ADULTO MAYOR'!R16+'COMEDORES VALLE'!R16+BUGA!R16+'COMEDORES CALI'!R16+'CTAS EN PPACION'!R16+'COMEDORES PALMIRA'!R16+IMDERTY!R16</f>
        <v/>
      </c>
      <c r="S16" s="42" t="n"/>
      <c r="T16" s="56" t="n"/>
      <c r="U16" s="50">
        <f>CALI!U16+HUNGRIA!U16+YUMBO!U16+'ADULTO MAYOR'!U16+'COMEDORES VALLE'!U16+BUGA!U16+'COMEDORES CALI'!U16+'CTAS EN PPACION'!U16+'COMEDORES PALMIRA'!U16+IMDERTY!U16</f>
        <v/>
      </c>
      <c r="V16" s="42" t="n"/>
      <c r="W16" s="56" t="n"/>
      <c r="X16" s="50">
        <f>CALI!X16+HUNGRIA!X16+YUMBO!X16+'ADULTO MAYOR'!X16+'COMEDORES VALLE'!X16+BUGA!X16+'COMEDORES CALI'!X16+'CTAS EN PPACION'!X16+'COMEDORES PALMIRA'!X16+IMDERTY!X16</f>
        <v/>
      </c>
      <c r="Y16" s="42" t="n"/>
      <c r="Z16" s="56" t="n"/>
      <c r="AA16" s="50">
        <f>CALI!AA16+HUNGRIA!AA16+YUMBO!AA16+'ADULTO MAYOR'!AA16+'COMEDORES VALLE'!AA16+BUGA!AA16+'COMEDORES CALI'!AA16+'CTAS EN PPACION'!AA16+'COMEDORES PALMIRA'!AA16+IMDERTY!AA16</f>
        <v/>
      </c>
      <c r="AB16" s="42" t="n"/>
      <c r="AC16" s="56" t="n"/>
      <c r="AD16" s="6">
        <f>CALI!AD16+HUNGRIA!AD16+YUMBO!AD16+'ADULTO MAYOR'!AD16+'COMEDORES VALLE'!AD16+BUGA!AD16+'COMEDORES CALI'!AD16+'CTAS EN PPACION'!AD16+'COMEDORES PALMIRA'!AD16+IMDERTY!AD16</f>
        <v/>
      </c>
      <c r="AE16" s="42" t="n"/>
      <c r="AF16" s="56" t="n"/>
      <c r="AG16" s="6">
        <f>CALI!AG16+HUNGRIA!AG16+YUMBO!AG16+'ADULTO MAYOR'!AG16+'COMEDORES VALLE'!AG16+BUGA!AG16+'COMEDORES CALI'!AG16+'CTAS EN PPACION'!AG16+'COMEDORES PALMIRA'!AG16+IMDERTY!AG16</f>
        <v/>
      </c>
      <c r="AH16" s="42" t="n"/>
      <c r="AI16" s="56" t="n"/>
      <c r="AJ16" s="6">
        <f>CALI!AJ16+HUNGRIA!AJ16+YUMBO!AJ16+'ADULTO MAYOR'!AJ16+'COMEDORES VALLE'!AJ16+BUGA!AJ16+'COMEDORES CALI'!AJ16+'CTAS EN PPACION'!AJ16+'COMEDORES PALMIRA'!AJ16+IMDERTY!AJ16</f>
        <v/>
      </c>
      <c r="AK16" s="42" t="n"/>
      <c r="AL16" s="56" t="n"/>
      <c r="AM16" s="23">
        <f>C16+F16+I16+L16+O16+R16+U16+X16+AA16+AD16+AG16+AJ16</f>
        <v/>
      </c>
      <c r="AN16" s="194" t="n"/>
      <c r="AO16" s="56" t="n"/>
    </row>
    <row r="17" ht="15" customHeight="1" s="985">
      <c r="B17" s="104" t="n"/>
      <c r="C17" s="75">
        <f>CALI!C17+HUNGRIA!C17+YUMBO!C17+'ADULTO MAYOR'!C17+'COMEDORES VALLE'!C17+BUGA!C17+'COMEDORES CALI'!C17+'CTAS EN PPACION'!C17+'COMEDORES PALMIRA'!C17+IMDERTY!C17</f>
        <v/>
      </c>
      <c r="D17" s="43" t="n"/>
      <c r="E17" s="57" t="n"/>
      <c r="F17" s="75">
        <f>CALI!F17+HUNGRIA!F17+YUMBO!F17+'ADULTO MAYOR'!F17+'COMEDORES VALLE'!F17+BUGA!F17+'COMEDORES CALI'!F17+'CTAS EN PPACION'!F17+'COMEDORES PALMIRA'!F17+IMDERTY!F17</f>
        <v/>
      </c>
      <c r="G17" s="43" t="n"/>
      <c r="H17" s="57" t="n"/>
      <c r="I17" s="75">
        <f>CALI!I17+HUNGRIA!I17+YUMBO!I17+'ADULTO MAYOR'!I17+'COMEDORES VALLE'!I17+BUGA!I17+'COMEDORES CALI'!I17+'CTAS EN PPACION'!I17+'COMEDORES PALMIRA'!I17+IMDERTY!I17</f>
        <v/>
      </c>
      <c r="J17" s="43" t="n"/>
      <c r="K17" s="57" t="n"/>
      <c r="L17" s="12">
        <f>CALI!L17+HUNGRIA!L17+YUMBO!L17+'ADULTO MAYOR'!L17+'COMEDORES VALLE'!L17+BUGA!L17+'COMEDORES CALI'!L17+'CTAS EN PPACION'!L17+'COMEDORES PALMIRA'!L17+IMDERTY!L17</f>
        <v/>
      </c>
      <c r="M17" s="43" t="n"/>
      <c r="N17" s="57" t="n"/>
      <c r="O17" s="75">
        <f>CALI!O17+HUNGRIA!O17+YUMBO!O17+'ADULTO MAYOR'!O17+'COMEDORES VALLE'!O17+BUGA!O17+'COMEDORES CALI'!O17+'CTAS EN PPACION'!O17+'COMEDORES PALMIRA'!O17+IMDERTY!O17</f>
        <v/>
      </c>
      <c r="P17" s="89" t="n"/>
      <c r="Q17" s="57" t="n"/>
      <c r="R17" s="75">
        <f>CALI!R17+HUNGRIA!R17+YUMBO!R17+'ADULTO MAYOR'!R17+'COMEDORES VALLE'!R17+BUGA!R17+'COMEDORES CALI'!R17+'CTAS EN PPACION'!R17+'COMEDORES PALMIRA'!R17+IMDERTY!R17</f>
        <v/>
      </c>
      <c r="S17" s="43" t="n"/>
      <c r="T17" s="57" t="n"/>
      <c r="U17" s="75">
        <f>CALI!U17+HUNGRIA!U17+YUMBO!U17+'ADULTO MAYOR'!U17+'COMEDORES VALLE'!U17+BUGA!U17+'COMEDORES CALI'!U17+'CTAS EN PPACION'!U17+'COMEDORES PALMIRA'!U17+IMDERTY!U17</f>
        <v/>
      </c>
      <c r="V17" s="43" t="n"/>
      <c r="W17" s="57" t="n"/>
      <c r="X17" s="75">
        <f>CALI!X17+HUNGRIA!X17+YUMBO!X17+'ADULTO MAYOR'!X17+'COMEDORES VALLE'!X17+BUGA!X17+'COMEDORES CALI'!X17+'CTAS EN PPACION'!X17+'COMEDORES PALMIRA'!X17+IMDERTY!X17</f>
        <v/>
      </c>
      <c r="Y17" s="43" t="n"/>
      <c r="Z17" s="57" t="n"/>
      <c r="AA17" s="75">
        <f>CALI!AA17+HUNGRIA!AA17+YUMBO!AA17+'ADULTO MAYOR'!AA17+'COMEDORES VALLE'!AA17+BUGA!AA17+'COMEDORES CALI'!AA17+'CTAS EN PPACION'!AA17+'COMEDORES PALMIRA'!AA17+IMDERTY!AA17</f>
        <v/>
      </c>
      <c r="AB17" s="43" t="n"/>
      <c r="AC17" s="57" t="n"/>
      <c r="AD17" s="8">
        <f>CALI!AD17+HUNGRIA!AD17+YUMBO!AD17+'ADULTO MAYOR'!AD17+'COMEDORES VALLE'!AD17+BUGA!AD17+'COMEDORES CALI'!AD17+'CTAS EN PPACION'!AD17+'COMEDORES PALMIRA'!AD17+IMDERTY!AD17</f>
        <v/>
      </c>
      <c r="AE17" s="43" t="n"/>
      <c r="AF17" s="57" t="n"/>
      <c r="AG17" s="8">
        <f>CALI!AG17+HUNGRIA!AG17+YUMBO!AG17+'ADULTO MAYOR'!AG17+'COMEDORES VALLE'!AG17+BUGA!AG17+'COMEDORES CALI'!AG17+'CTAS EN PPACION'!AG17+'COMEDORES PALMIRA'!AG17+IMDERTY!AG17</f>
        <v/>
      </c>
      <c r="AH17" s="43" t="n"/>
      <c r="AI17" s="57" t="n"/>
      <c r="AJ17" s="8">
        <f>CALI!AJ17+HUNGRIA!AJ17+YUMBO!AJ17+'ADULTO MAYOR'!AJ17+'COMEDORES VALLE'!AJ17+BUGA!AJ17+'COMEDORES CALI'!AJ17+'CTAS EN PPACION'!AJ17+'COMEDORES PALMIRA'!AJ17+IMDERTY!AJ17</f>
        <v/>
      </c>
      <c r="AK17" s="43" t="n"/>
      <c r="AL17" s="57" t="n"/>
      <c r="AM17" s="24">
        <f>C17+F17+I17+L17+O17+R17+U17+X17+AA17+AD17+AG17+AJ17</f>
        <v/>
      </c>
      <c r="AN17" s="195" t="n"/>
      <c r="AO17" s="57" t="n"/>
    </row>
    <row r="18" ht="15" customHeight="1" s="985">
      <c r="B18" s="104" t="n"/>
      <c r="C18" s="75">
        <f>CALI!C18+HUNGRIA!C18+YUMBO!C18+'ADULTO MAYOR'!C18+'COMEDORES VALLE'!C18+BUGA!C18+'COMEDORES CALI'!C18+'CTAS EN PPACION'!C18+'COMEDORES PALMIRA'!C18+IMDERTY!C18</f>
        <v/>
      </c>
      <c r="D18" s="43" t="n"/>
      <c r="E18" s="57" t="n"/>
      <c r="F18" s="75">
        <f>CALI!F18+HUNGRIA!F18+YUMBO!F18+'ADULTO MAYOR'!F18+'COMEDORES VALLE'!F18+BUGA!F18+'COMEDORES CALI'!F18+'CTAS EN PPACION'!F18+'COMEDORES PALMIRA'!F18+IMDERTY!F18</f>
        <v/>
      </c>
      <c r="G18" s="43" t="n"/>
      <c r="H18" s="57" t="n"/>
      <c r="I18" s="75">
        <f>CALI!I18+HUNGRIA!I18+YUMBO!I18+'ADULTO MAYOR'!I18+'COMEDORES VALLE'!I18+BUGA!I18+'COMEDORES CALI'!I18+'CTAS EN PPACION'!I18+'COMEDORES PALMIRA'!I18+IMDERTY!I18</f>
        <v/>
      </c>
      <c r="J18" s="43" t="n"/>
      <c r="K18" s="57" t="n"/>
      <c r="L18" s="12">
        <f>CALI!L18+HUNGRIA!L18+YUMBO!L18+'ADULTO MAYOR'!L18+'COMEDORES VALLE'!L18+BUGA!L18+'COMEDORES CALI'!L18+'CTAS EN PPACION'!L18+'COMEDORES PALMIRA'!L18+IMDERTY!L18</f>
        <v/>
      </c>
      <c r="M18" s="43" t="n"/>
      <c r="N18" s="57" t="n"/>
      <c r="O18" s="75">
        <f>CALI!O18+HUNGRIA!O18+YUMBO!O18+'ADULTO MAYOR'!O18+'COMEDORES VALLE'!O18+BUGA!O18+'COMEDORES CALI'!O18+'CTAS EN PPACION'!O18+'COMEDORES PALMIRA'!O18+IMDERTY!O18</f>
        <v/>
      </c>
      <c r="P18" s="43" t="n"/>
      <c r="Q18" s="57" t="n"/>
      <c r="R18" s="75">
        <f>CALI!R18+HUNGRIA!R18+YUMBO!R18+'ADULTO MAYOR'!R18+'COMEDORES VALLE'!R18+BUGA!R18+'COMEDORES CALI'!R18+'CTAS EN PPACION'!R18+'COMEDORES PALMIRA'!R18+IMDERTY!R18</f>
        <v/>
      </c>
      <c r="S18" s="43" t="n"/>
      <c r="T18" s="57" t="n"/>
      <c r="U18" s="75">
        <f>CALI!U18+HUNGRIA!U18+YUMBO!U18+'ADULTO MAYOR'!U18+'COMEDORES VALLE'!U18+BUGA!U18+'COMEDORES CALI'!U18+'CTAS EN PPACION'!U18+'COMEDORES PALMIRA'!U18+IMDERTY!U18</f>
        <v/>
      </c>
      <c r="V18" s="43" t="n"/>
      <c r="W18" s="57" t="n"/>
      <c r="X18" s="75">
        <f>CALI!X18+HUNGRIA!X18+YUMBO!X18+'ADULTO MAYOR'!X18+'COMEDORES VALLE'!X18+BUGA!X18+'COMEDORES CALI'!X18+'CTAS EN PPACION'!X18+'COMEDORES PALMIRA'!X18+IMDERTY!X18</f>
        <v/>
      </c>
      <c r="Y18" s="43" t="n"/>
      <c r="Z18" s="57" t="n"/>
      <c r="AA18" s="75">
        <f>CALI!AA18+HUNGRIA!AA18+YUMBO!AA18+'ADULTO MAYOR'!AA18+'COMEDORES VALLE'!AA18+BUGA!AA18+'COMEDORES CALI'!AA18+'CTAS EN PPACION'!AA18+'COMEDORES PALMIRA'!AA18+IMDERTY!AA18</f>
        <v/>
      </c>
      <c r="AB18" s="43" t="n"/>
      <c r="AC18" s="57" t="n"/>
      <c r="AD18" s="8">
        <f>CALI!AD18+HUNGRIA!AD18+YUMBO!AD18+'ADULTO MAYOR'!AD18+'COMEDORES VALLE'!AD18+BUGA!AD18+'COMEDORES CALI'!AD18+'CTAS EN PPACION'!AD18+'COMEDORES PALMIRA'!AD18+IMDERTY!AD18</f>
        <v/>
      </c>
      <c r="AE18" s="43" t="n"/>
      <c r="AF18" s="57" t="n"/>
      <c r="AG18" s="8">
        <f>CALI!AG18+HUNGRIA!AG18+YUMBO!AG18+'ADULTO MAYOR'!AG18+'COMEDORES VALLE'!AG18+BUGA!AG18+'COMEDORES CALI'!AG18+'CTAS EN PPACION'!AG18+'COMEDORES PALMIRA'!AG18+IMDERTY!AG18</f>
        <v/>
      </c>
      <c r="AH18" s="43" t="n"/>
      <c r="AI18" s="57" t="n"/>
      <c r="AJ18" s="8">
        <f>CALI!AJ18+HUNGRIA!AJ18+YUMBO!AJ18+'ADULTO MAYOR'!AJ18+'COMEDORES VALLE'!AJ18+BUGA!AJ18+'COMEDORES CALI'!AJ18+'CTAS EN PPACION'!AJ18+'COMEDORES PALMIRA'!AJ18+IMDERTY!AJ18</f>
        <v/>
      </c>
      <c r="AK18" s="43" t="n"/>
      <c r="AL18" s="57" t="n"/>
      <c r="AM18" s="24">
        <f>C18+F18+I18+L18+O18+R18+U18+X18+AA18+AD18+AG18+AJ18</f>
        <v/>
      </c>
      <c r="AN18" s="195" t="n"/>
      <c r="AO18" s="57" t="n"/>
    </row>
    <row r="19" ht="15" customHeight="1" s="985">
      <c r="B19" s="104" t="n"/>
      <c r="C19" s="25">
        <f>CALI!C19+HUNGRIA!C19+YUMBO!C19+'ADULTO MAYOR'!C19+'COMEDORES VALLE'!C19+BUGA!C19+'COMEDORES CALI'!C19+'CTAS EN PPACION'!C19+'COMEDORES PALMIRA'!C19+IMDERTY!C19</f>
        <v/>
      </c>
      <c r="D19" s="43" t="n"/>
      <c r="E19" s="57" t="n"/>
      <c r="F19" s="25">
        <f>CALI!F19+HUNGRIA!F19+YUMBO!F19+'ADULTO MAYOR'!F19+'COMEDORES VALLE'!F19+BUGA!F19+'COMEDORES CALI'!F19+'CTAS EN PPACION'!F19+'COMEDORES PALMIRA'!F19+IMDERTY!F19</f>
        <v/>
      </c>
      <c r="G19" s="43" t="n"/>
      <c r="H19" s="57" t="n"/>
      <c r="I19" s="25">
        <f>CALI!I19+HUNGRIA!I19+YUMBO!I19+'ADULTO MAYOR'!I19+'COMEDORES VALLE'!I19+BUGA!I19+'COMEDORES CALI'!I19+'CTAS EN PPACION'!I19+'COMEDORES PALMIRA'!I19+IMDERTY!I19</f>
        <v/>
      </c>
      <c r="J19" s="43" t="n"/>
      <c r="K19" s="57" t="n"/>
      <c r="L19" s="12">
        <f>CALI!L19+HUNGRIA!L19+YUMBO!L19+'ADULTO MAYOR'!L19+'COMEDORES VALLE'!L19+BUGA!L19+'COMEDORES CALI'!L19+'CTAS EN PPACION'!L19+'COMEDORES PALMIRA'!L19+IMDERTY!L19</f>
        <v/>
      </c>
      <c r="M19" s="43" t="n"/>
      <c r="N19" s="57" t="n"/>
      <c r="O19" s="25">
        <f>CALI!O19+HUNGRIA!O19+YUMBO!O19+'ADULTO MAYOR'!O19+'COMEDORES VALLE'!O19+BUGA!O19+'COMEDORES CALI'!O19+'CTAS EN PPACION'!O19+'COMEDORES PALMIRA'!O19+IMDERTY!O19</f>
        <v/>
      </c>
      <c r="P19" s="43" t="n"/>
      <c r="Q19" s="57" t="n"/>
      <c r="R19" s="25">
        <f>CALI!R19+HUNGRIA!R19+YUMBO!R19+'ADULTO MAYOR'!R19+'COMEDORES VALLE'!R19+BUGA!R19+'COMEDORES CALI'!R19+'CTAS EN PPACION'!R19+'COMEDORES PALMIRA'!R19+IMDERTY!R19</f>
        <v/>
      </c>
      <c r="S19" s="43" t="n"/>
      <c r="T19" s="57" t="n"/>
      <c r="U19" s="25">
        <f>CALI!U19+HUNGRIA!U19+YUMBO!U19+'ADULTO MAYOR'!U19+'COMEDORES VALLE'!U19+BUGA!U19+'COMEDORES CALI'!U19+'CTAS EN PPACION'!U19+'COMEDORES PALMIRA'!U19+IMDERTY!U19</f>
        <v/>
      </c>
      <c r="V19" s="43" t="n"/>
      <c r="W19" s="57" t="n"/>
      <c r="X19" s="25">
        <f>CALI!X19+HUNGRIA!X19+YUMBO!X19+'ADULTO MAYOR'!X19+'COMEDORES VALLE'!X19+BUGA!X19+'COMEDORES CALI'!X19+'CTAS EN PPACION'!X19+'COMEDORES PALMIRA'!X19+IMDERTY!X19</f>
        <v/>
      </c>
      <c r="Y19" s="43" t="n"/>
      <c r="Z19" s="57" t="n"/>
      <c r="AA19" s="25">
        <f>CALI!AA19+HUNGRIA!AA19+YUMBO!AA19+'ADULTO MAYOR'!AA19+'COMEDORES VALLE'!AA19+BUGA!AA19+'COMEDORES CALI'!AA19+'CTAS EN PPACION'!AA19+'COMEDORES PALMIRA'!AA19+IMDERTY!AA19</f>
        <v/>
      </c>
      <c r="AB19" s="43" t="n"/>
      <c r="AC19" s="57" t="n"/>
      <c r="AD19" s="25">
        <f>CALI!AD19+HUNGRIA!AD19+YUMBO!AD19+'ADULTO MAYOR'!AD19+'COMEDORES VALLE'!AD19+BUGA!AD19+'COMEDORES CALI'!AD19+'CTAS EN PPACION'!AD19+'COMEDORES PALMIRA'!AD19+IMDERTY!AD19</f>
        <v/>
      </c>
      <c r="AE19" s="43" t="n"/>
      <c r="AF19" s="57" t="n"/>
      <c r="AG19" s="25">
        <f>CALI!AG19+HUNGRIA!AG19+YUMBO!AG19+'ADULTO MAYOR'!AG19+'COMEDORES VALLE'!AG19+BUGA!AG19+'COMEDORES CALI'!AG19+'CTAS EN PPACION'!AG19+'COMEDORES PALMIRA'!AG19+IMDERTY!AG19</f>
        <v/>
      </c>
      <c r="AH19" s="43" t="n"/>
      <c r="AI19" s="57" t="n"/>
      <c r="AJ19" s="25">
        <f>CALI!AJ19+HUNGRIA!AJ19+YUMBO!AJ19+'ADULTO MAYOR'!AJ19+'COMEDORES VALLE'!AJ19+BUGA!AJ19+'COMEDORES CALI'!AJ19+'CTAS EN PPACION'!AJ19+'COMEDORES PALMIRA'!AJ19+IMDERTY!AJ19</f>
        <v/>
      </c>
      <c r="AK19" s="43" t="n"/>
      <c r="AL19" s="57" t="n"/>
      <c r="AM19" s="24">
        <f>C19+F19+I19+L19+O19+R19+U19+X19+AA19+AD19+AG19+AJ19</f>
        <v/>
      </c>
      <c r="AN19" s="195" t="n"/>
      <c r="AO19" s="57" t="n"/>
    </row>
    <row r="20" ht="15" customHeight="1" s="985">
      <c r="B20" s="104" t="inlineStr">
        <is>
          <t>NOVEDADES (Fac)</t>
        </is>
      </c>
      <c r="C20" s="76">
        <f>CALI!C20+HUNGRIA!C20+YUMBO!C20+'ADULTO MAYOR'!C20+'COMEDORES VALLE'!C20+BUGA!C20+'COMEDORES CALI'!C20+'CTAS EN PPACION'!C20+'COMEDORES PALMIRA'!C20+IMDERTY!C20</f>
        <v/>
      </c>
      <c r="D20" s="42" t="n"/>
      <c r="E20" s="56" t="n"/>
      <c r="F20" s="76">
        <f>CALI!F20+HUNGRIA!F20+YUMBO!F20+'ADULTO MAYOR'!F20+'COMEDORES VALLE'!F20+BUGA!F20+'COMEDORES CALI'!F20+'CTAS EN PPACION'!F20+'COMEDORES PALMIRA'!F20+IMDERTY!F20</f>
        <v/>
      </c>
      <c r="G20" s="42" t="n"/>
      <c r="H20" s="56" t="n"/>
      <c r="I20" s="76">
        <f>CALI!I20+HUNGRIA!I20+YUMBO!I20+'ADULTO MAYOR'!I20+'COMEDORES VALLE'!I20+BUGA!I20+'COMEDORES CALI'!I20+'CTAS EN PPACION'!I20+'COMEDORES PALMIRA'!I20+IMDERTY!I20</f>
        <v/>
      </c>
      <c r="J20" s="42" t="n"/>
      <c r="K20" s="56" t="n"/>
      <c r="L20" s="76">
        <f>CALI!L20+HUNGRIA!L20+YUMBO!L20+'ADULTO MAYOR'!L20+'COMEDORES VALLE'!L20+BUGA!L20+'COMEDORES CALI'!L20+'CTAS EN PPACION'!L20+'COMEDORES PALMIRA'!L20+IMDERTY!L20</f>
        <v/>
      </c>
      <c r="M20" s="42" t="n"/>
      <c r="N20" s="56" t="n"/>
      <c r="O20" s="76">
        <f>CALI!O20+HUNGRIA!O20+YUMBO!O20+'ADULTO MAYOR'!O20+'COMEDORES VALLE'!O20+BUGA!O20+'COMEDORES CALI'!O20+'CTAS EN PPACION'!O20+'COMEDORES PALMIRA'!O20+IMDERTY!O20</f>
        <v/>
      </c>
      <c r="P20" s="42" t="n"/>
      <c r="Q20" s="56" t="n"/>
      <c r="R20" s="76">
        <f>CALI!R20+HUNGRIA!R20+YUMBO!R20+'ADULTO MAYOR'!R20+'COMEDORES VALLE'!R20+BUGA!R20+'COMEDORES CALI'!R20+'CTAS EN PPACION'!R20+'COMEDORES PALMIRA'!R20+IMDERTY!R20</f>
        <v/>
      </c>
      <c r="S20" s="42" t="n"/>
      <c r="T20" s="56" t="n"/>
      <c r="U20" s="76">
        <f>CALI!U20+HUNGRIA!U20+YUMBO!U20+'ADULTO MAYOR'!U20+'COMEDORES VALLE'!U20+BUGA!U20+'COMEDORES CALI'!U20+'CTAS EN PPACION'!U20+'COMEDORES PALMIRA'!U20+IMDERTY!U20</f>
        <v/>
      </c>
      <c r="V20" s="42" t="n"/>
      <c r="W20" s="56" t="n"/>
      <c r="X20" s="76">
        <f>CALI!X20+HUNGRIA!X20+YUMBO!X20+'ADULTO MAYOR'!X20+'COMEDORES VALLE'!X20+BUGA!X20+'COMEDORES CALI'!X20+'CTAS EN PPACION'!X20+'COMEDORES PALMIRA'!X20+IMDERTY!X20</f>
        <v/>
      </c>
      <c r="Y20" s="42" t="n"/>
      <c r="Z20" s="56" t="n"/>
      <c r="AA20" s="76">
        <f>CALI!AA20+HUNGRIA!AA20+YUMBO!AA20+'ADULTO MAYOR'!AA20+'COMEDORES VALLE'!AA20+BUGA!AA20+'COMEDORES CALI'!AA20+'CTAS EN PPACION'!AA20+'COMEDORES PALMIRA'!AA20+IMDERTY!AA20</f>
        <v/>
      </c>
      <c r="AB20" s="42" t="n"/>
      <c r="AC20" s="56" t="n"/>
      <c r="AD20" s="76">
        <f>CALI!AD20+HUNGRIA!AD20+YUMBO!AD20+'ADULTO MAYOR'!AD20+'COMEDORES VALLE'!AD20+BUGA!AD20+'COMEDORES CALI'!AD20+'CTAS EN PPACION'!AD20+'COMEDORES PALMIRA'!AD20+IMDERTY!AD20</f>
        <v/>
      </c>
      <c r="AE20" s="42" t="n"/>
      <c r="AF20" s="56" t="n"/>
      <c r="AG20" s="76">
        <f>CALI!AG20+HUNGRIA!AG20+YUMBO!AG20+'ADULTO MAYOR'!AG20+'COMEDORES VALLE'!AG20+BUGA!AG20+'COMEDORES CALI'!AG20+'CTAS EN PPACION'!AG20+'COMEDORES PALMIRA'!AG20+IMDERTY!AG20</f>
        <v/>
      </c>
      <c r="AH20" s="42" t="n"/>
      <c r="AI20" s="56" t="n"/>
      <c r="AJ20" s="76">
        <f>CALI!AJ20+HUNGRIA!AJ20+YUMBO!AJ20+'ADULTO MAYOR'!AJ20+'COMEDORES VALLE'!AJ20+BUGA!AJ20+'COMEDORES CALI'!AJ20+'CTAS EN PPACION'!AJ20+'COMEDORES PALMIRA'!AJ20+IMDERTY!AJ20</f>
        <v/>
      </c>
      <c r="AK20" s="45" t="n"/>
      <c r="AL20" s="56" t="n"/>
      <c r="AM20" s="133">
        <f>C20+F20+I20+L20+O20+R20+U20+X20+AA20+AD20+AG20+AJ20</f>
        <v/>
      </c>
      <c r="AN20" s="194" t="n"/>
      <c r="AO20" s="57" t="n"/>
    </row>
    <row r="21" ht="15" customHeight="1" s="985">
      <c r="B21" s="104" t="inlineStr">
        <is>
          <t>TRANSPORTE</t>
        </is>
      </c>
      <c r="C21" s="75">
        <f>CALI!C21+HUNGRIA!C21+YUMBO!C21+'ADULTO MAYOR'!C21+'COMEDORES VALLE'!C21+BUGA!C21+'COMEDORES CALI'!C21+'CTAS EN PPACION'!C21+'COMEDORES PALMIRA'!C21+IMDERTY!C21</f>
        <v/>
      </c>
      <c r="D21" s="43" t="n"/>
      <c r="E21" s="57" t="n"/>
      <c r="F21" s="75">
        <f>CALI!F21+HUNGRIA!F21+YUMBO!F21+'ADULTO MAYOR'!F21+'COMEDORES VALLE'!F21+BUGA!F21+'COMEDORES CALI'!F21+'CTAS EN PPACION'!F21+'COMEDORES PALMIRA'!F21+IMDERTY!F21</f>
        <v/>
      </c>
      <c r="G21" s="43" t="n"/>
      <c r="H21" s="57" t="n"/>
      <c r="I21" s="75">
        <f>CALI!I21+HUNGRIA!I21+YUMBO!I21+'ADULTO MAYOR'!I21+'COMEDORES VALLE'!I21+BUGA!I21+'COMEDORES CALI'!I21+'CTAS EN PPACION'!I21+'COMEDORES PALMIRA'!I21+IMDERTY!I21</f>
        <v/>
      </c>
      <c r="J21" s="43" t="n"/>
      <c r="K21" s="57" t="n"/>
      <c r="L21" s="75">
        <f>CALI!L21+HUNGRIA!L21+YUMBO!L21+'ADULTO MAYOR'!L21+'COMEDORES VALLE'!L21+BUGA!L21+'COMEDORES CALI'!L21+'CTAS EN PPACION'!L21+'COMEDORES PALMIRA'!L21+IMDERTY!L21</f>
        <v/>
      </c>
      <c r="M21" s="43" t="n"/>
      <c r="N21" s="57" t="n"/>
      <c r="O21" s="75">
        <f>CALI!O21+HUNGRIA!O21+YUMBO!O21+'ADULTO MAYOR'!O21+'COMEDORES VALLE'!O21+BUGA!O21+'COMEDORES CALI'!O21+'CTAS EN PPACION'!O21+'COMEDORES PALMIRA'!O21+IMDERTY!O21</f>
        <v/>
      </c>
      <c r="P21" s="43" t="n"/>
      <c r="Q21" s="57" t="n"/>
      <c r="R21" s="75">
        <f>CALI!R21+HUNGRIA!R21+YUMBO!R21+'ADULTO MAYOR'!R21+'COMEDORES VALLE'!R21+BUGA!R21+'COMEDORES CALI'!R21+'CTAS EN PPACION'!R21+'COMEDORES PALMIRA'!R21+IMDERTY!R21</f>
        <v/>
      </c>
      <c r="S21" s="43" t="n"/>
      <c r="T21" s="57" t="n"/>
      <c r="U21" s="75">
        <f>CALI!U21+HUNGRIA!U21+YUMBO!U21+'ADULTO MAYOR'!U21+'COMEDORES VALLE'!U21+BUGA!U21+'COMEDORES CALI'!U21+'CTAS EN PPACION'!U21+'COMEDORES PALMIRA'!U21+IMDERTY!U21</f>
        <v/>
      </c>
      <c r="V21" s="43" t="n"/>
      <c r="W21" s="57" t="n"/>
      <c r="X21" s="75">
        <f>CALI!X21+HUNGRIA!X21+YUMBO!X21+'ADULTO MAYOR'!X21+'COMEDORES VALLE'!X21+BUGA!X21+'COMEDORES CALI'!X21+'CTAS EN PPACION'!X21+'COMEDORES PALMIRA'!X21+IMDERTY!X21</f>
        <v/>
      </c>
      <c r="Y21" s="43" t="n"/>
      <c r="Z21" s="57" t="n"/>
      <c r="AA21" s="75">
        <f>CALI!AA21+HUNGRIA!AA21+YUMBO!AA21+'ADULTO MAYOR'!AA21+'COMEDORES VALLE'!AA21+BUGA!AA21+'COMEDORES CALI'!AA21+'CTAS EN PPACION'!AA21+'COMEDORES PALMIRA'!AA21+IMDERTY!AA21</f>
        <v/>
      </c>
      <c r="AB21" s="43" t="n"/>
      <c r="AC21" s="57" t="n"/>
      <c r="AD21" s="75">
        <f>CALI!AD21+HUNGRIA!AD21+YUMBO!AD21+'ADULTO MAYOR'!AD21+'COMEDORES VALLE'!AD21+BUGA!AD21+'COMEDORES CALI'!AD21+'CTAS EN PPACION'!AD21+'COMEDORES PALMIRA'!AD21+IMDERTY!AD21</f>
        <v/>
      </c>
      <c r="AE21" s="43" t="n"/>
      <c r="AF21" s="57" t="n"/>
      <c r="AG21" s="75">
        <f>CALI!AG21+HUNGRIA!AG21+YUMBO!AG21+'ADULTO MAYOR'!AG21+'COMEDORES VALLE'!AG21+BUGA!AG21+'COMEDORES CALI'!AG21+'CTAS EN PPACION'!AG21+'COMEDORES PALMIRA'!AG21+IMDERTY!AG21</f>
        <v/>
      </c>
      <c r="AH21" s="43" t="n"/>
      <c r="AI21" s="57" t="n"/>
      <c r="AJ21" s="75">
        <f>CALI!AJ21+HUNGRIA!AJ21+YUMBO!AJ21+'ADULTO MAYOR'!AJ21+'COMEDORES VALLE'!AJ21+BUGA!AJ21+'COMEDORES CALI'!AJ21+'CTAS EN PPACION'!AJ21+'COMEDORES PALMIRA'!AJ21+IMDERTY!AJ21</f>
        <v/>
      </c>
      <c r="AK21" s="42" t="n"/>
      <c r="AL21" s="56" t="n"/>
      <c r="AM21" s="24">
        <f>C21+F21+I21+L21+O21+R21+U21+X21+AA21+AD21+AG21+AJ21</f>
        <v/>
      </c>
      <c r="AN21" s="195" t="n"/>
      <c r="AO21" s="57" t="n"/>
    </row>
    <row r="22" ht="15" customHeight="1" s="985">
      <c r="B22" s="30" t="n"/>
      <c r="C22" s="51">
        <f>CALI!C22+HUNGRIA!C22+YUMBO!C22+'ADULTO MAYOR'!C22+'COMEDORES VALLE'!C22+BUGA!C22+'COMEDORES CALI'!C22+'CTAS EN PPACION'!C22+'COMEDORES PALMIRA'!C22+IMDERTY!C22</f>
        <v/>
      </c>
      <c r="D22" s="42" t="n"/>
      <c r="E22" s="56" t="n"/>
      <c r="F22" s="51">
        <f>CALI!F22+HUNGRIA!F22+YUMBO!F22+'ADULTO MAYOR'!F22+'COMEDORES VALLE'!F22+BUGA!F22+'COMEDORES CALI'!F22+'CTAS EN PPACION'!F22+'COMEDORES PALMIRA'!F22+IMDERTY!F22</f>
        <v/>
      </c>
      <c r="G22" s="42" t="n"/>
      <c r="H22" s="56" t="n"/>
      <c r="I22" s="51">
        <f>CALI!I22+HUNGRIA!I22+YUMBO!I22+'ADULTO MAYOR'!I22+'COMEDORES VALLE'!I22+BUGA!I22+'COMEDORES CALI'!I22+'CTAS EN PPACION'!I22+'COMEDORES PALMIRA'!I22+IMDERTY!I22</f>
        <v/>
      </c>
      <c r="J22" s="42" t="n"/>
      <c r="K22" s="56" t="n"/>
      <c r="L22" s="51">
        <f>CALI!L22+HUNGRIA!L22+YUMBO!L22+'ADULTO MAYOR'!L22+'COMEDORES VALLE'!L22+BUGA!L22+'COMEDORES CALI'!L22+'CTAS EN PPACION'!L22+'COMEDORES PALMIRA'!L22+IMDERTY!L22</f>
        <v/>
      </c>
      <c r="M22" s="42" t="n"/>
      <c r="N22" s="56" t="n"/>
      <c r="O22" s="51">
        <f>CALI!O22+HUNGRIA!O22+YUMBO!O22+'ADULTO MAYOR'!O22+'COMEDORES VALLE'!O22+BUGA!O22+'COMEDORES CALI'!O22+'CTAS EN PPACION'!O22+'COMEDORES PALMIRA'!O22+IMDERTY!O22</f>
        <v/>
      </c>
      <c r="P22" s="42" t="n"/>
      <c r="Q22" s="56" t="n"/>
      <c r="R22" s="51">
        <f>CALI!R22+HUNGRIA!R22+YUMBO!R22+'ADULTO MAYOR'!R22+'COMEDORES VALLE'!R22+BUGA!R22+'COMEDORES CALI'!R22+'CTAS EN PPACION'!R22+'COMEDORES PALMIRA'!R22+IMDERTY!R22</f>
        <v/>
      </c>
      <c r="S22" s="42" t="n"/>
      <c r="T22" s="56" t="n"/>
      <c r="U22" s="51">
        <f>CALI!U22+HUNGRIA!U22+YUMBO!U22+'ADULTO MAYOR'!U22+'COMEDORES VALLE'!U22+BUGA!U22+'COMEDORES CALI'!U22+'CTAS EN PPACION'!U22+'COMEDORES PALMIRA'!U22+IMDERTY!U22</f>
        <v/>
      </c>
      <c r="V22" s="42" t="n"/>
      <c r="W22" s="56" t="n"/>
      <c r="X22" s="51">
        <f>CALI!X22+HUNGRIA!X22+YUMBO!X22+'ADULTO MAYOR'!X22+'COMEDORES VALLE'!X22+BUGA!X22+'COMEDORES CALI'!X22+'CTAS EN PPACION'!X22+'COMEDORES PALMIRA'!X22+IMDERTY!X22</f>
        <v/>
      </c>
      <c r="Y22" s="42" t="n"/>
      <c r="Z22" s="56" t="n"/>
      <c r="AA22" s="51">
        <f>CALI!AA22+HUNGRIA!AA22+YUMBO!AA22+'ADULTO MAYOR'!AA22+'COMEDORES VALLE'!AA22+BUGA!AA22+'COMEDORES CALI'!AA22+'CTAS EN PPACION'!AA22+'COMEDORES PALMIRA'!AA22+IMDERTY!AA22</f>
        <v/>
      </c>
      <c r="AB22" s="42" t="n"/>
      <c r="AC22" s="56" t="n"/>
      <c r="AD22" s="51">
        <f>CALI!AD22+HUNGRIA!AD22+YUMBO!AD22+'ADULTO MAYOR'!AD22+'COMEDORES VALLE'!AD22+BUGA!AD22+'COMEDORES CALI'!AD22+'CTAS EN PPACION'!AD22+'COMEDORES PALMIRA'!AD22+IMDERTY!AD22</f>
        <v/>
      </c>
      <c r="AE22" s="42" t="n"/>
      <c r="AF22" s="56" t="n"/>
      <c r="AG22" s="51">
        <f>CALI!AG22+HUNGRIA!AG22+YUMBO!AG22+'ADULTO MAYOR'!AG22+'COMEDORES VALLE'!AG22+BUGA!AG22+'COMEDORES CALI'!AG22+'CTAS EN PPACION'!AG22+'COMEDORES PALMIRA'!AG22+IMDERTY!AG22</f>
        <v/>
      </c>
      <c r="AH22" s="42" t="n"/>
      <c r="AI22" s="56" t="n"/>
      <c r="AJ22" s="51">
        <f>CALI!AJ22+HUNGRIA!AJ22+YUMBO!AJ22+'ADULTO MAYOR'!AJ22+'COMEDORES VALLE'!AJ22+BUGA!AJ22+'COMEDORES CALI'!AJ22+'CTAS EN PPACION'!AJ22+'COMEDORES PALMIRA'!AJ22+IMDERTY!AJ22</f>
        <v/>
      </c>
      <c r="AK22" s="42" t="n"/>
      <c r="AL22" s="56" t="n"/>
      <c r="AM22" s="23">
        <f>C22+F22+I22+L22+O22+R22+U22+X22+AA22+AD22+AG22+AJ22</f>
        <v/>
      </c>
      <c r="AN22" s="194" t="n"/>
      <c r="AO22" s="56" t="n"/>
    </row>
    <row r="23" ht="15" customHeight="1" s="985">
      <c r="B23" s="16" t="inlineStr">
        <is>
          <t>NO OPERACIONALES</t>
        </is>
      </c>
      <c r="C23" s="49">
        <f>C24</f>
        <v/>
      </c>
      <c r="D23" s="3" t="n"/>
      <c r="E23" s="61" t="n"/>
      <c r="F23" s="49">
        <f>F24</f>
        <v/>
      </c>
      <c r="G23" s="3" t="n"/>
      <c r="H23" s="61" t="n"/>
      <c r="I23" s="49">
        <f>I24</f>
        <v/>
      </c>
      <c r="J23" s="3" t="n"/>
      <c r="K23" s="61" t="n"/>
      <c r="L23" s="49">
        <f>L24</f>
        <v/>
      </c>
      <c r="M23" s="3" t="n"/>
      <c r="N23" s="61" t="n"/>
      <c r="O23" s="49">
        <f>O24</f>
        <v/>
      </c>
      <c r="P23" s="3" t="n"/>
      <c r="Q23" s="61" t="n"/>
      <c r="R23" s="90">
        <f>R24</f>
        <v/>
      </c>
      <c r="S23" s="3" t="n"/>
      <c r="T23" s="61" t="n"/>
      <c r="U23" s="49">
        <f>U24</f>
        <v/>
      </c>
      <c r="V23" s="3" t="n"/>
      <c r="W23" s="61" t="n"/>
      <c r="X23" s="90">
        <f>X24</f>
        <v/>
      </c>
      <c r="Y23" s="763" t="n"/>
      <c r="Z23" s="869" t="n"/>
      <c r="AA23" s="90">
        <f>AA24</f>
        <v/>
      </c>
      <c r="AB23" s="3" t="n"/>
      <c r="AC23" s="61" t="n"/>
      <c r="AD23" s="49">
        <f>AD24</f>
        <v/>
      </c>
      <c r="AE23" s="3" t="n"/>
      <c r="AF23" s="61" t="n"/>
      <c r="AG23" s="49">
        <f>AG24</f>
        <v/>
      </c>
      <c r="AH23" s="3" t="n"/>
      <c r="AI23" s="61" t="n"/>
      <c r="AJ23" s="49">
        <f>AJ24</f>
        <v/>
      </c>
      <c r="AK23" s="3" t="n"/>
      <c r="AL23" s="61" t="n"/>
      <c r="AM23" s="17">
        <f>C23+F23+I23+L23+O23+R23+U23+X23+AA23+AD23+AG23+AJ23</f>
        <v/>
      </c>
      <c r="AN23" s="197" t="n"/>
      <c r="AO23" s="61" t="n"/>
    </row>
    <row r="24" ht="15" customHeight="1" s="985">
      <c r="B24" s="16" t="inlineStr">
        <is>
          <t>FINANCIEROS</t>
        </is>
      </c>
      <c r="C24" s="49">
        <f>SUM(C25:C27)</f>
        <v/>
      </c>
      <c r="D24" s="3" t="n"/>
      <c r="E24" s="61" t="n"/>
      <c r="F24" s="49">
        <f>SUM(F25:F27)</f>
        <v/>
      </c>
      <c r="G24" s="3" t="n"/>
      <c r="H24" s="61" t="n"/>
      <c r="I24" s="49">
        <f>SUM(I25:I27)</f>
        <v/>
      </c>
      <c r="J24" s="3" t="n"/>
      <c r="K24" s="61" t="n"/>
      <c r="L24" s="49">
        <f>SUM(L25:L27)</f>
        <v/>
      </c>
      <c r="M24" s="3" t="n"/>
      <c r="N24" s="61" t="n"/>
      <c r="O24" s="49">
        <f>SUM(O25:O27)</f>
        <v/>
      </c>
      <c r="P24" s="3" t="n"/>
      <c r="Q24" s="61" t="n"/>
      <c r="R24" s="90">
        <f>SUM(R25:R27)</f>
        <v/>
      </c>
      <c r="S24" s="3" t="n"/>
      <c r="T24" s="61" t="n"/>
      <c r="U24" s="49">
        <f>SUM(U25:U27)</f>
        <v/>
      </c>
      <c r="V24" s="3" t="n"/>
      <c r="W24" s="61" t="n"/>
      <c r="X24" s="90">
        <f>SUM(X25:X27)</f>
        <v/>
      </c>
      <c r="Y24" s="763" t="n"/>
      <c r="Z24" s="869" t="n"/>
      <c r="AA24" s="90">
        <f>SUM(AA25:AA27)</f>
        <v/>
      </c>
      <c r="AB24" s="3" t="n"/>
      <c r="AC24" s="61" t="n"/>
      <c r="AD24" s="49">
        <f>SUM(AD25:AD27)</f>
        <v/>
      </c>
      <c r="AE24" s="3" t="n"/>
      <c r="AF24" s="61" t="n"/>
      <c r="AG24" s="49">
        <f>SUM(AG25:AG27)</f>
        <v/>
      </c>
      <c r="AH24" s="3" t="n"/>
      <c r="AI24" s="61" t="n"/>
      <c r="AJ24" s="49">
        <f>SUM(AJ25:AJ27)</f>
        <v/>
      </c>
      <c r="AK24" s="3" t="n"/>
      <c r="AL24" s="61" t="n"/>
      <c r="AM24" s="17">
        <f>C24+F24+I24+L24+O24+R24+U24+X24+AA24+AD24+AG24+AJ24</f>
        <v/>
      </c>
      <c r="AN24" s="197" t="n"/>
      <c r="AO24" s="61" t="n"/>
    </row>
    <row r="25" hidden="1" outlineLevel="1" ht="15" customHeight="1" s="985">
      <c r="B25" s="32" t="inlineStr">
        <is>
          <t>Intereses</t>
        </is>
      </c>
      <c r="C25" s="35">
        <f>CALI!C25+HUNGRIA!C25+YUMBO!C25+'ADULTO MAYOR'!C25+'COMEDORES VALLE'!C25+BUGA!C25+'COMEDORES CALI'!C25+'CTAS EN PPACION'!C25</f>
        <v/>
      </c>
      <c r="D25" s="52" t="n"/>
      <c r="E25" s="62" t="n"/>
      <c r="F25" s="35">
        <f>CALI!F25+HUNGRIA!F25+YUMBO!F25+'ADULTO MAYOR'!F25+'COMEDORES VALLE'!F25+BUGA!F25+'COMEDORES CALI'!F25+'CTAS EN PPACION'!F25</f>
        <v/>
      </c>
      <c r="G25" s="52" t="n"/>
      <c r="H25" s="62" t="n"/>
      <c r="I25" s="35">
        <f>CALI!I25+HUNGRIA!I25+YUMBO!I25+'ADULTO MAYOR'!I25+'COMEDORES VALLE'!I25+BUGA!I25+'COMEDORES CALI'!I25+'CTAS EN PPACION'!I25</f>
        <v/>
      </c>
      <c r="J25" s="52" t="n"/>
      <c r="K25" s="62" t="n"/>
      <c r="L25" s="35">
        <f>CALI!L25+HUNGRIA!L25+YUMBO!L25+'ADULTO MAYOR'!L25+'COMEDORES VALLE'!L25+BUGA!L25+'COMEDORES CALI'!L25+'CTAS EN PPACION'!L25</f>
        <v/>
      </c>
      <c r="M25" s="52" t="n"/>
      <c r="N25" s="62" t="n"/>
      <c r="O25" s="35">
        <f>CALI!O25+HUNGRIA!O25+YUMBO!O25+'ADULTO MAYOR'!O25+'COMEDORES VALLE'!O25+BUGA!O25+'COMEDORES CALI'!O25+'CTAS EN PPACION'!O25</f>
        <v/>
      </c>
      <c r="P25" s="52" t="n"/>
      <c r="Q25" s="62" t="n"/>
      <c r="R25" s="35">
        <f>CALI!R25+HUNGRIA!R25+YUMBO!R25+'ADULTO MAYOR'!R25+'COMEDORES VALLE'!R25+BUGA!R25+'COMEDORES CALI'!R25+'CTAS EN PPACION'!R25</f>
        <v/>
      </c>
      <c r="S25" s="52" t="n"/>
      <c r="T25" s="62" t="n"/>
      <c r="U25" s="35">
        <f>CALI!U25+HUNGRIA!U25+YUMBO!U25+'ADULTO MAYOR'!U25+'COMEDORES VALLE'!U25+BUGA!U25+'COMEDORES CALI'!U25+'CTAS EN PPACION'!U25</f>
        <v/>
      </c>
      <c r="V25" s="52" t="n"/>
      <c r="W25" s="62" t="n"/>
      <c r="X25" s="35">
        <f>CALI!X25+HUNGRIA!X25+YUMBO!X25+'ADULTO MAYOR'!X25+'COMEDORES VALLE'!X25+BUGA!X25+'COMEDORES CALI'!X25+'CTAS EN PPACION'!X25</f>
        <v/>
      </c>
      <c r="Y25" s="52" t="n"/>
      <c r="Z25" s="62" t="n"/>
      <c r="AA25" s="35">
        <f>CALI!AA25+HUNGRIA!AA25+YUMBO!AA25+'ADULTO MAYOR'!AA25+'COMEDORES VALLE'!AA25+BUGA!AA25+'COMEDORES CALI'!AA25+'CTAS EN PPACION'!AA25</f>
        <v/>
      </c>
      <c r="AB25" s="52" t="n"/>
      <c r="AC25" s="62" t="n"/>
      <c r="AD25" s="35">
        <f>CALI!AD25+HUNGRIA!AD25+YUMBO!AD25+'ADULTO MAYOR'!AD25+'COMEDORES VALLE'!AD25+BUGA!AD25+'COMEDORES CALI'!AD25+'CTAS EN PPACION'!AD25</f>
        <v/>
      </c>
      <c r="AE25" s="52" t="n"/>
      <c r="AF25" s="62" t="n"/>
      <c r="AG25" s="35">
        <f>CALI!AG25+HUNGRIA!AG25+YUMBO!AG25+'ADULTO MAYOR'!AG25+'COMEDORES VALLE'!AG25+BUGA!AG25+'COMEDORES CALI'!AG25+'CTAS EN PPACION'!AG25</f>
        <v/>
      </c>
      <c r="AH25" s="52" t="n"/>
      <c r="AI25" s="62" t="n"/>
      <c r="AJ25" s="35">
        <f>CALI!AJ25+HUNGRIA!AJ25+YUMBO!AJ25+'ADULTO MAYOR'!AJ25+'COMEDORES VALLE'!AJ25+BUGA!AJ25+'COMEDORES CALI'!AJ25+'CTAS EN PPACION'!AJ25</f>
        <v/>
      </c>
      <c r="AK25" s="52" t="n"/>
      <c r="AL25" s="62" t="n"/>
      <c r="AM25" s="33">
        <f>C25+F25+I25+L25+O25+R25+U25+X25+AA25+AD25+AG25+AJ25</f>
        <v/>
      </c>
      <c r="AN25" s="198" t="n"/>
      <c r="AO25" s="62" t="n"/>
    </row>
    <row r="26" hidden="1" outlineLevel="1" ht="15" customHeight="1" s="985">
      <c r="B26" s="32" t="inlineStr">
        <is>
          <t>Descuentos Comerciales</t>
        </is>
      </c>
      <c r="C26" s="35">
        <f>CALI!C26+HUNGRIA!C26+YUMBO!C26+'ADULTO MAYOR'!C26+'COMEDORES VALLE'!C26+BUGA!C26+'COMEDORES CALI'!C26+'CTAS EN PPACION'!C26</f>
        <v/>
      </c>
      <c r="D26" s="52" t="n"/>
      <c r="E26" s="62" t="n"/>
      <c r="F26" s="35">
        <f>CALI!F26+HUNGRIA!F26+YUMBO!F26+'ADULTO MAYOR'!F26+'COMEDORES VALLE'!F26+BUGA!F26+'COMEDORES CALI'!F26+'CTAS EN PPACION'!F26</f>
        <v/>
      </c>
      <c r="G26" s="52" t="n"/>
      <c r="H26" s="62" t="n"/>
      <c r="I26" s="35">
        <f>CALI!I26+HUNGRIA!I26+YUMBO!I26+'ADULTO MAYOR'!I26+'COMEDORES VALLE'!I26+BUGA!I26+'COMEDORES CALI'!I26+'CTAS EN PPACION'!I26</f>
        <v/>
      </c>
      <c r="J26" s="52" t="n"/>
      <c r="K26" s="62" t="n"/>
      <c r="L26" s="35">
        <f>CALI!L26+HUNGRIA!L26+YUMBO!L26+'ADULTO MAYOR'!L26+'COMEDORES VALLE'!L26+BUGA!L26+'COMEDORES CALI'!L26+'CTAS EN PPACION'!L26</f>
        <v/>
      </c>
      <c r="M26" s="52" t="n"/>
      <c r="N26" s="62" t="n"/>
      <c r="O26" s="35">
        <f>CALI!O26+HUNGRIA!O26+YUMBO!O26+'ADULTO MAYOR'!O26+'COMEDORES VALLE'!O26+BUGA!O26+'COMEDORES CALI'!O26+'CTAS EN PPACION'!O26</f>
        <v/>
      </c>
      <c r="P26" s="52" t="n"/>
      <c r="Q26" s="62" t="n"/>
      <c r="R26" s="35">
        <f>CALI!R26+HUNGRIA!R26+YUMBO!R26+'ADULTO MAYOR'!R26+'COMEDORES VALLE'!R26+BUGA!R26+'COMEDORES CALI'!R26+'CTAS EN PPACION'!R26</f>
        <v/>
      </c>
      <c r="S26" s="52" t="n"/>
      <c r="T26" s="62" t="n"/>
      <c r="U26" s="35">
        <f>CALI!U26+HUNGRIA!U26+YUMBO!U26+'ADULTO MAYOR'!U26+'COMEDORES VALLE'!U26+BUGA!U26+'COMEDORES CALI'!U26+'CTAS EN PPACION'!U26</f>
        <v/>
      </c>
      <c r="V26" s="52" t="n"/>
      <c r="W26" s="62" t="n"/>
      <c r="X26" s="35">
        <f>CALI!X26+HUNGRIA!X26+YUMBO!X26+'ADULTO MAYOR'!X26+'COMEDORES VALLE'!X26+BUGA!X26+'COMEDORES CALI'!X26+'CTAS EN PPACION'!X26</f>
        <v/>
      </c>
      <c r="Y26" s="52" t="n"/>
      <c r="Z26" s="62" t="n"/>
      <c r="AA26" s="35">
        <f>CALI!AA26+HUNGRIA!AA26+YUMBO!AA26+'ADULTO MAYOR'!AA26+'COMEDORES VALLE'!AA26+BUGA!AA26+'COMEDORES CALI'!AA26+'CTAS EN PPACION'!AA26</f>
        <v/>
      </c>
      <c r="AB26" s="52" t="n"/>
      <c r="AC26" s="62" t="n"/>
      <c r="AD26" s="35">
        <f>CALI!AD26+HUNGRIA!AD26+YUMBO!AD26+'ADULTO MAYOR'!AD26+'COMEDORES VALLE'!AD26+BUGA!AD26+'COMEDORES CALI'!AD26+'CTAS EN PPACION'!AD26</f>
        <v/>
      </c>
      <c r="AE26" s="52" t="n"/>
      <c r="AF26" s="62" t="n"/>
      <c r="AG26" s="35">
        <f>CALI!AG26+HUNGRIA!AG26+YUMBO!AG26+'ADULTO MAYOR'!AG26+'COMEDORES VALLE'!AG26+BUGA!AG26+'COMEDORES CALI'!AG26+'CTAS EN PPACION'!AG26</f>
        <v/>
      </c>
      <c r="AH26" s="52" t="n"/>
      <c r="AI26" s="62" t="n"/>
      <c r="AJ26" s="35">
        <f>CALI!AJ26+HUNGRIA!AJ26+YUMBO!AJ26+'ADULTO MAYOR'!AJ26+'COMEDORES VALLE'!AJ26+BUGA!AJ26+'COMEDORES CALI'!AJ26+'CTAS EN PPACION'!AJ26</f>
        <v/>
      </c>
      <c r="AK26" s="52" t="n"/>
      <c r="AL26" s="62" t="n"/>
      <c r="AM26" s="33">
        <f>C26+F26+I26+L26+O26+R26+U26+X26+AA26+AD26+AG26+AJ26</f>
        <v/>
      </c>
      <c r="AN26" s="198" t="n"/>
      <c r="AO26" s="62" t="n"/>
    </row>
    <row r="27" hidden="1" outlineLevel="1" ht="15" customHeight="1" s="985">
      <c r="B27" s="32" t="inlineStr">
        <is>
          <t>otros</t>
        </is>
      </c>
      <c r="C27" s="35">
        <f>CALI!C27+HUNGRIA!C27+YUMBO!C27+'ADULTO MAYOR'!C27+'COMEDORES VALLE'!C27+BUGA!C27+'COMEDORES CALI'!C27+'CTAS EN PPACION'!C27</f>
        <v/>
      </c>
      <c r="D27" s="52" t="n"/>
      <c r="E27" s="62" t="n"/>
      <c r="F27" s="35">
        <f>CALI!F27+HUNGRIA!F27+YUMBO!F27+'ADULTO MAYOR'!F27+'COMEDORES VALLE'!F27+BUGA!F27+'COMEDORES CALI'!F27+'CTAS EN PPACION'!F27</f>
        <v/>
      </c>
      <c r="G27" s="52" t="n"/>
      <c r="H27" s="62" t="n"/>
      <c r="I27" s="35">
        <f>CALI!I27+HUNGRIA!I27+YUMBO!I27+'ADULTO MAYOR'!I27+'COMEDORES VALLE'!I27+BUGA!I27+'COMEDORES CALI'!I27+'CTAS EN PPACION'!I27</f>
        <v/>
      </c>
      <c r="J27" s="52" t="n"/>
      <c r="K27" s="62" t="n"/>
      <c r="L27" s="35">
        <f>CALI!L27+HUNGRIA!L27+YUMBO!L27+'ADULTO MAYOR'!L27+'COMEDORES VALLE'!L27+BUGA!L27+'COMEDORES CALI'!L27+'CTAS EN PPACION'!L27</f>
        <v/>
      </c>
      <c r="M27" s="52" t="n"/>
      <c r="N27" s="62" t="n"/>
      <c r="O27" s="35">
        <f>CALI!O27+HUNGRIA!O27+YUMBO!O27+'ADULTO MAYOR'!O27+'COMEDORES VALLE'!O27+BUGA!O27+'COMEDORES CALI'!O27+'CTAS EN PPACION'!O27</f>
        <v/>
      </c>
      <c r="P27" s="52" t="n"/>
      <c r="Q27" s="62" t="n"/>
      <c r="R27" s="35">
        <f>CALI!R27+HUNGRIA!R27+YUMBO!R27+'ADULTO MAYOR'!R27+'COMEDORES VALLE'!R27+BUGA!R27+'COMEDORES CALI'!R27+'CTAS EN PPACION'!R27</f>
        <v/>
      </c>
      <c r="S27" s="52" t="n"/>
      <c r="T27" s="62" t="n"/>
      <c r="U27" s="35">
        <f>CALI!U27+HUNGRIA!U27+YUMBO!U27+'ADULTO MAYOR'!U27+'COMEDORES VALLE'!U27+BUGA!U27+'COMEDORES CALI'!U27+'CTAS EN PPACION'!U27</f>
        <v/>
      </c>
      <c r="V27" s="52" t="n"/>
      <c r="W27" s="62" t="n"/>
      <c r="X27" s="35">
        <f>CALI!X27+HUNGRIA!X27+YUMBO!X27+'ADULTO MAYOR'!X27+'COMEDORES VALLE'!X27+BUGA!X27+'COMEDORES CALI'!X27+'CTAS EN PPACION'!X27</f>
        <v/>
      </c>
      <c r="Y27" s="52" t="n"/>
      <c r="Z27" s="62" t="n"/>
      <c r="AA27" s="35">
        <f>CALI!AA27+HUNGRIA!AA27+YUMBO!AA27+'ADULTO MAYOR'!AA27+'COMEDORES VALLE'!AA27+BUGA!AA27+'COMEDORES CALI'!AA27+'CTAS EN PPACION'!AA27</f>
        <v/>
      </c>
      <c r="AB27" s="52" t="n"/>
      <c r="AC27" s="62" t="n"/>
      <c r="AD27" s="35">
        <f>CALI!AD27+HUNGRIA!AD27+YUMBO!AD27+'ADULTO MAYOR'!AD27+'COMEDORES VALLE'!AD27+BUGA!AD27+'COMEDORES CALI'!AD27+'CTAS EN PPACION'!AD27</f>
        <v/>
      </c>
      <c r="AE27" s="52" t="n"/>
      <c r="AF27" s="62" t="n"/>
      <c r="AG27" s="35">
        <f>CALI!AG27+HUNGRIA!AG27+YUMBO!AG27+'ADULTO MAYOR'!AG27+'COMEDORES VALLE'!AG27+BUGA!AG27+'COMEDORES CALI'!AG27+'CTAS EN PPACION'!AG27</f>
        <v/>
      </c>
      <c r="AH27" s="52" t="n"/>
      <c r="AI27" s="62" t="n"/>
      <c r="AJ27" s="35">
        <f>CALI!AJ27+HUNGRIA!AJ27+YUMBO!AJ27+'ADULTO MAYOR'!AJ27+'COMEDORES VALLE'!AJ27+BUGA!AJ27+'COMEDORES CALI'!AJ27+'CTAS EN PPACION'!AJ27</f>
        <v/>
      </c>
      <c r="AK27" s="52" t="n"/>
      <c r="AL27" s="62" t="n"/>
      <c r="AM27" s="33">
        <f>C27+F27+I27+L27+O27+R27+U27+X27+AA27+AD27+AG27+AJ27</f>
        <v/>
      </c>
      <c r="AN27" s="198" t="n"/>
      <c r="AO27" s="62" t="n"/>
    </row>
    <row r="28" collapsed="1" ht="15" customHeight="1" s="985">
      <c r="B28" s="16" t="inlineStr">
        <is>
          <t>DESCUENTOS - GASTO OPERACIONAL ADMON</t>
        </is>
      </c>
      <c r="C28" s="49">
        <f>+C29</f>
        <v/>
      </c>
      <c r="D28" s="3" t="n"/>
      <c r="E28" s="61" t="n"/>
      <c r="F28" s="49">
        <f>+F29</f>
        <v/>
      </c>
      <c r="G28" s="3" t="n"/>
      <c r="H28" s="61" t="n"/>
      <c r="I28" s="49">
        <f>+I29</f>
        <v/>
      </c>
      <c r="J28" s="3" t="n"/>
      <c r="K28" s="61" t="n"/>
      <c r="L28" s="49">
        <f>+L29</f>
        <v/>
      </c>
      <c r="M28" s="3" t="n"/>
      <c r="N28" s="61" t="n"/>
      <c r="O28" s="49">
        <f>+O29</f>
        <v/>
      </c>
      <c r="P28" s="3" t="n"/>
      <c r="Q28" s="61" t="n"/>
      <c r="R28" s="90">
        <f>+R29</f>
        <v/>
      </c>
      <c r="S28" s="3" t="n"/>
      <c r="T28" s="61" t="n"/>
      <c r="U28" s="49">
        <f>+U29</f>
        <v/>
      </c>
      <c r="V28" s="3" t="n"/>
      <c r="W28" s="61" t="n"/>
      <c r="X28" s="90">
        <f>+X29</f>
        <v/>
      </c>
      <c r="Y28" s="763" t="n"/>
      <c r="Z28" s="869" t="n"/>
      <c r="AA28" s="90">
        <f>+AA29</f>
        <v/>
      </c>
      <c r="AB28" s="3" t="n"/>
      <c r="AC28" s="61" t="n"/>
      <c r="AD28" s="49">
        <f>+AD29</f>
        <v/>
      </c>
      <c r="AE28" s="3" t="n"/>
      <c r="AF28" s="61" t="n"/>
      <c r="AG28" s="49">
        <f>+AG29</f>
        <v/>
      </c>
      <c r="AH28" s="3" t="n"/>
      <c r="AI28" s="61" t="n"/>
      <c r="AJ28" s="49">
        <f>+AJ29</f>
        <v/>
      </c>
      <c r="AK28" s="3" t="n"/>
      <c r="AL28" s="61" t="n"/>
      <c r="AM28" s="17">
        <f>C28+F28+I28+L28+O28+R28+U28+X28+AA28+AD28+AG28+AJ28</f>
        <v/>
      </c>
      <c r="AN28" s="197" t="n"/>
      <c r="AO28" s="61" t="n"/>
    </row>
    <row r="29" ht="15" customHeight="1" s="985">
      <c r="B29" s="16" t="inlineStr">
        <is>
          <t>OTROS</t>
        </is>
      </c>
      <c r="C29" s="49">
        <f>SUM(C30:C41)</f>
        <v/>
      </c>
      <c r="D29" s="3" t="n"/>
      <c r="E29" s="61">
        <f>C29/C13</f>
        <v/>
      </c>
      <c r="F29" s="49">
        <f>SUM(F30:F41)</f>
        <v/>
      </c>
      <c r="G29" s="3" t="n"/>
      <c r="H29" s="61">
        <f>F29/F13</f>
        <v/>
      </c>
      <c r="I29" s="49">
        <f>SUM(I30:I41)</f>
        <v/>
      </c>
      <c r="J29" s="3" t="n"/>
      <c r="K29" s="61">
        <f>I29/I13</f>
        <v/>
      </c>
      <c r="L29" s="49">
        <f>SUM(L30:L41)</f>
        <v/>
      </c>
      <c r="M29" s="3" t="n"/>
      <c r="N29" s="61">
        <f>L29/L13</f>
        <v/>
      </c>
      <c r="O29" s="49">
        <f>SUM(O30:O41)</f>
        <v/>
      </c>
      <c r="P29" s="3" t="n"/>
      <c r="Q29" s="61">
        <f>O29/O13</f>
        <v/>
      </c>
      <c r="R29" s="90">
        <f>SUM(R30:R41)</f>
        <v/>
      </c>
      <c r="S29" s="3" t="n"/>
      <c r="T29" s="61">
        <f>R29/R13</f>
        <v/>
      </c>
      <c r="U29" s="49">
        <f>SUM(U30:U41)</f>
        <v/>
      </c>
      <c r="V29" s="3" t="n"/>
      <c r="W29" s="61">
        <f>U29/U13</f>
        <v/>
      </c>
      <c r="X29" s="90">
        <f>SUM(X30:X41)</f>
        <v/>
      </c>
      <c r="Y29" s="763" t="n"/>
      <c r="Z29" s="1159">
        <f>X29/X13</f>
        <v/>
      </c>
      <c r="AA29" s="90">
        <f>SUM(AA30:AA41)</f>
        <v/>
      </c>
      <c r="AB29" s="3" t="n"/>
      <c r="AC29" s="61">
        <f>AA29/AA13</f>
        <v/>
      </c>
      <c r="AD29" s="49">
        <f>SUM(AD30:AD41)</f>
        <v/>
      </c>
      <c r="AE29" s="3" t="n"/>
      <c r="AF29" s="61">
        <f>AD29/AD13</f>
        <v/>
      </c>
      <c r="AG29" s="49">
        <f>SUM(AG30:AG41)</f>
        <v/>
      </c>
      <c r="AH29" s="3" t="n"/>
      <c r="AI29" s="61">
        <f>AG29/AG13</f>
        <v/>
      </c>
      <c r="AJ29" s="49">
        <f>SUM(AJ30:AJ41)</f>
        <v/>
      </c>
      <c r="AK29" s="3" t="n"/>
      <c r="AL29" s="61">
        <f>AJ29/AJ13</f>
        <v/>
      </c>
      <c r="AM29" s="17">
        <f>C29+F29+I29+L29+O29+R29+U29+X29+AA29+AD29+AG29+AJ29</f>
        <v/>
      </c>
      <c r="AN29" s="197" t="n"/>
      <c r="AO29" s="1053">
        <f>AM29/AM13</f>
        <v/>
      </c>
    </row>
    <row r="30" outlineLevel="1" ht="15" customHeight="1" s="985">
      <c r="B30" s="30" t="n"/>
      <c r="C30" s="1232">
        <f>CALI!C30+HUNGRIA!C30+YUMBO!C30+'ADULTO MAYOR'!C30+'COMEDORES VALLE'!C30+BUGA!C30+'COMEDORES CALI'!C30+'CTAS EN PPACION'!C30+'COMEDORES PALMIRA'!C30+IMDERTY!C30</f>
        <v/>
      </c>
      <c r="D30" s="69" t="n"/>
      <c r="E30" s="56" t="n"/>
      <c r="F30" s="1232">
        <f>CALI!F30+HUNGRIA!F30+YUMBO!F30+'ADULTO MAYOR'!F30+'COMEDORES VALLE'!F30+BUGA!F30+'COMEDORES CALI'!F30+'CTAS EN PPACION'!F30+'COMEDORES PALMIRA'!F30+IMDERTY!F30</f>
        <v/>
      </c>
      <c r="G30" s="69" t="n"/>
      <c r="H30" s="56" t="n"/>
      <c r="I30" s="1232">
        <f>CALI!I30+HUNGRIA!I30+YUMBO!I30+'ADULTO MAYOR'!I30+'COMEDORES VALLE'!I30+BUGA!I30+'COMEDORES CALI'!I30+'CTAS EN PPACION'!I30+'COMEDORES PALMIRA'!I30+IMDERTY!I30</f>
        <v/>
      </c>
      <c r="J30" s="69" t="n"/>
      <c r="K30" s="56" t="n"/>
      <c r="L30" s="1232">
        <f>CALI!L30+HUNGRIA!L30+YUMBO!L30+'ADULTO MAYOR'!L30+'COMEDORES VALLE'!L30+BUGA!L30+'COMEDORES CALI'!L30+'CTAS EN PPACION'!L30+'COMEDORES PALMIRA'!L30+IMDERTY!L30</f>
        <v/>
      </c>
      <c r="M30" s="69" t="n"/>
      <c r="N30" s="56" t="n"/>
      <c r="O30" s="1232">
        <f>CALI!O30+HUNGRIA!O30+YUMBO!O30+'ADULTO MAYOR'!O30+'COMEDORES VALLE'!O30+BUGA!O30+'COMEDORES CALI'!O30+'CTAS EN PPACION'!O30+'COMEDORES PALMIRA'!O30+IMDERTY!O30</f>
        <v/>
      </c>
      <c r="P30" s="69" t="n"/>
      <c r="Q30" s="56" t="n"/>
      <c r="R30" s="1232">
        <f>CALI!R30+HUNGRIA!R30+YUMBO!R30+'ADULTO MAYOR'!R30+'COMEDORES VALLE'!R30+BUGA!R30+'COMEDORES CALI'!R30+'CTAS EN PPACION'!R30+'COMEDORES PALMIRA'!R30+IMDERTY!R30</f>
        <v/>
      </c>
      <c r="S30" s="69" t="n"/>
      <c r="T30" s="56" t="n"/>
      <c r="U30" s="1232">
        <f>CALI!U30+HUNGRIA!U30+YUMBO!U30+'ADULTO MAYOR'!U30+'COMEDORES VALLE'!U30+BUGA!U30+'COMEDORES CALI'!U30+'CTAS EN PPACION'!U30+'COMEDORES PALMIRA'!U30+IMDERTY!U30</f>
        <v/>
      </c>
      <c r="V30" s="69" t="n"/>
      <c r="W30" s="56" t="n"/>
      <c r="X30" s="1232">
        <f>CALI!X30+HUNGRIA!X30+YUMBO!X30+'ADULTO MAYOR'!X30+'COMEDORES VALLE'!X30+BUGA!X30+'COMEDORES CALI'!X30+'CTAS EN PPACION'!X30+'COMEDORES PALMIRA'!X30+IMDERTY!X30</f>
        <v/>
      </c>
      <c r="Y30" s="69" t="n"/>
      <c r="Z30" s="56" t="n"/>
      <c r="AA30" s="1232">
        <f>CALI!AA30+HUNGRIA!AA30+YUMBO!AA30+'ADULTO MAYOR'!AA30+'COMEDORES VALLE'!AA30+BUGA!AA30+'COMEDORES CALI'!AA30+'CTAS EN PPACION'!AA30+'COMEDORES PALMIRA'!AA30+IMDERTY!AA30</f>
        <v/>
      </c>
      <c r="AB30" s="69" t="n"/>
      <c r="AC30" s="56" t="n"/>
      <c r="AD30" s="1232">
        <f>CALI!AD30+HUNGRIA!AD30+YUMBO!AD30+'ADULTO MAYOR'!AD30+'COMEDORES VALLE'!AD30+BUGA!AD30+'COMEDORES CALI'!AD30+'CTAS EN PPACION'!AD30+'COMEDORES PALMIRA'!AD30+IMDERTY!AD30</f>
        <v/>
      </c>
      <c r="AE30" s="69" t="n"/>
      <c r="AF30" s="56" t="n"/>
      <c r="AG30" s="1232">
        <f>CALI!AG30+HUNGRIA!AG30+YUMBO!AG30+'ADULTO MAYOR'!AG30+'COMEDORES VALLE'!AG30+BUGA!AG30+'COMEDORES CALI'!AG30+'CTAS EN PPACION'!AG30+'COMEDORES PALMIRA'!AG30+IMDERTY!AG30</f>
        <v/>
      </c>
      <c r="AH30" s="69" t="n"/>
      <c r="AI30" s="56" t="n"/>
      <c r="AJ30" s="1232">
        <f>CALI!AJ30+HUNGRIA!AJ30+YUMBO!AJ30+'ADULTO MAYOR'!AJ30+'COMEDORES VALLE'!AJ30+BUGA!AJ30+'COMEDORES CALI'!AJ30+'CTAS EN PPACION'!AJ30+'COMEDORES PALMIRA'!AJ30+IMDERTY!AJ30</f>
        <v/>
      </c>
      <c r="AK30" s="69" t="n"/>
      <c r="AL30" s="56" t="n"/>
      <c r="AM30" s="31">
        <f>C30+F30+I30+L30+O30+R30+U30+X30+AA30+AD30+AG30+AJ30</f>
        <v/>
      </c>
      <c r="AN30" s="194" t="n"/>
      <c r="AO30" s="56" t="n"/>
    </row>
    <row r="31" outlineLevel="1" ht="15" customHeight="1" s="985">
      <c r="B31" s="105" t="n"/>
      <c r="C31" s="1062">
        <f>CALI!C31+HUNGRIA!C31+YUMBO!C31+'ADULTO MAYOR'!C31+'COMEDORES VALLE'!C31+BUGA!C31+'COMEDORES CALI'!C31+'CTAS EN PPACION'!C31+'COMEDORES PALMIRA'!C31+IMDERTY!C31</f>
        <v/>
      </c>
      <c r="D31" s="43" t="n"/>
      <c r="E31" s="57" t="n"/>
      <c r="F31" s="1062">
        <f>CALI!F31+HUNGRIA!F31+YUMBO!F31+'ADULTO MAYOR'!F31+'COMEDORES VALLE'!F31+BUGA!F31+'COMEDORES CALI'!F31+'CTAS EN PPACION'!F31+'COMEDORES PALMIRA'!F31+IMDERTY!F31</f>
        <v/>
      </c>
      <c r="G31" s="43" t="n"/>
      <c r="H31" s="57" t="n"/>
      <c r="I31" s="1062">
        <f>CALI!I31+HUNGRIA!I31+YUMBO!I31+'ADULTO MAYOR'!I31+'COMEDORES VALLE'!I31+BUGA!I31+'COMEDORES CALI'!I31+'CTAS EN PPACION'!I31+'COMEDORES PALMIRA'!I31+IMDERTY!I31</f>
        <v/>
      </c>
      <c r="J31" s="43" t="n"/>
      <c r="K31" s="57" t="n"/>
      <c r="L31" s="1062">
        <f>CALI!L31+HUNGRIA!L31+YUMBO!L31+'ADULTO MAYOR'!L31+'COMEDORES VALLE'!L31+BUGA!L31+'COMEDORES CALI'!L31+'CTAS EN PPACION'!L31+'COMEDORES PALMIRA'!L31+IMDERTY!L31</f>
        <v/>
      </c>
      <c r="M31" s="43" t="n"/>
      <c r="N31" s="57" t="n"/>
      <c r="O31" s="1062">
        <f>CALI!O31+HUNGRIA!O31+YUMBO!O31+'ADULTO MAYOR'!O31+'COMEDORES VALLE'!O31+BUGA!O31+'COMEDORES CALI'!O31+'CTAS EN PPACION'!O31+'COMEDORES PALMIRA'!O31+IMDERTY!O31</f>
        <v/>
      </c>
      <c r="P31" s="43" t="n"/>
      <c r="Q31" s="57" t="n"/>
      <c r="R31" s="1062">
        <f>CALI!R31+HUNGRIA!R31+YUMBO!R31+'ADULTO MAYOR'!R31+'COMEDORES VALLE'!R31+BUGA!R31+'COMEDORES CALI'!R31+'CTAS EN PPACION'!R31+'COMEDORES PALMIRA'!R31+IMDERTY!R31</f>
        <v/>
      </c>
      <c r="S31" s="43" t="n"/>
      <c r="T31" s="57" t="n"/>
      <c r="U31" s="1062">
        <f>CALI!U31+HUNGRIA!U31+YUMBO!U31+'ADULTO MAYOR'!U31+'COMEDORES VALLE'!U31+BUGA!U31+'COMEDORES CALI'!U31+'CTAS EN PPACION'!U31+'COMEDORES PALMIRA'!U31+IMDERTY!U31</f>
        <v/>
      </c>
      <c r="V31" s="43" t="n"/>
      <c r="W31" s="57" t="n"/>
      <c r="X31" s="1062">
        <f>CALI!X31+HUNGRIA!X31+YUMBO!X31+'ADULTO MAYOR'!X31+'COMEDORES VALLE'!X31+BUGA!X31+'COMEDORES CALI'!X31+'CTAS EN PPACION'!X31+'COMEDORES PALMIRA'!X31+IMDERTY!X31</f>
        <v/>
      </c>
      <c r="Y31" s="43" t="n"/>
      <c r="Z31" s="57" t="n"/>
      <c r="AA31" s="1062">
        <f>CALI!AA31+HUNGRIA!AA31+YUMBO!AA31+'ADULTO MAYOR'!AA31+'COMEDORES VALLE'!AA31+BUGA!AA31+'COMEDORES CALI'!AA31+'CTAS EN PPACION'!AA31+'COMEDORES PALMIRA'!AA31+IMDERTY!AA31</f>
        <v/>
      </c>
      <c r="AB31" s="43" t="n"/>
      <c r="AC31" s="57" t="n"/>
      <c r="AD31" s="1062">
        <f>CALI!AD31+HUNGRIA!AD31+YUMBO!AD31+'ADULTO MAYOR'!AD31+'COMEDORES VALLE'!AD31+BUGA!AD31+'COMEDORES CALI'!AD31+'CTAS EN PPACION'!AD31+'COMEDORES PALMIRA'!AD31+IMDERTY!AD31</f>
        <v/>
      </c>
      <c r="AE31" s="43" t="n"/>
      <c r="AF31" s="57" t="n"/>
      <c r="AG31" s="1062">
        <f>CALI!AG31+HUNGRIA!AG31+YUMBO!AG31+'ADULTO MAYOR'!AG31+'COMEDORES VALLE'!AG31+BUGA!AG31+'COMEDORES CALI'!AG31+'CTAS EN PPACION'!AG31+'COMEDORES PALMIRA'!AG31+IMDERTY!AG31</f>
        <v/>
      </c>
      <c r="AH31" s="43" t="n"/>
      <c r="AI31" s="57" t="n"/>
      <c r="AJ31" s="1062">
        <f>CALI!AJ31+HUNGRIA!AJ31+YUMBO!AJ31+'ADULTO MAYOR'!AJ31+'COMEDORES VALLE'!AJ31+BUGA!AJ31+'COMEDORES CALI'!AJ31+'CTAS EN PPACION'!AJ31+'COMEDORES PALMIRA'!AJ31+IMDERTY!AJ31</f>
        <v/>
      </c>
      <c r="AK31" s="43" t="n"/>
      <c r="AL31" s="57" t="n"/>
      <c r="AM31" s="24">
        <f>C31+F31+I31+L31+O31+R31+U31+X31+AA31+AD31+AG31+AJ31</f>
        <v/>
      </c>
      <c r="AN31" s="195" t="n"/>
      <c r="AO31" s="57" t="n"/>
    </row>
    <row r="32" outlineLevel="1" ht="15" customHeight="1" s="985">
      <c r="B32" s="105" t="n"/>
      <c r="C32" s="1062">
        <f>CALI!C32+HUNGRIA!C32+YUMBO!C32+'ADULTO MAYOR'!C32+'COMEDORES VALLE'!C32+BUGA!C32+'COMEDORES CALI'!C32+'CTAS EN PPACION'!C32+'COMEDORES PALMIRA'!C32+IMDERTY!C32</f>
        <v/>
      </c>
      <c r="D32" s="43" t="n"/>
      <c r="E32" s="57" t="n"/>
      <c r="F32" s="1062">
        <f>CALI!F32+HUNGRIA!F32+YUMBO!F32+'ADULTO MAYOR'!F32+'COMEDORES VALLE'!F32+BUGA!F32+'COMEDORES CALI'!F32+'CTAS EN PPACION'!F32+'COMEDORES PALMIRA'!F32+IMDERTY!F32</f>
        <v/>
      </c>
      <c r="G32" s="43" t="n"/>
      <c r="H32" s="57" t="n"/>
      <c r="I32" s="1062">
        <f>CALI!I32+HUNGRIA!I32+YUMBO!I32+'ADULTO MAYOR'!I32+'COMEDORES VALLE'!I32+BUGA!I32+'COMEDORES CALI'!I32+'CTAS EN PPACION'!I32+'COMEDORES PALMIRA'!I32+IMDERTY!I32</f>
        <v/>
      </c>
      <c r="J32" s="43" t="n"/>
      <c r="K32" s="57" t="n"/>
      <c r="L32" s="1062">
        <f>CALI!L32+HUNGRIA!L32+YUMBO!L32+'ADULTO MAYOR'!L32+'COMEDORES VALLE'!L32+BUGA!L32+'COMEDORES CALI'!L32+'CTAS EN PPACION'!L32+'COMEDORES PALMIRA'!L32+IMDERTY!L32</f>
        <v/>
      </c>
      <c r="M32" s="43" t="n"/>
      <c r="N32" s="57" t="n"/>
      <c r="O32" s="1062">
        <f>CALI!O32+HUNGRIA!O32+YUMBO!O32+'ADULTO MAYOR'!O32+'COMEDORES VALLE'!O32+BUGA!O32+'COMEDORES CALI'!O32+'CTAS EN PPACION'!O32+'COMEDORES PALMIRA'!O32+IMDERTY!O32</f>
        <v/>
      </c>
      <c r="P32" s="43" t="n"/>
      <c r="Q32" s="57" t="n"/>
      <c r="R32" s="1062">
        <f>CALI!R32+HUNGRIA!R32+YUMBO!R32+'ADULTO MAYOR'!R32+'COMEDORES VALLE'!R32+BUGA!R32+'COMEDORES CALI'!R32+'CTAS EN PPACION'!R32+'COMEDORES PALMIRA'!R32+IMDERTY!R32</f>
        <v/>
      </c>
      <c r="S32" s="43" t="n"/>
      <c r="T32" s="57" t="n"/>
      <c r="U32" s="1062">
        <f>CALI!U32+HUNGRIA!U32+YUMBO!U32+'ADULTO MAYOR'!U32+'COMEDORES VALLE'!U32+BUGA!U32+'COMEDORES CALI'!U32+'CTAS EN PPACION'!U32+'COMEDORES PALMIRA'!U32+IMDERTY!U32</f>
        <v/>
      </c>
      <c r="V32" s="43" t="n"/>
      <c r="W32" s="57" t="n"/>
      <c r="X32" s="1062">
        <f>CALI!X32+HUNGRIA!X32+YUMBO!X32+'ADULTO MAYOR'!X32+'COMEDORES VALLE'!X32+BUGA!X32+'COMEDORES CALI'!X32+'CTAS EN PPACION'!X32+'COMEDORES PALMIRA'!X32+IMDERTY!X32</f>
        <v/>
      </c>
      <c r="Y32" s="43" t="n"/>
      <c r="Z32" s="57" t="n"/>
      <c r="AA32" s="1062">
        <f>CALI!AA32+HUNGRIA!AA32+YUMBO!AA32+'ADULTO MAYOR'!AA32+'COMEDORES VALLE'!AA32+BUGA!AA32+'COMEDORES CALI'!AA32+'CTAS EN PPACION'!AA32+'COMEDORES PALMIRA'!AA32+IMDERTY!AA32</f>
        <v/>
      </c>
      <c r="AB32" s="43" t="n"/>
      <c r="AC32" s="57" t="n"/>
      <c r="AD32" s="1062">
        <f>CALI!AD32+HUNGRIA!AD32+YUMBO!AD32+'ADULTO MAYOR'!AD32+'COMEDORES VALLE'!AD32+BUGA!AD32+'COMEDORES CALI'!AD32+'CTAS EN PPACION'!AD32+'COMEDORES PALMIRA'!AD32+IMDERTY!AD32</f>
        <v/>
      </c>
      <c r="AE32" s="43" t="n"/>
      <c r="AF32" s="57" t="n"/>
      <c r="AG32" s="1062">
        <f>CALI!AG32+HUNGRIA!AG32+YUMBO!AG32+'ADULTO MAYOR'!AG32+'COMEDORES VALLE'!AG32+BUGA!AG32+'COMEDORES CALI'!AG32+'CTAS EN PPACION'!AG32+'COMEDORES PALMIRA'!AG32+IMDERTY!AG32</f>
        <v/>
      </c>
      <c r="AH32" s="43" t="n"/>
      <c r="AI32" s="57" t="n"/>
      <c r="AJ32" s="1062">
        <f>CALI!AJ32+HUNGRIA!AJ32+YUMBO!AJ32+'ADULTO MAYOR'!AJ32+'COMEDORES VALLE'!AJ32+BUGA!AJ32+'COMEDORES CALI'!AJ32+'CTAS EN PPACION'!AJ32+'COMEDORES PALMIRA'!AJ32+IMDERTY!AJ32</f>
        <v/>
      </c>
      <c r="AK32" s="43" t="n"/>
      <c r="AL32" s="57" t="n"/>
      <c r="AM32" s="24">
        <f>C32+F32+I32+L32+O32+R32+U32+X32+AA32+AD32+AG32+AJ32</f>
        <v/>
      </c>
      <c r="AN32" s="195" t="n"/>
      <c r="AO32" s="57" t="n"/>
    </row>
    <row r="33" outlineLevel="1" ht="15" customHeight="1" s="985">
      <c r="B33" s="105" t="n"/>
      <c r="C33" s="25">
        <f>CALI!C33+HUNGRIA!C33+YUMBO!C33+'ADULTO MAYOR'!C33+'COMEDORES VALLE'!C33+BUGA!C33+'COMEDORES CALI'!C33+'CTAS EN PPACION'!C33+'COMEDORES PALMIRA'!C33+IMDERTY!C33</f>
        <v/>
      </c>
      <c r="D33" s="43" t="n"/>
      <c r="E33" s="57" t="n"/>
      <c r="F33" s="25">
        <f>CALI!F33+HUNGRIA!F33+YUMBO!F33+'ADULTO MAYOR'!F33+'COMEDORES VALLE'!F33+BUGA!F33+'COMEDORES CALI'!F33+'CTAS EN PPACION'!F33+'COMEDORES PALMIRA'!F33+IMDERTY!F33</f>
        <v/>
      </c>
      <c r="G33" s="43" t="n"/>
      <c r="H33" s="57" t="n"/>
      <c r="I33" s="25">
        <f>CALI!I33+HUNGRIA!I33+YUMBO!I33+'ADULTO MAYOR'!I33+'COMEDORES VALLE'!I33+BUGA!I33+'COMEDORES CALI'!I33+'CTAS EN PPACION'!I33+'COMEDORES PALMIRA'!I33+IMDERTY!I33</f>
        <v/>
      </c>
      <c r="J33" s="43" t="n"/>
      <c r="K33" s="57" t="n"/>
      <c r="L33" s="25">
        <f>CALI!L33+HUNGRIA!L33+YUMBO!L33+'ADULTO MAYOR'!L33+'COMEDORES VALLE'!L33+BUGA!L33+'COMEDORES CALI'!L33+'CTAS EN PPACION'!L33+'COMEDORES PALMIRA'!L33+IMDERTY!L33</f>
        <v/>
      </c>
      <c r="M33" s="43" t="n"/>
      <c r="N33" s="57" t="n"/>
      <c r="O33" s="25">
        <f>CALI!O33+HUNGRIA!O33+YUMBO!O33+'ADULTO MAYOR'!O33+'COMEDORES VALLE'!O33+BUGA!O33+'COMEDORES CALI'!O33+'CTAS EN PPACION'!O33+'COMEDORES PALMIRA'!O33+IMDERTY!O33</f>
        <v/>
      </c>
      <c r="P33" s="43" t="n"/>
      <c r="Q33" s="57" t="n"/>
      <c r="R33" s="25">
        <f>CALI!R33+HUNGRIA!R33+YUMBO!R33+'ADULTO MAYOR'!R33+'COMEDORES VALLE'!R33+BUGA!R33+'COMEDORES CALI'!R33+'CTAS EN PPACION'!R33+'COMEDORES PALMIRA'!R33+IMDERTY!R33</f>
        <v/>
      </c>
      <c r="S33" s="43" t="n"/>
      <c r="T33" s="57" t="n"/>
      <c r="U33" s="25">
        <f>CALI!U33+HUNGRIA!U33+YUMBO!U33+'ADULTO MAYOR'!U33+'COMEDORES VALLE'!U33+BUGA!U33+'COMEDORES CALI'!U33+'CTAS EN PPACION'!U33+'COMEDORES PALMIRA'!U33+IMDERTY!U33</f>
        <v/>
      </c>
      <c r="V33" s="43" t="n"/>
      <c r="W33" s="57" t="n"/>
      <c r="X33" s="25">
        <f>CALI!X33+HUNGRIA!X33+YUMBO!X33+'ADULTO MAYOR'!X33+'COMEDORES VALLE'!X33+BUGA!X33+'COMEDORES CALI'!X33+'CTAS EN PPACION'!X33+'COMEDORES PALMIRA'!X33+IMDERTY!X33</f>
        <v/>
      </c>
      <c r="Y33" s="43" t="n"/>
      <c r="Z33" s="57" t="n"/>
      <c r="AA33" s="25">
        <f>CALI!AA33+HUNGRIA!AA33+YUMBO!AA33+'ADULTO MAYOR'!AA33+'COMEDORES VALLE'!AA33+BUGA!AA33+'COMEDORES CALI'!AA33+'CTAS EN PPACION'!AA33+'COMEDORES PALMIRA'!AA33+IMDERTY!AA33</f>
        <v/>
      </c>
      <c r="AB33" s="43" t="n"/>
      <c r="AC33" s="57" t="n"/>
      <c r="AD33" s="25">
        <f>CALI!AD33+HUNGRIA!AD33+YUMBO!AD33+'ADULTO MAYOR'!AD33+'COMEDORES VALLE'!AD33+BUGA!AD33+'COMEDORES CALI'!AD33+'CTAS EN PPACION'!AD33+'COMEDORES PALMIRA'!AD33+IMDERTY!AD33</f>
        <v/>
      </c>
      <c r="AE33" s="43" t="n"/>
      <c r="AF33" s="57" t="n"/>
      <c r="AG33" s="25">
        <f>CALI!AG33+HUNGRIA!AG33+YUMBO!AG33+'ADULTO MAYOR'!AG33+'COMEDORES VALLE'!AG33+BUGA!AG33+'COMEDORES CALI'!AG33+'CTAS EN PPACION'!AG33+'COMEDORES PALMIRA'!AG33+IMDERTY!AG33</f>
        <v/>
      </c>
      <c r="AH33" s="43" t="n"/>
      <c r="AI33" s="57" t="n"/>
      <c r="AJ33" s="25">
        <f>CALI!AJ33+HUNGRIA!AJ33+YUMBO!AJ33+'ADULTO MAYOR'!AJ33+'COMEDORES VALLE'!AJ33+BUGA!AJ33+'COMEDORES CALI'!AJ33+'CTAS EN PPACION'!AJ33+'COMEDORES PALMIRA'!AJ33+IMDERTY!AJ33</f>
        <v/>
      </c>
      <c r="AK33" s="43" t="n"/>
      <c r="AL33" s="57" t="n"/>
      <c r="AM33" s="24">
        <f>C33+F33+I33+L33+O33+R33+U33+X33+AA33+AD33+AG33+AJ33</f>
        <v/>
      </c>
      <c r="AN33" s="195" t="n"/>
      <c r="AO33" s="57" t="n"/>
    </row>
    <row r="34" outlineLevel="1" ht="15" customHeight="1" s="985">
      <c r="B34" s="105" t="n"/>
      <c r="C34" s="25">
        <f>CALI!C34+HUNGRIA!C34+YUMBO!C34+'ADULTO MAYOR'!C34+'COMEDORES VALLE'!C34+BUGA!C34+'COMEDORES CALI'!C34+'CTAS EN PPACION'!C34+'COMEDORES PALMIRA'!C34+IMDERTY!C34</f>
        <v/>
      </c>
      <c r="D34" s="43" t="n"/>
      <c r="E34" s="57" t="n"/>
      <c r="F34" s="25">
        <f>CALI!F34+HUNGRIA!F34+YUMBO!F34+'ADULTO MAYOR'!F34+'COMEDORES VALLE'!F34+BUGA!F34+'COMEDORES CALI'!F34+'CTAS EN PPACION'!F34+'COMEDORES PALMIRA'!F34+IMDERTY!F34</f>
        <v/>
      </c>
      <c r="G34" s="43" t="n"/>
      <c r="H34" s="57" t="n"/>
      <c r="I34" s="25">
        <f>CALI!I34+HUNGRIA!I34+YUMBO!I34+'ADULTO MAYOR'!I34+'COMEDORES VALLE'!I34+BUGA!I34+'COMEDORES CALI'!I34+'CTAS EN PPACION'!I34+'COMEDORES PALMIRA'!I34+IMDERTY!I34</f>
        <v/>
      </c>
      <c r="J34" s="43" t="n"/>
      <c r="K34" s="57" t="n"/>
      <c r="L34" s="25">
        <f>CALI!L34+HUNGRIA!L34+YUMBO!L34+'ADULTO MAYOR'!L34+'COMEDORES VALLE'!L34+BUGA!L34+'COMEDORES CALI'!L34+'CTAS EN PPACION'!L34+'COMEDORES PALMIRA'!L34+IMDERTY!L34</f>
        <v/>
      </c>
      <c r="M34" s="43" t="n"/>
      <c r="N34" s="57" t="n"/>
      <c r="O34" s="25">
        <f>CALI!O34+HUNGRIA!O34+YUMBO!O34+'ADULTO MAYOR'!O34+'COMEDORES VALLE'!O34+BUGA!O34+'COMEDORES CALI'!O34+'CTAS EN PPACION'!O34+'COMEDORES PALMIRA'!O34+IMDERTY!O34</f>
        <v/>
      </c>
      <c r="P34" s="43" t="n"/>
      <c r="Q34" s="57" t="n"/>
      <c r="R34" s="25">
        <f>CALI!R34+HUNGRIA!R34+YUMBO!R34+'ADULTO MAYOR'!R34+'COMEDORES VALLE'!R34+BUGA!R34+'COMEDORES CALI'!R34+'CTAS EN PPACION'!R34+'COMEDORES PALMIRA'!R34+IMDERTY!R34</f>
        <v/>
      </c>
      <c r="S34" s="43" t="n"/>
      <c r="T34" s="57" t="n"/>
      <c r="U34" s="25">
        <f>CALI!U34+HUNGRIA!U34+YUMBO!U34+'ADULTO MAYOR'!U34+'COMEDORES VALLE'!U34+BUGA!U34+'COMEDORES CALI'!U34+'CTAS EN PPACION'!U34+'COMEDORES PALMIRA'!U34+IMDERTY!U34</f>
        <v/>
      </c>
      <c r="V34" s="43" t="n"/>
      <c r="W34" s="57" t="n"/>
      <c r="X34" s="25">
        <f>CALI!X34+HUNGRIA!X34+YUMBO!X34+'ADULTO MAYOR'!X34+'COMEDORES VALLE'!X34+BUGA!X34+'COMEDORES CALI'!X34+'CTAS EN PPACION'!X34+'COMEDORES PALMIRA'!X34+IMDERTY!X34</f>
        <v/>
      </c>
      <c r="Y34" s="43" t="n"/>
      <c r="Z34" s="57" t="n"/>
      <c r="AA34" s="25">
        <f>CALI!AA34+HUNGRIA!AA34+YUMBO!AA34+'ADULTO MAYOR'!AA34+'COMEDORES VALLE'!AA34+BUGA!AA34+'COMEDORES CALI'!AA34+'CTAS EN PPACION'!AA34+'COMEDORES PALMIRA'!AA34+IMDERTY!AA34</f>
        <v/>
      </c>
      <c r="AB34" s="43" t="n"/>
      <c r="AC34" s="57" t="n"/>
      <c r="AD34" s="25">
        <f>CALI!AD34+HUNGRIA!AD34+YUMBO!AD34+'ADULTO MAYOR'!AD34+'COMEDORES VALLE'!AD34+BUGA!AD34+'COMEDORES CALI'!AD34+'CTAS EN PPACION'!AD34+'COMEDORES PALMIRA'!AD34+IMDERTY!AD34</f>
        <v/>
      </c>
      <c r="AE34" s="43" t="n"/>
      <c r="AF34" s="57" t="n"/>
      <c r="AG34" s="25">
        <f>CALI!AG34+HUNGRIA!AG34+YUMBO!AG34+'ADULTO MAYOR'!AG34+'COMEDORES VALLE'!AG34+BUGA!AG34+'COMEDORES CALI'!AG34+'CTAS EN PPACION'!AG34+'COMEDORES PALMIRA'!AG34+IMDERTY!AG34</f>
        <v/>
      </c>
      <c r="AH34" s="43" t="n"/>
      <c r="AI34" s="57" t="n"/>
      <c r="AJ34" s="25">
        <f>CALI!AJ34+HUNGRIA!AJ34+YUMBO!AJ34+'ADULTO MAYOR'!AJ34+'COMEDORES VALLE'!AJ34+BUGA!AJ34+'COMEDORES CALI'!AJ34+'CTAS EN PPACION'!AJ34+'COMEDORES PALMIRA'!AJ34+IMDERTY!AJ34</f>
        <v/>
      </c>
      <c r="AK34" s="43" t="n"/>
      <c r="AL34" s="57" t="n"/>
      <c r="AM34" s="24">
        <f>C34+F34+I34+L34+O34+R34+U34+X34+AA34+AD34+AG34+AJ34</f>
        <v/>
      </c>
      <c r="AN34" s="195" t="n"/>
      <c r="AO34" s="57" t="n"/>
    </row>
    <row r="35" outlineLevel="1" ht="15" customHeight="1" s="985">
      <c r="B35" s="105" t="n"/>
      <c r="C35" s="25">
        <f>CALI!C35+HUNGRIA!C35+YUMBO!C35+'ADULTO MAYOR'!C35+'COMEDORES VALLE'!C35+BUGA!C35+'COMEDORES CALI'!C35+'CTAS EN PPACION'!C35+'COMEDORES PALMIRA'!C35+IMDERTY!C35</f>
        <v/>
      </c>
      <c r="D35" s="43" t="n"/>
      <c r="E35" s="57" t="n"/>
      <c r="F35" s="25">
        <f>CALI!F35+HUNGRIA!F35+YUMBO!F35+'ADULTO MAYOR'!F35+'COMEDORES VALLE'!F35+BUGA!F35+'COMEDORES CALI'!F35+'CTAS EN PPACION'!F35+'COMEDORES PALMIRA'!F35+IMDERTY!F35</f>
        <v/>
      </c>
      <c r="G35" s="43" t="n"/>
      <c r="H35" s="57" t="n"/>
      <c r="I35" s="25">
        <f>CALI!I35+HUNGRIA!I35+YUMBO!I35+'ADULTO MAYOR'!I35+'COMEDORES VALLE'!I35+BUGA!I35+'COMEDORES CALI'!I35+'CTAS EN PPACION'!I35+'COMEDORES PALMIRA'!I35+IMDERTY!I35</f>
        <v/>
      </c>
      <c r="J35" s="43" t="n"/>
      <c r="K35" s="57" t="n"/>
      <c r="L35" s="25">
        <f>CALI!L35+HUNGRIA!L35+YUMBO!L35+'ADULTO MAYOR'!L35+'COMEDORES VALLE'!L35+BUGA!L35+'COMEDORES CALI'!L35+'CTAS EN PPACION'!L35+'COMEDORES PALMIRA'!L35+IMDERTY!L35</f>
        <v/>
      </c>
      <c r="M35" s="43" t="n"/>
      <c r="N35" s="57" t="n"/>
      <c r="O35" s="25">
        <f>CALI!O35+HUNGRIA!O35+YUMBO!O35+'ADULTO MAYOR'!O35+'COMEDORES VALLE'!O35+BUGA!O35+'COMEDORES CALI'!O35+'CTAS EN PPACION'!O35+'COMEDORES PALMIRA'!O35+IMDERTY!O35</f>
        <v/>
      </c>
      <c r="P35" s="43" t="n"/>
      <c r="Q35" s="57" t="n"/>
      <c r="R35" s="25">
        <f>CALI!R35+HUNGRIA!R35+YUMBO!R35+'ADULTO MAYOR'!R35+'COMEDORES VALLE'!R35+BUGA!R35+'COMEDORES CALI'!R35+'CTAS EN PPACION'!R35+'COMEDORES PALMIRA'!R35+IMDERTY!R35</f>
        <v/>
      </c>
      <c r="S35" s="43" t="n"/>
      <c r="T35" s="57" t="n"/>
      <c r="U35" s="25">
        <f>CALI!U35+HUNGRIA!U35+YUMBO!U35+'ADULTO MAYOR'!U35+'COMEDORES VALLE'!U35+BUGA!U35+'COMEDORES CALI'!U35+'CTAS EN PPACION'!U35+'COMEDORES PALMIRA'!U35+IMDERTY!U35</f>
        <v/>
      </c>
      <c r="V35" s="43" t="n"/>
      <c r="W35" s="57" t="n"/>
      <c r="X35" s="25">
        <f>CALI!X35+HUNGRIA!X35+YUMBO!X35+'ADULTO MAYOR'!X35+'COMEDORES VALLE'!X35+BUGA!X35+'COMEDORES CALI'!X35+'CTAS EN PPACION'!X35+'COMEDORES PALMIRA'!X35+IMDERTY!X35</f>
        <v/>
      </c>
      <c r="Y35" s="43" t="n"/>
      <c r="Z35" s="57" t="n"/>
      <c r="AA35" s="25">
        <f>CALI!AA35+HUNGRIA!AA35+YUMBO!AA35+'ADULTO MAYOR'!AA35+'COMEDORES VALLE'!AA35+BUGA!AA35+'COMEDORES CALI'!AA35+'CTAS EN PPACION'!AA35+'COMEDORES PALMIRA'!AA35+IMDERTY!AA35</f>
        <v/>
      </c>
      <c r="AB35" s="43" t="n"/>
      <c r="AC35" s="57" t="n"/>
      <c r="AD35" s="25">
        <f>CALI!AD35+HUNGRIA!AD35+YUMBO!AD35+'ADULTO MAYOR'!AD35+'COMEDORES VALLE'!AD35+BUGA!AD35+'COMEDORES CALI'!AD35+'CTAS EN PPACION'!AD35+'COMEDORES PALMIRA'!AD35+IMDERTY!AD35</f>
        <v/>
      </c>
      <c r="AE35" s="43" t="n"/>
      <c r="AF35" s="57" t="n"/>
      <c r="AG35" s="25">
        <f>CALI!AG35+HUNGRIA!AG35+YUMBO!AG35+'ADULTO MAYOR'!AG35+'COMEDORES VALLE'!AG35+BUGA!AG35+'COMEDORES CALI'!AG35+'CTAS EN PPACION'!AG35+'COMEDORES PALMIRA'!AG35+IMDERTY!AG35</f>
        <v/>
      </c>
      <c r="AH35" s="43" t="n"/>
      <c r="AI35" s="57" t="n"/>
      <c r="AJ35" s="25">
        <f>CALI!AJ35+HUNGRIA!AJ35+YUMBO!AJ35+'ADULTO MAYOR'!AJ35+'COMEDORES VALLE'!AJ35+BUGA!AJ35+'COMEDORES CALI'!AJ35+'CTAS EN PPACION'!AJ35+'COMEDORES PALMIRA'!AJ35+IMDERTY!AJ35</f>
        <v/>
      </c>
      <c r="AK35" s="43" t="n"/>
      <c r="AL35" s="57" t="n"/>
      <c r="AM35" s="24">
        <f>C35+F35+I35+L35+O35+R35+U35+X35+AA35+AD35+AG35+AJ35</f>
        <v/>
      </c>
      <c r="AN35" s="195" t="n"/>
      <c r="AO35" s="57" t="n"/>
    </row>
    <row r="36" outlineLevel="1" ht="15" customHeight="1" s="985">
      <c r="B36" s="105" t="n"/>
      <c r="C36" s="25">
        <f>CALI!C36+HUNGRIA!C36+YUMBO!C36+'ADULTO MAYOR'!C36+'COMEDORES VALLE'!C36+BUGA!C36+'COMEDORES CALI'!C36+'CTAS EN PPACION'!C36+'COMEDORES PALMIRA'!C36+IMDERTY!C36</f>
        <v/>
      </c>
      <c r="D36" s="43" t="n"/>
      <c r="E36" s="57" t="n"/>
      <c r="F36" s="25">
        <f>CALI!F36+HUNGRIA!F36+YUMBO!F36+'ADULTO MAYOR'!F36+'COMEDORES VALLE'!F36+BUGA!F36+'COMEDORES CALI'!F36+'CTAS EN PPACION'!F36+'COMEDORES PALMIRA'!F36+IMDERTY!F36</f>
        <v/>
      </c>
      <c r="G36" s="43" t="n"/>
      <c r="H36" s="57" t="n"/>
      <c r="I36" s="25">
        <f>CALI!I36+HUNGRIA!I36+YUMBO!I36+'ADULTO MAYOR'!I36+'COMEDORES VALLE'!I36+BUGA!I36+'COMEDORES CALI'!I36+'CTAS EN PPACION'!I36+'COMEDORES PALMIRA'!I36+IMDERTY!I36</f>
        <v/>
      </c>
      <c r="J36" s="43" t="n"/>
      <c r="K36" s="57" t="n"/>
      <c r="L36" s="25">
        <f>CALI!L36+HUNGRIA!L36+YUMBO!L36+'ADULTO MAYOR'!L36+'COMEDORES VALLE'!L36+BUGA!L36+'COMEDORES CALI'!L36+'CTAS EN PPACION'!L36+'COMEDORES PALMIRA'!L36+IMDERTY!L36</f>
        <v/>
      </c>
      <c r="M36" s="43" t="n"/>
      <c r="N36" s="57" t="n"/>
      <c r="O36" s="25">
        <f>CALI!O36+HUNGRIA!O36+YUMBO!O36+'ADULTO MAYOR'!O36+'COMEDORES VALLE'!O36+BUGA!O36+'COMEDORES CALI'!O36+'CTAS EN PPACION'!O36+'COMEDORES PALMIRA'!O36+IMDERTY!O36</f>
        <v/>
      </c>
      <c r="P36" s="43" t="n"/>
      <c r="Q36" s="57" t="n"/>
      <c r="R36" s="25">
        <f>CALI!R36+HUNGRIA!R36+YUMBO!R36+'ADULTO MAYOR'!R36+'COMEDORES VALLE'!R36+BUGA!R36+'COMEDORES CALI'!R36+'CTAS EN PPACION'!R36+'COMEDORES PALMIRA'!R36+IMDERTY!R36</f>
        <v/>
      </c>
      <c r="S36" s="43" t="n"/>
      <c r="T36" s="57" t="n"/>
      <c r="U36" s="25">
        <f>CALI!U36+HUNGRIA!U36+YUMBO!U36+'ADULTO MAYOR'!U36+'COMEDORES VALLE'!U36+BUGA!U36+'COMEDORES CALI'!U36+'CTAS EN PPACION'!U36+'COMEDORES PALMIRA'!U36+IMDERTY!U36</f>
        <v/>
      </c>
      <c r="V36" s="43" t="n"/>
      <c r="W36" s="57" t="n"/>
      <c r="X36" s="25">
        <f>CALI!X36+HUNGRIA!X36+YUMBO!X36+'ADULTO MAYOR'!X36+'COMEDORES VALLE'!X36+BUGA!X36+'COMEDORES CALI'!X36+'CTAS EN PPACION'!X36+'COMEDORES PALMIRA'!X36+IMDERTY!X36</f>
        <v/>
      </c>
      <c r="Y36" s="43" t="n"/>
      <c r="Z36" s="57" t="n"/>
      <c r="AA36" s="25">
        <f>CALI!AA36+HUNGRIA!AA36+YUMBO!AA36+'ADULTO MAYOR'!AA36+'COMEDORES VALLE'!AA36+BUGA!AA36+'COMEDORES CALI'!AA36+'CTAS EN PPACION'!AA36+'COMEDORES PALMIRA'!AA36+IMDERTY!AA36</f>
        <v/>
      </c>
      <c r="AB36" s="43" t="n"/>
      <c r="AC36" s="57" t="n"/>
      <c r="AD36" s="25">
        <f>CALI!AD36+HUNGRIA!AD36+YUMBO!AD36+'ADULTO MAYOR'!AD36+'COMEDORES VALLE'!AD36+BUGA!AD36+'COMEDORES CALI'!AD36+'CTAS EN PPACION'!AD36+'COMEDORES PALMIRA'!AD36+IMDERTY!AD36</f>
        <v/>
      </c>
      <c r="AE36" s="43" t="n"/>
      <c r="AF36" s="57" t="n"/>
      <c r="AG36" s="25">
        <f>CALI!AG36+HUNGRIA!AG36+YUMBO!AG36+'ADULTO MAYOR'!AG36+'COMEDORES VALLE'!AG36+BUGA!AG36+'COMEDORES CALI'!AG36+'CTAS EN PPACION'!AG36+'COMEDORES PALMIRA'!AG36+IMDERTY!AG36</f>
        <v/>
      </c>
      <c r="AH36" s="43" t="n"/>
      <c r="AI36" s="57" t="n"/>
      <c r="AJ36" s="25">
        <f>CALI!AJ36+HUNGRIA!AJ36+YUMBO!AJ36+'ADULTO MAYOR'!AJ36+'COMEDORES VALLE'!AJ36+BUGA!AJ36+'COMEDORES CALI'!AJ36+'CTAS EN PPACION'!AJ36+'COMEDORES PALMIRA'!AJ36+IMDERTY!AJ36</f>
        <v/>
      </c>
      <c r="AK36" s="43" t="n"/>
      <c r="AL36" s="57" t="n"/>
      <c r="AM36" s="24">
        <f>C36+F36+I36+L36+O36+R36+U36+X36+AA36+AD36+AG36+AJ36</f>
        <v/>
      </c>
      <c r="AN36" s="195" t="n"/>
      <c r="AO36" s="57" t="n"/>
    </row>
    <row r="37" outlineLevel="1" ht="15" customHeight="1" s="985">
      <c r="B37" s="105" t="n"/>
      <c r="C37" s="25">
        <f>CALI!C37+HUNGRIA!C37+YUMBO!C37+'ADULTO MAYOR'!C37+'COMEDORES VALLE'!C37+BUGA!C37+'COMEDORES CALI'!C37+'CTAS EN PPACION'!C37+'COMEDORES PALMIRA'!C37+IMDERTY!C37</f>
        <v/>
      </c>
      <c r="D37" s="43" t="n"/>
      <c r="E37" s="57" t="n"/>
      <c r="F37" s="25">
        <f>CALI!F37+HUNGRIA!F37+YUMBO!F37+'ADULTO MAYOR'!F37+'COMEDORES VALLE'!F37+BUGA!F37+'COMEDORES CALI'!F37+'CTAS EN PPACION'!F37+'COMEDORES PALMIRA'!F37+IMDERTY!F37</f>
        <v/>
      </c>
      <c r="G37" s="43" t="n"/>
      <c r="H37" s="57" t="n"/>
      <c r="I37" s="25">
        <f>CALI!I37+HUNGRIA!I37+YUMBO!I37+'ADULTO MAYOR'!I37+'COMEDORES VALLE'!I37+BUGA!I37+'COMEDORES CALI'!I37+'CTAS EN PPACION'!I37+'COMEDORES PALMIRA'!I37+IMDERTY!I37</f>
        <v/>
      </c>
      <c r="J37" s="43" t="n"/>
      <c r="K37" s="57" t="n"/>
      <c r="L37" s="25">
        <f>CALI!L37+HUNGRIA!L37+YUMBO!L37+'ADULTO MAYOR'!L37+'COMEDORES VALLE'!L37+BUGA!L37+'COMEDORES CALI'!L37+'CTAS EN PPACION'!L37+'COMEDORES PALMIRA'!L37+IMDERTY!L37</f>
        <v/>
      </c>
      <c r="M37" s="43" t="n"/>
      <c r="N37" s="57" t="n"/>
      <c r="O37" s="25">
        <f>CALI!O37+HUNGRIA!O37+YUMBO!O37+'ADULTO MAYOR'!O37+'COMEDORES VALLE'!O37+BUGA!O37+'COMEDORES CALI'!O37+'CTAS EN PPACION'!O37+'COMEDORES PALMIRA'!O37+IMDERTY!O37</f>
        <v/>
      </c>
      <c r="P37" s="43" t="n"/>
      <c r="Q37" s="57" t="n"/>
      <c r="R37" s="25">
        <f>CALI!R37+HUNGRIA!R37+YUMBO!R37+'ADULTO MAYOR'!R37+'COMEDORES VALLE'!R37+BUGA!R37+'COMEDORES CALI'!R37+'CTAS EN PPACION'!R37+'COMEDORES PALMIRA'!R37+IMDERTY!R37</f>
        <v/>
      </c>
      <c r="S37" s="43" t="n"/>
      <c r="T37" s="57" t="n"/>
      <c r="U37" s="25">
        <f>CALI!U37+HUNGRIA!U37+YUMBO!U37+'ADULTO MAYOR'!U37+'COMEDORES VALLE'!U37+BUGA!U37+'COMEDORES CALI'!U37+'CTAS EN PPACION'!U37+'COMEDORES PALMIRA'!U37+IMDERTY!U37</f>
        <v/>
      </c>
      <c r="V37" s="43" t="n"/>
      <c r="W37" s="57" t="n"/>
      <c r="X37" s="25">
        <f>CALI!X37+HUNGRIA!X37+YUMBO!X37+'ADULTO MAYOR'!X37+'COMEDORES VALLE'!X37+BUGA!X37+'COMEDORES CALI'!X37+'CTAS EN PPACION'!X37+'COMEDORES PALMIRA'!X37+IMDERTY!X37</f>
        <v/>
      </c>
      <c r="Y37" s="43" t="n"/>
      <c r="Z37" s="57" t="n"/>
      <c r="AA37" s="25">
        <f>CALI!AA37+HUNGRIA!AA37+YUMBO!AA37+'ADULTO MAYOR'!AA37+'COMEDORES VALLE'!AA37+BUGA!AA37+'COMEDORES CALI'!AA37+'CTAS EN PPACION'!AA37+'COMEDORES PALMIRA'!AA37+IMDERTY!AA37</f>
        <v/>
      </c>
      <c r="AB37" s="43" t="n"/>
      <c r="AC37" s="57" t="n"/>
      <c r="AD37" s="25">
        <f>CALI!AD37+HUNGRIA!AD37+YUMBO!AD37+'ADULTO MAYOR'!AD37+'COMEDORES VALLE'!AD37+BUGA!AD37+'COMEDORES CALI'!AD37+'CTAS EN PPACION'!AD37+'COMEDORES PALMIRA'!AD37+IMDERTY!AD37</f>
        <v/>
      </c>
      <c r="AE37" s="43" t="n"/>
      <c r="AF37" s="57" t="n"/>
      <c r="AG37" s="25">
        <f>CALI!AG37+HUNGRIA!AG37+YUMBO!AG37+'ADULTO MAYOR'!AG37+'COMEDORES VALLE'!AG37+BUGA!AG37+'COMEDORES CALI'!AG37+'CTAS EN PPACION'!AG37+'COMEDORES PALMIRA'!AG37+IMDERTY!AG37</f>
        <v/>
      </c>
      <c r="AH37" s="43" t="n"/>
      <c r="AI37" s="57" t="n"/>
      <c r="AJ37" s="25">
        <f>CALI!AJ37+HUNGRIA!AJ37+YUMBO!AJ37+'ADULTO MAYOR'!AJ37+'COMEDORES VALLE'!AJ37+BUGA!AJ37+'COMEDORES CALI'!AJ37+'CTAS EN PPACION'!AJ37+'COMEDORES PALMIRA'!AJ37+IMDERTY!AJ37</f>
        <v/>
      </c>
      <c r="AK37" s="43" t="n"/>
      <c r="AL37" s="57" t="n"/>
      <c r="AM37" s="24">
        <f>C37+F37+I37+L37+O37+R37+U37+X37+AA37+AD37+AG37+AJ37</f>
        <v/>
      </c>
      <c r="AN37" s="195" t="n"/>
      <c r="AO37" s="57" t="n"/>
    </row>
    <row r="38" outlineLevel="1" ht="15" customHeight="1" s="985">
      <c r="B38" s="105" t="n"/>
      <c r="C38" s="25">
        <f>CALI!C38+HUNGRIA!C38+YUMBO!C38+'ADULTO MAYOR'!C38+'COMEDORES VALLE'!C38+BUGA!C38+'COMEDORES CALI'!C38+'CTAS EN PPACION'!C38+'COMEDORES PALMIRA'!C38+IMDERTY!C38</f>
        <v/>
      </c>
      <c r="D38" s="43" t="n"/>
      <c r="E38" s="57" t="n"/>
      <c r="F38" s="25">
        <f>CALI!F38+HUNGRIA!F38+YUMBO!F38+'ADULTO MAYOR'!F38+'COMEDORES VALLE'!F38+BUGA!F38+'COMEDORES CALI'!F38+'CTAS EN PPACION'!F38+'COMEDORES PALMIRA'!F38+IMDERTY!F38</f>
        <v/>
      </c>
      <c r="G38" s="43" t="n"/>
      <c r="H38" s="57" t="n"/>
      <c r="I38" s="25">
        <f>CALI!I38+HUNGRIA!I38+YUMBO!I38+'ADULTO MAYOR'!I38+'COMEDORES VALLE'!I38+BUGA!I38+'COMEDORES CALI'!I38+'CTAS EN PPACION'!I38+'COMEDORES PALMIRA'!I38+IMDERTY!I38</f>
        <v/>
      </c>
      <c r="J38" s="43" t="n"/>
      <c r="K38" s="57" t="n"/>
      <c r="L38" s="25">
        <f>CALI!L38+HUNGRIA!L38+YUMBO!L38+'ADULTO MAYOR'!L38+'COMEDORES VALLE'!L38+BUGA!L38+'COMEDORES CALI'!L38+'CTAS EN PPACION'!L38+'COMEDORES PALMIRA'!L38+IMDERTY!L38</f>
        <v/>
      </c>
      <c r="M38" s="43" t="n"/>
      <c r="N38" s="57" t="n"/>
      <c r="O38" s="25">
        <f>CALI!O38+HUNGRIA!O38+YUMBO!O38+'ADULTO MAYOR'!O38+'COMEDORES VALLE'!O38+BUGA!O38+'COMEDORES CALI'!O38+'CTAS EN PPACION'!O38+'COMEDORES PALMIRA'!O38+IMDERTY!O38</f>
        <v/>
      </c>
      <c r="P38" s="43" t="n"/>
      <c r="Q38" s="57" t="n"/>
      <c r="R38" s="25">
        <f>CALI!R38+HUNGRIA!R38+YUMBO!R38+'ADULTO MAYOR'!R38+'COMEDORES VALLE'!R38+BUGA!R38+'COMEDORES CALI'!R38+'CTAS EN PPACION'!R38+'COMEDORES PALMIRA'!R38+IMDERTY!R38</f>
        <v/>
      </c>
      <c r="S38" s="43" t="n"/>
      <c r="T38" s="57" t="n"/>
      <c r="U38" s="25">
        <f>CALI!U38+HUNGRIA!U38+YUMBO!U38+'ADULTO MAYOR'!U38+'COMEDORES VALLE'!U38+BUGA!U38+'COMEDORES CALI'!U38+'CTAS EN PPACION'!U38+'COMEDORES PALMIRA'!U38+IMDERTY!U38</f>
        <v/>
      </c>
      <c r="V38" s="43" t="n"/>
      <c r="W38" s="57" t="n"/>
      <c r="X38" s="25">
        <f>CALI!X38+HUNGRIA!X38+YUMBO!X38+'ADULTO MAYOR'!X38+'COMEDORES VALLE'!X38+BUGA!X38+'COMEDORES CALI'!X38+'CTAS EN PPACION'!X38+'COMEDORES PALMIRA'!X38+IMDERTY!X38</f>
        <v/>
      </c>
      <c r="Y38" s="43" t="n"/>
      <c r="Z38" s="57" t="n"/>
      <c r="AA38" s="25">
        <f>CALI!AA38+HUNGRIA!AA38+YUMBO!AA38+'ADULTO MAYOR'!AA38+'COMEDORES VALLE'!AA38+BUGA!AA38+'COMEDORES CALI'!AA38+'CTAS EN PPACION'!AA38+'COMEDORES PALMIRA'!AA38+IMDERTY!AA38</f>
        <v/>
      </c>
      <c r="AB38" s="43" t="n"/>
      <c r="AC38" s="57" t="n"/>
      <c r="AD38" s="25">
        <f>CALI!AD38+HUNGRIA!AD38+YUMBO!AD38+'ADULTO MAYOR'!AD38+'COMEDORES VALLE'!AD38+BUGA!AD38+'COMEDORES CALI'!AD38+'CTAS EN PPACION'!AD38+'COMEDORES PALMIRA'!AD38+IMDERTY!AD38</f>
        <v/>
      </c>
      <c r="AE38" s="43" t="n"/>
      <c r="AF38" s="57" t="n"/>
      <c r="AG38" s="25">
        <f>CALI!AG38+HUNGRIA!AG38+YUMBO!AG38+'ADULTO MAYOR'!AG38+'COMEDORES VALLE'!AG38+BUGA!AG38+'COMEDORES CALI'!AG38+'CTAS EN PPACION'!AG38+'COMEDORES PALMIRA'!AG38+IMDERTY!AG38</f>
        <v/>
      </c>
      <c r="AH38" s="43" t="n"/>
      <c r="AI38" s="57" t="n"/>
      <c r="AJ38" s="25">
        <f>CALI!AJ38+HUNGRIA!AJ38+YUMBO!AJ38+'ADULTO MAYOR'!AJ38+'COMEDORES VALLE'!AJ38+BUGA!AJ38+'COMEDORES CALI'!AJ38+'CTAS EN PPACION'!AJ38+'COMEDORES PALMIRA'!AJ38+IMDERTY!AJ38</f>
        <v/>
      </c>
      <c r="AK38" s="43" t="n"/>
      <c r="AL38" s="57" t="n"/>
      <c r="AM38" s="24">
        <f>C38+F38+I38+L38+O38+R38+U38+X38+AA38+AD38+AG38+AJ38</f>
        <v/>
      </c>
      <c r="AN38" s="195" t="n"/>
      <c r="AO38" s="57" t="n"/>
    </row>
    <row r="39" hidden="1" outlineLevel="1" ht="15" customHeight="1" s="985">
      <c r="B39" s="105" t="n"/>
      <c r="C39" s="25">
        <f>CALI!C39+HUNGRIA!C39+YUMBO!C39+'ADULTO MAYOR'!C39+'COMEDORES VALLE'!C39+BUGA!C39+'COMEDORES CALI'!C39+'CTAS EN PPACION'!C39+'COMEDORES PALMIRA'!C39+IMDERTY!C39</f>
        <v/>
      </c>
      <c r="D39" s="43" t="n"/>
      <c r="E39" s="57" t="n"/>
      <c r="F39" s="25">
        <f>CALI!F39+HUNGRIA!F39+YUMBO!F39+'ADULTO MAYOR'!F39+'COMEDORES VALLE'!F39+BUGA!F39+'COMEDORES CALI'!F39+'CTAS EN PPACION'!F39+'COMEDORES PALMIRA'!F39+IMDERTY!F39</f>
        <v/>
      </c>
      <c r="G39" s="43" t="n"/>
      <c r="H39" s="57" t="n"/>
      <c r="I39" s="25">
        <f>CALI!I39+HUNGRIA!I39+YUMBO!I39+'ADULTO MAYOR'!I39+'COMEDORES VALLE'!I39+BUGA!I39+'COMEDORES CALI'!I39+'CTAS EN PPACION'!I39+'COMEDORES PALMIRA'!I39+IMDERTY!I39</f>
        <v/>
      </c>
      <c r="J39" s="43" t="n"/>
      <c r="K39" s="57" t="n"/>
      <c r="L39" s="25">
        <f>CALI!L39+HUNGRIA!L39+YUMBO!L39+'ADULTO MAYOR'!L39+'COMEDORES VALLE'!L39+BUGA!L39+'COMEDORES CALI'!L39+'CTAS EN PPACION'!L39+'COMEDORES PALMIRA'!L39+IMDERTY!L39</f>
        <v/>
      </c>
      <c r="M39" s="43" t="n"/>
      <c r="N39" s="57" t="n"/>
      <c r="O39" s="25">
        <f>CALI!O39+HUNGRIA!O39+YUMBO!O39+'ADULTO MAYOR'!O39+'COMEDORES VALLE'!O39+BUGA!O39+'COMEDORES CALI'!O39+'CTAS EN PPACION'!O39+'COMEDORES PALMIRA'!O39+IMDERTY!O39</f>
        <v/>
      </c>
      <c r="P39" s="43" t="n"/>
      <c r="Q39" s="57" t="n"/>
      <c r="R39" s="25">
        <f>CALI!R39+HUNGRIA!R39+YUMBO!R39+'ADULTO MAYOR'!R39+'COMEDORES VALLE'!R39+BUGA!R39+'COMEDORES CALI'!R39+'CTAS EN PPACION'!R39+'COMEDORES PALMIRA'!R39+IMDERTY!R39</f>
        <v/>
      </c>
      <c r="S39" s="43" t="n"/>
      <c r="T39" s="57" t="n"/>
      <c r="U39" s="25">
        <f>CALI!U39+HUNGRIA!U39+YUMBO!U39+'ADULTO MAYOR'!U39+'COMEDORES VALLE'!U39+BUGA!U39+'COMEDORES CALI'!U39+'CTAS EN PPACION'!U39+'COMEDORES PALMIRA'!U39+IMDERTY!U39</f>
        <v/>
      </c>
      <c r="V39" s="43" t="n"/>
      <c r="W39" s="57" t="n"/>
      <c r="X39" s="25">
        <f>CALI!X39+HUNGRIA!X39+YUMBO!X39+'ADULTO MAYOR'!X39+'COMEDORES VALLE'!X39+BUGA!X39+'COMEDORES CALI'!X39+'CTAS EN PPACION'!X39+'COMEDORES PALMIRA'!X39+IMDERTY!X39</f>
        <v/>
      </c>
      <c r="Y39" s="43" t="n"/>
      <c r="Z39" s="57" t="n"/>
      <c r="AA39" s="25">
        <f>CALI!AA39+HUNGRIA!AA39+YUMBO!AA39+'ADULTO MAYOR'!AA39+'COMEDORES VALLE'!AA39+BUGA!AA39+'COMEDORES CALI'!AA39+'CTAS EN PPACION'!AA39+'COMEDORES PALMIRA'!AA39+IMDERTY!AA39</f>
        <v/>
      </c>
      <c r="AB39" s="43" t="n"/>
      <c r="AC39" s="57" t="n"/>
      <c r="AD39" s="25">
        <f>CALI!AD39+HUNGRIA!AD39+YUMBO!AD39+'ADULTO MAYOR'!AD39+'COMEDORES VALLE'!AD39+BUGA!AD39+'COMEDORES CALI'!AD39+'CTAS EN PPACION'!AD39+'COMEDORES PALMIRA'!AD39+IMDERTY!AD39</f>
        <v/>
      </c>
      <c r="AE39" s="43" t="n"/>
      <c r="AF39" s="57" t="n"/>
      <c r="AG39" s="25">
        <f>CALI!AG39+HUNGRIA!AG39+YUMBO!AG39+'ADULTO MAYOR'!AG39+'COMEDORES VALLE'!AG39+BUGA!AG39+'COMEDORES CALI'!AG39+'CTAS EN PPACION'!AG39+'COMEDORES PALMIRA'!AG39+IMDERTY!AG39</f>
        <v/>
      </c>
      <c r="AH39" s="43" t="n"/>
      <c r="AI39" s="57" t="n"/>
      <c r="AJ39" s="25">
        <f>CALI!AJ39+HUNGRIA!AJ39+YUMBO!AJ39+'ADULTO MAYOR'!AJ39+'COMEDORES VALLE'!AJ39+BUGA!AJ39+'COMEDORES CALI'!AJ39+'CTAS EN PPACION'!AJ39+'COMEDORES PALMIRA'!AJ39+IMDERTY!AJ39</f>
        <v/>
      </c>
      <c r="AK39" s="43" t="n"/>
      <c r="AL39" s="57" t="n"/>
      <c r="AM39" s="24">
        <f>C39+F39+I39+L39+O39+R39+U39+X39+AA39+AD39+AG39+AJ39</f>
        <v/>
      </c>
      <c r="AN39" s="195" t="n"/>
      <c r="AO39" s="57" t="n"/>
    </row>
    <row r="40" hidden="1" outlineLevel="1" ht="15" customHeight="1" s="985">
      <c r="B40" s="105" t="n"/>
      <c r="C40" s="25">
        <f>CALI!C40+HUNGRIA!C40+YUMBO!C40+'ADULTO MAYOR'!C40+'COMEDORES VALLE'!C40+BUGA!C40+'COMEDORES CALI'!C40+'CTAS EN PPACION'!C40+'COMEDORES PALMIRA'!C40+IMDERTY!C40</f>
        <v/>
      </c>
      <c r="D40" s="43" t="n"/>
      <c r="E40" s="57" t="n"/>
      <c r="F40" s="25">
        <f>CALI!F40+HUNGRIA!F40+YUMBO!F40+'ADULTO MAYOR'!F40+'COMEDORES VALLE'!F40+BUGA!F40+'COMEDORES CALI'!F40+'CTAS EN PPACION'!F40+'COMEDORES PALMIRA'!F40+IMDERTY!F40</f>
        <v/>
      </c>
      <c r="G40" s="43" t="n"/>
      <c r="H40" s="57" t="n"/>
      <c r="I40" s="25">
        <f>CALI!I40+HUNGRIA!I40+YUMBO!I40+'ADULTO MAYOR'!I40+'COMEDORES VALLE'!I40+BUGA!I40+'COMEDORES CALI'!I40+'CTAS EN PPACION'!I40+'COMEDORES PALMIRA'!I40+IMDERTY!I40</f>
        <v/>
      </c>
      <c r="J40" s="43" t="n"/>
      <c r="K40" s="57" t="n"/>
      <c r="L40" s="25">
        <f>CALI!L40+HUNGRIA!L40+YUMBO!L40+'ADULTO MAYOR'!L40+'COMEDORES VALLE'!L40+BUGA!L40+'COMEDORES CALI'!L40+'CTAS EN PPACION'!L40+'COMEDORES PALMIRA'!L40+IMDERTY!L40</f>
        <v/>
      </c>
      <c r="M40" s="43" t="n"/>
      <c r="N40" s="57" t="n"/>
      <c r="O40" s="25">
        <f>CALI!O40+HUNGRIA!O40+YUMBO!O40+'ADULTO MAYOR'!O40+'COMEDORES VALLE'!O40+BUGA!O40+'COMEDORES CALI'!O40+'CTAS EN PPACION'!O40+'COMEDORES PALMIRA'!O40+IMDERTY!O40</f>
        <v/>
      </c>
      <c r="P40" s="43" t="n"/>
      <c r="Q40" s="57" t="n"/>
      <c r="R40" s="25">
        <f>CALI!R40+HUNGRIA!R40+YUMBO!R40+'ADULTO MAYOR'!R40+'COMEDORES VALLE'!R40+BUGA!R40+'COMEDORES CALI'!R40+'CTAS EN PPACION'!R40+'COMEDORES PALMIRA'!R40+IMDERTY!R40</f>
        <v/>
      </c>
      <c r="S40" s="43" t="n"/>
      <c r="T40" s="57" t="n"/>
      <c r="U40" s="25">
        <f>CALI!U40+HUNGRIA!U40+YUMBO!U40+'ADULTO MAYOR'!U40+'COMEDORES VALLE'!U40+BUGA!U40+'COMEDORES CALI'!U40+'CTAS EN PPACION'!U40+'COMEDORES PALMIRA'!U40+IMDERTY!U40</f>
        <v/>
      </c>
      <c r="V40" s="43" t="n"/>
      <c r="W40" s="57" t="n"/>
      <c r="X40" s="25">
        <f>CALI!X40+HUNGRIA!X40+YUMBO!X40+'ADULTO MAYOR'!X40+'COMEDORES VALLE'!X40+BUGA!X40+'COMEDORES CALI'!X40+'CTAS EN PPACION'!X40+'COMEDORES PALMIRA'!X40+IMDERTY!X40</f>
        <v/>
      </c>
      <c r="Y40" s="43" t="n"/>
      <c r="Z40" s="57" t="n"/>
      <c r="AA40" s="25">
        <f>CALI!AA40+HUNGRIA!AA40+YUMBO!AA40+'ADULTO MAYOR'!AA40+'COMEDORES VALLE'!AA40+BUGA!AA40+'COMEDORES CALI'!AA40+'CTAS EN PPACION'!AA40+'COMEDORES PALMIRA'!AA40+IMDERTY!AA40</f>
        <v/>
      </c>
      <c r="AB40" s="43" t="n"/>
      <c r="AC40" s="57" t="n"/>
      <c r="AD40" s="25">
        <f>CALI!AD40+HUNGRIA!AD40+YUMBO!AD40+'ADULTO MAYOR'!AD40+'COMEDORES VALLE'!AD40+BUGA!AD40+'COMEDORES CALI'!AD40+'CTAS EN PPACION'!AD40+'COMEDORES PALMIRA'!AD40+IMDERTY!AD40</f>
        <v/>
      </c>
      <c r="AE40" s="43" t="n"/>
      <c r="AF40" s="57" t="n"/>
      <c r="AG40" s="25">
        <f>CALI!AG40+HUNGRIA!AG40+YUMBO!AG40+'ADULTO MAYOR'!AG40+'COMEDORES VALLE'!AG40+BUGA!AG40+'COMEDORES CALI'!AG40+'CTAS EN PPACION'!AG40+'COMEDORES PALMIRA'!AG40+IMDERTY!AG40</f>
        <v/>
      </c>
      <c r="AH40" s="43" t="n"/>
      <c r="AI40" s="57" t="n"/>
      <c r="AJ40" s="25">
        <f>CALI!AJ40+HUNGRIA!AJ40+YUMBO!AJ40+'ADULTO MAYOR'!AJ40+'COMEDORES VALLE'!AJ40+BUGA!AJ40+'COMEDORES CALI'!AJ40+'CTAS EN PPACION'!AJ40+'COMEDORES PALMIRA'!AJ40+IMDERTY!AJ40</f>
        <v/>
      </c>
      <c r="AK40" s="43" t="n"/>
      <c r="AL40" s="57" t="n"/>
      <c r="AM40" s="24">
        <f>C40+F40+I40+L40+O40+R40+U40+X40+AA40+AD40+AG40+AJ40</f>
        <v/>
      </c>
      <c r="AN40" s="195" t="n"/>
      <c r="AO40" s="57" t="n"/>
    </row>
    <row r="41" hidden="1" outlineLevel="1" ht="15" customHeight="1" s="985">
      <c r="B41" s="30" t="n"/>
      <c r="C41" s="22">
        <f>CALI!C41+HUNGRIA!C41+YUMBO!C41+'ADULTO MAYOR'!C41+'COMEDORES VALLE'!C41+BUGA!C41+'COMEDORES CALI'!C41+'CTAS EN PPACION'!C41+'COMEDORES PALMIRA'!C41+IMDERTY!C41</f>
        <v/>
      </c>
      <c r="D41" s="42" t="n"/>
      <c r="E41" s="56" t="n"/>
      <c r="F41" s="22">
        <f>CALI!F41+HUNGRIA!F41+YUMBO!F41+'ADULTO MAYOR'!F41+'COMEDORES VALLE'!F41+BUGA!F41+'COMEDORES CALI'!F41+'CTAS EN PPACION'!F41+'COMEDORES PALMIRA'!F41+IMDERTY!F41</f>
        <v/>
      </c>
      <c r="G41" s="42" t="n"/>
      <c r="H41" s="56" t="n"/>
      <c r="I41" s="22">
        <f>CALI!I41+HUNGRIA!I41+YUMBO!I41+'ADULTO MAYOR'!I41+'COMEDORES VALLE'!I41+BUGA!I41+'COMEDORES CALI'!I41+'CTAS EN PPACION'!I41+'COMEDORES PALMIRA'!I41+IMDERTY!I41</f>
        <v/>
      </c>
      <c r="J41" s="42" t="n"/>
      <c r="K41" s="56" t="n"/>
      <c r="L41" s="22">
        <f>CALI!L41+HUNGRIA!L41+YUMBO!L41+'ADULTO MAYOR'!L41+'COMEDORES VALLE'!L41+BUGA!L41+'COMEDORES CALI'!L41+'CTAS EN PPACION'!L41+'COMEDORES PALMIRA'!L41+IMDERTY!L41</f>
        <v/>
      </c>
      <c r="M41" s="42" t="n"/>
      <c r="N41" s="56" t="n"/>
      <c r="O41" s="22">
        <f>CALI!O41+HUNGRIA!O41+YUMBO!O41+'ADULTO MAYOR'!O41+'COMEDORES VALLE'!O41+BUGA!O41+'COMEDORES CALI'!O41+'CTAS EN PPACION'!O41+'COMEDORES PALMIRA'!O41+IMDERTY!O41</f>
        <v/>
      </c>
      <c r="P41" s="42" t="n"/>
      <c r="Q41" s="56" t="n"/>
      <c r="R41" s="22">
        <f>CALI!R41+HUNGRIA!R41+YUMBO!R41+'ADULTO MAYOR'!R41+'COMEDORES VALLE'!R41+BUGA!R41+'COMEDORES CALI'!R41+'CTAS EN PPACION'!R41+'COMEDORES PALMIRA'!R41+IMDERTY!R41</f>
        <v/>
      </c>
      <c r="S41" s="42" t="n"/>
      <c r="T41" s="56" t="n"/>
      <c r="U41" s="22">
        <f>CALI!U41+HUNGRIA!U41+YUMBO!U41+'ADULTO MAYOR'!U41+'COMEDORES VALLE'!U41+BUGA!U41+'COMEDORES CALI'!U41+'CTAS EN PPACION'!U41+'COMEDORES PALMIRA'!U41+IMDERTY!U41</f>
        <v/>
      </c>
      <c r="V41" s="42" t="n"/>
      <c r="W41" s="56" t="n"/>
      <c r="X41" s="22">
        <f>CALI!X41+HUNGRIA!X41+YUMBO!X41+'ADULTO MAYOR'!X41+'COMEDORES VALLE'!X41+BUGA!X41+'COMEDORES CALI'!X41+'CTAS EN PPACION'!X41+'COMEDORES PALMIRA'!X41+IMDERTY!X41</f>
        <v/>
      </c>
      <c r="Y41" s="42" t="n"/>
      <c r="Z41" s="56" t="n"/>
      <c r="AA41" s="22">
        <f>CALI!AA41+HUNGRIA!AA41+YUMBO!AA41+'ADULTO MAYOR'!AA41+'COMEDORES VALLE'!AA41+BUGA!AA41+'COMEDORES CALI'!AA41+'CTAS EN PPACION'!AA41+'COMEDORES PALMIRA'!AA41+IMDERTY!AA41</f>
        <v/>
      </c>
      <c r="AB41" s="42" t="n"/>
      <c r="AC41" s="56" t="n"/>
      <c r="AD41" s="22">
        <f>CALI!AD41+HUNGRIA!AD41+YUMBO!AD41+'ADULTO MAYOR'!AD41+'COMEDORES VALLE'!AD41+BUGA!AD41+'COMEDORES CALI'!AD41+'CTAS EN PPACION'!AD41+'COMEDORES PALMIRA'!AD41+IMDERTY!AD41</f>
        <v/>
      </c>
      <c r="AE41" s="42" t="n"/>
      <c r="AF41" s="56" t="n"/>
      <c r="AG41" s="22">
        <f>CALI!AG41+HUNGRIA!AG41+YUMBO!AG41+'ADULTO MAYOR'!AG41+'COMEDORES VALLE'!AG41+BUGA!AG41+'COMEDORES CALI'!AG41+'CTAS EN PPACION'!AG41+'COMEDORES PALMIRA'!AG41+IMDERTY!AG41</f>
        <v/>
      </c>
      <c r="AH41" s="42" t="n"/>
      <c r="AI41" s="56" t="n"/>
      <c r="AJ41" s="22">
        <f>CALI!AJ41+HUNGRIA!AJ41+YUMBO!AJ41+'ADULTO MAYOR'!AJ41+'COMEDORES VALLE'!AJ41+BUGA!AJ41+'COMEDORES CALI'!AJ41+'CTAS EN PPACION'!AJ41+'COMEDORES PALMIRA'!AJ41+IMDERTY!AJ41</f>
        <v/>
      </c>
      <c r="AK41" s="42" t="n"/>
      <c r="AL41" s="56" t="n"/>
      <c r="AM41" s="23">
        <f>C41+F41+I41+L41+O41+R41+U41+X41+AA41+AD41+AG41+AJ41</f>
        <v/>
      </c>
      <c r="AN41" s="194" t="n"/>
      <c r="AO41" s="56" t="n"/>
    </row>
    <row r="42" ht="15" customHeight="1" s="985" thickBot="1">
      <c r="B42" s="528" t="inlineStr">
        <is>
          <t>TOTAL INGRESOS NETOS</t>
        </is>
      </c>
      <c r="C42" s="488">
        <f>+C14+C23-C28</f>
        <v/>
      </c>
      <c r="D42" s="489" t="n"/>
      <c r="E42" s="510" t="n"/>
      <c r="F42" s="488">
        <f>+F14+F23-F28</f>
        <v/>
      </c>
      <c r="G42" s="489" t="n"/>
      <c r="H42" s="510" t="n"/>
      <c r="I42" s="488">
        <f>+I14+I23-I28</f>
        <v/>
      </c>
      <c r="J42" s="489" t="n"/>
      <c r="K42" s="510" t="n"/>
      <c r="L42" s="488">
        <f>+L14+L23-L28</f>
        <v/>
      </c>
      <c r="M42" s="489" t="n"/>
      <c r="N42" s="510" t="n"/>
      <c r="O42" s="488">
        <f>+O14+O23-O28</f>
        <v/>
      </c>
      <c r="P42" s="489" t="n"/>
      <c r="Q42" s="510" t="n"/>
      <c r="R42" s="488">
        <f>+R14+R23-R28</f>
        <v/>
      </c>
      <c r="S42" s="489" t="n"/>
      <c r="T42" s="510" t="n"/>
      <c r="U42" s="488">
        <f>+U14+U23-U28</f>
        <v/>
      </c>
      <c r="V42" s="489" t="n"/>
      <c r="W42" s="510" t="n"/>
      <c r="X42" s="488">
        <f>+X14+X23-X28</f>
        <v/>
      </c>
      <c r="Y42" s="489" t="n"/>
      <c r="Z42" s="510" t="n"/>
      <c r="AA42" s="488">
        <f>+AA14+AA23-AA28</f>
        <v/>
      </c>
      <c r="AB42" s="489" t="n"/>
      <c r="AC42" s="510" t="n"/>
      <c r="AD42" s="488">
        <f>+AD14+AD23-AD28</f>
        <v/>
      </c>
      <c r="AE42" s="489" t="n"/>
      <c r="AF42" s="510" t="n"/>
      <c r="AG42" s="488">
        <f>+AG14+AG23-AG28</f>
        <v/>
      </c>
      <c r="AH42" s="489" t="n"/>
      <c r="AI42" s="510" t="n"/>
      <c r="AJ42" s="488">
        <f>+AJ14+AJ23-AJ28</f>
        <v/>
      </c>
      <c r="AK42" s="489" t="n"/>
      <c r="AL42" s="510" t="n"/>
      <c r="AM42" s="593">
        <f>C42+F42+I42+L42+O42+R42+U42+X42+AA42+AD42+AG42+AJ42</f>
        <v/>
      </c>
      <c r="AN42" s="594" t="n"/>
      <c r="AO42" s="510" t="n"/>
    </row>
    <row r="43" ht="15" customHeight="1" s="985" thickBot="1" thickTop="1">
      <c r="C43" s="933" t="n"/>
      <c r="D43" s="934" t="n"/>
      <c r="E43" s="935">
        <f>(C46+C61)/(C13-C20-C21-C22)</f>
        <v/>
      </c>
      <c r="F43" s="933" t="n"/>
      <c r="G43" s="933" t="n"/>
      <c r="H43" s="966">
        <f>(F46+F61)/(F13-F20-F21-F22)</f>
        <v/>
      </c>
      <c r="I43" s="933" t="n"/>
      <c r="J43" s="933" t="n"/>
      <c r="K43" s="1233">
        <f>(I46+I61)/(I13-I20-I21-I22)</f>
        <v/>
      </c>
      <c r="L43" s="933" t="n"/>
      <c r="M43" s="933" t="n"/>
      <c r="N43" s="1234">
        <f>(L46+L61)/(L13-L20-L21-L22)</f>
        <v/>
      </c>
      <c r="O43" s="933" t="n"/>
      <c r="P43" s="933" t="n"/>
      <c r="Q43" s="938">
        <f>(O46+O61)/(O13-O20-O21-O22)</f>
        <v/>
      </c>
      <c r="R43" s="933" t="n"/>
      <c r="S43" s="933" t="n"/>
      <c r="T43" s="1234">
        <f>(R46+R61)/(R13-R20-R21-R22)</f>
        <v/>
      </c>
      <c r="U43" s="933" t="n"/>
      <c r="V43" s="933" t="n"/>
      <c r="W43" s="1234">
        <f>(U46+U61)/(U13-U20-U21-U22)</f>
        <v/>
      </c>
      <c r="X43" s="933" t="n"/>
      <c r="Y43" s="933" t="n"/>
      <c r="Z43" s="1234">
        <f>(X46+X61)/(X13-X20-X21-X22)</f>
        <v/>
      </c>
      <c r="AA43" s="933">
        <f>650768778-AA29</f>
        <v/>
      </c>
      <c r="AB43" s="933" t="n"/>
      <c r="AC43" s="1234">
        <f>(AA46+AA61)/(AA13-AA20-AA21-AA22)</f>
        <v/>
      </c>
      <c r="AD43" s="939" t="n"/>
      <c r="AE43" s="940" t="n"/>
      <c r="AF43" s="1234">
        <f>(AD46+AD61)/(AD13-AD20-AD21-AD22)</f>
        <v/>
      </c>
      <c r="AG43" s="940">
        <f>(AG13*AF43)-(AG46+AG61)</f>
        <v/>
      </c>
      <c r="AH43" s="940" t="n"/>
      <c r="AI43" s="1234">
        <f>(AG46+AG61)/(AG13-AG20-AG21-AG22)</f>
        <v/>
      </c>
      <c r="AJ43" s="940">
        <f>(AJ13*AI43)-(AJ46+AJ61)</f>
        <v/>
      </c>
      <c r="AK43" s="940" t="n"/>
      <c r="AL43" s="1234">
        <f>(AJ46+AJ61)/(AJ13-AJ20-AJ21-AJ22)</f>
        <v/>
      </c>
      <c r="AM43" s="870" t="n"/>
      <c r="AN43" s="697" t="n"/>
      <c r="AO43" s="941">
        <f>(AM46+AM61)/(AM13-AM20-AM21-AM22)</f>
        <v/>
      </c>
    </row>
    <row r="44" ht="15" customHeight="1" s="985" thickTop="1">
      <c r="B44" s="527" t="inlineStr">
        <is>
          <t>COSTOS DE PRODUCCION</t>
        </is>
      </c>
      <c r="C44" s="491">
        <f>+C45+C60+C78</f>
        <v/>
      </c>
      <c r="D44" s="492" t="n"/>
      <c r="E44" s="1069">
        <f>C44/C13</f>
        <v/>
      </c>
      <c r="F44" s="491">
        <f>+F45+F60+F78</f>
        <v/>
      </c>
      <c r="G44" s="492" t="n"/>
      <c r="H44" s="1069">
        <f>F44/F13</f>
        <v/>
      </c>
      <c r="I44" s="491">
        <f>+I45+I60+I78</f>
        <v/>
      </c>
      <c r="J44" s="492" t="n"/>
      <c r="K44" s="1069">
        <f>I44/I13</f>
        <v/>
      </c>
      <c r="L44" s="491">
        <f>+L45+L60+L78</f>
        <v/>
      </c>
      <c r="M44" s="492" t="n"/>
      <c r="N44" s="1069">
        <f>L44/L13</f>
        <v/>
      </c>
      <c r="O44" s="491">
        <f>+O45+O60+O78</f>
        <v/>
      </c>
      <c r="P44" s="492" t="n"/>
      <c r="Q44" s="1069">
        <f>O44/O13</f>
        <v/>
      </c>
      <c r="R44" s="491">
        <f>+R45+R60+R78</f>
        <v/>
      </c>
      <c r="S44" s="492" t="n"/>
      <c r="T44" s="1069">
        <f>R44/R13</f>
        <v/>
      </c>
      <c r="U44" s="491">
        <f>+U45+U60+U78</f>
        <v/>
      </c>
      <c r="V44" s="492" t="n"/>
      <c r="W44" s="1069">
        <f>U44/U13</f>
        <v/>
      </c>
      <c r="X44" s="491">
        <f>+X45+X60+X78</f>
        <v/>
      </c>
      <c r="Y44" s="492" t="n"/>
      <c r="Z44" s="1069">
        <f>X44/X13</f>
        <v/>
      </c>
      <c r="AA44" s="491">
        <f>+AA45+AA60+AA78</f>
        <v/>
      </c>
      <c r="AB44" s="492" t="n"/>
      <c r="AC44" s="1069">
        <f>AA44/AA13</f>
        <v/>
      </c>
      <c r="AD44" s="491">
        <f>+AD45+AD60+AD78</f>
        <v/>
      </c>
      <c r="AE44" s="492" t="n"/>
      <c r="AF44" s="1069">
        <f>AD44/AD13</f>
        <v/>
      </c>
      <c r="AG44" s="491">
        <f>+AG45+AG60+AG78</f>
        <v/>
      </c>
      <c r="AH44" s="492" t="n"/>
      <c r="AI44" s="1069">
        <f>AG44/AG13</f>
        <v/>
      </c>
      <c r="AJ44" s="491">
        <f>+AJ45+AJ60+AJ78</f>
        <v/>
      </c>
      <c r="AK44" s="492" t="n"/>
      <c r="AL44" s="1069">
        <f>AJ44/AJ13</f>
        <v/>
      </c>
      <c r="AM44" s="595">
        <f>C44+F44+I44+L44+O44+R44+U44+X44+AA44+AD44+AG44+AJ44</f>
        <v/>
      </c>
      <c r="AN44" s="596" t="n"/>
      <c r="AO44" s="1069">
        <f>AM44/AM13</f>
        <v/>
      </c>
    </row>
    <row r="45" ht="15" customHeight="1" s="985">
      <c r="B45" s="16" t="inlineStr">
        <is>
          <t>COSTOS INDUSTRIALIZADOS</t>
        </is>
      </c>
      <c r="C45" s="49">
        <f>+C46+C57</f>
        <v/>
      </c>
      <c r="D45" s="3" t="n"/>
      <c r="E45" s="1053">
        <f>C45/C13</f>
        <v/>
      </c>
      <c r="F45" s="49">
        <f>+F46+F57</f>
        <v/>
      </c>
      <c r="G45" s="3" t="n"/>
      <c r="H45" s="1053">
        <f>F45/F13</f>
        <v/>
      </c>
      <c r="I45" s="49">
        <f>+I46+I57</f>
        <v/>
      </c>
      <c r="J45" s="3" t="n"/>
      <c r="K45" s="1053">
        <f>I45/I13</f>
        <v/>
      </c>
      <c r="L45" s="49">
        <f>+L46+L57</f>
        <v/>
      </c>
      <c r="M45" s="3" t="n"/>
      <c r="N45" s="1053">
        <f>L45/L13</f>
        <v/>
      </c>
      <c r="O45" s="49">
        <f>+O46+O57</f>
        <v/>
      </c>
      <c r="P45" s="3" t="n"/>
      <c r="Q45" s="1053">
        <f>O45/O13</f>
        <v/>
      </c>
      <c r="R45" s="90">
        <f>+R46+R57</f>
        <v/>
      </c>
      <c r="S45" s="3" t="n"/>
      <c r="T45" s="1053">
        <f>R45/R13</f>
        <v/>
      </c>
      <c r="U45" s="49">
        <f>+U46+U57</f>
        <v/>
      </c>
      <c r="V45" s="3" t="n"/>
      <c r="W45" s="1053">
        <f>U45/U13</f>
        <v/>
      </c>
      <c r="X45" s="49">
        <f>+X46+X57</f>
        <v/>
      </c>
      <c r="Y45" s="3" t="n"/>
      <c r="Z45" s="1053">
        <f>X45/X13</f>
        <v/>
      </c>
      <c r="AA45" s="90">
        <f>+AA46+AA57</f>
        <v/>
      </c>
      <c r="AB45" s="3" t="n"/>
      <c r="AC45" s="1053">
        <f>AA45/AA13</f>
        <v/>
      </c>
      <c r="AD45" s="49">
        <f>+AD46+AD57</f>
        <v/>
      </c>
      <c r="AE45" s="3" t="n"/>
      <c r="AF45" s="1053">
        <f>AD45/AD13</f>
        <v/>
      </c>
      <c r="AG45" s="49">
        <f>+AG46+AG57</f>
        <v/>
      </c>
      <c r="AH45" s="3" t="n"/>
      <c r="AI45" s="1053">
        <f>AG45/AG13</f>
        <v/>
      </c>
      <c r="AJ45" s="49">
        <f>+AJ46+AJ57</f>
        <v/>
      </c>
      <c r="AK45" s="3" t="n"/>
      <c r="AL45" s="1053">
        <f>AJ45/AJ13</f>
        <v/>
      </c>
      <c r="AM45" s="17">
        <f>C45+F45+I45+L45+O45+R45+U45+X45+AA45+AD45+AG45+AJ45</f>
        <v/>
      </c>
      <c r="AN45" s="197" t="n"/>
      <c r="AO45" s="1053">
        <f>AM45/AM13</f>
        <v/>
      </c>
    </row>
    <row r="46" ht="15" customHeight="1" s="985">
      <c r="B46" s="36" t="inlineStr">
        <is>
          <t>INSUMOS INDUSTRIALIZADOS</t>
        </is>
      </c>
      <c r="C46" s="46">
        <f>SUM(C47:C56)</f>
        <v/>
      </c>
      <c r="D46" s="47" t="n"/>
      <c r="E46" s="1049">
        <f>C46/C13</f>
        <v/>
      </c>
      <c r="F46" s="46">
        <f>SUM(F47:F56)</f>
        <v/>
      </c>
      <c r="G46" s="47" t="n"/>
      <c r="H46" s="1049">
        <f>F46/F13</f>
        <v/>
      </c>
      <c r="I46" s="46">
        <f>SUM(I47:I56)</f>
        <v/>
      </c>
      <c r="J46" s="47" t="n"/>
      <c r="K46" s="1049">
        <f>I46/I13</f>
        <v/>
      </c>
      <c r="L46" s="46">
        <f>SUM(L47:L56)</f>
        <v/>
      </c>
      <c r="M46" s="47" t="n"/>
      <c r="N46" s="1049">
        <f>L46/L13</f>
        <v/>
      </c>
      <c r="O46" s="46">
        <f>SUM(O47:O56)</f>
        <v/>
      </c>
      <c r="P46" s="47" t="n"/>
      <c r="Q46" s="1049">
        <f>O46/O13</f>
        <v/>
      </c>
      <c r="R46" s="46">
        <f>SUM(R47:R56)</f>
        <v/>
      </c>
      <c r="S46" s="47" t="n"/>
      <c r="T46" s="1049">
        <f>R46/R13</f>
        <v/>
      </c>
      <c r="U46" s="46">
        <f>SUM(U47:U56)</f>
        <v/>
      </c>
      <c r="V46" s="47" t="n"/>
      <c r="W46" s="1049">
        <f>U46/U13</f>
        <v/>
      </c>
      <c r="X46" s="46">
        <f>SUM(X47:X56)</f>
        <v/>
      </c>
      <c r="Y46" s="47" t="n"/>
      <c r="Z46" s="1049">
        <f>X46/X13</f>
        <v/>
      </c>
      <c r="AA46" s="46">
        <f>SUM(AA47:AA56)</f>
        <v/>
      </c>
      <c r="AB46" s="47" t="n"/>
      <c r="AC46" s="1049">
        <f>AA46/AA13</f>
        <v/>
      </c>
      <c r="AD46" s="46">
        <f>SUM(AD47:AD56)</f>
        <v/>
      </c>
      <c r="AE46" s="47" t="n"/>
      <c r="AF46" s="1049">
        <f>AD46/AD13</f>
        <v/>
      </c>
      <c r="AG46" s="46">
        <f>SUM(AG47:AG56)</f>
        <v/>
      </c>
      <c r="AH46" s="47" t="n"/>
      <c r="AI46" s="1049">
        <f>AG46/AG13</f>
        <v/>
      </c>
      <c r="AJ46" s="46">
        <f>SUM(AJ47:AJ56)</f>
        <v/>
      </c>
      <c r="AK46" s="47" t="n"/>
      <c r="AL46" s="1049">
        <f>AJ46/AJ13</f>
        <v/>
      </c>
      <c r="AM46" s="29">
        <f>C46+F46+I46+L46+O46+R46+U46+X46+AA46+AD46+AG46+AJ46</f>
        <v/>
      </c>
      <c r="AN46" s="199" t="n"/>
      <c r="AO46" s="1049">
        <f>AM46/AM13</f>
        <v/>
      </c>
    </row>
    <row r="47" ht="15" customHeight="1" s="985">
      <c r="B47" s="97" t="n"/>
      <c r="C47" s="50">
        <f>CALI!C47+HUNGRIA!C47+YUMBO!C47+'ADULTO MAYOR'!C47+'COMEDORES VALLE'!C47+BUGA!C47+'COMEDORES CALI'!C47+'CTAS EN PPACION'!C47+'COMEDORES PALMIRA'!C47+IMDERTY!C47</f>
        <v/>
      </c>
      <c r="D47" s="42" t="n"/>
      <c r="E47" s="56" t="n"/>
      <c r="F47" s="50">
        <f>CALI!F47+HUNGRIA!F47+YUMBO!F47+'ADULTO MAYOR'!F47+'COMEDORES VALLE'!F47+BUGA!F47+'COMEDORES CALI'!F47+'CTAS EN PPACION'!F47+'COMEDORES PALMIRA'!F47+IMDERTY!F47</f>
        <v/>
      </c>
      <c r="G47" s="42" t="n"/>
      <c r="H47" s="56" t="n"/>
      <c r="I47" s="50">
        <f>CALI!I47+HUNGRIA!I47+YUMBO!I47+'ADULTO MAYOR'!I47+'COMEDORES VALLE'!I47+BUGA!I47+'COMEDORES CALI'!I47+'CTAS EN PPACION'!I47+'COMEDORES PALMIRA'!I47+IMDERTY!I47</f>
        <v/>
      </c>
      <c r="J47" s="42" t="n"/>
      <c r="K47" s="56" t="n"/>
      <c r="L47" s="50">
        <f>CALI!L47+HUNGRIA!L47+YUMBO!L47+'ADULTO MAYOR'!L47+'COMEDORES VALLE'!L47+BUGA!L47+'COMEDORES CALI'!L47+'CTAS EN PPACION'!L47+'COMEDORES PALMIRA'!L47+IMDERTY!L47</f>
        <v/>
      </c>
      <c r="M47" s="42" t="n"/>
      <c r="N47" s="56" t="n"/>
      <c r="O47" s="50">
        <f>CALI!O47+HUNGRIA!O47+YUMBO!O47+'ADULTO MAYOR'!O47+'COMEDORES VALLE'!O47+BUGA!O47+'COMEDORES CALI'!O47+'CTAS EN PPACION'!O47+'COMEDORES PALMIRA'!O47+IMDERTY!O47</f>
        <v/>
      </c>
      <c r="P47" s="42" t="n"/>
      <c r="Q47" s="56" t="n"/>
      <c r="R47" s="50">
        <f>CALI!R47+HUNGRIA!R47+YUMBO!R47+'ADULTO MAYOR'!R47+'COMEDORES VALLE'!R47+BUGA!R47+'COMEDORES CALI'!R47+'CTAS EN PPACION'!R47+'COMEDORES PALMIRA'!R47+IMDERTY!R47</f>
        <v/>
      </c>
      <c r="S47" s="42" t="n"/>
      <c r="T47" s="56" t="n"/>
      <c r="U47" s="50">
        <f>CALI!U47+HUNGRIA!U47+YUMBO!U47+'ADULTO MAYOR'!U47+'COMEDORES VALLE'!U47+BUGA!U47+'COMEDORES CALI'!U47+'CTAS EN PPACION'!U47+'COMEDORES PALMIRA'!U47+IMDERTY!U47</f>
        <v/>
      </c>
      <c r="V47" s="42" t="n"/>
      <c r="W47" s="56" t="n"/>
      <c r="X47" s="50">
        <f>CALI!X47+HUNGRIA!X47+YUMBO!X47+'ADULTO MAYOR'!X47+'COMEDORES VALLE'!X47+BUGA!X47+'COMEDORES CALI'!X47+'CTAS EN PPACION'!X47+'COMEDORES PALMIRA'!X47+IMDERTY!X47</f>
        <v/>
      </c>
      <c r="Y47" s="42" t="n"/>
      <c r="Z47" s="56" t="n"/>
      <c r="AA47" s="50">
        <f>CALI!AA47+HUNGRIA!AA47+YUMBO!AA47+'ADULTO MAYOR'!AA47+'COMEDORES VALLE'!AA47+BUGA!AA47+'COMEDORES CALI'!AA47+'CTAS EN PPACION'!AA47+'COMEDORES PALMIRA'!AA47+IMDERTY!AA47</f>
        <v/>
      </c>
      <c r="AB47" s="42" t="n"/>
      <c r="AC47" s="56" t="n"/>
      <c r="AD47" s="50">
        <f>CALI!AD47+HUNGRIA!AD47+YUMBO!AD47+'ADULTO MAYOR'!AD47+'COMEDORES VALLE'!AD47+BUGA!AD47+'COMEDORES CALI'!AD47+'CTAS EN PPACION'!AD47+'COMEDORES PALMIRA'!AD47+IMDERTY!AD47</f>
        <v/>
      </c>
      <c r="AE47" s="42" t="n"/>
      <c r="AF47" s="56" t="n"/>
      <c r="AG47" s="50">
        <f>CALI!AG47+HUNGRIA!AG47+YUMBO!AG47+'ADULTO MAYOR'!AG47+'COMEDORES VALLE'!AG47+BUGA!AG47+'COMEDORES CALI'!AG47+'CTAS EN PPACION'!AG47+'COMEDORES PALMIRA'!AG47+IMDERTY!AG47</f>
        <v/>
      </c>
      <c r="AH47" s="42" t="n"/>
      <c r="AI47" s="56" t="n"/>
      <c r="AJ47" s="50">
        <f>CALI!AJ47+HUNGRIA!AJ47+YUMBO!AJ47+'ADULTO MAYOR'!AJ47+'COMEDORES VALLE'!AJ47+BUGA!AJ47+'COMEDORES CALI'!AJ47+'CTAS EN PPACION'!AJ47+'COMEDORES PALMIRA'!AJ47+IMDERTY!AJ47</f>
        <v/>
      </c>
      <c r="AK47" s="42" t="n"/>
      <c r="AL47" s="56" t="n"/>
      <c r="AM47" s="23">
        <f>C47+F47+I47+L47+O47+R47+U47+X47+AA47+AD47+AG47+AJ47</f>
        <v/>
      </c>
      <c r="AN47" s="194" t="n"/>
      <c r="AO47" s="56" t="n"/>
    </row>
    <row r="48" ht="15" customHeight="1" s="985">
      <c r="B48" s="25" t="n"/>
      <c r="C48" s="25">
        <f>CALI!C48+HUNGRIA!C48+YUMBO!C48+'ADULTO MAYOR'!C48+'COMEDORES VALLE'!C48+BUGA!C48+'COMEDORES CALI'!C48+'CTAS EN PPACION'!C48+'COMEDORES PALMIRA'!C48+IMDERTY!C48</f>
        <v/>
      </c>
      <c r="D48" s="43" t="n"/>
      <c r="E48" s="57" t="n"/>
      <c r="F48" s="25">
        <f>CALI!F48+HUNGRIA!F48+YUMBO!F48+'ADULTO MAYOR'!F48+'COMEDORES VALLE'!F48+BUGA!F48+'COMEDORES CALI'!F48+'CTAS EN PPACION'!F48+'COMEDORES PALMIRA'!F48+IMDERTY!F48</f>
        <v/>
      </c>
      <c r="G48" s="43" t="n"/>
      <c r="H48" s="57" t="n"/>
      <c r="I48" s="25">
        <f>CALI!I48+HUNGRIA!I48+YUMBO!I48+'ADULTO MAYOR'!I48+'COMEDORES VALLE'!I48+BUGA!I48+'COMEDORES CALI'!I48+'CTAS EN PPACION'!I48+'COMEDORES PALMIRA'!I48+IMDERTY!I48</f>
        <v/>
      </c>
      <c r="J48" s="43" t="n"/>
      <c r="K48" s="57" t="n"/>
      <c r="L48" s="25">
        <f>CALI!L48+HUNGRIA!L48+YUMBO!L48+'ADULTO MAYOR'!L48+'COMEDORES VALLE'!L48+BUGA!L48+'COMEDORES CALI'!L48+'CTAS EN PPACION'!L48+'COMEDORES PALMIRA'!L48+IMDERTY!L48</f>
        <v/>
      </c>
      <c r="M48" s="43" t="n"/>
      <c r="N48" s="57" t="n"/>
      <c r="O48" s="25">
        <f>CALI!O48+HUNGRIA!O48+YUMBO!O48+'ADULTO MAYOR'!O48+'COMEDORES VALLE'!O48+BUGA!O48+'COMEDORES CALI'!O48+'CTAS EN PPACION'!O48+'COMEDORES PALMIRA'!O48+IMDERTY!O48</f>
        <v/>
      </c>
      <c r="P48" s="43" t="n"/>
      <c r="Q48" s="57" t="n"/>
      <c r="R48" s="25">
        <f>CALI!R48+HUNGRIA!R48+YUMBO!R48+'ADULTO MAYOR'!R48+'COMEDORES VALLE'!R48+BUGA!R48+'COMEDORES CALI'!R48+'CTAS EN PPACION'!R48+'COMEDORES PALMIRA'!R48+IMDERTY!R48</f>
        <v/>
      </c>
      <c r="S48" s="43" t="n"/>
      <c r="T48" s="57" t="n"/>
      <c r="U48" s="25">
        <f>CALI!U48+HUNGRIA!U48+YUMBO!U48+'ADULTO MAYOR'!U48+'COMEDORES VALLE'!U48+BUGA!U48+'COMEDORES CALI'!U48+'CTAS EN PPACION'!U48+'COMEDORES PALMIRA'!U48+IMDERTY!U48</f>
        <v/>
      </c>
      <c r="V48" s="43" t="n"/>
      <c r="W48" s="57" t="n"/>
      <c r="X48" s="25">
        <f>CALI!X48+HUNGRIA!X48+YUMBO!X48+'ADULTO MAYOR'!X48+'COMEDORES VALLE'!X48+BUGA!X48+'COMEDORES CALI'!X48+'CTAS EN PPACION'!X48+'COMEDORES PALMIRA'!X48+IMDERTY!X48</f>
        <v/>
      </c>
      <c r="Y48" s="43" t="n"/>
      <c r="Z48" s="57" t="n"/>
      <c r="AA48" s="25">
        <f>CALI!AA48+HUNGRIA!AA48+YUMBO!AA48+'ADULTO MAYOR'!AA48+'COMEDORES VALLE'!AA48+BUGA!AA48+'COMEDORES CALI'!AA48+'CTAS EN PPACION'!AA48+'COMEDORES PALMIRA'!AA48+IMDERTY!AA48</f>
        <v/>
      </c>
      <c r="AB48" s="43" t="n"/>
      <c r="AC48" s="57" t="n"/>
      <c r="AD48" s="25">
        <f>CALI!AD48+HUNGRIA!AD48+YUMBO!AD48+'ADULTO MAYOR'!AD48+'COMEDORES VALLE'!AD48+BUGA!AD48+'COMEDORES CALI'!AD48+'CTAS EN PPACION'!AD48+'COMEDORES PALMIRA'!AD48+IMDERTY!AD48</f>
        <v/>
      </c>
      <c r="AE48" s="43" t="n"/>
      <c r="AF48" s="57" t="n"/>
      <c r="AG48" s="25">
        <f>CALI!AG48+HUNGRIA!AG48+YUMBO!AG48+'ADULTO MAYOR'!AG48+'COMEDORES VALLE'!AG48+BUGA!AG48+'COMEDORES CALI'!AG48+'CTAS EN PPACION'!AG48+'COMEDORES PALMIRA'!AG48+IMDERTY!AG48</f>
        <v/>
      </c>
      <c r="AH48" s="43" t="n"/>
      <c r="AI48" s="57" t="n"/>
      <c r="AJ48" s="25">
        <f>CALI!AJ48+HUNGRIA!AJ48+YUMBO!AJ48+'ADULTO MAYOR'!AJ48+'COMEDORES VALLE'!AJ48+BUGA!AJ48+'COMEDORES CALI'!AJ48+'CTAS EN PPACION'!AJ48+'COMEDORES PALMIRA'!AJ48+IMDERTY!AJ48</f>
        <v/>
      </c>
      <c r="AK48" s="43" t="n"/>
      <c r="AL48" s="57" t="n"/>
      <c r="AM48" s="24">
        <f>C48+F48+I48+L48+O48+R48+U48+X48+AA48+AD48+AG48+AJ48</f>
        <v/>
      </c>
      <c r="AN48" s="195" t="n"/>
      <c r="AO48" s="57" t="n"/>
    </row>
    <row r="49" ht="15" customHeight="1" s="985">
      <c r="B49" s="25" t="n"/>
      <c r="C49" s="25">
        <f>CALI!C49+HUNGRIA!C49+YUMBO!C49+'ADULTO MAYOR'!C49+'COMEDORES VALLE'!C49+BUGA!C49+'COMEDORES CALI'!C49+'CTAS EN PPACION'!C49+'COMEDORES PALMIRA'!C49+IMDERTY!C49</f>
        <v/>
      </c>
      <c r="D49" s="43" t="n"/>
      <c r="E49" s="57" t="n"/>
      <c r="F49" s="25">
        <f>CALI!F49+HUNGRIA!F49+YUMBO!F49+'ADULTO MAYOR'!F49+'COMEDORES VALLE'!F49+BUGA!F49+'COMEDORES CALI'!F49+'CTAS EN PPACION'!F49+'COMEDORES PALMIRA'!F49+IMDERTY!F49</f>
        <v/>
      </c>
      <c r="G49" s="43" t="n"/>
      <c r="H49" s="57" t="n"/>
      <c r="I49" s="25">
        <f>CALI!I49+HUNGRIA!I49+YUMBO!I49+'ADULTO MAYOR'!I49+'COMEDORES VALLE'!I49+BUGA!I49+'COMEDORES CALI'!I49+'CTAS EN PPACION'!I49+'COMEDORES PALMIRA'!I49+IMDERTY!I49</f>
        <v/>
      </c>
      <c r="J49" s="43" t="n"/>
      <c r="K49" s="57" t="n"/>
      <c r="L49" s="25">
        <f>CALI!L49+HUNGRIA!L49+YUMBO!L49+'ADULTO MAYOR'!L49+'COMEDORES VALLE'!L49+BUGA!L49+'COMEDORES CALI'!L49+'CTAS EN PPACION'!L49+'COMEDORES PALMIRA'!L49+IMDERTY!L49</f>
        <v/>
      </c>
      <c r="M49" s="43" t="n"/>
      <c r="N49" s="57" t="n"/>
      <c r="O49" s="25">
        <f>CALI!O49+HUNGRIA!O49+YUMBO!O49+'ADULTO MAYOR'!O49+'COMEDORES VALLE'!O49+BUGA!O49+'COMEDORES CALI'!O49+'CTAS EN PPACION'!O49+'COMEDORES PALMIRA'!O49+IMDERTY!O49</f>
        <v/>
      </c>
      <c r="P49" s="43" t="n"/>
      <c r="Q49" s="57" t="n"/>
      <c r="R49" s="25">
        <f>CALI!R49+HUNGRIA!R49+YUMBO!R49+'ADULTO MAYOR'!R49+'COMEDORES VALLE'!R49+BUGA!R49+'COMEDORES CALI'!R49+'CTAS EN PPACION'!R49+'COMEDORES PALMIRA'!R49+IMDERTY!R49</f>
        <v/>
      </c>
      <c r="S49" s="43" t="n"/>
      <c r="T49" s="57" t="n"/>
      <c r="U49" s="25">
        <f>CALI!U49+HUNGRIA!U49+YUMBO!U49+'ADULTO MAYOR'!U49+'COMEDORES VALLE'!U49+BUGA!U49+'COMEDORES CALI'!U49+'CTAS EN PPACION'!U49+'COMEDORES PALMIRA'!U49+IMDERTY!U49</f>
        <v/>
      </c>
      <c r="V49" s="43" t="n"/>
      <c r="W49" s="57" t="n"/>
      <c r="X49" s="25">
        <f>CALI!X49+HUNGRIA!X49+YUMBO!X49+'ADULTO MAYOR'!X49+'COMEDORES VALLE'!X49+BUGA!X49+'COMEDORES CALI'!X49+'CTAS EN PPACION'!X49+'COMEDORES PALMIRA'!X49+IMDERTY!X49</f>
        <v/>
      </c>
      <c r="Y49" s="43" t="n"/>
      <c r="Z49" s="57" t="n"/>
      <c r="AA49" s="25">
        <f>CALI!AA49+HUNGRIA!AA49+YUMBO!AA49+'ADULTO MAYOR'!AA49+'COMEDORES VALLE'!AA49+BUGA!AA49+'COMEDORES CALI'!AA49+'CTAS EN PPACION'!AA49+'COMEDORES PALMIRA'!AA49+IMDERTY!AA49</f>
        <v/>
      </c>
      <c r="AB49" s="43" t="n"/>
      <c r="AC49" s="57" t="n"/>
      <c r="AD49" s="25">
        <f>CALI!AD49+HUNGRIA!AD49+YUMBO!AD49+'ADULTO MAYOR'!AD49+'COMEDORES VALLE'!AD49+BUGA!AD49+'COMEDORES CALI'!AD49+'CTAS EN PPACION'!AD49+'COMEDORES PALMIRA'!AD49+IMDERTY!AD49</f>
        <v/>
      </c>
      <c r="AE49" s="43" t="n"/>
      <c r="AF49" s="57" t="n"/>
      <c r="AG49" s="25">
        <f>CALI!AG49+HUNGRIA!AG49+YUMBO!AG49+'ADULTO MAYOR'!AG49+'COMEDORES VALLE'!AG49+BUGA!AG49+'COMEDORES CALI'!AG49+'CTAS EN PPACION'!AG49+'COMEDORES PALMIRA'!AG49+IMDERTY!AG49</f>
        <v/>
      </c>
      <c r="AH49" s="43" t="n"/>
      <c r="AI49" s="57" t="n"/>
      <c r="AJ49" s="25">
        <f>CALI!AJ49+HUNGRIA!AJ49+YUMBO!AJ49+'ADULTO MAYOR'!AJ49+'COMEDORES VALLE'!AJ49+BUGA!AJ49+'COMEDORES CALI'!AJ49+'CTAS EN PPACION'!AJ49+'COMEDORES PALMIRA'!AJ49+IMDERTY!AJ49</f>
        <v/>
      </c>
      <c r="AK49" s="43" t="n"/>
      <c r="AL49" s="57" t="n"/>
      <c r="AM49" s="24">
        <f>C49+F49+I49+L49+O49+R49+U49+X49+AA49+AD49+AG49+AJ49</f>
        <v/>
      </c>
      <c r="AN49" s="195" t="n"/>
      <c r="AO49" s="57" t="n"/>
    </row>
    <row r="50" ht="15" customHeight="1" s="985">
      <c r="B50" s="431" t="n"/>
      <c r="C50" s="25">
        <f>CALI!C50+HUNGRIA!C50+YUMBO!C50+'ADULTO MAYOR'!C50+'COMEDORES VALLE'!C50+BUGA!C50+'COMEDORES CALI'!C50+'CTAS EN PPACION'!C50+'COMEDORES PALMIRA'!C50+IMDERTY!C50</f>
        <v/>
      </c>
      <c r="D50" s="43" t="n"/>
      <c r="E50" s="57" t="n"/>
      <c r="F50" s="25">
        <f>CALI!F50+HUNGRIA!F50+YUMBO!F50+'ADULTO MAYOR'!F50+'COMEDORES VALLE'!F50+BUGA!F50+'COMEDORES CALI'!F50+'CTAS EN PPACION'!F50+'COMEDORES PALMIRA'!F50+IMDERTY!F50</f>
        <v/>
      </c>
      <c r="G50" s="43" t="n"/>
      <c r="H50" s="57" t="n"/>
      <c r="I50" s="25">
        <f>CALI!I50+HUNGRIA!I50+YUMBO!I50+'ADULTO MAYOR'!I50+'COMEDORES VALLE'!I50+BUGA!I50+'COMEDORES CALI'!I50+'CTAS EN PPACION'!I50+'COMEDORES PALMIRA'!I50+IMDERTY!I50</f>
        <v/>
      </c>
      <c r="J50" s="43" t="n"/>
      <c r="K50" s="57" t="n"/>
      <c r="L50" s="25">
        <f>CALI!L50+HUNGRIA!L50+YUMBO!L50+'ADULTO MAYOR'!L50+'COMEDORES VALLE'!L50+BUGA!L50+'COMEDORES CALI'!L50+'CTAS EN PPACION'!L50+'COMEDORES PALMIRA'!L50+IMDERTY!L50</f>
        <v/>
      </c>
      <c r="M50" s="43" t="n"/>
      <c r="N50" s="57" t="n"/>
      <c r="O50" s="25">
        <f>CALI!O50+HUNGRIA!O50+YUMBO!O50+'ADULTO MAYOR'!O50+'COMEDORES VALLE'!O50+BUGA!O50+'COMEDORES CALI'!O50+'CTAS EN PPACION'!O50+'COMEDORES PALMIRA'!O50+IMDERTY!O50</f>
        <v/>
      </c>
      <c r="P50" s="43" t="n"/>
      <c r="Q50" s="57" t="n"/>
      <c r="R50" s="25">
        <f>CALI!R50+HUNGRIA!R50+YUMBO!R50+'ADULTO MAYOR'!R50+'COMEDORES VALLE'!R50+BUGA!R50+'COMEDORES CALI'!R50+'CTAS EN PPACION'!R50+'COMEDORES PALMIRA'!R50+IMDERTY!R50</f>
        <v/>
      </c>
      <c r="S50" s="43" t="n"/>
      <c r="T50" s="57" t="n"/>
      <c r="U50" s="25">
        <f>CALI!U50+HUNGRIA!U50+YUMBO!U50+'ADULTO MAYOR'!U50+'COMEDORES VALLE'!U50+BUGA!U50+'COMEDORES CALI'!U50+'CTAS EN PPACION'!U50+'COMEDORES PALMIRA'!U50+IMDERTY!U50</f>
        <v/>
      </c>
      <c r="V50" s="43" t="n"/>
      <c r="W50" s="57" t="n"/>
      <c r="X50" s="25">
        <f>CALI!X50+HUNGRIA!X50+YUMBO!X50+'ADULTO MAYOR'!X50+'COMEDORES VALLE'!X50+BUGA!X50+'COMEDORES CALI'!X50+'CTAS EN PPACION'!X50+'COMEDORES PALMIRA'!X50+IMDERTY!X50</f>
        <v/>
      </c>
      <c r="Y50" s="43" t="n"/>
      <c r="Z50" s="57" t="n"/>
      <c r="AA50" s="25">
        <f>CALI!AA50+HUNGRIA!AA50+YUMBO!AA50+'ADULTO MAYOR'!AA50+'COMEDORES VALLE'!AA50+BUGA!AA50+'COMEDORES CALI'!AA50+'CTAS EN PPACION'!AA50+'COMEDORES PALMIRA'!AA50+IMDERTY!AA50</f>
        <v/>
      </c>
      <c r="AB50" s="43" t="n"/>
      <c r="AC50" s="57" t="n"/>
      <c r="AD50" s="25">
        <f>CALI!AD50+HUNGRIA!AD50+YUMBO!AD50+'ADULTO MAYOR'!AD50+'COMEDORES VALLE'!AD50+BUGA!AD50+'COMEDORES CALI'!AD50+'CTAS EN PPACION'!AD50+'COMEDORES PALMIRA'!AD50+IMDERTY!AD50</f>
        <v/>
      </c>
      <c r="AE50" s="43" t="n"/>
      <c r="AF50" s="57" t="n"/>
      <c r="AG50" s="25">
        <f>CALI!AG50+HUNGRIA!AG50+YUMBO!AG50+'ADULTO MAYOR'!AG50+'COMEDORES VALLE'!AG50+BUGA!AG50+'COMEDORES CALI'!AG50+'CTAS EN PPACION'!AG50+'COMEDORES PALMIRA'!AG50+IMDERTY!AG50</f>
        <v/>
      </c>
      <c r="AH50" s="43" t="n"/>
      <c r="AI50" s="57" t="n"/>
      <c r="AJ50" s="25">
        <f>CALI!AJ50+HUNGRIA!AJ50+YUMBO!AJ50+'ADULTO MAYOR'!AJ50+'COMEDORES VALLE'!AJ50+BUGA!AJ50+'COMEDORES CALI'!AJ50+'CTAS EN PPACION'!AJ50+'COMEDORES PALMIRA'!AJ50+IMDERTY!AJ50</f>
        <v/>
      </c>
      <c r="AK50" s="43" t="n"/>
      <c r="AL50" s="57" t="n"/>
      <c r="AM50" s="24">
        <f>C50+F50+I50+L50+O50+R50+U50+X50+AA50+AD50+AG50+AJ50</f>
        <v/>
      </c>
      <c r="AN50" s="195" t="n"/>
      <c r="AO50" s="57" t="n"/>
    </row>
    <row r="51" hidden="1" ht="15" customHeight="1" s="985">
      <c r="B51" s="431" t="n"/>
      <c r="C51" s="25">
        <f>CALI!C51+HUNGRIA!C51+YUMBO!C51+'ADULTO MAYOR'!C51+'COMEDORES VALLE'!C51+BUGA!C51+'COMEDORES CALI'!C51+'CTAS EN PPACION'!C51+'COMEDORES PALMIRA'!C51+IMDERTY!C51</f>
        <v/>
      </c>
      <c r="D51" s="43" t="n"/>
      <c r="E51" s="57" t="n"/>
      <c r="F51" s="25">
        <f>CALI!F51+HUNGRIA!F51+YUMBO!F51+'ADULTO MAYOR'!F51+'COMEDORES VALLE'!F51+BUGA!F51+'COMEDORES CALI'!F51+'CTAS EN PPACION'!F51+'COMEDORES PALMIRA'!F51+IMDERTY!F51</f>
        <v/>
      </c>
      <c r="G51" s="43" t="n"/>
      <c r="H51" s="57" t="n"/>
      <c r="I51" s="25">
        <f>CALI!I51+HUNGRIA!I51+YUMBO!I51+'ADULTO MAYOR'!I51+'COMEDORES VALLE'!I51+BUGA!I51+'COMEDORES CALI'!I51+'CTAS EN PPACION'!I51+'COMEDORES PALMIRA'!I51+IMDERTY!I51</f>
        <v/>
      </c>
      <c r="J51" s="43" t="n"/>
      <c r="K51" s="57" t="n"/>
      <c r="L51" s="25">
        <f>CALI!L51+HUNGRIA!L51+YUMBO!L51+'ADULTO MAYOR'!L51+'COMEDORES VALLE'!L51+BUGA!L51+'COMEDORES CALI'!L51+'CTAS EN PPACION'!L51+'COMEDORES PALMIRA'!L51+IMDERTY!L51</f>
        <v/>
      </c>
      <c r="M51" s="43" t="n"/>
      <c r="N51" s="57" t="n"/>
      <c r="O51" s="25">
        <f>CALI!O51+HUNGRIA!O51+YUMBO!O51+'ADULTO MAYOR'!O51+'COMEDORES VALLE'!O51+BUGA!O51+'COMEDORES CALI'!O51+'CTAS EN PPACION'!O51+'COMEDORES PALMIRA'!O51+IMDERTY!O51</f>
        <v/>
      </c>
      <c r="P51" s="43" t="n"/>
      <c r="Q51" s="57" t="n"/>
      <c r="R51" s="25">
        <f>CALI!R51+HUNGRIA!R51+YUMBO!R51+'ADULTO MAYOR'!R51+'COMEDORES VALLE'!R51+BUGA!R51+'COMEDORES CALI'!R51+'CTAS EN PPACION'!R51+'COMEDORES PALMIRA'!R51+IMDERTY!R51</f>
        <v/>
      </c>
      <c r="S51" s="43" t="n"/>
      <c r="T51" s="57" t="n"/>
      <c r="U51" s="25">
        <f>CALI!U51+HUNGRIA!U51+YUMBO!U51+'ADULTO MAYOR'!U51+'COMEDORES VALLE'!U51+BUGA!U51+'COMEDORES CALI'!U51+'CTAS EN PPACION'!U51+'COMEDORES PALMIRA'!U51+IMDERTY!U51</f>
        <v/>
      </c>
      <c r="V51" s="43" t="n"/>
      <c r="W51" s="57" t="n"/>
      <c r="X51" s="25">
        <f>CALI!X51+HUNGRIA!X51+YUMBO!X51+'ADULTO MAYOR'!X51+'COMEDORES VALLE'!X51+BUGA!X51+'COMEDORES CALI'!X51+'CTAS EN PPACION'!X51+'COMEDORES PALMIRA'!X51+IMDERTY!X51</f>
        <v/>
      </c>
      <c r="Y51" s="43" t="n"/>
      <c r="Z51" s="57" t="n"/>
      <c r="AA51" s="25">
        <f>CALI!AA51+HUNGRIA!AA51+YUMBO!AA51+'ADULTO MAYOR'!AA51+'COMEDORES VALLE'!AA51+BUGA!AA51+'COMEDORES CALI'!AA51+'CTAS EN PPACION'!AA51+'COMEDORES PALMIRA'!AA51+IMDERTY!AA51</f>
        <v/>
      </c>
      <c r="AB51" s="43" t="n"/>
      <c r="AC51" s="57" t="n"/>
      <c r="AD51" s="25">
        <f>CALI!AD51+HUNGRIA!AD51+YUMBO!AD51+'ADULTO MAYOR'!AD51+'COMEDORES VALLE'!AD51+BUGA!AD51+'COMEDORES CALI'!AD51+'CTAS EN PPACION'!AD51+'COMEDORES PALMIRA'!AD51+IMDERTY!AD51</f>
        <v/>
      </c>
      <c r="AE51" s="43" t="n"/>
      <c r="AF51" s="57" t="n"/>
      <c r="AG51" s="25">
        <f>CALI!AG51+HUNGRIA!AG51+YUMBO!AG51+'ADULTO MAYOR'!AG51+'COMEDORES VALLE'!AG51+BUGA!AG51+'COMEDORES CALI'!AG51+'CTAS EN PPACION'!AG51+'COMEDORES PALMIRA'!AG51+IMDERTY!AG51</f>
        <v/>
      </c>
      <c r="AH51" s="43" t="n"/>
      <c r="AI51" s="57" t="n"/>
      <c r="AJ51" s="25">
        <f>CALI!AJ51+HUNGRIA!AJ51+YUMBO!AJ51+'ADULTO MAYOR'!AJ51+'COMEDORES VALLE'!AJ51+BUGA!AJ51+'COMEDORES CALI'!AJ51+'CTAS EN PPACION'!AJ51+'COMEDORES PALMIRA'!AJ51+IMDERTY!AJ51</f>
        <v/>
      </c>
      <c r="AK51" s="43" t="n"/>
      <c r="AL51" s="57" t="n"/>
      <c r="AM51" s="24">
        <f>C51+F51+I51+L51+O51+R51+U51+X51+AA51+AD51+AG51+AJ51</f>
        <v/>
      </c>
      <c r="AN51" s="195" t="n"/>
      <c r="AO51" s="57" t="n"/>
    </row>
    <row r="52" hidden="1" ht="15" customHeight="1" s="985">
      <c r="B52" s="432" t="n"/>
      <c r="C52" s="25">
        <f>CALI!C52+HUNGRIA!C52+YUMBO!C52+'ADULTO MAYOR'!C52+'COMEDORES VALLE'!C52+BUGA!C52+'COMEDORES CALI'!C52+'CTAS EN PPACION'!C52+'COMEDORES PALMIRA'!C52</f>
        <v/>
      </c>
      <c r="D52" s="43" t="n"/>
      <c r="E52" s="57" t="n"/>
      <c r="F52" s="25">
        <f>CALI!F52+HUNGRIA!F52+YUMBO!F52+'ADULTO MAYOR'!F52+'COMEDORES VALLE'!F52+BUGA!F52+'COMEDORES CALI'!F52+'CTAS EN PPACION'!F52+'COMEDORES PALMIRA'!F52</f>
        <v/>
      </c>
      <c r="G52" s="43" t="n"/>
      <c r="H52" s="57" t="n"/>
      <c r="I52" s="25">
        <f>CALI!I52+HUNGRIA!I52+YUMBO!I52+'ADULTO MAYOR'!I52+'COMEDORES VALLE'!I52+BUGA!I52+'COMEDORES CALI'!I52+'CTAS EN PPACION'!I52+'COMEDORES PALMIRA'!I52</f>
        <v/>
      </c>
      <c r="J52" s="43" t="n"/>
      <c r="K52" s="57" t="n"/>
      <c r="L52" s="25">
        <f>CALI!L52+HUNGRIA!L52+YUMBO!L52+'ADULTO MAYOR'!L52+'COMEDORES VALLE'!L52+BUGA!L52+'COMEDORES CALI'!L52+'CTAS EN PPACION'!L52+'COMEDORES PALMIRA'!L52</f>
        <v/>
      </c>
      <c r="M52" s="43" t="n"/>
      <c r="N52" s="57" t="n"/>
      <c r="O52" s="25">
        <f>CALI!O52+HUNGRIA!O52+YUMBO!O52+'ADULTO MAYOR'!O52+'COMEDORES VALLE'!O52+BUGA!O52+'COMEDORES CALI'!O52+'CTAS EN PPACION'!O52+'COMEDORES PALMIRA'!O52</f>
        <v/>
      </c>
      <c r="P52" s="43" t="n"/>
      <c r="Q52" s="57" t="n"/>
      <c r="R52" s="25">
        <f>CALI!R52+HUNGRIA!R52+YUMBO!R52+'ADULTO MAYOR'!R52+'COMEDORES VALLE'!R52+BUGA!R52+'COMEDORES CALI'!R52+'CTAS EN PPACION'!R52+'COMEDORES PALMIRA'!R52+IMDERTY!R52</f>
        <v/>
      </c>
      <c r="S52" s="43" t="n"/>
      <c r="T52" s="57" t="n"/>
      <c r="U52" s="25">
        <f>CALI!U52+HUNGRIA!U52+YUMBO!U52+'ADULTO MAYOR'!U52+'COMEDORES VALLE'!U52+BUGA!U52+'COMEDORES CALI'!U52+'CTAS EN PPACION'!U52+'COMEDORES PALMIRA'!U52+IMDERTY!U52</f>
        <v/>
      </c>
      <c r="V52" s="43" t="n"/>
      <c r="W52" s="57" t="n"/>
      <c r="X52" s="25">
        <f>CALI!X52+HUNGRIA!X52+YUMBO!X52+'ADULTO MAYOR'!X52+'COMEDORES VALLE'!X52+BUGA!X52+'COMEDORES CALI'!X52+'CTAS EN PPACION'!X52+'COMEDORES PALMIRA'!X52+IMDERTY!X52</f>
        <v/>
      </c>
      <c r="Y52" s="43" t="n"/>
      <c r="Z52" s="57" t="n"/>
      <c r="AA52" s="25">
        <f>CALI!AA52+HUNGRIA!AA52+YUMBO!AA52+'ADULTO MAYOR'!AA52+'COMEDORES VALLE'!AA52+BUGA!AA52+'COMEDORES CALI'!AA52+'CTAS EN PPACION'!AA52+'COMEDORES PALMIRA'!AA52+IMDERTY!AA52</f>
        <v/>
      </c>
      <c r="AB52" s="43" t="n"/>
      <c r="AC52" s="57" t="n"/>
      <c r="AD52" s="25">
        <f>CALI!AD52+HUNGRIA!AD52+YUMBO!AD52+'ADULTO MAYOR'!AD52+'COMEDORES VALLE'!AD52+BUGA!AD52+'COMEDORES CALI'!AD52+'CTAS EN PPACION'!AD52+'COMEDORES PALMIRA'!AD52+IMDERTY!AD52</f>
        <v/>
      </c>
      <c r="AE52" s="43" t="n"/>
      <c r="AF52" s="57" t="n"/>
      <c r="AG52" s="25">
        <f>CALI!AG52+HUNGRIA!AG52+YUMBO!AG52+'ADULTO MAYOR'!AG52+'COMEDORES VALLE'!AG52+BUGA!AG52+'COMEDORES CALI'!AG52+'CTAS EN PPACION'!AG52+'COMEDORES PALMIRA'!AG52+IMDERTY!AG52</f>
        <v/>
      </c>
      <c r="AH52" s="43" t="n"/>
      <c r="AI52" s="57" t="n"/>
      <c r="AJ52" s="25">
        <f>CALI!AJ52+HUNGRIA!AJ52+YUMBO!AJ52+'ADULTO MAYOR'!AJ52+'COMEDORES VALLE'!AJ52+BUGA!AJ52+'COMEDORES CALI'!AJ52+'CTAS EN PPACION'!AJ52+'COMEDORES PALMIRA'!AJ52+IMDERTY!AJ52</f>
        <v/>
      </c>
      <c r="AK52" s="43" t="n"/>
      <c r="AL52" s="57" t="n"/>
      <c r="AM52" s="24">
        <f>C52+F52+I52+L52+O52+R52+U52+X52+AA52+AD52+AG52+AJ52</f>
        <v/>
      </c>
      <c r="AN52" s="195" t="n"/>
      <c r="AO52" s="57" t="n"/>
    </row>
    <row r="53" hidden="1" ht="15" customHeight="1" s="985">
      <c r="B53" s="432" t="n"/>
      <c r="C53" s="25">
        <f>CALI!C53+HUNGRIA!C53+YUMBO!C53+'ADULTO MAYOR'!C53+'COMEDORES VALLE'!C53+BUGA!C53+'COMEDORES CALI'!C53+'CTAS EN PPACION'!C53+'COMEDORES PALMIRA'!C53</f>
        <v/>
      </c>
      <c r="D53" s="43" t="n"/>
      <c r="E53" s="57" t="n"/>
      <c r="F53" s="25">
        <f>CALI!F53+HUNGRIA!F53+YUMBO!F53+'ADULTO MAYOR'!F53+'COMEDORES VALLE'!F53+BUGA!F53+'COMEDORES CALI'!F53+'CTAS EN PPACION'!F53+'COMEDORES PALMIRA'!F53</f>
        <v/>
      </c>
      <c r="G53" s="43" t="n"/>
      <c r="H53" s="57" t="n"/>
      <c r="I53" s="25">
        <f>CALI!I53+HUNGRIA!I53+YUMBO!I53+'ADULTO MAYOR'!I53+'COMEDORES VALLE'!I53+BUGA!I53+'COMEDORES CALI'!I53+'CTAS EN PPACION'!I53+'COMEDORES PALMIRA'!I53</f>
        <v/>
      </c>
      <c r="J53" s="43" t="n"/>
      <c r="K53" s="57" t="n"/>
      <c r="L53" s="25">
        <f>CALI!L53+HUNGRIA!L53+YUMBO!L53+'ADULTO MAYOR'!L53+'COMEDORES VALLE'!L53+BUGA!L53+'COMEDORES CALI'!L53+'CTAS EN PPACION'!L53+'COMEDORES PALMIRA'!L53</f>
        <v/>
      </c>
      <c r="M53" s="43" t="n"/>
      <c r="N53" s="57" t="n"/>
      <c r="O53" s="25">
        <f>CALI!O53+HUNGRIA!O53+YUMBO!O53+'ADULTO MAYOR'!O53+'COMEDORES VALLE'!O53+BUGA!O53+'COMEDORES CALI'!O53+'CTAS EN PPACION'!O53+'COMEDORES PALMIRA'!O53</f>
        <v/>
      </c>
      <c r="P53" s="43" t="n"/>
      <c r="Q53" s="57" t="n"/>
      <c r="R53" s="25">
        <f>CALI!R53+HUNGRIA!R53+YUMBO!R53+'ADULTO MAYOR'!R53+'COMEDORES VALLE'!R53+BUGA!R53+'COMEDORES CALI'!R53+'CTAS EN PPACION'!R53+'COMEDORES PALMIRA'!R53+IMDERTY!R53</f>
        <v/>
      </c>
      <c r="S53" s="43" t="n"/>
      <c r="T53" s="57" t="n"/>
      <c r="U53" s="25">
        <f>CALI!U53+HUNGRIA!U53+YUMBO!U53+'ADULTO MAYOR'!U53+'COMEDORES VALLE'!U53+BUGA!U53+'COMEDORES CALI'!U53+'CTAS EN PPACION'!U53+'COMEDORES PALMIRA'!U53+IMDERTY!U53</f>
        <v/>
      </c>
      <c r="V53" s="43" t="n"/>
      <c r="W53" s="57" t="n"/>
      <c r="X53" s="25">
        <f>CALI!X53+HUNGRIA!X53+YUMBO!X53+'ADULTO MAYOR'!X53+'COMEDORES VALLE'!X53+BUGA!X53+'COMEDORES CALI'!X53+'CTAS EN PPACION'!X53+'COMEDORES PALMIRA'!X53+IMDERTY!X53</f>
        <v/>
      </c>
      <c r="Y53" s="43" t="n"/>
      <c r="Z53" s="57" t="n"/>
      <c r="AA53" s="25">
        <f>CALI!AA53+HUNGRIA!AA53+YUMBO!AA53+'ADULTO MAYOR'!AA53+'COMEDORES VALLE'!AA53+BUGA!AA53+'COMEDORES CALI'!AA53+'CTAS EN PPACION'!AA53+'COMEDORES PALMIRA'!AA53+IMDERTY!AA53</f>
        <v/>
      </c>
      <c r="AB53" s="43" t="n"/>
      <c r="AC53" s="57" t="n"/>
      <c r="AD53" s="25">
        <f>CALI!AD53+HUNGRIA!AD53+YUMBO!AD53+'ADULTO MAYOR'!AD53+'COMEDORES VALLE'!AD53+BUGA!AD53+'COMEDORES CALI'!AD53+'CTAS EN PPACION'!AD53+'COMEDORES PALMIRA'!AD53+IMDERTY!AD53</f>
        <v/>
      </c>
      <c r="AE53" s="43" t="n"/>
      <c r="AF53" s="57" t="n"/>
      <c r="AG53" s="25">
        <f>CALI!AG53+HUNGRIA!AG53+YUMBO!AG53+'ADULTO MAYOR'!AG53+'COMEDORES VALLE'!AG53+BUGA!AG53+'COMEDORES CALI'!AG53+'CTAS EN PPACION'!AG53+'COMEDORES PALMIRA'!AG53+IMDERTY!AG53</f>
        <v/>
      </c>
      <c r="AH53" s="43" t="n"/>
      <c r="AI53" s="57" t="n"/>
      <c r="AJ53" s="25">
        <f>CALI!AJ53+HUNGRIA!AJ53+YUMBO!AJ53+'ADULTO MAYOR'!AJ53+'COMEDORES VALLE'!AJ53+BUGA!AJ53+'COMEDORES CALI'!AJ53+'CTAS EN PPACION'!AJ53+'COMEDORES PALMIRA'!AJ53+IMDERTY!AJ53</f>
        <v/>
      </c>
      <c r="AK53" s="43" t="n"/>
      <c r="AL53" s="57" t="n"/>
      <c r="AM53" s="24">
        <f>C53+F53+I53+L53+O53+R53+U53+X53+AA53+AD53+AG53+AJ53</f>
        <v/>
      </c>
      <c r="AN53" s="195" t="n"/>
      <c r="AO53" s="57" t="n"/>
    </row>
    <row r="54" hidden="1" ht="15" customHeight="1" s="985">
      <c r="B54" s="25" t="n"/>
      <c r="C54" s="25">
        <f>CALI!C54+HUNGRIA!C54+YUMBO!C54+'ADULTO MAYOR'!C54+'COMEDORES VALLE'!C54+BUGA!C54+'COMEDORES CALI'!C54+'CTAS EN PPACION'!C54+'COMEDORES PALMIRA'!C54</f>
        <v/>
      </c>
      <c r="D54" s="43" t="n"/>
      <c r="E54" s="57" t="n"/>
      <c r="F54" s="25">
        <f>CALI!F54+HUNGRIA!F54+YUMBO!F54+'ADULTO MAYOR'!F54+'COMEDORES VALLE'!F54+BUGA!F54+'COMEDORES CALI'!F54+'CTAS EN PPACION'!F54+'COMEDORES PALMIRA'!F54</f>
        <v/>
      </c>
      <c r="G54" s="43" t="n"/>
      <c r="H54" s="57" t="n"/>
      <c r="I54" s="25">
        <f>CALI!I54+HUNGRIA!I54+YUMBO!I54+'ADULTO MAYOR'!I54+'COMEDORES VALLE'!I54+BUGA!I54+'COMEDORES CALI'!I54+'CTAS EN PPACION'!I54+'COMEDORES PALMIRA'!I54</f>
        <v/>
      </c>
      <c r="J54" s="43" t="n"/>
      <c r="K54" s="57" t="n"/>
      <c r="L54" s="25">
        <f>CALI!L54+HUNGRIA!L54+YUMBO!L54+'ADULTO MAYOR'!L54+'COMEDORES VALLE'!L54+BUGA!L54+'COMEDORES CALI'!L54+'CTAS EN PPACION'!L54+'COMEDORES PALMIRA'!L54</f>
        <v/>
      </c>
      <c r="M54" s="43" t="n"/>
      <c r="N54" s="57" t="n"/>
      <c r="O54" s="25">
        <f>CALI!O54+HUNGRIA!O54+YUMBO!O54+'ADULTO MAYOR'!O54+'COMEDORES VALLE'!O54+BUGA!O54+'COMEDORES CALI'!O54+'CTAS EN PPACION'!O54+'COMEDORES PALMIRA'!O54</f>
        <v/>
      </c>
      <c r="P54" s="43" t="n"/>
      <c r="Q54" s="57" t="n"/>
      <c r="R54" s="25">
        <f>CALI!R54+HUNGRIA!R54+YUMBO!R54+'ADULTO MAYOR'!R54+'COMEDORES VALLE'!R54+BUGA!R54+'COMEDORES CALI'!R54+'CTAS EN PPACION'!R54+'COMEDORES PALMIRA'!R54+IMDERTY!R54</f>
        <v/>
      </c>
      <c r="S54" s="43" t="n"/>
      <c r="T54" s="57" t="n"/>
      <c r="U54" s="25">
        <f>CALI!U54+HUNGRIA!U54+YUMBO!U54+'ADULTO MAYOR'!U54+'COMEDORES VALLE'!U54+BUGA!U54+'COMEDORES CALI'!U54+'CTAS EN PPACION'!U54+'COMEDORES PALMIRA'!U54+IMDERTY!U54</f>
        <v/>
      </c>
      <c r="V54" s="43" t="n"/>
      <c r="W54" s="57" t="n"/>
      <c r="X54" s="25">
        <f>CALI!X54+HUNGRIA!X54+YUMBO!X54+'ADULTO MAYOR'!X54+'COMEDORES VALLE'!X54+BUGA!X54+'COMEDORES CALI'!X54+'CTAS EN PPACION'!X54+'COMEDORES PALMIRA'!X54+IMDERTY!X54</f>
        <v/>
      </c>
      <c r="Y54" s="43" t="n"/>
      <c r="Z54" s="57" t="n"/>
      <c r="AA54" s="25">
        <f>CALI!AA54+HUNGRIA!AA54+YUMBO!AA54+'ADULTO MAYOR'!AA54+'COMEDORES VALLE'!AA54+BUGA!AA54+'COMEDORES CALI'!AA54+'CTAS EN PPACION'!AA54+'COMEDORES PALMIRA'!AA54+IMDERTY!AA54</f>
        <v/>
      </c>
      <c r="AB54" s="43" t="n"/>
      <c r="AC54" s="57" t="n"/>
      <c r="AD54" s="25">
        <f>CALI!AD54+HUNGRIA!AD54+YUMBO!AD54+'ADULTO MAYOR'!AD54+'COMEDORES VALLE'!AD54+BUGA!AD54+'COMEDORES CALI'!AD54+'CTAS EN PPACION'!AD54+'COMEDORES PALMIRA'!AD54+IMDERTY!AD54</f>
        <v/>
      </c>
      <c r="AE54" s="43" t="n"/>
      <c r="AF54" s="57" t="n"/>
      <c r="AG54" s="25">
        <f>CALI!AG54+HUNGRIA!AG54+YUMBO!AG54+'ADULTO MAYOR'!AG54+'COMEDORES VALLE'!AG54+BUGA!AG54+'COMEDORES CALI'!AG54+'CTAS EN PPACION'!AG54+'COMEDORES PALMIRA'!AG54+IMDERTY!AG54</f>
        <v/>
      </c>
      <c r="AH54" s="43" t="n"/>
      <c r="AI54" s="57" t="n"/>
      <c r="AJ54" s="25">
        <f>CALI!AJ54+HUNGRIA!AJ54+YUMBO!AJ54+'ADULTO MAYOR'!AJ54+'COMEDORES VALLE'!AJ54+BUGA!AJ54+'COMEDORES CALI'!AJ54+'CTAS EN PPACION'!AJ54+'COMEDORES PALMIRA'!AJ54+IMDERTY!AJ54</f>
        <v/>
      </c>
      <c r="AK54" s="43" t="n"/>
      <c r="AL54" s="57" t="n"/>
      <c r="AM54" s="24">
        <f>C54+F54+I54+L54+O54+R54+U54+X54+AA54+AD54+AG54+AJ54</f>
        <v/>
      </c>
      <c r="AN54" s="195" t="n"/>
      <c r="AO54" s="57" t="n"/>
    </row>
    <row r="55" hidden="1" ht="15" customHeight="1" s="985">
      <c r="B55" s="25" t="n"/>
      <c r="C55" s="25">
        <f>CALI!C55+HUNGRIA!C55+YUMBO!C55+'ADULTO MAYOR'!C55+'COMEDORES VALLE'!C55+BUGA!C55+'COMEDORES CALI'!C55+'CTAS EN PPACION'!C55+'COMEDORES PALMIRA'!C55</f>
        <v/>
      </c>
      <c r="D55" s="43" t="n"/>
      <c r="E55" s="57" t="n"/>
      <c r="F55" s="25">
        <f>CALI!F55+HUNGRIA!F55+YUMBO!F55+'ADULTO MAYOR'!F55+'COMEDORES VALLE'!F55+BUGA!F55+'COMEDORES CALI'!F55+'CTAS EN PPACION'!F55+'COMEDORES PALMIRA'!F55</f>
        <v/>
      </c>
      <c r="G55" s="43" t="n"/>
      <c r="H55" s="57" t="n"/>
      <c r="I55" s="25">
        <f>CALI!I55+HUNGRIA!I55+YUMBO!I55+'ADULTO MAYOR'!I55+'COMEDORES VALLE'!I55+BUGA!I55+'COMEDORES CALI'!I55+'CTAS EN PPACION'!I55+'COMEDORES PALMIRA'!I55</f>
        <v/>
      </c>
      <c r="J55" s="43" t="n"/>
      <c r="K55" s="57" t="n"/>
      <c r="L55" s="25">
        <f>CALI!L55+HUNGRIA!L55+YUMBO!L55+'ADULTO MAYOR'!L55+'COMEDORES VALLE'!L55+BUGA!L55+'COMEDORES CALI'!L55+'CTAS EN PPACION'!L55+'COMEDORES PALMIRA'!L55</f>
        <v/>
      </c>
      <c r="M55" s="43" t="n"/>
      <c r="N55" s="57" t="n"/>
      <c r="O55" s="25">
        <f>CALI!O55+HUNGRIA!O55+YUMBO!O55+'ADULTO MAYOR'!O55+'COMEDORES VALLE'!O55+BUGA!O55+'COMEDORES CALI'!O55+'CTAS EN PPACION'!O55+'COMEDORES PALMIRA'!O55</f>
        <v/>
      </c>
      <c r="P55" s="43" t="n"/>
      <c r="Q55" s="57" t="n"/>
      <c r="R55" s="25">
        <f>CALI!R55+HUNGRIA!R55+YUMBO!R55+'ADULTO MAYOR'!R55+'COMEDORES VALLE'!R55+BUGA!R55+'COMEDORES CALI'!R55+'CTAS EN PPACION'!R55+'COMEDORES PALMIRA'!R55+IMDERTY!R55</f>
        <v/>
      </c>
      <c r="S55" s="43" t="n"/>
      <c r="T55" s="57" t="n"/>
      <c r="U55" s="25">
        <f>CALI!U55+HUNGRIA!U55+YUMBO!U55+'ADULTO MAYOR'!U55+'COMEDORES VALLE'!U55+BUGA!U55+'COMEDORES CALI'!U55+'CTAS EN PPACION'!U55+'COMEDORES PALMIRA'!U55+IMDERTY!U55</f>
        <v/>
      </c>
      <c r="V55" s="43" t="n"/>
      <c r="W55" s="57" t="n"/>
      <c r="X55" s="25">
        <f>CALI!X55+HUNGRIA!X55+YUMBO!X55+'ADULTO MAYOR'!X55+'COMEDORES VALLE'!X55+BUGA!X55+'COMEDORES CALI'!X55+'CTAS EN PPACION'!X55+'COMEDORES PALMIRA'!X55+IMDERTY!X55</f>
        <v/>
      </c>
      <c r="Y55" s="43" t="n"/>
      <c r="Z55" s="57" t="n"/>
      <c r="AA55" s="25">
        <f>CALI!AA55+HUNGRIA!AA55+YUMBO!AA55+'ADULTO MAYOR'!AA55+'COMEDORES VALLE'!AA55+BUGA!AA55+'COMEDORES CALI'!AA55+'CTAS EN PPACION'!AA55+'COMEDORES PALMIRA'!AA55+IMDERTY!AA55</f>
        <v/>
      </c>
      <c r="AB55" s="43" t="n"/>
      <c r="AC55" s="57" t="n"/>
      <c r="AD55" s="25">
        <f>CALI!AD55+HUNGRIA!AD55+YUMBO!AD55+'ADULTO MAYOR'!AD55+'COMEDORES VALLE'!AD55+BUGA!AD55+'COMEDORES CALI'!AD55+'CTAS EN PPACION'!AD55+'COMEDORES PALMIRA'!AD55+IMDERTY!AD55</f>
        <v/>
      </c>
      <c r="AE55" s="43" t="n"/>
      <c r="AF55" s="57" t="n"/>
      <c r="AG55" s="25">
        <f>CALI!AG55+HUNGRIA!AG55+YUMBO!AG55+'ADULTO MAYOR'!AG55+'COMEDORES VALLE'!AG55+BUGA!AG55+'COMEDORES CALI'!AG55+'CTAS EN PPACION'!AG55+'COMEDORES PALMIRA'!AG55+IMDERTY!AG55</f>
        <v/>
      </c>
      <c r="AH55" s="43" t="n"/>
      <c r="AI55" s="57" t="n"/>
      <c r="AJ55" s="25">
        <f>CALI!AJ55+HUNGRIA!AJ55+YUMBO!AJ55+'ADULTO MAYOR'!AJ55+'COMEDORES VALLE'!AJ55+BUGA!AJ55+'COMEDORES CALI'!AJ55+'CTAS EN PPACION'!AJ55+'COMEDORES PALMIRA'!AJ55+IMDERTY!AJ55</f>
        <v/>
      </c>
      <c r="AK55" s="43" t="n"/>
      <c r="AL55" s="57" t="n"/>
      <c r="AM55" s="24">
        <f>C55+F55+I55+L55+O55+R55+U55+X55+AA55+AD55+AG55+AJ55</f>
        <v/>
      </c>
      <c r="AN55" s="195" t="n"/>
      <c r="AO55" s="57" t="n"/>
    </row>
    <row r="56" hidden="1" ht="15" customHeight="1" s="985">
      <c r="B56" s="22" t="n"/>
      <c r="C56" s="22">
        <f>CALI!C56+HUNGRIA!C56+YUMBO!C56+'ADULTO MAYOR'!C56+'COMEDORES VALLE'!C56+BUGA!C56+'COMEDORES CALI'!C56+'CTAS EN PPACION'!C56+'COMEDORES PALMIRA'!C56</f>
        <v/>
      </c>
      <c r="D56" s="42" t="n"/>
      <c r="E56" s="56" t="n"/>
      <c r="F56" s="22">
        <f>CALI!F56+HUNGRIA!F56+YUMBO!F56+'ADULTO MAYOR'!F56+'COMEDORES VALLE'!F56+BUGA!F56+'COMEDORES CALI'!F56+'CTAS EN PPACION'!F56+'COMEDORES PALMIRA'!F56</f>
        <v/>
      </c>
      <c r="G56" s="42" t="n"/>
      <c r="H56" s="56" t="n"/>
      <c r="I56" s="22">
        <f>CALI!I56+HUNGRIA!I56+YUMBO!I56+'ADULTO MAYOR'!I56+'COMEDORES VALLE'!I56+BUGA!I56+'COMEDORES CALI'!I56+'CTAS EN PPACION'!I56+'COMEDORES PALMIRA'!I56</f>
        <v/>
      </c>
      <c r="J56" s="42" t="n"/>
      <c r="K56" s="56" t="n"/>
      <c r="L56" s="22">
        <f>CALI!L56+HUNGRIA!L56+YUMBO!L56+'ADULTO MAYOR'!L56+'COMEDORES VALLE'!L56+BUGA!L56+'COMEDORES CALI'!L56+'CTAS EN PPACION'!L56+'COMEDORES PALMIRA'!L56</f>
        <v/>
      </c>
      <c r="M56" s="42" t="n"/>
      <c r="N56" s="56" t="n"/>
      <c r="O56" s="22">
        <f>CALI!O56+HUNGRIA!O56+YUMBO!O56+'ADULTO MAYOR'!O56+'COMEDORES VALLE'!O56+BUGA!O56+'COMEDORES CALI'!O56+'CTAS EN PPACION'!O56+'COMEDORES PALMIRA'!O56</f>
        <v/>
      </c>
      <c r="P56" s="42" t="n"/>
      <c r="Q56" s="56" t="n"/>
      <c r="R56" s="22">
        <f>CALI!R56+HUNGRIA!R56+YUMBO!R56+'ADULTO MAYOR'!R56+'COMEDORES VALLE'!R56+BUGA!R56+'COMEDORES CALI'!R56+'CTAS EN PPACION'!R56+'COMEDORES PALMIRA'!R56+IMDERTY!R56</f>
        <v/>
      </c>
      <c r="S56" s="42" t="n"/>
      <c r="T56" s="56" t="n"/>
      <c r="U56" s="22">
        <f>CALI!U56+HUNGRIA!U56+YUMBO!U56+'ADULTO MAYOR'!U56+'COMEDORES VALLE'!U56+BUGA!U56+'COMEDORES CALI'!U56+'CTAS EN PPACION'!U56+'COMEDORES PALMIRA'!U56+IMDERTY!U56</f>
        <v/>
      </c>
      <c r="V56" s="42" t="n"/>
      <c r="W56" s="56" t="n"/>
      <c r="X56" s="22">
        <f>CALI!X56+HUNGRIA!X56+YUMBO!X56+'ADULTO MAYOR'!X56+'COMEDORES VALLE'!X56+BUGA!X56+'COMEDORES CALI'!X56+'CTAS EN PPACION'!X56+'COMEDORES PALMIRA'!X56+IMDERTY!X56</f>
        <v/>
      </c>
      <c r="Y56" s="42" t="n"/>
      <c r="Z56" s="56" t="n"/>
      <c r="AA56" s="22">
        <f>CALI!AA56+HUNGRIA!AA56+YUMBO!AA56+'ADULTO MAYOR'!AA56+'COMEDORES VALLE'!AA56+BUGA!AA56+'COMEDORES CALI'!AA56+'CTAS EN PPACION'!AA56+'COMEDORES PALMIRA'!AA56+IMDERTY!AA56</f>
        <v/>
      </c>
      <c r="AB56" s="42" t="n"/>
      <c r="AC56" s="56" t="n"/>
      <c r="AD56" s="22">
        <f>CALI!AD56+HUNGRIA!AD56+YUMBO!AD56+'ADULTO MAYOR'!AD56+'COMEDORES VALLE'!AD56+BUGA!AD56+'COMEDORES CALI'!AD56+'CTAS EN PPACION'!AD56+'COMEDORES PALMIRA'!AD56+IMDERTY!AD56</f>
        <v/>
      </c>
      <c r="AE56" s="42" t="n"/>
      <c r="AF56" s="56" t="n"/>
      <c r="AG56" s="22">
        <f>CALI!AG56+HUNGRIA!AG56+YUMBO!AG56+'ADULTO MAYOR'!AG56+'COMEDORES VALLE'!AG56+BUGA!AG56+'COMEDORES CALI'!AG56+'CTAS EN PPACION'!AG56+'COMEDORES PALMIRA'!AG56+IMDERTY!AG56</f>
        <v/>
      </c>
      <c r="AH56" s="42" t="n"/>
      <c r="AI56" s="56" t="n"/>
      <c r="AJ56" s="22">
        <f>CALI!AJ56+HUNGRIA!AJ56+YUMBO!AJ56+'ADULTO MAYOR'!AJ56+'COMEDORES VALLE'!AJ56+BUGA!AJ56+'COMEDORES CALI'!AJ56+'CTAS EN PPACION'!AJ56+'COMEDORES PALMIRA'!AJ56+IMDERTY!AJ56</f>
        <v/>
      </c>
      <c r="AK56" s="42" t="n"/>
      <c r="AL56" s="56" t="n"/>
      <c r="AM56" s="23">
        <f>C56+F56+I56+L56+O56+R56+U56+X56+AA56+AD56+AG56+AJ56</f>
        <v/>
      </c>
      <c r="AN56" s="194" t="n"/>
      <c r="AO56" s="56" t="n"/>
    </row>
    <row r="57" ht="15" customHeight="1" s="985">
      <c r="B57" s="36" t="inlineStr">
        <is>
          <t>FLETES OPERADORES</t>
        </is>
      </c>
      <c r="C57" s="46">
        <f>SUM(C58:C59)</f>
        <v/>
      </c>
      <c r="D57" s="47" t="n"/>
      <c r="E57" s="59" t="n"/>
      <c r="F57" s="46">
        <f>SUM(F58:F59)</f>
        <v/>
      </c>
      <c r="G57" s="47">
        <f>F57/F12</f>
        <v/>
      </c>
      <c r="H57" s="59">
        <f>F57/F13</f>
        <v/>
      </c>
      <c r="I57" s="46">
        <f>SUM(I58:I59)</f>
        <v/>
      </c>
      <c r="J57" s="47">
        <f>I57/I12</f>
        <v/>
      </c>
      <c r="K57" s="59">
        <f>I57/I13</f>
        <v/>
      </c>
      <c r="L57" s="46">
        <f>SUM(L58:L59)</f>
        <v/>
      </c>
      <c r="M57" s="67" t="n"/>
      <c r="N57" s="68" t="n"/>
      <c r="O57" s="46">
        <f>SUM(O58:O59)</f>
        <v/>
      </c>
      <c r="P57" s="67" t="n"/>
      <c r="Q57" s="68" t="n"/>
      <c r="R57" s="46">
        <f>SUM(R58:R59)</f>
        <v/>
      </c>
      <c r="S57" s="67" t="n"/>
      <c r="T57" s="68" t="n"/>
      <c r="U57" s="46">
        <f>SUM(U58:U59)</f>
        <v/>
      </c>
      <c r="V57" s="67" t="n"/>
      <c r="W57" s="68" t="n"/>
      <c r="X57" s="46">
        <f>SUM(X58:X59)</f>
        <v/>
      </c>
      <c r="Y57" s="67" t="n"/>
      <c r="Z57" s="68" t="n"/>
      <c r="AA57" s="46">
        <f>SUM(AA58:AA59)</f>
        <v/>
      </c>
      <c r="AB57" s="67" t="n"/>
      <c r="AC57" s="68" t="n"/>
      <c r="AD57" s="46">
        <f>SUM(AD58:AD59)</f>
        <v/>
      </c>
      <c r="AE57" s="47" t="n"/>
      <c r="AF57" s="59" t="n"/>
      <c r="AG57" s="46">
        <f>SUM(AG58:AG59)</f>
        <v/>
      </c>
      <c r="AH57" s="67" t="n"/>
      <c r="AI57" s="68" t="n"/>
      <c r="AJ57" s="46">
        <f>SUM(AJ58:AJ59)</f>
        <v/>
      </c>
      <c r="AK57" s="67" t="n"/>
      <c r="AL57" s="68" t="n"/>
      <c r="AM57" s="29">
        <f>C57+F57+I57+L57+O57+R57+U57+X57+AA57+AD57+AG57+AJ57</f>
        <v/>
      </c>
      <c r="AN57" s="196">
        <f>AM57/AM12</f>
        <v/>
      </c>
      <c r="AO57" s="59">
        <f>AM57/AM13</f>
        <v/>
      </c>
    </row>
    <row r="58" ht="15" customHeight="1" s="985">
      <c r="B58" s="412" t="inlineStr">
        <is>
          <t>ENTREGA TERCEROS</t>
        </is>
      </c>
      <c r="C58" s="304">
        <f>CALI!C58+HUNGRIA!C58+YUMBO!C58+'ADULTO MAYOR'!C58+'COMEDORES VALLE'!C58+BUGA!C58+'COMEDORES CALI'!C58+'CTAS EN PPACION'!C58+'COMEDORES PALMIRA'!C58</f>
        <v/>
      </c>
      <c r="D58" s="305" t="n"/>
      <c r="E58" s="86" t="n"/>
      <c r="F58" s="304">
        <f>CALI!F58+HUNGRIA!F58+YUMBO!F58+'ADULTO MAYOR'!F58+'COMEDORES VALLE'!F58+BUGA!F58+'COMEDORES CALI'!F58+'CTAS EN PPACION'!F58+'COMEDORES PALMIRA'!F58</f>
        <v/>
      </c>
      <c r="G58" s="305" t="n"/>
      <c r="H58" s="86" t="n"/>
      <c r="I58" s="304">
        <f>CALI!I58+HUNGRIA!I58+YUMBO!I58+'ADULTO MAYOR'!I58+'COMEDORES VALLE'!I58+BUGA!I58+'COMEDORES CALI'!I58+'CTAS EN PPACION'!I58+'COMEDORES PALMIRA'!I58</f>
        <v/>
      </c>
      <c r="J58" s="305" t="n"/>
      <c r="K58" s="86" t="n"/>
      <c r="L58" s="304">
        <f>CALI!L58+HUNGRIA!L58+YUMBO!L58+'ADULTO MAYOR'!L58+'COMEDORES VALLE'!L58+BUGA!L58+'COMEDORES CALI'!L58+'CTAS EN PPACION'!L58+'COMEDORES PALMIRA'!L58</f>
        <v/>
      </c>
      <c r="M58" s="305" t="n"/>
      <c r="N58" s="86" t="n"/>
      <c r="O58" s="304">
        <f>CALI!O58+HUNGRIA!O58+YUMBO!O58+'ADULTO MAYOR'!O58+'COMEDORES VALLE'!O58+BUGA!O58+'COMEDORES CALI'!O58+'CTAS EN PPACION'!O58+'COMEDORES PALMIRA'!O58</f>
        <v/>
      </c>
      <c r="P58" s="305" t="n"/>
      <c r="Q58" s="86" t="n"/>
      <c r="R58" s="304">
        <f>CALI!R58+HUNGRIA!R58+YUMBO!R58+'ADULTO MAYOR'!R58+'COMEDORES VALLE'!R58+BUGA!R58+'COMEDORES CALI'!R58+'CTAS EN PPACION'!R58+'COMEDORES PALMIRA'!R58+IMDERTY!R58</f>
        <v/>
      </c>
      <c r="S58" s="305" t="n"/>
      <c r="T58" s="86" t="n"/>
      <c r="U58" s="304">
        <f>CALI!U58+HUNGRIA!U58+YUMBO!U58+'ADULTO MAYOR'!U58+'COMEDORES VALLE'!U58+BUGA!U58+'COMEDORES CALI'!U58+'CTAS EN PPACION'!U58+'COMEDORES PALMIRA'!U58+IMDERTY!U58</f>
        <v/>
      </c>
      <c r="V58" s="305" t="n"/>
      <c r="W58" s="86" t="n"/>
      <c r="X58" s="304">
        <f>CALI!X58+HUNGRIA!X58+YUMBO!X58+'ADULTO MAYOR'!X58+'COMEDORES VALLE'!X58+BUGA!X58+'COMEDORES CALI'!X58+'CTAS EN PPACION'!X58+'COMEDORES PALMIRA'!X58+IMDERTY!X58</f>
        <v/>
      </c>
      <c r="Y58" s="305" t="n"/>
      <c r="Z58" s="86" t="n"/>
      <c r="AA58" s="304">
        <f>CALI!AA58+HUNGRIA!AA58+YUMBO!AA58+'ADULTO MAYOR'!AA58+'COMEDORES VALLE'!AA58+BUGA!AA58+'COMEDORES CALI'!AA58+'CTAS EN PPACION'!AA58+'COMEDORES PALMIRA'!AA58+IMDERTY!AA58</f>
        <v/>
      </c>
      <c r="AB58" s="305" t="n"/>
      <c r="AC58" s="86" t="n"/>
      <c r="AD58" s="304">
        <f>CALI!AD58+HUNGRIA!AD58+YUMBO!AD58+'ADULTO MAYOR'!AD58+'COMEDORES VALLE'!AD58+BUGA!AD58+'COMEDORES CALI'!AD58+'CTAS EN PPACION'!AD58+'COMEDORES PALMIRA'!AD58+IMDERTY!AD58</f>
        <v/>
      </c>
      <c r="AE58" s="305" t="n"/>
      <c r="AF58" s="86" t="n"/>
      <c r="AG58" s="304">
        <f>CALI!AG58+HUNGRIA!AG58+YUMBO!AG58+'ADULTO MAYOR'!AG58+'COMEDORES VALLE'!AG58+BUGA!AG58+'COMEDORES CALI'!AG58+'CTAS EN PPACION'!AG58+'COMEDORES PALMIRA'!AG58+IMDERTY!AG58</f>
        <v/>
      </c>
      <c r="AH58" s="305" t="n"/>
      <c r="AI58" s="86" t="n"/>
      <c r="AJ58" s="304">
        <f>CALI!AJ58+HUNGRIA!AJ58+YUMBO!AJ58+'ADULTO MAYOR'!AJ58+'COMEDORES VALLE'!AJ58+BUGA!AJ58+'COMEDORES CALI'!AJ58+'CTAS EN PPACION'!AJ58+'COMEDORES PALMIRA'!AJ58+IMDERTY!AJ58</f>
        <v/>
      </c>
      <c r="AK58" s="305" t="n"/>
      <c r="AL58" s="86" t="n"/>
      <c r="AM58" s="298">
        <f>C58+F58+I58+L58+O58+R58+U58+X58+AA58+AD58+AG58+AJ58</f>
        <v/>
      </c>
      <c r="AN58" s="204" t="n"/>
      <c r="AO58" s="86">
        <f>AM58/AM$13</f>
        <v/>
      </c>
    </row>
    <row r="59" ht="15" customHeight="1" s="985">
      <c r="B59" s="416" t="inlineStr">
        <is>
          <t>ENTREGA MATERIA PRIMA TERCEROS</t>
        </is>
      </c>
      <c r="C59" s="83">
        <f>CALI!C59+HUNGRIA!C59+YUMBO!C59+'ADULTO MAYOR'!C59+'COMEDORES VALLE'!C59+BUGA!C59+'COMEDORES CALI'!C59+'CTAS EN PPACION'!C59+'COMEDORES PALMIRA'!C59</f>
        <v/>
      </c>
      <c r="D59" s="84" t="n"/>
      <c r="E59" s="85" t="n"/>
      <c r="F59" s="83">
        <f>CALI!F59+HUNGRIA!F59+YUMBO!F59+'ADULTO MAYOR'!F59+'COMEDORES VALLE'!F59+BUGA!F59+'COMEDORES CALI'!F59+'CTAS EN PPACION'!F59+'COMEDORES PALMIRA'!F59</f>
        <v/>
      </c>
      <c r="G59" s="84" t="n"/>
      <c r="H59" s="85" t="n"/>
      <c r="I59" s="83">
        <f>CALI!I59+HUNGRIA!I59+YUMBO!I59+'ADULTO MAYOR'!I59+'COMEDORES VALLE'!I59+BUGA!I59+'COMEDORES CALI'!I59+'CTAS EN PPACION'!I59+'COMEDORES PALMIRA'!I59</f>
        <v/>
      </c>
      <c r="J59" s="84" t="n"/>
      <c r="K59" s="85" t="n"/>
      <c r="L59" s="83">
        <f>CALI!L59+HUNGRIA!L59+YUMBO!L59+'ADULTO MAYOR'!L59+'COMEDORES VALLE'!L59+BUGA!L59+'COMEDORES CALI'!L59+'CTAS EN PPACION'!L59+'COMEDORES PALMIRA'!L59</f>
        <v/>
      </c>
      <c r="M59" s="84" t="n"/>
      <c r="N59" s="85" t="n"/>
      <c r="O59" s="83">
        <f>CALI!O59+HUNGRIA!O59+YUMBO!O59+'ADULTO MAYOR'!O59+'COMEDORES VALLE'!O59+BUGA!O59+'COMEDORES CALI'!O59+'CTAS EN PPACION'!O59+'COMEDORES PALMIRA'!O59</f>
        <v/>
      </c>
      <c r="P59" s="84" t="n"/>
      <c r="Q59" s="85" t="n"/>
      <c r="R59" s="83">
        <f>CALI!R59+HUNGRIA!R59+YUMBO!R59+'ADULTO MAYOR'!R59+'COMEDORES VALLE'!R59+BUGA!R59+'COMEDORES CALI'!R59+'CTAS EN PPACION'!R59+'COMEDORES PALMIRA'!R59+IMDERTY!R59</f>
        <v/>
      </c>
      <c r="S59" s="84" t="n"/>
      <c r="T59" s="85" t="n"/>
      <c r="U59" s="83">
        <f>CALI!U59+HUNGRIA!U59+YUMBO!U59+'ADULTO MAYOR'!U59+'COMEDORES VALLE'!U59+BUGA!U59+'COMEDORES CALI'!U59+'CTAS EN PPACION'!U59+'COMEDORES PALMIRA'!U59+IMDERTY!U59</f>
        <v/>
      </c>
      <c r="V59" s="84" t="n"/>
      <c r="W59" s="85" t="n"/>
      <c r="X59" s="83">
        <f>CALI!X59+HUNGRIA!X59+YUMBO!X59+'ADULTO MAYOR'!X59+'COMEDORES VALLE'!X59+BUGA!X59+'COMEDORES CALI'!X59+'CTAS EN PPACION'!X59+'COMEDORES PALMIRA'!X59+IMDERTY!X59</f>
        <v/>
      </c>
      <c r="Y59" s="84" t="n"/>
      <c r="Z59" s="85" t="n"/>
      <c r="AA59" s="83">
        <f>CALI!AA59+HUNGRIA!AA59+YUMBO!AA59+'ADULTO MAYOR'!AA59+'COMEDORES VALLE'!AA59+BUGA!AA59+'COMEDORES CALI'!AA59+'CTAS EN PPACION'!AA59+'COMEDORES PALMIRA'!AA59+IMDERTY!AA59</f>
        <v/>
      </c>
      <c r="AB59" s="84" t="n"/>
      <c r="AC59" s="85" t="n"/>
      <c r="AD59" s="83">
        <f>CALI!AD59+HUNGRIA!AD59+YUMBO!AD59+'ADULTO MAYOR'!AD59+'COMEDORES VALLE'!AD59+BUGA!AD59+'COMEDORES CALI'!AD59+'CTAS EN PPACION'!AD59+'COMEDORES PALMIRA'!AD59+IMDERTY!AD59</f>
        <v/>
      </c>
      <c r="AE59" s="84" t="n"/>
      <c r="AF59" s="85" t="n"/>
      <c r="AG59" s="83">
        <f>CALI!AG59+HUNGRIA!AG59+YUMBO!AG59+'ADULTO MAYOR'!AG59+'COMEDORES VALLE'!AG59+BUGA!AG59+'COMEDORES CALI'!AG59+'CTAS EN PPACION'!AG59+'COMEDORES PALMIRA'!AG59+IMDERTY!AG59</f>
        <v/>
      </c>
      <c r="AH59" s="84" t="n"/>
      <c r="AI59" s="85" t="n"/>
      <c r="AJ59" s="83">
        <f>CALI!AJ59+HUNGRIA!AJ59+YUMBO!AJ59+'ADULTO MAYOR'!AJ59+'COMEDORES VALLE'!AJ59+BUGA!AJ59+'COMEDORES CALI'!AJ59+'CTAS EN PPACION'!AJ59+'COMEDORES PALMIRA'!AJ59+IMDERTY!AJ59</f>
        <v/>
      </c>
      <c r="AK59" s="84" t="n"/>
      <c r="AL59" s="85" t="n"/>
      <c r="AM59" s="349">
        <f>C59+F59+I59+L59+O59+R59+U59+X59+AA59+AD59+AG59+AJ59</f>
        <v/>
      </c>
      <c r="AN59" s="350" t="n"/>
      <c r="AO59" s="419">
        <f>AM59/AM$13</f>
        <v/>
      </c>
    </row>
    <row r="60" ht="15" customHeight="1" s="985">
      <c r="B60" s="16" t="inlineStr">
        <is>
          <t>COSTOS PREPARADOS</t>
        </is>
      </c>
      <c r="C60" s="90">
        <f>+C61+C72+C75+C76+C77</f>
        <v/>
      </c>
      <c r="D60" s="3" t="n"/>
      <c r="E60" s="1053">
        <f>C60/$C$13</f>
        <v/>
      </c>
      <c r="F60" s="90">
        <f>+F61+F72+F75+F76+F77</f>
        <v/>
      </c>
      <c r="G60" s="3" t="n"/>
      <c r="H60" s="1053">
        <f>F60/F13</f>
        <v/>
      </c>
      <c r="I60" s="90">
        <f>+I61+I72+I75+I76+I77</f>
        <v/>
      </c>
      <c r="J60" s="3" t="n"/>
      <c r="K60" s="1053">
        <f>I60/I13</f>
        <v/>
      </c>
      <c r="L60" s="90">
        <f>+L61+L72+L75+L76+L77</f>
        <v/>
      </c>
      <c r="M60" s="3" t="n"/>
      <c r="N60" s="1053">
        <f>L60/L13</f>
        <v/>
      </c>
      <c r="O60" s="90">
        <f>+O61+O72+O75+O76+O77</f>
        <v/>
      </c>
      <c r="P60" s="3" t="n"/>
      <c r="Q60" s="1053">
        <f>O60/O13</f>
        <v/>
      </c>
      <c r="R60" s="90">
        <f>+R61+R72+R75+R76+R77</f>
        <v/>
      </c>
      <c r="S60" s="3" t="n"/>
      <c r="T60" s="61">
        <f>R60/$R$13</f>
        <v/>
      </c>
      <c r="U60" s="90">
        <f>+U61+U72+U75+U76+U77</f>
        <v/>
      </c>
      <c r="V60" s="3" t="n"/>
      <c r="W60" s="61">
        <f>U60/U13</f>
        <v/>
      </c>
      <c r="X60" s="90">
        <f>+X61+X72+X75+X76+X77</f>
        <v/>
      </c>
      <c r="Y60" s="3" t="n"/>
      <c r="Z60" s="1053">
        <f>X60/X13</f>
        <v/>
      </c>
      <c r="AA60" s="90">
        <f>+AA61+AA72+AA75+AA76+AA77</f>
        <v/>
      </c>
      <c r="AB60" s="3" t="n"/>
      <c r="AC60" s="61">
        <f>AA60/AA13</f>
        <v/>
      </c>
      <c r="AD60" s="90">
        <f>+AD61+AD72+AD75+AD76+AD77</f>
        <v/>
      </c>
      <c r="AE60" s="3" t="n"/>
      <c r="AF60" s="1053">
        <f>AD60/AD13</f>
        <v/>
      </c>
      <c r="AG60" s="90">
        <f>+AG61+AG72+AG75+AG76+AG77</f>
        <v/>
      </c>
      <c r="AH60" s="3" t="n"/>
      <c r="AI60" s="61">
        <f>AG60/AG13</f>
        <v/>
      </c>
      <c r="AJ60" s="90">
        <f>+AJ61+AJ72+AJ75+AJ76+AJ77</f>
        <v/>
      </c>
      <c r="AK60" s="3" t="n"/>
      <c r="AL60" s="61">
        <f>AJ60/AJ13</f>
        <v/>
      </c>
      <c r="AM60" s="751">
        <f>C60+F60+I60+L60+O60+R60+U60+X60+AA60+AD60+AG60+AJ60</f>
        <v/>
      </c>
      <c r="AN60" s="197" t="n"/>
      <c r="AO60" s="1053">
        <f>AM60/$AM$13</f>
        <v/>
      </c>
    </row>
    <row r="61" ht="15" customHeight="1" s="985">
      <c r="B61" s="36" t="inlineStr">
        <is>
          <t>INSUMOS PREPARADOS</t>
        </is>
      </c>
      <c r="C61" s="37">
        <f>SUM(C62:C71)</f>
        <v/>
      </c>
      <c r="D61" s="67" t="n"/>
      <c r="E61" s="1071">
        <f>C61/$C$13</f>
        <v/>
      </c>
      <c r="F61" s="37">
        <f>SUM(F62:F71)</f>
        <v/>
      </c>
      <c r="G61" s="67" t="n"/>
      <c r="H61" s="1049">
        <f>F61/F14</f>
        <v/>
      </c>
      <c r="I61" s="46">
        <f>SUM(I62:I71)</f>
        <v/>
      </c>
      <c r="J61" s="67" t="n"/>
      <c r="K61" s="1049">
        <f>I61/I14</f>
        <v/>
      </c>
      <c r="L61" s="46">
        <f>SUM(L62:L71)</f>
        <v/>
      </c>
      <c r="M61" s="67" t="n"/>
      <c r="N61" s="1049">
        <f>L61/L14</f>
        <v/>
      </c>
      <c r="O61" s="46">
        <f>SUM(O62:O71)</f>
        <v/>
      </c>
      <c r="P61" s="67" t="n"/>
      <c r="Q61" s="68" t="n"/>
      <c r="R61" s="37">
        <f>SUM(R62:R71)</f>
        <v/>
      </c>
      <c r="S61" s="67" t="n"/>
      <c r="T61" s="68">
        <f>R61/$R$13</f>
        <v/>
      </c>
      <c r="U61" s="37">
        <f>SUM(U62:U71)</f>
        <v/>
      </c>
      <c r="V61" s="67" t="n"/>
      <c r="W61" s="59">
        <f>U61/U13</f>
        <v/>
      </c>
      <c r="X61" s="37">
        <f>SUM(X62:X71)</f>
        <v/>
      </c>
      <c r="Y61" s="67" t="n"/>
      <c r="Z61" s="1049">
        <f>X61/$X$13</f>
        <v/>
      </c>
      <c r="AA61" s="37">
        <f>SUM(AA62:AA71)</f>
        <v/>
      </c>
      <c r="AB61" s="67" t="n"/>
      <c r="AC61" s="68" t="n"/>
      <c r="AD61" s="37">
        <f>SUM(AD62:AD71)</f>
        <v/>
      </c>
      <c r="AE61" s="67" t="n"/>
      <c r="AF61" s="68" t="n"/>
      <c r="AG61" s="37">
        <f>SUM(AG62:AG71)</f>
        <v/>
      </c>
      <c r="AH61" s="67" t="n"/>
      <c r="AI61" s="68" t="n"/>
      <c r="AJ61" s="37">
        <f>SUM(AJ62:AJ71)</f>
        <v/>
      </c>
      <c r="AK61" s="67" t="n"/>
      <c r="AL61" s="68" t="n"/>
      <c r="AM61" s="38">
        <f>C61+F61+I61+L61+O61+R61+U61+X61+AA61+AD61+AG61+AJ61</f>
        <v/>
      </c>
      <c r="AN61" s="199" t="n"/>
      <c r="AO61" s="1049">
        <f>AM61/$AM$13</f>
        <v/>
      </c>
    </row>
    <row r="62" ht="15" customHeight="1" s="985">
      <c r="B62" s="78" t="n"/>
      <c r="C62" s="78">
        <f>CALI!C62+HUNGRIA!C62+YUMBO!C62+'ADULTO MAYOR'!C62+'COMEDORES VALLE'!C62+BUGA!C62+'COMEDORES CALI'!C62+'CTAS EN PPACION'!C62+'COMEDORES PALMIRA'!C62+IMDERTY!C62</f>
        <v/>
      </c>
      <c r="D62" s="79" t="n"/>
      <c r="E62" s="80" t="n"/>
      <c r="F62" s="78">
        <f>CALI!F62+HUNGRIA!F62+YUMBO!F62+'ADULTO MAYOR'!F62+'COMEDORES VALLE'!F62+BUGA!F62+'COMEDORES CALI'!F62+'CTAS EN PPACION'!F62+'COMEDORES PALMIRA'!F62+IMDERTY!F62</f>
        <v/>
      </c>
      <c r="G62" s="79" t="n"/>
      <c r="H62" s="80" t="n"/>
      <c r="I62" s="78">
        <f>CALI!I62+HUNGRIA!I62+YUMBO!I62+'ADULTO MAYOR'!I62+'COMEDORES VALLE'!I62+BUGA!I62+'COMEDORES CALI'!I62+'CTAS EN PPACION'!I62+'COMEDORES PALMIRA'!I62+IMDERTY!I62</f>
        <v/>
      </c>
      <c r="J62" s="79" t="n"/>
      <c r="K62" s="80" t="n"/>
      <c r="L62" s="78">
        <f>CALI!L62+HUNGRIA!L62+YUMBO!L62+'ADULTO MAYOR'!L62+'COMEDORES VALLE'!L62+BUGA!L62+'COMEDORES CALI'!L62+'CTAS EN PPACION'!L62+'COMEDORES PALMIRA'!L62+IMDERTY!L62</f>
        <v/>
      </c>
      <c r="M62" s="79" t="n"/>
      <c r="N62" s="80" t="n"/>
      <c r="O62" s="78">
        <f>CALI!O62+HUNGRIA!O62+YUMBO!O62+'ADULTO MAYOR'!O62+'COMEDORES VALLE'!O62+BUGA!O62+'COMEDORES CALI'!O62+'CTAS EN PPACION'!O62+'COMEDORES PALMIRA'!O62+IMDERTY!O62</f>
        <v/>
      </c>
      <c r="P62" s="79" t="n"/>
      <c r="Q62" s="80" t="n"/>
      <c r="R62" s="78">
        <f>CALI!R62+HUNGRIA!R62+YUMBO!R62+'ADULTO MAYOR'!R62+'COMEDORES VALLE'!R62+BUGA!R62+'COMEDORES CALI'!R62+'CTAS EN PPACION'!R62+'COMEDORES PALMIRA'!R62+IMDERTY!R62</f>
        <v/>
      </c>
      <c r="S62" s="79" t="n"/>
      <c r="T62" s="80" t="n"/>
      <c r="U62" s="78">
        <f>CALI!U62+HUNGRIA!U62+YUMBO!U62+'ADULTO MAYOR'!U62+'COMEDORES VALLE'!U62+BUGA!U62+'COMEDORES CALI'!U62+'CTAS EN PPACION'!U62+'COMEDORES PALMIRA'!U62+IMDERTY!U62</f>
        <v/>
      </c>
      <c r="V62" s="79" t="n"/>
      <c r="W62" s="80" t="n"/>
      <c r="X62" s="78">
        <f>CALI!X62+HUNGRIA!X62+YUMBO!X62+'ADULTO MAYOR'!X62+'COMEDORES VALLE'!X62+BUGA!X62+'COMEDORES CALI'!X62+'CTAS EN PPACION'!X62+'COMEDORES PALMIRA'!X62+IMDERTY!X62</f>
        <v/>
      </c>
      <c r="Y62" s="79" t="n"/>
      <c r="Z62" s="80" t="n"/>
      <c r="AA62" s="78">
        <f>CALI!AA62+HUNGRIA!AA62+YUMBO!AA62+'ADULTO MAYOR'!AA62+'COMEDORES VALLE'!AA62+BUGA!AA62+'COMEDORES CALI'!AA62+'CTAS EN PPACION'!AA62+'COMEDORES PALMIRA'!AA62+IMDERTY!AA62</f>
        <v/>
      </c>
      <c r="AB62" s="79" t="n"/>
      <c r="AC62" s="80" t="n"/>
      <c r="AD62" s="78">
        <f>CALI!AD62+HUNGRIA!AD62+YUMBO!AD62+'ADULTO MAYOR'!AD62+'COMEDORES VALLE'!AD62+BUGA!AD62+'COMEDORES CALI'!AD62+'CTAS EN PPACION'!AD62+'COMEDORES PALMIRA'!AD62+IMDERTY!AD62</f>
        <v/>
      </c>
      <c r="AE62" s="79" t="n"/>
      <c r="AF62" s="80" t="n"/>
      <c r="AG62" s="78">
        <f>CALI!AG62+HUNGRIA!AG62+YUMBO!AG62+'ADULTO MAYOR'!AG62+'COMEDORES VALLE'!AG62+BUGA!AG62+'COMEDORES CALI'!AG62+'CTAS EN PPACION'!AG62+'COMEDORES PALMIRA'!AG62+IMDERTY!AG62</f>
        <v/>
      </c>
      <c r="AH62" s="79" t="n"/>
      <c r="AI62" s="80" t="n"/>
      <c r="AJ62" s="78">
        <f>CALI!AJ62+HUNGRIA!AJ62+YUMBO!AJ62+'ADULTO MAYOR'!AJ62+'COMEDORES VALLE'!AJ62+BUGA!AJ62+'COMEDORES CALI'!AJ62+'CTAS EN PPACION'!AJ62+'COMEDORES PALMIRA'!AJ62+IMDERTY!AJ62</f>
        <v/>
      </c>
      <c r="AK62" s="79" t="n"/>
      <c r="AL62" s="80" t="n"/>
      <c r="AM62" s="81">
        <f>C62+F62+I62+L62+O62+R62+U62+X62+AA62+AD62+AG62+AJ62</f>
        <v/>
      </c>
      <c r="AN62" s="348" t="n"/>
      <c r="AO62" s="80" t="n"/>
    </row>
    <row r="63" ht="15" customHeight="1" s="985">
      <c r="B63" s="25" t="n"/>
      <c r="C63" s="25">
        <f>CALI!C63+HUNGRIA!C63+YUMBO!C63+'ADULTO MAYOR'!C63+'COMEDORES VALLE'!C63+BUGA!C63+'COMEDORES CALI'!C63+'CTAS EN PPACION'!C63+'COMEDORES PALMIRA'!C63+IMDERTY!C63</f>
        <v/>
      </c>
      <c r="D63" s="43" t="n"/>
      <c r="E63" s="57" t="n"/>
      <c r="F63" s="25">
        <f>CALI!F63+HUNGRIA!F63+YUMBO!F63+'ADULTO MAYOR'!F63+'COMEDORES VALLE'!F63+BUGA!F63+'COMEDORES CALI'!F63+'CTAS EN PPACION'!F63+'COMEDORES PALMIRA'!F63+IMDERTY!F63</f>
        <v/>
      </c>
      <c r="G63" s="43" t="n"/>
      <c r="H63" s="57" t="n"/>
      <c r="I63" s="25">
        <f>CALI!I63+HUNGRIA!I63+YUMBO!I63+'ADULTO MAYOR'!I63+'COMEDORES VALLE'!I63+BUGA!I63+'COMEDORES CALI'!I63+'CTAS EN PPACION'!I63+'COMEDORES PALMIRA'!I63+IMDERTY!I63</f>
        <v/>
      </c>
      <c r="J63" s="43" t="n"/>
      <c r="K63" s="57" t="n"/>
      <c r="L63" s="25">
        <f>CALI!L63+HUNGRIA!L63+YUMBO!L63+'ADULTO MAYOR'!L63+'COMEDORES VALLE'!L63+BUGA!L63+'COMEDORES CALI'!L63+'CTAS EN PPACION'!L63+'COMEDORES PALMIRA'!L63+IMDERTY!L63</f>
        <v/>
      </c>
      <c r="M63" s="43" t="n"/>
      <c r="N63" s="57" t="n"/>
      <c r="O63" s="25">
        <f>CALI!O63+HUNGRIA!O63+YUMBO!O63+'ADULTO MAYOR'!O63+'COMEDORES VALLE'!O63+BUGA!O63+'COMEDORES CALI'!O63+'CTAS EN PPACION'!O63+'COMEDORES PALMIRA'!O63+IMDERTY!O63</f>
        <v/>
      </c>
      <c r="P63" s="43" t="n"/>
      <c r="Q63" s="57" t="n"/>
      <c r="R63" s="25">
        <f>CALI!R63+HUNGRIA!R63+YUMBO!R63+'ADULTO MAYOR'!R63+'COMEDORES VALLE'!R63+BUGA!R63+'COMEDORES CALI'!R63+'CTAS EN PPACION'!R63+'COMEDORES PALMIRA'!R63+IMDERTY!R63</f>
        <v/>
      </c>
      <c r="S63" s="43" t="n"/>
      <c r="T63" s="57" t="n"/>
      <c r="U63" s="25">
        <f>CALI!U63+HUNGRIA!U63+YUMBO!U63+'ADULTO MAYOR'!U63+'COMEDORES VALLE'!U63+BUGA!U63+'COMEDORES CALI'!U63+'CTAS EN PPACION'!U63+'COMEDORES PALMIRA'!U63+IMDERTY!U63</f>
        <v/>
      </c>
      <c r="V63" s="43" t="n"/>
      <c r="W63" s="57" t="n"/>
      <c r="X63" s="25">
        <f>CALI!X63+HUNGRIA!X63+YUMBO!X63+'ADULTO MAYOR'!X63+'COMEDORES VALLE'!X63+BUGA!X63+'COMEDORES CALI'!X63+'CTAS EN PPACION'!X63+'COMEDORES PALMIRA'!X63+IMDERTY!X63</f>
        <v/>
      </c>
      <c r="Y63" s="43" t="n"/>
      <c r="Z63" s="57" t="n"/>
      <c r="AA63" s="25">
        <f>CALI!AA63+HUNGRIA!AA63+YUMBO!AA63+'ADULTO MAYOR'!AA63+'COMEDORES VALLE'!AA63+BUGA!AA63+'COMEDORES CALI'!AA63+'CTAS EN PPACION'!AA63+'COMEDORES PALMIRA'!AA63+IMDERTY!AA63</f>
        <v/>
      </c>
      <c r="AB63" s="43" t="n"/>
      <c r="AC63" s="57" t="n"/>
      <c r="AD63" s="25">
        <f>CALI!AD63+HUNGRIA!AD63+YUMBO!AD63+'ADULTO MAYOR'!AD63+'COMEDORES VALLE'!AD63+BUGA!AD63+'COMEDORES CALI'!AD63+'CTAS EN PPACION'!AD63+'COMEDORES PALMIRA'!AD63+IMDERTY!AD63</f>
        <v/>
      </c>
      <c r="AE63" s="43" t="n"/>
      <c r="AF63" s="57" t="n"/>
      <c r="AG63" s="25">
        <f>CALI!AG63+HUNGRIA!AG63+YUMBO!AG63+'ADULTO MAYOR'!AG63+'COMEDORES VALLE'!AG63+BUGA!AG63+'COMEDORES CALI'!AG63+'CTAS EN PPACION'!AG63+'COMEDORES PALMIRA'!AG63+IMDERTY!AG63</f>
        <v/>
      </c>
      <c r="AH63" s="43" t="n"/>
      <c r="AI63" s="57" t="n"/>
      <c r="AJ63" s="25">
        <f>CALI!AJ63+HUNGRIA!AJ63+YUMBO!AJ63+'ADULTO MAYOR'!AJ63+'COMEDORES VALLE'!AJ63+BUGA!AJ63+'COMEDORES CALI'!AJ63+'CTAS EN PPACION'!AJ63+'COMEDORES PALMIRA'!AJ63+IMDERTY!AJ63</f>
        <v/>
      </c>
      <c r="AK63" s="43" t="n"/>
      <c r="AL63" s="57" t="n"/>
      <c r="AM63" s="24">
        <f>C63+F63+I63+L63+O63+R63+U63+X63+AA63+AD63+AG63+AJ63</f>
        <v/>
      </c>
      <c r="AN63" s="195" t="n"/>
      <c r="AO63" s="57" t="n"/>
    </row>
    <row r="64" ht="15" customHeight="1" s="985">
      <c r="B64" s="25" t="n"/>
      <c r="C64" s="82">
        <f>CALI!C64+HUNGRIA!C64+YUMBO!C64+'ADULTO MAYOR'!C64+'COMEDORES VALLE'!C64+BUGA!C64+'COMEDORES CALI'!C64+'CTAS EN PPACION'!C64+'COMEDORES PALMIRA'!C64+IMDERTY!C64</f>
        <v/>
      </c>
      <c r="D64" s="43" t="n"/>
      <c r="E64" s="57" t="n"/>
      <c r="F64" s="82">
        <f>CALI!F64+HUNGRIA!F64+YUMBO!F64+'ADULTO MAYOR'!F64+'COMEDORES VALLE'!F64+BUGA!F64+'COMEDORES CALI'!F64+'CTAS EN PPACION'!F64+'COMEDORES PALMIRA'!F64+IMDERTY!F64</f>
        <v/>
      </c>
      <c r="G64" s="43" t="n"/>
      <c r="H64" s="57" t="n"/>
      <c r="I64" s="82">
        <f>CALI!I64+HUNGRIA!I64+YUMBO!I64+'ADULTO MAYOR'!I64+'COMEDORES VALLE'!I64+BUGA!I64+'COMEDORES CALI'!I64+'CTAS EN PPACION'!I64+'COMEDORES PALMIRA'!I64+IMDERTY!I64</f>
        <v/>
      </c>
      <c r="J64" s="43" t="n"/>
      <c r="K64" s="57" t="n"/>
      <c r="L64" s="82">
        <f>CALI!L64+HUNGRIA!L64+YUMBO!L64+'ADULTO MAYOR'!L64+'COMEDORES VALLE'!L64+BUGA!L64+'COMEDORES CALI'!L64+'CTAS EN PPACION'!L64+'COMEDORES PALMIRA'!L64+IMDERTY!L64</f>
        <v/>
      </c>
      <c r="M64" s="43" t="n"/>
      <c r="N64" s="57" t="n"/>
      <c r="O64" s="82">
        <f>CALI!O64+HUNGRIA!O64+YUMBO!O64+'ADULTO MAYOR'!O64+'COMEDORES VALLE'!O64+BUGA!O64+'COMEDORES CALI'!O64+'CTAS EN PPACION'!O64+'COMEDORES PALMIRA'!O64+IMDERTY!O64</f>
        <v/>
      </c>
      <c r="P64" s="43" t="n"/>
      <c r="Q64" s="57" t="n"/>
      <c r="R64" s="82">
        <f>CALI!R64+HUNGRIA!R64+YUMBO!R64+'ADULTO MAYOR'!R64+'COMEDORES VALLE'!R64+BUGA!R64+'COMEDORES CALI'!R64+'CTAS EN PPACION'!R64+'COMEDORES PALMIRA'!R64+IMDERTY!R64</f>
        <v/>
      </c>
      <c r="S64" s="43" t="n"/>
      <c r="T64" s="57" t="n"/>
      <c r="U64" s="82">
        <f>CALI!U64+HUNGRIA!U64+YUMBO!U64+'ADULTO MAYOR'!U64+'COMEDORES VALLE'!U64+BUGA!U64+'COMEDORES CALI'!U64+'CTAS EN PPACION'!U64+'COMEDORES PALMIRA'!U64+IMDERTY!U64</f>
        <v/>
      </c>
      <c r="V64" s="43" t="n"/>
      <c r="W64" s="57" t="n"/>
      <c r="X64" s="82">
        <f>CALI!X64+HUNGRIA!X64+YUMBO!X64+'ADULTO MAYOR'!X64+'COMEDORES VALLE'!X64+BUGA!X64+'COMEDORES CALI'!X64+'CTAS EN PPACION'!X64+'COMEDORES PALMIRA'!X64+IMDERTY!X64</f>
        <v/>
      </c>
      <c r="Y64" s="43" t="n"/>
      <c r="Z64" s="57" t="n"/>
      <c r="AA64" s="82">
        <f>CALI!AA64+HUNGRIA!AA64+YUMBO!AA64+'ADULTO MAYOR'!AA64+'COMEDORES VALLE'!AA64+BUGA!AA64+'COMEDORES CALI'!AA64+'CTAS EN PPACION'!AA64+'COMEDORES PALMIRA'!AA64+IMDERTY!AA64</f>
        <v/>
      </c>
      <c r="AB64" s="43" t="n"/>
      <c r="AC64" s="57" t="n"/>
      <c r="AD64" s="82">
        <f>CALI!AD64+HUNGRIA!AD64+YUMBO!AD64+'ADULTO MAYOR'!AD64+'COMEDORES VALLE'!AD64+BUGA!AD64+'COMEDORES CALI'!AD64+'CTAS EN PPACION'!AD64+'COMEDORES PALMIRA'!AD64+IMDERTY!AD64</f>
        <v/>
      </c>
      <c r="AE64" s="43" t="n"/>
      <c r="AF64" s="57" t="n"/>
      <c r="AG64" s="82">
        <f>CALI!AG64+HUNGRIA!AG64+YUMBO!AG64+'ADULTO MAYOR'!AG64+'COMEDORES VALLE'!AG64+BUGA!AG64+'COMEDORES CALI'!AG64+'CTAS EN PPACION'!AG64+'COMEDORES PALMIRA'!AG64+IMDERTY!AG64</f>
        <v/>
      </c>
      <c r="AH64" s="43" t="n"/>
      <c r="AI64" s="57" t="n"/>
      <c r="AJ64" s="82">
        <f>CALI!AJ64+HUNGRIA!AJ64+YUMBO!AJ64+'ADULTO MAYOR'!AJ64+'COMEDORES VALLE'!AJ64+BUGA!AJ64+'COMEDORES CALI'!AJ64+'CTAS EN PPACION'!AJ64+'COMEDORES PALMIRA'!AJ64+IMDERTY!AJ64</f>
        <v/>
      </c>
      <c r="AK64" s="43" t="n"/>
      <c r="AL64" s="57" t="n"/>
      <c r="AM64" s="24">
        <f>C64+F64+I64+L64+O64+R64+U64+X64+AA64+AD64+AG64+AJ64</f>
        <v/>
      </c>
      <c r="AN64" s="195" t="n"/>
      <c r="AO64" s="57" t="n"/>
    </row>
    <row r="65" ht="15" customHeight="1" s="985">
      <c r="B65" s="25" t="n"/>
      <c r="C65" s="25">
        <f>CALI!C65+HUNGRIA!C65+YUMBO!C65+'ADULTO MAYOR'!C65+'COMEDORES VALLE'!C65+BUGA!C65+'COMEDORES CALI'!C65+'CTAS EN PPACION'!C65+'COMEDORES PALMIRA'!C65+IMDERTY!C65</f>
        <v/>
      </c>
      <c r="D65" s="43" t="n"/>
      <c r="E65" s="57" t="n"/>
      <c r="F65" s="25">
        <f>CALI!F65+HUNGRIA!F65+YUMBO!F65+'ADULTO MAYOR'!F65+'COMEDORES VALLE'!F65+BUGA!F65+'COMEDORES CALI'!F65+'CTAS EN PPACION'!F65+'COMEDORES PALMIRA'!F65+IMDERTY!F65</f>
        <v/>
      </c>
      <c r="G65" s="43" t="n"/>
      <c r="H65" s="57" t="n"/>
      <c r="I65" s="25">
        <f>CALI!I65+HUNGRIA!I65+YUMBO!I65+'ADULTO MAYOR'!I65+'COMEDORES VALLE'!I65+BUGA!I65+'COMEDORES CALI'!I65+'CTAS EN PPACION'!I65+'COMEDORES PALMIRA'!I65+IMDERTY!I65</f>
        <v/>
      </c>
      <c r="J65" s="43" t="n"/>
      <c r="K65" s="57" t="n"/>
      <c r="L65" s="25">
        <f>CALI!L65+HUNGRIA!L65+YUMBO!L65+'ADULTO MAYOR'!L65+'COMEDORES VALLE'!L65+BUGA!L65+'COMEDORES CALI'!L65+'CTAS EN PPACION'!L65+'COMEDORES PALMIRA'!L65+IMDERTY!L65</f>
        <v/>
      </c>
      <c r="M65" s="43" t="n"/>
      <c r="N65" s="57" t="n"/>
      <c r="O65" s="25">
        <f>CALI!O65+HUNGRIA!O65+YUMBO!O65+'ADULTO MAYOR'!O65+'COMEDORES VALLE'!O65+BUGA!O65+'COMEDORES CALI'!O65+'CTAS EN PPACION'!O65+'COMEDORES PALMIRA'!O65+IMDERTY!O65</f>
        <v/>
      </c>
      <c r="P65" s="43" t="n"/>
      <c r="Q65" s="57" t="n"/>
      <c r="R65" s="25">
        <f>CALI!R65+HUNGRIA!R65+YUMBO!R65+'ADULTO MAYOR'!R65+'COMEDORES VALLE'!R65+BUGA!R65+'COMEDORES CALI'!R65+'CTAS EN PPACION'!R65+'COMEDORES PALMIRA'!R65+IMDERTY!R65</f>
        <v/>
      </c>
      <c r="S65" s="43" t="n"/>
      <c r="T65" s="57" t="n"/>
      <c r="U65" s="25">
        <f>CALI!U65+HUNGRIA!U65+YUMBO!U65+'ADULTO MAYOR'!U65+'COMEDORES VALLE'!U65+BUGA!U65+'COMEDORES CALI'!U65+'CTAS EN PPACION'!U65+'COMEDORES PALMIRA'!U65+IMDERTY!U65</f>
        <v/>
      </c>
      <c r="V65" s="43" t="n"/>
      <c r="W65" s="57" t="n"/>
      <c r="X65" s="25">
        <f>CALI!X65+HUNGRIA!X65+YUMBO!X65+'ADULTO MAYOR'!X65+'COMEDORES VALLE'!X65+BUGA!X65+'COMEDORES CALI'!X65+'CTAS EN PPACION'!X65+'COMEDORES PALMIRA'!X65+IMDERTY!X65</f>
        <v/>
      </c>
      <c r="Y65" s="43" t="n"/>
      <c r="Z65" s="57" t="n"/>
      <c r="AA65" s="25">
        <f>CALI!AA65+HUNGRIA!AA65+YUMBO!AA65+'ADULTO MAYOR'!AA65+'COMEDORES VALLE'!AA65+BUGA!AA65+'COMEDORES CALI'!AA65+'CTAS EN PPACION'!AA65+'COMEDORES PALMIRA'!AA65+IMDERTY!AA65</f>
        <v/>
      </c>
      <c r="AB65" s="43" t="n"/>
      <c r="AC65" s="57" t="n"/>
      <c r="AD65" s="25">
        <f>CALI!AD65+HUNGRIA!AD65+YUMBO!AD65+'ADULTO MAYOR'!AD65+'COMEDORES VALLE'!AD65+BUGA!AD65+'COMEDORES CALI'!AD65+'CTAS EN PPACION'!AD65+'COMEDORES PALMIRA'!AD65+IMDERTY!AD65</f>
        <v/>
      </c>
      <c r="AE65" s="43" t="n"/>
      <c r="AF65" s="57" t="n"/>
      <c r="AG65" s="25">
        <f>CALI!AG65+HUNGRIA!AG65+YUMBO!AG65+'ADULTO MAYOR'!AG65+'COMEDORES VALLE'!AG65+BUGA!AG65+'COMEDORES CALI'!AG65+'CTAS EN PPACION'!AG65+'COMEDORES PALMIRA'!AG65+IMDERTY!AG65</f>
        <v/>
      </c>
      <c r="AH65" s="43" t="n"/>
      <c r="AI65" s="57" t="n"/>
      <c r="AJ65" s="25">
        <f>CALI!AJ65+HUNGRIA!AJ65+YUMBO!AJ65+'ADULTO MAYOR'!AJ65+'COMEDORES VALLE'!AJ65+BUGA!AJ65+'COMEDORES CALI'!AJ65+'CTAS EN PPACION'!AJ65+'COMEDORES PALMIRA'!AJ65+IMDERTY!AJ65</f>
        <v/>
      </c>
      <c r="AK65" s="43" t="n"/>
      <c r="AL65" s="57" t="n"/>
      <c r="AM65" s="24">
        <f>C65+F65+I65+L65+O65+R65+U65+X65+AA65+AD65+AG65+AJ65</f>
        <v/>
      </c>
      <c r="AN65" s="195" t="n"/>
      <c r="AO65" s="57" t="n"/>
    </row>
    <row r="66" ht="15" customHeight="1" s="985">
      <c r="B66" s="25" t="n"/>
      <c r="C66" s="25">
        <f>CALI!C66+HUNGRIA!C66+YUMBO!C66+'ADULTO MAYOR'!C66+'COMEDORES VALLE'!C66+BUGA!C66+'COMEDORES CALI'!C66+'CTAS EN PPACION'!C66+'COMEDORES PALMIRA'!C66+IMDERTY!C66</f>
        <v/>
      </c>
      <c r="D66" s="43" t="n"/>
      <c r="E66" s="57" t="n"/>
      <c r="F66" s="25">
        <f>CALI!F66+HUNGRIA!F66+YUMBO!F66+'ADULTO MAYOR'!F66+'COMEDORES VALLE'!F66+BUGA!F66+'COMEDORES CALI'!F66+'CTAS EN PPACION'!F66+'COMEDORES PALMIRA'!F66+IMDERTY!F66</f>
        <v/>
      </c>
      <c r="G66" s="43" t="n"/>
      <c r="H66" s="57" t="n"/>
      <c r="I66" s="25">
        <f>CALI!I66+HUNGRIA!I66+YUMBO!I66+'ADULTO MAYOR'!I66+'COMEDORES VALLE'!I66+BUGA!I66+'COMEDORES CALI'!I66+'CTAS EN PPACION'!I66+'COMEDORES PALMIRA'!I66+IMDERTY!I66</f>
        <v/>
      </c>
      <c r="J66" s="43" t="n"/>
      <c r="K66" s="57" t="n"/>
      <c r="L66" s="25">
        <f>CALI!L66+HUNGRIA!L66+YUMBO!L66+'ADULTO MAYOR'!L66+'COMEDORES VALLE'!L66+BUGA!L66+'COMEDORES CALI'!L66+'CTAS EN PPACION'!L66+'COMEDORES PALMIRA'!L66+IMDERTY!L66</f>
        <v/>
      </c>
      <c r="M66" s="43" t="n"/>
      <c r="N66" s="57" t="n"/>
      <c r="O66" s="25">
        <f>CALI!O66+HUNGRIA!O66+YUMBO!O66+'ADULTO MAYOR'!O66+'COMEDORES VALLE'!O66+BUGA!O66+'COMEDORES CALI'!O66+'CTAS EN PPACION'!O66+'COMEDORES PALMIRA'!O66+IMDERTY!O66</f>
        <v/>
      </c>
      <c r="P66" s="43" t="n"/>
      <c r="Q66" s="57" t="n"/>
      <c r="R66" s="25">
        <f>CALI!R66+HUNGRIA!R66+YUMBO!R66+'ADULTO MAYOR'!R66+'COMEDORES VALLE'!R66+BUGA!R66+'COMEDORES CALI'!R66+'CTAS EN PPACION'!R66+'COMEDORES PALMIRA'!R66+IMDERTY!R66</f>
        <v/>
      </c>
      <c r="S66" s="43" t="n"/>
      <c r="T66" s="57" t="n"/>
      <c r="U66" s="25">
        <f>CALI!U66+HUNGRIA!U66+YUMBO!U66+'ADULTO MAYOR'!U66+'COMEDORES VALLE'!U66+BUGA!U66+'COMEDORES CALI'!U66+'CTAS EN PPACION'!U66+'COMEDORES PALMIRA'!U66+IMDERTY!U66</f>
        <v/>
      </c>
      <c r="V66" s="43" t="n"/>
      <c r="W66" s="57" t="n"/>
      <c r="X66" s="25">
        <f>CALI!X66+HUNGRIA!X66+YUMBO!X66+'ADULTO MAYOR'!X66+'COMEDORES VALLE'!X66+BUGA!X66+'COMEDORES CALI'!X66+'CTAS EN PPACION'!X66+'COMEDORES PALMIRA'!X66+IMDERTY!X66</f>
        <v/>
      </c>
      <c r="Y66" s="43" t="n"/>
      <c r="Z66" s="57" t="n"/>
      <c r="AA66" s="25">
        <f>CALI!AA66+HUNGRIA!AA66+YUMBO!AA66+'ADULTO MAYOR'!AA66+'COMEDORES VALLE'!AA66+BUGA!AA66+'COMEDORES CALI'!AA66+'CTAS EN PPACION'!AA66+'COMEDORES PALMIRA'!AA66+IMDERTY!AA66</f>
        <v/>
      </c>
      <c r="AB66" s="43" t="n"/>
      <c r="AC66" s="57" t="n"/>
      <c r="AD66" s="25">
        <f>CALI!AD66+HUNGRIA!AD66+YUMBO!AD66+'ADULTO MAYOR'!AD66+'COMEDORES VALLE'!AD66+BUGA!AD66+'COMEDORES CALI'!AD66+'CTAS EN PPACION'!AD66+'COMEDORES PALMIRA'!AD66+IMDERTY!AD66</f>
        <v/>
      </c>
      <c r="AE66" s="43" t="n"/>
      <c r="AF66" s="57" t="n"/>
      <c r="AG66" s="25">
        <f>CALI!AG66+HUNGRIA!AG66+YUMBO!AG66+'ADULTO MAYOR'!AG66+'COMEDORES VALLE'!AG66+BUGA!AG66+'COMEDORES CALI'!AG66+'CTAS EN PPACION'!AG66+'COMEDORES PALMIRA'!AG66+IMDERTY!AG66</f>
        <v/>
      </c>
      <c r="AH66" s="43" t="n"/>
      <c r="AI66" s="57" t="n"/>
      <c r="AJ66" s="25">
        <f>CALI!AJ66+HUNGRIA!AJ66+YUMBO!AJ66+'ADULTO MAYOR'!AJ66+'COMEDORES VALLE'!AJ66+BUGA!AJ66+'COMEDORES CALI'!AJ66+'CTAS EN PPACION'!AJ66+'COMEDORES PALMIRA'!AJ66+IMDERTY!AJ66</f>
        <v/>
      </c>
      <c r="AK66" s="43" t="n"/>
      <c r="AL66" s="57" t="n"/>
      <c r="AM66" s="24">
        <f>C66+F66+I66+L66+O66+R66+U66+X66+AA66+AD66+AG66+AJ66</f>
        <v/>
      </c>
      <c r="AN66" s="195" t="n"/>
      <c r="AO66" s="57" t="n"/>
    </row>
    <row r="67" ht="15" customHeight="1" s="985">
      <c r="B67" s="25" t="n"/>
      <c r="C67" s="25">
        <f>CALI!C67+HUNGRIA!C67+YUMBO!C67+'ADULTO MAYOR'!C67+'COMEDORES VALLE'!C67+BUGA!C67+'COMEDORES CALI'!C67+'CTAS EN PPACION'!C67+'COMEDORES PALMIRA'!C67+IMDERTY!C67</f>
        <v/>
      </c>
      <c r="D67" s="43" t="n"/>
      <c r="E67" s="57" t="n"/>
      <c r="F67" s="25">
        <f>CALI!F67+HUNGRIA!F67+YUMBO!F67+'ADULTO MAYOR'!F67+'COMEDORES VALLE'!F67+BUGA!F67+'COMEDORES CALI'!F67+'CTAS EN PPACION'!F67+'COMEDORES PALMIRA'!F67+IMDERTY!F67</f>
        <v/>
      </c>
      <c r="G67" s="43" t="n"/>
      <c r="H67" s="57" t="n"/>
      <c r="I67" s="25">
        <f>CALI!I67+HUNGRIA!I67+YUMBO!I67+'ADULTO MAYOR'!I67+'COMEDORES VALLE'!I67+BUGA!I67+'COMEDORES CALI'!I67+'CTAS EN PPACION'!I67+'COMEDORES PALMIRA'!I67+IMDERTY!I67</f>
        <v/>
      </c>
      <c r="J67" s="43" t="n"/>
      <c r="K67" s="57" t="n"/>
      <c r="L67" s="25">
        <f>CALI!L67+HUNGRIA!L67+YUMBO!L67+'ADULTO MAYOR'!L67+'COMEDORES VALLE'!L67+BUGA!L67+'COMEDORES CALI'!L67+'CTAS EN PPACION'!L67+'COMEDORES PALMIRA'!L67+IMDERTY!L67</f>
        <v/>
      </c>
      <c r="M67" s="43" t="n"/>
      <c r="N67" s="57" t="n"/>
      <c r="O67" s="25">
        <f>CALI!O67+HUNGRIA!O67+YUMBO!O67+'ADULTO MAYOR'!O67+'COMEDORES VALLE'!O67+BUGA!O67+'COMEDORES CALI'!O67+'CTAS EN PPACION'!O67+'COMEDORES PALMIRA'!O67+IMDERTY!O67</f>
        <v/>
      </c>
      <c r="P67" s="43" t="n"/>
      <c r="Q67" s="57" t="n"/>
      <c r="R67" s="25">
        <f>CALI!R67+HUNGRIA!R67+YUMBO!R67+'ADULTO MAYOR'!R67+'COMEDORES VALLE'!R67+BUGA!R67+'COMEDORES CALI'!R67+'CTAS EN PPACION'!R67+'COMEDORES PALMIRA'!R67+IMDERTY!R67</f>
        <v/>
      </c>
      <c r="S67" s="43" t="n"/>
      <c r="T67" s="57" t="n"/>
      <c r="U67" s="25">
        <f>CALI!U67+HUNGRIA!U67+YUMBO!U67+'ADULTO MAYOR'!U67+'COMEDORES VALLE'!U67+BUGA!U67+'COMEDORES CALI'!U67+'CTAS EN PPACION'!U67+'COMEDORES PALMIRA'!U67+IMDERTY!U67</f>
        <v/>
      </c>
      <c r="V67" s="43" t="n"/>
      <c r="W67" s="57" t="n"/>
      <c r="X67" s="25">
        <f>CALI!X67+HUNGRIA!X67+YUMBO!X67+'ADULTO MAYOR'!X67+'COMEDORES VALLE'!X67+BUGA!X67+'COMEDORES CALI'!X67+'CTAS EN PPACION'!X67+'COMEDORES PALMIRA'!X67+IMDERTY!X67</f>
        <v/>
      </c>
      <c r="Y67" s="43" t="n"/>
      <c r="Z67" s="57" t="n"/>
      <c r="AA67" s="25">
        <f>CALI!AA67+HUNGRIA!AA67+YUMBO!AA67+'ADULTO MAYOR'!AA67+'COMEDORES VALLE'!AA67+BUGA!AA67+'COMEDORES CALI'!AA67+'CTAS EN PPACION'!AA67+'COMEDORES PALMIRA'!AA67+IMDERTY!AA67</f>
        <v/>
      </c>
      <c r="AB67" s="43" t="n"/>
      <c r="AC67" s="57" t="n"/>
      <c r="AD67" s="25">
        <f>CALI!AD67+HUNGRIA!AD67+YUMBO!AD67+'ADULTO MAYOR'!AD67+'COMEDORES VALLE'!AD67+BUGA!AD67+'COMEDORES CALI'!AD67+'CTAS EN PPACION'!AD67+'COMEDORES PALMIRA'!AD67+IMDERTY!AD67</f>
        <v/>
      </c>
      <c r="AE67" s="43" t="n"/>
      <c r="AF67" s="57" t="n"/>
      <c r="AG67" s="25">
        <f>CALI!AG67+HUNGRIA!AG67+YUMBO!AG67+'ADULTO MAYOR'!AG67+'COMEDORES VALLE'!AG67+BUGA!AG67+'COMEDORES CALI'!AG67+'CTAS EN PPACION'!AG67+'COMEDORES PALMIRA'!AG67+IMDERTY!AG67</f>
        <v/>
      </c>
      <c r="AH67" s="43" t="n"/>
      <c r="AI67" s="57" t="n"/>
      <c r="AJ67" s="25">
        <f>CALI!AJ67+HUNGRIA!AJ67+YUMBO!AJ67+'ADULTO MAYOR'!AJ67+'COMEDORES VALLE'!AJ67+BUGA!AJ67+'COMEDORES CALI'!AJ67+'CTAS EN PPACION'!AJ67+'COMEDORES PALMIRA'!AJ67+IMDERTY!AJ67</f>
        <v/>
      </c>
      <c r="AK67" s="43" t="n"/>
      <c r="AL67" s="57" t="n"/>
      <c r="AM67" s="24">
        <f>C67+F67+I67+L67+O67+R67+U67+X67+AA67+AD67+AG67+AJ67</f>
        <v/>
      </c>
      <c r="AN67" s="195" t="n"/>
      <c r="AO67" s="57" t="n"/>
    </row>
    <row r="68" ht="15" customHeight="1" s="985">
      <c r="B68" s="137" t="n"/>
      <c r="C68" s="25">
        <f>CALI!C68+HUNGRIA!C68+YUMBO!C68+'ADULTO MAYOR'!C68+'COMEDORES VALLE'!C68+BUGA!C68+'COMEDORES CALI'!C68+'CTAS EN PPACION'!C68+'COMEDORES PALMIRA'!C68+IMDERTY!C68</f>
        <v/>
      </c>
      <c r="D68" s="43" t="n"/>
      <c r="E68" s="57" t="n"/>
      <c r="F68" s="25">
        <f>CALI!F68+HUNGRIA!F68+YUMBO!F68+'ADULTO MAYOR'!F68+'COMEDORES VALLE'!F68+BUGA!F68+'COMEDORES CALI'!F68+'CTAS EN PPACION'!F68+'COMEDORES PALMIRA'!F68+IMDERTY!F68</f>
        <v/>
      </c>
      <c r="G68" s="43" t="n"/>
      <c r="H68" s="57" t="n"/>
      <c r="I68" s="25">
        <f>CALI!I68+HUNGRIA!I68+YUMBO!I68+'ADULTO MAYOR'!I68+'COMEDORES VALLE'!I68+BUGA!I68+'COMEDORES CALI'!I68+'CTAS EN PPACION'!I68+'COMEDORES PALMIRA'!I68+IMDERTY!I68</f>
        <v/>
      </c>
      <c r="J68" s="43" t="n"/>
      <c r="K68" s="57" t="n"/>
      <c r="L68" s="25">
        <f>CALI!L68+HUNGRIA!L68+YUMBO!L68+'ADULTO MAYOR'!L68+'COMEDORES VALLE'!L68+BUGA!L68+'COMEDORES CALI'!L68+'CTAS EN PPACION'!L68+'COMEDORES PALMIRA'!L68+IMDERTY!L68</f>
        <v/>
      </c>
      <c r="M68" s="43" t="n"/>
      <c r="N68" s="57" t="n"/>
      <c r="O68" s="25">
        <f>CALI!O68+HUNGRIA!O68+YUMBO!O68+'ADULTO MAYOR'!O68+'COMEDORES VALLE'!O68+BUGA!O68+'COMEDORES CALI'!O68+'CTAS EN PPACION'!O68+'COMEDORES PALMIRA'!O68+IMDERTY!O68</f>
        <v/>
      </c>
      <c r="P68" s="43" t="n"/>
      <c r="Q68" s="57" t="n"/>
      <c r="R68" s="25">
        <f>CALI!R68+HUNGRIA!R68+YUMBO!R68+'ADULTO MAYOR'!R68+'COMEDORES VALLE'!R68+BUGA!R68+'COMEDORES CALI'!R68+'CTAS EN PPACION'!R68+'COMEDORES PALMIRA'!R68+IMDERTY!R68</f>
        <v/>
      </c>
      <c r="S68" s="43" t="n"/>
      <c r="T68" s="57" t="n"/>
      <c r="U68" s="25">
        <f>CALI!U68+HUNGRIA!U68+YUMBO!U68+'ADULTO MAYOR'!U68+'COMEDORES VALLE'!U68+BUGA!U68+'COMEDORES CALI'!U68+'CTAS EN PPACION'!U68+'COMEDORES PALMIRA'!U68+IMDERTY!U68</f>
        <v/>
      </c>
      <c r="V68" s="43" t="n"/>
      <c r="W68" s="57" t="n"/>
      <c r="X68" s="25">
        <f>CALI!X68+HUNGRIA!X68+YUMBO!X68+'ADULTO MAYOR'!X68+'COMEDORES VALLE'!X68+BUGA!X68+'COMEDORES CALI'!X68+'CTAS EN PPACION'!X68+'COMEDORES PALMIRA'!X68+IMDERTY!X68</f>
        <v/>
      </c>
      <c r="Y68" s="43" t="n"/>
      <c r="Z68" s="57" t="n"/>
      <c r="AA68" s="25">
        <f>CALI!AA68+HUNGRIA!AA68+YUMBO!AA68+'ADULTO MAYOR'!AA68+'COMEDORES VALLE'!AA68+BUGA!AA68+'COMEDORES CALI'!AA68+'CTAS EN PPACION'!AA68+'COMEDORES PALMIRA'!AA68+IMDERTY!AA68</f>
        <v/>
      </c>
      <c r="AB68" s="43" t="n"/>
      <c r="AC68" s="57" t="n"/>
      <c r="AD68" s="25">
        <f>CALI!AD68+HUNGRIA!AD68+YUMBO!AD68+'ADULTO MAYOR'!AD68+'COMEDORES VALLE'!AD68+BUGA!AD68+'COMEDORES CALI'!AD68+'CTAS EN PPACION'!AD68+'COMEDORES PALMIRA'!AD68+IMDERTY!AD68</f>
        <v/>
      </c>
      <c r="AE68" s="43" t="n"/>
      <c r="AF68" s="57" t="n"/>
      <c r="AG68" s="25">
        <f>CALI!AG68+HUNGRIA!AG68+YUMBO!AG68+'ADULTO MAYOR'!AG68+'COMEDORES VALLE'!AG68+BUGA!AG68+'COMEDORES CALI'!AG68+'CTAS EN PPACION'!AG68+'COMEDORES PALMIRA'!AG68+IMDERTY!AG68</f>
        <v/>
      </c>
      <c r="AH68" s="43" t="n"/>
      <c r="AI68" s="57" t="n"/>
      <c r="AJ68" s="25">
        <f>CALI!AJ68+HUNGRIA!AJ68+YUMBO!AJ68+'ADULTO MAYOR'!AJ68+'COMEDORES VALLE'!AJ68+BUGA!AJ68+'COMEDORES CALI'!AJ68+'CTAS EN PPACION'!AJ68+'COMEDORES PALMIRA'!AJ68+IMDERTY!AJ68</f>
        <v/>
      </c>
      <c r="AK68" s="43" t="n"/>
      <c r="AL68" s="57" t="n"/>
      <c r="AM68" s="24">
        <f>C68+F68+I68+L68+O68+R68+U68+X68+AA68+AD68+AG68+AJ68</f>
        <v/>
      </c>
      <c r="AN68" s="195" t="n"/>
      <c r="AO68" s="57" t="n"/>
    </row>
    <row r="69" hidden="1" ht="15" customHeight="1" s="985">
      <c r="B69" s="25" t="n"/>
      <c r="C69" s="25">
        <f>CALI!C69+HUNGRIA!C69+YUMBO!C69+'ADULTO MAYOR'!C69+'COMEDORES VALLE'!C69+BUGA!C69+'COMEDORES CALI'!C69+'CTAS EN PPACION'!C69+'COMEDORES PALMIRA'!C69+IMDERTY!C69</f>
        <v/>
      </c>
      <c r="D69" s="43" t="n"/>
      <c r="E69" s="57" t="n"/>
      <c r="F69" s="25">
        <f>CALI!F69+HUNGRIA!F69+YUMBO!F69+'ADULTO MAYOR'!F69+'COMEDORES VALLE'!F69+BUGA!F69+'COMEDORES CALI'!F69+'CTAS EN PPACION'!F69+'COMEDORES PALMIRA'!F69+IMDERTY!F69</f>
        <v/>
      </c>
      <c r="G69" s="43" t="n"/>
      <c r="H69" s="57" t="n"/>
      <c r="I69" s="25">
        <f>CALI!I69+HUNGRIA!I69+YUMBO!I69+'ADULTO MAYOR'!I69+'COMEDORES VALLE'!I69+BUGA!I69+'COMEDORES CALI'!I69+'CTAS EN PPACION'!I69+'COMEDORES PALMIRA'!I69+IMDERTY!I69</f>
        <v/>
      </c>
      <c r="J69" s="43" t="n"/>
      <c r="K69" s="57" t="n"/>
      <c r="L69" s="25">
        <f>CALI!L69+HUNGRIA!L69+YUMBO!L69+'ADULTO MAYOR'!L69+'COMEDORES VALLE'!L69+BUGA!L69+'COMEDORES CALI'!L69+'CTAS EN PPACION'!L69+'COMEDORES PALMIRA'!L69+IMDERTY!L69</f>
        <v/>
      </c>
      <c r="M69" s="43" t="n"/>
      <c r="N69" s="57" t="n"/>
      <c r="O69" s="25">
        <f>CALI!O69+HUNGRIA!O69+YUMBO!O69+'ADULTO MAYOR'!O69+'COMEDORES VALLE'!O69+BUGA!O69+'COMEDORES CALI'!O69+'CTAS EN PPACION'!O69+'COMEDORES PALMIRA'!O69+IMDERTY!O69</f>
        <v/>
      </c>
      <c r="P69" s="43" t="n"/>
      <c r="Q69" s="57" t="n"/>
      <c r="R69" s="25">
        <f>CALI!R69+HUNGRIA!R69+YUMBO!R69+'ADULTO MAYOR'!R69+'COMEDORES VALLE'!R69+BUGA!R69+'COMEDORES CALI'!R69+'CTAS EN PPACION'!R69+'COMEDORES PALMIRA'!R69+IMDERTY!R69</f>
        <v/>
      </c>
      <c r="S69" s="43" t="n"/>
      <c r="T69" s="57" t="n"/>
      <c r="U69" s="25">
        <f>CALI!U69+HUNGRIA!U69+YUMBO!U69+'ADULTO MAYOR'!U69+'COMEDORES VALLE'!U69+BUGA!U69+'COMEDORES CALI'!U69+'CTAS EN PPACION'!U69+'COMEDORES PALMIRA'!U69+IMDERTY!U69</f>
        <v/>
      </c>
      <c r="V69" s="43" t="n"/>
      <c r="W69" s="57" t="n"/>
      <c r="X69" s="25">
        <f>CALI!X69+HUNGRIA!X69+YUMBO!X69+'ADULTO MAYOR'!X69+'COMEDORES VALLE'!X69+BUGA!X69+'COMEDORES CALI'!X69+'CTAS EN PPACION'!X69+'COMEDORES PALMIRA'!X69+IMDERTY!X69</f>
        <v/>
      </c>
      <c r="Y69" s="43" t="n"/>
      <c r="Z69" s="57" t="n"/>
      <c r="AA69" s="25">
        <f>CALI!AA69+HUNGRIA!AA69+YUMBO!AA69+'ADULTO MAYOR'!AA69+'COMEDORES VALLE'!AA69+BUGA!AA69+'COMEDORES CALI'!AA69+'CTAS EN PPACION'!AA69+'COMEDORES PALMIRA'!AA69+IMDERTY!AA69</f>
        <v/>
      </c>
      <c r="AB69" s="43" t="n"/>
      <c r="AC69" s="57" t="n"/>
      <c r="AD69" s="25">
        <f>CALI!AD69+HUNGRIA!AD69+YUMBO!AD69+'ADULTO MAYOR'!AD69+'COMEDORES VALLE'!AD69+BUGA!AD69+'COMEDORES CALI'!AD69+'CTAS EN PPACION'!AD69+'COMEDORES PALMIRA'!AD69+IMDERTY!AD69</f>
        <v/>
      </c>
      <c r="AE69" s="43" t="n"/>
      <c r="AF69" s="57" t="n"/>
      <c r="AG69" s="25">
        <f>CALI!AG69+HUNGRIA!AG69+YUMBO!AG69+'ADULTO MAYOR'!AG69+'COMEDORES VALLE'!AG69+BUGA!AG69+'COMEDORES CALI'!AG69+'CTAS EN PPACION'!AG69+'COMEDORES PALMIRA'!AG69+IMDERTY!AG69</f>
        <v/>
      </c>
      <c r="AH69" s="43" t="n"/>
      <c r="AI69" s="57" t="n"/>
      <c r="AJ69" s="25">
        <f>CALI!AJ69+HUNGRIA!AJ69+YUMBO!AJ69+'ADULTO MAYOR'!AJ69+'COMEDORES VALLE'!AJ69+BUGA!AJ69+'COMEDORES CALI'!AJ69+'CTAS EN PPACION'!AJ69+'COMEDORES PALMIRA'!AJ69+IMDERTY!AJ69</f>
        <v/>
      </c>
      <c r="AK69" s="43" t="n"/>
      <c r="AL69" s="57" t="n"/>
      <c r="AM69" s="24">
        <f>C69+F69+I69+L69+O69+R69+U69+X69+AA69+AD69+AG69+AJ69</f>
        <v/>
      </c>
      <c r="AN69" s="195" t="n"/>
      <c r="AO69" s="57" t="n"/>
    </row>
    <row r="70" hidden="1" ht="15" customHeight="1" s="985">
      <c r="B70" s="91" t="n"/>
      <c r="C70" s="25">
        <f>CALI!C70+HUNGRIA!C70+YUMBO!C70+'ADULTO MAYOR'!C70+'COMEDORES VALLE'!C70+BUGA!C70+'COMEDORES CALI'!C70+'CTAS EN PPACION'!C70+'COMEDORES PALMIRA'!C70+IMDERTY!C70</f>
        <v/>
      </c>
      <c r="D70" s="43" t="n"/>
      <c r="E70" s="57" t="n"/>
      <c r="F70" s="25">
        <f>CALI!F70+HUNGRIA!F70+YUMBO!F70+'ADULTO MAYOR'!F70+'COMEDORES VALLE'!F70+BUGA!F70+'COMEDORES CALI'!F70+'CTAS EN PPACION'!F70+'COMEDORES PALMIRA'!F70+IMDERTY!F70</f>
        <v/>
      </c>
      <c r="G70" s="43" t="n"/>
      <c r="H70" s="57" t="n"/>
      <c r="I70" s="25">
        <f>CALI!I70+HUNGRIA!I70+YUMBO!I70+'ADULTO MAYOR'!I70+'COMEDORES VALLE'!I70+BUGA!I70+'COMEDORES CALI'!I70+'CTAS EN PPACION'!I70+'COMEDORES PALMIRA'!I70+IMDERTY!I70</f>
        <v/>
      </c>
      <c r="J70" s="43" t="n"/>
      <c r="K70" s="57" t="n"/>
      <c r="L70" s="25">
        <f>CALI!L70+HUNGRIA!L70+YUMBO!L70+'ADULTO MAYOR'!L70+'COMEDORES VALLE'!L70+BUGA!L70+'COMEDORES CALI'!L70+'CTAS EN PPACION'!L70+'COMEDORES PALMIRA'!L70+IMDERTY!L70</f>
        <v/>
      </c>
      <c r="M70" s="43" t="n"/>
      <c r="N70" s="57" t="n"/>
      <c r="O70" s="25">
        <f>CALI!O70+HUNGRIA!O70+YUMBO!O70+'ADULTO MAYOR'!O70+'COMEDORES VALLE'!O70+BUGA!O70+'COMEDORES CALI'!O70+'CTAS EN PPACION'!O70+'COMEDORES PALMIRA'!O70+IMDERTY!O70</f>
        <v/>
      </c>
      <c r="P70" s="43" t="n"/>
      <c r="Q70" s="57" t="n"/>
      <c r="R70" s="25">
        <f>CALI!R70+HUNGRIA!R70+YUMBO!R70+'ADULTO MAYOR'!R70+'COMEDORES VALLE'!R70+BUGA!R70+'COMEDORES CALI'!R70+'CTAS EN PPACION'!R70+'COMEDORES PALMIRA'!R70+IMDERTY!R70</f>
        <v/>
      </c>
      <c r="S70" s="43" t="n"/>
      <c r="T70" s="57" t="n"/>
      <c r="U70" s="25">
        <f>CALI!U70+HUNGRIA!U70+YUMBO!U70+'ADULTO MAYOR'!U70+'COMEDORES VALLE'!U70+BUGA!U70+'COMEDORES CALI'!U70+'CTAS EN PPACION'!U70+'COMEDORES PALMIRA'!U70+IMDERTY!U70</f>
        <v/>
      </c>
      <c r="V70" s="43" t="n"/>
      <c r="W70" s="57" t="n"/>
      <c r="X70" s="25">
        <f>CALI!X70+HUNGRIA!X70+YUMBO!X70+'ADULTO MAYOR'!X70+'COMEDORES VALLE'!X70+BUGA!X70+'COMEDORES CALI'!X70+'CTAS EN PPACION'!X70+'COMEDORES PALMIRA'!X70+IMDERTY!X70</f>
        <v/>
      </c>
      <c r="Y70" s="43" t="n"/>
      <c r="Z70" s="57" t="n"/>
      <c r="AA70" s="25">
        <f>CALI!AA70+HUNGRIA!AA70+YUMBO!AA70+'ADULTO MAYOR'!AA70+'COMEDORES VALLE'!AA70+BUGA!AA70+'COMEDORES CALI'!AA70+'CTAS EN PPACION'!AA70+'COMEDORES PALMIRA'!AA70+IMDERTY!AA70</f>
        <v/>
      </c>
      <c r="AB70" s="43" t="n"/>
      <c r="AC70" s="57" t="n"/>
      <c r="AD70" s="25">
        <f>CALI!AD70+HUNGRIA!AD70+YUMBO!AD70+'ADULTO MAYOR'!AD70+'COMEDORES VALLE'!AD70+BUGA!AD70+'COMEDORES CALI'!AD70+'CTAS EN PPACION'!AD70+'COMEDORES PALMIRA'!AD70+IMDERTY!AD70</f>
        <v/>
      </c>
      <c r="AE70" s="43" t="n"/>
      <c r="AF70" s="57" t="n"/>
      <c r="AG70" s="25">
        <f>CALI!AG70+HUNGRIA!AG70+YUMBO!AG70+'ADULTO MAYOR'!AG70+'COMEDORES VALLE'!AG70+BUGA!AG70+'COMEDORES CALI'!AG70+'CTAS EN PPACION'!AG70+'COMEDORES PALMIRA'!AG70+IMDERTY!AG70</f>
        <v/>
      </c>
      <c r="AH70" s="43" t="n"/>
      <c r="AI70" s="57" t="n"/>
      <c r="AJ70" s="25">
        <f>CALI!AJ70+HUNGRIA!AJ70+YUMBO!AJ70+'ADULTO MAYOR'!AJ70+'COMEDORES VALLE'!AJ70+BUGA!AJ70+'COMEDORES CALI'!AJ70+'CTAS EN PPACION'!AJ70+'COMEDORES PALMIRA'!AJ70+IMDERTY!AJ70</f>
        <v/>
      </c>
      <c r="AK70" s="43" t="n"/>
      <c r="AL70" s="57" t="n"/>
      <c r="AM70" s="24">
        <f>C70+F70+I70+L70+O70+R70+U70+X70+AA70+AD70+AG70+AJ70</f>
        <v/>
      </c>
      <c r="AN70" s="195" t="n"/>
      <c r="AO70" s="57" t="n"/>
    </row>
    <row r="71" hidden="1" ht="15" customHeight="1" s="985">
      <c r="B71" s="83" t="n"/>
      <c r="C71" s="83">
        <f>CALI!C71+HUNGRIA!C71+YUMBO!C71+'ADULTO MAYOR'!C71+'COMEDORES VALLE'!C71+BUGA!C71+'COMEDORES CALI'!C71+'CTAS EN PPACION'!C71+'COMEDORES PALMIRA'!C71+IMDERTY!C71</f>
        <v/>
      </c>
      <c r="D71" s="84" t="n"/>
      <c r="E71" s="85" t="n"/>
      <c r="F71" s="83">
        <f>CALI!F71+HUNGRIA!F71+YUMBO!F71+'ADULTO MAYOR'!F71+'COMEDORES VALLE'!F71+BUGA!F71+'COMEDORES CALI'!F71+'CTAS EN PPACION'!F71+'COMEDORES PALMIRA'!F71+IMDERTY!F71</f>
        <v/>
      </c>
      <c r="G71" s="84" t="n"/>
      <c r="H71" s="85" t="n"/>
      <c r="I71" s="83">
        <f>CALI!I71+HUNGRIA!I71+YUMBO!I71+'ADULTO MAYOR'!I71+'COMEDORES VALLE'!I71+BUGA!I71+'COMEDORES CALI'!I71+'CTAS EN PPACION'!I71+'COMEDORES PALMIRA'!I71+IMDERTY!I71</f>
        <v/>
      </c>
      <c r="J71" s="84" t="n"/>
      <c r="K71" s="85" t="n"/>
      <c r="L71" s="83">
        <f>CALI!L71+HUNGRIA!L71+YUMBO!L71+'ADULTO MAYOR'!L71+'COMEDORES VALLE'!L71+BUGA!L71+'COMEDORES CALI'!L71+'CTAS EN PPACION'!L71+'COMEDORES PALMIRA'!L71+IMDERTY!L71</f>
        <v/>
      </c>
      <c r="M71" s="84" t="n"/>
      <c r="N71" s="85" t="n"/>
      <c r="O71" s="83">
        <f>CALI!O71+HUNGRIA!O71+YUMBO!O71+'ADULTO MAYOR'!O71+'COMEDORES VALLE'!O71+BUGA!O71+'COMEDORES CALI'!O71+'CTAS EN PPACION'!O71+'COMEDORES PALMIRA'!O71+IMDERTY!O71</f>
        <v/>
      </c>
      <c r="P71" s="84" t="n"/>
      <c r="Q71" s="85" t="n"/>
      <c r="R71" s="83">
        <f>CALI!R71+HUNGRIA!R71+YUMBO!R71+'ADULTO MAYOR'!R71+'COMEDORES VALLE'!R71+BUGA!R71+'COMEDORES CALI'!R71+'CTAS EN PPACION'!R71+'COMEDORES PALMIRA'!R71+IMDERTY!R71</f>
        <v/>
      </c>
      <c r="S71" s="84" t="n"/>
      <c r="T71" s="85" t="n"/>
      <c r="U71" s="83">
        <f>CALI!U71+HUNGRIA!U71+YUMBO!U71+'ADULTO MAYOR'!U71+'COMEDORES VALLE'!U71+BUGA!U71+'COMEDORES CALI'!U71+'CTAS EN PPACION'!U71+'COMEDORES PALMIRA'!U71+IMDERTY!U71</f>
        <v/>
      </c>
      <c r="V71" s="84" t="n"/>
      <c r="W71" s="85" t="n"/>
      <c r="X71" s="83">
        <f>CALI!X71+HUNGRIA!X71+YUMBO!X71+'ADULTO MAYOR'!X71+'COMEDORES VALLE'!X71+BUGA!X71+'COMEDORES CALI'!X71+'CTAS EN PPACION'!X71+'COMEDORES PALMIRA'!X71+IMDERTY!X71</f>
        <v/>
      </c>
      <c r="Y71" s="84" t="n"/>
      <c r="Z71" s="85" t="n"/>
      <c r="AA71" s="83">
        <f>CALI!AA71+HUNGRIA!AA71+YUMBO!AA71+'ADULTO MAYOR'!AA71+'COMEDORES VALLE'!AA71+BUGA!AA71+'COMEDORES CALI'!AA71+'CTAS EN PPACION'!AA71+'COMEDORES PALMIRA'!AA71+IMDERTY!AA71</f>
        <v/>
      </c>
      <c r="AB71" s="84" t="n"/>
      <c r="AC71" s="85" t="n"/>
      <c r="AD71" s="83">
        <f>CALI!AD71+HUNGRIA!AD71+YUMBO!AD71+'ADULTO MAYOR'!AD71+'COMEDORES VALLE'!AD71+BUGA!AD71+'COMEDORES CALI'!AD71+'CTAS EN PPACION'!AD71+'COMEDORES PALMIRA'!AD71+IMDERTY!AD71</f>
        <v/>
      </c>
      <c r="AE71" s="84" t="n"/>
      <c r="AF71" s="85" t="n"/>
      <c r="AG71" s="83">
        <f>CALI!AG71+HUNGRIA!AG71+YUMBO!AG71+'ADULTO MAYOR'!AG71+'COMEDORES VALLE'!AG71+BUGA!AG71+'COMEDORES CALI'!AG71+'CTAS EN PPACION'!AG71+'COMEDORES PALMIRA'!AG71+IMDERTY!AG71</f>
        <v/>
      </c>
      <c r="AH71" s="84" t="n"/>
      <c r="AI71" s="85" t="n"/>
      <c r="AJ71" s="83">
        <f>CALI!AJ71+HUNGRIA!AJ71+YUMBO!AJ71+'ADULTO MAYOR'!AJ71+'COMEDORES VALLE'!AJ71+BUGA!AJ71+'COMEDORES CALI'!AJ71+'CTAS EN PPACION'!AJ71+'COMEDORES PALMIRA'!AJ71+IMDERTY!AJ71</f>
        <v/>
      </c>
      <c r="AK71" s="84" t="n"/>
      <c r="AL71" s="85" t="n"/>
      <c r="AM71" s="24">
        <f>C71+F71+I71+L71+O71+R71+U71+X71+AA71+AD71+AG71+AJ71</f>
        <v/>
      </c>
      <c r="AN71" s="203" t="n"/>
      <c r="AO71" s="85" t="n"/>
    </row>
    <row r="72" ht="15" customHeight="1" s="985">
      <c r="B72" s="36" t="inlineStr">
        <is>
          <t>FLETES</t>
        </is>
      </c>
      <c r="C72" s="46">
        <f>SUM(C73:C74)</f>
        <v/>
      </c>
      <c r="D72" s="47">
        <f>C72/C12</f>
        <v/>
      </c>
      <c r="E72" s="1049">
        <f>C72/C13</f>
        <v/>
      </c>
      <c r="F72" s="46">
        <f>SUM(F73:F74)</f>
        <v/>
      </c>
      <c r="G72" s="47">
        <f>F72/F12</f>
        <v/>
      </c>
      <c r="H72" s="1049">
        <f>F72/F13</f>
        <v/>
      </c>
      <c r="I72" s="46">
        <f>SUM(I73:I74)</f>
        <v/>
      </c>
      <c r="J72" s="47">
        <f>I72/I12</f>
        <v/>
      </c>
      <c r="K72" s="1049">
        <f>I72/I13</f>
        <v/>
      </c>
      <c r="L72" s="46">
        <f>SUM(L73:L74)</f>
        <v/>
      </c>
      <c r="M72" s="47">
        <f>L72/L12</f>
        <v/>
      </c>
      <c r="N72" s="1049">
        <f>L72/L13</f>
        <v/>
      </c>
      <c r="O72" s="46">
        <f>SUM(O73:O74)</f>
        <v/>
      </c>
      <c r="P72" s="47">
        <f>O72/O12</f>
        <v/>
      </c>
      <c r="Q72" s="1049">
        <f>O72/O13</f>
        <v/>
      </c>
      <c r="R72" s="46">
        <f>SUM(R73:R74)</f>
        <v/>
      </c>
      <c r="S72" s="47">
        <f>R72/R12</f>
        <v/>
      </c>
      <c r="T72" s="1049">
        <f>R72/R13</f>
        <v/>
      </c>
      <c r="U72" s="46">
        <f>SUM(U73:U74)</f>
        <v/>
      </c>
      <c r="V72" s="47">
        <f>U72/U12</f>
        <v/>
      </c>
      <c r="W72" s="1049">
        <f>U72/U13</f>
        <v/>
      </c>
      <c r="X72" s="46">
        <f>SUM(X73:X74)</f>
        <v/>
      </c>
      <c r="Y72" s="47">
        <f>X72/X12</f>
        <v/>
      </c>
      <c r="Z72" s="1049">
        <f>X72/X13</f>
        <v/>
      </c>
      <c r="AA72" s="46">
        <f>SUM(AA73:AA74)</f>
        <v/>
      </c>
      <c r="AB72" s="47">
        <f>AA72/AA12</f>
        <v/>
      </c>
      <c r="AC72" s="1049">
        <f>AA72/AA13</f>
        <v/>
      </c>
      <c r="AD72" s="46">
        <f>SUM(AD73:AD74)</f>
        <v/>
      </c>
      <c r="AE72" s="47">
        <f>AD72/AD12</f>
        <v/>
      </c>
      <c r="AF72" s="1049">
        <f>AD72/AD13</f>
        <v/>
      </c>
      <c r="AG72" s="46">
        <f>SUM(AG73:AG74)</f>
        <v/>
      </c>
      <c r="AH72" s="47" t="n"/>
      <c r="AI72" s="1049">
        <f>AG72/AG13</f>
        <v/>
      </c>
      <c r="AJ72" s="46">
        <f>SUM(AJ73:AJ74)</f>
        <v/>
      </c>
      <c r="AK72" s="47" t="n"/>
      <c r="AL72" s="1049">
        <f>AJ72/AJ13</f>
        <v/>
      </c>
      <c r="AM72" s="29">
        <f>C72+F72+I72+L72+O72+R72+U72+X72+AA72+AD72+AG72+AJ72</f>
        <v/>
      </c>
      <c r="AN72" s="196">
        <f>AM72/AM12</f>
        <v/>
      </c>
      <c r="AO72" s="1049">
        <f>AM72/AM13</f>
        <v/>
      </c>
    </row>
    <row r="73" ht="15" customHeight="1" s="985">
      <c r="B73" s="412" t="inlineStr">
        <is>
          <t>PREPARADOS PROPIOS</t>
        </is>
      </c>
      <c r="C73" s="304">
        <f>CALI!C73+HUNGRIA!C73+YUMBO!C73+'ADULTO MAYOR'!C73+'COMEDORES VALLE'!C73+BUGA!C73+'COMEDORES CALI'!C73+'CTAS EN PPACION'!C73+'COMEDORES PALMIRA'!C73+IMDERTY!C73</f>
        <v/>
      </c>
      <c r="D73" s="305" t="n"/>
      <c r="E73" s="86" t="n"/>
      <c r="F73" s="304">
        <f>CALI!F73+HUNGRIA!F73+YUMBO!F73+'ADULTO MAYOR'!F73+'COMEDORES VALLE'!F73+BUGA!F73+'COMEDORES CALI'!F73+'CTAS EN PPACION'!F73+'COMEDORES PALMIRA'!F73+IMDERTY!F73</f>
        <v/>
      </c>
      <c r="G73" s="305" t="n"/>
      <c r="H73" s="86" t="n"/>
      <c r="I73" s="304">
        <f>CALI!I73+HUNGRIA!I73+YUMBO!I73+'ADULTO MAYOR'!I73+'COMEDORES VALLE'!I73+BUGA!I73+'COMEDORES CALI'!I73+'CTAS EN PPACION'!I73+'COMEDORES PALMIRA'!I73+IMDERTY!I73</f>
        <v/>
      </c>
      <c r="J73" s="305" t="n"/>
      <c r="K73" s="86" t="n"/>
      <c r="L73" s="304">
        <f>CALI!L73+HUNGRIA!L73+YUMBO!L73+'ADULTO MAYOR'!L73+'COMEDORES VALLE'!L73+BUGA!L73+'COMEDORES CALI'!L73+'CTAS EN PPACION'!L73+'COMEDORES PALMIRA'!L73+IMDERTY!L73</f>
        <v/>
      </c>
      <c r="M73" s="305" t="n"/>
      <c r="N73" s="86" t="n"/>
      <c r="O73" s="304">
        <f>CALI!O73+HUNGRIA!O73+YUMBO!O73+'ADULTO MAYOR'!O73+'COMEDORES VALLE'!O73+BUGA!O73+'COMEDORES CALI'!O73+'CTAS EN PPACION'!O73+'COMEDORES PALMIRA'!O73+IMDERTY!O73</f>
        <v/>
      </c>
      <c r="P73" s="305" t="n"/>
      <c r="Q73" s="86" t="n"/>
      <c r="R73" s="304">
        <f>CALI!R73+HUNGRIA!R73+YUMBO!R73+'ADULTO MAYOR'!R73+'COMEDORES VALLE'!R73+BUGA!R73+'COMEDORES CALI'!R73+'CTAS EN PPACION'!R73+'COMEDORES PALMIRA'!R73+IMDERTY!R73</f>
        <v/>
      </c>
      <c r="S73" s="305" t="n"/>
      <c r="T73" s="86" t="n"/>
      <c r="U73" s="304">
        <f>CALI!U73+HUNGRIA!U73+YUMBO!U73+'ADULTO MAYOR'!U73+'COMEDORES VALLE'!U73+BUGA!U73+'COMEDORES CALI'!U73+'CTAS EN PPACION'!U73+'COMEDORES PALMIRA'!U73+IMDERTY!U73</f>
        <v/>
      </c>
      <c r="V73" s="305" t="n"/>
      <c r="W73" s="86" t="n"/>
      <c r="X73" s="304">
        <f>CALI!X73+HUNGRIA!X73+YUMBO!X73+'ADULTO MAYOR'!X73+'COMEDORES VALLE'!X73+BUGA!X73+'COMEDORES CALI'!X73+'CTAS EN PPACION'!X73+'COMEDORES PALMIRA'!X73+IMDERTY!X73</f>
        <v/>
      </c>
      <c r="Y73" s="305" t="n"/>
      <c r="Z73" s="86" t="n"/>
      <c r="AA73" s="304">
        <f>CALI!AA73+HUNGRIA!AA73+YUMBO!AA73+'ADULTO MAYOR'!AA73+'COMEDORES VALLE'!AA73+BUGA!AA73+'COMEDORES CALI'!AA73+'CTAS EN PPACION'!AA73+'COMEDORES PALMIRA'!AA73+IMDERTY!AA73</f>
        <v/>
      </c>
      <c r="AB73" s="305" t="n"/>
      <c r="AC73" s="86" t="n"/>
      <c r="AD73" s="304">
        <f>CALI!AD73+HUNGRIA!AD73+YUMBO!AD73+'ADULTO MAYOR'!AD73+'COMEDORES VALLE'!AD73+BUGA!AD73+'COMEDORES CALI'!AD73+'CTAS EN PPACION'!AD73+'COMEDORES PALMIRA'!AD73+IMDERTY!AD73</f>
        <v/>
      </c>
      <c r="AE73" s="305" t="n"/>
      <c r="AF73" s="86" t="n"/>
      <c r="AG73" s="304">
        <f>CALI!AG73+HUNGRIA!AG73+YUMBO!AG73+'ADULTO MAYOR'!AG73+'COMEDORES VALLE'!AG73+BUGA!AG73+'COMEDORES CALI'!AG73+'CTAS EN PPACION'!AG73+'COMEDORES PALMIRA'!AG73+IMDERTY!AG73</f>
        <v/>
      </c>
      <c r="AH73" s="305" t="n"/>
      <c r="AI73" s="86" t="n"/>
      <c r="AJ73" s="304">
        <f>CALI!AJ73+HUNGRIA!AJ73+YUMBO!AJ73+'ADULTO MAYOR'!AJ73+'COMEDORES VALLE'!AJ73+BUGA!AJ73+'COMEDORES CALI'!AJ73+'CTAS EN PPACION'!AJ73+'COMEDORES PALMIRA'!AJ73+IMDERTY!AJ73</f>
        <v/>
      </c>
      <c r="AK73" s="305" t="n"/>
      <c r="AL73" s="86" t="n"/>
      <c r="AM73" s="298">
        <f>C73+F73+I73+L73+O73+R73+U73+X73+AA73+AD73+AG73+AJ73</f>
        <v/>
      </c>
      <c r="AN73" s="204" t="n"/>
      <c r="AO73" s="420" t="n"/>
    </row>
    <row r="74" ht="15" customHeight="1" s="985">
      <c r="B74" s="416" t="inlineStr">
        <is>
          <t>PREPARADOS TERCEROS</t>
        </is>
      </c>
      <c r="C74" s="83">
        <f>CALI!C74+HUNGRIA!C74+YUMBO!C74+'ADULTO MAYOR'!C74+'COMEDORES VALLE'!C74+BUGA!C74+'COMEDORES CALI'!C74+'CTAS EN PPACION'!C74+'COMEDORES PALMIRA'!C74+IMDERTY!C74</f>
        <v/>
      </c>
      <c r="D74" s="84" t="n"/>
      <c r="E74" s="85" t="n"/>
      <c r="F74" s="83">
        <f>CALI!F74+HUNGRIA!F74+YUMBO!F74+'ADULTO MAYOR'!F74+'COMEDORES VALLE'!F74+BUGA!F74+'COMEDORES CALI'!F74+'CTAS EN PPACION'!F74+'COMEDORES PALMIRA'!F74+IMDERTY!F74</f>
        <v/>
      </c>
      <c r="G74" s="84" t="n"/>
      <c r="H74" s="85" t="n"/>
      <c r="I74" s="83">
        <f>CALI!I74+HUNGRIA!I74+YUMBO!I74+'ADULTO MAYOR'!I74+'COMEDORES VALLE'!I74+BUGA!I74+'COMEDORES CALI'!I74+'CTAS EN PPACION'!I74+'COMEDORES PALMIRA'!I74+IMDERTY!I74</f>
        <v/>
      </c>
      <c r="J74" s="84" t="n"/>
      <c r="K74" s="85" t="n"/>
      <c r="L74" s="83">
        <f>CALI!L74+HUNGRIA!L74+YUMBO!L74+'ADULTO MAYOR'!L74+'COMEDORES VALLE'!L74+BUGA!L74+'COMEDORES CALI'!L74+'CTAS EN PPACION'!L74+'COMEDORES PALMIRA'!L74+IMDERTY!L74</f>
        <v/>
      </c>
      <c r="M74" s="84" t="n"/>
      <c r="N74" s="85" t="n"/>
      <c r="O74" s="83">
        <f>CALI!O74+HUNGRIA!O74+YUMBO!O74+'ADULTO MAYOR'!O74+'COMEDORES VALLE'!O74+BUGA!O74+'COMEDORES CALI'!O74+'CTAS EN PPACION'!O74+'COMEDORES PALMIRA'!O74+IMDERTY!O74</f>
        <v/>
      </c>
      <c r="P74" s="84" t="n"/>
      <c r="Q74" s="85" t="n"/>
      <c r="R74" s="83">
        <f>CALI!R74+HUNGRIA!R74+YUMBO!R74+'ADULTO MAYOR'!R74+'COMEDORES VALLE'!R74+BUGA!R74+'COMEDORES CALI'!R74+'CTAS EN PPACION'!R74+'COMEDORES PALMIRA'!R74+IMDERTY!R74</f>
        <v/>
      </c>
      <c r="S74" s="84" t="n"/>
      <c r="T74" s="85" t="n"/>
      <c r="U74" s="83">
        <f>CALI!U74+HUNGRIA!U74+YUMBO!U74+'ADULTO MAYOR'!U74+'COMEDORES VALLE'!U74+BUGA!U74+'COMEDORES CALI'!U74+'CTAS EN PPACION'!U74+'COMEDORES PALMIRA'!U74+IMDERTY!U74</f>
        <v/>
      </c>
      <c r="V74" s="84" t="n"/>
      <c r="W74" s="85" t="n"/>
      <c r="X74" s="83">
        <f>CALI!X74+HUNGRIA!X74+YUMBO!X74+'ADULTO MAYOR'!X74+'COMEDORES VALLE'!X74+BUGA!X74+'COMEDORES CALI'!X74+'CTAS EN PPACION'!X74+'COMEDORES PALMIRA'!X74+IMDERTY!X74</f>
        <v/>
      </c>
      <c r="Y74" s="84" t="n"/>
      <c r="Z74" s="85" t="n"/>
      <c r="AA74" s="83">
        <f>CALI!AA74+HUNGRIA!AA74+YUMBO!AA74+'ADULTO MAYOR'!AA74+'COMEDORES VALLE'!AA74+BUGA!AA74+'COMEDORES CALI'!AA74+'CTAS EN PPACION'!AA74+'COMEDORES PALMIRA'!AA74+IMDERTY!AA74</f>
        <v/>
      </c>
      <c r="AB74" s="84" t="n"/>
      <c r="AC74" s="85" t="n"/>
      <c r="AD74" s="83">
        <f>CALI!AD74+HUNGRIA!AD74+YUMBO!AD74+'ADULTO MAYOR'!AD74+'COMEDORES VALLE'!AD74+BUGA!AD74+'COMEDORES CALI'!AD74+'CTAS EN PPACION'!AD74+'COMEDORES PALMIRA'!AD74+IMDERTY!AD74</f>
        <v/>
      </c>
      <c r="AE74" s="84" t="n"/>
      <c r="AF74" s="85" t="n"/>
      <c r="AG74" s="83">
        <f>CALI!AG74+HUNGRIA!AG74+YUMBO!AG74+'ADULTO MAYOR'!AG74+'COMEDORES VALLE'!AG74+BUGA!AG74+'COMEDORES CALI'!AG74+'CTAS EN PPACION'!AG74+'COMEDORES PALMIRA'!AG74+IMDERTY!AG74</f>
        <v/>
      </c>
      <c r="AH74" s="84" t="n"/>
      <c r="AI74" s="85" t="n"/>
      <c r="AJ74" s="83">
        <f>CALI!AJ74+HUNGRIA!AJ74+YUMBO!AJ74+'ADULTO MAYOR'!AJ74+'COMEDORES VALLE'!AJ74+BUGA!AJ74+'COMEDORES CALI'!AJ74+'CTAS EN PPACION'!AJ74+'COMEDORES PALMIRA'!AJ74+IMDERTY!AJ74</f>
        <v/>
      </c>
      <c r="AK74" s="84" t="n"/>
      <c r="AL74" s="85" t="n"/>
      <c r="AM74" s="349">
        <f>C74+F74+I74+L74+O74+R74+U74+X74+AA74+AD74+AG74+AJ74</f>
        <v/>
      </c>
      <c r="AN74" s="350" t="n"/>
      <c r="AO74" s="1235" t="n"/>
    </row>
    <row r="75" ht="15" customHeight="1" s="985">
      <c r="B75" s="36" t="inlineStr">
        <is>
          <t>Material de empaque</t>
        </is>
      </c>
      <c r="C75" s="37">
        <f>CALI!C75+HUNGRIA!C75+YUMBO!C75+'ADULTO MAYOR'!C75+'COMEDORES VALLE'!C75+BUGA!C75+'COMEDORES CALI'!C75+'CTAS EN PPACION'!C75+'COMEDORES PALMIRA'!C75+IMDERTY!C75</f>
        <v/>
      </c>
      <c r="D75" s="67" t="n"/>
      <c r="E75" s="1071">
        <f>C75/C$13</f>
        <v/>
      </c>
      <c r="F75" s="37">
        <f>CALI!F75+HUNGRIA!F75+YUMBO!F75+'ADULTO MAYOR'!F75+'COMEDORES VALLE'!F75+BUGA!F75+'COMEDORES CALI'!F75+'CTAS EN PPACION'!F75+'COMEDORES PALMIRA'!F75+IMDERTY!F75</f>
        <v/>
      </c>
      <c r="G75" s="67" t="n"/>
      <c r="H75" s="68" t="n"/>
      <c r="I75" s="37">
        <f>CALI!I75+HUNGRIA!I75+YUMBO!I75+'ADULTO MAYOR'!I75+'COMEDORES VALLE'!I75+BUGA!I75+'COMEDORES CALI'!I75+'CTAS EN PPACION'!I75+'COMEDORES PALMIRA'!I75+IMDERTY!I75</f>
        <v/>
      </c>
      <c r="J75" s="67" t="n"/>
      <c r="K75" s="68" t="n"/>
      <c r="L75" s="37">
        <f>CALI!L75+HUNGRIA!L75+YUMBO!L75+'ADULTO MAYOR'!L75+'COMEDORES VALLE'!L75+BUGA!L75+'COMEDORES CALI'!L75+'CTAS EN PPACION'!L75+'COMEDORES PALMIRA'!L75+IMDERTY!L75</f>
        <v/>
      </c>
      <c r="M75" s="67" t="n"/>
      <c r="N75" s="68" t="n"/>
      <c r="O75" s="37">
        <f>CALI!O75+HUNGRIA!O75+YUMBO!O75+'ADULTO MAYOR'!O75+'COMEDORES VALLE'!O75+BUGA!O75+'COMEDORES CALI'!O75+'CTAS EN PPACION'!O75+'COMEDORES PALMIRA'!O75+IMDERTY!O75</f>
        <v/>
      </c>
      <c r="P75" s="67" t="n"/>
      <c r="Q75" s="68" t="n"/>
      <c r="R75" s="37">
        <f>CALI!R75+HUNGRIA!R75+YUMBO!R75+'ADULTO MAYOR'!R75+'COMEDORES VALLE'!R75+BUGA!R75+'COMEDORES CALI'!R75+'CTAS EN PPACION'!R75+'COMEDORES PALMIRA'!R75+IMDERTY!R75</f>
        <v/>
      </c>
      <c r="S75" s="67" t="n"/>
      <c r="T75" s="68" t="n"/>
      <c r="U75" s="37">
        <f>CALI!U75+HUNGRIA!U75+YUMBO!U75+'ADULTO MAYOR'!U75+'COMEDORES VALLE'!U75+BUGA!U75+'COMEDORES CALI'!U75+'CTAS EN PPACION'!U75+'COMEDORES PALMIRA'!U75+IMDERTY!U75</f>
        <v/>
      </c>
      <c r="V75" s="67" t="n"/>
      <c r="W75" s="68" t="n"/>
      <c r="X75" s="37">
        <f>CALI!X75+HUNGRIA!X75+YUMBO!X75+'ADULTO MAYOR'!X75+'COMEDORES VALLE'!X75+BUGA!X75+'COMEDORES CALI'!X75+'CTAS EN PPACION'!X75+'COMEDORES PALMIRA'!X75+IMDERTY!X75</f>
        <v/>
      </c>
      <c r="Y75" s="67" t="n"/>
      <c r="Z75" s="68" t="n"/>
      <c r="AA75" s="37">
        <f>CALI!AA75+HUNGRIA!AA75+YUMBO!AA75+'ADULTO MAYOR'!AA75+'COMEDORES VALLE'!AA75+BUGA!AA75+'COMEDORES CALI'!AA75+'CTAS EN PPACION'!AA75+'COMEDORES PALMIRA'!AA75+IMDERTY!AA75</f>
        <v/>
      </c>
      <c r="AB75" s="67" t="n"/>
      <c r="AC75" s="68" t="n"/>
      <c r="AD75" s="37">
        <f>CALI!AD75+HUNGRIA!AD75+YUMBO!AD75+'ADULTO MAYOR'!AD75+'COMEDORES VALLE'!AD75+BUGA!AD75+'COMEDORES CALI'!AD75+'CTAS EN PPACION'!AD75+'COMEDORES PALMIRA'!AD75+IMDERTY!AD75</f>
        <v/>
      </c>
      <c r="AE75" s="67" t="n"/>
      <c r="AF75" s="68" t="n"/>
      <c r="AG75" s="37">
        <f>CALI!AG75+HUNGRIA!AG75+YUMBO!AG75+'ADULTO MAYOR'!AG75+'COMEDORES VALLE'!AG75+BUGA!AG75+'COMEDORES CALI'!AG75+'CTAS EN PPACION'!AG75+'COMEDORES PALMIRA'!AG75+IMDERTY!AG75</f>
        <v/>
      </c>
      <c r="AH75" s="67" t="n"/>
      <c r="AI75" s="68" t="n"/>
      <c r="AJ75" s="37">
        <f>CALI!AJ75+HUNGRIA!AJ75+YUMBO!AJ75+'ADULTO MAYOR'!AJ75+'COMEDORES VALLE'!AJ75+BUGA!AJ75+'COMEDORES CALI'!AJ75+'CTAS EN PPACION'!AJ75+'COMEDORES PALMIRA'!AJ75+IMDERTY!AJ75</f>
        <v/>
      </c>
      <c r="AK75" s="67" t="n"/>
      <c r="AL75" s="68" t="n"/>
      <c r="AM75" s="38">
        <f>C75+F75+I75+L75+O75+R75+U75+X75+AA75+AD75+AG75+AJ75</f>
        <v/>
      </c>
      <c r="AN75" s="199" t="n"/>
      <c r="AO75" s="1071">
        <f>AM75/AM$13</f>
        <v/>
      </c>
    </row>
    <row r="76" ht="15" customHeight="1" s="985">
      <c r="B76" s="36" t="inlineStr">
        <is>
          <t>Menaje</t>
        </is>
      </c>
      <c r="C76" s="37">
        <f>CALI!C76+HUNGRIA!C76+YUMBO!C76+'ADULTO MAYOR'!C76+'COMEDORES VALLE'!C76+BUGA!C76+'COMEDORES CALI'!C76+'CTAS EN PPACION'!C76+'COMEDORES PALMIRA'!C76+IMDERTY!C76</f>
        <v/>
      </c>
      <c r="D76" s="67" t="n"/>
      <c r="E76" s="1071">
        <f>C76/C$13</f>
        <v/>
      </c>
      <c r="F76" s="37">
        <f>CALI!F76+HUNGRIA!F76+YUMBO!F76+'ADULTO MAYOR'!F76+'COMEDORES VALLE'!F76+BUGA!F76+'COMEDORES CALI'!F76+'CTAS EN PPACION'!F76+'COMEDORES PALMIRA'!F76+IMDERTY!F76</f>
        <v/>
      </c>
      <c r="G76" s="67" t="n"/>
      <c r="H76" s="68" t="n"/>
      <c r="I76" s="37">
        <f>CALI!I76+HUNGRIA!I76+YUMBO!I76+'ADULTO MAYOR'!I76+'COMEDORES VALLE'!I76+BUGA!I76+'COMEDORES CALI'!I76+'CTAS EN PPACION'!I76+'COMEDORES PALMIRA'!I76+IMDERTY!I76</f>
        <v/>
      </c>
      <c r="J76" s="67" t="n"/>
      <c r="K76" s="68" t="n"/>
      <c r="L76" s="37">
        <f>CALI!L76+HUNGRIA!L76+YUMBO!L76+'ADULTO MAYOR'!L76+'COMEDORES VALLE'!L76+BUGA!L76+'COMEDORES CALI'!L76+'CTAS EN PPACION'!L76+'COMEDORES PALMIRA'!L76+IMDERTY!L76</f>
        <v/>
      </c>
      <c r="M76" s="67" t="n"/>
      <c r="N76" s="68" t="n"/>
      <c r="O76" s="37">
        <f>CALI!O76+HUNGRIA!O76+YUMBO!O76+'ADULTO MAYOR'!O76+'COMEDORES VALLE'!O76+BUGA!O76+'COMEDORES CALI'!O76+'CTAS EN PPACION'!O76+'COMEDORES PALMIRA'!O76+IMDERTY!O76</f>
        <v/>
      </c>
      <c r="P76" s="67" t="n"/>
      <c r="Q76" s="68" t="n"/>
      <c r="R76" s="37">
        <f>CALI!R76+HUNGRIA!R76+YUMBO!R76+'ADULTO MAYOR'!R76+'COMEDORES VALLE'!R76+BUGA!R76+'COMEDORES CALI'!R76+'CTAS EN PPACION'!R76+'COMEDORES PALMIRA'!R76+IMDERTY!R76</f>
        <v/>
      </c>
      <c r="S76" s="67" t="n"/>
      <c r="T76" s="68" t="n"/>
      <c r="U76" s="37">
        <f>CALI!U76+HUNGRIA!U76+YUMBO!U76+'ADULTO MAYOR'!U76+'COMEDORES VALLE'!U76+BUGA!U76+'COMEDORES CALI'!U76+'CTAS EN PPACION'!U76+'COMEDORES PALMIRA'!U76+IMDERTY!U76</f>
        <v/>
      </c>
      <c r="V76" s="67" t="n"/>
      <c r="W76" s="68" t="n"/>
      <c r="X76" s="37">
        <f>CALI!X76+HUNGRIA!X76+YUMBO!X76+'ADULTO MAYOR'!X76+'COMEDORES VALLE'!X76+BUGA!X76+'COMEDORES CALI'!X76+'CTAS EN PPACION'!X76+'COMEDORES PALMIRA'!X76+IMDERTY!X76</f>
        <v/>
      </c>
      <c r="Y76" s="67" t="n"/>
      <c r="Z76" s="68" t="n"/>
      <c r="AA76" s="37">
        <f>CALI!AA76+HUNGRIA!AA76+YUMBO!AA76+'ADULTO MAYOR'!AA76+'COMEDORES VALLE'!AA76+BUGA!AA76+'COMEDORES CALI'!AA76+'CTAS EN PPACION'!AA76+'COMEDORES PALMIRA'!AA76+IMDERTY!AA76</f>
        <v/>
      </c>
      <c r="AB76" s="67" t="n"/>
      <c r="AC76" s="68" t="n"/>
      <c r="AD76" s="37">
        <f>CALI!AD76+HUNGRIA!AD76+YUMBO!AD76+'ADULTO MAYOR'!AD76+'COMEDORES VALLE'!AD76+BUGA!AD76+'COMEDORES CALI'!AD76+'CTAS EN PPACION'!AD76+'COMEDORES PALMIRA'!AD76+IMDERTY!AD76</f>
        <v/>
      </c>
      <c r="AE76" s="67" t="n"/>
      <c r="AF76" s="68" t="n"/>
      <c r="AG76" s="37">
        <f>CALI!AG76+HUNGRIA!AG76+YUMBO!AG76+'ADULTO MAYOR'!AG76+'COMEDORES VALLE'!AG76+BUGA!AG76+'COMEDORES CALI'!AG76+'CTAS EN PPACION'!AG76+'COMEDORES PALMIRA'!AG76+IMDERTY!AG76</f>
        <v/>
      </c>
      <c r="AH76" s="67" t="n"/>
      <c r="AI76" s="68" t="n"/>
      <c r="AJ76" s="37">
        <f>CALI!AJ76+HUNGRIA!AJ76+YUMBO!AJ76+'ADULTO MAYOR'!AJ76+'COMEDORES VALLE'!AJ76+BUGA!AJ76+'COMEDORES CALI'!AJ76+'CTAS EN PPACION'!AJ76+'COMEDORES PALMIRA'!AJ76+IMDERTY!AJ76</f>
        <v/>
      </c>
      <c r="AK76" s="67" t="n"/>
      <c r="AL76" s="68" t="n"/>
      <c r="AM76" s="38">
        <f>C76+F76+I76+L76+O76+R76+U76+X76+AA76+AD76+AG76+AJ76</f>
        <v/>
      </c>
      <c r="AN76" s="199" t="n"/>
      <c r="AO76" s="1236">
        <f>AM76/$AM$13</f>
        <v/>
      </c>
    </row>
    <row r="77" ht="15" customHeight="1" s="985">
      <c r="B77" s="66" t="inlineStr">
        <is>
          <t>Servicio de Gas</t>
        </is>
      </c>
      <c r="C77" s="28">
        <f>CALI!C77+HUNGRIA!C77+YUMBO!C77+'ADULTO MAYOR'!C77+'COMEDORES VALLE'!C77+BUGA!C77+'COMEDORES CALI'!C77+'CTAS EN PPACION'!C77+'COMEDORES PALMIRA'!C77+IMDERTY!C77</f>
        <v/>
      </c>
      <c r="D77" s="45" t="n"/>
      <c r="E77" s="1073">
        <f>C77/C$13</f>
        <v/>
      </c>
      <c r="F77" s="28">
        <f>CALI!F77+HUNGRIA!F77+YUMBO!F77+'ADULTO MAYOR'!F77+'COMEDORES VALLE'!F77+BUGA!F77+'COMEDORES CALI'!F77+'CTAS EN PPACION'!F77+'COMEDORES PALMIRA'!F77+IMDERTY!F77</f>
        <v/>
      </c>
      <c r="G77" s="45" t="n"/>
      <c r="H77" s="58" t="n"/>
      <c r="I77" s="28">
        <f>CALI!I77+HUNGRIA!I77+YUMBO!I77+'ADULTO MAYOR'!I77+'COMEDORES VALLE'!I77+BUGA!I77+'COMEDORES CALI'!I77+'CTAS EN PPACION'!I77+'COMEDORES PALMIRA'!I77+IMDERTY!I77</f>
        <v/>
      </c>
      <c r="J77" s="45" t="n"/>
      <c r="K77" s="58" t="n"/>
      <c r="L77" s="28">
        <f>CALI!L77+HUNGRIA!L77+YUMBO!L77+'ADULTO MAYOR'!L77+'COMEDORES VALLE'!L77+BUGA!L77+'COMEDORES CALI'!L77+'CTAS EN PPACION'!L77+'COMEDORES PALMIRA'!L77+IMDERTY!L77</f>
        <v/>
      </c>
      <c r="M77" s="45" t="n"/>
      <c r="N77" s="58" t="n"/>
      <c r="O77" s="28">
        <f>CALI!O77+HUNGRIA!O77+YUMBO!O77+'ADULTO MAYOR'!O77+'COMEDORES VALLE'!O77+BUGA!O77+'COMEDORES CALI'!O77+'CTAS EN PPACION'!O77+'COMEDORES PALMIRA'!O77+IMDERTY!O77</f>
        <v/>
      </c>
      <c r="P77" s="45" t="n"/>
      <c r="Q77" s="58" t="n"/>
      <c r="R77" s="28">
        <f>CALI!R77+HUNGRIA!R77+YUMBO!R77+'ADULTO MAYOR'!R77+'COMEDORES VALLE'!R77+BUGA!R77+'COMEDORES CALI'!R77+'CTAS EN PPACION'!R77+'COMEDORES PALMIRA'!R77+IMDERTY!R77</f>
        <v/>
      </c>
      <c r="S77" s="45" t="n"/>
      <c r="T77" s="58" t="n"/>
      <c r="U77" s="28">
        <f>CALI!U77+HUNGRIA!U77+YUMBO!U77+'ADULTO MAYOR'!U77+'COMEDORES VALLE'!U77+BUGA!U77+'COMEDORES CALI'!U77+'CTAS EN PPACION'!U77+'COMEDORES PALMIRA'!U77+IMDERTY!U77</f>
        <v/>
      </c>
      <c r="V77" s="45" t="n"/>
      <c r="W77" s="58" t="n"/>
      <c r="X77" s="28">
        <f>CALI!X77+HUNGRIA!X77+YUMBO!X77+'ADULTO MAYOR'!X77+'COMEDORES VALLE'!X77+BUGA!X77+'COMEDORES CALI'!X77+'CTAS EN PPACION'!X77+'COMEDORES PALMIRA'!X77+IMDERTY!X77</f>
        <v/>
      </c>
      <c r="Y77" s="45" t="n"/>
      <c r="Z77" s="58" t="n"/>
      <c r="AA77" s="28">
        <f>CALI!AA77+HUNGRIA!AA77+YUMBO!AA77+'ADULTO MAYOR'!AA77+'COMEDORES VALLE'!AA77+BUGA!AA77+'COMEDORES CALI'!AA77+'CTAS EN PPACION'!AA77+'COMEDORES PALMIRA'!AA77+IMDERTY!AA77</f>
        <v/>
      </c>
      <c r="AB77" s="45" t="n"/>
      <c r="AC77" s="58" t="n"/>
      <c r="AD77" s="28">
        <f>CALI!AD77+HUNGRIA!AD77+YUMBO!AD77+'ADULTO MAYOR'!AD77+'COMEDORES VALLE'!AD77+BUGA!AD77+'COMEDORES CALI'!AD77+'CTAS EN PPACION'!AD77+'COMEDORES PALMIRA'!AD77+IMDERTY!AD77</f>
        <v/>
      </c>
      <c r="AE77" s="45" t="n"/>
      <c r="AF77" s="58" t="n"/>
      <c r="AG77" s="28">
        <f>CALI!AG77+HUNGRIA!AG77+YUMBO!AG77+'ADULTO MAYOR'!AG77+'COMEDORES VALLE'!AG77+BUGA!AG77+'COMEDORES CALI'!AG77+'CTAS EN PPACION'!AG77+'COMEDORES PALMIRA'!AG77+IMDERTY!AG77</f>
        <v/>
      </c>
      <c r="AH77" s="45" t="n"/>
      <c r="AI77" s="58" t="n"/>
      <c r="AJ77" s="28">
        <f>CALI!AJ77+HUNGRIA!AJ77+YUMBO!AJ77+'ADULTO MAYOR'!AJ77+'COMEDORES VALLE'!AJ77+BUGA!AJ77+'COMEDORES CALI'!AJ77+'CTAS EN PPACION'!AJ77+'COMEDORES PALMIRA'!AJ77+IMDERTY!AJ77</f>
        <v/>
      </c>
      <c r="AK77" s="45" t="n"/>
      <c r="AL77" s="58" t="n"/>
      <c r="AM77" s="27">
        <f>C77+F77+I77+L77+O77+R77+U77+X77+AA77+AD77+AG77+AJ77</f>
        <v/>
      </c>
      <c r="AN77" s="194" t="n"/>
      <c r="AO77" s="1236">
        <f>AM77/$AM$13</f>
        <v/>
      </c>
    </row>
    <row r="78" ht="15" customHeight="1" s="985">
      <c r="B78" s="16" t="inlineStr">
        <is>
          <t>MANO DE OBRA DIRECTA</t>
        </is>
      </c>
      <c r="C78" s="49">
        <f>SUM(C79:C81)</f>
        <v/>
      </c>
      <c r="D78" s="3" t="n"/>
      <c r="E78" s="1053">
        <f>C78/C13</f>
        <v/>
      </c>
      <c r="F78" s="49">
        <f>SUM(F79:F81)</f>
        <v/>
      </c>
      <c r="G78" s="3" t="n"/>
      <c r="H78" s="1053">
        <f>F78/F13</f>
        <v/>
      </c>
      <c r="I78" s="49">
        <f>SUM(I79:I81)</f>
        <v/>
      </c>
      <c r="J78" s="3" t="n"/>
      <c r="K78" s="1053">
        <f>I78/I13</f>
        <v/>
      </c>
      <c r="L78" s="49">
        <f>SUM(L79:L81)</f>
        <v/>
      </c>
      <c r="M78" s="3" t="n"/>
      <c r="N78" s="1053">
        <f>L78/L13</f>
        <v/>
      </c>
      <c r="O78" s="49">
        <f>SUM(O79:O81)</f>
        <v/>
      </c>
      <c r="P78" s="3" t="n"/>
      <c r="Q78" s="1053">
        <f>O78/O13</f>
        <v/>
      </c>
      <c r="R78" s="90">
        <f>SUM(R79:R81)</f>
        <v/>
      </c>
      <c r="S78" s="3" t="n"/>
      <c r="T78" s="1053">
        <f>R78/R13</f>
        <v/>
      </c>
      <c r="U78" s="49">
        <f>SUM(U79:U81)</f>
        <v/>
      </c>
      <c r="V78" s="3" t="n"/>
      <c r="W78" s="61">
        <f>U78/U13</f>
        <v/>
      </c>
      <c r="X78" s="49">
        <f>SUM(X79:X81)</f>
        <v/>
      </c>
      <c r="Y78" s="3">
        <f>X78/X12</f>
        <v/>
      </c>
      <c r="Z78" s="1053">
        <f>X78/X13</f>
        <v/>
      </c>
      <c r="AA78" s="49">
        <f>SUM(AA79:AA81)</f>
        <v/>
      </c>
      <c r="AB78" s="3" t="n"/>
      <c r="AC78" s="1053">
        <f>AA78/AA13</f>
        <v/>
      </c>
      <c r="AD78" s="49">
        <f>SUM(AD79:AD81)</f>
        <v/>
      </c>
      <c r="AE78" s="3" t="n"/>
      <c r="AF78" s="1053">
        <f>AD78/AD13</f>
        <v/>
      </c>
      <c r="AG78" s="49">
        <f>SUM(AG79:AG81)</f>
        <v/>
      </c>
      <c r="AH78" s="3" t="n"/>
      <c r="AI78" s="61">
        <f>AG78/AG13</f>
        <v/>
      </c>
      <c r="AJ78" s="49">
        <f>SUM(AJ79:AJ81)</f>
        <v/>
      </c>
      <c r="AK78" s="3" t="n"/>
      <c r="AL78" s="61">
        <f>AJ78/AJ13</f>
        <v/>
      </c>
      <c r="AM78" s="751">
        <f>C78+F78+I78+L78+O78+R78+U78+X78+AA78+AD78+AG78+AJ78</f>
        <v/>
      </c>
      <c r="AN78" s="197" t="n"/>
      <c r="AO78" s="1237">
        <f>AM78/(AM$13)</f>
        <v/>
      </c>
    </row>
    <row r="79" ht="15" customHeight="1" s="985">
      <c r="B79" s="39" t="inlineStr">
        <is>
          <t>Manipuladoras</t>
        </is>
      </c>
      <c r="C79" s="39">
        <f>CALI!C79+HUNGRIA!C79+YUMBO!C79+'ADULTO MAYOR'!C79+'COMEDORES VALLE'!C79+BUGA!C79+'COMEDORES CALI'!C79+'CTAS EN PPACION'!C79+'COMEDORES PALMIRA'!C79+IMDERTY!C79</f>
        <v/>
      </c>
      <c r="D79" s="69" t="n"/>
      <c r="E79" s="1077">
        <f>C79/(C$13)</f>
        <v/>
      </c>
      <c r="F79" s="39">
        <f>CALI!F79+HUNGRIA!F79+YUMBO!F79+'ADULTO MAYOR'!F79+'COMEDORES VALLE'!F79+BUGA!F79+'COMEDORES CALI'!F79+'CTAS EN PPACION'!F79+'COMEDORES PALMIRA'!F79+IMDERTY!F79</f>
        <v/>
      </c>
      <c r="G79" s="69" t="n"/>
      <c r="H79" s="1077">
        <f>F79/(F$13)</f>
        <v/>
      </c>
      <c r="I79" s="39">
        <f>CALI!I79+HUNGRIA!I79+YUMBO!I79+'ADULTO MAYOR'!I79+'COMEDORES VALLE'!I79+BUGA!I79+'COMEDORES CALI'!I79+'CTAS EN PPACION'!I79+'COMEDORES PALMIRA'!I79+IMDERTY!I79</f>
        <v/>
      </c>
      <c r="J79" s="69" t="n"/>
      <c r="K79" s="1077">
        <f>I79/(I$13)</f>
        <v/>
      </c>
      <c r="L79" s="39">
        <f>CALI!L79+HUNGRIA!L79+YUMBO!L79+'ADULTO MAYOR'!L79+'COMEDORES VALLE'!L79+BUGA!L79+'COMEDORES CALI'!L79+'CTAS EN PPACION'!L79+'COMEDORES PALMIRA'!L79+IMDERTY!L79</f>
        <v/>
      </c>
      <c r="M79" s="69" t="n"/>
      <c r="N79" s="1077">
        <f>L79/(L$13)</f>
        <v/>
      </c>
      <c r="O79" s="39">
        <f>CALI!O79+HUNGRIA!O79+YUMBO!O79+'ADULTO MAYOR'!O79+'COMEDORES VALLE'!O79+BUGA!O79+'COMEDORES CALI'!O79+'CTAS EN PPACION'!O79+'COMEDORES PALMIRA'!O79+IMDERTY!O79</f>
        <v/>
      </c>
      <c r="P79" s="69" t="n"/>
      <c r="Q79" s="70" t="n"/>
      <c r="R79" s="39">
        <f>CALI!R79+HUNGRIA!R79+YUMBO!R79+'ADULTO MAYOR'!R79+'COMEDORES VALLE'!R79+BUGA!R79+'COMEDORES CALI'!R79+'CTAS EN PPACION'!R79+'COMEDORES PALMIRA'!R79+IMDERTY!R79</f>
        <v/>
      </c>
      <c r="S79" s="69" t="n"/>
      <c r="T79" s="70" t="n"/>
      <c r="U79" s="39">
        <f>CALI!U79+HUNGRIA!U79+YUMBO!U79+'ADULTO MAYOR'!U79+'COMEDORES VALLE'!U79+BUGA!U79+'COMEDORES CALI'!U79+'CTAS EN PPACION'!U79+'COMEDORES PALMIRA'!U79+IMDERTY!U79</f>
        <v/>
      </c>
      <c r="V79" s="69" t="n"/>
      <c r="W79" s="70" t="n"/>
      <c r="X79" s="39">
        <f>CALI!X79+HUNGRIA!X79+YUMBO!X79+'ADULTO MAYOR'!X79+'COMEDORES VALLE'!X79+BUGA!X79+'COMEDORES CALI'!X79+'CTAS EN PPACION'!X79+'COMEDORES PALMIRA'!X79+IMDERTY!X79</f>
        <v/>
      </c>
      <c r="Y79" s="69" t="n"/>
      <c r="Z79" s="1077" t="n"/>
      <c r="AA79" s="39">
        <f>CALI!AA79+HUNGRIA!AA79+YUMBO!AA79+'ADULTO MAYOR'!AA79+'COMEDORES VALLE'!AA79+BUGA!AA79+'COMEDORES CALI'!AA79+'CTAS EN PPACION'!AA79+'COMEDORES PALMIRA'!AA79+IMDERTY!AA79</f>
        <v/>
      </c>
      <c r="AB79" s="69" t="n"/>
      <c r="AC79" s="70" t="n"/>
      <c r="AD79" s="39">
        <f>CALI!AD79+HUNGRIA!AD79+YUMBO!AD79+'ADULTO MAYOR'!AD79+'COMEDORES VALLE'!AD79+BUGA!AD79+'COMEDORES CALI'!AD79+'CTAS EN PPACION'!AD79+'COMEDORES PALMIRA'!AD79+IMDERTY!AD79</f>
        <v/>
      </c>
      <c r="AE79" s="69" t="n"/>
      <c r="AF79" s="1077" t="n"/>
      <c r="AG79" s="39">
        <f>CALI!AG79+HUNGRIA!AG79+YUMBO!AG79+'ADULTO MAYOR'!AG79+'COMEDORES VALLE'!AG79+BUGA!AG79+'COMEDORES CALI'!AG79+'CTAS EN PPACION'!AG79+'COMEDORES PALMIRA'!AG79+IMDERTY!AG79</f>
        <v/>
      </c>
      <c r="AH79" s="69" t="n"/>
      <c r="AI79" s="70" t="n"/>
      <c r="AJ79" s="39">
        <f>CALI!AJ79+HUNGRIA!AJ79+YUMBO!AJ79+'ADULTO MAYOR'!AJ79+'COMEDORES VALLE'!AJ79+BUGA!AJ79+'COMEDORES CALI'!AJ79+'CTAS EN PPACION'!AJ79+'COMEDORES PALMIRA'!AJ79+IMDERTY!AJ79</f>
        <v/>
      </c>
      <c r="AK79" s="69" t="n"/>
      <c r="AL79" s="70" t="n"/>
      <c r="AM79" s="31">
        <f>C79+F79+I79+L79+O79+R79+U79+X79+AA79+AD79+AG79+AJ79</f>
        <v/>
      </c>
      <c r="AN79" s="201" t="n"/>
      <c r="AO79" s="1238">
        <f>AM79/(AM$13)</f>
        <v/>
      </c>
    </row>
    <row r="80" ht="15" customHeight="1" s="985">
      <c r="B80" s="25" t="inlineStr">
        <is>
          <t>Personal Supervisor - Coordinadores</t>
        </is>
      </c>
      <c r="C80" s="25">
        <f>CALI!C80+HUNGRIA!C80+YUMBO!C80+'ADULTO MAYOR'!C80+'COMEDORES VALLE'!C80+BUGA!C80+'COMEDORES CALI'!C80+'CTAS EN PPACION'!C80+'COMEDORES PALMIRA'!C80+IMDERTY!C80</f>
        <v/>
      </c>
      <c r="D80" s="43" t="n"/>
      <c r="E80" s="1045">
        <f>C80/(C$13)</f>
        <v/>
      </c>
      <c r="F80" s="25">
        <f>CALI!F80+HUNGRIA!F80+YUMBO!F80+'ADULTO MAYOR'!F80+'COMEDORES VALLE'!F80+BUGA!F80+'COMEDORES CALI'!F80+'CTAS EN PPACION'!F80+'COMEDORES PALMIRA'!F80+IMDERTY!F80</f>
        <v/>
      </c>
      <c r="G80" s="43" t="n"/>
      <c r="H80" s="1045">
        <f>F80/(F$13)</f>
        <v/>
      </c>
      <c r="I80" s="25">
        <f>CALI!I80+HUNGRIA!I80+YUMBO!I80+'ADULTO MAYOR'!I80+'COMEDORES VALLE'!I80+BUGA!I80+'COMEDORES CALI'!I80+'CTAS EN PPACION'!I80+'COMEDORES PALMIRA'!I80+IMDERTY!I80</f>
        <v/>
      </c>
      <c r="J80" s="43" t="n"/>
      <c r="K80" s="1045">
        <f>I80/(I$13)</f>
        <v/>
      </c>
      <c r="L80" s="25">
        <f>CALI!L80+HUNGRIA!L80+YUMBO!L80+'ADULTO MAYOR'!L80+'COMEDORES VALLE'!L80+BUGA!L80+'COMEDORES CALI'!L80+'CTAS EN PPACION'!L80+'COMEDORES PALMIRA'!L80+IMDERTY!L80</f>
        <v/>
      </c>
      <c r="M80" s="43" t="n"/>
      <c r="N80" s="1045">
        <f>L80/(L$13)</f>
        <v/>
      </c>
      <c r="O80" s="25">
        <f>CALI!O80+HUNGRIA!O80+YUMBO!O80+'ADULTO MAYOR'!O80+'COMEDORES VALLE'!O80+BUGA!O80+'COMEDORES CALI'!O80+'CTAS EN PPACION'!O80+'COMEDORES PALMIRA'!O80+IMDERTY!O80</f>
        <v/>
      </c>
      <c r="P80" s="43" t="n"/>
      <c r="Q80" s="57" t="n"/>
      <c r="R80" s="25">
        <f>CALI!R80+HUNGRIA!R80+YUMBO!R80+'ADULTO MAYOR'!R80+'COMEDORES VALLE'!R80+BUGA!R80+'COMEDORES CALI'!R80+'CTAS EN PPACION'!R80+'COMEDORES PALMIRA'!R80+IMDERTY!R80</f>
        <v/>
      </c>
      <c r="S80" s="43" t="n"/>
      <c r="T80" s="57" t="n"/>
      <c r="U80" s="25">
        <f>CALI!U80+HUNGRIA!U80+YUMBO!U80+'ADULTO MAYOR'!U80+'COMEDORES VALLE'!U80+BUGA!U80+'COMEDORES CALI'!U80+'CTAS EN PPACION'!U80+'COMEDORES PALMIRA'!U80+IMDERTY!U80</f>
        <v/>
      </c>
      <c r="V80" s="43" t="n"/>
      <c r="W80" s="57" t="n"/>
      <c r="X80" s="25">
        <f>CALI!X80+HUNGRIA!X80+YUMBO!X80+'ADULTO MAYOR'!X80+'COMEDORES VALLE'!X80+BUGA!X80+'COMEDORES CALI'!X80+'CTAS EN PPACION'!X80+'COMEDORES PALMIRA'!X80+IMDERTY!X80</f>
        <v/>
      </c>
      <c r="Y80" s="43" t="n"/>
      <c r="Z80" s="57" t="n"/>
      <c r="AA80" s="25">
        <f>CALI!AA80+HUNGRIA!AA80+YUMBO!AA80+'ADULTO MAYOR'!AA80+'COMEDORES VALLE'!AA80+BUGA!AA80+'COMEDORES CALI'!AA80+'CTAS EN PPACION'!AA80+'COMEDORES PALMIRA'!AA80+IMDERTY!AA80</f>
        <v/>
      </c>
      <c r="AB80" s="43" t="n"/>
      <c r="AC80" s="57" t="n"/>
      <c r="AD80" s="25">
        <f>CALI!AD80+HUNGRIA!AD80+YUMBO!AD80+'ADULTO MAYOR'!AD80+'COMEDORES VALLE'!AD80+BUGA!AD80+'COMEDORES CALI'!AD80+'CTAS EN PPACION'!AD80+'COMEDORES PALMIRA'!AD80+IMDERTY!AD80</f>
        <v/>
      </c>
      <c r="AE80" s="43" t="n"/>
      <c r="AF80" s="57" t="n"/>
      <c r="AG80" s="25">
        <f>CALI!AG80+HUNGRIA!AG80+YUMBO!AG80+'ADULTO MAYOR'!AG80+'COMEDORES VALLE'!AG80+BUGA!AG80+'COMEDORES CALI'!AG80+'CTAS EN PPACION'!AG80+'COMEDORES PALMIRA'!AG80+IMDERTY!AG80</f>
        <v/>
      </c>
      <c r="AH80" s="43" t="n"/>
      <c r="AI80" s="57" t="n"/>
      <c r="AJ80" s="25">
        <f>CALI!AJ80+HUNGRIA!AJ80+YUMBO!AJ80+'ADULTO MAYOR'!AJ80+'COMEDORES VALLE'!AJ80+BUGA!AJ80+'COMEDORES CALI'!AJ80+'CTAS EN PPACION'!AJ80+'COMEDORES PALMIRA'!AJ80+IMDERTY!AJ80</f>
        <v/>
      </c>
      <c r="AK80" s="43" t="n"/>
      <c r="AL80" s="57" t="n"/>
      <c r="AM80" s="24">
        <f>C80+F80+I80+L80+O80+R80+U80+X80+AA80+AD80+AG80+AJ80</f>
        <v/>
      </c>
      <c r="AN80" s="195" t="n"/>
      <c r="AO80" s="1238">
        <f>AM80/(AM$13)</f>
        <v/>
      </c>
    </row>
    <row r="81" ht="15" customHeight="1" s="985" thickBot="1">
      <c r="B81" s="98" t="inlineStr">
        <is>
          <t>Personal SENA</t>
        </is>
      </c>
      <c r="C81" s="269">
        <f>CALI!C81+HUNGRIA!C81+YUMBO!C81+'ADULTO MAYOR'!C81+'COMEDORES VALLE'!C81+BUGA!C81+'COMEDORES CALI'!C81+'CTAS EN PPACION'!C81+'COMEDORES PALMIRA'!C81</f>
        <v/>
      </c>
      <c r="D81" s="214" t="n"/>
      <c r="E81" s="271" t="n"/>
      <c r="F81" s="269">
        <f>CALI!F81+HUNGRIA!F81+YUMBO!F81+'ADULTO MAYOR'!F81+'COMEDORES VALLE'!F81+BUGA!F81+'COMEDORES CALI'!F81+'CTAS EN PPACION'!F81+'COMEDORES PALMIRA'!F81</f>
        <v/>
      </c>
      <c r="G81" s="214" t="n"/>
      <c r="H81" s="271" t="n"/>
      <c r="I81" s="269">
        <f>CALI!I81+HUNGRIA!I81+YUMBO!I81+'ADULTO MAYOR'!I81+'COMEDORES VALLE'!I81+BUGA!I81+'COMEDORES CALI'!I81+'CTAS EN PPACION'!I81+'COMEDORES PALMIRA'!I81</f>
        <v/>
      </c>
      <c r="J81" s="214" t="n"/>
      <c r="K81" s="271">
        <f>I81/I13</f>
        <v/>
      </c>
      <c r="L81" s="269">
        <f>CALI!L81+HUNGRIA!L81+YUMBO!L81+'ADULTO MAYOR'!L81+'COMEDORES VALLE'!L81+BUGA!L81+'COMEDORES CALI'!L81+'CTAS EN PPACION'!L81+'COMEDORES PALMIRA'!L81</f>
        <v/>
      </c>
      <c r="M81" s="214" t="n"/>
      <c r="N81" s="271" t="n"/>
      <c r="O81" s="269">
        <f>CALI!O81+HUNGRIA!O81+YUMBO!O81+'ADULTO MAYOR'!O81+'COMEDORES VALLE'!O81+BUGA!O81+'COMEDORES CALI'!O81+'CTAS EN PPACION'!O81+'COMEDORES PALMIRA'!O81</f>
        <v/>
      </c>
      <c r="P81" s="214" t="n"/>
      <c r="Q81" s="271">
        <f>O81/O13</f>
        <v/>
      </c>
      <c r="R81" s="269">
        <f>CALI!R81+HUNGRIA!R81+YUMBO!R81+'ADULTO MAYOR'!R81+'COMEDORES VALLE'!R81+BUGA!R81+'COMEDORES CALI'!R81+'CTAS EN PPACION'!R81+'COMEDORES PALMIRA'!R81+IMDERTY!R81</f>
        <v/>
      </c>
      <c r="S81" s="214" t="n"/>
      <c r="T81" s="271" t="n"/>
      <c r="U81" s="269">
        <f>CALI!U81+HUNGRIA!U81+YUMBO!U81+'ADULTO MAYOR'!U81+'COMEDORES VALLE'!U81+BUGA!U81+'COMEDORES CALI'!U81+'CTAS EN PPACION'!U81+'COMEDORES PALMIRA'!U81+IMDERTY!U81</f>
        <v/>
      </c>
      <c r="V81" s="214" t="n"/>
      <c r="W81" s="271" t="n"/>
      <c r="X81" s="269">
        <f>CALI!X81+HUNGRIA!X81+YUMBO!X81+'ADULTO MAYOR'!X81+'COMEDORES VALLE'!X81+BUGA!X81+'COMEDORES CALI'!X81+'CTAS EN PPACION'!X81+'COMEDORES PALMIRA'!X81+IMDERTY!X81</f>
        <v/>
      </c>
      <c r="Y81" s="214" t="n"/>
      <c r="Z81" s="271" t="n"/>
      <c r="AA81" s="269">
        <f>CALI!AA81+HUNGRIA!AA81+YUMBO!AA81+'ADULTO MAYOR'!AA81+'COMEDORES VALLE'!AA81+BUGA!AA81+'COMEDORES CALI'!AA81+'CTAS EN PPACION'!AA81+'COMEDORES PALMIRA'!AA81+IMDERTY!AA81</f>
        <v/>
      </c>
      <c r="AB81" s="214" t="n"/>
      <c r="AC81" s="271">
        <f>AA81/AA13</f>
        <v/>
      </c>
      <c r="AD81" s="269">
        <f>CALI!AD81+HUNGRIA!AD81+YUMBO!AD81+'ADULTO MAYOR'!AD81+'COMEDORES VALLE'!AD81+BUGA!AD81+'COMEDORES CALI'!AD81+'CTAS EN PPACION'!AD81+'COMEDORES PALMIRA'!AD81+IMDERTY!AD81</f>
        <v/>
      </c>
      <c r="AE81" s="214" t="n"/>
      <c r="AF81" s="271" t="n"/>
      <c r="AG81" s="269">
        <f>CALI!AG81+HUNGRIA!AG81+YUMBO!AG81+'ADULTO MAYOR'!AG81+'COMEDORES VALLE'!AG81+BUGA!AG81+'COMEDORES CALI'!AG81+'CTAS EN PPACION'!AG81+'COMEDORES PALMIRA'!AG81+IMDERTY!AG81</f>
        <v/>
      </c>
      <c r="AH81" s="214" t="n"/>
      <c r="AI81" s="271">
        <f>AG81/AG13</f>
        <v/>
      </c>
      <c r="AJ81" s="269">
        <f>CALI!AJ81+HUNGRIA!AJ81+YUMBO!AJ81+'ADULTO MAYOR'!AJ81+'COMEDORES VALLE'!AJ81+BUGA!AJ81+'COMEDORES CALI'!AJ81+'CTAS EN PPACION'!AJ81+'COMEDORES PALMIRA'!AJ81+IMDERTY!AJ81</f>
        <v/>
      </c>
      <c r="AK81" s="214" t="n"/>
      <c r="AL81" s="271" t="n"/>
      <c r="AM81" s="98">
        <f>C81+F81+I81+L81+O81+R81+U81+X81+AA81+AD81+AG81+AJ81</f>
        <v/>
      </c>
      <c r="AN81" s="202" t="n"/>
      <c r="AO81" s="675" t="n"/>
    </row>
    <row r="82" ht="15" customHeight="1" s="985" thickBot="1" thickTop="1">
      <c r="C82" s="2" t="n"/>
      <c r="D82" s="2" t="n"/>
      <c r="E82" s="64" t="n"/>
      <c r="F82" s="2" t="n"/>
      <c r="G82" s="2" t="n"/>
      <c r="H82" s="64" t="n"/>
      <c r="I82" s="2" t="n"/>
      <c r="J82" s="2" t="n"/>
      <c r="K82" s="64" t="n"/>
      <c r="L82" s="2" t="n"/>
      <c r="M82" s="2" t="n"/>
      <c r="N82" s="64" t="n"/>
      <c r="O82" s="2" t="n"/>
      <c r="P82" s="2" t="n"/>
      <c r="Q82" s="64" t="n"/>
      <c r="R82" s="2" t="n"/>
      <c r="S82" s="2" t="n"/>
      <c r="T82" s="64" t="n"/>
      <c r="U82" s="2" t="n"/>
      <c r="V82" s="2" t="n"/>
      <c r="W82" s="64" t="n"/>
      <c r="X82" s="2" t="n"/>
      <c r="Y82" s="2" t="n"/>
      <c r="Z82" s="64" t="n"/>
      <c r="AA82" s="2" t="n"/>
      <c r="AB82" s="2" t="n"/>
      <c r="AC82" s="64" t="n"/>
      <c r="AD82" s="2" t="n"/>
      <c r="AE82" s="2" t="n"/>
      <c r="AF82" s="64" t="n"/>
      <c r="AG82" s="2" t="n"/>
      <c r="AH82" s="2" t="n"/>
      <c r="AI82" s="64" t="n"/>
      <c r="AJ82" s="2" t="n"/>
      <c r="AK82" s="2" t="n"/>
      <c r="AL82" s="64" t="n"/>
      <c r="AM82" s="2" t="n"/>
      <c r="AN82" s="2" t="n"/>
      <c r="AO82" s="64" t="n"/>
    </row>
    <row r="83" ht="15" customHeight="1" s="985" thickTop="1">
      <c r="B83" s="527" t="inlineStr">
        <is>
          <t>OTROS COSTOS Y GASTOS INDIRECTOS</t>
        </is>
      </c>
      <c r="C83" s="491">
        <f>+C84+C89+C92+C96+C99+C109+C114+C120+C123+C127</f>
        <v/>
      </c>
      <c r="D83" s="492" t="n"/>
      <c r="E83" s="1069">
        <f>C83/C13</f>
        <v/>
      </c>
      <c r="F83" s="491">
        <f>+F84+F89+F92+F96+F99+F109+F114+F120+F123+F127</f>
        <v/>
      </c>
      <c r="G83" s="492" t="n"/>
      <c r="H83" s="1069">
        <f>F83/F13</f>
        <v/>
      </c>
      <c r="I83" s="491">
        <f>+I84+I89+I92+I96+I99+I109+I114+I120+I123+I127</f>
        <v/>
      </c>
      <c r="J83" s="492" t="n"/>
      <c r="K83" s="1069">
        <f>I83/I13</f>
        <v/>
      </c>
      <c r="L83" s="491">
        <f>+L84+L89+L92+L96+L99+L109+L114+L120+L123+L127</f>
        <v/>
      </c>
      <c r="M83" s="492" t="n"/>
      <c r="N83" s="1069">
        <f>L83/L13</f>
        <v/>
      </c>
      <c r="O83" s="491">
        <f>+O84+O89+O92+O96+O99+O109+O114+O120+O123+O127</f>
        <v/>
      </c>
      <c r="P83" s="492" t="n"/>
      <c r="Q83" s="1069">
        <f>O83/O13</f>
        <v/>
      </c>
      <c r="R83" s="491">
        <f>+R84+R89+R92+R96+R99+R109+R114+R120+R123+R127</f>
        <v/>
      </c>
      <c r="S83" s="492" t="n"/>
      <c r="T83" s="1069">
        <f>R83/R13</f>
        <v/>
      </c>
      <c r="U83" s="491">
        <f>+U84+U89+U92+U96+U99+U109+U114+U120+U123+U127</f>
        <v/>
      </c>
      <c r="V83" s="492" t="n"/>
      <c r="W83" s="1069">
        <f>U83/U13</f>
        <v/>
      </c>
      <c r="X83" s="491">
        <f>+X84+X89+X92+X96+X99+X109+X114+X120+X123+X127</f>
        <v/>
      </c>
      <c r="Y83" s="492" t="n"/>
      <c r="Z83" s="1069">
        <f>X83/X13</f>
        <v/>
      </c>
      <c r="AA83" s="491">
        <f>+AA84+AA89+AA92+AA96+AA99+AA109+AA114+AA120+AA123+AA127</f>
        <v/>
      </c>
      <c r="AB83" s="492" t="n"/>
      <c r="AC83" s="1069">
        <f>AA83/AA13</f>
        <v/>
      </c>
      <c r="AD83" s="491">
        <f>+AD84+AD89+AD92+AD96+AD99+AD109+AD114+AD120+AD123+AD127</f>
        <v/>
      </c>
      <c r="AE83" s="492" t="n"/>
      <c r="AF83" s="1069">
        <f>AD83/AD13</f>
        <v/>
      </c>
      <c r="AG83" s="491">
        <f>+AG84+AG89+AG92+AG96+AG99+AG109+AG114+AG120+AG123+AG127</f>
        <v/>
      </c>
      <c r="AH83" s="492" t="n"/>
      <c r="AI83" s="511">
        <f>AG83/AG13</f>
        <v/>
      </c>
      <c r="AJ83" s="491">
        <f>+AJ84+AJ89+AJ92+AJ96+AJ99+AJ109+AJ114+AJ120+AJ123+AJ127</f>
        <v/>
      </c>
      <c r="AK83" s="492" t="n"/>
      <c r="AL83" s="1069">
        <f>AJ83/AJ13</f>
        <v/>
      </c>
      <c r="AM83" s="595">
        <f>C83+F83+I83+L83+O83+R83+U83+X83+AA83+AD83+AG83+AJ83</f>
        <v/>
      </c>
      <c r="AN83" s="596" t="n"/>
      <c r="AO83" s="1239">
        <f>AM83/(AM$13)</f>
        <v/>
      </c>
    </row>
    <row r="84" ht="15" customHeight="1" s="985">
      <c r="B84" s="16" t="inlineStr">
        <is>
          <t>COSTOS DE PERSONAL</t>
        </is>
      </c>
      <c r="C84" s="49">
        <f>SUM(C85:C88)</f>
        <v/>
      </c>
      <c r="D84" s="3" t="n"/>
      <c r="E84" s="1053">
        <f>C84/(C$13)</f>
        <v/>
      </c>
      <c r="F84" s="49">
        <f>SUM(F85:F88)</f>
        <v/>
      </c>
      <c r="G84" s="3" t="n"/>
      <c r="H84" s="1053">
        <f>F84/F$13</f>
        <v/>
      </c>
      <c r="I84" s="49">
        <f>SUM(I85:I88)</f>
        <v/>
      </c>
      <c r="J84" s="3" t="n"/>
      <c r="K84" s="1053">
        <f>I84/I$13</f>
        <v/>
      </c>
      <c r="L84" s="49">
        <f>SUM(L85:L88)</f>
        <v/>
      </c>
      <c r="M84" s="3" t="n"/>
      <c r="N84" s="61">
        <f>L84/L$13</f>
        <v/>
      </c>
      <c r="O84" s="49">
        <f>SUM(O85:O88)</f>
        <v/>
      </c>
      <c r="P84" s="3" t="n"/>
      <c r="Q84" s="61">
        <f>O84/O$13</f>
        <v/>
      </c>
      <c r="R84" s="90">
        <f>SUM(R85:R88)</f>
        <v/>
      </c>
      <c r="S84" s="3" t="n"/>
      <c r="T84" s="1053">
        <f>R84/R$13</f>
        <v/>
      </c>
      <c r="U84" s="49">
        <f>SUM(U85:U88)</f>
        <v/>
      </c>
      <c r="V84" s="3" t="n"/>
      <c r="W84" s="1053">
        <f>U84/U$13</f>
        <v/>
      </c>
      <c r="X84" s="49">
        <f>SUM(X85:X88)</f>
        <v/>
      </c>
      <c r="Y84" s="3" t="n"/>
      <c r="Z84" s="1053">
        <f>X84/X$13</f>
        <v/>
      </c>
      <c r="AA84" s="49">
        <f>SUM(AA85:AA88)</f>
        <v/>
      </c>
      <c r="AB84" s="3" t="n"/>
      <c r="AC84" s="61">
        <f>AA84/AA$13</f>
        <v/>
      </c>
      <c r="AD84" s="49">
        <f>SUM(AD85:AD88)</f>
        <v/>
      </c>
      <c r="AE84" s="3" t="n"/>
      <c r="AF84" s="61">
        <f>AD84/AD$13</f>
        <v/>
      </c>
      <c r="AG84" s="49">
        <f>SUM(AG85:AG88)</f>
        <v/>
      </c>
      <c r="AH84" s="3" t="n"/>
      <c r="AI84" s="61">
        <f>AG84/AG$13</f>
        <v/>
      </c>
      <c r="AJ84" s="49">
        <f>SUM(AJ85:AJ88)</f>
        <v/>
      </c>
      <c r="AK84" s="3" t="n"/>
      <c r="AL84" s="61" t="n"/>
      <c r="AM84" s="17">
        <f>C84+F84+I84+L84+O84+R84+U84+X84+AA84+AD84+AG84+AJ84</f>
        <v/>
      </c>
      <c r="AN84" s="197" t="n"/>
      <c r="AO84" s="1237">
        <f>AM84/(AM$13)</f>
        <v/>
      </c>
    </row>
    <row r="85" ht="15" customHeight="1" s="985">
      <c r="B85" s="39" t="inlineStr">
        <is>
          <t>Costos Indirectos de Personal</t>
        </is>
      </c>
      <c r="C85" s="39">
        <f>CALI!C85+HUNGRIA!C85+YUMBO!C85+'ADULTO MAYOR'!C85+'COMEDORES VALLE'!C85+BUGA!C85+'COMEDORES CALI'!C85+'CTAS EN PPACION'!C85+'COMEDORES PALMIRA'!C85+IMDERTY!C85</f>
        <v/>
      </c>
      <c r="D85" s="69" t="n"/>
      <c r="E85" s="1077">
        <f>C85/C$13</f>
        <v/>
      </c>
      <c r="F85" s="39">
        <f>CALI!F85+HUNGRIA!F85+YUMBO!F85+'ADULTO MAYOR'!F85+'COMEDORES VALLE'!F85+BUGA!F85+'COMEDORES CALI'!F85+'CTAS EN PPACION'!F85+'COMEDORES PALMIRA'!F85+IMDERTY!F85</f>
        <v/>
      </c>
      <c r="G85" s="69" t="n"/>
      <c r="H85" s="1077">
        <f>F85/F$13</f>
        <v/>
      </c>
      <c r="I85" s="39">
        <f>CALI!I85+HUNGRIA!I85+YUMBO!I85+'ADULTO MAYOR'!I85+'COMEDORES VALLE'!I85+BUGA!I85+'COMEDORES CALI'!I85+'CTAS EN PPACION'!I85+'COMEDORES PALMIRA'!I85+IMDERTY!I85</f>
        <v/>
      </c>
      <c r="J85" s="69" t="n"/>
      <c r="K85" s="1077">
        <f>I85/I$13</f>
        <v/>
      </c>
      <c r="L85" s="39">
        <f>CALI!L85+HUNGRIA!L85+YUMBO!L85+'ADULTO MAYOR'!L85+'COMEDORES VALLE'!L85+BUGA!L85+'COMEDORES CALI'!L85+'CTAS EN PPACION'!L85+'COMEDORES PALMIRA'!L85+IMDERTY!L85</f>
        <v/>
      </c>
      <c r="M85" s="69" t="n"/>
      <c r="N85" s="1077">
        <f>L85/L$13</f>
        <v/>
      </c>
      <c r="O85" s="39">
        <f>CALI!O85+HUNGRIA!O85+YUMBO!O85+'ADULTO MAYOR'!O85+'COMEDORES VALLE'!O85+BUGA!O85+'COMEDORES CALI'!O85+'CTAS EN PPACION'!O85+'COMEDORES PALMIRA'!O85+IMDERTY!O85</f>
        <v/>
      </c>
      <c r="P85" s="69" t="n"/>
      <c r="Q85" s="70" t="n"/>
      <c r="R85" s="39">
        <f>CALI!R85+HUNGRIA!R85+YUMBO!R85+'ADULTO MAYOR'!R85+'COMEDORES VALLE'!R85+BUGA!R85+'COMEDORES CALI'!R85+'CTAS EN PPACION'!R85+'COMEDORES PALMIRA'!R85+IMDERTY!R85</f>
        <v/>
      </c>
      <c r="S85" s="69" t="n"/>
      <c r="T85" s="70" t="n"/>
      <c r="U85" s="39">
        <f>CALI!U85+HUNGRIA!U85+YUMBO!U85+'ADULTO MAYOR'!U85+'COMEDORES VALLE'!U85+BUGA!U85+'COMEDORES CALI'!U85+'CTAS EN PPACION'!U85+'COMEDORES PALMIRA'!U85+IMDERTY!U85</f>
        <v/>
      </c>
      <c r="V85" s="69" t="n"/>
      <c r="W85" s="70" t="n"/>
      <c r="X85" s="39">
        <f>CALI!X85+HUNGRIA!X85+YUMBO!X85+'ADULTO MAYOR'!X85+'COMEDORES VALLE'!X85+BUGA!X85+'COMEDORES CALI'!X85+'CTAS EN PPACION'!X85+'COMEDORES PALMIRA'!X85+IMDERTY!X85</f>
        <v/>
      </c>
      <c r="Y85" s="69" t="n"/>
      <c r="Z85" s="70" t="n"/>
      <c r="AA85" s="39">
        <f>CALI!AA85+HUNGRIA!AA85+YUMBO!AA85+'ADULTO MAYOR'!AA85+'COMEDORES VALLE'!AA85+BUGA!AA85+'COMEDORES CALI'!AA85+'CTAS EN PPACION'!AA85+'COMEDORES PALMIRA'!AA85+IMDERTY!AA85</f>
        <v/>
      </c>
      <c r="AB85" s="69" t="n"/>
      <c r="AC85" s="70" t="n"/>
      <c r="AD85" s="39">
        <f>CALI!AD85+HUNGRIA!AD85+YUMBO!AD85+'ADULTO MAYOR'!AD85+'COMEDORES VALLE'!AD85+BUGA!AD85+'COMEDORES CALI'!AD85+'CTAS EN PPACION'!AD85+'COMEDORES PALMIRA'!AD85+IMDERTY!AD85</f>
        <v/>
      </c>
      <c r="AE85" s="69" t="n"/>
      <c r="AF85" s="70" t="n"/>
      <c r="AG85" s="39">
        <f>CALI!AG85+HUNGRIA!AG85+YUMBO!AG85+'ADULTO MAYOR'!AG85+'COMEDORES VALLE'!AG85+BUGA!AG85+'COMEDORES CALI'!AG85+'CTAS EN PPACION'!AG85+'COMEDORES PALMIRA'!AG85+IMDERTY!AG85</f>
        <v/>
      </c>
      <c r="AH85" s="69" t="n"/>
      <c r="AI85" s="70" t="n"/>
      <c r="AJ85" s="39">
        <f>CALI!AJ85+HUNGRIA!AJ85+YUMBO!AJ85+'ADULTO MAYOR'!AJ85+'COMEDORES VALLE'!AJ85+BUGA!AJ85+'COMEDORES CALI'!AJ85+'CTAS EN PPACION'!AJ85+'COMEDORES PALMIRA'!AJ85+IMDERTY!AJ85</f>
        <v/>
      </c>
      <c r="AK85" s="69" t="n"/>
      <c r="AL85" s="70" t="n"/>
      <c r="AM85" s="31">
        <f>C85+F85+I85+L85+O85+R85+U85+X85+AA85+AD85+AG85+AJ85</f>
        <v/>
      </c>
      <c r="AN85" s="201" t="n"/>
      <c r="AO85" s="1077">
        <f>AM85/AM$13</f>
        <v/>
      </c>
    </row>
    <row r="86" ht="15" customHeight="1" s="985">
      <c r="B86" s="25" t="inlineStr">
        <is>
          <t>Dotación y Suministros</t>
        </is>
      </c>
      <c r="C86" s="25">
        <f>CALI!C86+HUNGRIA!C86+YUMBO!C86+'ADULTO MAYOR'!C86+'COMEDORES VALLE'!C86+BUGA!C86+'COMEDORES CALI'!C86+'CTAS EN PPACION'!C86+'COMEDORES PALMIRA'!C86+IMDERTY!C86</f>
        <v/>
      </c>
      <c r="D86" s="43" t="n"/>
      <c r="E86" s="1045">
        <f>C86/C13</f>
        <v/>
      </c>
      <c r="F86" s="25">
        <f>CALI!F86+HUNGRIA!F86+YUMBO!F86+'ADULTO MAYOR'!F86+'COMEDORES VALLE'!F86+BUGA!F86+'COMEDORES CALI'!F86+'CTAS EN PPACION'!F86+'COMEDORES PALMIRA'!F86+IMDERTY!F86</f>
        <v/>
      </c>
      <c r="G86" s="43" t="n"/>
      <c r="H86" s="1045">
        <f>F86/F13</f>
        <v/>
      </c>
      <c r="I86" s="25">
        <f>CALI!I86+HUNGRIA!I86+YUMBO!I86+'ADULTO MAYOR'!I86+'COMEDORES VALLE'!I86+BUGA!I86+'COMEDORES CALI'!I86+'CTAS EN PPACION'!I86+'COMEDORES PALMIRA'!I86+IMDERTY!I86</f>
        <v/>
      </c>
      <c r="J86" s="43" t="n"/>
      <c r="K86" s="1045">
        <f>I86/I13</f>
        <v/>
      </c>
      <c r="L86" s="25">
        <f>CALI!L86+HUNGRIA!L86+YUMBO!L86+'ADULTO MAYOR'!L86+'COMEDORES VALLE'!L86+BUGA!L86+'COMEDORES CALI'!L86+'CTAS EN PPACION'!L86+'COMEDORES PALMIRA'!L86+IMDERTY!L86</f>
        <v/>
      </c>
      <c r="M86" s="43" t="n"/>
      <c r="N86" s="1045">
        <f>L86/L13</f>
        <v/>
      </c>
      <c r="O86" s="25">
        <f>CALI!O86+HUNGRIA!O86+YUMBO!O86+'ADULTO MAYOR'!O86+'COMEDORES VALLE'!O86+BUGA!O86+'COMEDORES CALI'!O86+'CTAS EN PPACION'!O86+'COMEDORES PALMIRA'!O86+IMDERTY!O86</f>
        <v/>
      </c>
      <c r="P86" s="43" t="n"/>
      <c r="Q86" s="57" t="n"/>
      <c r="R86" s="25">
        <f>CALI!R86+HUNGRIA!R86+YUMBO!R86+'ADULTO MAYOR'!R86+'COMEDORES VALLE'!R86+BUGA!R86+'COMEDORES CALI'!R86+'CTAS EN PPACION'!R86+'COMEDORES PALMIRA'!R86+IMDERTY!R86</f>
        <v/>
      </c>
      <c r="S86" s="43" t="n"/>
      <c r="T86" s="57" t="n"/>
      <c r="U86" s="25">
        <f>CALI!U86+HUNGRIA!U86+YUMBO!U86+'ADULTO MAYOR'!U86+'COMEDORES VALLE'!U86+BUGA!U86+'COMEDORES CALI'!U86+'CTAS EN PPACION'!U86+'COMEDORES PALMIRA'!U86+IMDERTY!U86</f>
        <v/>
      </c>
      <c r="V86" s="43" t="n"/>
      <c r="W86" s="57" t="n"/>
      <c r="X86" s="25">
        <f>CALI!X86+HUNGRIA!X86+YUMBO!X86+'ADULTO MAYOR'!X86+'COMEDORES VALLE'!X86+BUGA!X86+'COMEDORES CALI'!X86+'CTAS EN PPACION'!X86+'COMEDORES PALMIRA'!X86+IMDERTY!X86</f>
        <v/>
      </c>
      <c r="Y86" s="43" t="n"/>
      <c r="Z86" s="57" t="n"/>
      <c r="AA86" s="25">
        <f>CALI!AA86+HUNGRIA!AA86+YUMBO!AA86+'ADULTO MAYOR'!AA86+'COMEDORES VALLE'!AA86+BUGA!AA86+'COMEDORES CALI'!AA86+'CTAS EN PPACION'!AA86+'COMEDORES PALMIRA'!AA86+IMDERTY!AA86</f>
        <v/>
      </c>
      <c r="AB86" s="43" t="n"/>
      <c r="AC86" s="57" t="n"/>
      <c r="AD86" s="25">
        <f>CALI!AD86+HUNGRIA!AD86+YUMBO!AD86+'ADULTO MAYOR'!AD86+'COMEDORES VALLE'!AD86+BUGA!AD86+'COMEDORES CALI'!AD86+'CTAS EN PPACION'!AD86+'COMEDORES PALMIRA'!AD86+IMDERTY!AD86</f>
        <v/>
      </c>
      <c r="AE86" s="43" t="n"/>
      <c r="AF86" s="57" t="n"/>
      <c r="AG86" s="25">
        <f>CALI!AG86+HUNGRIA!AG86+YUMBO!AG86+'ADULTO MAYOR'!AG86+'COMEDORES VALLE'!AG86+BUGA!AG86+'COMEDORES CALI'!AG86+'CTAS EN PPACION'!AG86+'COMEDORES PALMIRA'!AG86+IMDERTY!AG86</f>
        <v/>
      </c>
      <c r="AH86" s="43" t="n"/>
      <c r="AI86" s="57" t="n"/>
      <c r="AJ86" s="25">
        <f>CALI!AJ86+HUNGRIA!AJ86+YUMBO!AJ86+'ADULTO MAYOR'!AJ86+'COMEDORES VALLE'!AJ86+BUGA!AJ86+'COMEDORES CALI'!AJ86+'CTAS EN PPACION'!AJ86+'COMEDORES PALMIRA'!AJ86+IMDERTY!AJ86</f>
        <v/>
      </c>
      <c r="AK86" s="43" t="n"/>
      <c r="AL86" s="57" t="n"/>
      <c r="AM86" s="24">
        <f>C86+F86+I86+L86+O86+R86+U86+X86+AA86+AD86+AG86+AJ86</f>
        <v/>
      </c>
      <c r="AN86" s="195" t="n"/>
      <c r="AO86" s="1045">
        <f>AM86/AM13</f>
        <v/>
      </c>
    </row>
    <row r="87" ht="15" customHeight="1" s="985">
      <c r="A87" s="747" t="n"/>
      <c r="B87" s="97" t="inlineStr">
        <is>
          <t>Gastos Medicos</t>
        </is>
      </c>
      <c r="C87" s="22">
        <f>CALI!C87+HUNGRIA!C87+YUMBO!C87+'ADULTO MAYOR'!C87+'COMEDORES VALLE'!C87+BUGA!C87+'COMEDORES CALI'!C87+'CTAS EN PPACION'!C87+'COMEDORES PALMIRA'!C87+IMDERTY!C87</f>
        <v/>
      </c>
      <c r="D87" s="42" t="n"/>
      <c r="E87" s="1057">
        <f>C87/C$13</f>
        <v/>
      </c>
      <c r="F87" s="22">
        <f>CALI!F87+HUNGRIA!F87+YUMBO!F87+'ADULTO MAYOR'!F87+'COMEDORES VALLE'!F87+BUGA!F87+'COMEDORES CALI'!F87+'CTAS EN PPACION'!F87+'COMEDORES PALMIRA'!F87+IMDERTY!F87</f>
        <v/>
      </c>
      <c r="G87" s="42" t="n"/>
      <c r="H87" s="1057">
        <f>F87/F$13</f>
        <v/>
      </c>
      <c r="I87" s="22">
        <f>CALI!I87+HUNGRIA!I87+YUMBO!I87+'ADULTO MAYOR'!I87+'COMEDORES VALLE'!I87+BUGA!I87+'COMEDORES CALI'!I87+'CTAS EN PPACION'!I87+'COMEDORES PALMIRA'!I87+IMDERTY!I87</f>
        <v/>
      </c>
      <c r="J87" s="42" t="n"/>
      <c r="K87" s="1057">
        <f>I87/I$13</f>
        <v/>
      </c>
      <c r="L87" s="22">
        <f>CALI!L87+HUNGRIA!L87+YUMBO!L87+'ADULTO MAYOR'!L87+'COMEDORES VALLE'!L87+BUGA!L87+'COMEDORES CALI'!L87+'CTAS EN PPACION'!L87+'COMEDORES PALMIRA'!L87+IMDERTY!L87</f>
        <v/>
      </c>
      <c r="M87" s="42" t="n"/>
      <c r="N87" s="1057">
        <f>L87/L$13</f>
        <v/>
      </c>
      <c r="O87" s="22">
        <f>CALI!O87+HUNGRIA!O87+YUMBO!O87+'ADULTO MAYOR'!O87+'COMEDORES VALLE'!O87+BUGA!O87+'COMEDORES CALI'!O87+'CTAS EN PPACION'!O87+'COMEDORES PALMIRA'!O87+IMDERTY!O87</f>
        <v/>
      </c>
      <c r="P87" s="42" t="n"/>
      <c r="Q87" s="56" t="n"/>
      <c r="R87" s="22">
        <f>CALI!R87+HUNGRIA!R87+YUMBO!R87+'ADULTO MAYOR'!R87+'COMEDORES VALLE'!R87+BUGA!R87+'COMEDORES CALI'!R87+'CTAS EN PPACION'!R87+'COMEDORES PALMIRA'!R87+IMDERTY!R87</f>
        <v/>
      </c>
      <c r="S87" s="42" t="n"/>
      <c r="T87" s="56" t="n"/>
      <c r="U87" s="22">
        <f>CALI!U87+HUNGRIA!U87+YUMBO!U87+'ADULTO MAYOR'!U87+'COMEDORES VALLE'!U87+BUGA!U87+'COMEDORES CALI'!U87+'CTAS EN PPACION'!U87+'COMEDORES PALMIRA'!U87+IMDERTY!U87</f>
        <v/>
      </c>
      <c r="V87" s="42" t="n"/>
      <c r="W87" s="56" t="n"/>
      <c r="X87" s="22">
        <f>CALI!X87+HUNGRIA!X87+YUMBO!X87+'ADULTO MAYOR'!X87+'COMEDORES VALLE'!X87+BUGA!X87+'COMEDORES CALI'!X87+'CTAS EN PPACION'!X87+'COMEDORES PALMIRA'!X87+IMDERTY!X87</f>
        <v/>
      </c>
      <c r="Y87" s="42" t="n"/>
      <c r="Z87" s="56" t="n"/>
      <c r="AA87" s="22">
        <f>CALI!AA87+HUNGRIA!AA87+YUMBO!AA87+'ADULTO MAYOR'!AA87+'COMEDORES VALLE'!AA87+BUGA!AA87+'COMEDORES CALI'!AA87+'CTAS EN PPACION'!AA87+'COMEDORES PALMIRA'!AA87+IMDERTY!AA87</f>
        <v/>
      </c>
      <c r="AB87" s="42" t="n"/>
      <c r="AC87" s="56" t="n"/>
      <c r="AD87" s="22">
        <f>CALI!AD87+HUNGRIA!AD87+YUMBO!AD87+'ADULTO MAYOR'!AD87+'COMEDORES VALLE'!AD87+BUGA!AD87+'COMEDORES CALI'!AD87+'CTAS EN PPACION'!AD87+'COMEDORES PALMIRA'!AD87+IMDERTY!AD87</f>
        <v/>
      </c>
      <c r="AE87" s="42" t="n"/>
      <c r="AF87" s="56" t="n"/>
      <c r="AG87" s="22">
        <f>CALI!AG87+HUNGRIA!AG87+YUMBO!AG87+'ADULTO MAYOR'!AG87+'COMEDORES VALLE'!AG87+BUGA!AG87+'COMEDORES CALI'!AG87+'CTAS EN PPACION'!AG87+'COMEDORES PALMIRA'!AG87+IMDERTY!AG87</f>
        <v/>
      </c>
      <c r="AH87" s="42" t="n"/>
      <c r="AI87" s="56" t="n"/>
      <c r="AJ87" s="22">
        <f>CALI!AJ87+HUNGRIA!AJ87+YUMBO!AJ87+'ADULTO MAYOR'!AJ87+'COMEDORES VALLE'!AJ87+BUGA!AJ87+'COMEDORES CALI'!AJ87+'CTAS EN PPACION'!AJ87+'COMEDORES PALMIRA'!AJ87+IMDERTY!AJ87</f>
        <v/>
      </c>
      <c r="AK87" s="42" t="n"/>
      <c r="AL87" s="56" t="n"/>
      <c r="AM87" s="24">
        <f>C87+F87+I87+L87+O87+R87+U87+X87+AA87+AD87+AG87+AJ87</f>
        <v/>
      </c>
      <c r="AN87" s="194" t="n"/>
      <c r="AO87" s="1057">
        <f>AM87/AM$13</f>
        <v/>
      </c>
    </row>
    <row r="88" ht="15" customHeight="1" s="985">
      <c r="A88" s="747" t="n"/>
      <c r="B88" s="206" t="inlineStr">
        <is>
          <t>Incapacidades</t>
        </is>
      </c>
      <c r="C88" s="83">
        <f>CALI!C88+HUNGRIA!C88+YUMBO!C88+'ADULTO MAYOR'!C88+'COMEDORES VALLE'!C88+BUGA!C88+'COMEDORES CALI'!C88+'CTAS EN PPACION'!C88+'COMEDORES PALMIRA'!C88+IMDERTY!C88</f>
        <v/>
      </c>
      <c r="D88" s="84" t="n"/>
      <c r="E88" s="85" t="n"/>
      <c r="F88" s="83">
        <f>CALI!F88+HUNGRIA!F88+YUMBO!F88+'ADULTO MAYOR'!F88+'COMEDORES VALLE'!F88+BUGA!F88+'COMEDORES CALI'!F88+'CTAS EN PPACION'!F88+'COMEDORES PALMIRA'!F88+IMDERTY!F88</f>
        <v/>
      </c>
      <c r="G88" s="84" t="n"/>
      <c r="H88" s="85" t="n"/>
      <c r="I88" s="83">
        <f>CALI!I88+HUNGRIA!I88+YUMBO!I88+'ADULTO MAYOR'!I88+'COMEDORES VALLE'!I88+BUGA!I88+'COMEDORES CALI'!I88+'CTAS EN PPACION'!I88+'COMEDORES PALMIRA'!I88+IMDERTY!I88</f>
        <v/>
      </c>
      <c r="J88" s="84" t="n"/>
      <c r="K88" s="85" t="n"/>
      <c r="L88" s="83">
        <f>CALI!L88+HUNGRIA!L88+YUMBO!L88+'ADULTO MAYOR'!L88+'COMEDORES VALLE'!L88+BUGA!L88+'COMEDORES CALI'!L88+'CTAS EN PPACION'!L88+'COMEDORES PALMIRA'!L88+IMDERTY!L88</f>
        <v/>
      </c>
      <c r="M88" s="84" t="n"/>
      <c r="N88" s="85" t="n"/>
      <c r="O88" s="83">
        <f>CALI!O88+HUNGRIA!O88+YUMBO!O88+'ADULTO MAYOR'!O88+'COMEDORES VALLE'!O88+BUGA!O88+'COMEDORES CALI'!O88+'CTAS EN PPACION'!O88+'COMEDORES PALMIRA'!O88+IMDERTY!O88</f>
        <v/>
      </c>
      <c r="P88" s="84" t="n"/>
      <c r="Q88" s="85" t="n"/>
      <c r="R88" s="83">
        <f>CALI!R88+HUNGRIA!R88+YUMBO!R88+'ADULTO MAYOR'!R88+'COMEDORES VALLE'!R88+BUGA!R88+'COMEDORES CALI'!R88+'CTAS EN PPACION'!R88+'COMEDORES PALMIRA'!R88+IMDERTY!R88</f>
        <v/>
      </c>
      <c r="S88" s="84" t="n"/>
      <c r="T88" s="85" t="n"/>
      <c r="U88" s="83">
        <f>CALI!U88+HUNGRIA!U88+YUMBO!U88+'ADULTO MAYOR'!U88+'COMEDORES VALLE'!U88+BUGA!U88+'COMEDORES CALI'!U88+'CTAS EN PPACION'!U88+'COMEDORES PALMIRA'!U88+IMDERTY!U88</f>
        <v/>
      </c>
      <c r="V88" s="84" t="n"/>
      <c r="W88" s="85" t="n"/>
      <c r="X88" s="83">
        <f>CALI!X88+HUNGRIA!X88+YUMBO!X88+'ADULTO MAYOR'!X88+'COMEDORES VALLE'!X88+BUGA!X88+'COMEDORES CALI'!X88+'CTAS EN PPACION'!X88+'COMEDORES PALMIRA'!X88+IMDERTY!X88</f>
        <v/>
      </c>
      <c r="Y88" s="84" t="n"/>
      <c r="Z88" s="85" t="n"/>
      <c r="AA88" s="83">
        <f>CALI!AA88+HUNGRIA!AA88+YUMBO!AA88+'ADULTO MAYOR'!AA88+'COMEDORES VALLE'!AA88+BUGA!AA88+'COMEDORES CALI'!AA88+'CTAS EN PPACION'!AA88+'COMEDORES PALMIRA'!AA88+IMDERTY!AA88</f>
        <v/>
      </c>
      <c r="AB88" s="84" t="n"/>
      <c r="AC88" s="85" t="n"/>
      <c r="AD88" s="83">
        <f>CALI!AD88+HUNGRIA!AD88+YUMBO!AD88+'ADULTO MAYOR'!AD88+'COMEDORES VALLE'!AD88+BUGA!AD88+'COMEDORES CALI'!AD88+'CTAS EN PPACION'!AD88+'COMEDORES PALMIRA'!AD88+IMDERTY!AD88</f>
        <v/>
      </c>
      <c r="AE88" s="84" t="n"/>
      <c r="AF88" s="85" t="n"/>
      <c r="AG88" s="83">
        <f>CALI!AG88+HUNGRIA!AG88+YUMBO!AG88+'ADULTO MAYOR'!AG88+'COMEDORES VALLE'!AG88+BUGA!AG88+'COMEDORES CALI'!AG88+'CTAS EN PPACION'!AG88+'COMEDORES PALMIRA'!AG88+IMDERTY!AG88</f>
        <v/>
      </c>
      <c r="AH88" s="84" t="n"/>
      <c r="AI88" s="85" t="n"/>
      <c r="AJ88" s="83">
        <f>CALI!AJ88+HUNGRIA!AJ88+YUMBO!AJ88+'ADULTO MAYOR'!AJ88+'COMEDORES VALLE'!AJ88+BUGA!AJ88+'COMEDORES CALI'!AJ88+'CTAS EN PPACION'!AJ88+'COMEDORES PALMIRA'!AJ88+IMDERTY!AJ88</f>
        <v/>
      </c>
      <c r="AK88" s="84" t="n"/>
      <c r="AL88" s="85" t="n"/>
      <c r="AM88" s="349">
        <f>C88+F88+I88+L88+O88+R88+U88+X88+AA88+AD88+AG88+AJ88</f>
        <v/>
      </c>
      <c r="AN88" s="350" t="n"/>
      <c r="AO88" s="85" t="n"/>
    </row>
    <row r="89" ht="15" customHeight="1" s="985">
      <c r="B89" s="16" t="inlineStr">
        <is>
          <t>HONORARIOS</t>
        </is>
      </c>
      <c r="C89" s="49">
        <f>SUM(C90:C91)</f>
        <v/>
      </c>
      <c r="D89" s="3" t="n"/>
      <c r="E89" s="61" t="n"/>
      <c r="F89" s="49">
        <f>SUM(F90:F91)</f>
        <v/>
      </c>
      <c r="G89" s="3" t="n"/>
      <c r="H89" s="61">
        <f>F89/F$13</f>
        <v/>
      </c>
      <c r="I89" s="49">
        <f>SUM(I90:I91)</f>
        <v/>
      </c>
      <c r="J89" s="3" t="n"/>
      <c r="K89" s="61">
        <f>I89/I$13</f>
        <v/>
      </c>
      <c r="L89" s="49">
        <f>SUM(L90:L91)</f>
        <v/>
      </c>
      <c r="M89" s="3" t="n"/>
      <c r="N89" s="61">
        <f>L89/L$13</f>
        <v/>
      </c>
      <c r="O89" s="49">
        <f>SUM(O90:O91)</f>
        <v/>
      </c>
      <c r="P89" s="3" t="n"/>
      <c r="Q89" s="61">
        <f>O89/O$13</f>
        <v/>
      </c>
      <c r="R89" s="90">
        <f>SUM(R90:R91)</f>
        <v/>
      </c>
      <c r="S89" s="3" t="n"/>
      <c r="T89" s="61">
        <f>R89/R$13</f>
        <v/>
      </c>
      <c r="U89" s="49">
        <f>SUM(U90:U91)</f>
        <v/>
      </c>
      <c r="V89" s="3" t="n"/>
      <c r="W89" s="61">
        <f>U89/U$13</f>
        <v/>
      </c>
      <c r="X89" s="49">
        <f>SUM(X90:X91)</f>
        <v/>
      </c>
      <c r="Y89" s="3" t="n"/>
      <c r="Z89" s="61">
        <f>X89/X$13</f>
        <v/>
      </c>
      <c r="AA89" s="49">
        <f>SUM(AA90:AA91)</f>
        <v/>
      </c>
      <c r="AB89" s="3" t="n"/>
      <c r="AC89" s="61">
        <f>AA89/AA$13</f>
        <v/>
      </c>
      <c r="AD89" s="49">
        <f>SUM(AD90:AD91)</f>
        <v/>
      </c>
      <c r="AE89" s="3" t="n"/>
      <c r="AF89" s="61">
        <f>AD89/AD$13</f>
        <v/>
      </c>
      <c r="AG89" s="49">
        <f>SUM(AG90:AG91)</f>
        <v/>
      </c>
      <c r="AH89" s="3" t="n"/>
      <c r="AI89" s="61">
        <f>AG89/AG$13</f>
        <v/>
      </c>
      <c r="AJ89" s="49">
        <f>SUM(AJ90:AJ91)</f>
        <v/>
      </c>
      <c r="AK89" s="3" t="n"/>
      <c r="AL89" s="61" t="n"/>
      <c r="AM89" s="17">
        <f>C89+F89+I89+L89+O89+R89+U89+X89+AA89+AD89+AG89+AJ89</f>
        <v/>
      </c>
      <c r="AN89" s="197" t="n"/>
      <c r="AO89" s="1237">
        <f>AM89/(AM$13)</f>
        <v/>
      </c>
    </row>
    <row r="90" outlineLevel="1" ht="15" customHeight="1" s="985">
      <c r="B90" s="39" t="inlineStr">
        <is>
          <t>Asesoría Juridica</t>
        </is>
      </c>
      <c r="C90" s="39">
        <f>CALI!C90+HUNGRIA!C90+YUMBO!C90+'ADULTO MAYOR'!C90+'COMEDORES VALLE'!C90+BUGA!C90+'COMEDORES CALI'!C90+'CTAS EN PPACION'!C90+'COMEDORES PALMIRA'!C90+IMDERTY!C90</f>
        <v/>
      </c>
      <c r="D90" s="69" t="n"/>
      <c r="E90" s="70" t="n"/>
      <c r="F90" s="39">
        <f>CALI!F90+HUNGRIA!F90+YUMBO!F90+'ADULTO MAYOR'!F90+'COMEDORES VALLE'!F90+BUGA!F90+'COMEDORES CALI'!F90+'CTAS EN PPACION'!F90+'COMEDORES PALMIRA'!F90+IMDERTY!F90</f>
        <v/>
      </c>
      <c r="G90" s="69" t="n"/>
      <c r="H90" s="70" t="n"/>
      <c r="I90" s="39">
        <f>CALI!I90+HUNGRIA!I90+YUMBO!I90+'ADULTO MAYOR'!I90+'COMEDORES VALLE'!I90+BUGA!I90+'COMEDORES CALI'!I90+'CTAS EN PPACION'!I90+'COMEDORES PALMIRA'!I90+IMDERTY!I90</f>
        <v/>
      </c>
      <c r="J90" s="69" t="n"/>
      <c r="K90" s="70" t="n"/>
      <c r="L90" s="39">
        <f>CALI!L90+HUNGRIA!L90+YUMBO!L90+'ADULTO MAYOR'!L90+'COMEDORES VALLE'!L90+BUGA!L90+'COMEDORES CALI'!L90+'CTAS EN PPACION'!L90+'COMEDORES PALMIRA'!L90+IMDERTY!L90</f>
        <v/>
      </c>
      <c r="M90" s="69" t="n"/>
      <c r="N90" s="70" t="n"/>
      <c r="O90" s="39">
        <f>CALI!O90+HUNGRIA!O90+YUMBO!O90+'ADULTO MAYOR'!O90+'COMEDORES VALLE'!O90+BUGA!O90+'COMEDORES CALI'!O90+'CTAS EN PPACION'!O90+'COMEDORES PALMIRA'!O90+IMDERTY!O90</f>
        <v/>
      </c>
      <c r="P90" s="69" t="n"/>
      <c r="Q90" s="70" t="n"/>
      <c r="R90" s="39">
        <f>CALI!R90+HUNGRIA!R90+YUMBO!R90+'ADULTO MAYOR'!R90+'COMEDORES VALLE'!R90+BUGA!R90+'COMEDORES CALI'!R90+'CTAS EN PPACION'!R90+'COMEDORES PALMIRA'!R90+IMDERTY!R90</f>
        <v/>
      </c>
      <c r="S90" s="69" t="n"/>
      <c r="T90" s="70" t="n"/>
      <c r="U90" s="39">
        <f>CALI!U90+HUNGRIA!U90+YUMBO!U90+'ADULTO MAYOR'!U90+'COMEDORES VALLE'!U90+BUGA!U90+'COMEDORES CALI'!U90+'CTAS EN PPACION'!U90+'COMEDORES PALMIRA'!U90+IMDERTY!U90</f>
        <v/>
      </c>
      <c r="V90" s="69" t="n"/>
      <c r="W90" s="70" t="n"/>
      <c r="X90" s="39">
        <f>CALI!X90+HUNGRIA!X90+YUMBO!X90+'ADULTO MAYOR'!X90+'COMEDORES VALLE'!X90+BUGA!X90+'COMEDORES CALI'!X90+'CTAS EN PPACION'!X90+'COMEDORES PALMIRA'!X90+IMDERTY!X90</f>
        <v/>
      </c>
      <c r="Y90" s="69" t="n"/>
      <c r="Z90" s="70" t="n"/>
      <c r="AA90" s="39">
        <f>CALI!AA90+HUNGRIA!AA90+YUMBO!AA90+'ADULTO MAYOR'!AA90+'COMEDORES VALLE'!AA90+BUGA!AA90+'COMEDORES CALI'!AA90+'CTAS EN PPACION'!AA90+'COMEDORES PALMIRA'!AA90+IMDERTY!AA90</f>
        <v/>
      </c>
      <c r="AB90" s="69" t="n"/>
      <c r="AC90" s="70" t="n"/>
      <c r="AD90" s="39">
        <f>CALI!AD90+HUNGRIA!AD90+YUMBO!AD90+'ADULTO MAYOR'!AD90+'COMEDORES VALLE'!AD90+BUGA!AD90+'COMEDORES CALI'!AD90+'CTAS EN PPACION'!AD90+'COMEDORES PALMIRA'!AD90+IMDERTY!AD90</f>
        <v/>
      </c>
      <c r="AE90" s="69" t="n"/>
      <c r="AF90" s="70" t="n"/>
      <c r="AG90" s="39">
        <f>CALI!AG90+HUNGRIA!AG90+YUMBO!AG90+'ADULTO MAYOR'!AG90+'COMEDORES VALLE'!AG90+BUGA!AG90+'COMEDORES CALI'!AG90+'CTAS EN PPACION'!AG90+'COMEDORES PALMIRA'!AG90+IMDERTY!AG90</f>
        <v/>
      </c>
      <c r="AH90" s="69" t="n"/>
      <c r="AI90" s="70" t="n"/>
      <c r="AJ90" s="39">
        <f>CALI!AJ90+HUNGRIA!AJ90+YUMBO!AJ90+'ADULTO MAYOR'!AJ90+'COMEDORES VALLE'!AJ90+BUGA!AJ90+'COMEDORES CALI'!AJ90+'CTAS EN PPACION'!AJ90+'COMEDORES PALMIRA'!AJ90+IMDERTY!AJ90</f>
        <v/>
      </c>
      <c r="AK90" s="69" t="n"/>
      <c r="AL90" s="70" t="n"/>
      <c r="AM90" s="31">
        <f>C90+F90+I90+L90+O90+R90+U90+X90+AA90+AD90+AG90+AJ90</f>
        <v/>
      </c>
      <c r="AN90" s="201" t="n"/>
      <c r="AO90" s="70" t="n"/>
    </row>
    <row r="91" outlineLevel="1" ht="15" customHeight="1" s="985">
      <c r="B91" s="83" t="inlineStr">
        <is>
          <t>Asesoría Tecnica</t>
        </is>
      </c>
      <c r="C91" s="83">
        <f>CALI!C91+HUNGRIA!C91+YUMBO!C91+'ADULTO MAYOR'!C91+'COMEDORES VALLE'!C91+BUGA!C91+'COMEDORES CALI'!C91+'CTAS EN PPACION'!C91+'COMEDORES PALMIRA'!C91+IMDERTY!C91</f>
        <v/>
      </c>
      <c r="D91" s="84" t="n"/>
      <c r="E91" s="85" t="n"/>
      <c r="F91" s="83">
        <f>CALI!F91+HUNGRIA!F91+YUMBO!F91+'ADULTO MAYOR'!F91+'COMEDORES VALLE'!F91+BUGA!F91+'COMEDORES CALI'!F91+'CTAS EN PPACION'!F91+'COMEDORES PALMIRA'!F91+IMDERTY!F91</f>
        <v/>
      </c>
      <c r="G91" s="84" t="n"/>
      <c r="H91" s="85" t="n"/>
      <c r="I91" s="83">
        <f>CALI!I91+HUNGRIA!I91+YUMBO!I91+'ADULTO MAYOR'!I91+'COMEDORES VALLE'!I91+BUGA!I91+'COMEDORES CALI'!I91+'CTAS EN PPACION'!I91+'COMEDORES PALMIRA'!I91+IMDERTY!I91</f>
        <v/>
      </c>
      <c r="J91" s="84" t="n"/>
      <c r="K91" s="85" t="n"/>
      <c r="L91" s="83">
        <f>CALI!L91+HUNGRIA!L91+YUMBO!L91+'ADULTO MAYOR'!L91+'COMEDORES VALLE'!L91+BUGA!L91+'COMEDORES CALI'!L91+'CTAS EN PPACION'!L91+'COMEDORES PALMIRA'!L91+IMDERTY!L91</f>
        <v/>
      </c>
      <c r="M91" s="84" t="n"/>
      <c r="N91" s="85" t="n"/>
      <c r="O91" s="83">
        <f>CALI!O91+HUNGRIA!O91+YUMBO!O91+'ADULTO MAYOR'!O91+'COMEDORES VALLE'!O91+BUGA!O91+'COMEDORES CALI'!O91+'CTAS EN PPACION'!O91+'COMEDORES PALMIRA'!O91+IMDERTY!O91</f>
        <v/>
      </c>
      <c r="P91" s="84" t="n"/>
      <c r="Q91" s="85" t="n"/>
      <c r="R91" s="83">
        <f>CALI!R91+HUNGRIA!R91+YUMBO!R91+'ADULTO MAYOR'!R91+'COMEDORES VALLE'!R91+BUGA!R91+'COMEDORES CALI'!R91+'CTAS EN PPACION'!R91+'COMEDORES PALMIRA'!R91+IMDERTY!R91</f>
        <v/>
      </c>
      <c r="S91" s="84" t="n"/>
      <c r="T91" s="85" t="n"/>
      <c r="U91" s="83">
        <f>CALI!U91+HUNGRIA!U91+YUMBO!U91+'ADULTO MAYOR'!U91+'COMEDORES VALLE'!U91+BUGA!U91+'COMEDORES CALI'!U91+'CTAS EN PPACION'!U91+'COMEDORES PALMIRA'!U91+IMDERTY!U91</f>
        <v/>
      </c>
      <c r="V91" s="84" t="n"/>
      <c r="W91" s="85" t="n"/>
      <c r="X91" s="83">
        <f>CALI!X91+HUNGRIA!X91+YUMBO!X91+'ADULTO MAYOR'!X91+'COMEDORES VALLE'!X91+BUGA!X91+'COMEDORES CALI'!X91+'CTAS EN PPACION'!X91+'COMEDORES PALMIRA'!X91+IMDERTY!X91</f>
        <v/>
      </c>
      <c r="Y91" s="84" t="n"/>
      <c r="Z91" s="85" t="n"/>
      <c r="AA91" s="83">
        <f>CALI!AA91+HUNGRIA!AA91+YUMBO!AA91+'ADULTO MAYOR'!AA91+'COMEDORES VALLE'!AA91+BUGA!AA91+'COMEDORES CALI'!AA91+'CTAS EN PPACION'!AA91+'COMEDORES PALMIRA'!AA91+IMDERTY!AA91</f>
        <v/>
      </c>
      <c r="AB91" s="84" t="n"/>
      <c r="AC91" s="85" t="n"/>
      <c r="AD91" s="83">
        <f>CALI!AD91+HUNGRIA!AD91+YUMBO!AD91+'ADULTO MAYOR'!AD91+'COMEDORES VALLE'!AD91+BUGA!AD91+'COMEDORES CALI'!AD91+'CTAS EN PPACION'!AD91+'COMEDORES PALMIRA'!AD91+IMDERTY!AD91</f>
        <v/>
      </c>
      <c r="AE91" s="84" t="n"/>
      <c r="AF91" s="85" t="n"/>
      <c r="AG91" s="83">
        <f>CALI!AG91+HUNGRIA!AG91+YUMBO!AG91+'ADULTO MAYOR'!AG91+'COMEDORES VALLE'!AG91+BUGA!AG91+'COMEDORES CALI'!AG91+'CTAS EN PPACION'!AG91+'COMEDORES PALMIRA'!AG91+IMDERTY!AG91</f>
        <v/>
      </c>
      <c r="AH91" s="84" t="n"/>
      <c r="AI91" s="85" t="n"/>
      <c r="AJ91" s="83">
        <f>CALI!AJ91+HUNGRIA!AJ91+YUMBO!AJ91+'ADULTO MAYOR'!AJ91+'COMEDORES VALLE'!AJ91+BUGA!AJ91+'COMEDORES CALI'!AJ91+'CTAS EN PPACION'!AJ91+'COMEDORES PALMIRA'!AJ91+IMDERTY!AJ91</f>
        <v/>
      </c>
      <c r="AK91" s="84" t="n"/>
      <c r="AL91" s="85" t="n"/>
      <c r="AM91" s="349">
        <f>C91+F91+I91+L91+O91+R91+U91+X91+AA91+AD91+AG91+AJ91</f>
        <v/>
      </c>
      <c r="AN91" s="350" t="n"/>
      <c r="AO91" s="85" t="n"/>
    </row>
    <row r="92" ht="15" customHeight="1" s="985">
      <c r="B92" s="16" t="inlineStr">
        <is>
          <t>ARRENDAMIENTOS</t>
        </is>
      </c>
      <c r="C92" s="49">
        <f>SUM(C93:C95)</f>
        <v/>
      </c>
      <c r="D92" s="3" t="n"/>
      <c r="E92" s="1053">
        <f>C92/C$13</f>
        <v/>
      </c>
      <c r="F92" s="49">
        <f>SUM(F93:F95)</f>
        <v/>
      </c>
      <c r="G92" s="3" t="n"/>
      <c r="H92" s="61">
        <f>F92/F$13</f>
        <v/>
      </c>
      <c r="I92" s="49">
        <f>SUM(I93:I95)</f>
        <v/>
      </c>
      <c r="J92" s="3" t="n"/>
      <c r="K92" s="61">
        <f>I92/I$13</f>
        <v/>
      </c>
      <c r="L92" s="49">
        <f>SUM(L93:L95)</f>
        <v/>
      </c>
      <c r="M92" s="3" t="n"/>
      <c r="N92" s="61">
        <f>L92/L$13</f>
        <v/>
      </c>
      <c r="O92" s="49">
        <f>SUM(O93:O95)</f>
        <v/>
      </c>
      <c r="P92" s="3" t="n"/>
      <c r="Q92" s="61">
        <f>O92/O$13</f>
        <v/>
      </c>
      <c r="R92" s="90">
        <f>SUM(R93:R95)</f>
        <v/>
      </c>
      <c r="S92" s="3" t="n"/>
      <c r="T92" s="61">
        <f>R92/R$13</f>
        <v/>
      </c>
      <c r="U92" s="49">
        <f>SUM(U93:U95)</f>
        <v/>
      </c>
      <c r="V92" s="3" t="n"/>
      <c r="W92" s="61">
        <f>U92/U$13</f>
        <v/>
      </c>
      <c r="X92" s="49">
        <f>SUM(X93:X95)</f>
        <v/>
      </c>
      <c r="Y92" s="3" t="n"/>
      <c r="Z92" s="61">
        <f>X92/X$13</f>
        <v/>
      </c>
      <c r="AA92" s="49">
        <f>SUM(AA93:AA95)</f>
        <v/>
      </c>
      <c r="AB92" s="3" t="n"/>
      <c r="AC92" s="61">
        <f>AA92/AA$13</f>
        <v/>
      </c>
      <c r="AD92" s="49">
        <f>SUM(AD93:AD95)</f>
        <v/>
      </c>
      <c r="AE92" s="3" t="n"/>
      <c r="AF92" s="61">
        <f>AD92/AD$13</f>
        <v/>
      </c>
      <c r="AG92" s="49">
        <f>SUM(AG93:AG95)</f>
        <v/>
      </c>
      <c r="AH92" s="3" t="n"/>
      <c r="AI92" s="61">
        <f>AG92/AG$13</f>
        <v/>
      </c>
      <c r="AJ92" s="49">
        <f>SUM(AJ93:AJ95)</f>
        <v/>
      </c>
      <c r="AK92" s="3" t="n"/>
      <c r="AL92" s="61" t="n"/>
      <c r="AM92" s="17">
        <f>C92+F92+I92+L92+O92+R92+U92+X92+AA92+AD92+AG92+AJ92</f>
        <v/>
      </c>
      <c r="AN92" s="197" t="n"/>
      <c r="AO92" s="1237">
        <f>AM92/(AM$13)</f>
        <v/>
      </c>
    </row>
    <row r="93" outlineLevel="1" ht="15" customHeight="1" s="985">
      <c r="B93" s="39" t="inlineStr">
        <is>
          <t>Construcciones y Edificaciones</t>
        </is>
      </c>
      <c r="C93" s="39">
        <f>CALI!C93+HUNGRIA!C93+YUMBO!C93+'ADULTO MAYOR'!C93+'COMEDORES VALLE'!C93+BUGA!C93+'COMEDORES CALI'!C93+'CTAS EN PPACION'!C93+'COMEDORES PALMIRA'!C93+IMDERTY!C93</f>
        <v/>
      </c>
      <c r="D93" s="69" t="n"/>
      <c r="E93" s="70" t="n"/>
      <c r="F93" s="39">
        <f>CALI!F93+HUNGRIA!F93+YUMBO!F93+'ADULTO MAYOR'!F93+'COMEDORES VALLE'!F93+BUGA!F93+'COMEDORES CALI'!F93+'CTAS EN PPACION'!F93+'COMEDORES PALMIRA'!F93+IMDERTY!F93</f>
        <v/>
      </c>
      <c r="G93" s="69" t="n"/>
      <c r="H93" s="70" t="n"/>
      <c r="I93" s="39">
        <f>CALI!I93+HUNGRIA!I93+YUMBO!I93+'ADULTO MAYOR'!I93+'COMEDORES VALLE'!I93+BUGA!I93+'COMEDORES CALI'!I93+'CTAS EN PPACION'!I93+'COMEDORES PALMIRA'!I93+IMDERTY!I93</f>
        <v/>
      </c>
      <c r="J93" s="69" t="n"/>
      <c r="K93" s="70" t="n"/>
      <c r="L93" s="39">
        <f>CALI!L93+HUNGRIA!L93+YUMBO!L93+'ADULTO MAYOR'!L93+'COMEDORES VALLE'!L93+BUGA!L93+'COMEDORES CALI'!L93+'CTAS EN PPACION'!L93+'COMEDORES PALMIRA'!L93+IMDERTY!L93</f>
        <v/>
      </c>
      <c r="M93" s="69" t="n"/>
      <c r="N93" s="70" t="n"/>
      <c r="O93" s="39">
        <f>CALI!O93+HUNGRIA!O93+YUMBO!O93+'ADULTO MAYOR'!O93+'COMEDORES VALLE'!O93+BUGA!O93+'COMEDORES CALI'!O93+'CTAS EN PPACION'!O93+'COMEDORES PALMIRA'!O93+IMDERTY!O93</f>
        <v/>
      </c>
      <c r="P93" s="69" t="n"/>
      <c r="Q93" s="70" t="n"/>
      <c r="R93" s="39">
        <f>CALI!R93+HUNGRIA!R93+YUMBO!R93+'ADULTO MAYOR'!R93+'COMEDORES VALLE'!R93+BUGA!R93+'COMEDORES CALI'!R93+'CTAS EN PPACION'!R93+'COMEDORES PALMIRA'!R93+IMDERTY!R93</f>
        <v/>
      </c>
      <c r="S93" s="69" t="n"/>
      <c r="T93" s="70" t="n"/>
      <c r="U93" s="39">
        <f>CALI!U93+HUNGRIA!U93+YUMBO!U93+'ADULTO MAYOR'!U93+'COMEDORES VALLE'!U93+BUGA!U93+'COMEDORES CALI'!U93+'CTAS EN PPACION'!U93+'COMEDORES PALMIRA'!U93+IMDERTY!U93</f>
        <v/>
      </c>
      <c r="V93" s="69" t="n"/>
      <c r="W93" s="70" t="n"/>
      <c r="X93" s="39">
        <f>CALI!X93+HUNGRIA!X93+YUMBO!X93+'ADULTO MAYOR'!X93+'COMEDORES VALLE'!X93+BUGA!X93+'COMEDORES CALI'!X93+'CTAS EN PPACION'!X93+'COMEDORES PALMIRA'!X93+IMDERTY!X93</f>
        <v/>
      </c>
      <c r="Y93" s="69" t="n"/>
      <c r="Z93" s="70" t="n"/>
      <c r="AA93" s="39">
        <f>CALI!AA93+HUNGRIA!AA93+YUMBO!AA93+'ADULTO MAYOR'!AA93+'COMEDORES VALLE'!AA93+BUGA!AA93+'COMEDORES CALI'!AA93+'CTAS EN PPACION'!AA93+'COMEDORES PALMIRA'!AA93+IMDERTY!AA93</f>
        <v/>
      </c>
      <c r="AB93" s="69" t="n"/>
      <c r="AC93" s="70" t="n"/>
      <c r="AD93" s="39">
        <f>CALI!AD93+HUNGRIA!AD93+YUMBO!AD93+'ADULTO MAYOR'!AD93+'COMEDORES VALLE'!AD93+BUGA!AD93+'COMEDORES CALI'!AD93+'CTAS EN PPACION'!AD93+'COMEDORES PALMIRA'!AD93+IMDERTY!AD93</f>
        <v/>
      </c>
      <c r="AE93" s="69" t="n"/>
      <c r="AF93" s="70" t="n"/>
      <c r="AG93" s="39">
        <f>CALI!AG93+HUNGRIA!AG93+YUMBO!AG93+'ADULTO MAYOR'!AG93+'COMEDORES VALLE'!AG93+BUGA!AG93+'COMEDORES CALI'!AG93+'CTAS EN PPACION'!AG93+'COMEDORES PALMIRA'!AG93+IMDERTY!AG93</f>
        <v/>
      </c>
      <c r="AH93" s="69" t="n"/>
      <c r="AI93" s="70" t="n"/>
      <c r="AJ93" s="39">
        <f>CALI!AJ93+HUNGRIA!AJ93+YUMBO!AJ93+'ADULTO MAYOR'!AJ93+'COMEDORES VALLE'!AJ93+BUGA!AJ93+'COMEDORES CALI'!AJ93+'CTAS EN PPACION'!AJ93+'COMEDORES PALMIRA'!AJ93+IMDERTY!AJ93</f>
        <v/>
      </c>
      <c r="AK93" s="69" t="n"/>
      <c r="AL93" s="70" t="n"/>
      <c r="AM93" s="31">
        <f>C93+F93+I93+L93+O93+R93+U93+X93+AA93+AD93+AG93+AJ93</f>
        <v/>
      </c>
      <c r="AN93" s="201" t="n"/>
      <c r="AO93" s="70" t="n"/>
    </row>
    <row r="94" outlineLevel="1" ht="15" customHeight="1" s="985">
      <c r="B94" s="25" t="inlineStr">
        <is>
          <t>Maquinaria y Equipo</t>
        </is>
      </c>
      <c r="C94" s="25">
        <f>CALI!C94+HUNGRIA!C94+YUMBO!C94+'ADULTO MAYOR'!C94+'COMEDORES VALLE'!C94+BUGA!C94+'COMEDORES CALI'!C94+'CTAS EN PPACION'!C94+'COMEDORES PALMIRA'!C94+IMDERTY!C94</f>
        <v/>
      </c>
      <c r="D94" s="43" t="n"/>
      <c r="E94" s="57" t="n"/>
      <c r="F94" s="25">
        <f>CALI!F94+HUNGRIA!F94+YUMBO!F94+'ADULTO MAYOR'!F94+'COMEDORES VALLE'!F94+BUGA!F94+'COMEDORES CALI'!F94+'CTAS EN PPACION'!F94+'COMEDORES PALMIRA'!F94+IMDERTY!F94</f>
        <v/>
      </c>
      <c r="G94" s="43" t="n"/>
      <c r="H94" s="57" t="n"/>
      <c r="I94" s="25">
        <f>CALI!I94+HUNGRIA!I94+YUMBO!I94+'ADULTO MAYOR'!I94+'COMEDORES VALLE'!I94+BUGA!I94+'COMEDORES CALI'!I94+'CTAS EN PPACION'!I94+'COMEDORES PALMIRA'!I94+IMDERTY!I94</f>
        <v/>
      </c>
      <c r="J94" s="43" t="n"/>
      <c r="K94" s="57" t="n"/>
      <c r="L94" s="25">
        <f>CALI!L94+HUNGRIA!L94+YUMBO!L94+'ADULTO MAYOR'!L94+'COMEDORES VALLE'!L94+BUGA!L94+'COMEDORES CALI'!L94+'CTAS EN PPACION'!L94+'COMEDORES PALMIRA'!L94+IMDERTY!L94</f>
        <v/>
      </c>
      <c r="M94" s="43" t="n"/>
      <c r="N94" s="57" t="n"/>
      <c r="O94" s="25">
        <f>CALI!O94+HUNGRIA!O94+YUMBO!O94+'ADULTO MAYOR'!O94+'COMEDORES VALLE'!O94+BUGA!O94+'COMEDORES CALI'!O94+'CTAS EN PPACION'!O94+'COMEDORES PALMIRA'!O94+IMDERTY!O94</f>
        <v/>
      </c>
      <c r="P94" s="43" t="n"/>
      <c r="Q94" s="57" t="n"/>
      <c r="R94" s="25">
        <f>CALI!R94+HUNGRIA!R94+YUMBO!R94+'ADULTO MAYOR'!R94+'COMEDORES VALLE'!R94+BUGA!R94+'COMEDORES CALI'!R94+'CTAS EN PPACION'!R94+'COMEDORES PALMIRA'!R94+IMDERTY!R94</f>
        <v/>
      </c>
      <c r="S94" s="43" t="n"/>
      <c r="T94" s="57" t="n"/>
      <c r="U94" s="25">
        <f>CALI!U94+HUNGRIA!U94+YUMBO!U94+'ADULTO MAYOR'!U94+'COMEDORES VALLE'!U94+BUGA!U94+'COMEDORES CALI'!U94+'CTAS EN PPACION'!U94+'COMEDORES PALMIRA'!U94+IMDERTY!U94</f>
        <v/>
      </c>
      <c r="V94" s="43" t="n"/>
      <c r="W94" s="57" t="n"/>
      <c r="X94" s="25">
        <f>CALI!X94+HUNGRIA!X94+YUMBO!X94+'ADULTO MAYOR'!X94+'COMEDORES VALLE'!X94+BUGA!X94+'COMEDORES CALI'!X94+'CTAS EN PPACION'!X94+'COMEDORES PALMIRA'!X94+IMDERTY!X94</f>
        <v/>
      </c>
      <c r="Y94" s="43" t="n"/>
      <c r="Z94" s="57" t="n"/>
      <c r="AA94" s="25">
        <f>CALI!AA94+HUNGRIA!AA94+YUMBO!AA94+'ADULTO MAYOR'!AA94+'COMEDORES VALLE'!AA94+BUGA!AA94+'COMEDORES CALI'!AA94+'CTAS EN PPACION'!AA94+'COMEDORES PALMIRA'!AA94+IMDERTY!AA94</f>
        <v/>
      </c>
      <c r="AB94" s="43" t="n"/>
      <c r="AC94" s="57" t="n"/>
      <c r="AD94" s="25">
        <f>CALI!AD94+HUNGRIA!AD94+YUMBO!AD94+'ADULTO MAYOR'!AD94+'COMEDORES VALLE'!AD94+BUGA!AD94+'COMEDORES CALI'!AD94+'CTAS EN PPACION'!AD94+'COMEDORES PALMIRA'!AD94+IMDERTY!AD94</f>
        <v/>
      </c>
      <c r="AE94" s="43" t="n"/>
      <c r="AF94" s="57" t="n"/>
      <c r="AG94" s="25">
        <f>CALI!AG94+HUNGRIA!AG94+YUMBO!AG94+'ADULTO MAYOR'!AG94+'COMEDORES VALLE'!AG94+BUGA!AG94+'COMEDORES CALI'!AG94+'CTAS EN PPACION'!AG94+'COMEDORES PALMIRA'!AG94+IMDERTY!AG94</f>
        <v/>
      </c>
      <c r="AH94" s="43" t="n"/>
      <c r="AI94" s="57" t="n"/>
      <c r="AJ94" s="25">
        <f>CALI!AJ94+HUNGRIA!AJ94+YUMBO!AJ94+'ADULTO MAYOR'!AJ94+'COMEDORES VALLE'!AJ94+BUGA!AJ94+'COMEDORES CALI'!AJ94+'CTAS EN PPACION'!AJ94+'COMEDORES PALMIRA'!AJ94+IMDERTY!AJ94</f>
        <v/>
      </c>
      <c r="AK94" s="43" t="n"/>
      <c r="AL94" s="57" t="n"/>
      <c r="AM94" s="24">
        <f>C94+F94+I94+L94+O94+R94+U94+X94+AA94+AD94+AG94+AJ94</f>
        <v/>
      </c>
      <c r="AN94" s="195" t="n"/>
      <c r="AO94" s="57" t="n"/>
    </row>
    <row r="95" outlineLevel="1" ht="15" customHeight="1" s="985">
      <c r="B95" s="28" t="inlineStr">
        <is>
          <t>Equipo de Oficina</t>
        </is>
      </c>
      <c r="C95" s="28">
        <f>CALI!C95+HUNGRIA!C95+YUMBO!C95+'ADULTO MAYOR'!C95+'COMEDORES VALLE'!C95+BUGA!C95+'COMEDORES CALI'!C95+'CTAS EN PPACION'!C95+'COMEDORES PALMIRA'!C95+IMDERTY!C95</f>
        <v/>
      </c>
      <c r="D95" s="45" t="n"/>
      <c r="E95" s="58" t="n"/>
      <c r="F95" s="28">
        <f>CALI!F95+HUNGRIA!F95+YUMBO!F95+'ADULTO MAYOR'!F95+'COMEDORES VALLE'!F95+BUGA!F95+'COMEDORES CALI'!F95+'CTAS EN PPACION'!F95+'COMEDORES PALMIRA'!F95+IMDERTY!F95</f>
        <v/>
      </c>
      <c r="G95" s="45" t="n"/>
      <c r="H95" s="58" t="n"/>
      <c r="I95" s="28">
        <f>CALI!I95+HUNGRIA!I95+YUMBO!I95+'ADULTO MAYOR'!I95+'COMEDORES VALLE'!I95+BUGA!I95+'COMEDORES CALI'!I95+'CTAS EN PPACION'!I95+'COMEDORES PALMIRA'!I95+IMDERTY!I95</f>
        <v/>
      </c>
      <c r="J95" s="45" t="n"/>
      <c r="K95" s="58" t="n"/>
      <c r="L95" s="28">
        <f>CALI!L95+HUNGRIA!L95+YUMBO!L95+'ADULTO MAYOR'!L95+'COMEDORES VALLE'!L95+BUGA!L95+'COMEDORES CALI'!L95+'CTAS EN PPACION'!L95+'COMEDORES PALMIRA'!L95+IMDERTY!L95</f>
        <v/>
      </c>
      <c r="M95" s="45" t="n"/>
      <c r="N95" s="58" t="n"/>
      <c r="O95" s="28">
        <f>CALI!O95+HUNGRIA!O95+YUMBO!O95+'ADULTO MAYOR'!O95+'COMEDORES VALLE'!O95+BUGA!O95+'COMEDORES CALI'!O95+'CTAS EN PPACION'!O95+'COMEDORES PALMIRA'!O95+IMDERTY!O95</f>
        <v/>
      </c>
      <c r="P95" s="45" t="n"/>
      <c r="Q95" s="58" t="n"/>
      <c r="R95" s="28">
        <f>CALI!R95+HUNGRIA!R95+YUMBO!R95+'ADULTO MAYOR'!R95+'COMEDORES VALLE'!R95+BUGA!R95+'COMEDORES CALI'!R95+'CTAS EN PPACION'!R95+'COMEDORES PALMIRA'!R95+IMDERTY!R95</f>
        <v/>
      </c>
      <c r="S95" s="45" t="n"/>
      <c r="T95" s="58" t="n"/>
      <c r="U95" s="28">
        <f>CALI!U95+HUNGRIA!U95+YUMBO!U95+'ADULTO MAYOR'!U95+'COMEDORES VALLE'!U95+BUGA!U95+'COMEDORES CALI'!U95+'CTAS EN PPACION'!U95+'COMEDORES PALMIRA'!U95+IMDERTY!U95</f>
        <v/>
      </c>
      <c r="V95" s="45" t="n"/>
      <c r="W95" s="58" t="n"/>
      <c r="X95" s="28">
        <f>CALI!X95+HUNGRIA!X95+YUMBO!X95+'ADULTO MAYOR'!X95+'COMEDORES VALLE'!X95+BUGA!X95+'COMEDORES CALI'!X95+'CTAS EN PPACION'!X95+'COMEDORES PALMIRA'!X95+IMDERTY!X95</f>
        <v/>
      </c>
      <c r="Y95" s="45" t="n"/>
      <c r="Z95" s="58" t="n"/>
      <c r="AA95" s="28">
        <f>CALI!AA95+HUNGRIA!AA95+YUMBO!AA95+'ADULTO MAYOR'!AA95+'COMEDORES VALLE'!AA95+BUGA!AA95+'COMEDORES CALI'!AA95+'CTAS EN PPACION'!AA95+'COMEDORES PALMIRA'!AA95+IMDERTY!AA95</f>
        <v/>
      </c>
      <c r="AB95" s="45" t="n"/>
      <c r="AC95" s="58" t="n"/>
      <c r="AD95" s="28">
        <f>CALI!AD95+HUNGRIA!AD95+YUMBO!AD95+'ADULTO MAYOR'!AD95+'COMEDORES VALLE'!AD95+BUGA!AD95+'COMEDORES CALI'!AD95+'CTAS EN PPACION'!AD95+'COMEDORES PALMIRA'!AD95+IMDERTY!AD95</f>
        <v/>
      </c>
      <c r="AE95" s="45" t="n"/>
      <c r="AF95" s="58" t="n"/>
      <c r="AG95" s="28">
        <f>CALI!AG95+HUNGRIA!AG95+YUMBO!AG95+'ADULTO MAYOR'!AG95+'COMEDORES VALLE'!AG95+BUGA!AG95+'COMEDORES CALI'!AG95+'CTAS EN PPACION'!AG95+'COMEDORES PALMIRA'!AG95+IMDERTY!AG95</f>
        <v/>
      </c>
      <c r="AH95" s="45" t="n"/>
      <c r="AI95" s="58" t="n"/>
      <c r="AJ95" s="28">
        <f>CALI!AJ95+HUNGRIA!AJ95+YUMBO!AJ95+'ADULTO MAYOR'!AJ95+'COMEDORES VALLE'!AJ95+BUGA!AJ95+'COMEDORES CALI'!AJ95+'CTAS EN PPACION'!AJ95+'COMEDORES PALMIRA'!AJ95+IMDERTY!AJ95</f>
        <v/>
      </c>
      <c r="AK95" s="45" t="n"/>
      <c r="AL95" s="58" t="n"/>
      <c r="AM95" s="27">
        <f>C95+F95+I95+L95+O95+R95+U95+X95+AA95+AD95+AG95+AJ95</f>
        <v/>
      </c>
      <c r="AN95" s="200" t="n"/>
      <c r="AO95" s="58" t="n"/>
    </row>
    <row r="96" ht="15" customHeight="1" s="985">
      <c r="B96" s="16" t="inlineStr">
        <is>
          <t>SEGUROS</t>
        </is>
      </c>
      <c r="C96" s="49">
        <f>SUM(C97:C98)</f>
        <v/>
      </c>
      <c r="D96" s="3" t="n"/>
      <c r="E96" s="1053">
        <f>C96/(C$13)</f>
        <v/>
      </c>
      <c r="F96" s="49">
        <f>SUM(F97:F98)</f>
        <v/>
      </c>
      <c r="G96" s="3" t="n"/>
      <c r="H96" s="61">
        <f>F96/F$13</f>
        <v/>
      </c>
      <c r="I96" s="49">
        <f>SUM(I97:I98)</f>
        <v/>
      </c>
      <c r="J96" s="3" t="n"/>
      <c r="K96" s="61">
        <f>I96/I$13</f>
        <v/>
      </c>
      <c r="L96" s="49">
        <f>SUM(L97:L98)</f>
        <v/>
      </c>
      <c r="M96" s="3" t="n"/>
      <c r="N96" s="61">
        <f>L96/L$13</f>
        <v/>
      </c>
      <c r="O96" s="49">
        <f>SUM(O97:O98)</f>
        <v/>
      </c>
      <c r="P96" s="3" t="n"/>
      <c r="Q96" s="61">
        <f>O96/O$13</f>
        <v/>
      </c>
      <c r="R96" s="90">
        <f>SUM(R97:R98)</f>
        <v/>
      </c>
      <c r="S96" s="3" t="n"/>
      <c r="T96" s="61">
        <f>R96/R$13</f>
        <v/>
      </c>
      <c r="U96" s="49">
        <f>SUM(U97:U98)</f>
        <v/>
      </c>
      <c r="V96" s="3" t="n"/>
      <c r="W96" s="61">
        <f>U96/U$13</f>
        <v/>
      </c>
      <c r="X96" s="49">
        <f>SUM(X97:X98)</f>
        <v/>
      </c>
      <c r="Y96" s="3" t="n"/>
      <c r="Z96" s="61">
        <f>X96/X$13</f>
        <v/>
      </c>
      <c r="AA96" s="49">
        <f>SUM(AA97:AA98)</f>
        <v/>
      </c>
      <c r="AB96" s="3" t="n"/>
      <c r="AC96" s="61">
        <f>AA96/AA$13</f>
        <v/>
      </c>
      <c r="AD96" s="49">
        <f>SUM(AD97:AD98)</f>
        <v/>
      </c>
      <c r="AE96" s="3" t="n"/>
      <c r="AF96" s="61">
        <f>AD96/AD$13</f>
        <v/>
      </c>
      <c r="AG96" s="49">
        <f>SUM(AG97:AG98)</f>
        <v/>
      </c>
      <c r="AH96" s="3" t="n"/>
      <c r="AI96" s="61">
        <f>AG96/AG$13</f>
        <v/>
      </c>
      <c r="AJ96" s="49">
        <f>SUM(AJ97:AJ98)</f>
        <v/>
      </c>
      <c r="AK96" s="3" t="n"/>
      <c r="AL96" s="61" t="n"/>
      <c r="AM96" s="17">
        <f>C96+F96+I96+L96+O96+R96+U96+X96+AA96+AD96+AG96+AJ96</f>
        <v/>
      </c>
      <c r="AN96" s="197" t="n"/>
      <c r="AO96" s="1237">
        <f>AM96/(AM$13)</f>
        <v/>
      </c>
    </row>
    <row r="97" ht="15" customHeight="1" s="985">
      <c r="A97" s="153" t="inlineStr">
        <is>
          <t xml:space="preserve">73301001            </t>
        </is>
      </c>
      <c r="B97" s="39" t="inlineStr">
        <is>
          <t xml:space="preserve">Cumplimiento </t>
        </is>
      </c>
      <c r="C97" s="39">
        <f>CALI!C97+HUNGRIA!C97+YUMBO!C97+'ADULTO MAYOR'!C97+'COMEDORES VALLE'!C97+BUGA!C97+'COMEDORES CALI'!C97+'CTAS EN PPACION'!C97+'COMEDORES PALMIRA'!C97+IMDERTY!C97</f>
        <v/>
      </c>
      <c r="D97" s="69" t="n"/>
      <c r="E97" s="1077" t="n"/>
      <c r="F97" s="39">
        <f>CALI!F97+HUNGRIA!F97+YUMBO!F97+'ADULTO MAYOR'!F97+'COMEDORES VALLE'!F97+BUGA!F97+'COMEDORES CALI'!F97+'CTAS EN PPACION'!F97+'COMEDORES PALMIRA'!F97+IMDERTY!F97</f>
        <v/>
      </c>
      <c r="G97" s="69" t="n"/>
      <c r="H97" s="70" t="n"/>
      <c r="I97" s="39">
        <f>CALI!I97+HUNGRIA!I97+YUMBO!I97+'ADULTO MAYOR'!I97+'COMEDORES VALLE'!I97+BUGA!I97+'COMEDORES CALI'!I97+'CTAS EN PPACION'!I97+'COMEDORES PALMIRA'!I97+IMDERTY!I97</f>
        <v/>
      </c>
      <c r="J97" s="69" t="n"/>
      <c r="K97" s="70" t="n"/>
      <c r="L97" s="39">
        <f>CALI!L97+HUNGRIA!L97+YUMBO!L97+'ADULTO MAYOR'!L97+'COMEDORES VALLE'!L97+BUGA!L97+'COMEDORES CALI'!L97+'CTAS EN PPACION'!L97+'COMEDORES PALMIRA'!L97+IMDERTY!L97</f>
        <v/>
      </c>
      <c r="M97" s="69" t="n"/>
      <c r="N97" s="70" t="n"/>
      <c r="O97" s="39">
        <f>CALI!O97+HUNGRIA!O97+YUMBO!O97+'ADULTO MAYOR'!O97+'COMEDORES VALLE'!O97+BUGA!O97+'COMEDORES CALI'!O97+'CTAS EN PPACION'!O97+'COMEDORES PALMIRA'!O97+IMDERTY!O97</f>
        <v/>
      </c>
      <c r="P97" s="69" t="n"/>
      <c r="Q97" s="70" t="n"/>
      <c r="R97" s="39">
        <f>CALI!R97+HUNGRIA!R97+YUMBO!R97+'ADULTO MAYOR'!R97+'COMEDORES VALLE'!R97+BUGA!R97+'COMEDORES CALI'!R97+'CTAS EN PPACION'!R97+'COMEDORES PALMIRA'!R97+IMDERTY!R97</f>
        <v/>
      </c>
      <c r="S97" s="69" t="n"/>
      <c r="T97" s="70" t="n"/>
      <c r="U97" s="39">
        <f>CALI!U97+HUNGRIA!U97+YUMBO!U97+'ADULTO MAYOR'!U97+'COMEDORES VALLE'!U97+BUGA!U97+'COMEDORES CALI'!U97+'CTAS EN PPACION'!U97+'COMEDORES PALMIRA'!U97+IMDERTY!U97</f>
        <v/>
      </c>
      <c r="V97" s="69" t="n"/>
      <c r="W97" s="70" t="n"/>
      <c r="X97" s="39">
        <f>CALI!X97+HUNGRIA!X97+YUMBO!X97+'ADULTO MAYOR'!X97+'COMEDORES VALLE'!X97+BUGA!X97+'COMEDORES CALI'!X97+'CTAS EN PPACION'!X97+'COMEDORES PALMIRA'!X97+IMDERTY!X97</f>
        <v/>
      </c>
      <c r="Y97" s="69" t="n"/>
      <c r="Z97" s="70" t="n"/>
      <c r="AA97" s="39">
        <f>CALI!AA97+HUNGRIA!AA97+YUMBO!AA97+'ADULTO MAYOR'!AA97+'COMEDORES VALLE'!AA97+BUGA!AA97+'COMEDORES CALI'!AA97+'CTAS EN PPACION'!AA97+'COMEDORES PALMIRA'!AA97+IMDERTY!AA97</f>
        <v/>
      </c>
      <c r="AB97" s="69" t="n"/>
      <c r="AC97" s="70" t="n"/>
      <c r="AD97" s="39">
        <f>CALI!AD97+HUNGRIA!AD97+YUMBO!AD97+'ADULTO MAYOR'!AD97+'COMEDORES VALLE'!AD97+BUGA!AD97+'COMEDORES CALI'!AD97+'CTAS EN PPACION'!AD97+'COMEDORES PALMIRA'!AD97+IMDERTY!AD97</f>
        <v/>
      </c>
      <c r="AE97" s="69" t="n"/>
      <c r="AF97" s="70" t="n"/>
      <c r="AG97" s="39">
        <f>CALI!AG97+HUNGRIA!AG97+YUMBO!AG97+'ADULTO MAYOR'!AG97+'COMEDORES VALLE'!AG97+BUGA!AG97+'COMEDORES CALI'!AG97+'CTAS EN PPACION'!AG97+'COMEDORES PALMIRA'!AG97+IMDERTY!AG97</f>
        <v/>
      </c>
      <c r="AH97" s="69" t="n"/>
      <c r="AI97" s="70" t="n"/>
      <c r="AJ97" s="39">
        <f>CALI!AJ97+HUNGRIA!AJ97+YUMBO!AJ97+'ADULTO MAYOR'!AJ97+'COMEDORES VALLE'!AJ97+BUGA!AJ97+'COMEDORES CALI'!AJ97+'CTAS EN PPACION'!AJ97+'COMEDORES PALMIRA'!AJ97+IMDERTY!AJ97</f>
        <v/>
      </c>
      <c r="AK97" s="69" t="n"/>
      <c r="AL97" s="70" t="n"/>
      <c r="AM97" s="31">
        <f>C97+F97+I97+L97+O97+R97+U97+X97+AA97+AD97+AG97+AJ97</f>
        <v/>
      </c>
      <c r="AN97" s="201" t="n"/>
      <c r="AO97" s="70" t="n"/>
    </row>
    <row r="98" ht="15" customHeight="1" s="985">
      <c r="A98" s="153" t="inlineStr">
        <is>
          <t xml:space="preserve">73306001            </t>
        </is>
      </c>
      <c r="B98" s="275" t="inlineStr">
        <is>
          <t>Responsabilidad Civil Y Extracontractual</t>
        </is>
      </c>
      <c r="C98" s="275">
        <f>CALI!C98+HUNGRIA!C98+YUMBO!C98+'ADULTO MAYOR'!C98+'COMEDORES VALLE'!C98+BUGA!C98+'COMEDORES CALI'!C98+'CTAS EN PPACION'!C98+'COMEDORES PALMIRA'!C98+IMDERTY!C98</f>
        <v/>
      </c>
      <c r="D98" s="276" t="n"/>
      <c r="E98" s="1084" t="n"/>
      <c r="F98" s="275">
        <f>CALI!F98+HUNGRIA!F98+YUMBO!F98+'ADULTO MAYOR'!F98+'COMEDORES VALLE'!F98+BUGA!F98+'COMEDORES CALI'!F98+'CTAS EN PPACION'!F98+'COMEDORES PALMIRA'!F98+IMDERTY!F98</f>
        <v/>
      </c>
      <c r="G98" s="276" t="n"/>
      <c r="H98" s="277" t="n"/>
      <c r="I98" s="275">
        <f>CALI!I98+HUNGRIA!I98+YUMBO!I98+'ADULTO MAYOR'!I98+'COMEDORES VALLE'!I98+BUGA!I98+'COMEDORES CALI'!I98+'CTAS EN PPACION'!I98+'COMEDORES PALMIRA'!I98+IMDERTY!I98</f>
        <v/>
      </c>
      <c r="J98" s="276" t="n"/>
      <c r="K98" s="277" t="n"/>
      <c r="L98" s="275">
        <f>CALI!L98+HUNGRIA!L98+YUMBO!L98+'ADULTO MAYOR'!L98+'COMEDORES VALLE'!L98+BUGA!L98+'COMEDORES CALI'!L98+'CTAS EN PPACION'!L98+'COMEDORES PALMIRA'!L98+IMDERTY!L98</f>
        <v/>
      </c>
      <c r="M98" s="276" t="n"/>
      <c r="N98" s="277" t="n"/>
      <c r="O98" s="275">
        <f>CALI!O98+HUNGRIA!O98+YUMBO!O98+'ADULTO MAYOR'!O98+'COMEDORES VALLE'!O98+BUGA!O98+'COMEDORES CALI'!O98+'CTAS EN PPACION'!O98+'COMEDORES PALMIRA'!O98+IMDERTY!O98</f>
        <v/>
      </c>
      <c r="P98" s="276" t="n"/>
      <c r="Q98" s="277" t="n"/>
      <c r="R98" s="275">
        <f>CALI!R98+HUNGRIA!R98+YUMBO!R98+'ADULTO MAYOR'!R98+'COMEDORES VALLE'!R98+BUGA!R98+'COMEDORES CALI'!R98+'CTAS EN PPACION'!R98+'COMEDORES PALMIRA'!R98+IMDERTY!R98</f>
        <v/>
      </c>
      <c r="S98" s="276" t="n"/>
      <c r="T98" s="277" t="n"/>
      <c r="U98" s="275">
        <f>CALI!U98+HUNGRIA!U98+YUMBO!U98+'ADULTO MAYOR'!U98+'COMEDORES VALLE'!U98+BUGA!U98+'COMEDORES CALI'!U98+'CTAS EN PPACION'!U98+'COMEDORES PALMIRA'!U98+IMDERTY!U98</f>
        <v/>
      </c>
      <c r="V98" s="276" t="n"/>
      <c r="W98" s="277" t="n"/>
      <c r="X98" s="275">
        <f>CALI!X98+HUNGRIA!X98+YUMBO!X98+'ADULTO MAYOR'!X98+'COMEDORES VALLE'!X98+BUGA!X98+'COMEDORES CALI'!X98+'CTAS EN PPACION'!X98+'COMEDORES PALMIRA'!X98+IMDERTY!X98</f>
        <v/>
      </c>
      <c r="Y98" s="276" t="n"/>
      <c r="Z98" s="277" t="n"/>
      <c r="AA98" s="275">
        <f>CALI!AA98+HUNGRIA!AA98+YUMBO!AA98+'ADULTO MAYOR'!AA98+'COMEDORES VALLE'!AA98+BUGA!AA98+'COMEDORES CALI'!AA98+'CTAS EN PPACION'!AA98+'COMEDORES PALMIRA'!AA98+IMDERTY!AA98</f>
        <v/>
      </c>
      <c r="AB98" s="276" t="n"/>
      <c r="AC98" s="277" t="n"/>
      <c r="AD98" s="275">
        <f>CALI!AD98+HUNGRIA!AD98+YUMBO!AD98+'ADULTO MAYOR'!AD98+'COMEDORES VALLE'!AD98+BUGA!AD98+'COMEDORES CALI'!AD98+'CTAS EN PPACION'!AD98+'COMEDORES PALMIRA'!AD98+IMDERTY!AD98</f>
        <v/>
      </c>
      <c r="AE98" s="276" t="n"/>
      <c r="AF98" s="277" t="n"/>
      <c r="AG98" s="275">
        <f>CALI!AG98+HUNGRIA!AG98+YUMBO!AG98+'ADULTO MAYOR'!AG98+'COMEDORES VALLE'!AG98+BUGA!AG98+'COMEDORES CALI'!AG98+'CTAS EN PPACION'!AG98+'COMEDORES PALMIRA'!AG98+IMDERTY!AG98</f>
        <v/>
      </c>
      <c r="AH98" s="276" t="n"/>
      <c r="AI98" s="277" t="n"/>
      <c r="AJ98" s="275">
        <f>CALI!AJ98+HUNGRIA!AJ98+YUMBO!AJ98+'ADULTO MAYOR'!AJ98+'COMEDORES VALLE'!AJ98+BUGA!AJ98+'COMEDORES CALI'!AJ98+'CTAS EN PPACION'!AJ98+'COMEDORES PALMIRA'!AJ98+IMDERTY!AJ98</f>
        <v/>
      </c>
      <c r="AK98" s="276" t="n"/>
      <c r="AL98" s="277" t="n"/>
      <c r="AM98" s="279">
        <f>C98+F98+I98+L98+O98+R98+U98+X98+AA98+AD98+AG98+AJ98</f>
        <v/>
      </c>
      <c r="AN98" s="280" t="n"/>
      <c r="AO98" s="277" t="n"/>
    </row>
    <row r="99" ht="15" customHeight="1" s="985">
      <c r="B99" s="16" t="inlineStr">
        <is>
          <t>SERVICIOS</t>
        </is>
      </c>
      <c r="C99" s="49">
        <f>SUM(C100:C108)</f>
        <v/>
      </c>
      <c r="D99" s="3" t="n"/>
      <c r="E99" s="1053">
        <f>C99/(C$13)</f>
        <v/>
      </c>
      <c r="F99" s="49">
        <f>SUM(F100:F108)</f>
        <v/>
      </c>
      <c r="G99" s="3" t="n"/>
      <c r="H99" s="61">
        <f>F99/F$13</f>
        <v/>
      </c>
      <c r="I99" s="49">
        <f>SUM(I100:I108)</f>
        <v/>
      </c>
      <c r="J99" s="3" t="n"/>
      <c r="K99" s="61">
        <f>I99/I$13</f>
        <v/>
      </c>
      <c r="L99" s="49">
        <f>SUM(L100:L108)</f>
        <v/>
      </c>
      <c r="M99" s="3" t="n"/>
      <c r="N99" s="61">
        <f>L99/L$13</f>
        <v/>
      </c>
      <c r="O99" s="49">
        <f>SUM(O100:O108)</f>
        <v/>
      </c>
      <c r="P99" s="3" t="n"/>
      <c r="Q99" s="61">
        <f>O99/O$13</f>
        <v/>
      </c>
      <c r="R99" s="90">
        <f>SUM(R100:R108)</f>
        <v/>
      </c>
      <c r="S99" s="3" t="n"/>
      <c r="T99" s="61">
        <f>R99/R$13</f>
        <v/>
      </c>
      <c r="U99" s="49">
        <f>SUM(U100:U108)</f>
        <v/>
      </c>
      <c r="V99" s="3" t="n"/>
      <c r="W99" s="61">
        <f>U99/U$13</f>
        <v/>
      </c>
      <c r="X99" s="49">
        <f>SUM(X100:X108)</f>
        <v/>
      </c>
      <c r="Y99" s="3" t="n"/>
      <c r="Z99" s="61">
        <f>X99/X$13</f>
        <v/>
      </c>
      <c r="AA99" s="49">
        <f>SUM(AA100:AA108)</f>
        <v/>
      </c>
      <c r="AB99" s="3" t="n"/>
      <c r="AC99" s="61">
        <f>AA99/AA$13</f>
        <v/>
      </c>
      <c r="AD99" s="49">
        <f>SUM(AD100:AD108)</f>
        <v/>
      </c>
      <c r="AE99" s="3" t="n"/>
      <c r="AF99" s="61">
        <f>AD99/AD$13</f>
        <v/>
      </c>
      <c r="AG99" s="49">
        <f>SUM(AG100:AG108)</f>
        <v/>
      </c>
      <c r="AH99" s="3" t="n"/>
      <c r="AI99" s="61">
        <f>AG99/AG$13</f>
        <v/>
      </c>
      <c r="AJ99" s="49">
        <f>SUM(AJ100:AJ108)</f>
        <v/>
      </c>
      <c r="AK99" s="3" t="n"/>
      <c r="AL99" s="61" t="n"/>
      <c r="AM99" s="17">
        <f>C99+F99+I99+L99+O99+R99+U99+X99+AA99+AD99+AG99+AJ99</f>
        <v/>
      </c>
      <c r="AN99" s="197" t="n"/>
      <c r="AO99" s="1237">
        <f>AM99/(AM$13)</f>
        <v/>
      </c>
    </row>
    <row r="100" ht="15" customHeight="1" s="985">
      <c r="B100" s="39" t="inlineStr">
        <is>
          <t>Aseo y Vigilancia</t>
        </is>
      </c>
      <c r="C100" s="39">
        <f>CALI!C100+HUNGRIA!C100+YUMBO!C100+'ADULTO MAYOR'!C100+'COMEDORES VALLE'!C100+BUGA!C100+'COMEDORES CALI'!C100+'CTAS EN PPACION'!C100+'COMEDORES PALMIRA'!C100+IMDERTY!C100</f>
        <v/>
      </c>
      <c r="D100" s="69" t="n"/>
      <c r="E100" s="1077" t="n"/>
      <c r="F100" s="39">
        <f>CALI!F100+HUNGRIA!F100+YUMBO!F100+'ADULTO MAYOR'!F100+'COMEDORES VALLE'!F100+BUGA!F100+'COMEDORES CALI'!F100+'CTAS EN PPACION'!F100+'COMEDORES PALMIRA'!F100+IMDERTY!F100</f>
        <v/>
      </c>
      <c r="G100" s="69" t="n"/>
      <c r="H100" s="70" t="n"/>
      <c r="I100" s="39">
        <f>CALI!I100+HUNGRIA!I100+YUMBO!I100+'ADULTO MAYOR'!I100+'COMEDORES VALLE'!I100+BUGA!I100+'COMEDORES CALI'!I100+'CTAS EN PPACION'!I100+'COMEDORES PALMIRA'!I100+IMDERTY!I100</f>
        <v/>
      </c>
      <c r="J100" s="69" t="n"/>
      <c r="K100" s="70" t="n"/>
      <c r="L100" s="39">
        <f>CALI!L100+HUNGRIA!L100+YUMBO!L100+'ADULTO MAYOR'!L100+'COMEDORES VALLE'!L100+BUGA!L100+'COMEDORES CALI'!L100+'CTAS EN PPACION'!L100+'COMEDORES PALMIRA'!L100+IMDERTY!L100</f>
        <v/>
      </c>
      <c r="M100" s="69" t="n"/>
      <c r="N100" s="70" t="n"/>
      <c r="O100" s="39">
        <f>CALI!O100+HUNGRIA!O100+YUMBO!O100+'ADULTO MAYOR'!O100+'COMEDORES VALLE'!O100+BUGA!O100+'COMEDORES CALI'!O100+'CTAS EN PPACION'!O100+'COMEDORES PALMIRA'!O100+IMDERTY!O100</f>
        <v/>
      </c>
      <c r="P100" s="69" t="n"/>
      <c r="Q100" s="70" t="n"/>
      <c r="R100" s="39">
        <f>CALI!R100+HUNGRIA!R100+YUMBO!R100+'ADULTO MAYOR'!R100+'COMEDORES VALLE'!R100+BUGA!R100+'COMEDORES CALI'!R100+'CTAS EN PPACION'!R100+'COMEDORES PALMIRA'!R100+IMDERTY!R100</f>
        <v/>
      </c>
      <c r="S100" s="69" t="n"/>
      <c r="T100" s="70" t="n"/>
      <c r="U100" s="39">
        <f>CALI!U100+HUNGRIA!U100+YUMBO!U100+'ADULTO MAYOR'!U100+'COMEDORES VALLE'!U100+BUGA!U100+'COMEDORES CALI'!U100+'CTAS EN PPACION'!U100+'COMEDORES PALMIRA'!U100+IMDERTY!U100</f>
        <v/>
      </c>
      <c r="V100" s="69" t="n"/>
      <c r="W100" s="70" t="n"/>
      <c r="X100" s="39">
        <f>CALI!X100+HUNGRIA!X100+YUMBO!X100+'ADULTO MAYOR'!X100+'COMEDORES VALLE'!X100+BUGA!X100+'COMEDORES CALI'!X100+'CTAS EN PPACION'!X100+'COMEDORES PALMIRA'!X100+IMDERTY!X100</f>
        <v/>
      </c>
      <c r="Y100" s="69" t="n"/>
      <c r="Z100" s="70" t="n"/>
      <c r="AA100" s="39">
        <f>CALI!AA100+HUNGRIA!AA100+YUMBO!AA100+'ADULTO MAYOR'!AA100+'COMEDORES VALLE'!AA100+BUGA!AA100+'COMEDORES CALI'!AA100+'CTAS EN PPACION'!AA100+'COMEDORES PALMIRA'!AA100+IMDERTY!AA100</f>
        <v/>
      </c>
      <c r="AB100" s="69" t="n"/>
      <c r="AC100" s="70" t="n"/>
      <c r="AD100" s="39">
        <f>CALI!AD100+HUNGRIA!AD100+YUMBO!AD100+'ADULTO MAYOR'!AD100+'COMEDORES VALLE'!AD100+BUGA!AD100+'COMEDORES CALI'!AD100+'CTAS EN PPACION'!AD100+'COMEDORES PALMIRA'!AD100+IMDERTY!AD100</f>
        <v/>
      </c>
      <c r="AE100" s="69" t="n"/>
      <c r="AF100" s="70" t="n"/>
      <c r="AG100" s="39">
        <f>CALI!AG100+HUNGRIA!AG100+YUMBO!AG100+'ADULTO MAYOR'!AG100+'COMEDORES VALLE'!AG100+BUGA!AG100+'COMEDORES CALI'!AG100+'CTAS EN PPACION'!AG100+'COMEDORES PALMIRA'!AG100+IMDERTY!AG100</f>
        <v/>
      </c>
      <c r="AH100" s="69" t="n"/>
      <c r="AI100" s="70" t="n"/>
      <c r="AJ100" s="39">
        <f>CALI!AJ100+HUNGRIA!AJ100+YUMBO!AJ100+'ADULTO MAYOR'!AJ100+'COMEDORES VALLE'!AJ100+BUGA!AJ100+'COMEDORES CALI'!AJ100+'CTAS EN PPACION'!AJ100+'COMEDORES PALMIRA'!AJ100+IMDERTY!AJ100</f>
        <v/>
      </c>
      <c r="AK100" s="69" t="n"/>
      <c r="AL100" s="70" t="n"/>
      <c r="AM100" s="31">
        <f>C100+F100+I100+L100+O100+R100+U100+X100+AA100+AD100+AG100+AJ100</f>
        <v/>
      </c>
      <c r="AN100" s="201" t="n"/>
      <c r="AO100" s="70" t="n"/>
    </row>
    <row r="101" ht="15" customHeight="1" s="985">
      <c r="B101" s="25" t="inlineStr">
        <is>
          <t>Temporales</t>
        </is>
      </c>
      <c r="C101" s="25">
        <f>CALI!C101+HUNGRIA!C101+YUMBO!C101+'ADULTO MAYOR'!C101+'COMEDORES VALLE'!C101+BUGA!C101+'COMEDORES CALI'!C101+'CTAS EN PPACION'!C101+'COMEDORES PALMIRA'!C101+IMDERTY!C101</f>
        <v/>
      </c>
      <c r="D101" s="43" t="n"/>
      <c r="E101" s="1045" t="n"/>
      <c r="F101" s="25">
        <f>CALI!F101+HUNGRIA!F101+YUMBO!F101+'ADULTO MAYOR'!F101+'COMEDORES VALLE'!F101+BUGA!F101+'COMEDORES CALI'!F101+'CTAS EN PPACION'!F101+'COMEDORES PALMIRA'!F101+IMDERTY!F101</f>
        <v/>
      </c>
      <c r="G101" s="43" t="n"/>
      <c r="H101" s="57" t="n"/>
      <c r="I101" s="25">
        <f>CALI!I101+HUNGRIA!I101+YUMBO!I101+'ADULTO MAYOR'!I101+'COMEDORES VALLE'!I101+BUGA!I101+'COMEDORES CALI'!I101+'CTAS EN PPACION'!I101+'COMEDORES PALMIRA'!I101+IMDERTY!I101</f>
        <v/>
      </c>
      <c r="J101" s="43" t="n"/>
      <c r="K101" s="57" t="n"/>
      <c r="L101" s="25">
        <f>CALI!L101+HUNGRIA!L101+YUMBO!L101+'ADULTO MAYOR'!L101+'COMEDORES VALLE'!L101+BUGA!L101+'COMEDORES CALI'!L101+'CTAS EN PPACION'!L101+'COMEDORES PALMIRA'!L101+IMDERTY!L101</f>
        <v/>
      </c>
      <c r="M101" s="43" t="n"/>
      <c r="N101" s="57" t="n"/>
      <c r="O101" s="25">
        <f>CALI!O101+HUNGRIA!O101+YUMBO!O101+'ADULTO MAYOR'!O101+'COMEDORES VALLE'!O101+BUGA!O101+'COMEDORES CALI'!O101+'CTAS EN PPACION'!O101+'COMEDORES PALMIRA'!O101+IMDERTY!O101</f>
        <v/>
      </c>
      <c r="P101" s="43" t="n"/>
      <c r="Q101" s="57" t="n"/>
      <c r="R101" s="25">
        <f>CALI!R101+HUNGRIA!R101+YUMBO!R101+'ADULTO MAYOR'!R101+'COMEDORES VALLE'!R101+BUGA!R101+'COMEDORES CALI'!R101+'CTAS EN PPACION'!R101+'COMEDORES PALMIRA'!R101+IMDERTY!R101</f>
        <v/>
      </c>
      <c r="S101" s="43" t="n"/>
      <c r="T101" s="57" t="n"/>
      <c r="U101" s="25">
        <f>CALI!U101+HUNGRIA!U101+YUMBO!U101+'ADULTO MAYOR'!U101+'COMEDORES VALLE'!U101+BUGA!U101+'COMEDORES CALI'!U101+'CTAS EN PPACION'!U101+'COMEDORES PALMIRA'!U101+IMDERTY!U101</f>
        <v/>
      </c>
      <c r="V101" s="43" t="n"/>
      <c r="W101" s="57" t="n"/>
      <c r="X101" s="25">
        <f>CALI!X101+HUNGRIA!X101+YUMBO!X101+'ADULTO MAYOR'!X101+'COMEDORES VALLE'!X101+BUGA!X101+'COMEDORES CALI'!X101+'CTAS EN PPACION'!X101+'COMEDORES PALMIRA'!X101+IMDERTY!X101</f>
        <v/>
      </c>
      <c r="Y101" s="43" t="n"/>
      <c r="Z101" s="57" t="n"/>
      <c r="AA101" s="25">
        <f>CALI!AA101+HUNGRIA!AA101+YUMBO!AA101+'ADULTO MAYOR'!AA101+'COMEDORES VALLE'!AA101+BUGA!AA101+'COMEDORES CALI'!AA101+'CTAS EN PPACION'!AA101+'COMEDORES PALMIRA'!AA101+IMDERTY!AA101</f>
        <v/>
      </c>
      <c r="AB101" s="43" t="n"/>
      <c r="AC101" s="57" t="n"/>
      <c r="AD101" s="25">
        <f>CALI!AD101+HUNGRIA!AD101+YUMBO!AD101+'ADULTO MAYOR'!AD101+'COMEDORES VALLE'!AD101+BUGA!AD101+'COMEDORES CALI'!AD101+'CTAS EN PPACION'!AD101+'COMEDORES PALMIRA'!AD101+IMDERTY!AD101</f>
        <v/>
      </c>
      <c r="AE101" s="43" t="n"/>
      <c r="AF101" s="57" t="n"/>
      <c r="AG101" s="25">
        <f>CALI!AG101+HUNGRIA!AG101+YUMBO!AG101+'ADULTO MAYOR'!AG101+'COMEDORES VALLE'!AG101+BUGA!AG101+'COMEDORES CALI'!AG101+'CTAS EN PPACION'!AG101+'COMEDORES PALMIRA'!AG101+IMDERTY!AG101</f>
        <v/>
      </c>
      <c r="AH101" s="43" t="n"/>
      <c r="AI101" s="57" t="n"/>
      <c r="AJ101" s="25">
        <f>CALI!AJ101+HUNGRIA!AJ101+YUMBO!AJ101+'ADULTO MAYOR'!AJ101+'COMEDORES VALLE'!AJ101+BUGA!AJ101+'COMEDORES CALI'!AJ101+'CTAS EN PPACION'!AJ101+'COMEDORES PALMIRA'!AJ101+IMDERTY!AJ101</f>
        <v/>
      </c>
      <c r="AK101" s="43" t="n"/>
      <c r="AL101" s="57" t="n"/>
      <c r="AM101" s="24">
        <f>C101+F101+I101+L101+O101+R101+U101+X101+AA101+AD101+AG101+AJ101</f>
        <v/>
      </c>
      <c r="AN101" s="195" t="n"/>
      <c r="AO101" s="57" t="n"/>
    </row>
    <row r="102" ht="15" customHeight="1" s="985">
      <c r="B102" s="25" t="inlineStr">
        <is>
          <t>Mensajeria</t>
        </is>
      </c>
      <c r="C102" s="25">
        <f>CALI!C102+HUNGRIA!C102+YUMBO!C102+'ADULTO MAYOR'!C102+'COMEDORES VALLE'!C102+BUGA!C102+'COMEDORES CALI'!C102+'CTAS EN PPACION'!C102+'COMEDORES PALMIRA'!C102+IMDERTY!C102</f>
        <v/>
      </c>
      <c r="D102" s="43" t="n"/>
      <c r="E102" s="1045" t="n"/>
      <c r="F102" s="25">
        <f>CALI!F102+HUNGRIA!F102+YUMBO!F102+'ADULTO MAYOR'!F102+'COMEDORES VALLE'!F102+BUGA!F102+'COMEDORES CALI'!F102+'CTAS EN PPACION'!F102+'COMEDORES PALMIRA'!F102+IMDERTY!F102</f>
        <v/>
      </c>
      <c r="G102" s="43" t="n"/>
      <c r="H102" s="57" t="n"/>
      <c r="I102" s="25">
        <f>CALI!I102+HUNGRIA!I102+YUMBO!I102+'ADULTO MAYOR'!I102+'COMEDORES VALLE'!I102+BUGA!I102+'COMEDORES CALI'!I102+'CTAS EN PPACION'!I102+'COMEDORES PALMIRA'!I102+IMDERTY!I102</f>
        <v/>
      </c>
      <c r="J102" s="43" t="n"/>
      <c r="K102" s="57" t="n"/>
      <c r="L102" s="25">
        <f>CALI!L102+HUNGRIA!L102+YUMBO!L102+'ADULTO MAYOR'!L102+'COMEDORES VALLE'!L102+BUGA!L102+'COMEDORES CALI'!L102+'CTAS EN PPACION'!L102+'COMEDORES PALMIRA'!L102+IMDERTY!L102</f>
        <v/>
      </c>
      <c r="M102" s="43" t="n"/>
      <c r="N102" s="57" t="n"/>
      <c r="O102" s="25">
        <f>CALI!O102+HUNGRIA!O102+YUMBO!O102+'ADULTO MAYOR'!O102+'COMEDORES VALLE'!O102+BUGA!O102+'COMEDORES CALI'!O102+'CTAS EN PPACION'!O102+'COMEDORES PALMIRA'!O102+IMDERTY!O102</f>
        <v/>
      </c>
      <c r="P102" s="43" t="n"/>
      <c r="Q102" s="57" t="n"/>
      <c r="R102" s="25">
        <f>CALI!R102+HUNGRIA!R102+YUMBO!R102+'ADULTO MAYOR'!R102+'COMEDORES VALLE'!R102+BUGA!R102+'COMEDORES CALI'!R102+'CTAS EN PPACION'!R102+'COMEDORES PALMIRA'!R102+IMDERTY!R102</f>
        <v/>
      </c>
      <c r="S102" s="43" t="n"/>
      <c r="T102" s="57" t="n"/>
      <c r="U102" s="25">
        <f>CALI!U102+HUNGRIA!U102+YUMBO!U102+'ADULTO MAYOR'!U102+'COMEDORES VALLE'!U102+BUGA!U102+'COMEDORES CALI'!U102+'CTAS EN PPACION'!U102+'COMEDORES PALMIRA'!U102+IMDERTY!U102</f>
        <v/>
      </c>
      <c r="V102" s="43" t="n"/>
      <c r="W102" s="57" t="n"/>
      <c r="X102" s="25">
        <f>CALI!X102+HUNGRIA!X102+YUMBO!X102+'ADULTO MAYOR'!X102+'COMEDORES VALLE'!X102+BUGA!X102+'COMEDORES CALI'!X102+'CTAS EN PPACION'!X102+'COMEDORES PALMIRA'!X102+IMDERTY!X102</f>
        <v/>
      </c>
      <c r="Y102" s="43" t="n"/>
      <c r="Z102" s="57" t="n"/>
      <c r="AA102" s="25">
        <f>CALI!AA102+HUNGRIA!AA102+YUMBO!AA102+'ADULTO MAYOR'!AA102+'COMEDORES VALLE'!AA102+BUGA!AA102+'COMEDORES CALI'!AA102+'CTAS EN PPACION'!AA102+'COMEDORES PALMIRA'!AA102+IMDERTY!AA102</f>
        <v/>
      </c>
      <c r="AB102" s="43" t="n"/>
      <c r="AC102" s="57" t="n"/>
      <c r="AD102" s="25">
        <f>CALI!AD102+HUNGRIA!AD102+YUMBO!AD102+'ADULTO MAYOR'!AD102+'COMEDORES VALLE'!AD102+BUGA!AD102+'COMEDORES CALI'!AD102+'CTAS EN PPACION'!AD102+'COMEDORES PALMIRA'!AD102+IMDERTY!AD102</f>
        <v/>
      </c>
      <c r="AE102" s="43" t="n"/>
      <c r="AF102" s="57" t="n"/>
      <c r="AG102" s="25">
        <f>CALI!AG102+HUNGRIA!AG102+YUMBO!AG102+'ADULTO MAYOR'!AG102+'COMEDORES VALLE'!AG102+BUGA!AG102+'COMEDORES CALI'!AG102+'CTAS EN PPACION'!AG102+'COMEDORES PALMIRA'!AG102+IMDERTY!AG102</f>
        <v/>
      </c>
      <c r="AH102" s="43" t="n"/>
      <c r="AI102" s="57" t="n"/>
      <c r="AJ102" s="25">
        <f>CALI!AJ102+HUNGRIA!AJ102+YUMBO!AJ102+'ADULTO MAYOR'!AJ102+'COMEDORES VALLE'!AJ102+BUGA!AJ102+'COMEDORES CALI'!AJ102+'CTAS EN PPACION'!AJ102+'COMEDORES PALMIRA'!AJ102+IMDERTY!AJ102</f>
        <v/>
      </c>
      <c r="AK102" s="43" t="n"/>
      <c r="AL102" s="57" t="n"/>
      <c r="AM102" s="24">
        <f>C102+F102+I102+L102+O102+R102+U102+X102+AA102+AD102+AG102+AJ102</f>
        <v/>
      </c>
      <c r="AN102" s="195" t="n"/>
      <c r="AO102" s="57" t="n"/>
    </row>
    <row r="103" ht="15" customHeight="1" s="985">
      <c r="B103" s="25" t="inlineStr">
        <is>
          <t>Laboratorio</t>
        </is>
      </c>
      <c r="C103" s="25">
        <f>CALI!C103+HUNGRIA!C103+YUMBO!C103+'ADULTO MAYOR'!C103+'COMEDORES VALLE'!C103+BUGA!C103+'COMEDORES CALI'!C103+'CTAS EN PPACION'!C103+'COMEDORES PALMIRA'!C103+IMDERTY!C103</f>
        <v/>
      </c>
      <c r="D103" s="43" t="n"/>
      <c r="E103" s="1045" t="n"/>
      <c r="F103" s="25">
        <f>CALI!F103+HUNGRIA!F103+YUMBO!F103+'ADULTO MAYOR'!F103+'COMEDORES VALLE'!F103+BUGA!F103+'COMEDORES CALI'!F103+'CTAS EN PPACION'!F103+'COMEDORES PALMIRA'!F103+IMDERTY!F103</f>
        <v/>
      </c>
      <c r="G103" s="43" t="n"/>
      <c r="H103" s="57" t="n"/>
      <c r="I103" s="25">
        <f>CALI!I103+HUNGRIA!I103+YUMBO!I103+'ADULTO MAYOR'!I103+'COMEDORES VALLE'!I103+BUGA!I103+'COMEDORES CALI'!I103+'CTAS EN PPACION'!I103+'COMEDORES PALMIRA'!I103+IMDERTY!I103</f>
        <v/>
      </c>
      <c r="J103" s="43" t="n"/>
      <c r="K103" s="57" t="n"/>
      <c r="L103" s="25">
        <f>CALI!L103+HUNGRIA!L103+YUMBO!L103+'ADULTO MAYOR'!L103+'COMEDORES VALLE'!L103+BUGA!L103+'COMEDORES CALI'!L103+'CTAS EN PPACION'!L103+'COMEDORES PALMIRA'!L103+IMDERTY!L103</f>
        <v/>
      </c>
      <c r="M103" s="43" t="n"/>
      <c r="N103" s="57" t="n"/>
      <c r="O103" s="25">
        <f>CALI!O103+HUNGRIA!O103+YUMBO!O103+'ADULTO MAYOR'!O103+'COMEDORES VALLE'!O103+BUGA!O103+'COMEDORES CALI'!O103+'CTAS EN PPACION'!O103+'COMEDORES PALMIRA'!O103+IMDERTY!O103</f>
        <v/>
      </c>
      <c r="P103" s="43" t="n"/>
      <c r="Q103" s="57" t="n"/>
      <c r="R103" s="25">
        <f>CALI!R103+HUNGRIA!R103+YUMBO!R103+'ADULTO MAYOR'!R103+'COMEDORES VALLE'!R103+BUGA!R103+'COMEDORES CALI'!R103+'CTAS EN PPACION'!R103+'COMEDORES PALMIRA'!R103+IMDERTY!R103</f>
        <v/>
      </c>
      <c r="S103" s="43" t="n"/>
      <c r="T103" s="57" t="n"/>
      <c r="U103" s="25">
        <f>CALI!U103+HUNGRIA!U103+YUMBO!U103+'ADULTO MAYOR'!U103+'COMEDORES VALLE'!U103+BUGA!U103+'COMEDORES CALI'!U103+'CTAS EN PPACION'!U103+'COMEDORES PALMIRA'!U103+IMDERTY!U103</f>
        <v/>
      </c>
      <c r="V103" s="43" t="n"/>
      <c r="W103" s="57" t="n"/>
      <c r="X103" s="25">
        <f>CALI!X103+HUNGRIA!X103+YUMBO!X103+'ADULTO MAYOR'!X103+'COMEDORES VALLE'!X103+BUGA!X103+'COMEDORES CALI'!X103+'CTAS EN PPACION'!X103+'COMEDORES PALMIRA'!X103+IMDERTY!X103</f>
        <v/>
      </c>
      <c r="Y103" s="43" t="n"/>
      <c r="Z103" s="57" t="n"/>
      <c r="AA103" s="25">
        <f>CALI!AA103+HUNGRIA!AA103+YUMBO!AA103+'ADULTO MAYOR'!AA103+'COMEDORES VALLE'!AA103+BUGA!AA103+'COMEDORES CALI'!AA103+'CTAS EN PPACION'!AA103+'COMEDORES PALMIRA'!AA103+IMDERTY!AA103</f>
        <v/>
      </c>
      <c r="AB103" s="43" t="n"/>
      <c r="AC103" s="57" t="n"/>
      <c r="AD103" s="25">
        <f>CALI!AD103+HUNGRIA!AD103+YUMBO!AD103+'ADULTO MAYOR'!AD103+'COMEDORES VALLE'!AD103+BUGA!AD103+'COMEDORES CALI'!AD103+'CTAS EN PPACION'!AD103+'COMEDORES PALMIRA'!AD103+IMDERTY!AD103</f>
        <v/>
      </c>
      <c r="AE103" s="43" t="n"/>
      <c r="AF103" s="57" t="n"/>
      <c r="AG103" s="25">
        <f>CALI!AG103+HUNGRIA!AG103+YUMBO!AG103+'ADULTO MAYOR'!AG103+'COMEDORES VALLE'!AG103+BUGA!AG103+'COMEDORES CALI'!AG103+'CTAS EN PPACION'!AG103+'COMEDORES PALMIRA'!AG103+IMDERTY!AG103</f>
        <v/>
      </c>
      <c r="AH103" s="43" t="n"/>
      <c r="AI103" s="57" t="n"/>
      <c r="AJ103" s="25">
        <f>CALI!AJ103+HUNGRIA!AJ103+YUMBO!AJ103+'ADULTO MAYOR'!AJ103+'COMEDORES VALLE'!AJ103+BUGA!AJ103+'COMEDORES CALI'!AJ103+'CTAS EN PPACION'!AJ103+'COMEDORES PALMIRA'!AJ103+IMDERTY!AJ103</f>
        <v/>
      </c>
      <c r="AK103" s="43" t="n"/>
      <c r="AL103" s="57" t="n"/>
      <c r="AM103" s="24">
        <f>C103+F103+I103+L103+O103+R103+U103+X103+AA103+AD103+AG103+AJ103</f>
        <v/>
      </c>
      <c r="AN103" s="195" t="n"/>
      <c r="AO103" s="57" t="n"/>
    </row>
    <row r="104" ht="15" customHeight="1" s="985">
      <c r="B104" s="25" t="inlineStr">
        <is>
          <t>Fumigacion</t>
        </is>
      </c>
      <c r="C104" s="25">
        <f>CALI!C104+HUNGRIA!C104+YUMBO!C104+'ADULTO MAYOR'!C104+'COMEDORES VALLE'!C104+BUGA!C104+'COMEDORES CALI'!C104+'CTAS EN PPACION'!C104+'COMEDORES PALMIRA'!C104+IMDERTY!C104</f>
        <v/>
      </c>
      <c r="D104" s="43" t="n"/>
      <c r="E104" s="1045" t="n"/>
      <c r="F104" s="25">
        <f>CALI!F104+HUNGRIA!F104+YUMBO!F104+'ADULTO MAYOR'!F104+'COMEDORES VALLE'!F104+BUGA!F104+'COMEDORES CALI'!F104+'CTAS EN PPACION'!F104+'COMEDORES PALMIRA'!F104+IMDERTY!F104</f>
        <v/>
      </c>
      <c r="G104" s="43" t="n"/>
      <c r="H104" s="57" t="n"/>
      <c r="I104" s="25">
        <f>CALI!I104+HUNGRIA!I104+YUMBO!I104+'ADULTO MAYOR'!I104+'COMEDORES VALLE'!I104+BUGA!I104+'COMEDORES CALI'!I104+'CTAS EN PPACION'!I104+'COMEDORES PALMIRA'!I104+IMDERTY!I104</f>
        <v/>
      </c>
      <c r="J104" s="43" t="n"/>
      <c r="K104" s="57" t="n"/>
      <c r="L104" s="25">
        <f>CALI!L104+HUNGRIA!L104+YUMBO!L104+'ADULTO MAYOR'!L104+'COMEDORES VALLE'!L104+BUGA!L104+'COMEDORES CALI'!L104+'CTAS EN PPACION'!L104+'COMEDORES PALMIRA'!L104+IMDERTY!L104</f>
        <v/>
      </c>
      <c r="M104" s="43" t="n"/>
      <c r="N104" s="57" t="n"/>
      <c r="O104" s="25">
        <f>CALI!O104+HUNGRIA!O104+YUMBO!O104+'ADULTO MAYOR'!O104+'COMEDORES VALLE'!O104+BUGA!O104+'COMEDORES CALI'!O104+'CTAS EN PPACION'!O104+'COMEDORES PALMIRA'!O104+IMDERTY!O104</f>
        <v/>
      </c>
      <c r="P104" s="43" t="n"/>
      <c r="Q104" s="57" t="n"/>
      <c r="R104" s="25">
        <f>CALI!R104+HUNGRIA!R104+YUMBO!R104+'ADULTO MAYOR'!R104+'COMEDORES VALLE'!R104+BUGA!R104+'COMEDORES CALI'!R104+'CTAS EN PPACION'!R104+'COMEDORES PALMIRA'!R104+IMDERTY!R104</f>
        <v/>
      </c>
      <c r="S104" s="43" t="n"/>
      <c r="T104" s="57" t="n"/>
      <c r="U104" s="25">
        <f>CALI!U104+HUNGRIA!U104+YUMBO!U104+'ADULTO MAYOR'!U104+'COMEDORES VALLE'!U104+BUGA!U104+'COMEDORES CALI'!U104+'CTAS EN PPACION'!U104+'COMEDORES PALMIRA'!U104+IMDERTY!U104</f>
        <v/>
      </c>
      <c r="V104" s="43" t="n"/>
      <c r="W104" s="57" t="n"/>
      <c r="X104" s="25">
        <f>CALI!X104+HUNGRIA!X104+YUMBO!X104+'ADULTO MAYOR'!X104+'COMEDORES VALLE'!X104+BUGA!X104+'COMEDORES CALI'!X104+'CTAS EN PPACION'!X104+'COMEDORES PALMIRA'!X104+IMDERTY!X104</f>
        <v/>
      </c>
      <c r="Y104" s="43" t="n"/>
      <c r="Z104" s="57" t="n"/>
      <c r="AA104" s="25">
        <f>CALI!AA104+HUNGRIA!AA104+YUMBO!AA104+'ADULTO MAYOR'!AA104+'COMEDORES VALLE'!AA104+BUGA!AA104+'COMEDORES CALI'!AA104+'CTAS EN PPACION'!AA104+'COMEDORES PALMIRA'!AA104+IMDERTY!AA104</f>
        <v/>
      </c>
      <c r="AB104" s="43" t="n"/>
      <c r="AC104" s="57" t="n"/>
      <c r="AD104" s="25">
        <f>CALI!AD104+HUNGRIA!AD104+YUMBO!AD104+'ADULTO MAYOR'!AD104+'COMEDORES VALLE'!AD104+BUGA!AD104+'COMEDORES CALI'!AD104+'CTAS EN PPACION'!AD104+'COMEDORES PALMIRA'!AD104+IMDERTY!AD104</f>
        <v/>
      </c>
      <c r="AE104" s="43" t="n"/>
      <c r="AF104" s="57" t="n"/>
      <c r="AG104" s="25">
        <f>CALI!AG104+HUNGRIA!AG104+YUMBO!AG104+'ADULTO MAYOR'!AG104+'COMEDORES VALLE'!AG104+BUGA!AG104+'COMEDORES CALI'!AG104+'CTAS EN PPACION'!AG104+'COMEDORES PALMIRA'!AG104+IMDERTY!AG104</f>
        <v/>
      </c>
      <c r="AH104" s="43" t="n"/>
      <c r="AI104" s="57" t="n"/>
      <c r="AJ104" s="25">
        <f>CALI!AJ104+HUNGRIA!AJ104+YUMBO!AJ104+'ADULTO MAYOR'!AJ104+'COMEDORES VALLE'!AJ104+BUGA!AJ104+'COMEDORES CALI'!AJ104+'CTAS EN PPACION'!AJ104+'COMEDORES PALMIRA'!AJ104+IMDERTY!AJ104</f>
        <v/>
      </c>
      <c r="AK104" s="43" t="n"/>
      <c r="AL104" s="57" t="n"/>
      <c r="AM104" s="24">
        <f>C104+F104+I104+L104+O104+R104+U104+X104+AA104+AD104+AG104+AJ104</f>
        <v/>
      </c>
      <c r="AN104" s="195" t="n"/>
      <c r="AO104" s="57" t="n"/>
    </row>
    <row r="105" ht="15" customHeight="1" s="985">
      <c r="B105" s="25" t="inlineStr">
        <is>
          <t>Acueducto y Alcantarillado</t>
        </is>
      </c>
      <c r="C105" s="25">
        <f>CALI!C105+HUNGRIA!C105+YUMBO!C105+'ADULTO MAYOR'!C105+'COMEDORES VALLE'!C105+BUGA!C105+'COMEDORES CALI'!C105+'CTAS EN PPACION'!C105+'COMEDORES PALMIRA'!C105+IMDERTY!C105</f>
        <v/>
      </c>
      <c r="D105" s="43" t="n"/>
      <c r="E105" s="1045" t="n"/>
      <c r="F105" s="25">
        <f>CALI!F105+HUNGRIA!F105+YUMBO!F105+'ADULTO MAYOR'!F105+'COMEDORES VALLE'!F105+BUGA!F105+'COMEDORES CALI'!F105+'CTAS EN PPACION'!F105+'COMEDORES PALMIRA'!F105+IMDERTY!F105</f>
        <v/>
      </c>
      <c r="G105" s="43" t="n"/>
      <c r="H105" s="57" t="n"/>
      <c r="I105" s="25">
        <f>CALI!I105+HUNGRIA!I105+YUMBO!I105+'ADULTO MAYOR'!I105+'COMEDORES VALLE'!I105+BUGA!I105+'COMEDORES CALI'!I105+'CTAS EN PPACION'!I105+'COMEDORES PALMIRA'!I105+IMDERTY!I105</f>
        <v/>
      </c>
      <c r="J105" s="43" t="n"/>
      <c r="K105" s="57" t="n"/>
      <c r="L105" s="25">
        <f>CALI!L105+HUNGRIA!L105+YUMBO!L105+'ADULTO MAYOR'!L105+'COMEDORES VALLE'!L105+BUGA!L105+'COMEDORES CALI'!L105+'CTAS EN PPACION'!L105+'COMEDORES PALMIRA'!L105+IMDERTY!L105</f>
        <v/>
      </c>
      <c r="M105" s="43" t="n"/>
      <c r="N105" s="57" t="n"/>
      <c r="O105" s="25">
        <f>CALI!O105+HUNGRIA!O105+YUMBO!O105+'ADULTO MAYOR'!O105+'COMEDORES VALLE'!O105+BUGA!O105+'COMEDORES CALI'!O105+'CTAS EN PPACION'!O105+'COMEDORES PALMIRA'!O105+IMDERTY!O105</f>
        <v/>
      </c>
      <c r="P105" s="43" t="n"/>
      <c r="Q105" s="57" t="n"/>
      <c r="R105" s="25">
        <f>CALI!R105+HUNGRIA!R105+YUMBO!R105+'ADULTO MAYOR'!R105+'COMEDORES VALLE'!R105+BUGA!R105+'COMEDORES CALI'!R105+'CTAS EN PPACION'!R105+'COMEDORES PALMIRA'!R105+IMDERTY!R105</f>
        <v/>
      </c>
      <c r="S105" s="43" t="n"/>
      <c r="T105" s="57" t="n"/>
      <c r="U105" s="25">
        <f>CALI!U105+HUNGRIA!U105+YUMBO!U105+'ADULTO MAYOR'!U105+'COMEDORES VALLE'!U105+BUGA!U105+'COMEDORES CALI'!U105+'CTAS EN PPACION'!U105+'COMEDORES PALMIRA'!U105+IMDERTY!U105</f>
        <v/>
      </c>
      <c r="V105" s="43" t="n"/>
      <c r="W105" s="57" t="n"/>
      <c r="X105" s="25">
        <f>CALI!X105+HUNGRIA!X105+YUMBO!X105+'ADULTO MAYOR'!X105+'COMEDORES VALLE'!X105+BUGA!X105+'COMEDORES CALI'!X105+'CTAS EN PPACION'!X105+'COMEDORES PALMIRA'!X105+IMDERTY!X105</f>
        <v/>
      </c>
      <c r="Y105" s="43" t="n"/>
      <c r="Z105" s="57" t="n"/>
      <c r="AA105" s="25">
        <f>CALI!AA105+HUNGRIA!AA105+YUMBO!AA105+'ADULTO MAYOR'!AA105+'COMEDORES VALLE'!AA105+BUGA!AA105+'COMEDORES CALI'!AA105+'CTAS EN PPACION'!AA105+'COMEDORES PALMIRA'!AA105+IMDERTY!AA105</f>
        <v/>
      </c>
      <c r="AB105" s="43" t="n"/>
      <c r="AC105" s="57" t="n"/>
      <c r="AD105" s="25">
        <f>CALI!AD105+HUNGRIA!AD105+YUMBO!AD105+'ADULTO MAYOR'!AD105+'COMEDORES VALLE'!AD105+BUGA!AD105+'COMEDORES CALI'!AD105+'CTAS EN PPACION'!AD105+'COMEDORES PALMIRA'!AD105+IMDERTY!AD105</f>
        <v/>
      </c>
      <c r="AE105" s="43" t="n"/>
      <c r="AF105" s="57" t="n"/>
      <c r="AG105" s="25">
        <f>CALI!AG105+HUNGRIA!AG105+YUMBO!AG105+'ADULTO MAYOR'!AG105+'COMEDORES VALLE'!AG105+BUGA!AG105+'COMEDORES CALI'!AG105+'CTAS EN PPACION'!AG105+'COMEDORES PALMIRA'!AG105+IMDERTY!AG105</f>
        <v/>
      </c>
      <c r="AH105" s="43" t="n"/>
      <c r="AI105" s="57" t="n"/>
      <c r="AJ105" s="25">
        <f>CALI!AJ105+HUNGRIA!AJ105+YUMBO!AJ105+'ADULTO MAYOR'!AJ105+'COMEDORES VALLE'!AJ105+BUGA!AJ105+'COMEDORES CALI'!AJ105+'CTAS EN PPACION'!AJ105+'COMEDORES PALMIRA'!AJ105+IMDERTY!AJ105</f>
        <v/>
      </c>
      <c r="AK105" s="43" t="n"/>
      <c r="AL105" s="57" t="n"/>
      <c r="AM105" s="24">
        <f>C105+F105+I105+L105+O105+R105+U105+X105+AA105+AD105+AG105+AJ105</f>
        <v/>
      </c>
      <c r="AN105" s="195" t="n"/>
      <c r="AO105" s="57" t="n"/>
    </row>
    <row r="106" ht="15" customHeight="1" s="985">
      <c r="B106" s="25" t="inlineStr">
        <is>
          <t>Energia</t>
        </is>
      </c>
      <c r="C106" s="25">
        <f>CALI!C106+HUNGRIA!C106+YUMBO!C106+'ADULTO MAYOR'!C106+'COMEDORES VALLE'!C106+BUGA!C106+'COMEDORES CALI'!C106+'CTAS EN PPACION'!C106+'COMEDORES PALMIRA'!C106+IMDERTY!C106</f>
        <v/>
      </c>
      <c r="D106" s="43" t="n"/>
      <c r="E106" s="1045" t="n"/>
      <c r="F106" s="25">
        <f>CALI!F106+HUNGRIA!F106+YUMBO!F106+'ADULTO MAYOR'!F106+'COMEDORES VALLE'!F106+BUGA!F106+'COMEDORES CALI'!F106+'CTAS EN PPACION'!F106+'COMEDORES PALMIRA'!F106+IMDERTY!F106</f>
        <v/>
      </c>
      <c r="G106" s="43" t="n"/>
      <c r="H106" s="57" t="n"/>
      <c r="I106" s="25">
        <f>CALI!I106+HUNGRIA!I106+YUMBO!I106+'ADULTO MAYOR'!I106+'COMEDORES VALLE'!I106+BUGA!I106+'COMEDORES CALI'!I106+'CTAS EN PPACION'!I106+'COMEDORES PALMIRA'!I106+IMDERTY!I106</f>
        <v/>
      </c>
      <c r="J106" s="43" t="n"/>
      <c r="K106" s="57" t="n"/>
      <c r="L106" s="25">
        <f>CALI!L106+HUNGRIA!L106+YUMBO!L106+'ADULTO MAYOR'!L106+'COMEDORES VALLE'!L106+BUGA!L106+'COMEDORES CALI'!L106+'CTAS EN PPACION'!L106+'COMEDORES PALMIRA'!L106+IMDERTY!L106</f>
        <v/>
      </c>
      <c r="M106" s="43" t="n"/>
      <c r="N106" s="57" t="n"/>
      <c r="O106" s="25">
        <f>CALI!O106+HUNGRIA!O106+YUMBO!O106+'ADULTO MAYOR'!O106+'COMEDORES VALLE'!O106+BUGA!O106+'COMEDORES CALI'!O106+'CTAS EN PPACION'!O106+'COMEDORES PALMIRA'!O106+IMDERTY!O106</f>
        <v/>
      </c>
      <c r="P106" s="43" t="n"/>
      <c r="Q106" s="57" t="n"/>
      <c r="R106" s="25">
        <f>CALI!R106+HUNGRIA!R106+YUMBO!R106+'ADULTO MAYOR'!R106+'COMEDORES VALLE'!R106+BUGA!R106+'COMEDORES CALI'!R106+'CTAS EN PPACION'!R106+'COMEDORES PALMIRA'!R106+IMDERTY!R106</f>
        <v/>
      </c>
      <c r="S106" s="43" t="n"/>
      <c r="T106" s="57" t="n"/>
      <c r="U106" s="25">
        <f>CALI!U106+HUNGRIA!U106+YUMBO!U106+'ADULTO MAYOR'!U106+'COMEDORES VALLE'!U106+BUGA!U106+'COMEDORES CALI'!U106+'CTAS EN PPACION'!U106+'COMEDORES PALMIRA'!U106+IMDERTY!U106</f>
        <v/>
      </c>
      <c r="V106" s="43" t="n"/>
      <c r="W106" s="57" t="n"/>
      <c r="X106" s="25">
        <f>CALI!X106+HUNGRIA!X106+YUMBO!X106+'ADULTO MAYOR'!X106+'COMEDORES VALLE'!X106+BUGA!X106+'COMEDORES CALI'!X106+'CTAS EN PPACION'!X106+'COMEDORES PALMIRA'!X106+IMDERTY!X106</f>
        <v/>
      </c>
      <c r="Y106" s="43" t="n"/>
      <c r="Z106" s="57" t="n"/>
      <c r="AA106" s="25">
        <f>CALI!AA106+HUNGRIA!AA106+YUMBO!AA106+'ADULTO MAYOR'!AA106+'COMEDORES VALLE'!AA106+BUGA!AA106+'COMEDORES CALI'!AA106+'CTAS EN PPACION'!AA106+'COMEDORES PALMIRA'!AA106+IMDERTY!AA106</f>
        <v/>
      </c>
      <c r="AB106" s="43" t="n"/>
      <c r="AC106" s="57" t="n"/>
      <c r="AD106" s="25">
        <f>CALI!AD106+HUNGRIA!AD106+YUMBO!AD106+'ADULTO MAYOR'!AD106+'COMEDORES VALLE'!AD106+BUGA!AD106+'COMEDORES CALI'!AD106+'CTAS EN PPACION'!AD106+'COMEDORES PALMIRA'!AD106+IMDERTY!AD106</f>
        <v/>
      </c>
      <c r="AE106" s="43" t="n"/>
      <c r="AF106" s="57" t="n"/>
      <c r="AG106" s="25">
        <f>CALI!AG106+HUNGRIA!AG106+YUMBO!AG106+'ADULTO MAYOR'!AG106+'COMEDORES VALLE'!AG106+BUGA!AG106+'COMEDORES CALI'!AG106+'CTAS EN PPACION'!AG106+'COMEDORES PALMIRA'!AG106+IMDERTY!AG106</f>
        <v/>
      </c>
      <c r="AH106" s="43" t="n"/>
      <c r="AI106" s="57" t="n"/>
      <c r="AJ106" s="25">
        <f>CALI!AJ106+HUNGRIA!AJ106+YUMBO!AJ106+'ADULTO MAYOR'!AJ106+'COMEDORES VALLE'!AJ106+BUGA!AJ106+'COMEDORES CALI'!AJ106+'CTAS EN PPACION'!AJ106+'COMEDORES PALMIRA'!AJ106+IMDERTY!AJ106</f>
        <v/>
      </c>
      <c r="AK106" s="43" t="n"/>
      <c r="AL106" s="57" t="n"/>
      <c r="AM106" s="24">
        <f>C106+F106+I106+L106+O106+R106+U106+X106+AA106+AD106+AG106+AJ106</f>
        <v/>
      </c>
      <c r="AN106" s="195" t="n"/>
      <c r="AO106" s="57" t="n"/>
    </row>
    <row r="107" ht="15" customHeight="1" s="985">
      <c r="B107" s="205" t="inlineStr">
        <is>
          <t>Telefono e Internet</t>
        </is>
      </c>
      <c r="C107" s="25">
        <f>CALI!C107+HUNGRIA!C107+YUMBO!C107+'ADULTO MAYOR'!C107+'COMEDORES VALLE'!C107+BUGA!C107+'COMEDORES CALI'!C107+'CTAS EN PPACION'!C107+'COMEDORES PALMIRA'!C107+IMDERTY!C107</f>
        <v/>
      </c>
      <c r="D107" s="43" t="n"/>
      <c r="E107" s="1045" t="n"/>
      <c r="F107" s="25">
        <f>CALI!F107+HUNGRIA!F107+YUMBO!F107+'ADULTO MAYOR'!F107+'COMEDORES VALLE'!F107+BUGA!F107+'COMEDORES CALI'!F107+'CTAS EN PPACION'!F107+'COMEDORES PALMIRA'!F107+IMDERTY!F107</f>
        <v/>
      </c>
      <c r="G107" s="43" t="n"/>
      <c r="H107" s="57" t="n"/>
      <c r="I107" s="25">
        <f>CALI!I107+HUNGRIA!I107+YUMBO!I107+'ADULTO MAYOR'!I107+'COMEDORES VALLE'!I107+BUGA!I107+'COMEDORES CALI'!I107+'CTAS EN PPACION'!I107+'COMEDORES PALMIRA'!I107+IMDERTY!I107</f>
        <v/>
      </c>
      <c r="J107" s="43" t="n"/>
      <c r="K107" s="57" t="n"/>
      <c r="L107" s="25">
        <f>CALI!L107+HUNGRIA!L107+YUMBO!L107+'ADULTO MAYOR'!L107+'COMEDORES VALLE'!L107+BUGA!L107+'COMEDORES CALI'!L107+'CTAS EN PPACION'!L107+'COMEDORES PALMIRA'!L107+IMDERTY!L107</f>
        <v/>
      </c>
      <c r="M107" s="43" t="n"/>
      <c r="N107" s="57" t="n"/>
      <c r="O107" s="25">
        <f>CALI!O107+HUNGRIA!O107+YUMBO!O107+'ADULTO MAYOR'!O107+'COMEDORES VALLE'!O107+BUGA!O107+'COMEDORES CALI'!O107+'CTAS EN PPACION'!O107+'COMEDORES PALMIRA'!O107+IMDERTY!O107</f>
        <v/>
      </c>
      <c r="P107" s="43" t="n"/>
      <c r="Q107" s="57" t="n"/>
      <c r="R107" s="25">
        <f>CALI!R107+HUNGRIA!R107+YUMBO!R107+'ADULTO MAYOR'!R107+'COMEDORES VALLE'!R107+BUGA!R107+'COMEDORES CALI'!R107+'CTAS EN PPACION'!R107+'COMEDORES PALMIRA'!R107+IMDERTY!R107</f>
        <v/>
      </c>
      <c r="S107" s="43" t="n"/>
      <c r="T107" s="57" t="n"/>
      <c r="U107" s="25">
        <f>CALI!U107+HUNGRIA!U107+YUMBO!U107+'ADULTO MAYOR'!U107+'COMEDORES VALLE'!U107+BUGA!U107+'COMEDORES CALI'!U107+'CTAS EN PPACION'!U107+'COMEDORES PALMIRA'!U107+IMDERTY!U107</f>
        <v/>
      </c>
      <c r="V107" s="43" t="n"/>
      <c r="W107" s="57" t="n"/>
      <c r="X107" s="25">
        <f>CALI!X107+HUNGRIA!X107+YUMBO!X107+'ADULTO MAYOR'!X107+'COMEDORES VALLE'!X107+BUGA!X107+'COMEDORES CALI'!X107+'CTAS EN PPACION'!X107+'COMEDORES PALMIRA'!X107+IMDERTY!X107</f>
        <v/>
      </c>
      <c r="Y107" s="43" t="n"/>
      <c r="Z107" s="57" t="n"/>
      <c r="AA107" s="25">
        <f>CALI!AA107+HUNGRIA!AA107+YUMBO!AA107+'ADULTO MAYOR'!AA107+'COMEDORES VALLE'!AA107+BUGA!AA107+'COMEDORES CALI'!AA107+'CTAS EN PPACION'!AA107+'COMEDORES PALMIRA'!AA107+IMDERTY!AA107</f>
        <v/>
      </c>
      <c r="AB107" s="43" t="n"/>
      <c r="AC107" s="57" t="n"/>
      <c r="AD107" s="25">
        <f>CALI!AD107+HUNGRIA!AD107+YUMBO!AD107+'ADULTO MAYOR'!AD107+'COMEDORES VALLE'!AD107+BUGA!AD107+'COMEDORES CALI'!AD107+'CTAS EN PPACION'!AD107+'COMEDORES PALMIRA'!AD107+IMDERTY!AD107</f>
        <v/>
      </c>
      <c r="AE107" s="43" t="n"/>
      <c r="AF107" s="57" t="n"/>
      <c r="AG107" s="25">
        <f>CALI!AG107+HUNGRIA!AG107+YUMBO!AG107+'ADULTO MAYOR'!AG107+'COMEDORES VALLE'!AG107+BUGA!AG107+'COMEDORES CALI'!AG107+'CTAS EN PPACION'!AG107+'COMEDORES PALMIRA'!AG107+IMDERTY!AG107</f>
        <v/>
      </c>
      <c r="AH107" s="43" t="n"/>
      <c r="AI107" s="57" t="n"/>
      <c r="AJ107" s="25">
        <f>CALI!AJ107+HUNGRIA!AJ107+YUMBO!AJ107+'ADULTO MAYOR'!AJ107+'COMEDORES VALLE'!AJ107+BUGA!AJ107+'COMEDORES CALI'!AJ107+'CTAS EN PPACION'!AJ107+'COMEDORES PALMIRA'!AJ107+IMDERTY!AJ107</f>
        <v/>
      </c>
      <c r="AK107" s="43" t="n"/>
      <c r="AL107" s="57" t="n"/>
      <c r="AM107" s="24">
        <f>C107+F107+I107+L107+O107+R107+U107+X107+AA107+AD107+AG107+AJ107</f>
        <v/>
      </c>
      <c r="AN107" s="195" t="n"/>
      <c r="AO107" s="57" t="n"/>
    </row>
    <row r="108" ht="15" customHeight="1" s="985">
      <c r="B108" s="97" t="inlineStr">
        <is>
          <t>Correo, porte y telegramas</t>
        </is>
      </c>
      <c r="C108" s="28">
        <f>CALI!C108+HUNGRIA!C108+YUMBO!C108+'ADULTO MAYOR'!C108+'COMEDORES VALLE'!C108+BUGA!C108+'COMEDORES CALI'!C108+'CTAS EN PPACION'!C108+'COMEDORES PALMIRA'!C108+IMDERTY!C108</f>
        <v/>
      </c>
      <c r="D108" s="42" t="n"/>
      <c r="E108" s="1057" t="n"/>
      <c r="F108" s="28">
        <f>CALI!F108+HUNGRIA!F108+YUMBO!F108+'ADULTO MAYOR'!F108+'COMEDORES VALLE'!F108+BUGA!F108+'COMEDORES CALI'!F108+'CTAS EN PPACION'!F108+'COMEDORES PALMIRA'!F108+IMDERTY!F108</f>
        <v/>
      </c>
      <c r="G108" s="42" t="n"/>
      <c r="H108" s="56" t="n"/>
      <c r="I108" s="28">
        <f>CALI!I108+HUNGRIA!I108+YUMBO!I108+'ADULTO MAYOR'!I108+'COMEDORES VALLE'!I108+BUGA!I108+'COMEDORES CALI'!I108+'CTAS EN PPACION'!I108+'COMEDORES PALMIRA'!I108+IMDERTY!I108</f>
        <v/>
      </c>
      <c r="J108" s="42" t="n"/>
      <c r="K108" s="56" t="n"/>
      <c r="L108" s="28">
        <f>CALI!L108+HUNGRIA!L108+YUMBO!L108+'ADULTO MAYOR'!L108+'COMEDORES VALLE'!L108+BUGA!L108+'COMEDORES CALI'!L108+'CTAS EN PPACION'!L108+'COMEDORES PALMIRA'!L108+IMDERTY!L108</f>
        <v/>
      </c>
      <c r="M108" s="42" t="n"/>
      <c r="N108" s="56" t="n"/>
      <c r="O108" s="22">
        <f>CALI!O108+HUNGRIA!O108+YUMBO!O108+'ADULTO MAYOR'!O108+'COMEDORES VALLE'!O108+BUGA!O108+'COMEDORES CALI'!O108+'CTAS EN PPACION'!O108+'COMEDORES PALMIRA'!O108+IMDERTY!O108</f>
        <v/>
      </c>
      <c r="P108" s="42" t="n"/>
      <c r="Q108" s="56" t="n"/>
      <c r="R108" s="22">
        <f>CALI!R108+HUNGRIA!R108+YUMBO!R108+'ADULTO MAYOR'!R108+'COMEDORES VALLE'!R108+BUGA!R108+'COMEDORES CALI'!R108+'CTAS EN PPACION'!R108+'COMEDORES PALMIRA'!R108+IMDERTY!R108</f>
        <v/>
      </c>
      <c r="S108" s="42" t="n"/>
      <c r="T108" s="56" t="n"/>
      <c r="U108" s="22">
        <f>CALI!U108+HUNGRIA!U108+YUMBO!U108+'ADULTO MAYOR'!U108+'COMEDORES VALLE'!U108+BUGA!U108+'COMEDORES CALI'!U108+'CTAS EN PPACION'!U108+'COMEDORES PALMIRA'!U108+IMDERTY!U108</f>
        <v/>
      </c>
      <c r="V108" s="42" t="n"/>
      <c r="W108" s="56" t="n"/>
      <c r="X108" s="22">
        <f>CALI!X108+HUNGRIA!X108+YUMBO!X108+'ADULTO MAYOR'!X108+'COMEDORES VALLE'!X108+BUGA!X108+'COMEDORES CALI'!X108+'CTAS EN PPACION'!X108+'COMEDORES PALMIRA'!X108+IMDERTY!X108</f>
        <v/>
      </c>
      <c r="Y108" s="42" t="n"/>
      <c r="Z108" s="56" t="n"/>
      <c r="AA108" s="22">
        <f>CALI!AA108+HUNGRIA!AA108+YUMBO!AA108+'ADULTO MAYOR'!AA108+'COMEDORES VALLE'!AA108+BUGA!AA108+'COMEDORES CALI'!AA108+'CTAS EN PPACION'!AA108+'COMEDORES PALMIRA'!AA108+IMDERTY!AA108</f>
        <v/>
      </c>
      <c r="AB108" s="42" t="n"/>
      <c r="AC108" s="56" t="n"/>
      <c r="AD108" s="22">
        <f>CALI!AD108+HUNGRIA!AD108+YUMBO!AD108+'ADULTO MAYOR'!AD108+'COMEDORES VALLE'!AD108+BUGA!AD108+'COMEDORES CALI'!AD108+'CTAS EN PPACION'!AD108+'COMEDORES PALMIRA'!AD108+IMDERTY!AD108</f>
        <v/>
      </c>
      <c r="AE108" s="42" t="n"/>
      <c r="AF108" s="56" t="n"/>
      <c r="AG108" s="22">
        <f>CALI!AG108+HUNGRIA!AG108+YUMBO!AG108+'ADULTO MAYOR'!AG108+'COMEDORES VALLE'!AG108+BUGA!AG108+'COMEDORES CALI'!AG108+'CTAS EN PPACION'!AG108+'COMEDORES PALMIRA'!AG108+IMDERTY!AG108</f>
        <v/>
      </c>
      <c r="AH108" s="42" t="n"/>
      <c r="AI108" s="56" t="n"/>
      <c r="AJ108" s="22">
        <f>CALI!AJ108+HUNGRIA!AJ108+YUMBO!AJ108+'ADULTO MAYOR'!AJ108+'COMEDORES VALLE'!AJ108+BUGA!AJ108+'COMEDORES CALI'!AJ108+'CTAS EN PPACION'!AJ108+'COMEDORES PALMIRA'!AJ108+IMDERTY!AJ108</f>
        <v/>
      </c>
      <c r="AK108" s="42" t="n"/>
      <c r="AL108" s="56" t="n"/>
      <c r="AM108" s="23">
        <f>C108+F108+I108+L108+O108+R108+U108+X108+AA108+AD108+AG108+AJ108</f>
        <v/>
      </c>
      <c r="AN108" s="194" t="n"/>
      <c r="AO108" s="56" t="n"/>
    </row>
    <row r="109" ht="15" customHeight="1" s="985">
      <c r="B109" s="16" t="inlineStr">
        <is>
          <t>GASTOS LEGALES</t>
        </is>
      </c>
      <c r="C109" s="49">
        <f>SUM(C110:C113)</f>
        <v/>
      </c>
      <c r="D109" s="3" t="n"/>
      <c r="E109" s="1053">
        <f>C109/(C$13)</f>
        <v/>
      </c>
      <c r="F109" s="49">
        <f>SUM(F110:F113)</f>
        <v/>
      </c>
      <c r="G109" s="3" t="n"/>
      <c r="H109" s="61" t="n"/>
      <c r="I109" s="49">
        <f>SUM(I110:I113)</f>
        <v/>
      </c>
      <c r="J109" s="3" t="n"/>
      <c r="K109" s="61" t="n"/>
      <c r="L109" s="49">
        <f>SUM(L110:L113)</f>
        <v/>
      </c>
      <c r="M109" s="3" t="n"/>
      <c r="N109" s="61" t="n"/>
      <c r="O109" s="49">
        <f>SUM(O110:O113)</f>
        <v/>
      </c>
      <c r="P109" s="3" t="n"/>
      <c r="Q109" s="61" t="n"/>
      <c r="R109" s="90">
        <f>SUM(R110:R113)</f>
        <v/>
      </c>
      <c r="S109" s="3" t="n"/>
      <c r="T109" s="61" t="n"/>
      <c r="U109" s="49">
        <f>SUM(U110:U113)</f>
        <v/>
      </c>
      <c r="V109" s="3" t="n"/>
      <c r="W109" s="61" t="n"/>
      <c r="X109" s="49">
        <f>SUM(X110:X113)</f>
        <v/>
      </c>
      <c r="Y109" s="3" t="n"/>
      <c r="Z109" s="61" t="n"/>
      <c r="AA109" s="49">
        <f>SUM(AA110:AA113)</f>
        <v/>
      </c>
      <c r="AB109" s="3" t="n"/>
      <c r="AC109" s="61" t="n"/>
      <c r="AD109" s="49">
        <f>SUM(AD110:AD113)</f>
        <v/>
      </c>
      <c r="AE109" s="3" t="n"/>
      <c r="AF109" s="61" t="n"/>
      <c r="AG109" s="49">
        <f>SUM(AG110:AG113)</f>
        <v/>
      </c>
      <c r="AH109" s="3" t="n"/>
      <c r="AI109" s="61" t="n"/>
      <c r="AJ109" s="49">
        <f>SUM(AJ110:AJ113)</f>
        <v/>
      </c>
      <c r="AK109" s="3" t="n"/>
      <c r="AL109" s="61" t="n"/>
      <c r="AM109" s="17">
        <f>C109+F109+I109+L109+O109+R109+U109+X109+AA109+AD109+AG109+AJ109</f>
        <v/>
      </c>
      <c r="AN109" s="197" t="n"/>
      <c r="AO109" s="1237">
        <f>AM109/(AM$13)</f>
        <v/>
      </c>
    </row>
    <row r="110" ht="15" customHeight="1" s="985">
      <c r="A110" s="153" t="inlineStr">
        <is>
          <t xml:space="preserve">73400501            </t>
        </is>
      </c>
      <c r="B110" s="39" t="inlineStr">
        <is>
          <t>Notariales</t>
        </is>
      </c>
      <c r="C110" s="39">
        <f>CALI!C110+HUNGRIA!C110+YUMBO!C110+'ADULTO MAYOR'!C110+'COMEDORES VALLE'!C110+BUGA!C110+'COMEDORES CALI'!C110+'CTAS EN PPACION'!C110+'COMEDORES PALMIRA'!C110+IMDERTY!C110</f>
        <v/>
      </c>
      <c r="D110" s="69" t="n"/>
      <c r="E110" s="1077" t="n"/>
      <c r="F110" s="39">
        <f>CALI!F110+HUNGRIA!F110+YUMBO!F110+'ADULTO MAYOR'!F110+'COMEDORES VALLE'!F110+BUGA!F110+'COMEDORES CALI'!F110+'CTAS EN PPACION'!F110+'COMEDORES PALMIRA'!F110+IMDERTY!F110</f>
        <v/>
      </c>
      <c r="G110" s="69" t="n"/>
      <c r="H110" s="70" t="n"/>
      <c r="I110" s="39">
        <f>CALI!I110+HUNGRIA!I110+YUMBO!I110+'ADULTO MAYOR'!I110+'COMEDORES VALLE'!I110+BUGA!I110+'COMEDORES CALI'!I110+'CTAS EN PPACION'!I110+'COMEDORES PALMIRA'!I110+IMDERTY!I110</f>
        <v/>
      </c>
      <c r="J110" s="69" t="n"/>
      <c r="K110" s="70" t="n"/>
      <c r="L110" s="39">
        <f>CALI!L110+HUNGRIA!L110+YUMBO!L110+'ADULTO MAYOR'!L110+'COMEDORES VALLE'!L110+BUGA!L110+'COMEDORES CALI'!L110+'CTAS EN PPACION'!L110+'COMEDORES PALMIRA'!L110+IMDERTY!L110</f>
        <v/>
      </c>
      <c r="M110" s="69" t="n"/>
      <c r="N110" s="70" t="n"/>
      <c r="O110" s="39">
        <f>CALI!O110+HUNGRIA!O110+YUMBO!O110+'ADULTO MAYOR'!O110+'COMEDORES VALLE'!O110+BUGA!O110+'COMEDORES CALI'!O110+'CTAS EN PPACION'!O110+'COMEDORES PALMIRA'!O110+IMDERTY!O110</f>
        <v/>
      </c>
      <c r="P110" s="69" t="n"/>
      <c r="Q110" s="70" t="n"/>
      <c r="R110" s="39">
        <f>CALI!R110+HUNGRIA!R110+YUMBO!R110+'ADULTO MAYOR'!R110+'COMEDORES VALLE'!R110+BUGA!R110+'COMEDORES CALI'!R110+'CTAS EN PPACION'!R110+'COMEDORES PALMIRA'!R110+IMDERTY!R110</f>
        <v/>
      </c>
      <c r="S110" s="69" t="n"/>
      <c r="T110" s="70" t="n"/>
      <c r="U110" s="39">
        <f>CALI!U110+HUNGRIA!U110+YUMBO!U110+'ADULTO MAYOR'!U110+'COMEDORES VALLE'!U110+BUGA!U110+'COMEDORES CALI'!U110+'CTAS EN PPACION'!U110+'COMEDORES PALMIRA'!U110+IMDERTY!U110</f>
        <v/>
      </c>
      <c r="V110" s="69" t="n"/>
      <c r="W110" s="70" t="n"/>
      <c r="X110" s="39">
        <f>CALI!X110+HUNGRIA!X110+YUMBO!X110+'ADULTO MAYOR'!X110+'COMEDORES VALLE'!X110+BUGA!X110+'COMEDORES CALI'!X110+'CTAS EN PPACION'!X110+'COMEDORES PALMIRA'!X110+IMDERTY!X110</f>
        <v/>
      </c>
      <c r="Y110" s="69" t="n"/>
      <c r="Z110" s="70" t="n"/>
      <c r="AA110" s="39">
        <f>CALI!AA110+HUNGRIA!AA110+YUMBO!AA110+'ADULTO MAYOR'!AA110+'COMEDORES VALLE'!AA110+BUGA!AA110+'COMEDORES CALI'!AA110+'CTAS EN PPACION'!AA110+'COMEDORES PALMIRA'!AA110+IMDERTY!AA110</f>
        <v/>
      </c>
      <c r="AB110" s="69" t="n"/>
      <c r="AC110" s="70" t="n"/>
      <c r="AD110" s="39">
        <f>CALI!AD110+HUNGRIA!AD110+YUMBO!AD110+'ADULTO MAYOR'!AD110+'COMEDORES VALLE'!AD110+BUGA!AD110+'COMEDORES CALI'!AD110+'CTAS EN PPACION'!AD110+'COMEDORES PALMIRA'!AD110+IMDERTY!AD110</f>
        <v/>
      </c>
      <c r="AE110" s="69" t="n"/>
      <c r="AF110" s="70" t="n"/>
      <c r="AG110" s="39">
        <f>CALI!AG110+HUNGRIA!AG110+YUMBO!AG110+'ADULTO MAYOR'!AG110+'COMEDORES VALLE'!AG110+BUGA!AG110+'COMEDORES CALI'!AG110+'CTAS EN PPACION'!AG110+'COMEDORES PALMIRA'!AG110+IMDERTY!AG110</f>
        <v/>
      </c>
      <c r="AH110" s="69" t="n"/>
      <c r="AI110" s="70" t="n"/>
      <c r="AJ110" s="39">
        <f>CALI!AJ110+HUNGRIA!AJ110+YUMBO!AJ110+'ADULTO MAYOR'!AJ110+'COMEDORES VALLE'!AJ110+BUGA!AJ110+'COMEDORES CALI'!AJ110+'CTAS EN PPACION'!AJ110+'COMEDORES PALMIRA'!AJ110+IMDERTY!AJ110</f>
        <v/>
      </c>
      <c r="AK110" s="69" t="n"/>
      <c r="AL110" s="70" t="n"/>
      <c r="AM110" s="31">
        <f>C110+F110+I110+L110+O110+R110+U110+X110+AA110+AD110+AG110+AJ110</f>
        <v/>
      </c>
      <c r="AN110" s="201" t="n"/>
      <c r="AO110" s="70" t="n"/>
    </row>
    <row r="111" ht="15" customHeight="1" s="985">
      <c r="A111" s="153" t="inlineStr">
        <is>
          <t xml:space="preserve">73401001            </t>
        </is>
      </c>
      <c r="B111" s="25" t="inlineStr">
        <is>
          <t>Registro Mercantil</t>
        </is>
      </c>
      <c r="C111" s="25">
        <f>CALI!C111+HUNGRIA!C111+YUMBO!C111+'ADULTO MAYOR'!C111+'COMEDORES VALLE'!C111+BUGA!C111+'COMEDORES CALI'!C111+'CTAS EN PPACION'!C111+'COMEDORES PALMIRA'!C111+IMDERTY!C111</f>
        <v/>
      </c>
      <c r="D111" s="43" t="n"/>
      <c r="E111" s="1045" t="n"/>
      <c r="F111" s="25">
        <f>CALI!F111+HUNGRIA!F111+YUMBO!F111+'ADULTO MAYOR'!F111+'COMEDORES VALLE'!F111+BUGA!F111+'COMEDORES CALI'!F111+'CTAS EN PPACION'!F111+'COMEDORES PALMIRA'!F111+IMDERTY!F111</f>
        <v/>
      </c>
      <c r="G111" s="43" t="n"/>
      <c r="H111" s="57" t="n"/>
      <c r="I111" s="25">
        <f>CALI!I111+HUNGRIA!I111+YUMBO!I111+'ADULTO MAYOR'!I111+'COMEDORES VALLE'!I111+BUGA!I111+'COMEDORES CALI'!I111+'CTAS EN PPACION'!I111+'COMEDORES PALMIRA'!I111+IMDERTY!I111</f>
        <v/>
      </c>
      <c r="J111" s="43" t="n"/>
      <c r="K111" s="57" t="n"/>
      <c r="L111" s="25">
        <f>CALI!L111+HUNGRIA!L111+YUMBO!L111+'ADULTO MAYOR'!L111+'COMEDORES VALLE'!L111+BUGA!L111+'COMEDORES CALI'!L111+'CTAS EN PPACION'!L111+'COMEDORES PALMIRA'!L111+IMDERTY!L111</f>
        <v/>
      </c>
      <c r="M111" s="43" t="n"/>
      <c r="N111" s="57" t="n"/>
      <c r="O111" s="25">
        <f>CALI!O111+HUNGRIA!O111+YUMBO!O111+'ADULTO MAYOR'!O111+'COMEDORES VALLE'!O111+BUGA!O111+'COMEDORES CALI'!O111+'CTAS EN PPACION'!O111+'COMEDORES PALMIRA'!O111+IMDERTY!O111</f>
        <v/>
      </c>
      <c r="P111" s="43" t="n"/>
      <c r="Q111" s="57" t="n"/>
      <c r="R111" s="25">
        <f>CALI!R111+HUNGRIA!R111+YUMBO!R111+'ADULTO MAYOR'!R111+'COMEDORES VALLE'!R111+BUGA!R111+'COMEDORES CALI'!R111+'CTAS EN PPACION'!R111+'COMEDORES PALMIRA'!R111+IMDERTY!R111</f>
        <v/>
      </c>
      <c r="S111" s="43" t="n"/>
      <c r="T111" s="57" t="n"/>
      <c r="U111" s="25">
        <f>CALI!U111+HUNGRIA!U111+YUMBO!U111+'ADULTO MAYOR'!U111+'COMEDORES VALLE'!U111+BUGA!U111+'COMEDORES CALI'!U111+'CTAS EN PPACION'!U111+'COMEDORES PALMIRA'!U111+IMDERTY!U111</f>
        <v/>
      </c>
      <c r="V111" s="43" t="n"/>
      <c r="W111" s="57" t="n"/>
      <c r="X111" s="25">
        <f>CALI!X111+HUNGRIA!X111+YUMBO!X111+'ADULTO MAYOR'!X111+'COMEDORES VALLE'!X111+BUGA!X111+'COMEDORES CALI'!X111+'CTAS EN PPACION'!X111+'COMEDORES PALMIRA'!X111+IMDERTY!X111</f>
        <v/>
      </c>
      <c r="Y111" s="43" t="n"/>
      <c r="Z111" s="57" t="n"/>
      <c r="AA111" s="25">
        <f>CALI!AA111+HUNGRIA!AA111+YUMBO!AA111+'ADULTO MAYOR'!AA111+'COMEDORES VALLE'!AA111+BUGA!AA111+'COMEDORES CALI'!AA111+'CTAS EN PPACION'!AA111+'COMEDORES PALMIRA'!AA111+IMDERTY!AA111</f>
        <v/>
      </c>
      <c r="AB111" s="43" t="n"/>
      <c r="AC111" s="57" t="n"/>
      <c r="AD111" s="25">
        <f>CALI!AD111+HUNGRIA!AD111+YUMBO!AD111+'ADULTO MAYOR'!AD111+'COMEDORES VALLE'!AD111+BUGA!AD111+'COMEDORES CALI'!AD111+'CTAS EN PPACION'!AD111+'COMEDORES PALMIRA'!AD111+IMDERTY!AD111</f>
        <v/>
      </c>
      <c r="AE111" s="43" t="n"/>
      <c r="AF111" s="57" t="n"/>
      <c r="AG111" s="25">
        <f>CALI!AG111+HUNGRIA!AG111+YUMBO!AG111+'ADULTO MAYOR'!AG111+'COMEDORES VALLE'!AG111+BUGA!AG111+'COMEDORES CALI'!AG111+'CTAS EN PPACION'!AG111+'COMEDORES PALMIRA'!AG111+IMDERTY!AG111</f>
        <v/>
      </c>
      <c r="AH111" s="43" t="n"/>
      <c r="AI111" s="57" t="n"/>
      <c r="AJ111" s="25">
        <f>CALI!AJ111+HUNGRIA!AJ111+YUMBO!AJ111+'ADULTO MAYOR'!AJ111+'COMEDORES VALLE'!AJ111+BUGA!AJ111+'COMEDORES CALI'!AJ111+'CTAS EN PPACION'!AJ111+'COMEDORES PALMIRA'!AJ111+IMDERTY!AJ111</f>
        <v/>
      </c>
      <c r="AK111" s="43" t="n"/>
      <c r="AL111" s="57" t="n"/>
      <c r="AM111" s="24">
        <f>C111+F111+I111+L111+O111+R111+U111+X111+AA111+AD111+AG111+AJ111</f>
        <v/>
      </c>
      <c r="AN111" s="195" t="n"/>
      <c r="AO111" s="57" t="n"/>
    </row>
    <row r="112" ht="15" customHeight="1" s="985">
      <c r="A112" s="153" t="inlineStr">
        <is>
          <t xml:space="preserve">73401501            </t>
        </is>
      </c>
      <c r="B112" s="25" t="inlineStr">
        <is>
          <t>Trámites y Licencias</t>
        </is>
      </c>
      <c r="C112" s="25">
        <f>CALI!C112+HUNGRIA!C112+YUMBO!C112+'ADULTO MAYOR'!C112+'COMEDORES VALLE'!C112+BUGA!C112+'COMEDORES CALI'!C112+'CTAS EN PPACION'!C112+'COMEDORES PALMIRA'!C112+IMDERTY!C112</f>
        <v/>
      </c>
      <c r="D112" s="43" t="n"/>
      <c r="E112" s="1045" t="n"/>
      <c r="F112" s="25">
        <f>CALI!F112+HUNGRIA!F112+YUMBO!F112+'ADULTO MAYOR'!F112+'COMEDORES VALLE'!F112+BUGA!F112+'COMEDORES CALI'!F112+'CTAS EN PPACION'!F112+'COMEDORES PALMIRA'!F112+IMDERTY!F112</f>
        <v/>
      </c>
      <c r="G112" s="43" t="n"/>
      <c r="H112" s="57" t="n"/>
      <c r="I112" s="25">
        <f>CALI!I112+HUNGRIA!I112+YUMBO!I112+'ADULTO MAYOR'!I112+'COMEDORES VALLE'!I112+BUGA!I112+'COMEDORES CALI'!I112+'CTAS EN PPACION'!I112+'COMEDORES PALMIRA'!I112+IMDERTY!I112</f>
        <v/>
      </c>
      <c r="J112" s="43" t="n"/>
      <c r="K112" s="57" t="n"/>
      <c r="L112" s="25">
        <f>CALI!L112+HUNGRIA!L112+YUMBO!L112+'ADULTO MAYOR'!L112+'COMEDORES VALLE'!L112+BUGA!L112+'COMEDORES CALI'!L112+'CTAS EN PPACION'!L112+'COMEDORES PALMIRA'!L112+IMDERTY!L112</f>
        <v/>
      </c>
      <c r="M112" s="43" t="n"/>
      <c r="N112" s="57" t="n"/>
      <c r="O112" s="25">
        <f>CALI!O112+HUNGRIA!O112+YUMBO!O112+'ADULTO MAYOR'!O112+'COMEDORES VALLE'!O112+BUGA!O112+'COMEDORES CALI'!O112+'CTAS EN PPACION'!O112+'COMEDORES PALMIRA'!O112+IMDERTY!O112</f>
        <v/>
      </c>
      <c r="P112" s="43" t="n"/>
      <c r="Q112" s="57" t="n"/>
      <c r="R112" s="25">
        <f>CALI!R112+HUNGRIA!R112+YUMBO!R112+'ADULTO MAYOR'!R112+'COMEDORES VALLE'!R112+BUGA!R112+'COMEDORES CALI'!R112+'CTAS EN PPACION'!R112+'COMEDORES PALMIRA'!R112+IMDERTY!R112</f>
        <v/>
      </c>
      <c r="S112" s="43" t="n"/>
      <c r="T112" s="57" t="n"/>
      <c r="U112" s="25">
        <f>CALI!U112+HUNGRIA!U112+YUMBO!U112+'ADULTO MAYOR'!U112+'COMEDORES VALLE'!U112+BUGA!U112+'COMEDORES CALI'!U112+'CTAS EN PPACION'!U112+'COMEDORES PALMIRA'!U112+IMDERTY!U112</f>
        <v/>
      </c>
      <c r="V112" s="43" t="n"/>
      <c r="W112" s="57" t="n"/>
      <c r="X112" s="25">
        <f>CALI!X112+HUNGRIA!X112+YUMBO!X112+'ADULTO MAYOR'!X112+'COMEDORES VALLE'!X112+BUGA!X112+'COMEDORES CALI'!X112+'CTAS EN PPACION'!X112+'COMEDORES PALMIRA'!X112+IMDERTY!X112</f>
        <v/>
      </c>
      <c r="Y112" s="43" t="n"/>
      <c r="Z112" s="57" t="n"/>
      <c r="AA112" s="25">
        <f>CALI!AA112+HUNGRIA!AA112+YUMBO!AA112+'ADULTO MAYOR'!AA112+'COMEDORES VALLE'!AA112+BUGA!AA112+'COMEDORES CALI'!AA112+'CTAS EN PPACION'!AA112+'COMEDORES PALMIRA'!AA112+IMDERTY!AA112</f>
        <v/>
      </c>
      <c r="AB112" s="43" t="n"/>
      <c r="AC112" s="57" t="n"/>
      <c r="AD112" s="25">
        <f>CALI!AD112+HUNGRIA!AD112+YUMBO!AD112+'ADULTO MAYOR'!AD112+'COMEDORES VALLE'!AD112+BUGA!AD112+'COMEDORES CALI'!AD112+'CTAS EN PPACION'!AD112+'COMEDORES PALMIRA'!AD112+IMDERTY!AD112</f>
        <v/>
      </c>
      <c r="AE112" s="43" t="n"/>
      <c r="AF112" s="57" t="n"/>
      <c r="AG112" s="25">
        <f>CALI!AG112+HUNGRIA!AG112+YUMBO!AG112+'ADULTO MAYOR'!AG112+'COMEDORES VALLE'!AG112+BUGA!AG112+'COMEDORES CALI'!AG112+'CTAS EN PPACION'!AG112+'COMEDORES PALMIRA'!AG112+IMDERTY!AG112</f>
        <v/>
      </c>
      <c r="AH112" s="43" t="n"/>
      <c r="AI112" s="57" t="n"/>
      <c r="AJ112" s="25">
        <f>CALI!AJ112+HUNGRIA!AJ112+YUMBO!AJ112+'ADULTO MAYOR'!AJ112+'COMEDORES VALLE'!AJ112+BUGA!AJ112+'COMEDORES CALI'!AJ112+'CTAS EN PPACION'!AJ112+'COMEDORES PALMIRA'!AJ112+IMDERTY!AJ112</f>
        <v/>
      </c>
      <c r="AK112" s="43" t="n"/>
      <c r="AL112" s="57" t="n"/>
      <c r="AM112" s="24">
        <f>C112+F112+I112+L112+O112+R112+U112+X112+AA112+AD112+AG112+AJ112</f>
        <v/>
      </c>
      <c r="AN112" s="195" t="n"/>
      <c r="AO112" s="57" t="n"/>
    </row>
    <row r="113" ht="15" customHeight="1" s="985">
      <c r="A113" s="153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>
        <f>CALI!C113+HUNGRIA!C113+YUMBO!C113+'ADULTO MAYOR'!C113+'COMEDORES VALLE'!C113+BUGA!C113+'COMEDORES CALI'!C113+'CTAS EN PPACION'!C113+'COMEDORES PALMIRA'!C113+IMDERTY!C113</f>
        <v/>
      </c>
      <c r="D113" s="45" t="n"/>
      <c r="E113" s="1073" t="n"/>
      <c r="F113" s="28">
        <f>CALI!F113+HUNGRIA!F113+YUMBO!F113+'ADULTO MAYOR'!F113+'COMEDORES VALLE'!F113+BUGA!F113+'COMEDORES CALI'!F113+'CTAS EN PPACION'!F113+'COMEDORES PALMIRA'!F113+IMDERTY!F113</f>
        <v/>
      </c>
      <c r="G113" s="45" t="n"/>
      <c r="H113" s="58" t="n"/>
      <c r="I113" s="28">
        <f>CALI!I113+HUNGRIA!I113+YUMBO!I113+'ADULTO MAYOR'!I113+'COMEDORES VALLE'!I113+BUGA!I113+'COMEDORES CALI'!I113+'CTAS EN PPACION'!I113+'COMEDORES PALMIRA'!I113+IMDERTY!I113</f>
        <v/>
      </c>
      <c r="J113" s="45" t="n"/>
      <c r="K113" s="58" t="n"/>
      <c r="L113" s="28">
        <f>CALI!L113+HUNGRIA!L113+YUMBO!L113+'ADULTO MAYOR'!L113+'COMEDORES VALLE'!L113+BUGA!L113+'COMEDORES CALI'!L113+'CTAS EN PPACION'!L113+'COMEDORES PALMIRA'!L113+IMDERTY!L113</f>
        <v/>
      </c>
      <c r="M113" s="45" t="n"/>
      <c r="N113" s="58" t="n"/>
      <c r="O113" s="28">
        <f>CALI!O113+HUNGRIA!O113+YUMBO!O113+'ADULTO MAYOR'!O113+'COMEDORES VALLE'!O113+BUGA!O113+'COMEDORES CALI'!O113+'CTAS EN PPACION'!O113+'COMEDORES PALMIRA'!O113+IMDERTY!O113</f>
        <v/>
      </c>
      <c r="P113" s="45" t="n"/>
      <c r="Q113" s="58" t="n"/>
      <c r="R113" s="28">
        <f>CALI!R113+HUNGRIA!R113+YUMBO!R113+'ADULTO MAYOR'!R113+'COMEDORES VALLE'!R113+BUGA!R113+'COMEDORES CALI'!R113+'CTAS EN PPACION'!R113+'COMEDORES PALMIRA'!R113+IMDERTY!R113</f>
        <v/>
      </c>
      <c r="S113" s="45" t="n"/>
      <c r="T113" s="58" t="n"/>
      <c r="U113" s="28">
        <f>CALI!U113+HUNGRIA!U113+YUMBO!U113+'ADULTO MAYOR'!U113+'COMEDORES VALLE'!U113+BUGA!U113+'COMEDORES CALI'!U113+'CTAS EN PPACION'!U113+'COMEDORES PALMIRA'!U113+IMDERTY!U113</f>
        <v/>
      </c>
      <c r="V113" s="45" t="n"/>
      <c r="W113" s="58" t="n"/>
      <c r="X113" s="28">
        <f>CALI!X113+HUNGRIA!X113+YUMBO!X113+'ADULTO MAYOR'!X113+'COMEDORES VALLE'!X113+BUGA!X113+'COMEDORES CALI'!X113+'CTAS EN PPACION'!X113+'COMEDORES PALMIRA'!X113+IMDERTY!X113</f>
        <v/>
      </c>
      <c r="Y113" s="45" t="n"/>
      <c r="Z113" s="58" t="n"/>
      <c r="AA113" s="28">
        <f>CALI!AA113+HUNGRIA!AA113+YUMBO!AA113+'ADULTO MAYOR'!AA113+'COMEDORES VALLE'!AA113+BUGA!AA113+'COMEDORES CALI'!AA113+'CTAS EN PPACION'!AA113+'COMEDORES PALMIRA'!AA113+IMDERTY!AA113</f>
        <v/>
      </c>
      <c r="AB113" s="45" t="n"/>
      <c r="AC113" s="58" t="n"/>
      <c r="AD113" s="28">
        <f>CALI!AD113+HUNGRIA!AD113+YUMBO!AD113+'ADULTO MAYOR'!AD113+'COMEDORES VALLE'!AD113+BUGA!AD113+'COMEDORES CALI'!AD113+'CTAS EN PPACION'!AD113+'COMEDORES PALMIRA'!AD113+IMDERTY!AD113</f>
        <v/>
      </c>
      <c r="AE113" s="45" t="n"/>
      <c r="AF113" s="58" t="n"/>
      <c r="AG113" s="28">
        <f>CALI!AG113+HUNGRIA!AG113+YUMBO!AG113+'ADULTO MAYOR'!AG113+'COMEDORES VALLE'!AG113+BUGA!AG113+'COMEDORES CALI'!AG113+'CTAS EN PPACION'!AG113+'COMEDORES PALMIRA'!AG113+IMDERTY!AG113</f>
        <v/>
      </c>
      <c r="AH113" s="45" t="n"/>
      <c r="AI113" s="58" t="n"/>
      <c r="AJ113" s="28">
        <f>CALI!AJ113+HUNGRIA!AJ113+YUMBO!AJ113+'ADULTO MAYOR'!AJ113+'COMEDORES VALLE'!AJ113+BUGA!AJ113+'COMEDORES CALI'!AJ113+'CTAS EN PPACION'!AJ113+'COMEDORES PALMIRA'!AJ113+IMDERTY!AJ113</f>
        <v/>
      </c>
      <c r="AK113" s="45" t="n"/>
      <c r="AL113" s="58" t="n"/>
      <c r="AM113" s="27">
        <f>C113+F113+I113+L113+O113+R113+U113+X113+AA113+AD113+AG113+AJ113</f>
        <v/>
      </c>
      <c r="AN113" s="200" t="n"/>
      <c r="AO113" s="58" t="n"/>
    </row>
    <row r="114" ht="15" customHeight="1" s="985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053">
        <f>C114/(C$13)</f>
        <v/>
      </c>
      <c r="F114" s="49">
        <f>SUM(F115:F119)</f>
        <v/>
      </c>
      <c r="G114" s="3" t="n"/>
      <c r="H114" s="61">
        <f>F114/F$13</f>
        <v/>
      </c>
      <c r="I114" s="49">
        <f>SUM(I115:I119)</f>
        <v/>
      </c>
      <c r="J114" s="3" t="n"/>
      <c r="K114" s="61">
        <f>I114/I$13</f>
        <v/>
      </c>
      <c r="L114" s="49">
        <f>SUM(L115:L119)</f>
        <v/>
      </c>
      <c r="M114" s="3" t="n"/>
      <c r="N114" s="61">
        <f>L114/L$13</f>
        <v/>
      </c>
      <c r="O114" s="49">
        <f>SUM(O115:O119)</f>
        <v/>
      </c>
      <c r="P114" s="3" t="n"/>
      <c r="Q114" s="61">
        <f>O114/O$13</f>
        <v/>
      </c>
      <c r="R114" s="90">
        <f>SUM(R115:R119)</f>
        <v/>
      </c>
      <c r="S114" s="3" t="n"/>
      <c r="T114" s="61">
        <f>R114/R$13</f>
        <v/>
      </c>
      <c r="U114" s="49">
        <f>SUM(U115:U119)</f>
        <v/>
      </c>
      <c r="V114" s="3" t="n"/>
      <c r="W114" s="61">
        <f>U114/U$13</f>
        <v/>
      </c>
      <c r="X114" s="49">
        <f>SUM(X115:X119)</f>
        <v/>
      </c>
      <c r="Y114" s="3" t="n"/>
      <c r="Z114" s="61">
        <f>X114/X$13</f>
        <v/>
      </c>
      <c r="AA114" s="49">
        <f>SUM(AA115:AA119)</f>
        <v/>
      </c>
      <c r="AB114" s="3" t="n"/>
      <c r="AC114" s="61">
        <f>AA114/AA$13</f>
        <v/>
      </c>
      <c r="AD114" s="49">
        <f>SUM(AD115:AD119)</f>
        <v/>
      </c>
      <c r="AE114" s="3" t="n"/>
      <c r="AF114" s="61">
        <f>AD114/AD$13</f>
        <v/>
      </c>
      <c r="AG114" s="49">
        <f>SUM(AG115:AG119)</f>
        <v/>
      </c>
      <c r="AH114" s="3" t="n"/>
      <c r="AI114" s="61">
        <f>AG114/AG$13</f>
        <v/>
      </c>
      <c r="AJ114" s="49">
        <f>SUM(AJ115:AJ119)</f>
        <v/>
      </c>
      <c r="AK114" s="3" t="n"/>
      <c r="AL114" s="61" t="n"/>
      <c r="AM114" s="17">
        <f>C114+F114+I114+L114+O114+R114+U114+X114+AA114+AD114+AG114+AJ114</f>
        <v/>
      </c>
      <c r="AN114" s="197" t="n"/>
      <c r="AO114" s="1237">
        <f>AM114/(AM$13)</f>
        <v/>
      </c>
    </row>
    <row r="115" ht="15" customHeight="1" s="985">
      <c r="A115" s="153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>
        <f>CALI!C115+HUNGRIA!C115+YUMBO!C115+'ADULTO MAYOR'!C115+'COMEDORES VALLE'!C115+BUGA!C115+'COMEDORES CALI'!C115+'CTAS EN PPACION'!C115+'COMEDORES PALMIRA'!C115+IMDERTY!C115</f>
        <v/>
      </c>
      <c r="D115" s="69" t="n"/>
      <c r="E115" s="1077" t="n"/>
      <c r="F115" s="39">
        <f>CALI!F115+HUNGRIA!F115+YUMBO!F115+'ADULTO MAYOR'!F115+'COMEDORES VALLE'!F115+BUGA!F115+'COMEDORES CALI'!F115+'CTAS EN PPACION'!F115+'COMEDORES PALMIRA'!F115+IMDERTY!F115</f>
        <v/>
      </c>
      <c r="G115" s="69" t="n"/>
      <c r="H115" s="70" t="n"/>
      <c r="I115" s="39">
        <f>CALI!I115+HUNGRIA!I115+YUMBO!I115+'ADULTO MAYOR'!I115+'COMEDORES VALLE'!I115+BUGA!I115+'COMEDORES CALI'!I115+'CTAS EN PPACION'!I115+'COMEDORES PALMIRA'!I115+IMDERTY!I115</f>
        <v/>
      </c>
      <c r="J115" s="69" t="n"/>
      <c r="K115" s="70" t="n"/>
      <c r="L115" s="39">
        <f>CALI!L115+HUNGRIA!L115+YUMBO!L115+'ADULTO MAYOR'!L115+'COMEDORES VALLE'!L115+BUGA!L115+'COMEDORES CALI'!L115+'CTAS EN PPACION'!L115+'COMEDORES PALMIRA'!L115+IMDERTY!L115</f>
        <v/>
      </c>
      <c r="M115" s="69" t="n"/>
      <c r="N115" s="70" t="n"/>
      <c r="O115" s="39">
        <f>CALI!O115+HUNGRIA!O115+YUMBO!O115+'ADULTO MAYOR'!O115+'COMEDORES VALLE'!O115+BUGA!O115+'COMEDORES CALI'!O115+'CTAS EN PPACION'!O115+'COMEDORES PALMIRA'!O115+IMDERTY!O115</f>
        <v/>
      </c>
      <c r="P115" s="69" t="n"/>
      <c r="Q115" s="70" t="n"/>
      <c r="R115" s="39">
        <f>CALI!R115+HUNGRIA!R115+YUMBO!R115+'ADULTO MAYOR'!R115+'COMEDORES VALLE'!R115+BUGA!R115+'COMEDORES CALI'!R115+'CTAS EN PPACION'!R115+'COMEDORES PALMIRA'!R115+IMDERTY!R115</f>
        <v/>
      </c>
      <c r="S115" s="69" t="n"/>
      <c r="T115" s="70" t="n"/>
      <c r="U115" s="39">
        <f>CALI!U115+HUNGRIA!U115+YUMBO!U115+'ADULTO MAYOR'!U115+'COMEDORES VALLE'!U115+BUGA!U115+'COMEDORES CALI'!U115+'CTAS EN PPACION'!U115+'COMEDORES PALMIRA'!U115+IMDERTY!U115</f>
        <v/>
      </c>
      <c r="V115" s="69" t="n"/>
      <c r="W115" s="70" t="n"/>
      <c r="X115" s="39">
        <f>CALI!X115+HUNGRIA!X115+YUMBO!X115+'ADULTO MAYOR'!X115+'COMEDORES VALLE'!X115+BUGA!X115+'COMEDORES CALI'!X115+'CTAS EN PPACION'!X115+'COMEDORES PALMIRA'!X115+IMDERTY!X115</f>
        <v/>
      </c>
      <c r="Y115" s="69" t="n"/>
      <c r="Z115" s="70" t="n"/>
      <c r="AA115" s="39">
        <f>CALI!AA115+HUNGRIA!AA115+YUMBO!AA115+'ADULTO MAYOR'!AA115+'COMEDORES VALLE'!AA115+BUGA!AA115+'COMEDORES CALI'!AA115+'CTAS EN PPACION'!AA115+'COMEDORES PALMIRA'!AA115+IMDERTY!AA115</f>
        <v/>
      </c>
      <c r="AB115" s="69" t="n"/>
      <c r="AC115" s="70" t="n"/>
      <c r="AD115" s="39">
        <f>CALI!AD115+HUNGRIA!AD115+YUMBO!AD115+'ADULTO MAYOR'!AD115+'COMEDORES VALLE'!AD115+BUGA!AD115+'COMEDORES CALI'!AD115+'CTAS EN PPACION'!AD115+'COMEDORES PALMIRA'!AD115+IMDERTY!AD115</f>
        <v/>
      </c>
      <c r="AE115" s="69" t="n"/>
      <c r="AF115" s="70" t="n"/>
      <c r="AG115" s="39">
        <f>CALI!AG115+HUNGRIA!AG115+YUMBO!AG115+'ADULTO MAYOR'!AG115+'COMEDORES VALLE'!AG115+BUGA!AG115+'COMEDORES CALI'!AG115+'CTAS EN PPACION'!AG115+'COMEDORES PALMIRA'!AG115+IMDERTY!AG115</f>
        <v/>
      </c>
      <c r="AH115" s="69" t="n"/>
      <c r="AI115" s="70" t="n"/>
      <c r="AJ115" s="39">
        <f>CALI!AJ115+HUNGRIA!AJ115+YUMBO!AJ115+'ADULTO MAYOR'!AJ115+'COMEDORES VALLE'!AJ115+BUGA!AJ115+'COMEDORES CALI'!AJ115+'CTAS EN PPACION'!AJ115+'COMEDORES PALMIRA'!AJ115+IMDERTY!AJ115</f>
        <v/>
      </c>
      <c r="AK115" s="69" t="n"/>
      <c r="AL115" s="70" t="n"/>
      <c r="AM115" s="31">
        <f>C115+F115+I115+L115+O115+R115+U115+X115+AA115+AD115+AG115+AJ115</f>
        <v/>
      </c>
      <c r="AN115" s="201" t="n"/>
      <c r="AO115" s="70" t="n"/>
    </row>
    <row r="116" ht="15" customHeight="1" s="985">
      <c r="A116" s="153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>
        <f>CALI!C116+HUNGRIA!C116+YUMBO!C116+'ADULTO MAYOR'!C116+'COMEDORES VALLE'!C116+BUGA!C116+'COMEDORES CALI'!C116+'CTAS EN PPACION'!C116+'COMEDORES PALMIRA'!C116+IMDERTY!C116</f>
        <v/>
      </c>
      <c r="D116" s="43" t="n"/>
      <c r="E116" s="1045" t="n"/>
      <c r="F116" s="25">
        <f>CALI!F116+HUNGRIA!F116+YUMBO!F116+'ADULTO MAYOR'!F116+'COMEDORES VALLE'!F116+BUGA!F116+'COMEDORES CALI'!F116+'CTAS EN PPACION'!F116+'COMEDORES PALMIRA'!F116+IMDERTY!F116</f>
        <v/>
      </c>
      <c r="G116" s="43" t="n"/>
      <c r="H116" s="57" t="n"/>
      <c r="I116" s="25">
        <f>CALI!I116+HUNGRIA!I116+YUMBO!I116+'ADULTO MAYOR'!I116+'COMEDORES VALLE'!I116+BUGA!I116+'COMEDORES CALI'!I116+'CTAS EN PPACION'!I116+'COMEDORES PALMIRA'!I116+IMDERTY!I116</f>
        <v/>
      </c>
      <c r="J116" s="43" t="n"/>
      <c r="K116" s="57" t="n"/>
      <c r="L116" s="25">
        <f>CALI!L116+HUNGRIA!L116+YUMBO!L116+'ADULTO MAYOR'!L116+'COMEDORES VALLE'!L116+BUGA!L116+'COMEDORES CALI'!L116+'CTAS EN PPACION'!L116+'COMEDORES PALMIRA'!L116+IMDERTY!L116</f>
        <v/>
      </c>
      <c r="M116" s="43" t="n"/>
      <c r="N116" s="57" t="n"/>
      <c r="O116" s="25">
        <f>CALI!O116+HUNGRIA!O116+YUMBO!O116+'ADULTO MAYOR'!O116+'COMEDORES VALLE'!O116+BUGA!O116+'COMEDORES CALI'!O116+'CTAS EN PPACION'!O116+'COMEDORES PALMIRA'!O116+IMDERTY!O116</f>
        <v/>
      </c>
      <c r="P116" s="43" t="n"/>
      <c r="Q116" s="57" t="n"/>
      <c r="R116" s="25">
        <f>CALI!R116+HUNGRIA!R116+YUMBO!R116+'ADULTO MAYOR'!R116+'COMEDORES VALLE'!R116+BUGA!R116+'COMEDORES CALI'!R116+'CTAS EN PPACION'!R116+'COMEDORES PALMIRA'!R116+IMDERTY!R116</f>
        <v/>
      </c>
      <c r="S116" s="43" t="n"/>
      <c r="T116" s="57" t="n"/>
      <c r="U116" s="25">
        <f>CALI!U116+HUNGRIA!U116+YUMBO!U116+'ADULTO MAYOR'!U116+'COMEDORES VALLE'!U116+BUGA!U116+'COMEDORES CALI'!U116+'CTAS EN PPACION'!U116+'COMEDORES PALMIRA'!U116+IMDERTY!U116</f>
        <v/>
      </c>
      <c r="V116" s="43" t="n"/>
      <c r="W116" s="57" t="n"/>
      <c r="X116" s="25">
        <f>CALI!X116+HUNGRIA!X116+YUMBO!X116+'ADULTO MAYOR'!X116+'COMEDORES VALLE'!X116+BUGA!X116+'COMEDORES CALI'!X116+'CTAS EN PPACION'!X116+'COMEDORES PALMIRA'!X116+IMDERTY!X116</f>
        <v/>
      </c>
      <c r="Y116" s="43" t="n"/>
      <c r="Z116" s="57" t="n"/>
      <c r="AA116" s="25">
        <f>CALI!AA116+HUNGRIA!AA116+YUMBO!AA116+'ADULTO MAYOR'!AA116+'COMEDORES VALLE'!AA116+BUGA!AA116+'COMEDORES CALI'!AA116+'CTAS EN PPACION'!AA116+'COMEDORES PALMIRA'!AA116+IMDERTY!AA116</f>
        <v/>
      </c>
      <c r="AB116" s="43" t="n"/>
      <c r="AC116" s="57" t="n"/>
      <c r="AD116" s="25">
        <f>CALI!AD116+HUNGRIA!AD116+YUMBO!AD116+'ADULTO MAYOR'!AD116+'COMEDORES VALLE'!AD116+BUGA!AD116+'COMEDORES CALI'!AD116+'CTAS EN PPACION'!AD116+'COMEDORES PALMIRA'!AD116+IMDERTY!AD116</f>
        <v/>
      </c>
      <c r="AE116" s="43" t="n"/>
      <c r="AF116" s="57" t="n"/>
      <c r="AG116" s="25">
        <f>CALI!AG116+HUNGRIA!AG116+YUMBO!AG116+'ADULTO MAYOR'!AG116+'COMEDORES VALLE'!AG116+BUGA!AG116+'COMEDORES CALI'!AG116+'CTAS EN PPACION'!AG116+'COMEDORES PALMIRA'!AG116+IMDERTY!AG116</f>
        <v/>
      </c>
      <c r="AH116" s="43" t="n"/>
      <c r="AI116" s="57" t="n"/>
      <c r="AJ116" s="25">
        <f>CALI!AJ116+HUNGRIA!AJ116+YUMBO!AJ116+'ADULTO MAYOR'!AJ116+'COMEDORES VALLE'!AJ116+BUGA!AJ116+'COMEDORES CALI'!AJ116+'CTAS EN PPACION'!AJ116+'COMEDORES PALMIRA'!AJ116+IMDERTY!AJ116</f>
        <v/>
      </c>
      <c r="AK116" s="43" t="n"/>
      <c r="AL116" s="57" t="n"/>
      <c r="AM116" s="24">
        <f>C116+F116+I116+L116+O116+R116+U116+X116+AA116+AD116+AG116+AJ116</f>
        <v/>
      </c>
      <c r="AN116" s="195" t="n"/>
      <c r="AO116" s="57" t="n"/>
    </row>
    <row r="117" ht="15" customHeight="1" s="985">
      <c r="A117" s="153" t="inlineStr">
        <is>
          <t xml:space="preserve">73451502            </t>
        </is>
      </c>
      <c r="B117" s="205" t="inlineStr">
        <is>
          <t>Equipos de Cocina</t>
        </is>
      </c>
      <c r="C117" s="25">
        <f>CALI!C117+HUNGRIA!C117+YUMBO!C117+'ADULTO MAYOR'!C117+'COMEDORES VALLE'!C117+BUGA!C117+'COMEDORES CALI'!C117+'CTAS EN PPACION'!C117+'COMEDORES PALMIRA'!C117+IMDERTY!C117</f>
        <v/>
      </c>
      <c r="D117" s="43" t="n"/>
      <c r="E117" s="1045" t="n"/>
      <c r="F117" s="25">
        <f>CALI!F117+HUNGRIA!F117+YUMBO!F117+'ADULTO MAYOR'!F117+'COMEDORES VALLE'!F117+BUGA!F117+'COMEDORES CALI'!F117+'CTAS EN PPACION'!F117+'COMEDORES PALMIRA'!F117+IMDERTY!F117</f>
        <v/>
      </c>
      <c r="G117" s="43" t="n"/>
      <c r="H117" s="57" t="n"/>
      <c r="I117" s="25">
        <f>CALI!I117+HUNGRIA!I117+YUMBO!I117+'ADULTO MAYOR'!I117+'COMEDORES VALLE'!I117+BUGA!I117+'COMEDORES CALI'!I117+'CTAS EN PPACION'!I117+'COMEDORES PALMIRA'!I117+IMDERTY!I117</f>
        <v/>
      </c>
      <c r="J117" s="43" t="n"/>
      <c r="K117" s="57" t="n"/>
      <c r="L117" s="25">
        <f>CALI!L117+HUNGRIA!L117+YUMBO!L117+'ADULTO MAYOR'!L117+'COMEDORES VALLE'!L117+BUGA!L117+'COMEDORES CALI'!L117+'CTAS EN PPACION'!L117+'COMEDORES PALMIRA'!L117+IMDERTY!L117</f>
        <v/>
      </c>
      <c r="M117" s="43" t="n"/>
      <c r="N117" s="57" t="n"/>
      <c r="O117" s="25">
        <f>CALI!O117+HUNGRIA!O117+YUMBO!O117+'ADULTO MAYOR'!O117+'COMEDORES VALLE'!O117+BUGA!O117+'COMEDORES CALI'!O117+'CTAS EN PPACION'!O117+'COMEDORES PALMIRA'!O117+IMDERTY!O117</f>
        <v/>
      </c>
      <c r="P117" s="43" t="n"/>
      <c r="Q117" s="57" t="n"/>
      <c r="R117" s="25">
        <f>CALI!R117+HUNGRIA!R117+YUMBO!R117+'ADULTO MAYOR'!R117+'COMEDORES VALLE'!R117+BUGA!R117+'COMEDORES CALI'!R117+'CTAS EN PPACION'!R117+'COMEDORES PALMIRA'!R117+IMDERTY!R117</f>
        <v/>
      </c>
      <c r="S117" s="43" t="n"/>
      <c r="T117" s="57" t="n"/>
      <c r="U117" s="25">
        <f>CALI!U117+HUNGRIA!U117+YUMBO!U117+'ADULTO MAYOR'!U117+'COMEDORES VALLE'!U117+BUGA!U117+'COMEDORES CALI'!U117+'CTAS EN PPACION'!U117+'COMEDORES PALMIRA'!U117+IMDERTY!U117</f>
        <v/>
      </c>
      <c r="V117" s="43" t="n"/>
      <c r="W117" s="57" t="n"/>
      <c r="X117" s="25">
        <f>CALI!X117+HUNGRIA!X117+YUMBO!X117+'ADULTO MAYOR'!X117+'COMEDORES VALLE'!X117+BUGA!X117+'COMEDORES CALI'!X117+'CTAS EN PPACION'!X117+'COMEDORES PALMIRA'!X117+IMDERTY!X117</f>
        <v/>
      </c>
      <c r="Y117" s="43" t="n"/>
      <c r="Z117" s="57" t="n"/>
      <c r="AA117" s="25">
        <f>CALI!AA117+HUNGRIA!AA117+YUMBO!AA117+'ADULTO MAYOR'!AA117+'COMEDORES VALLE'!AA117+BUGA!AA117+'COMEDORES CALI'!AA117+'CTAS EN PPACION'!AA117+'COMEDORES PALMIRA'!AA117+IMDERTY!AA117</f>
        <v/>
      </c>
      <c r="AB117" s="43" t="n"/>
      <c r="AC117" s="57" t="n"/>
      <c r="AD117" s="25">
        <f>CALI!AD117+HUNGRIA!AD117+YUMBO!AD117+'ADULTO MAYOR'!AD117+'COMEDORES VALLE'!AD117+BUGA!AD117+'COMEDORES CALI'!AD117+'CTAS EN PPACION'!AD117+'COMEDORES PALMIRA'!AD117+IMDERTY!AD117</f>
        <v/>
      </c>
      <c r="AE117" s="43" t="n"/>
      <c r="AF117" s="57" t="n"/>
      <c r="AG117" s="25">
        <f>CALI!AG117+HUNGRIA!AG117+YUMBO!AG117+'ADULTO MAYOR'!AG117+'COMEDORES VALLE'!AG117+BUGA!AG117+'COMEDORES CALI'!AG117+'CTAS EN PPACION'!AG117+'COMEDORES PALMIRA'!AG117+IMDERTY!AG117</f>
        <v/>
      </c>
      <c r="AH117" s="43" t="n"/>
      <c r="AI117" s="57" t="n"/>
      <c r="AJ117" s="25">
        <f>CALI!AJ117+HUNGRIA!AJ117+YUMBO!AJ117+'ADULTO MAYOR'!AJ117+'COMEDORES VALLE'!AJ117+BUGA!AJ117+'COMEDORES CALI'!AJ117+'CTAS EN PPACION'!AJ117+'COMEDORES PALMIRA'!AJ117+IMDERTY!AJ117</f>
        <v/>
      </c>
      <c r="AK117" s="43" t="n"/>
      <c r="AL117" s="57" t="n"/>
      <c r="AM117" s="24">
        <f>C117+F117+I117+L117+O117+R117+U117+X117+AA117+AD117+AG117+AJ117</f>
        <v/>
      </c>
      <c r="AN117" s="195" t="n"/>
      <c r="AO117" s="57" t="n"/>
    </row>
    <row r="118" ht="15" customHeight="1" s="985">
      <c r="A118" s="153" t="inlineStr">
        <is>
          <t xml:space="preserve">73452001            </t>
        </is>
      </c>
      <c r="B118" s="205" t="inlineStr">
        <is>
          <t xml:space="preserve">Equipo de Oficina                       </t>
        </is>
      </c>
      <c r="C118" s="25">
        <f>CALI!C118+HUNGRIA!C118+YUMBO!C118+'ADULTO MAYOR'!C118+'COMEDORES VALLE'!C118+BUGA!C118+'COMEDORES CALI'!C118+'CTAS EN PPACION'!C118+'COMEDORES PALMIRA'!C118+IMDERTY!C118</f>
        <v/>
      </c>
      <c r="D118" s="43" t="n"/>
      <c r="E118" s="1045" t="n"/>
      <c r="F118" s="25">
        <f>CALI!F118+HUNGRIA!F118+YUMBO!F118+'ADULTO MAYOR'!F118+'COMEDORES VALLE'!F118+BUGA!F118+'COMEDORES CALI'!F118+'CTAS EN PPACION'!F118+'COMEDORES PALMIRA'!F118+IMDERTY!F118</f>
        <v/>
      </c>
      <c r="G118" s="43" t="n"/>
      <c r="H118" s="57" t="n"/>
      <c r="I118" s="25">
        <f>CALI!I118+HUNGRIA!I118+YUMBO!I118+'ADULTO MAYOR'!I118+'COMEDORES VALLE'!I118+BUGA!I118+'COMEDORES CALI'!I118+'CTAS EN PPACION'!I118+'COMEDORES PALMIRA'!I118+IMDERTY!I118</f>
        <v/>
      </c>
      <c r="J118" s="43" t="n"/>
      <c r="K118" s="57" t="n"/>
      <c r="L118" s="25">
        <f>CALI!L118+HUNGRIA!L118+YUMBO!L118+'ADULTO MAYOR'!L118+'COMEDORES VALLE'!L118+BUGA!L118+'COMEDORES CALI'!L118+'CTAS EN PPACION'!L118+'COMEDORES PALMIRA'!L118+IMDERTY!L118</f>
        <v/>
      </c>
      <c r="M118" s="43" t="n"/>
      <c r="N118" s="57" t="n"/>
      <c r="O118" s="25">
        <f>CALI!O118+HUNGRIA!O118+YUMBO!O118+'ADULTO MAYOR'!O118+'COMEDORES VALLE'!O118+BUGA!O118+'COMEDORES CALI'!O118+'CTAS EN PPACION'!O118+'COMEDORES PALMIRA'!O118+IMDERTY!O118</f>
        <v/>
      </c>
      <c r="P118" s="43" t="n"/>
      <c r="Q118" s="57" t="n"/>
      <c r="R118" s="25">
        <f>CALI!R118+HUNGRIA!R118+YUMBO!R118+'ADULTO MAYOR'!R118+'COMEDORES VALLE'!R118+BUGA!R118+'COMEDORES CALI'!R118+'CTAS EN PPACION'!R118+'COMEDORES PALMIRA'!R118+IMDERTY!R118</f>
        <v/>
      </c>
      <c r="S118" s="43" t="n"/>
      <c r="T118" s="57" t="n"/>
      <c r="U118" s="25">
        <f>CALI!U118+HUNGRIA!U118+YUMBO!U118+'ADULTO MAYOR'!U118+'COMEDORES VALLE'!U118+BUGA!U118+'COMEDORES CALI'!U118+'CTAS EN PPACION'!U118+'COMEDORES PALMIRA'!U118+IMDERTY!U118</f>
        <v/>
      </c>
      <c r="V118" s="43" t="n"/>
      <c r="W118" s="57" t="n"/>
      <c r="X118" s="25">
        <f>CALI!X118+HUNGRIA!X118+YUMBO!X118+'ADULTO MAYOR'!X118+'COMEDORES VALLE'!X118+BUGA!X118+'COMEDORES CALI'!X118+'CTAS EN PPACION'!X118+'COMEDORES PALMIRA'!X118+IMDERTY!X118</f>
        <v/>
      </c>
      <c r="Y118" s="43" t="n"/>
      <c r="Z118" s="57" t="n"/>
      <c r="AA118" s="25">
        <f>CALI!AA118+HUNGRIA!AA118+YUMBO!AA118+'ADULTO MAYOR'!AA118+'COMEDORES VALLE'!AA118+BUGA!AA118+'COMEDORES CALI'!AA118+'CTAS EN PPACION'!AA118+'COMEDORES PALMIRA'!AA118+IMDERTY!AA118</f>
        <v/>
      </c>
      <c r="AB118" s="43" t="n"/>
      <c r="AC118" s="57" t="n"/>
      <c r="AD118" s="25">
        <f>CALI!AD118+HUNGRIA!AD118+YUMBO!AD118+'ADULTO MAYOR'!AD118+'COMEDORES VALLE'!AD118+BUGA!AD118+'COMEDORES CALI'!AD118+'CTAS EN PPACION'!AD118+'COMEDORES PALMIRA'!AD118+IMDERTY!AD118</f>
        <v/>
      </c>
      <c r="AE118" s="43" t="n"/>
      <c r="AF118" s="57" t="n"/>
      <c r="AG118" s="25">
        <f>CALI!AG118+HUNGRIA!AG118+YUMBO!AG118+'ADULTO MAYOR'!AG118+'COMEDORES VALLE'!AG118+BUGA!AG118+'COMEDORES CALI'!AG118+'CTAS EN PPACION'!AG118+'COMEDORES PALMIRA'!AG118+IMDERTY!AG118</f>
        <v/>
      </c>
      <c r="AH118" s="43" t="n"/>
      <c r="AI118" s="57" t="n"/>
      <c r="AJ118" s="25">
        <f>CALI!AJ118+HUNGRIA!AJ118+YUMBO!AJ118+'ADULTO MAYOR'!AJ118+'COMEDORES VALLE'!AJ118+BUGA!AJ118+'COMEDORES CALI'!AJ118+'CTAS EN PPACION'!AJ118+'COMEDORES PALMIRA'!AJ118+IMDERTY!AJ118</f>
        <v/>
      </c>
      <c r="AK118" s="43" t="n"/>
      <c r="AL118" s="57" t="n"/>
      <c r="AM118" s="24">
        <f>C118+F118+I118+L118+O118+R118+U118+X118+AA118+AD118+AG118+AJ118</f>
        <v/>
      </c>
      <c r="AN118" s="195" t="n"/>
      <c r="AO118" s="57" t="n"/>
    </row>
    <row r="119" ht="15" customHeight="1" s="985">
      <c r="A119" s="153" t="inlineStr">
        <is>
          <t xml:space="preserve">73456001            </t>
        </is>
      </c>
      <c r="B119" s="97" t="inlineStr">
        <is>
          <t>Planta Plan Basico de Saneamiento</t>
        </is>
      </c>
      <c r="C119" s="25">
        <f>CALI!C119+HUNGRIA!C119+YUMBO!C119+'ADULTO MAYOR'!C119+'COMEDORES VALLE'!C119+BUGA!C119+'COMEDORES CALI'!C119+'CTAS EN PPACION'!C119+'COMEDORES PALMIRA'!C119+IMDERTY!C119</f>
        <v/>
      </c>
      <c r="D119" s="43" t="n"/>
      <c r="E119" s="1045" t="n"/>
      <c r="F119" s="25">
        <f>CALI!F119+HUNGRIA!F119+YUMBO!F119+'ADULTO MAYOR'!F119+'COMEDORES VALLE'!F119+BUGA!F119+'COMEDORES CALI'!F119+'CTAS EN PPACION'!F119+'COMEDORES PALMIRA'!F119+IMDERTY!F119</f>
        <v/>
      </c>
      <c r="G119" s="43" t="n"/>
      <c r="H119" s="57" t="n"/>
      <c r="I119" s="25">
        <f>CALI!I119+HUNGRIA!I119+YUMBO!I119+'ADULTO MAYOR'!I119+'COMEDORES VALLE'!I119+BUGA!I119+'COMEDORES CALI'!I119+'CTAS EN PPACION'!I119+'COMEDORES PALMIRA'!I119+IMDERTY!I119</f>
        <v/>
      </c>
      <c r="J119" s="43" t="n"/>
      <c r="K119" s="57" t="n"/>
      <c r="L119" s="25">
        <f>CALI!L119+HUNGRIA!L119+YUMBO!L119+'ADULTO MAYOR'!L119+'COMEDORES VALLE'!L119+BUGA!L119+'COMEDORES CALI'!L119+'CTAS EN PPACION'!L119+'COMEDORES PALMIRA'!L119+IMDERTY!L119</f>
        <v/>
      </c>
      <c r="M119" s="42" t="n"/>
      <c r="N119" s="56" t="n"/>
      <c r="O119" s="25">
        <f>CALI!O119+HUNGRIA!O119+YUMBO!O119+'ADULTO MAYOR'!O119+'COMEDORES VALLE'!O119+BUGA!O119+'COMEDORES CALI'!O119+'CTAS EN PPACION'!O119+'COMEDORES PALMIRA'!O119+IMDERTY!O119</f>
        <v/>
      </c>
      <c r="P119" s="43" t="n"/>
      <c r="Q119" s="57" t="n"/>
      <c r="R119" s="25">
        <f>CALI!R119+HUNGRIA!R119+YUMBO!R119+'ADULTO MAYOR'!R119+'COMEDORES VALLE'!R119+BUGA!R119+'COMEDORES CALI'!R119+'CTAS EN PPACION'!R119+'COMEDORES PALMIRA'!R119+IMDERTY!R119</f>
        <v/>
      </c>
      <c r="S119" s="42" t="n"/>
      <c r="T119" s="56" t="n"/>
      <c r="U119" s="25">
        <f>CALI!U119+HUNGRIA!U119+YUMBO!U119+'ADULTO MAYOR'!U119+'COMEDORES VALLE'!U119+BUGA!U119+'COMEDORES CALI'!U119+'CTAS EN PPACION'!U119+'COMEDORES PALMIRA'!U119+IMDERTY!U119</f>
        <v/>
      </c>
      <c r="V119" s="42" t="n"/>
      <c r="W119" s="56" t="n"/>
      <c r="X119" s="25">
        <f>CALI!X119+HUNGRIA!X119+YUMBO!X119+'ADULTO MAYOR'!X119+'COMEDORES VALLE'!X119+BUGA!X119+'COMEDORES CALI'!X119+'CTAS EN PPACION'!X119+'COMEDORES PALMIRA'!X119+IMDERTY!X119</f>
        <v/>
      </c>
      <c r="Y119" s="42" t="n"/>
      <c r="Z119" s="56" t="n"/>
      <c r="AA119" s="25">
        <f>CALI!AA119+HUNGRIA!AA119+YUMBO!AA119+'ADULTO MAYOR'!AA119+'COMEDORES VALLE'!AA119+BUGA!AA119+'COMEDORES CALI'!AA119+'CTAS EN PPACION'!AA119+'COMEDORES PALMIRA'!AA119+IMDERTY!AA119</f>
        <v/>
      </c>
      <c r="AB119" s="42" t="n"/>
      <c r="AC119" s="56" t="n"/>
      <c r="AD119" s="25">
        <f>CALI!AD119+HUNGRIA!AD119+YUMBO!AD119+'ADULTO MAYOR'!AD119+'COMEDORES VALLE'!AD119+BUGA!AD119+'COMEDORES CALI'!AD119+'CTAS EN PPACION'!AD119+'COMEDORES PALMIRA'!AD119+IMDERTY!AD119</f>
        <v/>
      </c>
      <c r="AE119" s="42" t="n"/>
      <c r="AF119" s="56" t="n"/>
      <c r="AG119" s="25">
        <f>CALI!AG119+HUNGRIA!AG119+YUMBO!AG119+'ADULTO MAYOR'!AG119+'COMEDORES VALLE'!AG119+BUGA!AG119+'COMEDORES CALI'!AG119+'CTAS EN PPACION'!AG119+'COMEDORES PALMIRA'!AG119+IMDERTY!AG119</f>
        <v/>
      </c>
      <c r="AH119" s="42" t="n"/>
      <c r="AI119" s="56" t="n"/>
      <c r="AJ119" s="25">
        <f>CALI!AJ119+HUNGRIA!AJ119+YUMBO!AJ119+'ADULTO MAYOR'!AJ119+'COMEDORES VALLE'!AJ119+BUGA!AJ119+'COMEDORES CALI'!AJ119+'CTAS EN PPACION'!AJ119+'COMEDORES PALMIRA'!AJ119+IMDERTY!AJ119</f>
        <v/>
      </c>
      <c r="AK119" s="42" t="n"/>
      <c r="AL119" s="56" t="n"/>
      <c r="AM119" s="23">
        <f>C119+F119+I119+L119+O119+R119+U119+X119+AA119+AD119+AG119+AJ119</f>
        <v/>
      </c>
      <c r="AN119" s="194" t="n"/>
      <c r="AO119" s="56" t="n"/>
    </row>
    <row r="120" ht="15" customHeight="1" s="985">
      <c r="B120" s="16" t="inlineStr">
        <is>
          <t>ADECUACIONES E INSTALACIONES</t>
        </is>
      </c>
      <c r="C120" s="49">
        <f>SUM(C121:C122)</f>
        <v/>
      </c>
      <c r="D120" s="3" t="n"/>
      <c r="E120" s="1053">
        <f>C120/(C$13)</f>
        <v/>
      </c>
      <c r="F120" s="49">
        <f>SUM(F121:F122)</f>
        <v/>
      </c>
      <c r="G120" s="3" t="n"/>
      <c r="H120" s="61">
        <f>F120/F$13</f>
        <v/>
      </c>
      <c r="I120" s="49">
        <f>SUM(I121:I122)</f>
        <v/>
      </c>
      <c r="J120" s="3" t="n"/>
      <c r="K120" s="61">
        <f>I120/I$13</f>
        <v/>
      </c>
      <c r="L120" s="49">
        <f>SUM(L121:L122)</f>
        <v/>
      </c>
      <c r="M120" s="3" t="n"/>
      <c r="N120" s="61">
        <f>L120/L$13</f>
        <v/>
      </c>
      <c r="O120" s="49">
        <f>SUM(O121:O122)</f>
        <v/>
      </c>
      <c r="P120" s="3" t="n"/>
      <c r="Q120" s="61">
        <f>O120/O$13</f>
        <v/>
      </c>
      <c r="R120" s="90">
        <f>SUM(R121:R122)</f>
        <v/>
      </c>
      <c r="S120" s="3" t="n"/>
      <c r="T120" s="61">
        <f>R120/R$13</f>
        <v/>
      </c>
      <c r="U120" s="49">
        <f>SUM(U121:U122)</f>
        <v/>
      </c>
      <c r="V120" s="3" t="n"/>
      <c r="W120" s="61">
        <f>U120/U$13</f>
        <v/>
      </c>
      <c r="X120" s="49">
        <f>SUM(X121:X122)</f>
        <v/>
      </c>
      <c r="Y120" s="3" t="n"/>
      <c r="Z120" s="61">
        <f>X120/X$13</f>
        <v/>
      </c>
      <c r="AA120" s="49">
        <f>SUM(AA121:AA122)</f>
        <v/>
      </c>
      <c r="AB120" s="3" t="n"/>
      <c r="AC120" s="61">
        <f>AA120/AA$13</f>
        <v/>
      </c>
      <c r="AD120" s="49">
        <f>SUM(AD121:AD122)</f>
        <v/>
      </c>
      <c r="AE120" s="3" t="n"/>
      <c r="AF120" s="61">
        <f>AD120/AD$13</f>
        <v/>
      </c>
      <c r="AG120" s="49">
        <f>SUM(AG121:AG122)</f>
        <v/>
      </c>
      <c r="AH120" s="3" t="n"/>
      <c r="AI120" s="61">
        <f>AG120/AG$13</f>
        <v/>
      </c>
      <c r="AJ120" s="49">
        <f>SUM(AJ121:AJ122)</f>
        <v/>
      </c>
      <c r="AK120" s="3" t="n"/>
      <c r="AL120" s="61" t="n"/>
      <c r="AM120" s="17">
        <f>C120+F120+I120+L120+O120+R120+U120+X120+AA120+AD120+AG120+AJ120</f>
        <v/>
      </c>
      <c r="AN120" s="197" t="n"/>
      <c r="AO120" s="1237">
        <f>AM120/(AM$13)</f>
        <v/>
      </c>
    </row>
    <row r="121" ht="15" customHeight="1" s="985">
      <c r="A121" s="153" t="inlineStr">
        <is>
          <t xml:space="preserve">73500501            </t>
        </is>
      </c>
      <c r="B121" s="39" t="inlineStr">
        <is>
          <t>Instalaciones Electricas</t>
        </is>
      </c>
      <c r="C121" s="39">
        <f>CALI!C121+HUNGRIA!C121+YUMBO!C121+'ADULTO MAYOR'!C121+'COMEDORES VALLE'!C121+BUGA!C121+'COMEDORES CALI'!C121+'CTAS EN PPACION'!C121+'COMEDORES PALMIRA'!C121+IMDERTY!C121</f>
        <v/>
      </c>
      <c r="D121" s="69" t="n"/>
      <c r="E121" s="1077" t="n"/>
      <c r="F121" s="39">
        <f>CALI!F121+HUNGRIA!F121+YUMBO!F121+'ADULTO MAYOR'!F121+'COMEDORES VALLE'!F121+BUGA!F121+'COMEDORES CALI'!F121+'CTAS EN PPACION'!F121+'COMEDORES PALMIRA'!F121+IMDERTY!F121</f>
        <v/>
      </c>
      <c r="G121" s="69" t="n"/>
      <c r="H121" s="70" t="n"/>
      <c r="I121" s="39">
        <f>CALI!I121+HUNGRIA!I121+YUMBO!I121+'ADULTO MAYOR'!I121+'COMEDORES VALLE'!I121+BUGA!I121+'COMEDORES CALI'!I121+'CTAS EN PPACION'!I121+'COMEDORES PALMIRA'!I121+IMDERTY!I121</f>
        <v/>
      </c>
      <c r="J121" s="69" t="n"/>
      <c r="K121" s="70" t="n"/>
      <c r="L121" s="39">
        <f>CALI!L121+HUNGRIA!L121+YUMBO!L121+'ADULTO MAYOR'!L121+'COMEDORES VALLE'!L121+BUGA!L121+'COMEDORES CALI'!L121+'CTAS EN PPACION'!L121+'COMEDORES PALMIRA'!L121+IMDERTY!L121</f>
        <v/>
      </c>
      <c r="M121" s="69" t="n"/>
      <c r="N121" s="70" t="n"/>
      <c r="O121" s="39">
        <f>CALI!O121+HUNGRIA!O121+YUMBO!O121+'ADULTO MAYOR'!O121+'COMEDORES VALLE'!O121+BUGA!O121+'COMEDORES CALI'!O121+'CTAS EN PPACION'!O121+'COMEDORES PALMIRA'!O121+IMDERTY!O121</f>
        <v/>
      </c>
      <c r="P121" s="69" t="n"/>
      <c r="Q121" s="70" t="n"/>
      <c r="R121" s="39">
        <f>CALI!R121+HUNGRIA!R121+YUMBO!R121+'ADULTO MAYOR'!R121+'COMEDORES VALLE'!R121+BUGA!R121+'COMEDORES CALI'!R121+'CTAS EN PPACION'!R121+'COMEDORES PALMIRA'!R121+IMDERTY!R121</f>
        <v/>
      </c>
      <c r="S121" s="69" t="n"/>
      <c r="T121" s="70" t="n"/>
      <c r="U121" s="39">
        <f>CALI!U121+HUNGRIA!U121+YUMBO!U121+'ADULTO MAYOR'!U121+'COMEDORES VALLE'!U121+BUGA!U121+'COMEDORES CALI'!U121+'CTAS EN PPACION'!U121+'COMEDORES PALMIRA'!U121+IMDERTY!U121</f>
        <v/>
      </c>
      <c r="V121" s="69" t="n"/>
      <c r="W121" s="70" t="n"/>
      <c r="X121" s="39">
        <f>CALI!X121+HUNGRIA!X121+YUMBO!X121+'ADULTO MAYOR'!X121+'COMEDORES VALLE'!X121+BUGA!X121+'COMEDORES CALI'!X121+'CTAS EN PPACION'!X121+'COMEDORES PALMIRA'!X121+IMDERTY!X121</f>
        <v/>
      </c>
      <c r="Y121" s="69" t="n"/>
      <c r="Z121" s="70" t="n"/>
      <c r="AA121" s="39">
        <f>CALI!AA121+HUNGRIA!AA121+YUMBO!AA121+'ADULTO MAYOR'!AA121+'COMEDORES VALLE'!AA121+BUGA!AA121+'COMEDORES CALI'!AA121+'CTAS EN PPACION'!AA121+'COMEDORES PALMIRA'!AA121+IMDERTY!AA121</f>
        <v/>
      </c>
      <c r="AB121" s="69" t="n"/>
      <c r="AC121" s="70" t="n"/>
      <c r="AD121" s="39">
        <f>CALI!AD121+HUNGRIA!AD121+YUMBO!AD121+'ADULTO MAYOR'!AD121+'COMEDORES VALLE'!AD121+BUGA!AD121+'COMEDORES CALI'!AD121+'CTAS EN PPACION'!AD121+'COMEDORES PALMIRA'!AD121+IMDERTY!AD121</f>
        <v/>
      </c>
      <c r="AE121" s="69" t="n"/>
      <c r="AF121" s="70" t="n"/>
      <c r="AG121" s="39">
        <f>CALI!AG121+HUNGRIA!AG121+YUMBO!AG121+'ADULTO MAYOR'!AG121+'COMEDORES VALLE'!AG121+BUGA!AG121+'COMEDORES CALI'!AG121+'CTAS EN PPACION'!AG121+'COMEDORES PALMIRA'!AG121+IMDERTY!AG121</f>
        <v/>
      </c>
      <c r="AH121" s="69" t="n"/>
      <c r="AI121" s="70" t="n"/>
      <c r="AJ121" s="39">
        <f>CALI!AJ121+HUNGRIA!AJ121+YUMBO!AJ121+'ADULTO MAYOR'!AJ121+'COMEDORES VALLE'!AJ121+BUGA!AJ121+'COMEDORES CALI'!AJ121+'CTAS EN PPACION'!AJ121+'COMEDORES PALMIRA'!AJ121+IMDERTY!AJ121</f>
        <v/>
      </c>
      <c r="AK121" s="69" t="n"/>
      <c r="AL121" s="70" t="n"/>
      <c r="AM121" s="31">
        <f>C121+F121+I121+L121+O121+R121+U121+X121+AA121+AD121+AG121+AJ121</f>
        <v/>
      </c>
      <c r="AN121" s="201" t="n"/>
      <c r="AO121" s="70" t="n"/>
    </row>
    <row r="122" ht="15" customHeight="1" s="985">
      <c r="A122" s="153" t="inlineStr">
        <is>
          <t xml:space="preserve">73501501            </t>
        </is>
      </c>
      <c r="B122" s="284" t="inlineStr">
        <is>
          <t>Reparaciones Locativas</t>
        </is>
      </c>
      <c r="C122" s="91">
        <f>CALI!C122+HUNGRIA!C122+YUMBO!C122+'ADULTO MAYOR'!C122+'COMEDORES VALLE'!C122+BUGA!C122+'COMEDORES CALI'!C122+'CTAS EN PPACION'!C122+'COMEDORES PALMIRA'!C122+IMDERTY!C122</f>
        <v/>
      </c>
      <c r="D122" s="92" t="n"/>
      <c r="E122" s="1063" t="n"/>
      <c r="F122" s="91">
        <f>CALI!F122+HUNGRIA!F122+YUMBO!F122+'ADULTO MAYOR'!F122+'COMEDORES VALLE'!F122+BUGA!F122+'COMEDORES CALI'!F122+'CTAS EN PPACION'!F122+'COMEDORES PALMIRA'!F122+IMDERTY!F122</f>
        <v/>
      </c>
      <c r="G122" s="92" t="n"/>
      <c r="H122" s="88" t="n"/>
      <c r="I122" s="91">
        <f>CALI!I122+HUNGRIA!I122+YUMBO!I122+'ADULTO MAYOR'!I122+'COMEDORES VALLE'!I122+BUGA!I122+'COMEDORES CALI'!I122+'CTAS EN PPACION'!I122+'COMEDORES PALMIRA'!I122+IMDERTY!I122</f>
        <v/>
      </c>
      <c r="J122" s="92" t="n"/>
      <c r="K122" s="88" t="n"/>
      <c r="L122" s="275">
        <f>CALI!L122+HUNGRIA!L122+YUMBO!L122+'ADULTO MAYOR'!L122+'COMEDORES VALLE'!L122+BUGA!L122+'COMEDORES CALI'!L122+'CTAS EN PPACION'!L122+'COMEDORES PALMIRA'!L122+IMDERTY!L122</f>
        <v/>
      </c>
      <c r="M122" s="92" t="n"/>
      <c r="N122" s="88" t="n"/>
      <c r="O122" s="91">
        <f>CALI!O122+HUNGRIA!O122+YUMBO!O122+'ADULTO MAYOR'!O122+'COMEDORES VALLE'!O122+BUGA!O122+'COMEDORES CALI'!O122+'CTAS EN PPACION'!O122+'COMEDORES PALMIRA'!O122+IMDERTY!O122</f>
        <v/>
      </c>
      <c r="P122" s="92" t="n"/>
      <c r="Q122" s="88" t="n"/>
      <c r="R122" s="91">
        <f>CALI!R122+HUNGRIA!R122+YUMBO!R122+'ADULTO MAYOR'!R122+'COMEDORES VALLE'!R122+BUGA!R122+'COMEDORES CALI'!R122+'CTAS EN PPACION'!R122+'COMEDORES PALMIRA'!R122+IMDERTY!R122</f>
        <v/>
      </c>
      <c r="S122" s="92" t="n"/>
      <c r="T122" s="88" t="n"/>
      <c r="U122" s="91">
        <f>CALI!U122+HUNGRIA!U122+YUMBO!U122+'ADULTO MAYOR'!U122+'COMEDORES VALLE'!U122+BUGA!U122+'COMEDORES CALI'!U122+'CTAS EN PPACION'!U122+'COMEDORES PALMIRA'!U122+IMDERTY!U122</f>
        <v/>
      </c>
      <c r="V122" s="92" t="n"/>
      <c r="W122" s="88" t="n"/>
      <c r="X122" s="91">
        <f>CALI!X122+HUNGRIA!X122+YUMBO!X122+'ADULTO MAYOR'!X122+'COMEDORES VALLE'!X122+BUGA!X122+'COMEDORES CALI'!X122+'CTAS EN PPACION'!X122+'COMEDORES PALMIRA'!X122+IMDERTY!X122</f>
        <v/>
      </c>
      <c r="Y122" s="92" t="n"/>
      <c r="Z122" s="88" t="n"/>
      <c r="AA122" s="91">
        <f>CALI!AA122+HUNGRIA!AA122+YUMBO!AA122+'ADULTO MAYOR'!AA122+'COMEDORES VALLE'!AA122+BUGA!AA122+'COMEDORES CALI'!AA122+'CTAS EN PPACION'!AA122+'COMEDORES PALMIRA'!AA122+IMDERTY!AA122</f>
        <v/>
      </c>
      <c r="AB122" s="92" t="n"/>
      <c r="AC122" s="88" t="n"/>
      <c r="AD122" s="91">
        <f>CALI!AD122+HUNGRIA!AD122+YUMBO!AD122+'ADULTO MAYOR'!AD122+'COMEDORES VALLE'!AD122+BUGA!AD122+'COMEDORES CALI'!AD122+'CTAS EN PPACION'!AD122+'COMEDORES PALMIRA'!AD122+IMDERTY!AD122</f>
        <v/>
      </c>
      <c r="AE122" s="92" t="n"/>
      <c r="AF122" s="88" t="n"/>
      <c r="AG122" s="91">
        <f>CALI!AG122+HUNGRIA!AG122+YUMBO!AG122+'ADULTO MAYOR'!AG122+'COMEDORES VALLE'!AG122+BUGA!AG122+'COMEDORES CALI'!AG122+'CTAS EN PPACION'!AG122+'COMEDORES PALMIRA'!AG122+IMDERTY!AG122</f>
        <v/>
      </c>
      <c r="AH122" s="92" t="n"/>
      <c r="AI122" s="88" t="n"/>
      <c r="AJ122" s="91">
        <f>CALI!AJ122+HUNGRIA!AJ122+YUMBO!AJ122+'ADULTO MAYOR'!AJ122+'COMEDORES VALLE'!AJ122+BUGA!AJ122+'COMEDORES CALI'!AJ122+'CTAS EN PPACION'!AJ122+'COMEDORES PALMIRA'!AJ122+IMDERTY!AJ122</f>
        <v/>
      </c>
      <c r="AK122" s="92" t="n"/>
      <c r="AL122" s="88" t="n"/>
      <c r="AM122" s="133">
        <f>C122+F122+I122+L122+O122+R122+U122+X122+AA122+AD122+AG122+AJ122</f>
        <v/>
      </c>
      <c r="AN122" s="203" t="n"/>
      <c r="AO122" s="88" t="n"/>
    </row>
    <row r="123" ht="15" customHeight="1" s="985">
      <c r="B123" s="16" t="inlineStr">
        <is>
          <t>GASTOS DE VIAJE</t>
        </is>
      </c>
      <c r="C123" s="49">
        <f>SUM(C124:C126)</f>
        <v/>
      </c>
      <c r="D123" s="3" t="n"/>
      <c r="E123" s="1053">
        <f>C123/(C$13)</f>
        <v/>
      </c>
      <c r="F123" s="49">
        <f>SUM(F124:F126)</f>
        <v/>
      </c>
      <c r="G123" s="3" t="n"/>
      <c r="H123" s="61">
        <f>F123/F$13</f>
        <v/>
      </c>
      <c r="I123" s="49">
        <f>SUM(I124:I126)</f>
        <v/>
      </c>
      <c r="J123" s="3" t="n"/>
      <c r="K123" s="61">
        <f>I123/I$13</f>
        <v/>
      </c>
      <c r="L123" s="49">
        <f>SUM(L124:L126)</f>
        <v/>
      </c>
      <c r="M123" s="3" t="n"/>
      <c r="N123" s="61">
        <f>L123/L$13</f>
        <v/>
      </c>
      <c r="O123" s="49">
        <f>SUM(O124:O126)</f>
        <v/>
      </c>
      <c r="P123" s="3" t="n"/>
      <c r="Q123" s="61">
        <f>O123/O$13</f>
        <v/>
      </c>
      <c r="R123" s="90">
        <f>SUM(R124:R126)</f>
        <v/>
      </c>
      <c r="S123" s="3" t="n"/>
      <c r="T123" s="61">
        <f>R123/R$13</f>
        <v/>
      </c>
      <c r="U123" s="49">
        <f>SUM(U124:U126)</f>
        <v/>
      </c>
      <c r="V123" s="3" t="n"/>
      <c r="W123" s="61">
        <f>U123/U$13</f>
        <v/>
      </c>
      <c r="X123" s="49">
        <f>SUM(X124:X126)</f>
        <v/>
      </c>
      <c r="Y123" s="3" t="n"/>
      <c r="Z123" s="61">
        <f>X123/X$13</f>
        <v/>
      </c>
      <c r="AA123" s="49">
        <f>SUM(AA124:AA126)</f>
        <v/>
      </c>
      <c r="AB123" s="3" t="n"/>
      <c r="AC123" s="61">
        <f>AA123/AA$13</f>
        <v/>
      </c>
      <c r="AD123" s="49">
        <f>SUM(AD124:AD126)</f>
        <v/>
      </c>
      <c r="AE123" s="3" t="n"/>
      <c r="AF123" s="61">
        <f>AD123/AD$13</f>
        <v/>
      </c>
      <c r="AG123" s="49">
        <f>SUM(AG124:AG126)</f>
        <v/>
      </c>
      <c r="AH123" s="3" t="n"/>
      <c r="AI123" s="61">
        <f>AG123/AG$13</f>
        <v/>
      </c>
      <c r="AJ123" s="49">
        <f>SUM(AJ124:AJ126)</f>
        <v/>
      </c>
      <c r="AK123" s="3" t="n"/>
      <c r="AL123" s="61" t="n"/>
      <c r="AM123" s="17">
        <f>C123+F123+I123+L123+O123+R123+U123+X123+AA123+AD123+AG123+AJ123</f>
        <v/>
      </c>
      <c r="AN123" s="197" t="n"/>
      <c r="AO123" s="1237">
        <f>AM123/(AM$13)</f>
        <v/>
      </c>
    </row>
    <row r="124" ht="15" customHeight="1" s="985">
      <c r="A124" s="153" t="inlineStr">
        <is>
          <t xml:space="preserve">73550501            </t>
        </is>
      </c>
      <c r="B124" s="39" t="inlineStr">
        <is>
          <t>Alojamiento y Manutención</t>
        </is>
      </c>
      <c r="C124" s="39">
        <f>CALI!C124+HUNGRIA!C124+YUMBO!C124+'ADULTO MAYOR'!C124+'COMEDORES VALLE'!C124+BUGA!C124+'COMEDORES CALI'!C124+'CTAS EN PPACION'!C124+'COMEDORES PALMIRA'!C124+IMDERTY!C124</f>
        <v/>
      </c>
      <c r="D124" s="69" t="n"/>
      <c r="E124" s="1077" t="n"/>
      <c r="F124" s="39">
        <f>CALI!F124+HUNGRIA!F124+YUMBO!F124+'ADULTO MAYOR'!F124+'COMEDORES VALLE'!F124+BUGA!F124+'COMEDORES CALI'!F124+'CTAS EN PPACION'!F124+'COMEDORES PALMIRA'!F124+IMDERTY!F124</f>
        <v/>
      </c>
      <c r="G124" s="69" t="n"/>
      <c r="H124" s="70" t="n"/>
      <c r="I124" s="39">
        <f>CALI!I124+HUNGRIA!I124+YUMBO!I124+'ADULTO MAYOR'!I124+'COMEDORES VALLE'!I124+BUGA!I124+'COMEDORES CALI'!I124+'CTAS EN PPACION'!I124+'COMEDORES PALMIRA'!I124+IMDERTY!I124</f>
        <v/>
      </c>
      <c r="J124" s="69" t="n"/>
      <c r="K124" s="70" t="n"/>
      <c r="L124" s="39">
        <f>CALI!L124+HUNGRIA!L124+YUMBO!L124+'ADULTO MAYOR'!L124+'COMEDORES VALLE'!L124+BUGA!L124+'COMEDORES CALI'!L124+'CTAS EN PPACION'!L124+'COMEDORES PALMIRA'!L124+IMDERTY!L124</f>
        <v/>
      </c>
      <c r="M124" s="69" t="n"/>
      <c r="N124" s="70" t="n"/>
      <c r="O124" s="39">
        <f>CALI!O124+HUNGRIA!O124+YUMBO!O124+'ADULTO MAYOR'!O124+'COMEDORES VALLE'!O124+BUGA!O124+'COMEDORES CALI'!O124+'CTAS EN PPACION'!O124+'COMEDORES PALMIRA'!O124+IMDERTY!O124</f>
        <v/>
      </c>
      <c r="P124" s="69" t="n"/>
      <c r="Q124" s="70" t="n"/>
      <c r="R124" s="39">
        <f>CALI!R124+HUNGRIA!R124+YUMBO!R124+'ADULTO MAYOR'!R124+'COMEDORES VALLE'!R124+BUGA!R124+'COMEDORES CALI'!R124+'CTAS EN PPACION'!R124+'COMEDORES PALMIRA'!R124+IMDERTY!R124</f>
        <v/>
      </c>
      <c r="S124" s="69" t="n"/>
      <c r="T124" s="70" t="n"/>
      <c r="U124" s="39">
        <f>CALI!U124+HUNGRIA!U124+YUMBO!U124+'ADULTO MAYOR'!U124+'COMEDORES VALLE'!U124+BUGA!U124+'COMEDORES CALI'!U124+'CTAS EN PPACION'!U124+'COMEDORES PALMIRA'!U124+IMDERTY!U124</f>
        <v/>
      </c>
      <c r="V124" s="69" t="n"/>
      <c r="W124" s="70" t="n"/>
      <c r="X124" s="39">
        <f>CALI!X124+HUNGRIA!X124+YUMBO!X124+'ADULTO MAYOR'!X124+'COMEDORES VALLE'!X124+BUGA!X124+'COMEDORES CALI'!X124+'CTAS EN PPACION'!X124+'COMEDORES PALMIRA'!X124+IMDERTY!X124</f>
        <v/>
      </c>
      <c r="Y124" s="69" t="n"/>
      <c r="Z124" s="70" t="n"/>
      <c r="AA124" s="39">
        <f>CALI!AA124+HUNGRIA!AA124+YUMBO!AA124+'ADULTO MAYOR'!AA124+'COMEDORES VALLE'!AA124+BUGA!AA124+'COMEDORES CALI'!AA124+'CTAS EN PPACION'!AA124+'COMEDORES PALMIRA'!AA124+IMDERTY!AA124</f>
        <v/>
      </c>
      <c r="AB124" s="69" t="n"/>
      <c r="AC124" s="70" t="n"/>
      <c r="AD124" s="39">
        <f>CALI!AD124+HUNGRIA!AD124+YUMBO!AD124+'ADULTO MAYOR'!AD124+'COMEDORES VALLE'!AD124+BUGA!AD124+'COMEDORES CALI'!AD124+'CTAS EN PPACION'!AD124+'COMEDORES PALMIRA'!AD124+IMDERTY!AD124</f>
        <v/>
      </c>
      <c r="AE124" s="69" t="n"/>
      <c r="AF124" s="70" t="n"/>
      <c r="AG124" s="39">
        <f>CALI!AG124+HUNGRIA!AG124+YUMBO!AG124+'ADULTO MAYOR'!AG124+'COMEDORES VALLE'!AG124+BUGA!AG124+'COMEDORES CALI'!AG124+'CTAS EN PPACION'!AG124+'COMEDORES PALMIRA'!AG124+IMDERTY!AG124</f>
        <v/>
      </c>
      <c r="AH124" s="69" t="n"/>
      <c r="AI124" s="70" t="n"/>
      <c r="AJ124" s="39">
        <f>CALI!AJ124+HUNGRIA!AJ124+YUMBO!AJ124+'ADULTO MAYOR'!AJ124+'COMEDORES VALLE'!AJ124+BUGA!AJ124+'COMEDORES CALI'!AJ124+'CTAS EN PPACION'!AJ124+'COMEDORES PALMIRA'!AJ124+IMDERTY!AJ124</f>
        <v/>
      </c>
      <c r="AK124" s="69" t="n"/>
      <c r="AL124" s="70" t="n"/>
      <c r="AM124" s="31">
        <f>C124+F124+I124+L124+O124+R124+U124+X124+AA124+AD124+AG124+AJ124</f>
        <v/>
      </c>
      <c r="AN124" s="201" t="n"/>
      <c r="AO124" s="70" t="n"/>
    </row>
    <row r="125" ht="15" customHeight="1" s="985">
      <c r="A125" s="153" t="inlineStr">
        <is>
          <t xml:space="preserve">73551501            </t>
        </is>
      </c>
      <c r="B125" s="25" t="inlineStr">
        <is>
          <t>Pasajes Aereos</t>
        </is>
      </c>
      <c r="C125" s="25">
        <f>CALI!C125+HUNGRIA!C125+YUMBO!C125+'ADULTO MAYOR'!C125+'COMEDORES VALLE'!C125+BUGA!C125+'COMEDORES CALI'!C125+'CTAS EN PPACION'!C125+'COMEDORES PALMIRA'!C125+IMDERTY!C125</f>
        <v/>
      </c>
      <c r="D125" s="43" t="n"/>
      <c r="E125" s="1045" t="n"/>
      <c r="F125" s="25">
        <f>CALI!F125+HUNGRIA!F125+YUMBO!F125+'ADULTO MAYOR'!F125+'COMEDORES VALLE'!F125+BUGA!F125+'COMEDORES CALI'!F125+'CTAS EN PPACION'!F125+'COMEDORES PALMIRA'!F125+IMDERTY!F125</f>
        <v/>
      </c>
      <c r="G125" s="43" t="n"/>
      <c r="H125" s="57" t="n"/>
      <c r="I125" s="25">
        <f>CALI!I125+HUNGRIA!I125+YUMBO!I125+'ADULTO MAYOR'!I125+'COMEDORES VALLE'!I125+BUGA!I125+'COMEDORES CALI'!I125+'CTAS EN PPACION'!I125+'COMEDORES PALMIRA'!I125+IMDERTY!I125</f>
        <v/>
      </c>
      <c r="J125" s="43" t="n"/>
      <c r="K125" s="57" t="n"/>
      <c r="L125" s="25">
        <f>CALI!L125+HUNGRIA!L125+YUMBO!L125+'ADULTO MAYOR'!L125+'COMEDORES VALLE'!L125+BUGA!L125+'COMEDORES CALI'!L125+'CTAS EN PPACION'!L125+'COMEDORES PALMIRA'!L125+IMDERTY!L125</f>
        <v/>
      </c>
      <c r="M125" s="43" t="n"/>
      <c r="N125" s="57" t="n"/>
      <c r="O125" s="25">
        <f>CALI!O125+HUNGRIA!O125+YUMBO!O125+'ADULTO MAYOR'!O125+'COMEDORES VALLE'!O125+BUGA!O125+'COMEDORES CALI'!O125+'CTAS EN PPACION'!O125+'COMEDORES PALMIRA'!O125+IMDERTY!O125</f>
        <v/>
      </c>
      <c r="P125" s="43" t="n"/>
      <c r="Q125" s="57" t="n"/>
      <c r="R125" s="25">
        <f>CALI!R125+HUNGRIA!R125+YUMBO!R125+'ADULTO MAYOR'!R125+'COMEDORES VALLE'!R125+BUGA!R125+'COMEDORES CALI'!R125+'CTAS EN PPACION'!R125+'COMEDORES PALMIRA'!R125+IMDERTY!R125</f>
        <v/>
      </c>
      <c r="S125" s="43" t="n"/>
      <c r="T125" s="57" t="n"/>
      <c r="U125" s="25">
        <f>CALI!U125+HUNGRIA!U125+YUMBO!U125+'ADULTO MAYOR'!U125+'COMEDORES VALLE'!U125+BUGA!U125+'COMEDORES CALI'!U125+'CTAS EN PPACION'!U125+'COMEDORES PALMIRA'!U125+IMDERTY!U125</f>
        <v/>
      </c>
      <c r="V125" s="43" t="n"/>
      <c r="W125" s="57" t="n"/>
      <c r="X125" s="25">
        <f>CALI!X125+HUNGRIA!X125+YUMBO!X125+'ADULTO MAYOR'!X125+'COMEDORES VALLE'!X125+BUGA!X125+'COMEDORES CALI'!X125+'CTAS EN PPACION'!X125+'COMEDORES PALMIRA'!X125+IMDERTY!X125</f>
        <v/>
      </c>
      <c r="Y125" s="43" t="n"/>
      <c r="Z125" s="57" t="n"/>
      <c r="AA125" s="25">
        <f>CALI!AA125+HUNGRIA!AA125+YUMBO!AA125+'ADULTO MAYOR'!AA125+'COMEDORES VALLE'!AA125+BUGA!AA125+'COMEDORES CALI'!AA125+'CTAS EN PPACION'!AA125+'COMEDORES PALMIRA'!AA125+IMDERTY!AA125</f>
        <v/>
      </c>
      <c r="AB125" s="43" t="n"/>
      <c r="AC125" s="57" t="n"/>
      <c r="AD125" s="25">
        <f>CALI!AD125+HUNGRIA!AD125+YUMBO!AD125+'ADULTO MAYOR'!AD125+'COMEDORES VALLE'!AD125+BUGA!AD125+'COMEDORES CALI'!AD125+'CTAS EN PPACION'!AD125+'COMEDORES PALMIRA'!AD125+IMDERTY!AD125</f>
        <v/>
      </c>
      <c r="AE125" s="43" t="n"/>
      <c r="AF125" s="57" t="n"/>
      <c r="AG125" s="25">
        <f>CALI!AG125+HUNGRIA!AG125+YUMBO!AG125+'ADULTO MAYOR'!AG125+'COMEDORES VALLE'!AG125+BUGA!AG125+'COMEDORES CALI'!AG125+'CTAS EN PPACION'!AG125+'COMEDORES PALMIRA'!AG125+IMDERTY!AG125</f>
        <v/>
      </c>
      <c r="AH125" s="43" t="n"/>
      <c r="AI125" s="57" t="n"/>
      <c r="AJ125" s="25">
        <f>CALI!AJ125+HUNGRIA!AJ125+YUMBO!AJ125+'ADULTO MAYOR'!AJ125+'COMEDORES VALLE'!AJ125+BUGA!AJ125+'COMEDORES CALI'!AJ125+'CTAS EN PPACION'!AJ125+'COMEDORES PALMIRA'!AJ125+IMDERTY!AJ125</f>
        <v/>
      </c>
      <c r="AK125" s="43" t="n"/>
      <c r="AL125" s="57" t="n"/>
      <c r="AM125" s="24">
        <f>C125+F125+I125+L125+O125+R125+U125+X125+AA125+AD125+AG125+AJ125</f>
        <v/>
      </c>
      <c r="AN125" s="195" t="n"/>
      <c r="AO125" s="57" t="n"/>
    </row>
    <row r="126" ht="15" customHeight="1" s="985">
      <c r="A126" s="153" t="inlineStr">
        <is>
          <t xml:space="preserve">73552001            </t>
        </is>
      </c>
      <c r="B126" s="28" t="inlineStr">
        <is>
          <t>Pasajes Terrestres</t>
        </is>
      </c>
      <c r="C126" s="28">
        <f>CALI!C126+HUNGRIA!C126+YUMBO!C126+'ADULTO MAYOR'!C126+'COMEDORES VALLE'!C126+BUGA!C126+'COMEDORES CALI'!C126+'CTAS EN PPACION'!C126+'COMEDORES PALMIRA'!C126+IMDERTY!C126</f>
        <v/>
      </c>
      <c r="D126" s="45" t="n"/>
      <c r="E126" s="1073" t="n"/>
      <c r="F126" s="28">
        <f>CALI!F126+HUNGRIA!F126+YUMBO!F126+'ADULTO MAYOR'!F126+'COMEDORES VALLE'!F126+BUGA!F126+'COMEDORES CALI'!F126+'CTAS EN PPACION'!F126+'COMEDORES PALMIRA'!F126+IMDERTY!F126</f>
        <v/>
      </c>
      <c r="G126" s="45" t="n"/>
      <c r="H126" s="58" t="n"/>
      <c r="I126" s="28">
        <f>CALI!I126+HUNGRIA!I126+YUMBO!I126+'ADULTO MAYOR'!I126+'COMEDORES VALLE'!I126+BUGA!I126+'COMEDORES CALI'!I126+'CTAS EN PPACION'!I126+'COMEDORES PALMIRA'!I126+IMDERTY!I126</f>
        <v/>
      </c>
      <c r="J126" s="45" t="n"/>
      <c r="K126" s="58" t="n"/>
      <c r="L126" s="28">
        <f>CALI!L126+HUNGRIA!L126+YUMBO!L126+'ADULTO MAYOR'!L126+'COMEDORES VALLE'!L126+BUGA!L126+'COMEDORES CALI'!L126+'CTAS EN PPACION'!L126+'COMEDORES PALMIRA'!L126+IMDERTY!L126</f>
        <v/>
      </c>
      <c r="M126" s="45" t="n"/>
      <c r="N126" s="58" t="n"/>
      <c r="O126" s="28">
        <f>CALI!O126+HUNGRIA!O126+YUMBO!O126+'ADULTO MAYOR'!O126+'COMEDORES VALLE'!O126+BUGA!O126+'COMEDORES CALI'!O126+'CTAS EN PPACION'!O126+'COMEDORES PALMIRA'!O126+IMDERTY!O126</f>
        <v/>
      </c>
      <c r="P126" s="45" t="n"/>
      <c r="Q126" s="58" t="n"/>
      <c r="R126" s="28">
        <f>CALI!R126+HUNGRIA!R126+YUMBO!R126+'ADULTO MAYOR'!R126+'COMEDORES VALLE'!R126+BUGA!R126+'COMEDORES CALI'!R126+'CTAS EN PPACION'!R126+'COMEDORES PALMIRA'!R126+IMDERTY!R126</f>
        <v/>
      </c>
      <c r="S126" s="45" t="n"/>
      <c r="T126" s="58" t="n"/>
      <c r="U126" s="28">
        <f>CALI!U126+HUNGRIA!U126+YUMBO!U126+'ADULTO MAYOR'!U126+'COMEDORES VALLE'!U126+BUGA!U126+'COMEDORES CALI'!U126+'CTAS EN PPACION'!U126+'COMEDORES PALMIRA'!U126+IMDERTY!U126</f>
        <v/>
      </c>
      <c r="V126" s="45" t="n"/>
      <c r="W126" s="58" t="n"/>
      <c r="X126" s="28">
        <f>CALI!X126+HUNGRIA!X126+YUMBO!X126+'ADULTO MAYOR'!X126+'COMEDORES VALLE'!X126+BUGA!X126+'COMEDORES CALI'!X126+'CTAS EN PPACION'!X126+'COMEDORES PALMIRA'!X126+IMDERTY!X126</f>
        <v/>
      </c>
      <c r="Y126" s="45" t="n"/>
      <c r="Z126" s="58" t="n"/>
      <c r="AA126" s="28">
        <f>CALI!AA126+HUNGRIA!AA126+YUMBO!AA126+'ADULTO MAYOR'!AA126+'COMEDORES VALLE'!AA126+BUGA!AA126+'COMEDORES CALI'!AA126+'CTAS EN PPACION'!AA126+'COMEDORES PALMIRA'!AA126+IMDERTY!AA126</f>
        <v/>
      </c>
      <c r="AB126" s="45" t="n"/>
      <c r="AC126" s="58" t="n"/>
      <c r="AD126" s="28">
        <f>CALI!AD126+HUNGRIA!AD126+YUMBO!AD126+'ADULTO MAYOR'!AD126+'COMEDORES VALLE'!AD126+BUGA!AD126+'COMEDORES CALI'!AD126+'CTAS EN PPACION'!AD126+'COMEDORES PALMIRA'!AD126+IMDERTY!AD126</f>
        <v/>
      </c>
      <c r="AE126" s="45" t="n"/>
      <c r="AF126" s="58" t="n"/>
      <c r="AG126" s="28">
        <f>CALI!AG126+HUNGRIA!AG126+YUMBO!AG126+'ADULTO MAYOR'!AG126+'COMEDORES VALLE'!AG126+BUGA!AG126+'COMEDORES CALI'!AG126+'CTAS EN PPACION'!AG126+'COMEDORES PALMIRA'!AG126+IMDERTY!AG126</f>
        <v/>
      </c>
      <c r="AH126" s="45" t="n"/>
      <c r="AI126" s="58" t="n"/>
      <c r="AJ126" s="28">
        <f>CALI!AJ126+HUNGRIA!AJ126+YUMBO!AJ126+'ADULTO MAYOR'!AJ126+'COMEDORES VALLE'!AJ126+BUGA!AJ126+'COMEDORES CALI'!AJ126+'CTAS EN PPACION'!AJ126+'COMEDORES PALMIRA'!AJ126+IMDERTY!AJ126</f>
        <v/>
      </c>
      <c r="AK126" s="45" t="n"/>
      <c r="AL126" s="58" t="n"/>
      <c r="AM126" s="27">
        <f>C126+F126+I126+L126+O126+R126+U126+X126+AA126+AD126+AG126+AJ126</f>
        <v/>
      </c>
      <c r="AN126" s="200" t="n"/>
      <c r="AO126" s="58" t="n"/>
    </row>
    <row r="127" ht="15" customHeight="1" s="985">
      <c r="B127" s="16" t="inlineStr">
        <is>
          <t>DIVERSOS</t>
        </is>
      </c>
      <c r="C127" s="49">
        <f>SUM(C128:C142)</f>
        <v/>
      </c>
      <c r="D127" s="3" t="n"/>
      <c r="E127" s="1053">
        <f>C127/(C$13)</f>
        <v/>
      </c>
      <c r="F127" s="49">
        <f>SUM(F128:F142)</f>
        <v/>
      </c>
      <c r="G127" s="3" t="n"/>
      <c r="H127" s="61">
        <f>F127/F$13</f>
        <v/>
      </c>
      <c r="I127" s="49">
        <f>SUM(I128:I142)</f>
        <v/>
      </c>
      <c r="J127" s="3" t="n"/>
      <c r="K127" s="61">
        <f>I127/I$13</f>
        <v/>
      </c>
      <c r="L127" s="49">
        <f>SUM(L128:L142)</f>
        <v/>
      </c>
      <c r="M127" s="3" t="n"/>
      <c r="N127" s="61">
        <f>L127/L$13</f>
        <v/>
      </c>
      <c r="O127" s="49">
        <f>SUM(O128:O142)</f>
        <v/>
      </c>
      <c r="P127" s="3" t="n"/>
      <c r="Q127" s="61">
        <f>O127/O$13</f>
        <v/>
      </c>
      <c r="R127" s="90">
        <f>SUM(R128:R142)</f>
        <v/>
      </c>
      <c r="S127" s="3" t="n"/>
      <c r="T127" s="61">
        <f>R127/R$13</f>
        <v/>
      </c>
      <c r="U127" s="49">
        <f>SUM(U128:U142)</f>
        <v/>
      </c>
      <c r="V127" s="3" t="n"/>
      <c r="W127" s="61">
        <f>U127/U$13</f>
        <v/>
      </c>
      <c r="X127" s="49">
        <f>SUM(X128:X142)</f>
        <v/>
      </c>
      <c r="Y127" s="3" t="n"/>
      <c r="Z127" s="61">
        <f>X127/X$13</f>
        <v/>
      </c>
      <c r="AA127" s="49">
        <f>SUM(AA128:AA142)</f>
        <v/>
      </c>
      <c r="AB127" s="3" t="n"/>
      <c r="AC127" s="61">
        <f>AA127/AA$13</f>
        <v/>
      </c>
      <c r="AD127" s="49">
        <f>SUM(AD128:AD142)</f>
        <v/>
      </c>
      <c r="AE127" s="3" t="n"/>
      <c r="AF127" s="61">
        <f>AD127/AD$13</f>
        <v/>
      </c>
      <c r="AG127" s="49">
        <f>SUM(AG128:AG142)</f>
        <v/>
      </c>
      <c r="AH127" s="3" t="n"/>
      <c r="AI127" s="61">
        <f>AG127/AG$13</f>
        <v/>
      </c>
      <c r="AJ127" s="49">
        <f>SUM(AJ128:AJ142)</f>
        <v/>
      </c>
      <c r="AK127" s="3" t="n"/>
      <c r="AL127" s="61" t="n"/>
      <c r="AM127" s="17">
        <f>C127+F127+I127+L127+O127+R127+U127+X127+AA127+AD127+AG127+AJ127</f>
        <v/>
      </c>
      <c r="AN127" s="197" t="n"/>
      <c r="AO127" s="1237">
        <f>AM127/(AM$13)</f>
        <v/>
      </c>
    </row>
    <row r="128" ht="15" customHeight="1" s="985">
      <c r="A128" s="153" t="inlineStr">
        <is>
          <t xml:space="preserve">73951001            </t>
        </is>
      </c>
      <c r="B128" s="39" t="inlineStr">
        <is>
          <t>Elementos de Proteccion Personal</t>
        </is>
      </c>
      <c r="C128" s="39">
        <f>CALI!C128+HUNGRIA!C128+YUMBO!C128+'ADULTO MAYOR'!C128+'COMEDORES VALLE'!C128+BUGA!C128+'COMEDORES CALI'!C128+'CTAS EN PPACION'!C128+'COMEDORES PALMIRA'!C128+IMDERTY!C128</f>
        <v/>
      </c>
      <c r="D128" s="69" t="n"/>
      <c r="E128" s="1077" t="n"/>
      <c r="F128" s="39">
        <f>CALI!F128+HUNGRIA!F128+YUMBO!F128+'ADULTO MAYOR'!F128+'COMEDORES VALLE'!F128+BUGA!F128+'COMEDORES CALI'!F128+'CTAS EN PPACION'!F128+'COMEDORES PALMIRA'!F128+IMDERTY!F128</f>
        <v/>
      </c>
      <c r="G128" s="69" t="n"/>
      <c r="H128" s="70" t="n"/>
      <c r="I128" s="39">
        <f>CALI!I128+HUNGRIA!I128+YUMBO!I128+'ADULTO MAYOR'!I128+'COMEDORES VALLE'!I128+BUGA!I128+'COMEDORES CALI'!I128+'CTAS EN PPACION'!I128+'COMEDORES PALMIRA'!I128+IMDERTY!I128</f>
        <v/>
      </c>
      <c r="J128" s="69" t="n"/>
      <c r="K128" s="70" t="n"/>
      <c r="L128" s="39">
        <f>CALI!L128+HUNGRIA!L128+YUMBO!L128+'ADULTO MAYOR'!L128+'COMEDORES VALLE'!L128+BUGA!L128+'COMEDORES CALI'!L128+'CTAS EN PPACION'!L128+'COMEDORES PALMIRA'!L128+IMDERTY!L128</f>
        <v/>
      </c>
      <c r="M128" s="69" t="n"/>
      <c r="N128" s="70" t="n"/>
      <c r="O128" s="39">
        <f>CALI!O128+HUNGRIA!O128+YUMBO!O128+'ADULTO MAYOR'!O128+'COMEDORES VALLE'!O128+BUGA!O128+'COMEDORES CALI'!O128+'CTAS EN PPACION'!O128+'COMEDORES PALMIRA'!O128+IMDERTY!O128</f>
        <v/>
      </c>
      <c r="P128" s="69" t="n"/>
      <c r="Q128" s="70" t="n"/>
      <c r="R128" s="39">
        <f>CALI!R128+HUNGRIA!R128+YUMBO!R128+'ADULTO MAYOR'!R128+'COMEDORES VALLE'!R128+BUGA!R128+'COMEDORES CALI'!R128+'CTAS EN PPACION'!R128+'COMEDORES PALMIRA'!R128+IMDERTY!R128</f>
        <v/>
      </c>
      <c r="S128" s="69" t="n"/>
      <c r="T128" s="70" t="n"/>
      <c r="U128" s="39">
        <f>CALI!U128+HUNGRIA!U128+YUMBO!U128+'ADULTO MAYOR'!U128+'COMEDORES VALLE'!U128+BUGA!U128+'COMEDORES CALI'!U128+'CTAS EN PPACION'!U128+'COMEDORES PALMIRA'!U128+IMDERTY!U128</f>
        <v/>
      </c>
      <c r="V128" s="69" t="n"/>
      <c r="W128" s="70" t="n"/>
      <c r="X128" s="39">
        <f>CALI!X128+HUNGRIA!X128+YUMBO!X128+'ADULTO MAYOR'!X128+'COMEDORES VALLE'!X128+BUGA!X128+'COMEDORES CALI'!X128+'CTAS EN PPACION'!X128+'COMEDORES PALMIRA'!X128+IMDERTY!X128</f>
        <v/>
      </c>
      <c r="Y128" s="69" t="n"/>
      <c r="Z128" s="70" t="n"/>
      <c r="AA128" s="39">
        <f>CALI!AA128+HUNGRIA!AA128+YUMBO!AA128+'ADULTO MAYOR'!AA128+'COMEDORES VALLE'!AA128+BUGA!AA128+'COMEDORES CALI'!AA128+'CTAS EN PPACION'!AA128+'COMEDORES PALMIRA'!AA128+IMDERTY!AA128</f>
        <v/>
      </c>
      <c r="AB128" s="69" t="n"/>
      <c r="AC128" s="70" t="n"/>
      <c r="AD128" s="39">
        <f>CALI!AD128+HUNGRIA!AD128+YUMBO!AD128+'ADULTO MAYOR'!AD128+'COMEDORES VALLE'!AD128+BUGA!AD128+'COMEDORES CALI'!AD128+'CTAS EN PPACION'!AD128+'COMEDORES PALMIRA'!AD128+IMDERTY!AD128</f>
        <v/>
      </c>
      <c r="AE128" s="69" t="n"/>
      <c r="AF128" s="70" t="n"/>
      <c r="AG128" s="39">
        <f>CALI!AG128+HUNGRIA!AG128+YUMBO!AG128+'ADULTO MAYOR'!AG128+'COMEDORES VALLE'!AG128+BUGA!AG128+'COMEDORES CALI'!AG128+'CTAS EN PPACION'!AG128+'COMEDORES PALMIRA'!AG128+IMDERTY!AG128</f>
        <v/>
      </c>
      <c r="AH128" s="69" t="n"/>
      <c r="AI128" s="70" t="n"/>
      <c r="AJ128" s="39">
        <f>CALI!AJ128+HUNGRIA!AJ128+YUMBO!AJ128+'ADULTO MAYOR'!AJ128+'COMEDORES VALLE'!AJ128+BUGA!AJ128+'COMEDORES CALI'!AJ128+'CTAS EN PPACION'!AJ128+'COMEDORES PALMIRA'!AJ128+IMDERTY!AJ128</f>
        <v/>
      </c>
      <c r="AK128" s="69" t="n"/>
      <c r="AL128" s="70" t="n"/>
      <c r="AM128" s="31">
        <f>C128+F128+I128+L128+O128+R128+U128+X128+AA128+AD128+AG128+AJ128</f>
        <v/>
      </c>
      <c r="AN128" s="201" t="n"/>
      <c r="AO128" s="70" t="n"/>
    </row>
    <row r="129" ht="15" customHeight="1" s="985">
      <c r="A129" s="153" t="inlineStr">
        <is>
          <t xml:space="preserve">73952001            </t>
        </is>
      </c>
      <c r="B129" s="25" t="inlineStr">
        <is>
          <t>Habitos de Vida Saludable</t>
        </is>
      </c>
      <c r="C129" s="25">
        <f>CALI!C129+HUNGRIA!C129+YUMBO!C129+'ADULTO MAYOR'!C129+'COMEDORES VALLE'!C129+BUGA!C129+'COMEDORES CALI'!C129+'CTAS EN PPACION'!C129+'COMEDORES PALMIRA'!C129+IMDERTY!C129</f>
        <v/>
      </c>
      <c r="D129" s="43" t="n"/>
      <c r="E129" s="1045" t="n"/>
      <c r="F129" s="25">
        <f>CALI!F129+HUNGRIA!F129+YUMBO!F129+'ADULTO MAYOR'!F129+'COMEDORES VALLE'!F129+BUGA!F129+'COMEDORES CALI'!F129+'CTAS EN PPACION'!F129+'COMEDORES PALMIRA'!F129+IMDERTY!F129</f>
        <v/>
      </c>
      <c r="G129" s="43" t="n"/>
      <c r="H129" s="57" t="n"/>
      <c r="I129" s="25">
        <f>CALI!I129+HUNGRIA!I129+YUMBO!I129+'ADULTO MAYOR'!I129+'COMEDORES VALLE'!I129+BUGA!I129+'COMEDORES CALI'!I129+'CTAS EN PPACION'!I129+'COMEDORES PALMIRA'!I129+IMDERTY!I129</f>
        <v/>
      </c>
      <c r="J129" s="43" t="n"/>
      <c r="K129" s="57" t="n"/>
      <c r="L129" s="25">
        <f>CALI!L129+HUNGRIA!L129+YUMBO!L129+'ADULTO MAYOR'!L129+'COMEDORES VALLE'!L129+BUGA!L129+'COMEDORES CALI'!L129+'CTAS EN PPACION'!L129+'COMEDORES PALMIRA'!L129+IMDERTY!L129</f>
        <v/>
      </c>
      <c r="M129" s="43" t="n"/>
      <c r="N129" s="57" t="n"/>
      <c r="O129" s="25">
        <f>CALI!O129+HUNGRIA!O129+YUMBO!O129+'ADULTO MAYOR'!O129+'COMEDORES VALLE'!O129+BUGA!O129+'COMEDORES CALI'!O129+'CTAS EN PPACION'!O129+'COMEDORES PALMIRA'!O129+IMDERTY!O129</f>
        <v/>
      </c>
      <c r="P129" s="43" t="n"/>
      <c r="Q129" s="57" t="n"/>
      <c r="R129" s="25">
        <f>CALI!R129+HUNGRIA!R129+YUMBO!R129+'ADULTO MAYOR'!R129+'COMEDORES VALLE'!R129+BUGA!R129+'COMEDORES CALI'!R129+'CTAS EN PPACION'!R129+'COMEDORES PALMIRA'!R129+IMDERTY!R129</f>
        <v/>
      </c>
      <c r="S129" s="43" t="n"/>
      <c r="T129" s="57" t="n"/>
      <c r="U129" s="25">
        <f>CALI!U129+HUNGRIA!U129+YUMBO!U129+'ADULTO MAYOR'!U129+'COMEDORES VALLE'!U129+BUGA!U129+'COMEDORES CALI'!U129+'CTAS EN PPACION'!U129+'COMEDORES PALMIRA'!U129+IMDERTY!U129</f>
        <v/>
      </c>
      <c r="V129" s="43" t="n"/>
      <c r="W129" s="57" t="n"/>
      <c r="X129" s="25">
        <f>CALI!X129+HUNGRIA!X129+YUMBO!X129+'ADULTO MAYOR'!X129+'COMEDORES VALLE'!X129+BUGA!X129+'COMEDORES CALI'!X129+'CTAS EN PPACION'!X129+'COMEDORES PALMIRA'!X129+IMDERTY!X129</f>
        <v/>
      </c>
      <c r="Y129" s="43" t="n"/>
      <c r="Z129" s="57" t="n"/>
      <c r="AA129" s="25">
        <f>CALI!AA129+HUNGRIA!AA129+YUMBO!AA129+'ADULTO MAYOR'!AA129+'COMEDORES VALLE'!AA129+BUGA!AA129+'COMEDORES CALI'!AA129+'CTAS EN PPACION'!AA129+'COMEDORES PALMIRA'!AA129+IMDERTY!AA129</f>
        <v/>
      </c>
      <c r="AB129" s="43" t="n"/>
      <c r="AC129" s="57" t="n"/>
      <c r="AD129" s="25">
        <f>CALI!AD129+HUNGRIA!AD129+YUMBO!AD129+'ADULTO MAYOR'!AD129+'COMEDORES VALLE'!AD129+BUGA!AD129+'COMEDORES CALI'!AD129+'CTAS EN PPACION'!AD129+'COMEDORES PALMIRA'!AD129+IMDERTY!AD129</f>
        <v/>
      </c>
      <c r="AE129" s="43" t="n"/>
      <c r="AF129" s="57" t="n"/>
      <c r="AG129" s="25">
        <f>CALI!AG129+HUNGRIA!AG129+YUMBO!AG129+'ADULTO MAYOR'!AG129+'COMEDORES VALLE'!AG129+BUGA!AG129+'COMEDORES CALI'!AG129+'CTAS EN PPACION'!AG129+'COMEDORES PALMIRA'!AG129+IMDERTY!AG129</f>
        <v/>
      </c>
      <c r="AH129" s="43" t="n"/>
      <c r="AI129" s="57" t="n"/>
      <c r="AJ129" s="25">
        <f>CALI!AJ129+HUNGRIA!AJ129+YUMBO!AJ129+'ADULTO MAYOR'!AJ129+'COMEDORES VALLE'!AJ129+BUGA!AJ129+'COMEDORES CALI'!AJ129+'CTAS EN PPACION'!AJ129+'COMEDORES PALMIRA'!AJ129+IMDERTY!AJ129</f>
        <v/>
      </c>
      <c r="AK129" s="43" t="n"/>
      <c r="AL129" s="57" t="n"/>
      <c r="AM129" s="24">
        <f>C129+F129+I129+L129+O129+R129+U129+X129+AA129+AD129+AG129+AJ129</f>
        <v/>
      </c>
      <c r="AN129" s="195" t="n"/>
      <c r="AO129" s="57" t="n"/>
    </row>
    <row r="130" ht="15" customHeight="1" s="985">
      <c r="A130" s="153" t="inlineStr">
        <is>
          <t xml:space="preserve">73952501            </t>
        </is>
      </c>
      <c r="B130" s="25" t="inlineStr">
        <is>
          <t>Elementos de Aseo y Cafetería</t>
        </is>
      </c>
      <c r="C130" s="25">
        <f>CALI!C130+HUNGRIA!C130+YUMBO!C130+'ADULTO MAYOR'!C130+'COMEDORES VALLE'!C130+BUGA!C130+'COMEDORES CALI'!C130+'CTAS EN PPACION'!C130+'COMEDORES PALMIRA'!C130+IMDERTY!C130</f>
        <v/>
      </c>
      <c r="D130" s="43" t="n"/>
      <c r="E130" s="1045" t="n"/>
      <c r="F130" s="25">
        <f>CALI!F130+HUNGRIA!F130+YUMBO!F130+'ADULTO MAYOR'!F130+'COMEDORES VALLE'!F130+BUGA!F130+'COMEDORES CALI'!F130+'CTAS EN PPACION'!F130+'COMEDORES PALMIRA'!F130+IMDERTY!F130</f>
        <v/>
      </c>
      <c r="G130" s="43" t="n"/>
      <c r="H130" s="1045" t="n"/>
      <c r="I130" s="25">
        <f>CALI!I130+HUNGRIA!I130+YUMBO!I130+'ADULTO MAYOR'!I130+'COMEDORES VALLE'!I130+BUGA!I130+'COMEDORES CALI'!I130+'CTAS EN PPACION'!I130+'COMEDORES PALMIRA'!I130+IMDERTY!I130</f>
        <v/>
      </c>
      <c r="J130" s="43" t="n"/>
      <c r="K130" s="1045" t="n"/>
      <c r="L130" s="25">
        <f>CALI!L130+HUNGRIA!L130+YUMBO!L130+'ADULTO MAYOR'!L130+'COMEDORES VALLE'!L130+BUGA!L130+'COMEDORES CALI'!L130+'CTAS EN PPACION'!L130+'COMEDORES PALMIRA'!L130+IMDERTY!L130</f>
        <v/>
      </c>
      <c r="M130" s="43" t="n"/>
      <c r="N130" s="1045" t="n"/>
      <c r="O130" s="25">
        <f>CALI!O130+HUNGRIA!O130+YUMBO!O130+'ADULTO MAYOR'!O130+'COMEDORES VALLE'!O130+BUGA!O130+'COMEDORES CALI'!O130+'CTAS EN PPACION'!O130+'COMEDORES PALMIRA'!O130+IMDERTY!O130</f>
        <v/>
      </c>
      <c r="P130" s="43" t="n"/>
      <c r="Q130" s="57" t="n"/>
      <c r="R130" s="25">
        <f>CALI!R130+HUNGRIA!R130+YUMBO!R130+'ADULTO MAYOR'!R130+'COMEDORES VALLE'!R130+BUGA!R130+'COMEDORES CALI'!R130+'CTAS EN PPACION'!R130+'COMEDORES PALMIRA'!R130+IMDERTY!R130</f>
        <v/>
      </c>
      <c r="S130" s="43" t="n"/>
      <c r="T130" s="57" t="n"/>
      <c r="U130" s="25">
        <f>CALI!U130+HUNGRIA!U130+YUMBO!U130+'ADULTO MAYOR'!U130+'COMEDORES VALLE'!U130+BUGA!U130+'COMEDORES CALI'!U130+'CTAS EN PPACION'!U130+'COMEDORES PALMIRA'!U130+IMDERTY!U130</f>
        <v/>
      </c>
      <c r="V130" s="43" t="n"/>
      <c r="W130" s="57" t="n"/>
      <c r="X130" s="25">
        <f>CALI!X130+HUNGRIA!X130+YUMBO!X130+'ADULTO MAYOR'!X130+'COMEDORES VALLE'!X130+BUGA!X130+'COMEDORES CALI'!X130+'CTAS EN PPACION'!X130+'COMEDORES PALMIRA'!X130+IMDERTY!X130</f>
        <v/>
      </c>
      <c r="Y130" s="43" t="n"/>
      <c r="Z130" s="57" t="n"/>
      <c r="AA130" s="25">
        <f>CALI!AA130+HUNGRIA!AA130+YUMBO!AA130+'ADULTO MAYOR'!AA130+'COMEDORES VALLE'!AA130+BUGA!AA130+'COMEDORES CALI'!AA130+'CTAS EN PPACION'!AA130+'COMEDORES PALMIRA'!AA130+IMDERTY!AA130</f>
        <v/>
      </c>
      <c r="AB130" s="43" t="n"/>
      <c r="AC130" s="57" t="n"/>
      <c r="AD130" s="25">
        <f>CALI!AD130+HUNGRIA!AD130+YUMBO!AD130+'ADULTO MAYOR'!AD130+'COMEDORES VALLE'!AD130+BUGA!AD130+'COMEDORES CALI'!AD130+'CTAS EN PPACION'!AD130+'COMEDORES PALMIRA'!AD130+IMDERTY!AD130</f>
        <v/>
      </c>
      <c r="AE130" s="43" t="n"/>
      <c r="AF130" s="57" t="n"/>
      <c r="AG130" s="25">
        <f>CALI!AG130+HUNGRIA!AG130+YUMBO!AG130+'ADULTO MAYOR'!AG130+'COMEDORES VALLE'!AG130+BUGA!AG130+'COMEDORES CALI'!AG130+'CTAS EN PPACION'!AG130+'COMEDORES PALMIRA'!AG130+IMDERTY!AG130</f>
        <v/>
      </c>
      <c r="AH130" s="43" t="n"/>
      <c r="AI130" s="57" t="n"/>
      <c r="AJ130" s="25">
        <f>CALI!AJ130+HUNGRIA!AJ130+YUMBO!AJ130+'ADULTO MAYOR'!AJ130+'COMEDORES VALLE'!AJ130+BUGA!AJ130+'COMEDORES CALI'!AJ130+'CTAS EN PPACION'!AJ130+'COMEDORES PALMIRA'!AJ130+IMDERTY!AJ130</f>
        <v/>
      </c>
      <c r="AK130" s="43" t="n"/>
      <c r="AL130" s="57" t="n"/>
      <c r="AM130" s="24">
        <f>C130+F130+I130+L130+O130+R130+U130+X130+AA130+AD130+AG130+AJ130</f>
        <v/>
      </c>
      <c r="AN130" s="195" t="n"/>
      <c r="AO130" s="1045" t="n"/>
    </row>
    <row r="131" ht="15" customHeight="1" s="985">
      <c r="A131" s="153" t="inlineStr">
        <is>
          <t xml:space="preserve">73953001            </t>
        </is>
      </c>
      <c r="B131" s="25" t="inlineStr">
        <is>
          <t>Utiles, papelería y fotocopias</t>
        </is>
      </c>
      <c r="C131" s="25">
        <f>CALI!C131+HUNGRIA!C131+YUMBO!C131+'ADULTO MAYOR'!C131+'COMEDORES VALLE'!C131+BUGA!C131+'COMEDORES CALI'!C131+'CTAS EN PPACION'!C131+'COMEDORES PALMIRA'!C131+IMDERTY!C131</f>
        <v/>
      </c>
      <c r="D131" s="43" t="n"/>
      <c r="E131" s="1045" t="n"/>
      <c r="F131" s="25">
        <f>CALI!F131+HUNGRIA!F131+YUMBO!F131+'ADULTO MAYOR'!F131+'COMEDORES VALLE'!F131+BUGA!F131+'COMEDORES CALI'!F131+'CTAS EN PPACION'!F131+'COMEDORES PALMIRA'!F131+IMDERTY!F131</f>
        <v/>
      </c>
      <c r="G131" s="43" t="n"/>
      <c r="H131" s="57" t="n"/>
      <c r="I131" s="25">
        <f>CALI!I131+HUNGRIA!I131+YUMBO!I131+'ADULTO MAYOR'!I131+'COMEDORES VALLE'!I131+BUGA!I131+'COMEDORES CALI'!I131+'CTAS EN PPACION'!I131+'COMEDORES PALMIRA'!I131+IMDERTY!I131</f>
        <v/>
      </c>
      <c r="J131" s="43" t="n"/>
      <c r="K131" s="57" t="n"/>
      <c r="L131" s="25">
        <f>CALI!L131+HUNGRIA!L131+YUMBO!L131+'ADULTO MAYOR'!L131+'COMEDORES VALLE'!L131+BUGA!L131+'COMEDORES CALI'!L131+'CTAS EN PPACION'!L131+'COMEDORES PALMIRA'!L131+IMDERTY!L131</f>
        <v/>
      </c>
      <c r="M131" s="43" t="n"/>
      <c r="N131" s="57" t="n"/>
      <c r="O131" s="25">
        <f>CALI!O131+HUNGRIA!O131+YUMBO!O131+'ADULTO MAYOR'!O131+'COMEDORES VALLE'!O131+BUGA!O131+'COMEDORES CALI'!O131+'CTAS EN PPACION'!O131+'COMEDORES PALMIRA'!O131+IMDERTY!O131</f>
        <v/>
      </c>
      <c r="P131" s="43" t="n"/>
      <c r="Q131" s="57" t="n"/>
      <c r="R131" s="25">
        <f>CALI!R131+HUNGRIA!R131+YUMBO!R131+'ADULTO MAYOR'!R131+'COMEDORES VALLE'!R131+BUGA!R131+'COMEDORES CALI'!R131+'CTAS EN PPACION'!R131+'COMEDORES PALMIRA'!R131+IMDERTY!R131</f>
        <v/>
      </c>
      <c r="S131" s="43" t="n"/>
      <c r="T131" s="57" t="n"/>
      <c r="U131" s="25">
        <f>CALI!U131+HUNGRIA!U131+YUMBO!U131+'ADULTO MAYOR'!U131+'COMEDORES VALLE'!U131+BUGA!U131+'COMEDORES CALI'!U131+'CTAS EN PPACION'!U131+'COMEDORES PALMIRA'!U131+IMDERTY!U131</f>
        <v/>
      </c>
      <c r="V131" s="43" t="n"/>
      <c r="W131" s="57" t="n"/>
      <c r="X131" s="25">
        <f>CALI!X131+HUNGRIA!X131+YUMBO!X131+'ADULTO MAYOR'!X131+'COMEDORES VALLE'!X131+BUGA!X131+'COMEDORES CALI'!X131+'CTAS EN PPACION'!X131+'COMEDORES PALMIRA'!X131+IMDERTY!X131</f>
        <v/>
      </c>
      <c r="Y131" s="43" t="n"/>
      <c r="Z131" s="57" t="n"/>
      <c r="AA131" s="25">
        <f>CALI!AA131+HUNGRIA!AA131+YUMBO!AA131+'ADULTO MAYOR'!AA131+'COMEDORES VALLE'!AA131+BUGA!AA131+'COMEDORES CALI'!AA131+'CTAS EN PPACION'!AA131+'COMEDORES PALMIRA'!AA131+IMDERTY!AA131</f>
        <v/>
      </c>
      <c r="AB131" s="43" t="n"/>
      <c r="AC131" s="57" t="n"/>
      <c r="AD131" s="25">
        <f>CALI!AD131+HUNGRIA!AD131+YUMBO!AD131+'ADULTO MAYOR'!AD131+'COMEDORES VALLE'!AD131+BUGA!AD131+'COMEDORES CALI'!AD131+'CTAS EN PPACION'!AD131+'COMEDORES PALMIRA'!AD131+IMDERTY!AD131</f>
        <v/>
      </c>
      <c r="AE131" s="43" t="n"/>
      <c r="AF131" s="57" t="n"/>
      <c r="AG131" s="25">
        <f>CALI!AG131+HUNGRIA!AG131+YUMBO!AG131+'ADULTO MAYOR'!AG131+'COMEDORES VALLE'!AG131+BUGA!AG131+'COMEDORES CALI'!AG131+'CTAS EN PPACION'!AG131+'COMEDORES PALMIRA'!AG131+IMDERTY!AG131</f>
        <v/>
      </c>
      <c r="AH131" s="43" t="n"/>
      <c r="AI131" s="57" t="n"/>
      <c r="AJ131" s="25">
        <f>CALI!AJ131+HUNGRIA!AJ131+YUMBO!AJ131+'ADULTO MAYOR'!AJ131+'COMEDORES VALLE'!AJ131+BUGA!AJ131+'COMEDORES CALI'!AJ131+'CTAS EN PPACION'!AJ131+'COMEDORES PALMIRA'!AJ131+IMDERTY!AJ131</f>
        <v/>
      </c>
      <c r="AK131" s="43" t="n"/>
      <c r="AL131" s="57" t="n"/>
      <c r="AM131" s="24">
        <f>C131+F131+I131+L131+O131+R131+U131+X131+AA131+AD131+AG131+AJ131</f>
        <v/>
      </c>
      <c r="AN131" s="195" t="n"/>
      <c r="AO131" s="57" t="n"/>
    </row>
    <row r="132" ht="15" customHeight="1" s="985">
      <c r="A132" s="153" t="inlineStr">
        <is>
          <t xml:space="preserve">73953501            </t>
        </is>
      </c>
      <c r="B132" s="25" t="inlineStr">
        <is>
          <t>Combustibles y Lubricantes</t>
        </is>
      </c>
      <c r="C132" s="25">
        <f>CALI!C132+HUNGRIA!C132+YUMBO!C132+'ADULTO MAYOR'!C132+'COMEDORES VALLE'!C132+BUGA!C132+'COMEDORES CALI'!C132+'CTAS EN PPACION'!C132+'COMEDORES PALMIRA'!C132+IMDERTY!C132</f>
        <v/>
      </c>
      <c r="D132" s="43" t="n"/>
      <c r="E132" s="1045" t="n"/>
      <c r="F132" s="25">
        <f>CALI!F132+HUNGRIA!F132+YUMBO!F132+'ADULTO MAYOR'!F132+'COMEDORES VALLE'!F132+BUGA!F132+'COMEDORES CALI'!F132+'CTAS EN PPACION'!F132+'COMEDORES PALMIRA'!F132+IMDERTY!F132</f>
        <v/>
      </c>
      <c r="G132" s="43" t="n"/>
      <c r="H132" s="57" t="n"/>
      <c r="I132" s="25">
        <f>CALI!I132+HUNGRIA!I132+YUMBO!I132+'ADULTO MAYOR'!I132+'COMEDORES VALLE'!I132+BUGA!I132+'COMEDORES CALI'!I132+'CTAS EN PPACION'!I132+'COMEDORES PALMIRA'!I132+IMDERTY!I132</f>
        <v/>
      </c>
      <c r="J132" s="43" t="n"/>
      <c r="K132" s="57" t="n"/>
      <c r="L132" s="25">
        <f>CALI!L132+HUNGRIA!L132+YUMBO!L132+'ADULTO MAYOR'!L132+'COMEDORES VALLE'!L132+BUGA!L132+'COMEDORES CALI'!L132+'CTAS EN PPACION'!L132+'COMEDORES PALMIRA'!L132+IMDERTY!L132</f>
        <v/>
      </c>
      <c r="M132" s="43" t="n"/>
      <c r="N132" s="57" t="n"/>
      <c r="O132" s="25">
        <f>CALI!O132+HUNGRIA!O132+YUMBO!O132+'ADULTO MAYOR'!O132+'COMEDORES VALLE'!O132+BUGA!O132+'COMEDORES CALI'!O132+'CTAS EN PPACION'!O132+'COMEDORES PALMIRA'!O132+IMDERTY!O132</f>
        <v/>
      </c>
      <c r="P132" s="43" t="n"/>
      <c r="Q132" s="57" t="n"/>
      <c r="R132" s="25">
        <f>CALI!R132+HUNGRIA!R132+YUMBO!R132+'ADULTO MAYOR'!R132+'COMEDORES VALLE'!R132+BUGA!R132+'COMEDORES CALI'!R132+'CTAS EN PPACION'!R132+'COMEDORES PALMIRA'!R132+IMDERTY!R132</f>
        <v/>
      </c>
      <c r="S132" s="43" t="n"/>
      <c r="T132" s="57" t="n"/>
      <c r="U132" s="25">
        <f>CALI!U132+HUNGRIA!U132+YUMBO!U132+'ADULTO MAYOR'!U132+'COMEDORES VALLE'!U132+BUGA!U132+'COMEDORES CALI'!U132+'CTAS EN PPACION'!U132+'COMEDORES PALMIRA'!U132+IMDERTY!U132</f>
        <v/>
      </c>
      <c r="V132" s="43" t="n"/>
      <c r="W132" s="57" t="n"/>
      <c r="X132" s="25">
        <f>CALI!X132+HUNGRIA!X132+YUMBO!X132+'ADULTO MAYOR'!X132+'COMEDORES VALLE'!X132+BUGA!X132+'COMEDORES CALI'!X132+'CTAS EN PPACION'!X132+'COMEDORES PALMIRA'!X132+IMDERTY!X132</f>
        <v/>
      </c>
      <c r="Y132" s="43" t="n"/>
      <c r="Z132" s="57" t="n"/>
      <c r="AA132" s="25">
        <f>CALI!AA132+HUNGRIA!AA132+YUMBO!AA132+'ADULTO MAYOR'!AA132+'COMEDORES VALLE'!AA132+BUGA!AA132+'COMEDORES CALI'!AA132+'CTAS EN PPACION'!AA132+'COMEDORES PALMIRA'!AA132+IMDERTY!AA132</f>
        <v/>
      </c>
      <c r="AB132" s="43" t="n"/>
      <c r="AC132" s="57" t="n"/>
      <c r="AD132" s="25">
        <f>CALI!AD132+HUNGRIA!AD132+YUMBO!AD132+'ADULTO MAYOR'!AD132+'COMEDORES VALLE'!AD132+BUGA!AD132+'COMEDORES CALI'!AD132+'CTAS EN PPACION'!AD132+'COMEDORES PALMIRA'!AD132+IMDERTY!AD132</f>
        <v/>
      </c>
      <c r="AE132" s="43" t="n"/>
      <c r="AF132" s="57" t="n"/>
      <c r="AG132" s="25">
        <f>CALI!AG132+HUNGRIA!AG132+YUMBO!AG132+'ADULTO MAYOR'!AG132+'COMEDORES VALLE'!AG132+BUGA!AG132+'COMEDORES CALI'!AG132+'CTAS EN PPACION'!AG132+'COMEDORES PALMIRA'!AG132+IMDERTY!AG132</f>
        <v/>
      </c>
      <c r="AH132" s="43" t="n"/>
      <c r="AI132" s="57" t="n"/>
      <c r="AJ132" s="25">
        <f>CALI!AJ132+HUNGRIA!AJ132+YUMBO!AJ132+'ADULTO MAYOR'!AJ132+'COMEDORES VALLE'!AJ132+BUGA!AJ132+'COMEDORES CALI'!AJ132+'CTAS EN PPACION'!AJ132+'COMEDORES PALMIRA'!AJ132+IMDERTY!AJ132</f>
        <v/>
      </c>
      <c r="AK132" s="43" t="n"/>
      <c r="AL132" s="57" t="n"/>
      <c r="AM132" s="24">
        <f>C132+F132+I132+L132+O132+R132+U132+X132+AA132+AD132+AG132+AJ132</f>
        <v/>
      </c>
      <c r="AN132" s="195" t="n"/>
      <c r="AO132" s="57" t="n"/>
    </row>
    <row r="133" ht="15" customHeight="1" s="985">
      <c r="A133" s="153" t="inlineStr">
        <is>
          <t xml:space="preserve">73954501            </t>
        </is>
      </c>
      <c r="B133" s="25" t="inlineStr">
        <is>
          <t>Buses y Taxis</t>
        </is>
      </c>
      <c r="C133" s="25">
        <f>CALI!C133+HUNGRIA!C133+YUMBO!C133+'ADULTO MAYOR'!C133+'COMEDORES VALLE'!C133+BUGA!C133+'COMEDORES CALI'!C133+'CTAS EN PPACION'!C133+'COMEDORES PALMIRA'!C133+IMDERTY!C133</f>
        <v/>
      </c>
      <c r="D133" s="43" t="n"/>
      <c r="E133" s="1045" t="n"/>
      <c r="F133" s="25">
        <f>CALI!F133+HUNGRIA!F133+YUMBO!F133+'ADULTO MAYOR'!F133+'COMEDORES VALLE'!F133+BUGA!F133+'COMEDORES CALI'!F133+'CTAS EN PPACION'!F133+'COMEDORES PALMIRA'!F133+IMDERTY!F133</f>
        <v/>
      </c>
      <c r="G133" s="43" t="n"/>
      <c r="H133" s="57" t="n"/>
      <c r="I133" s="25">
        <f>CALI!I133+HUNGRIA!I133+YUMBO!I133+'ADULTO MAYOR'!I133+'COMEDORES VALLE'!I133+BUGA!I133+'COMEDORES CALI'!I133+'CTAS EN PPACION'!I133+'COMEDORES PALMIRA'!I133+IMDERTY!I133</f>
        <v/>
      </c>
      <c r="J133" s="43" t="n"/>
      <c r="K133" s="57" t="n"/>
      <c r="L133" s="25">
        <f>CALI!L133+HUNGRIA!L133+YUMBO!L133+'ADULTO MAYOR'!L133+'COMEDORES VALLE'!L133+BUGA!L133+'COMEDORES CALI'!L133+'CTAS EN PPACION'!L133+'COMEDORES PALMIRA'!L133+IMDERTY!L133</f>
        <v/>
      </c>
      <c r="M133" s="43" t="n"/>
      <c r="N133" s="57" t="n"/>
      <c r="O133" s="25">
        <f>CALI!O133+HUNGRIA!O133+YUMBO!O133+'ADULTO MAYOR'!O133+'COMEDORES VALLE'!O133+BUGA!O133+'COMEDORES CALI'!O133+'CTAS EN PPACION'!O133+'COMEDORES PALMIRA'!O133+IMDERTY!O133</f>
        <v/>
      </c>
      <c r="P133" s="43" t="n"/>
      <c r="Q133" s="57" t="n"/>
      <c r="R133" s="25">
        <f>CALI!R133+HUNGRIA!R133+YUMBO!R133+'ADULTO MAYOR'!R133+'COMEDORES VALLE'!R133+BUGA!R133+'COMEDORES CALI'!R133+'CTAS EN PPACION'!R133+'COMEDORES PALMIRA'!R133+IMDERTY!R133</f>
        <v/>
      </c>
      <c r="S133" s="43" t="n"/>
      <c r="T133" s="57" t="n"/>
      <c r="U133" s="25">
        <f>CALI!U133+HUNGRIA!U133+YUMBO!U133+'ADULTO MAYOR'!U133+'COMEDORES VALLE'!U133+BUGA!U133+'COMEDORES CALI'!U133+'CTAS EN PPACION'!U133+'COMEDORES PALMIRA'!U133+IMDERTY!U133</f>
        <v/>
      </c>
      <c r="V133" s="43" t="n"/>
      <c r="W133" s="57" t="n"/>
      <c r="X133" s="25">
        <f>CALI!X133+HUNGRIA!X133+YUMBO!X133+'ADULTO MAYOR'!X133+'COMEDORES VALLE'!X133+BUGA!X133+'COMEDORES CALI'!X133+'CTAS EN PPACION'!X133+'COMEDORES PALMIRA'!X133+IMDERTY!X133</f>
        <v/>
      </c>
      <c r="Y133" s="43" t="n"/>
      <c r="Z133" s="57" t="n"/>
      <c r="AA133" s="25">
        <f>CALI!AA133+HUNGRIA!AA133+YUMBO!AA133+'ADULTO MAYOR'!AA133+'COMEDORES VALLE'!AA133+BUGA!AA133+'COMEDORES CALI'!AA133+'CTAS EN PPACION'!AA133+'COMEDORES PALMIRA'!AA133+IMDERTY!AA133</f>
        <v/>
      </c>
      <c r="AB133" s="43" t="n"/>
      <c r="AC133" s="57" t="n"/>
      <c r="AD133" s="25">
        <f>CALI!AD133+HUNGRIA!AD133+YUMBO!AD133+'ADULTO MAYOR'!AD133+'COMEDORES VALLE'!AD133+BUGA!AD133+'COMEDORES CALI'!AD133+'CTAS EN PPACION'!AD133+'COMEDORES PALMIRA'!AD133+IMDERTY!AD133</f>
        <v/>
      </c>
      <c r="AE133" s="43" t="n"/>
      <c r="AF133" s="57" t="n"/>
      <c r="AG133" s="25">
        <f>CALI!AG133+HUNGRIA!AG133+YUMBO!AG133+'ADULTO MAYOR'!AG133+'COMEDORES VALLE'!AG133+BUGA!AG133+'COMEDORES CALI'!AG133+'CTAS EN PPACION'!AG133+'COMEDORES PALMIRA'!AG133+IMDERTY!AG133</f>
        <v/>
      </c>
      <c r="AH133" s="43" t="n"/>
      <c r="AI133" s="57" t="n"/>
      <c r="AJ133" s="25">
        <f>CALI!AJ133+HUNGRIA!AJ133+YUMBO!AJ133+'ADULTO MAYOR'!AJ133+'COMEDORES VALLE'!AJ133+BUGA!AJ133+'COMEDORES CALI'!AJ133+'CTAS EN PPACION'!AJ133+'COMEDORES PALMIRA'!AJ133+IMDERTY!AJ133</f>
        <v/>
      </c>
      <c r="AK133" s="43" t="n"/>
      <c r="AL133" s="57" t="n"/>
      <c r="AM133" s="24">
        <f>C133+F133+I133+L133+O133+R133+U133+X133+AA133+AD133+AG133+AJ133</f>
        <v/>
      </c>
      <c r="AN133" s="195" t="n"/>
      <c r="AO133" s="57" t="n"/>
    </row>
    <row r="134" ht="15" customHeight="1" s="985">
      <c r="A134" s="153" t="inlineStr">
        <is>
          <t xml:space="preserve">73956001            </t>
        </is>
      </c>
      <c r="B134" s="25" t="inlineStr">
        <is>
          <t>Casino y Restaurante</t>
        </is>
      </c>
      <c r="C134" s="25">
        <f>CALI!C134+HUNGRIA!C134+YUMBO!C134+'ADULTO MAYOR'!C134+'COMEDORES VALLE'!C134+BUGA!C134+'COMEDORES CALI'!C134+'CTAS EN PPACION'!C134+'COMEDORES PALMIRA'!C134+IMDERTY!C134</f>
        <v/>
      </c>
      <c r="D134" s="43" t="n"/>
      <c r="E134" s="1045" t="n"/>
      <c r="F134" s="25">
        <f>CALI!F134+HUNGRIA!F134+YUMBO!F134+'ADULTO MAYOR'!F134+'COMEDORES VALLE'!F134+BUGA!F134+'COMEDORES CALI'!F134+'CTAS EN PPACION'!F134+'COMEDORES PALMIRA'!F134+IMDERTY!F134</f>
        <v/>
      </c>
      <c r="G134" s="43" t="n"/>
      <c r="H134" s="57" t="n"/>
      <c r="I134" s="25">
        <f>CALI!I134+HUNGRIA!I134+YUMBO!I134+'ADULTO MAYOR'!I134+'COMEDORES VALLE'!I134+BUGA!I134+'COMEDORES CALI'!I134+'CTAS EN PPACION'!I134+'COMEDORES PALMIRA'!I134+IMDERTY!I134</f>
        <v/>
      </c>
      <c r="J134" s="43" t="n"/>
      <c r="K134" s="57" t="n"/>
      <c r="L134" s="25">
        <f>CALI!L134+HUNGRIA!L134+YUMBO!L134+'ADULTO MAYOR'!L134+'COMEDORES VALLE'!L134+BUGA!L134+'COMEDORES CALI'!L134+'CTAS EN PPACION'!L134+'COMEDORES PALMIRA'!L134+IMDERTY!L134</f>
        <v/>
      </c>
      <c r="M134" s="43" t="n"/>
      <c r="N134" s="57" t="n"/>
      <c r="O134" s="25">
        <f>CALI!O134+HUNGRIA!O134+YUMBO!O134+'ADULTO MAYOR'!O134+'COMEDORES VALLE'!O134+BUGA!O134+'COMEDORES CALI'!O134+'CTAS EN PPACION'!O134+'COMEDORES PALMIRA'!O134+IMDERTY!O134</f>
        <v/>
      </c>
      <c r="P134" s="43" t="n"/>
      <c r="Q134" s="57" t="n"/>
      <c r="R134" s="25">
        <f>CALI!R134+HUNGRIA!R134+YUMBO!R134+'ADULTO MAYOR'!R134+'COMEDORES VALLE'!R134+BUGA!R134+'COMEDORES CALI'!R134+'CTAS EN PPACION'!R134+'COMEDORES PALMIRA'!R134+IMDERTY!R134</f>
        <v/>
      </c>
      <c r="S134" s="43" t="n"/>
      <c r="T134" s="57" t="n"/>
      <c r="U134" s="25">
        <f>CALI!U134+HUNGRIA!U134+YUMBO!U134+'ADULTO MAYOR'!U134+'COMEDORES VALLE'!U134+BUGA!U134+'COMEDORES CALI'!U134+'CTAS EN PPACION'!U134+'COMEDORES PALMIRA'!U134+IMDERTY!U134</f>
        <v/>
      </c>
      <c r="V134" s="43" t="n"/>
      <c r="W134" s="57" t="n"/>
      <c r="X134" s="25">
        <f>CALI!X134+HUNGRIA!X134+YUMBO!X134+'ADULTO MAYOR'!X134+'COMEDORES VALLE'!X134+BUGA!X134+'COMEDORES CALI'!X134+'CTAS EN PPACION'!X134+'COMEDORES PALMIRA'!X134+IMDERTY!X134</f>
        <v/>
      </c>
      <c r="Y134" s="43" t="n"/>
      <c r="Z134" s="57" t="n"/>
      <c r="AA134" s="25">
        <f>CALI!AA134+HUNGRIA!AA134+YUMBO!AA134+'ADULTO MAYOR'!AA134+'COMEDORES VALLE'!AA134+BUGA!AA134+'COMEDORES CALI'!AA134+'CTAS EN PPACION'!AA134+'COMEDORES PALMIRA'!AA134+IMDERTY!AA134</f>
        <v/>
      </c>
      <c r="AB134" s="43" t="n"/>
      <c r="AC134" s="57" t="n"/>
      <c r="AD134" s="25">
        <f>CALI!AD134+HUNGRIA!AD134+YUMBO!AD134+'ADULTO MAYOR'!AD134+'COMEDORES VALLE'!AD134+BUGA!AD134+'COMEDORES CALI'!AD134+'CTAS EN PPACION'!AD134+'COMEDORES PALMIRA'!AD134+IMDERTY!AD134</f>
        <v/>
      </c>
      <c r="AE134" s="43" t="n"/>
      <c r="AF134" s="57" t="n"/>
      <c r="AG134" s="25">
        <f>CALI!AG134+HUNGRIA!AG134+YUMBO!AG134+'ADULTO MAYOR'!AG134+'COMEDORES VALLE'!AG134+BUGA!AG134+'COMEDORES CALI'!AG134+'CTAS EN PPACION'!AG134+'COMEDORES PALMIRA'!AG134+IMDERTY!AG134</f>
        <v/>
      </c>
      <c r="AH134" s="43" t="n"/>
      <c r="AI134" s="57" t="n"/>
      <c r="AJ134" s="25">
        <f>CALI!AJ134+HUNGRIA!AJ134+YUMBO!AJ134+'ADULTO MAYOR'!AJ134+'COMEDORES VALLE'!AJ134+BUGA!AJ134+'COMEDORES CALI'!AJ134+'CTAS EN PPACION'!AJ134+'COMEDORES PALMIRA'!AJ134+IMDERTY!AJ134</f>
        <v/>
      </c>
      <c r="AK134" s="43" t="n"/>
      <c r="AL134" s="57" t="n"/>
      <c r="AM134" s="24">
        <f>C134+F134+I134+L134+O134+R134+U134+X134+AA134+AD134+AG134+AJ134</f>
        <v/>
      </c>
      <c r="AN134" s="195" t="n"/>
      <c r="AO134" s="57" t="n"/>
    </row>
    <row r="135" ht="15" customHeight="1" s="985">
      <c r="A135" s="153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>
        <f>CALI!C135+HUNGRIA!C135+YUMBO!C135+'ADULTO MAYOR'!C135+'COMEDORES VALLE'!C135+BUGA!C135+'COMEDORES CALI'!C135+'CTAS EN PPACION'!C135+'COMEDORES PALMIRA'!C135+IMDERTY!C135</f>
        <v/>
      </c>
      <c r="D135" s="43" t="n"/>
      <c r="E135" s="1045" t="n"/>
      <c r="F135" s="25">
        <f>CALI!F135+HUNGRIA!F135+YUMBO!F135+'ADULTO MAYOR'!F135+'COMEDORES VALLE'!F135+BUGA!F135+'COMEDORES CALI'!F135+'CTAS EN PPACION'!F135+'COMEDORES PALMIRA'!F135+IMDERTY!F135</f>
        <v/>
      </c>
      <c r="G135" s="43" t="n"/>
      <c r="H135" s="57" t="n"/>
      <c r="I135" s="25">
        <f>CALI!I135+HUNGRIA!I135+YUMBO!I135+'ADULTO MAYOR'!I135+'COMEDORES VALLE'!I135+BUGA!I135+'COMEDORES CALI'!I135+'CTAS EN PPACION'!I135+'COMEDORES PALMIRA'!I135+IMDERTY!I135</f>
        <v/>
      </c>
      <c r="J135" s="43" t="n"/>
      <c r="K135" s="57" t="n"/>
      <c r="L135" s="25">
        <f>CALI!L135+HUNGRIA!L135+YUMBO!L135+'ADULTO MAYOR'!L135+'COMEDORES VALLE'!L135+BUGA!L135+'COMEDORES CALI'!L135+'CTAS EN PPACION'!L135+'COMEDORES PALMIRA'!L135+IMDERTY!L135</f>
        <v/>
      </c>
      <c r="M135" s="43" t="n"/>
      <c r="N135" s="57" t="n"/>
      <c r="O135" s="25">
        <f>CALI!O135+HUNGRIA!O135+YUMBO!O135+'ADULTO MAYOR'!O135+'COMEDORES VALLE'!O135+BUGA!O135+'COMEDORES CALI'!O135+'CTAS EN PPACION'!O135+'COMEDORES PALMIRA'!O135+IMDERTY!O135</f>
        <v/>
      </c>
      <c r="P135" s="43" t="n"/>
      <c r="Q135" s="57" t="n"/>
      <c r="R135" s="25">
        <f>CALI!R135+HUNGRIA!R135+YUMBO!R135+'ADULTO MAYOR'!R135+'COMEDORES VALLE'!R135+BUGA!R135+'COMEDORES CALI'!R135+'CTAS EN PPACION'!R135+'COMEDORES PALMIRA'!R135+IMDERTY!R135</f>
        <v/>
      </c>
      <c r="S135" s="43" t="n"/>
      <c r="T135" s="57" t="n"/>
      <c r="U135" s="25">
        <f>CALI!U135+HUNGRIA!U135+YUMBO!U135+'ADULTO MAYOR'!U135+'COMEDORES VALLE'!U135+BUGA!U135+'COMEDORES CALI'!U135+'CTAS EN PPACION'!U135+'COMEDORES PALMIRA'!U135+IMDERTY!U135</f>
        <v/>
      </c>
      <c r="V135" s="43" t="n"/>
      <c r="W135" s="57" t="n"/>
      <c r="X135" s="25">
        <f>CALI!X135+HUNGRIA!X135+YUMBO!X135+'ADULTO MAYOR'!X135+'COMEDORES VALLE'!X135+BUGA!X135+'COMEDORES CALI'!X135+'CTAS EN PPACION'!X135+'COMEDORES PALMIRA'!X135+IMDERTY!X135</f>
        <v/>
      </c>
      <c r="Y135" s="43" t="n"/>
      <c r="Z135" s="57" t="n"/>
      <c r="AA135" s="25">
        <f>CALI!AA135+HUNGRIA!AA135+YUMBO!AA135+'ADULTO MAYOR'!AA135+'COMEDORES VALLE'!AA135+BUGA!AA135+'COMEDORES CALI'!AA135+'CTAS EN PPACION'!AA135+'COMEDORES PALMIRA'!AA135+IMDERTY!AA135</f>
        <v/>
      </c>
      <c r="AB135" s="43" t="n"/>
      <c r="AC135" s="57" t="n"/>
      <c r="AD135" s="25">
        <f>CALI!AD135+HUNGRIA!AD135+YUMBO!AD135+'ADULTO MAYOR'!AD135+'COMEDORES VALLE'!AD135+BUGA!AD135+'COMEDORES CALI'!AD135+'CTAS EN PPACION'!AD135+'COMEDORES PALMIRA'!AD135+IMDERTY!AD135</f>
        <v/>
      </c>
      <c r="AE135" s="43" t="n"/>
      <c r="AF135" s="57" t="n"/>
      <c r="AG135" s="25">
        <f>CALI!AG135+HUNGRIA!AG135+YUMBO!AG135+'ADULTO MAYOR'!AG135+'COMEDORES VALLE'!AG135+BUGA!AG135+'COMEDORES CALI'!AG135+'CTAS EN PPACION'!AG135+'COMEDORES PALMIRA'!AG135+IMDERTY!AG135</f>
        <v/>
      </c>
      <c r="AH135" s="43" t="n"/>
      <c r="AI135" s="57" t="n"/>
      <c r="AJ135" s="25">
        <f>CALI!AJ135+HUNGRIA!AJ135+YUMBO!AJ135+'ADULTO MAYOR'!AJ135+'COMEDORES VALLE'!AJ135+BUGA!AJ135+'COMEDORES CALI'!AJ135+'CTAS EN PPACION'!AJ135+'COMEDORES PALMIRA'!AJ135+IMDERTY!AJ135</f>
        <v/>
      </c>
      <c r="AK135" s="43" t="n"/>
      <c r="AL135" s="57" t="n"/>
      <c r="AM135" s="24">
        <f>C135+F135+I135+L135+O135+R135+U135+X135+AA135+AD135+AG135+AJ135</f>
        <v/>
      </c>
      <c r="AN135" s="195" t="n"/>
      <c r="AO135" s="57" t="n"/>
    </row>
    <row r="136" ht="15" customHeight="1" s="985">
      <c r="A136" s="153" t="inlineStr">
        <is>
          <t xml:space="preserve">73956601            </t>
        </is>
      </c>
      <c r="B136" s="25" t="inlineStr">
        <is>
          <t>Peajes</t>
        </is>
      </c>
      <c r="C136" s="25">
        <f>CALI!C136+HUNGRIA!C136+YUMBO!C136+'ADULTO MAYOR'!C136+'COMEDORES VALLE'!C136+BUGA!C136+'COMEDORES CALI'!C136+'CTAS EN PPACION'!C136+'COMEDORES PALMIRA'!C136+IMDERTY!C136</f>
        <v/>
      </c>
      <c r="D136" s="43" t="n"/>
      <c r="E136" s="1045" t="n"/>
      <c r="F136" s="25">
        <f>CALI!F136+HUNGRIA!F136+YUMBO!F136+'ADULTO MAYOR'!F136+'COMEDORES VALLE'!F136+BUGA!F136+'COMEDORES CALI'!F136+'CTAS EN PPACION'!F136+'COMEDORES PALMIRA'!F136+IMDERTY!F136</f>
        <v/>
      </c>
      <c r="G136" s="43" t="n"/>
      <c r="H136" s="57" t="n"/>
      <c r="I136" s="25">
        <f>CALI!I136+HUNGRIA!I136+YUMBO!I136+'ADULTO MAYOR'!I136+'COMEDORES VALLE'!I136+BUGA!I136+'COMEDORES CALI'!I136+'CTAS EN PPACION'!I136+'COMEDORES PALMIRA'!I136+IMDERTY!I136</f>
        <v/>
      </c>
      <c r="J136" s="43" t="n"/>
      <c r="K136" s="57" t="n"/>
      <c r="L136" s="25">
        <f>CALI!L136+HUNGRIA!L136+YUMBO!L136+'ADULTO MAYOR'!L136+'COMEDORES VALLE'!L136+BUGA!L136+'COMEDORES CALI'!L136+'CTAS EN PPACION'!L136+'COMEDORES PALMIRA'!L136+IMDERTY!L136</f>
        <v/>
      </c>
      <c r="M136" s="43" t="n"/>
      <c r="N136" s="57" t="n"/>
      <c r="O136" s="25">
        <f>CALI!O136+HUNGRIA!O136+YUMBO!O136+'ADULTO MAYOR'!O136+'COMEDORES VALLE'!O136+BUGA!O136+'COMEDORES CALI'!O136+'CTAS EN PPACION'!O136+'COMEDORES PALMIRA'!O136+IMDERTY!O136</f>
        <v/>
      </c>
      <c r="P136" s="43" t="n"/>
      <c r="Q136" s="57" t="n"/>
      <c r="R136" s="25">
        <f>CALI!R136+HUNGRIA!R136+YUMBO!R136+'ADULTO MAYOR'!R136+'COMEDORES VALLE'!R136+BUGA!R136+'COMEDORES CALI'!R136+'CTAS EN PPACION'!R136+'COMEDORES PALMIRA'!R136+IMDERTY!R136</f>
        <v/>
      </c>
      <c r="S136" s="43" t="n"/>
      <c r="T136" s="57" t="n"/>
      <c r="U136" s="25">
        <f>CALI!U136+HUNGRIA!U136+YUMBO!U136+'ADULTO MAYOR'!U136+'COMEDORES VALLE'!U136+BUGA!U136+'COMEDORES CALI'!U136+'CTAS EN PPACION'!U136+'COMEDORES PALMIRA'!U136+IMDERTY!U136</f>
        <v/>
      </c>
      <c r="V136" s="43" t="n"/>
      <c r="W136" s="57" t="n"/>
      <c r="X136" s="25">
        <f>CALI!X136+HUNGRIA!X136+YUMBO!X136+'ADULTO MAYOR'!X136+'COMEDORES VALLE'!X136+BUGA!X136+'COMEDORES CALI'!X136+'CTAS EN PPACION'!X136+'COMEDORES PALMIRA'!X136+IMDERTY!X136</f>
        <v/>
      </c>
      <c r="Y136" s="43" t="n"/>
      <c r="Z136" s="57" t="n"/>
      <c r="AA136" s="25">
        <f>CALI!AA136+HUNGRIA!AA136+YUMBO!AA136+'ADULTO MAYOR'!AA136+'COMEDORES VALLE'!AA136+BUGA!AA136+'COMEDORES CALI'!AA136+'CTAS EN PPACION'!AA136+'COMEDORES PALMIRA'!AA136+IMDERTY!AA136</f>
        <v/>
      </c>
      <c r="AB136" s="43" t="n"/>
      <c r="AC136" s="57" t="n"/>
      <c r="AD136" s="25">
        <f>CALI!AD136+HUNGRIA!AD136+YUMBO!AD136+'ADULTO MAYOR'!AD136+'COMEDORES VALLE'!AD136+BUGA!AD136+'COMEDORES CALI'!AD136+'CTAS EN PPACION'!AD136+'COMEDORES PALMIRA'!AD136+IMDERTY!AD136</f>
        <v/>
      </c>
      <c r="AE136" s="43" t="n"/>
      <c r="AF136" s="57" t="n"/>
      <c r="AG136" s="25">
        <f>CALI!AG136+HUNGRIA!AG136+YUMBO!AG136+'ADULTO MAYOR'!AG136+'COMEDORES VALLE'!AG136+BUGA!AG136+'COMEDORES CALI'!AG136+'CTAS EN PPACION'!AG136+'COMEDORES PALMIRA'!AG136+IMDERTY!AG136</f>
        <v/>
      </c>
      <c r="AH136" s="43" t="n"/>
      <c r="AI136" s="57" t="n"/>
      <c r="AJ136" s="25">
        <f>CALI!AJ136+HUNGRIA!AJ136+YUMBO!AJ136+'ADULTO MAYOR'!AJ136+'COMEDORES VALLE'!AJ136+BUGA!AJ136+'COMEDORES CALI'!AJ136+'CTAS EN PPACION'!AJ136+'COMEDORES PALMIRA'!AJ136+IMDERTY!AJ136</f>
        <v/>
      </c>
      <c r="AK136" s="43" t="n"/>
      <c r="AL136" s="57" t="n"/>
      <c r="AM136" s="24">
        <f>C136+F136+I136+L136+O136+R136+U136+X136+AA136+AD136+AG136+AJ136</f>
        <v/>
      </c>
      <c r="AN136" s="195" t="n"/>
      <c r="AO136" s="57" t="n"/>
    </row>
    <row r="137" ht="15" customHeight="1" s="985">
      <c r="A137" s="153" t="inlineStr">
        <is>
          <t xml:space="preserve">73959504            </t>
        </is>
      </c>
      <c r="B137" s="25" t="inlineStr">
        <is>
          <t>Averias</t>
        </is>
      </c>
      <c r="C137" s="25">
        <f>CALI!C137+HUNGRIA!C137+YUMBO!C137+'ADULTO MAYOR'!C137+'COMEDORES VALLE'!C137+BUGA!C137+'COMEDORES CALI'!C137+'CTAS EN PPACION'!C137+'COMEDORES PALMIRA'!C137+IMDERTY!C137</f>
        <v/>
      </c>
      <c r="D137" s="43" t="n"/>
      <c r="E137" s="1045" t="n"/>
      <c r="F137" s="25">
        <f>CALI!F137+HUNGRIA!F137+YUMBO!F137+'ADULTO MAYOR'!F137+'COMEDORES VALLE'!F137+BUGA!F137+'COMEDORES CALI'!F137+'CTAS EN PPACION'!F137+'COMEDORES PALMIRA'!F137+IMDERTY!F137</f>
        <v/>
      </c>
      <c r="G137" s="43" t="n"/>
      <c r="H137" s="57" t="n"/>
      <c r="I137" s="25">
        <f>CALI!I137+HUNGRIA!I137+YUMBO!I137+'ADULTO MAYOR'!I137+'COMEDORES VALLE'!I137+BUGA!I137+'COMEDORES CALI'!I137+'CTAS EN PPACION'!I137+'COMEDORES PALMIRA'!I137+IMDERTY!I137</f>
        <v/>
      </c>
      <c r="J137" s="43" t="n"/>
      <c r="K137" s="57" t="n"/>
      <c r="L137" s="25">
        <f>CALI!L137+HUNGRIA!L137+YUMBO!L137+'ADULTO MAYOR'!L137+'COMEDORES VALLE'!L137+BUGA!L137+'COMEDORES CALI'!L137+'CTAS EN PPACION'!L137+'COMEDORES PALMIRA'!L137+IMDERTY!L137</f>
        <v/>
      </c>
      <c r="M137" s="43" t="n"/>
      <c r="N137" s="57" t="n"/>
      <c r="O137" s="25">
        <f>CALI!O137+HUNGRIA!O137+YUMBO!O137+'ADULTO MAYOR'!O137+'COMEDORES VALLE'!O137+BUGA!O137+'COMEDORES CALI'!O137+'CTAS EN PPACION'!O137+'COMEDORES PALMIRA'!O137+IMDERTY!O137</f>
        <v/>
      </c>
      <c r="P137" s="43" t="n"/>
      <c r="Q137" s="57" t="n"/>
      <c r="R137" s="25">
        <f>CALI!R137+HUNGRIA!R137+YUMBO!R137+'ADULTO MAYOR'!R137+'COMEDORES VALLE'!R137+BUGA!R137+'COMEDORES CALI'!R137+'CTAS EN PPACION'!R137+'COMEDORES PALMIRA'!R137+IMDERTY!R137</f>
        <v/>
      </c>
      <c r="S137" s="43" t="n"/>
      <c r="T137" s="57" t="n"/>
      <c r="U137" s="25">
        <f>CALI!U137+HUNGRIA!U137+YUMBO!U137+'ADULTO MAYOR'!U137+'COMEDORES VALLE'!U137+BUGA!U137+'COMEDORES CALI'!U137+'CTAS EN PPACION'!U137+'COMEDORES PALMIRA'!U137+IMDERTY!U137</f>
        <v/>
      </c>
      <c r="V137" s="43" t="n"/>
      <c r="W137" s="57" t="n"/>
      <c r="X137" s="25">
        <f>CALI!X137+HUNGRIA!X137+YUMBO!X137+'ADULTO MAYOR'!X137+'COMEDORES VALLE'!X137+BUGA!X137+'COMEDORES CALI'!X137+'CTAS EN PPACION'!X137+'COMEDORES PALMIRA'!X137+IMDERTY!X137</f>
        <v/>
      </c>
      <c r="Y137" s="43" t="n"/>
      <c r="Z137" s="57" t="n"/>
      <c r="AA137" s="25">
        <f>CALI!AA137+HUNGRIA!AA137+YUMBO!AA137+'ADULTO MAYOR'!AA137+'COMEDORES VALLE'!AA137+BUGA!AA137+'COMEDORES CALI'!AA137+'CTAS EN PPACION'!AA137+'COMEDORES PALMIRA'!AA137+IMDERTY!AA137</f>
        <v/>
      </c>
      <c r="AB137" s="43" t="n"/>
      <c r="AC137" s="57" t="n"/>
      <c r="AD137" s="25">
        <f>CALI!AD137+HUNGRIA!AD137+YUMBO!AD137+'ADULTO MAYOR'!AD137+'COMEDORES VALLE'!AD137+BUGA!AD137+'COMEDORES CALI'!AD137+'CTAS EN PPACION'!AD137+'COMEDORES PALMIRA'!AD137+IMDERTY!AD137</f>
        <v/>
      </c>
      <c r="AE137" s="43" t="n"/>
      <c r="AF137" s="57" t="n"/>
      <c r="AG137" s="25">
        <f>CALI!AG137+HUNGRIA!AG137+YUMBO!AG137+'ADULTO MAYOR'!AG137+'COMEDORES VALLE'!AG137+BUGA!AG137+'COMEDORES CALI'!AG137+'CTAS EN PPACION'!AG137+'COMEDORES PALMIRA'!AG137+IMDERTY!AG137</f>
        <v/>
      </c>
      <c r="AH137" s="43" t="n"/>
      <c r="AI137" s="57" t="n"/>
      <c r="AJ137" s="25">
        <f>CALI!AJ137+HUNGRIA!AJ137+YUMBO!AJ137+'ADULTO MAYOR'!AJ137+'COMEDORES VALLE'!AJ137+BUGA!AJ137+'COMEDORES CALI'!AJ137+'CTAS EN PPACION'!AJ137+'COMEDORES PALMIRA'!AJ137+IMDERTY!AJ137</f>
        <v/>
      </c>
      <c r="AK137" s="43" t="n"/>
      <c r="AL137" s="57" t="n"/>
      <c r="AM137" s="24">
        <f>C137+F137+I137+L137+O137+R137+U137+X137+AA137+AD137+AG137+AJ137</f>
        <v/>
      </c>
      <c r="AN137" s="195" t="n"/>
      <c r="AO137" s="57" t="n"/>
    </row>
    <row r="138" ht="15" customHeight="1" s="985">
      <c r="B138" s="25" t="inlineStr">
        <is>
          <t>Compra Equipos de Oficina</t>
        </is>
      </c>
      <c r="C138" s="25">
        <f>CALI!C138+HUNGRIA!C138+YUMBO!C138+'ADULTO MAYOR'!C138+'COMEDORES VALLE'!C138+BUGA!C138+'COMEDORES CALI'!C138+'CTAS EN PPACION'!C138+'COMEDORES PALMIRA'!C138+IMDERTY!C138</f>
        <v/>
      </c>
      <c r="D138" s="43" t="n"/>
      <c r="E138" s="1045" t="n"/>
      <c r="F138" s="25">
        <f>CALI!F138+HUNGRIA!F138+YUMBO!F138+'ADULTO MAYOR'!F138+'COMEDORES VALLE'!F138+BUGA!F138+'COMEDORES CALI'!F138+'CTAS EN PPACION'!F138+'COMEDORES PALMIRA'!F138+IMDERTY!F138</f>
        <v/>
      </c>
      <c r="G138" s="43" t="n"/>
      <c r="H138" s="57" t="n"/>
      <c r="I138" s="25">
        <f>CALI!I138+HUNGRIA!I138+YUMBO!I138+'ADULTO MAYOR'!I138+'COMEDORES VALLE'!I138+BUGA!I138+'COMEDORES CALI'!I138+'CTAS EN PPACION'!I138+'COMEDORES PALMIRA'!I138+IMDERTY!I138</f>
        <v/>
      </c>
      <c r="J138" s="43" t="n"/>
      <c r="K138" s="57" t="n"/>
      <c r="L138" s="25">
        <f>CALI!L138+HUNGRIA!L138+YUMBO!L138+'ADULTO MAYOR'!L138+'COMEDORES VALLE'!L138+BUGA!L138+'COMEDORES CALI'!L138+'CTAS EN PPACION'!L138+'COMEDORES PALMIRA'!L138+IMDERTY!L138</f>
        <v/>
      </c>
      <c r="M138" s="43" t="n"/>
      <c r="N138" s="57" t="n"/>
      <c r="O138" s="25">
        <f>CALI!O138+HUNGRIA!O138+YUMBO!O138+'ADULTO MAYOR'!O138+'COMEDORES VALLE'!O138+BUGA!O138+'COMEDORES CALI'!O138+'CTAS EN PPACION'!O138+'COMEDORES PALMIRA'!O138+IMDERTY!O138</f>
        <v/>
      </c>
      <c r="P138" s="43" t="n"/>
      <c r="Q138" s="57" t="n"/>
      <c r="R138" s="25">
        <f>CALI!R138+HUNGRIA!R138+YUMBO!R138+'ADULTO MAYOR'!R138+'COMEDORES VALLE'!R138+BUGA!R138+'COMEDORES CALI'!R138+'CTAS EN PPACION'!R138+'COMEDORES PALMIRA'!R138+IMDERTY!R138</f>
        <v/>
      </c>
      <c r="S138" s="43" t="n"/>
      <c r="T138" s="57" t="n"/>
      <c r="U138" s="25">
        <f>CALI!U138+HUNGRIA!U138+YUMBO!U138+'ADULTO MAYOR'!U138+'COMEDORES VALLE'!U138+BUGA!U138+'COMEDORES CALI'!U138+'CTAS EN PPACION'!U138+'COMEDORES PALMIRA'!U138+IMDERTY!U138</f>
        <v/>
      </c>
      <c r="V138" s="43" t="n"/>
      <c r="W138" s="57" t="n"/>
      <c r="X138" s="25">
        <f>CALI!X138+HUNGRIA!X138+YUMBO!X138+'ADULTO MAYOR'!X138+'COMEDORES VALLE'!X138+BUGA!X138+'COMEDORES CALI'!X138+'CTAS EN PPACION'!X138+'COMEDORES PALMIRA'!X138+IMDERTY!X138</f>
        <v/>
      </c>
      <c r="Y138" s="43" t="n"/>
      <c r="Z138" s="57" t="n"/>
      <c r="AA138" s="25">
        <f>CALI!AA138+HUNGRIA!AA138+YUMBO!AA138+'ADULTO MAYOR'!AA138+'COMEDORES VALLE'!AA138+BUGA!AA138+'COMEDORES CALI'!AA138+'CTAS EN PPACION'!AA138+'COMEDORES PALMIRA'!AA138+IMDERTY!AA138</f>
        <v/>
      </c>
      <c r="AB138" s="43" t="n"/>
      <c r="AC138" s="57" t="n"/>
      <c r="AD138" s="25">
        <f>CALI!AD138+HUNGRIA!AD138+YUMBO!AD138+'ADULTO MAYOR'!AD138+'COMEDORES VALLE'!AD138+BUGA!AD138+'COMEDORES CALI'!AD138+'CTAS EN PPACION'!AD138+'COMEDORES PALMIRA'!AD138+IMDERTY!AD138</f>
        <v/>
      </c>
      <c r="AE138" s="43" t="n"/>
      <c r="AF138" s="57" t="n"/>
      <c r="AG138" s="25">
        <f>CALI!AG138+HUNGRIA!AG138+YUMBO!AG138+'ADULTO MAYOR'!AG138+'COMEDORES VALLE'!AG138+BUGA!AG138+'COMEDORES CALI'!AG138+'CTAS EN PPACION'!AG138+'COMEDORES PALMIRA'!AG138+IMDERTY!AG138</f>
        <v/>
      </c>
      <c r="AH138" s="43" t="n"/>
      <c r="AI138" s="57" t="n"/>
      <c r="AJ138" s="25">
        <f>CALI!AJ138+HUNGRIA!AJ138+YUMBO!AJ138+'ADULTO MAYOR'!AJ138+'COMEDORES VALLE'!AJ138+BUGA!AJ138+'COMEDORES CALI'!AJ138+'CTAS EN PPACION'!AJ138+'COMEDORES PALMIRA'!AJ138+IMDERTY!AJ138</f>
        <v/>
      </c>
      <c r="AK138" s="43" t="n"/>
      <c r="AL138" s="57" t="n"/>
      <c r="AM138" s="24">
        <f>C138+F138+I138+L138+O138+R138+U138+X138+AA138+AD138+AG138+AJ138</f>
        <v/>
      </c>
      <c r="AN138" s="195" t="n"/>
      <c r="AO138" s="57" t="n"/>
    </row>
    <row r="139" ht="15" customHeight="1" s="985">
      <c r="B139" s="25" t="inlineStr">
        <is>
          <t>Herramientas y articulos ferreteria</t>
        </is>
      </c>
      <c r="C139" s="25">
        <f>CALI!C139+HUNGRIA!C139+YUMBO!C139+'ADULTO MAYOR'!C139+'COMEDORES VALLE'!C139+BUGA!C139+'COMEDORES CALI'!C139+'CTAS EN PPACION'!C139+'COMEDORES PALMIRA'!C139+IMDERTY!C139</f>
        <v/>
      </c>
      <c r="D139" s="43" t="n"/>
      <c r="E139" s="1045" t="n"/>
      <c r="F139" s="25">
        <f>CALI!F139+HUNGRIA!F139+YUMBO!F139+'ADULTO MAYOR'!F139+'COMEDORES VALLE'!F139+BUGA!F139+'COMEDORES CALI'!F139+'CTAS EN PPACION'!F139+'COMEDORES PALMIRA'!F139+IMDERTY!F139</f>
        <v/>
      </c>
      <c r="G139" s="43" t="n"/>
      <c r="H139" s="57" t="n"/>
      <c r="I139" s="25">
        <f>CALI!I139+HUNGRIA!I139+YUMBO!I139+'ADULTO MAYOR'!I139+'COMEDORES VALLE'!I139+BUGA!I139+'COMEDORES CALI'!I139+'CTAS EN PPACION'!I139+'COMEDORES PALMIRA'!I139+IMDERTY!I139</f>
        <v/>
      </c>
      <c r="J139" s="43" t="n"/>
      <c r="K139" s="57" t="n"/>
      <c r="L139" s="25">
        <f>CALI!L139+HUNGRIA!L139+YUMBO!L139+'ADULTO MAYOR'!L139+'COMEDORES VALLE'!L139+BUGA!L139+'COMEDORES CALI'!L139+'CTAS EN PPACION'!L139+'COMEDORES PALMIRA'!L139+IMDERTY!L139</f>
        <v/>
      </c>
      <c r="M139" s="43" t="n"/>
      <c r="N139" s="57" t="n"/>
      <c r="O139" s="25">
        <f>CALI!O139+HUNGRIA!O139+YUMBO!O139+'ADULTO MAYOR'!O139+'COMEDORES VALLE'!O139+BUGA!O139+'COMEDORES CALI'!O139+'CTAS EN PPACION'!O139+'COMEDORES PALMIRA'!O139+IMDERTY!O139</f>
        <v/>
      </c>
      <c r="P139" s="43" t="n"/>
      <c r="Q139" s="57" t="n"/>
      <c r="R139" s="25">
        <f>CALI!R139+HUNGRIA!R139+YUMBO!R139+'ADULTO MAYOR'!R139+'COMEDORES VALLE'!R139+BUGA!R139+'COMEDORES CALI'!R139+'CTAS EN PPACION'!R139+'COMEDORES PALMIRA'!R139+IMDERTY!R139</f>
        <v/>
      </c>
      <c r="S139" s="43" t="n"/>
      <c r="T139" s="57" t="n"/>
      <c r="U139" s="25">
        <f>CALI!U139+HUNGRIA!U139+YUMBO!U139+'ADULTO MAYOR'!U139+'COMEDORES VALLE'!U139+BUGA!U139+'COMEDORES CALI'!U139+'CTAS EN PPACION'!U139+'COMEDORES PALMIRA'!U139+IMDERTY!U139</f>
        <v/>
      </c>
      <c r="V139" s="43" t="n"/>
      <c r="W139" s="57" t="n"/>
      <c r="X139" s="25">
        <f>CALI!X139+HUNGRIA!X139+YUMBO!X139+'ADULTO MAYOR'!X139+'COMEDORES VALLE'!X139+BUGA!X139+'COMEDORES CALI'!X139+'CTAS EN PPACION'!X139+'COMEDORES PALMIRA'!X139+IMDERTY!X139</f>
        <v/>
      </c>
      <c r="Y139" s="43" t="n"/>
      <c r="Z139" s="57" t="n"/>
      <c r="AA139" s="25">
        <f>CALI!AA139+HUNGRIA!AA139+YUMBO!AA139+'ADULTO MAYOR'!AA139+'COMEDORES VALLE'!AA139+BUGA!AA139+'COMEDORES CALI'!AA139+'CTAS EN PPACION'!AA139+'COMEDORES PALMIRA'!AA139+IMDERTY!AA139</f>
        <v/>
      </c>
      <c r="AB139" s="43" t="n"/>
      <c r="AC139" s="57" t="n"/>
      <c r="AD139" s="25">
        <f>CALI!AD139+HUNGRIA!AD139+YUMBO!AD139+'ADULTO MAYOR'!AD139+'COMEDORES VALLE'!AD139+BUGA!AD139+'COMEDORES CALI'!AD139+'CTAS EN PPACION'!AD139+'COMEDORES PALMIRA'!AD139+IMDERTY!AD139</f>
        <v/>
      </c>
      <c r="AE139" s="43" t="n"/>
      <c r="AF139" s="57" t="n"/>
      <c r="AG139" s="25">
        <f>CALI!AG139+HUNGRIA!AG139+YUMBO!AG139+'ADULTO MAYOR'!AG139+'COMEDORES VALLE'!AG139+BUGA!AG139+'COMEDORES CALI'!AG139+'CTAS EN PPACION'!AG139+'COMEDORES PALMIRA'!AG139+IMDERTY!AG139</f>
        <v/>
      </c>
      <c r="AH139" s="43" t="n"/>
      <c r="AI139" s="57" t="n"/>
      <c r="AJ139" s="25">
        <f>CALI!AJ139+HUNGRIA!AJ139+YUMBO!AJ139+'ADULTO MAYOR'!AJ139+'COMEDORES VALLE'!AJ139+BUGA!AJ139+'COMEDORES CALI'!AJ139+'CTAS EN PPACION'!AJ139+'COMEDORES PALMIRA'!AJ139+IMDERTY!AJ139</f>
        <v/>
      </c>
      <c r="AK139" s="43" t="n"/>
      <c r="AL139" s="57" t="n"/>
      <c r="AM139" s="24">
        <f>C139+F139+I139+L139+O139+R139+U139+X139+AA139+AD139+AG139+AJ139</f>
        <v/>
      </c>
      <c r="AN139" s="195" t="n"/>
      <c r="AO139" s="57" t="n"/>
    </row>
    <row r="140" ht="15" customHeight="1" s="985">
      <c r="B140" s="25" t="inlineStr">
        <is>
          <t>Equipos de Bodega</t>
        </is>
      </c>
      <c r="C140" s="25">
        <f>CALI!C140+HUNGRIA!C140+YUMBO!C140+'ADULTO MAYOR'!C140+'COMEDORES VALLE'!C140+BUGA!C140+'COMEDORES CALI'!C140+'CTAS EN PPACION'!C140+'COMEDORES PALMIRA'!C140+IMDERTY!C140</f>
        <v/>
      </c>
      <c r="D140" s="43" t="n"/>
      <c r="E140" s="1045" t="n"/>
      <c r="F140" s="25">
        <f>CALI!F140+HUNGRIA!F140+YUMBO!F140+'ADULTO MAYOR'!F140+'COMEDORES VALLE'!F140+BUGA!F140+'COMEDORES CALI'!F140+'CTAS EN PPACION'!F140+'COMEDORES PALMIRA'!F140+IMDERTY!F140</f>
        <v/>
      </c>
      <c r="G140" s="43" t="n"/>
      <c r="H140" s="57" t="n"/>
      <c r="I140" s="25">
        <f>CALI!I140+HUNGRIA!I140+YUMBO!I140+'ADULTO MAYOR'!I140+'COMEDORES VALLE'!I140+BUGA!I140+'COMEDORES CALI'!I140+'CTAS EN PPACION'!I140+'COMEDORES PALMIRA'!I140+IMDERTY!I140</f>
        <v/>
      </c>
      <c r="J140" s="43" t="n"/>
      <c r="K140" s="57" t="n"/>
      <c r="L140" s="25">
        <f>CALI!L140+HUNGRIA!L140+YUMBO!L140+'ADULTO MAYOR'!L140+'COMEDORES VALLE'!L140+BUGA!L140+'COMEDORES CALI'!L140+'CTAS EN PPACION'!L140+'COMEDORES PALMIRA'!L140+IMDERTY!L140</f>
        <v/>
      </c>
      <c r="M140" s="43" t="n"/>
      <c r="N140" s="57" t="n"/>
      <c r="O140" s="25">
        <f>CALI!O140+HUNGRIA!O140+YUMBO!O140+'ADULTO MAYOR'!O140+'COMEDORES VALLE'!O140+BUGA!O140+'COMEDORES CALI'!O140+'CTAS EN PPACION'!O140+'COMEDORES PALMIRA'!O140+IMDERTY!O140</f>
        <v/>
      </c>
      <c r="P140" s="43" t="n"/>
      <c r="Q140" s="57" t="n"/>
      <c r="R140" s="25">
        <f>CALI!R140+HUNGRIA!R140+YUMBO!R140+'ADULTO MAYOR'!R140+'COMEDORES VALLE'!R140+BUGA!R140+'COMEDORES CALI'!R140+'CTAS EN PPACION'!R140+'COMEDORES PALMIRA'!R140+IMDERTY!R140</f>
        <v/>
      </c>
      <c r="S140" s="43" t="n"/>
      <c r="T140" s="57" t="n"/>
      <c r="U140" s="25">
        <f>CALI!U140+HUNGRIA!U140+YUMBO!U140+'ADULTO MAYOR'!U140+'COMEDORES VALLE'!U140+BUGA!U140+'COMEDORES CALI'!U140+'CTAS EN PPACION'!U140+'COMEDORES PALMIRA'!U140+IMDERTY!U140</f>
        <v/>
      </c>
      <c r="V140" s="43" t="n"/>
      <c r="W140" s="57" t="n"/>
      <c r="X140" s="25">
        <f>CALI!X140+HUNGRIA!X140+YUMBO!X140+'ADULTO MAYOR'!X140+'COMEDORES VALLE'!X140+BUGA!X140+'COMEDORES CALI'!X140+'CTAS EN PPACION'!X140+'COMEDORES PALMIRA'!X140+IMDERTY!X140</f>
        <v/>
      </c>
      <c r="Y140" s="43" t="n"/>
      <c r="Z140" s="57" t="n"/>
      <c r="AA140" s="25">
        <f>CALI!AA140+HUNGRIA!AA140+YUMBO!AA140+'ADULTO MAYOR'!AA140+'COMEDORES VALLE'!AA140+BUGA!AA140+'COMEDORES CALI'!AA140+'CTAS EN PPACION'!AA140+'COMEDORES PALMIRA'!AA140+IMDERTY!AA140</f>
        <v/>
      </c>
      <c r="AB140" s="43" t="n"/>
      <c r="AC140" s="57" t="n"/>
      <c r="AD140" s="25">
        <f>CALI!AD140+HUNGRIA!AD140+YUMBO!AD140+'ADULTO MAYOR'!AD140+'COMEDORES VALLE'!AD140+BUGA!AD140+'COMEDORES CALI'!AD140+'CTAS EN PPACION'!AD140+'COMEDORES PALMIRA'!AD140+IMDERTY!AD140</f>
        <v/>
      </c>
      <c r="AE140" s="43" t="n"/>
      <c r="AF140" s="57" t="n"/>
      <c r="AG140" s="25">
        <f>CALI!AG140+HUNGRIA!AG140+YUMBO!AG140+'ADULTO MAYOR'!AG140+'COMEDORES VALLE'!AG140+BUGA!AG140+'COMEDORES CALI'!AG140+'CTAS EN PPACION'!AG140+'COMEDORES PALMIRA'!AG140+IMDERTY!AG140</f>
        <v/>
      </c>
      <c r="AH140" s="43" t="n"/>
      <c r="AI140" s="57" t="n"/>
      <c r="AJ140" s="25">
        <f>CALI!AJ140+HUNGRIA!AJ140+YUMBO!AJ140+'ADULTO MAYOR'!AJ140+'COMEDORES VALLE'!AJ140+BUGA!AJ140+'COMEDORES CALI'!AJ140+'CTAS EN PPACION'!AJ140+'COMEDORES PALMIRA'!AJ140+IMDERTY!AJ140</f>
        <v/>
      </c>
      <c r="AK140" s="43" t="n"/>
      <c r="AL140" s="57" t="n"/>
      <c r="AM140" s="24">
        <f>C140+F140+I140+L140+O140+R140+U140+X140+AA140+AD140+AG140+AJ140</f>
        <v/>
      </c>
      <c r="AN140" s="195" t="n"/>
      <c r="AO140" s="57" t="n"/>
    </row>
    <row r="141" ht="15" customHeight="1" s="985">
      <c r="B141" s="25" t="inlineStr">
        <is>
          <t>Reuniones Fiestas y Detalles</t>
        </is>
      </c>
      <c r="C141" s="25">
        <f>CALI!C141+HUNGRIA!C141+YUMBO!C141+'ADULTO MAYOR'!C141+'COMEDORES VALLE'!C141+BUGA!C141+'COMEDORES CALI'!C141+'CTAS EN PPACION'!C141+'COMEDORES PALMIRA'!C141+IMDERTY!C141</f>
        <v/>
      </c>
      <c r="D141" s="43" t="n"/>
      <c r="E141" s="1045" t="n"/>
      <c r="F141" s="25">
        <f>CALI!F141+HUNGRIA!F141+YUMBO!F141+'ADULTO MAYOR'!F141+'COMEDORES VALLE'!F141+BUGA!F141+'COMEDORES CALI'!F141+'CTAS EN PPACION'!F141+'COMEDORES PALMIRA'!F141+IMDERTY!F141</f>
        <v/>
      </c>
      <c r="G141" s="43" t="n"/>
      <c r="H141" s="57" t="n"/>
      <c r="I141" s="25">
        <f>CALI!I141+HUNGRIA!I141+YUMBO!I141+'ADULTO MAYOR'!I141+'COMEDORES VALLE'!I141+BUGA!I141+'COMEDORES CALI'!I141+'CTAS EN PPACION'!I141+'COMEDORES PALMIRA'!I141+IMDERTY!I141</f>
        <v/>
      </c>
      <c r="J141" s="43" t="n"/>
      <c r="K141" s="57" t="n"/>
      <c r="L141" s="25">
        <f>CALI!L141+HUNGRIA!L141+YUMBO!L141+'ADULTO MAYOR'!L141+'COMEDORES VALLE'!L141+BUGA!L141+'COMEDORES CALI'!L141+'CTAS EN PPACION'!L141+'COMEDORES PALMIRA'!L141+IMDERTY!L141</f>
        <v/>
      </c>
      <c r="M141" s="43" t="n"/>
      <c r="N141" s="57" t="n"/>
      <c r="O141" s="25">
        <f>CALI!O141+HUNGRIA!O141+YUMBO!O141+'ADULTO MAYOR'!O141+'COMEDORES VALLE'!O141+BUGA!O141+'COMEDORES CALI'!O141+'CTAS EN PPACION'!O141+'COMEDORES PALMIRA'!O141+IMDERTY!O141</f>
        <v/>
      </c>
      <c r="P141" s="43" t="n"/>
      <c r="Q141" s="57" t="n"/>
      <c r="R141" s="25">
        <f>CALI!R141+HUNGRIA!R141+YUMBO!R141+'ADULTO MAYOR'!R141+'COMEDORES VALLE'!R141+BUGA!R141+'COMEDORES CALI'!R141+'CTAS EN PPACION'!R141+'COMEDORES PALMIRA'!R141+IMDERTY!R141</f>
        <v/>
      </c>
      <c r="S141" s="43" t="n"/>
      <c r="T141" s="57" t="n"/>
      <c r="U141" s="25">
        <f>CALI!U141+HUNGRIA!U141+YUMBO!U141+'ADULTO MAYOR'!U141+'COMEDORES VALLE'!U141+BUGA!U141+'COMEDORES CALI'!U141+'CTAS EN PPACION'!U141+'COMEDORES PALMIRA'!U141+IMDERTY!U141</f>
        <v/>
      </c>
      <c r="V141" s="43" t="n"/>
      <c r="W141" s="57" t="n"/>
      <c r="X141" s="25">
        <f>CALI!X141+HUNGRIA!X141+YUMBO!X141+'ADULTO MAYOR'!X141+'COMEDORES VALLE'!X141+BUGA!X141+'COMEDORES CALI'!X141+'CTAS EN PPACION'!X141+'COMEDORES PALMIRA'!X141+IMDERTY!X141</f>
        <v/>
      </c>
      <c r="Y141" s="43" t="n"/>
      <c r="Z141" s="57" t="n"/>
      <c r="AA141" s="25">
        <f>CALI!AA141+HUNGRIA!AA141+YUMBO!AA141+'ADULTO MAYOR'!AA141+'COMEDORES VALLE'!AA141+BUGA!AA141+'COMEDORES CALI'!AA141+'CTAS EN PPACION'!AA141+'COMEDORES PALMIRA'!AA141+IMDERTY!AA141</f>
        <v/>
      </c>
      <c r="AB141" s="43" t="n"/>
      <c r="AC141" s="57" t="n"/>
      <c r="AD141" s="25">
        <f>CALI!AD141+HUNGRIA!AD141+YUMBO!AD141+'ADULTO MAYOR'!AD141+'COMEDORES VALLE'!AD141+BUGA!AD141+'COMEDORES CALI'!AD141+'CTAS EN PPACION'!AD141+'COMEDORES PALMIRA'!AD141+IMDERTY!AD141</f>
        <v/>
      </c>
      <c r="AE141" s="43" t="n"/>
      <c r="AF141" s="57" t="n"/>
      <c r="AG141" s="25">
        <f>CALI!AG141+HUNGRIA!AG141+YUMBO!AG141+'ADULTO MAYOR'!AG141+'COMEDORES VALLE'!AG141+BUGA!AG141+'COMEDORES CALI'!AG141+'CTAS EN PPACION'!AG141+'COMEDORES PALMIRA'!AG141+IMDERTY!AG141</f>
        <v/>
      </c>
      <c r="AH141" s="43" t="n"/>
      <c r="AI141" s="57" t="n"/>
      <c r="AJ141" s="25">
        <f>CALI!AJ141+HUNGRIA!AJ141+YUMBO!AJ141+'ADULTO MAYOR'!AJ141+'COMEDORES VALLE'!AJ141+BUGA!AJ141+'COMEDORES CALI'!AJ141+'CTAS EN PPACION'!AJ141+'COMEDORES PALMIRA'!AJ141+IMDERTY!AJ141</f>
        <v/>
      </c>
      <c r="AK141" s="43" t="n"/>
      <c r="AL141" s="57" t="n"/>
      <c r="AM141" s="24">
        <f>C141+F141+I141+L141+O141+R141+U141+X141+AA141+AD141+AG141+AJ141</f>
        <v/>
      </c>
      <c r="AN141" s="195" t="n"/>
      <c r="AO141" s="57" t="n"/>
    </row>
    <row r="142" ht="15" customHeight="1" s="985" thickBot="1">
      <c r="A142" s="153" t="inlineStr">
        <is>
          <t xml:space="preserve">73959505            </t>
        </is>
      </c>
      <c r="B142" s="269" t="inlineStr">
        <is>
          <t xml:space="preserve">Otros  </t>
        </is>
      </c>
      <c r="C142" s="269">
        <f>CALI!C142+HUNGRIA!C142+YUMBO!C142+'ADULTO MAYOR'!C142+'COMEDORES VALLE'!C142+BUGA!C142+'COMEDORES CALI'!C142+'CTAS EN PPACION'!C142+'COMEDORES PALMIRA'!C142+IMDERTY!C142</f>
        <v/>
      </c>
      <c r="D142" s="214" t="n"/>
      <c r="E142" s="1079" t="n"/>
      <c r="F142" s="269">
        <f>CALI!F142+HUNGRIA!F142+YUMBO!F142+'ADULTO MAYOR'!F142+'COMEDORES VALLE'!F142+BUGA!F142+'COMEDORES CALI'!F142+'CTAS EN PPACION'!F142+'COMEDORES PALMIRA'!F142+IMDERTY!F142</f>
        <v/>
      </c>
      <c r="G142" s="214" t="n"/>
      <c r="H142" s="271" t="n"/>
      <c r="I142" s="269">
        <f>CALI!I142+HUNGRIA!I142+YUMBO!I142+'ADULTO MAYOR'!I142+'COMEDORES VALLE'!I142+BUGA!I142+'COMEDORES CALI'!I142+'CTAS EN PPACION'!I142+'COMEDORES PALMIRA'!I142+IMDERTY!I142</f>
        <v/>
      </c>
      <c r="J142" s="214" t="n"/>
      <c r="K142" s="271" t="n"/>
      <c r="L142" s="269">
        <f>CALI!L142+HUNGRIA!L142+YUMBO!L142+'ADULTO MAYOR'!L142+'COMEDORES VALLE'!L142+BUGA!L142+'COMEDORES CALI'!L142+'CTAS EN PPACION'!L142+'COMEDORES PALMIRA'!L142+IMDERTY!L142</f>
        <v/>
      </c>
      <c r="M142" s="214" t="n"/>
      <c r="N142" s="271" t="n"/>
      <c r="O142" s="269">
        <f>CALI!O142+HUNGRIA!O142+YUMBO!O142+'ADULTO MAYOR'!O142+'COMEDORES VALLE'!O142+BUGA!O142+'COMEDORES CALI'!O142+'CTAS EN PPACION'!O142+'COMEDORES PALMIRA'!O142+IMDERTY!O142</f>
        <v/>
      </c>
      <c r="P142" s="214" t="n"/>
      <c r="Q142" s="271" t="n"/>
      <c r="R142" s="269">
        <f>CALI!R142+HUNGRIA!R142+YUMBO!R142+'ADULTO MAYOR'!R142+'COMEDORES VALLE'!R142+BUGA!R142+'COMEDORES CALI'!R142+'CTAS EN PPACION'!R142+'COMEDORES PALMIRA'!R142+IMDERTY!R142</f>
        <v/>
      </c>
      <c r="S142" s="214" t="n"/>
      <c r="T142" s="271" t="n"/>
      <c r="U142" s="269">
        <f>CALI!U142+HUNGRIA!U142+YUMBO!U142+'ADULTO MAYOR'!U142+'COMEDORES VALLE'!U142+BUGA!U142+'COMEDORES CALI'!U142+'CTAS EN PPACION'!U142+'COMEDORES PALMIRA'!U142+IMDERTY!U142</f>
        <v/>
      </c>
      <c r="V142" s="214" t="n"/>
      <c r="W142" s="271" t="n"/>
      <c r="X142" s="269">
        <f>CALI!X142+HUNGRIA!X142+YUMBO!X142+'ADULTO MAYOR'!X142+'COMEDORES VALLE'!X142+BUGA!X142+'COMEDORES CALI'!X142+'CTAS EN PPACION'!X142+'COMEDORES PALMIRA'!X142+IMDERTY!X142</f>
        <v/>
      </c>
      <c r="Y142" s="214" t="n"/>
      <c r="Z142" s="271" t="n"/>
      <c r="AA142" s="269">
        <f>CALI!AA142+HUNGRIA!AA142+YUMBO!AA142+'ADULTO MAYOR'!AA142+'COMEDORES VALLE'!AA142+BUGA!AA142+'COMEDORES CALI'!AA142+'CTAS EN PPACION'!AA142+'COMEDORES PALMIRA'!AA142+IMDERTY!AA142</f>
        <v/>
      </c>
      <c r="AB142" s="214" t="n"/>
      <c r="AC142" s="271" t="n"/>
      <c r="AD142" s="269">
        <f>CALI!AD142+HUNGRIA!AD142+YUMBO!AD142+'ADULTO MAYOR'!AD142+'COMEDORES VALLE'!AD142+BUGA!AD142+'COMEDORES CALI'!AD142+'CTAS EN PPACION'!AD142+'COMEDORES PALMIRA'!AD142+IMDERTY!AD142</f>
        <v/>
      </c>
      <c r="AE142" s="214" t="n"/>
      <c r="AF142" s="271" t="n"/>
      <c r="AG142" s="269">
        <f>CALI!AG142+HUNGRIA!AG142+YUMBO!AG142+'ADULTO MAYOR'!AG142+'COMEDORES VALLE'!AG142+BUGA!AG142+'COMEDORES CALI'!AG142+'CTAS EN PPACION'!AG142+'COMEDORES PALMIRA'!AG142+IMDERTY!AG142</f>
        <v/>
      </c>
      <c r="AH142" s="214" t="n"/>
      <c r="AI142" s="271" t="n"/>
      <c r="AJ142" s="269">
        <f>CALI!AJ142+HUNGRIA!AJ142+YUMBO!AJ142+'ADULTO MAYOR'!AJ142+'COMEDORES VALLE'!AJ142+BUGA!AJ142+'COMEDORES CALI'!AJ142+'CTAS EN PPACION'!AJ142+'COMEDORES PALMIRA'!AJ142+IMDERTY!AJ142</f>
        <v/>
      </c>
      <c r="AK142" s="214" t="n"/>
      <c r="AL142" s="271" t="n"/>
      <c r="AM142" s="98">
        <f>C142+F142+I142+L142+O142+R142+U142+X142+AA142+AD142+AG142+AJ142</f>
        <v/>
      </c>
      <c r="AN142" s="202" t="n"/>
      <c r="AO142" s="271" t="n"/>
    </row>
    <row r="143" ht="15" customHeight="1" s="985" thickBot="1" thickTop="1">
      <c r="C143" s="2" t="n"/>
      <c r="D143" s="2" t="n"/>
      <c r="E143" s="1067" t="n"/>
      <c r="F143" s="2" t="n"/>
      <c r="G143" s="2" t="n"/>
      <c r="H143" s="64" t="n"/>
      <c r="I143" s="2" t="n"/>
      <c r="J143" s="2" t="n"/>
      <c r="K143" s="64" t="n"/>
      <c r="L143" s="2" t="n"/>
      <c r="M143" s="2" t="n"/>
      <c r="N143" s="64" t="n"/>
      <c r="O143" s="2" t="n"/>
      <c r="P143" s="2" t="n"/>
      <c r="Q143" s="64" t="n"/>
      <c r="R143" s="2" t="n"/>
      <c r="S143" s="2" t="n"/>
      <c r="T143" s="64" t="n"/>
      <c r="U143" s="2" t="n"/>
      <c r="V143" s="2" t="n"/>
      <c r="W143" s="64" t="n"/>
      <c r="X143" s="2" t="n"/>
      <c r="Y143" s="2" t="n"/>
      <c r="Z143" s="64" t="n"/>
      <c r="AA143" s="2" t="n"/>
      <c r="AB143" s="2" t="n"/>
      <c r="AC143" s="64" t="n"/>
      <c r="AD143" s="2" t="n"/>
      <c r="AE143" s="2" t="n"/>
      <c r="AF143" s="64" t="n"/>
      <c r="AG143" s="2" t="n"/>
      <c r="AH143" s="2" t="n"/>
      <c r="AI143" s="64" t="n"/>
      <c r="AJ143" s="2" t="n"/>
      <c r="AK143" s="2" t="n"/>
      <c r="AL143" s="64" t="n"/>
      <c r="AM143" s="2" t="n"/>
      <c r="AN143" s="2" t="n"/>
      <c r="AO143" s="64" t="n"/>
    </row>
    <row r="144" ht="15" customHeight="1" s="985" thickBot="1" thickTop="1">
      <c r="B144" s="526" t="inlineStr">
        <is>
          <t>UTILIDAD BRUTA</t>
        </is>
      </c>
      <c r="C144" s="494">
        <f>+C42-C44-C83</f>
        <v/>
      </c>
      <c r="D144" s="495" t="n"/>
      <c r="E144" s="1128" t="n"/>
      <c r="F144" s="494">
        <f>+F42-F44-F83</f>
        <v/>
      </c>
      <c r="G144" s="495" t="n"/>
      <c r="H144" s="509" t="n"/>
      <c r="I144" s="494">
        <f>+I42-I44-I83</f>
        <v/>
      </c>
      <c r="J144" s="495" t="n"/>
      <c r="K144" s="509" t="n"/>
      <c r="L144" s="494">
        <f>+L42-L44-L83</f>
        <v/>
      </c>
      <c r="M144" s="495" t="n"/>
      <c r="N144" s="509" t="n"/>
      <c r="O144" s="494">
        <f>+O42-O44-O83</f>
        <v/>
      </c>
      <c r="P144" s="495" t="n"/>
      <c r="Q144" s="509" t="n"/>
      <c r="R144" s="494">
        <f>+R42-R44-R83</f>
        <v/>
      </c>
      <c r="S144" s="495" t="n"/>
      <c r="T144" s="509" t="n"/>
      <c r="U144" s="494">
        <f>+U42-U44-U83</f>
        <v/>
      </c>
      <c r="V144" s="495" t="n"/>
      <c r="W144" s="509" t="n"/>
      <c r="X144" s="494">
        <f>+X42-X44-X83</f>
        <v/>
      </c>
      <c r="Y144" s="495" t="n"/>
      <c r="Z144" s="509" t="n"/>
      <c r="AA144" s="494">
        <f>+AA42-AA44-AA83</f>
        <v/>
      </c>
      <c r="AB144" s="495" t="n"/>
      <c r="AC144" s="509" t="n"/>
      <c r="AD144" s="494">
        <f>+AD42-AD44-AD83</f>
        <v/>
      </c>
      <c r="AE144" s="495" t="n"/>
      <c r="AF144" s="509" t="n"/>
      <c r="AG144" s="494">
        <f>+AG42-AG44-AG83</f>
        <v/>
      </c>
      <c r="AH144" s="495" t="n"/>
      <c r="AI144" s="509" t="n"/>
      <c r="AJ144" s="494">
        <f>+AJ42-AJ44-AJ83</f>
        <v/>
      </c>
      <c r="AK144" s="495" t="n"/>
      <c r="AL144" s="509" t="n"/>
      <c r="AM144" s="604">
        <f>+AM42-AM44-AM83</f>
        <v/>
      </c>
      <c r="AN144" s="605" t="n"/>
      <c r="AO144" s="509" t="n"/>
    </row>
    <row r="145" ht="15" customHeight="1" s="985" thickBot="1" thickTop="1">
      <c r="B145" s="193" t="n"/>
      <c r="C145" s="497">
        <f>IFERROR(C144/C13," ")</f>
        <v/>
      </c>
      <c r="D145" s="489" t="n"/>
      <c r="E145" s="1065" t="n"/>
      <c r="F145" s="497">
        <f>IFERROR(F144/F13," ")</f>
        <v/>
      </c>
      <c r="G145" s="489" t="n"/>
      <c r="H145" s="510" t="n"/>
      <c r="I145" s="497">
        <f>IFERROR(I144/I13," ")</f>
        <v/>
      </c>
      <c r="J145" s="489" t="n"/>
      <c r="K145" s="510" t="n"/>
      <c r="L145" s="497">
        <f>IFERROR(L144/L13," ")</f>
        <v/>
      </c>
      <c r="M145" s="489" t="n"/>
      <c r="N145" s="510" t="n"/>
      <c r="O145" s="497">
        <f>IFERROR(O144/O13," ")</f>
        <v/>
      </c>
      <c r="P145" s="489" t="n"/>
      <c r="Q145" s="510" t="n"/>
      <c r="R145" s="497">
        <f>IFERROR(R144/R13," ")</f>
        <v/>
      </c>
      <c r="S145" s="489" t="n"/>
      <c r="T145" s="510" t="n"/>
      <c r="U145" s="497">
        <f>IFERROR(U144/U13," ")</f>
        <v/>
      </c>
      <c r="V145" s="489" t="n"/>
      <c r="W145" s="510" t="n"/>
      <c r="X145" s="497">
        <f>IFERROR(X144/X13," ")</f>
        <v/>
      </c>
      <c r="Y145" s="489" t="n"/>
      <c r="Z145" s="510" t="n"/>
      <c r="AA145" s="497">
        <f>IFERROR(AA144/AA13," ")</f>
        <v/>
      </c>
      <c r="AB145" s="489" t="n"/>
      <c r="AC145" s="510" t="n"/>
      <c r="AD145" s="497">
        <f>IFERROR(AD144/AD13," ")</f>
        <v/>
      </c>
      <c r="AE145" s="489" t="n"/>
      <c r="AF145" s="510" t="n"/>
      <c r="AG145" s="497">
        <f>IFERROR(AG144/AG13," ")</f>
        <v/>
      </c>
      <c r="AH145" s="489" t="n"/>
      <c r="AI145" s="510" t="n"/>
      <c r="AJ145" s="497">
        <f>IFERROR(AJ144/AJ13," ")</f>
        <v/>
      </c>
      <c r="AK145" s="489" t="n"/>
      <c r="AL145" s="510" t="n"/>
      <c r="AM145" s="497">
        <f>IFERROR(AM144/AM13," ")</f>
        <v/>
      </c>
      <c r="AN145" s="606" t="n"/>
      <c r="AO145" s="607" t="n"/>
    </row>
    <row r="146" ht="15" customHeight="1" s="985" thickBot="1" thickTop="1">
      <c r="C146" s="141" t="n"/>
      <c r="D146" s="141" t="n"/>
      <c r="E146" s="1240" t="n"/>
      <c r="F146" s="141" t="n"/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  <c r="AA146" s="141" t="n"/>
      <c r="AB146" s="141" t="n"/>
      <c r="AC146" s="141" t="n"/>
      <c r="AD146" s="141" t="n"/>
      <c r="AE146" s="141" t="n"/>
      <c r="AF146" s="141" t="n"/>
      <c r="AG146" s="141" t="n"/>
      <c r="AH146" s="141" t="n"/>
      <c r="AI146" s="141" t="n"/>
      <c r="AJ146" s="141" t="n"/>
      <c r="AK146" s="141" t="n"/>
      <c r="AL146" s="141" t="n"/>
      <c r="AM146" s="395" t="n"/>
      <c r="AN146" s="141" t="n"/>
      <c r="AO146" s="64" t="n"/>
    </row>
    <row r="147" ht="15" customHeight="1" s="985" thickTop="1">
      <c r="B147" s="527" t="inlineStr">
        <is>
          <t>GASTOS ADMINISTRATIVOS Y NO OPERACIONALES</t>
        </is>
      </c>
      <c r="C147" s="491">
        <f>SUM(C148:C151)</f>
        <v/>
      </c>
      <c r="D147" s="492" t="n"/>
      <c r="E147" s="1069">
        <f>C147/(C$13)</f>
        <v/>
      </c>
      <c r="F147" s="491">
        <f>SUM(F148:F151)</f>
        <v/>
      </c>
      <c r="G147" s="492" t="n"/>
      <c r="H147" s="1069">
        <f>F147/F$13</f>
        <v/>
      </c>
      <c r="I147" s="491">
        <f>SUM(I148:I151)</f>
        <v/>
      </c>
      <c r="J147" s="492" t="n"/>
      <c r="K147" s="1069">
        <f>I147/I$13</f>
        <v/>
      </c>
      <c r="L147" s="491">
        <f>SUM(L148:L151)</f>
        <v/>
      </c>
      <c r="M147" s="492" t="n"/>
      <c r="N147" s="1069">
        <f>L147/L$13</f>
        <v/>
      </c>
      <c r="O147" s="491">
        <f>SUM(O148:O151)</f>
        <v/>
      </c>
      <c r="P147" s="492" t="n"/>
      <c r="Q147" s="1069">
        <f>O147/O$13</f>
        <v/>
      </c>
      <c r="R147" s="491">
        <f>SUM(R148:R151)</f>
        <v/>
      </c>
      <c r="S147" s="492" t="n"/>
      <c r="T147" s="1069">
        <f>R147/R$13</f>
        <v/>
      </c>
      <c r="U147" s="491">
        <f>SUM(U148:U151)</f>
        <v/>
      </c>
      <c r="V147" s="492" t="n"/>
      <c r="W147" s="511">
        <f>U147/U$13</f>
        <v/>
      </c>
      <c r="X147" s="491">
        <f>SUM(X148:X151)</f>
        <v/>
      </c>
      <c r="Y147" s="492" t="n"/>
      <c r="Z147" s="511">
        <f>X147/X$13</f>
        <v/>
      </c>
      <c r="AA147" s="491">
        <f>SUM(AA148:AA151)</f>
        <v/>
      </c>
      <c r="AB147" s="492" t="n"/>
      <c r="AC147" s="1069">
        <f>AA147/AA$13</f>
        <v/>
      </c>
      <c r="AD147" s="491">
        <f>SUM(AD148:AD151)</f>
        <v/>
      </c>
      <c r="AE147" s="492" t="n"/>
      <c r="AF147" s="1069">
        <f>AD147/AD$13</f>
        <v/>
      </c>
      <c r="AG147" s="491">
        <f>SUM(AG148:AG151)</f>
        <v/>
      </c>
      <c r="AH147" s="492" t="n"/>
      <c r="AI147" s="511">
        <f>AG147/AG$13</f>
        <v/>
      </c>
      <c r="AJ147" s="491">
        <f>SUM(AJ148:AJ151)</f>
        <v/>
      </c>
      <c r="AK147" s="492" t="n"/>
      <c r="AL147" s="511">
        <f>AJ147/AJ$13</f>
        <v/>
      </c>
      <c r="AM147" s="595">
        <f>C147+F147+I147+L147+O147+R147+U147+X147+AA147+AD147+AG147+AJ147</f>
        <v/>
      </c>
      <c r="AN147" s="596" t="n"/>
      <c r="AO147" s="1069">
        <f>AM147/(AM$13)</f>
        <v/>
      </c>
    </row>
    <row r="148" ht="15" customHeight="1" s="985">
      <c r="B148" s="18" t="inlineStr">
        <is>
          <t>Gastos Fijos Administracion</t>
        </is>
      </c>
      <c r="C148" s="39">
        <f>CALI!C148+HUNGRIA!C148+YUMBO!C148+'ADULTO MAYOR'!C148+'COMEDORES VALLE'!C148+BUGA!C148+'COMEDORES CALI'!C148+'CTAS EN PPACION'!C148+'COMEDORES PALMIRA'!C148+IMDERTY!C148</f>
        <v/>
      </c>
      <c r="D148" s="69" t="n"/>
      <c r="E148" s="1077">
        <f>C148/(C$13)</f>
        <v/>
      </c>
      <c r="F148" s="39">
        <f>CALI!F148+HUNGRIA!F148+YUMBO!F148+'ADULTO MAYOR'!F148+'COMEDORES VALLE'!F148+BUGA!F148+'COMEDORES CALI'!F148+'CTAS EN PPACION'!F148+'COMEDORES PALMIRA'!F148+IMDERTY!F148</f>
        <v/>
      </c>
      <c r="G148" s="69" t="n"/>
      <c r="H148" s="1077">
        <f>F148/(F$13)</f>
        <v/>
      </c>
      <c r="I148" s="39">
        <f>CALI!I148+HUNGRIA!I148+YUMBO!I148+'ADULTO MAYOR'!I148+'COMEDORES VALLE'!I148+BUGA!I148+'COMEDORES CALI'!I148+'CTAS EN PPACION'!I148+'COMEDORES PALMIRA'!I148+IMDERTY!I148</f>
        <v/>
      </c>
      <c r="J148" s="69" t="n"/>
      <c r="K148" s="70" t="n"/>
      <c r="L148" s="39">
        <f>CALI!L148+HUNGRIA!L148+YUMBO!L148+'ADULTO MAYOR'!L148+'COMEDORES VALLE'!L148+BUGA!L148+'COMEDORES CALI'!L148+'CTAS EN PPACION'!L148+'COMEDORES PALMIRA'!L148+IMDERTY!L148</f>
        <v/>
      </c>
      <c r="M148" s="69" t="n"/>
      <c r="N148" s="70" t="n"/>
      <c r="O148" s="39">
        <f>CALI!O148+HUNGRIA!O148+YUMBO!O148+'ADULTO MAYOR'!O148+'COMEDORES VALLE'!O148+BUGA!O148+'COMEDORES CALI'!O148+'CTAS EN PPACION'!O148+'COMEDORES PALMIRA'!O148+IMDERTY!O148</f>
        <v/>
      </c>
      <c r="P148" s="69" t="n"/>
      <c r="Q148" s="70" t="n"/>
      <c r="R148" s="39">
        <f>CALI!R148+HUNGRIA!R148+YUMBO!R148+'ADULTO MAYOR'!R148+'COMEDORES VALLE'!R148+BUGA!R148+'COMEDORES CALI'!R148+'CTAS EN PPACION'!R148+'COMEDORES PALMIRA'!R148+IMDERTY!R148</f>
        <v/>
      </c>
      <c r="S148" s="69" t="n"/>
      <c r="T148" s="70" t="n"/>
      <c r="U148" s="39">
        <f>CALI!U148+HUNGRIA!U148+YUMBO!U148+'ADULTO MAYOR'!U148+'COMEDORES VALLE'!U148+BUGA!U148+'COMEDORES CALI'!U148+'CTAS EN PPACION'!U148+'COMEDORES PALMIRA'!U148+IMDERTY!U148</f>
        <v/>
      </c>
      <c r="V148" s="69" t="n"/>
      <c r="W148" s="70" t="n"/>
      <c r="X148" s="39">
        <f>CALI!X148+HUNGRIA!X148+YUMBO!X148+'ADULTO MAYOR'!X148+'COMEDORES VALLE'!X148+BUGA!X148+'COMEDORES CALI'!X148+'CTAS EN PPACION'!X148+'COMEDORES PALMIRA'!X148+IMDERTY!X148</f>
        <v/>
      </c>
      <c r="Y148" s="69" t="n"/>
      <c r="Z148" s="70" t="n"/>
      <c r="AA148" s="39">
        <f>CALI!AA148+HUNGRIA!AA148+YUMBO!AA148+'ADULTO MAYOR'!AA148+'COMEDORES VALLE'!AA148+BUGA!AA148+'COMEDORES CALI'!AA148+'CTAS EN PPACION'!AA148+'COMEDORES PALMIRA'!AA148+IMDERTY!AA148</f>
        <v/>
      </c>
      <c r="AB148" s="69" t="n"/>
      <c r="AC148" s="70" t="n"/>
      <c r="AD148" s="39">
        <f>CALI!AD148+HUNGRIA!AD148+YUMBO!AD148+'ADULTO MAYOR'!AD148+'COMEDORES VALLE'!AD148+BUGA!AD148+'COMEDORES CALI'!AD148+'CTAS EN PPACION'!AD148+'COMEDORES PALMIRA'!AD148+IMDERTY!AD148</f>
        <v/>
      </c>
      <c r="AE148" s="69" t="n"/>
      <c r="AF148" s="70" t="n"/>
      <c r="AG148" s="39">
        <f>CALI!AG148+HUNGRIA!AG148+YUMBO!AG148+'ADULTO MAYOR'!AG148+'COMEDORES VALLE'!AG148+BUGA!AG148+'COMEDORES CALI'!AG148+'CTAS EN PPACION'!AG148+'COMEDORES PALMIRA'!AG148+IMDERTY!AG148</f>
        <v/>
      </c>
      <c r="AH148" s="69" t="n"/>
      <c r="AI148" s="70" t="n"/>
      <c r="AJ148" s="39">
        <f>CALI!AJ148+HUNGRIA!AJ148+YUMBO!AJ148+'ADULTO MAYOR'!AJ148+'COMEDORES VALLE'!AJ148+BUGA!AJ148+'COMEDORES CALI'!AJ148+'CTAS EN PPACION'!AJ148+'COMEDORES PALMIRA'!AJ148+IMDERTY!AJ148</f>
        <v/>
      </c>
      <c r="AK148" s="69" t="n"/>
      <c r="AL148" s="70" t="n"/>
      <c r="AM148" s="31">
        <f>C148+F148+I148+L148+O148+R148+U148+X148+AA148+AD148+AG148+AJ148</f>
        <v/>
      </c>
      <c r="AN148" s="201" t="n"/>
      <c r="AO148" s="1077">
        <f>AM148/(AM$13)</f>
        <v/>
      </c>
    </row>
    <row r="149" ht="15" customHeight="1" s="985">
      <c r="B149" s="285" t="inlineStr">
        <is>
          <t>Gastos financieros</t>
        </is>
      </c>
      <c r="C149" s="25">
        <f>CALI!C149+HUNGRIA!C149+YUMBO!C149+'ADULTO MAYOR'!C149+'COMEDORES VALLE'!C149+BUGA!C149+'COMEDORES CALI'!C149+'CTAS EN PPACION'!C149+'COMEDORES PALMIRA'!C149+IMDERTY!C149</f>
        <v/>
      </c>
      <c r="D149" s="43" t="n"/>
      <c r="E149" s="1045" t="n"/>
      <c r="F149" s="25">
        <f>CALI!F149+HUNGRIA!F149+YUMBO!F149+'ADULTO MAYOR'!F149+'COMEDORES VALLE'!F149+BUGA!F149+'COMEDORES CALI'!F149+'CTAS EN PPACION'!F149+'COMEDORES PALMIRA'!F149+IMDERTY!F149</f>
        <v/>
      </c>
      <c r="G149" s="43" t="n"/>
      <c r="H149" s="1045" t="n"/>
      <c r="I149" s="25">
        <f>CALI!I149+HUNGRIA!I149+YUMBO!I149+'ADULTO MAYOR'!I149+'COMEDORES VALLE'!I149+BUGA!I149+'COMEDORES CALI'!I149+'CTAS EN PPACION'!I149+'COMEDORES PALMIRA'!I149+IMDERTY!I149</f>
        <v/>
      </c>
      <c r="J149" s="43" t="n"/>
      <c r="K149" s="57" t="n"/>
      <c r="L149" s="25">
        <f>CALI!L149+HUNGRIA!L149+YUMBO!L149+'ADULTO MAYOR'!L149+'COMEDORES VALLE'!L149+BUGA!L149+'COMEDORES CALI'!L149+'CTAS EN PPACION'!L149+'COMEDORES PALMIRA'!L149+IMDERTY!L149</f>
        <v/>
      </c>
      <c r="M149" s="43" t="n"/>
      <c r="N149" s="57" t="n"/>
      <c r="O149" s="25">
        <f>CALI!O149+HUNGRIA!O149+YUMBO!O149+'ADULTO MAYOR'!O149+'COMEDORES VALLE'!O149+BUGA!O149+'COMEDORES CALI'!O149+'CTAS EN PPACION'!O149+'COMEDORES PALMIRA'!O149+IMDERTY!O149</f>
        <v/>
      </c>
      <c r="P149" s="43" t="n"/>
      <c r="Q149" s="57" t="n"/>
      <c r="R149" s="25">
        <f>CALI!R149+HUNGRIA!R149+YUMBO!R149+'ADULTO MAYOR'!R149+'COMEDORES VALLE'!R149+BUGA!R149+'COMEDORES CALI'!R149+'CTAS EN PPACION'!R149+'COMEDORES PALMIRA'!R149+IMDERTY!R149</f>
        <v/>
      </c>
      <c r="S149" s="43" t="n"/>
      <c r="T149" s="57" t="n"/>
      <c r="U149" s="25">
        <f>CALI!U149+HUNGRIA!U149+YUMBO!U149+'ADULTO MAYOR'!U149+'COMEDORES VALLE'!U149+BUGA!U149+'COMEDORES CALI'!U149+'CTAS EN PPACION'!U149+'COMEDORES PALMIRA'!U149+IMDERTY!U149</f>
        <v/>
      </c>
      <c r="V149" s="43" t="n"/>
      <c r="W149" s="57" t="n"/>
      <c r="X149" s="25">
        <f>CALI!X149+HUNGRIA!X149+YUMBO!X149+'ADULTO MAYOR'!X149+'COMEDORES VALLE'!X149+BUGA!X149+'COMEDORES CALI'!X149+'CTAS EN PPACION'!X149+'COMEDORES PALMIRA'!X149+IMDERTY!X149</f>
        <v/>
      </c>
      <c r="Y149" s="43" t="n"/>
      <c r="Z149" s="57" t="n"/>
      <c r="AA149" s="25">
        <f>CALI!AA149+HUNGRIA!AA149+YUMBO!AA149+'ADULTO MAYOR'!AA149+'COMEDORES VALLE'!AA149+BUGA!AA149+'COMEDORES CALI'!AA149+'CTAS EN PPACION'!AA149+'COMEDORES PALMIRA'!AA149+IMDERTY!AA149</f>
        <v/>
      </c>
      <c r="AB149" s="43" t="n"/>
      <c r="AC149" s="57" t="n"/>
      <c r="AD149" s="25">
        <f>CALI!AD149+HUNGRIA!AD149+YUMBO!AD149+'ADULTO MAYOR'!AD149+'COMEDORES VALLE'!AD149+BUGA!AD149+'COMEDORES CALI'!AD149+'CTAS EN PPACION'!AD149+'COMEDORES PALMIRA'!AD149+IMDERTY!AD149</f>
        <v/>
      </c>
      <c r="AE149" s="43" t="n"/>
      <c r="AF149" s="57" t="n"/>
      <c r="AG149" s="25">
        <f>CALI!AG149+HUNGRIA!AG149+YUMBO!AG149+'ADULTO MAYOR'!AG149+'COMEDORES VALLE'!AG149+BUGA!AG149+'COMEDORES CALI'!AG149+'CTAS EN PPACION'!AG149+'COMEDORES PALMIRA'!AG149+IMDERTY!AG149</f>
        <v/>
      </c>
      <c r="AH149" s="43" t="n"/>
      <c r="AI149" s="57" t="n"/>
      <c r="AJ149" s="25">
        <f>CALI!AJ149+HUNGRIA!AJ149+YUMBO!AJ149+'ADULTO MAYOR'!AJ149+'COMEDORES VALLE'!AJ149+BUGA!AJ149+'COMEDORES CALI'!AJ149+'CTAS EN PPACION'!AJ149+'COMEDORES PALMIRA'!AJ149+IMDERTY!AJ149</f>
        <v/>
      </c>
      <c r="AK149" s="43" t="n"/>
      <c r="AL149" s="57" t="n"/>
      <c r="AM149" s="24">
        <f>C149+F149+I149+L149+O149+R149+U149+X149+AA149+AD149+AG149+AJ149</f>
        <v/>
      </c>
      <c r="AN149" s="195" t="n"/>
      <c r="AO149" s="1045" t="n"/>
    </row>
    <row r="150" ht="15" customHeight="1" s="985">
      <c r="B150" s="107" t="inlineStr">
        <is>
          <t>Costo de Facturas</t>
        </is>
      </c>
      <c r="C150" s="25">
        <f>CALI!C150+HUNGRIA!C150+YUMBO!C150+'ADULTO MAYOR'!C150+'COMEDORES VALLE'!C150+BUGA!C150+'COMEDORES CALI'!C150+'CTAS EN PPACION'!C150+'COMEDORES PALMIRA'!C150+IMDERTY!C150</f>
        <v/>
      </c>
      <c r="D150" s="43" t="n"/>
      <c r="E150" s="1045">
        <f>C150/(C$13)</f>
        <v/>
      </c>
      <c r="F150" s="25">
        <f>CALI!F150+HUNGRIA!F150+YUMBO!F150+'ADULTO MAYOR'!F150+'COMEDORES VALLE'!F150+BUGA!F150+'COMEDORES CALI'!F150+'CTAS EN PPACION'!F150+'COMEDORES PALMIRA'!F150+IMDERTY!F150</f>
        <v/>
      </c>
      <c r="G150" s="43" t="n"/>
      <c r="H150" s="1045">
        <f>F150/(F$13)</f>
        <v/>
      </c>
      <c r="I150" s="25">
        <f>CALI!I150+HUNGRIA!I150+YUMBO!I150+'ADULTO MAYOR'!I150+'COMEDORES VALLE'!I150+BUGA!I150+'COMEDORES CALI'!I150+'CTAS EN PPACION'!I150+'COMEDORES PALMIRA'!I150+IMDERTY!I150</f>
        <v/>
      </c>
      <c r="J150" s="43" t="n"/>
      <c r="K150" s="57" t="n"/>
      <c r="L150" s="25">
        <f>CALI!L150+HUNGRIA!L150+YUMBO!L150+'ADULTO MAYOR'!L150+'COMEDORES VALLE'!L150+BUGA!L150+'COMEDORES CALI'!L150+'CTAS EN PPACION'!L150+'COMEDORES PALMIRA'!L150+IMDERTY!L150</f>
        <v/>
      </c>
      <c r="M150" s="43" t="n"/>
      <c r="N150" s="57" t="n"/>
      <c r="O150" s="25">
        <f>CALI!O150+HUNGRIA!O150+YUMBO!O150+'ADULTO MAYOR'!O150+'COMEDORES VALLE'!O150+BUGA!O150+'COMEDORES CALI'!O150+'CTAS EN PPACION'!O150+'COMEDORES PALMIRA'!O150+IMDERTY!O150</f>
        <v/>
      </c>
      <c r="P150" s="43" t="n"/>
      <c r="Q150" s="57" t="n"/>
      <c r="R150" s="25">
        <f>CALI!R150+HUNGRIA!R150+YUMBO!R150+'ADULTO MAYOR'!R150+'COMEDORES VALLE'!R150+BUGA!R150+'COMEDORES CALI'!R150+'CTAS EN PPACION'!R150+'COMEDORES PALMIRA'!R150+IMDERTY!R150</f>
        <v/>
      </c>
      <c r="S150" s="43" t="n"/>
      <c r="T150" s="57" t="n"/>
      <c r="U150" s="25">
        <f>CALI!U150+HUNGRIA!U150+YUMBO!U150+'ADULTO MAYOR'!U150+'COMEDORES VALLE'!U150+BUGA!U150+'COMEDORES CALI'!U150+'CTAS EN PPACION'!U150+'COMEDORES PALMIRA'!U150+IMDERTY!U150</f>
        <v/>
      </c>
      <c r="V150" s="43" t="n"/>
      <c r="W150" s="57" t="n"/>
      <c r="X150" s="25">
        <f>CALI!X150+HUNGRIA!X150+YUMBO!X150+'ADULTO MAYOR'!X150+'COMEDORES VALLE'!X150+BUGA!X150+'COMEDORES CALI'!X150+'CTAS EN PPACION'!X150+'COMEDORES PALMIRA'!X150+IMDERTY!X150</f>
        <v/>
      </c>
      <c r="Y150" s="43" t="n"/>
      <c r="Z150" s="57" t="n"/>
      <c r="AA150" s="25">
        <f>CALI!AA150+HUNGRIA!AA150+YUMBO!AA150+'ADULTO MAYOR'!AA150+'COMEDORES VALLE'!AA150+BUGA!AA150+'COMEDORES CALI'!AA150+'CTAS EN PPACION'!AA150+'COMEDORES PALMIRA'!AA150+IMDERTY!AA150</f>
        <v/>
      </c>
      <c r="AB150" s="43" t="n"/>
      <c r="AC150" s="57" t="n"/>
      <c r="AD150" s="25">
        <f>CALI!AD150+HUNGRIA!AD150+YUMBO!AD150+'ADULTO MAYOR'!AD150+'COMEDORES VALLE'!AD150+BUGA!AD150+'COMEDORES CALI'!AD150+'CTAS EN PPACION'!AD150+'COMEDORES PALMIRA'!AD150+IMDERTY!AD150</f>
        <v/>
      </c>
      <c r="AE150" s="43" t="n"/>
      <c r="AF150" s="57" t="n"/>
      <c r="AG150" s="25">
        <f>CALI!AG150+HUNGRIA!AG150+YUMBO!AG150+'ADULTO MAYOR'!AG150+'COMEDORES VALLE'!AG150+BUGA!AG150+'COMEDORES CALI'!AG150+'CTAS EN PPACION'!AG150+'COMEDORES PALMIRA'!AG150+IMDERTY!AG150</f>
        <v/>
      </c>
      <c r="AH150" s="42" t="n"/>
      <c r="AI150" s="56" t="n"/>
      <c r="AJ150" s="25">
        <f>CALI!AJ150+HUNGRIA!AJ150+YUMBO!AJ150+'ADULTO MAYOR'!AJ150+'COMEDORES VALLE'!AJ150+BUGA!AJ150+'COMEDORES CALI'!AJ150+'CTAS EN PPACION'!AJ150+'COMEDORES PALMIRA'!AJ150+IMDERTY!AJ150</f>
        <v/>
      </c>
      <c r="AK150" s="42" t="n"/>
      <c r="AL150" s="56" t="n"/>
      <c r="AM150" s="24">
        <f>C150+F150+I150+L150+O150+R150+U150+X150+AA150+AD150+AG150+AJ150</f>
        <v/>
      </c>
      <c r="AN150" s="194" t="n"/>
      <c r="AO150" s="1057">
        <f>AM150/(AM$13)</f>
        <v/>
      </c>
    </row>
    <row r="151" ht="15" customHeight="1" s="985" thickBot="1">
      <c r="B151" s="300" t="inlineStr">
        <is>
          <t>Gastos No Operacionales</t>
        </is>
      </c>
      <c r="C151" s="71">
        <f>CALI!C151+HUNGRIA!C151+YUMBO!C151+'ADULTO MAYOR'!C151+'COMEDORES VALLE'!C151+BUGA!C151+'COMEDORES CALI'!C151+'CTAS EN PPACION'!C151+'COMEDORES PALMIRA'!C151+IMDERTY!C151</f>
        <v/>
      </c>
      <c r="D151" s="72" t="n"/>
      <c r="E151" s="1086" t="n"/>
      <c r="F151" s="71">
        <f>CALI!F151+HUNGRIA!F151+YUMBO!F151+'ADULTO MAYOR'!F151+'COMEDORES VALLE'!F151+BUGA!F151+'COMEDORES CALI'!F151+'CTAS EN PPACION'!F151+'COMEDORES PALMIRA'!F151+IMDERTY!F151</f>
        <v/>
      </c>
      <c r="G151" s="72" t="n"/>
      <c r="H151" s="73" t="n"/>
      <c r="I151" s="71">
        <f>CALI!I151+HUNGRIA!I151+YUMBO!I151+'ADULTO MAYOR'!I151+'COMEDORES VALLE'!I151+BUGA!I151+'COMEDORES CALI'!I151+'CTAS EN PPACION'!I151+'COMEDORES PALMIRA'!I151+IMDERTY!I151</f>
        <v/>
      </c>
      <c r="J151" s="72" t="n"/>
      <c r="K151" s="73" t="n"/>
      <c r="L151" s="71">
        <f>CALI!L151+HUNGRIA!L151+YUMBO!L151+'ADULTO MAYOR'!L151+'COMEDORES VALLE'!L151+BUGA!L151+'COMEDORES CALI'!L151+'CTAS EN PPACION'!L151+'COMEDORES PALMIRA'!L151+IMDERTY!L151</f>
        <v/>
      </c>
      <c r="M151" s="72" t="n"/>
      <c r="N151" s="73" t="n"/>
      <c r="O151" s="71">
        <f>CALI!O151+HUNGRIA!O151+YUMBO!O151+'ADULTO MAYOR'!O151+'COMEDORES VALLE'!O151+BUGA!O151+'COMEDORES CALI'!O151+'CTAS EN PPACION'!O151+'COMEDORES PALMIRA'!O151+IMDERTY!O151</f>
        <v/>
      </c>
      <c r="P151" s="72" t="n"/>
      <c r="Q151" s="73" t="n"/>
      <c r="R151" s="71">
        <f>CALI!R151+HUNGRIA!R151+YUMBO!R151+'ADULTO MAYOR'!R151+'COMEDORES VALLE'!R151+BUGA!R151+'COMEDORES CALI'!R151+'CTAS EN PPACION'!R151+'COMEDORES PALMIRA'!R151+IMDERTY!R151</f>
        <v/>
      </c>
      <c r="S151" s="72" t="n"/>
      <c r="T151" s="73" t="n"/>
      <c r="U151" s="71">
        <f>CALI!U151+HUNGRIA!U151+YUMBO!U151+'ADULTO MAYOR'!U151+'COMEDORES VALLE'!U151+BUGA!U151+'COMEDORES CALI'!U151+'CTAS EN PPACION'!U151+'COMEDORES PALMIRA'!U151+IMDERTY!U151</f>
        <v/>
      </c>
      <c r="V151" s="72" t="n"/>
      <c r="W151" s="73" t="n"/>
      <c r="X151" s="71">
        <f>CALI!X151+HUNGRIA!X151+YUMBO!X151+'ADULTO MAYOR'!X151+'COMEDORES VALLE'!X151+BUGA!X151+'COMEDORES CALI'!X151+'CTAS EN PPACION'!X151+'COMEDORES PALMIRA'!X151+IMDERTY!X151</f>
        <v/>
      </c>
      <c r="Y151" s="72" t="n"/>
      <c r="Z151" s="73" t="n"/>
      <c r="AA151" s="71">
        <f>CALI!AA151+HUNGRIA!AA151+YUMBO!AA151+'ADULTO MAYOR'!AA151+'COMEDORES VALLE'!AA151+BUGA!AA151+'COMEDORES CALI'!AA151+'CTAS EN PPACION'!AA151+'COMEDORES PALMIRA'!AA151+IMDERTY!AA151</f>
        <v/>
      </c>
      <c r="AB151" s="72" t="n"/>
      <c r="AC151" s="73" t="n"/>
      <c r="AD151" s="71">
        <f>CALI!AD151+HUNGRIA!AD151+YUMBO!AD151+'ADULTO MAYOR'!AD151+'COMEDORES VALLE'!AD151+BUGA!AD151+'COMEDORES CALI'!AD151+'CTAS EN PPACION'!AD151+'COMEDORES PALMIRA'!AD151+IMDERTY!AD151</f>
        <v/>
      </c>
      <c r="AE151" s="72" t="n"/>
      <c r="AF151" s="73" t="n"/>
      <c r="AG151" s="71">
        <f>CALI!AG151+HUNGRIA!AG151+YUMBO!AG151+'ADULTO MAYOR'!AG151+'COMEDORES VALLE'!AG151+BUGA!AG151+'COMEDORES CALI'!AG151+'CTAS EN PPACION'!AG151+'COMEDORES PALMIRA'!AG151+IMDERTY!AG151</f>
        <v/>
      </c>
      <c r="AH151" s="72" t="n"/>
      <c r="AI151" s="73" t="n"/>
      <c r="AJ151" s="71">
        <f>CALI!AJ151+HUNGRIA!AJ151+YUMBO!AJ151+'ADULTO MAYOR'!AJ151+'COMEDORES VALLE'!AJ151+BUGA!AJ151+'COMEDORES CALI'!AJ151+'CTAS EN PPACION'!AJ151+'COMEDORES PALMIRA'!AJ151+IMDERTY!AJ151</f>
        <v/>
      </c>
      <c r="AK151" s="72" t="n"/>
      <c r="AL151" s="73" t="n"/>
      <c r="AM151" s="300">
        <f>C151+F151+I151+L151+O151+R151+U151+X151+AA151+AD151+AG151+AJ151</f>
        <v/>
      </c>
      <c r="AN151" s="302" t="n"/>
      <c r="AO151" s="73" t="n"/>
    </row>
    <row r="152" ht="15" customHeight="1" s="985" thickBot="1" thickTop="1">
      <c r="C152" s="2" t="n"/>
      <c r="D152" s="2" t="n"/>
      <c r="E152" s="1067" t="n"/>
      <c r="F152" s="2" t="n"/>
      <c r="G152" s="2" t="n"/>
      <c r="H152" s="64" t="n"/>
      <c r="I152" s="2" t="n"/>
      <c r="J152" s="2" t="n"/>
      <c r="K152" s="64" t="n"/>
      <c r="L152" s="2" t="n"/>
      <c r="M152" s="2" t="n"/>
      <c r="N152" s="64" t="n"/>
      <c r="O152" s="2" t="n"/>
      <c r="P152" s="2" t="n"/>
      <c r="Q152" s="64" t="n"/>
      <c r="R152" s="2" t="n"/>
      <c r="S152" s="2" t="n"/>
      <c r="T152" s="64" t="n"/>
      <c r="U152" s="2" t="n"/>
      <c r="V152" s="2" t="n"/>
      <c r="W152" s="64" t="n"/>
      <c r="X152" s="2" t="n"/>
      <c r="Y152" s="2" t="n"/>
      <c r="Z152" s="64" t="n"/>
      <c r="AA152" s="2" t="n"/>
      <c r="AB152" s="2" t="n"/>
      <c r="AC152" s="64" t="n"/>
      <c r="AD152" s="2" t="n"/>
      <c r="AE152" s="2" t="n"/>
      <c r="AF152" s="64" t="n"/>
      <c r="AG152" s="2" t="n"/>
      <c r="AH152" s="2" t="n"/>
      <c r="AI152" s="64" t="n"/>
      <c r="AJ152" s="2" t="n"/>
      <c r="AK152" s="2" t="n"/>
      <c r="AL152" s="64" t="n"/>
      <c r="AM152" s="2" t="n"/>
      <c r="AN152" s="2" t="n"/>
      <c r="AO152" s="64" t="n"/>
    </row>
    <row r="153" ht="15" customHeight="1" s="985" thickBot="1" thickTop="1">
      <c r="B153" s="525" t="inlineStr">
        <is>
          <t>TOTAL AJUSTES</t>
        </is>
      </c>
      <c r="C153" s="498">
        <f>SUM(C154:C160)</f>
        <v/>
      </c>
      <c r="D153" s="499" t="n"/>
      <c r="E153" s="1093">
        <f>C153/C13</f>
        <v/>
      </c>
      <c r="F153" s="498">
        <f>SUM(F154:F160)</f>
        <v/>
      </c>
      <c r="G153" s="499" t="n"/>
      <c r="H153" s="1093">
        <f>F153/F13</f>
        <v/>
      </c>
      <c r="I153" s="498">
        <f>SUM(I154:I160)</f>
        <v/>
      </c>
      <c r="J153" s="499" t="n"/>
      <c r="K153" s="1093">
        <f>I153/I13</f>
        <v/>
      </c>
      <c r="L153" s="498">
        <f>SUM(L154:L160)</f>
        <v/>
      </c>
      <c r="M153" s="499" t="n"/>
      <c r="N153" s="1093">
        <f>L153/L13</f>
        <v/>
      </c>
      <c r="O153" s="498">
        <f>SUM(O154:O160)</f>
        <v/>
      </c>
      <c r="P153" s="499" t="n"/>
      <c r="Q153" s="1093">
        <f>O153/O13</f>
        <v/>
      </c>
      <c r="R153" s="498">
        <f>SUM(R154:R160)</f>
        <v/>
      </c>
      <c r="S153" s="499" t="n"/>
      <c r="T153" s="1093">
        <f>R153/R13</f>
        <v/>
      </c>
      <c r="U153" s="498">
        <f>SUM(U154:U160)</f>
        <v/>
      </c>
      <c r="V153" s="499" t="n"/>
      <c r="W153" s="512" t="n"/>
      <c r="X153" s="498">
        <f>SUM(X154:X160)</f>
        <v/>
      </c>
      <c r="Y153" s="499" t="n"/>
      <c r="Z153" s="512">
        <f>X153/X13</f>
        <v/>
      </c>
      <c r="AA153" s="498">
        <f>SUM(AA154:AA160)</f>
        <v/>
      </c>
      <c r="AB153" s="499" t="n"/>
      <c r="AC153" s="512">
        <f>AA153/AA13</f>
        <v/>
      </c>
      <c r="AD153" s="498">
        <f>SUM(AD154:AD160)</f>
        <v/>
      </c>
      <c r="AE153" s="499" t="n"/>
      <c r="AF153" s="512">
        <f>AD153/AD13</f>
        <v/>
      </c>
      <c r="AG153" s="498">
        <f>SUM(AG154:AG160)</f>
        <v/>
      </c>
      <c r="AH153" s="499" t="n"/>
      <c r="AI153" s="512" t="n"/>
      <c r="AJ153" s="498">
        <f>SUM(AJ154:AJ160)</f>
        <v/>
      </c>
      <c r="AK153" s="499" t="n"/>
      <c r="AL153" s="512" t="n"/>
      <c r="AM153" s="608">
        <f>C153+F153+I153+L153+O153+R153+U153+X153+AA153+AD153+AG153+AJ153</f>
        <v/>
      </c>
      <c r="AN153" s="609" t="n"/>
      <c r="AO153" s="1093">
        <f>AM153/AM13</f>
        <v/>
      </c>
    </row>
    <row r="154" ht="15" customHeight="1" s="985" thickTop="1">
      <c r="B154" s="1135" t="inlineStr">
        <is>
          <t>Novedades</t>
        </is>
      </c>
      <c r="C154" s="288">
        <f>CALI!C154+HUNGRIA!C154+YUMBO!C154+'ADULTO MAYOR'!C154+BUGA!C154+'COMEDORES CALI'!C154+'CTAS EN PPACION'!C154+'COMEDORES PALMIRA'!C154</f>
        <v/>
      </c>
      <c r="D154" s="230" t="n"/>
      <c r="E154" s="1136" t="n"/>
      <c r="F154" s="288">
        <f>CALI!F154+HUNGRIA!F154+YUMBO!F154+'ADULTO MAYOR'!F154+BUGA!F154+'COMEDORES CALI'!F154+'CTAS EN PPACION'!F154+'COMEDORES PALMIRA'!F154</f>
        <v/>
      </c>
      <c r="G154" s="230" t="n"/>
      <c r="H154" s="245" t="n"/>
      <c r="I154" s="288">
        <f>CALI!I154+HUNGRIA!I154+YUMBO!I154+'ADULTO MAYOR'!I154+BUGA!I154+'COMEDORES CALI'!I154+'CTAS EN PPACION'!I154+'COMEDORES PALMIRA'!I154</f>
        <v/>
      </c>
      <c r="J154" s="230" t="n"/>
      <c r="K154" s="245" t="n"/>
      <c r="L154" s="288">
        <f>CALI!L154+HUNGRIA!L154+YUMBO!L154+'ADULTO MAYOR'!L154+BUGA!L154+'COMEDORES CALI'!L154+'CTAS EN PPACION'!L154+'COMEDORES PALMIRA'!L154</f>
        <v/>
      </c>
      <c r="M154" s="230" t="n"/>
      <c r="N154" s="245" t="n"/>
      <c r="O154" s="288">
        <f>CALI!O154+HUNGRIA!O154+YUMBO!O154+'ADULTO MAYOR'!O154+BUGA!O154+'COMEDORES CALI'!O154+'CTAS EN PPACION'!O154+'COMEDORES PALMIRA'!O154+'COMEDORES VALLE'!O154</f>
        <v/>
      </c>
      <c r="P154" s="230" t="n"/>
      <c r="Q154" s="245" t="n"/>
      <c r="R154" s="849">
        <f>CALI!R154+HUNGRIA!R154+YUMBO!R154+'ADULTO MAYOR'!R154+BUGA!R154+'COMEDORES CALI'!R154+'CTAS EN PPACION'!R154+'COMEDORES PALMIRA'!R154+'COMEDORES VALLE'!R154</f>
        <v/>
      </c>
      <c r="S154" s="230" t="n"/>
      <c r="T154" s="245" t="n"/>
      <c r="U154" s="288">
        <f>CALI!U154+HUNGRIA!U154+YUMBO!U154+'ADULTO MAYOR'!U154+BUGA!U154+'COMEDORES CALI'!U154+'CTAS EN PPACION'!U154+'COMEDORES PALMIRA'!U154+'COMEDORES VALLE'!U154</f>
        <v/>
      </c>
      <c r="V154" s="230" t="n"/>
      <c r="W154" s="245" t="n"/>
      <c r="X154" s="288">
        <f>CALI!X154+HUNGRIA!X154+YUMBO!X154+'ADULTO MAYOR'!X154+BUGA!X154+'COMEDORES CALI'!X154+'CTAS EN PPACION'!X154+'COMEDORES PALMIRA'!X154+'COMEDORES VALLE'!X154</f>
        <v/>
      </c>
      <c r="Y154" s="230" t="n"/>
      <c r="Z154" s="245" t="n"/>
      <c r="AA154" s="288">
        <f>CALI!AA154+HUNGRIA!AA154+YUMBO!AA154+'ADULTO MAYOR'!AA154+BUGA!AA154+'COMEDORES CALI'!AA154+'CTAS EN PPACION'!AA154+'COMEDORES PALMIRA'!AA154+'COMEDORES VALLE'!AA154</f>
        <v/>
      </c>
      <c r="AB154" s="230" t="n"/>
      <c r="AC154" s="245" t="n"/>
      <c r="AD154" s="288">
        <f>CALI!AD154+HUNGRIA!AD154+YUMBO!AD154+'ADULTO MAYOR'!AD154+BUGA!AD154+'COMEDORES CALI'!AD154+'CTAS EN PPACION'!AD154+'COMEDORES PALMIRA'!AD154+'COMEDORES VALLE'!AD154</f>
        <v/>
      </c>
      <c r="AE154" s="230" t="n"/>
      <c r="AF154" s="245" t="n"/>
      <c r="AG154" s="288">
        <f>CALI!AG154+HUNGRIA!AG154+YUMBO!AG154+'ADULTO MAYOR'!AG154+BUGA!AG154+'COMEDORES CALI'!AG154+'CTAS EN PPACION'!AG154+'COMEDORES PALMIRA'!AG154+'COMEDORES VALLE'!AG154</f>
        <v/>
      </c>
      <c r="AH154" s="230" t="n"/>
      <c r="AI154" s="245" t="n"/>
      <c r="AJ154" s="887">
        <f>CALI!AJ154+HUNGRIA!AJ154+YUMBO!AJ154+'ADULTO MAYOR'!AJ154+BUGA!AJ154+'COMEDORES CALI'!AJ154+'CTAS EN PPACION'!AJ154+'COMEDORES PALMIRA'!AJ154+'COMEDORES VALLE'!AJ154</f>
        <v/>
      </c>
      <c r="AK154" s="230" t="n"/>
      <c r="AL154" s="245" t="n"/>
      <c r="AM154" s="289">
        <f>C154+F154+I154+L154+O154+R154+U154+X154+AA154+AD154+AG154+AJ154</f>
        <v/>
      </c>
      <c r="AN154" s="290" t="n"/>
      <c r="AO154" s="245" t="n"/>
    </row>
    <row r="155" ht="15" customHeight="1" s="985">
      <c r="B155" s="1139" t="inlineStr">
        <is>
          <t>Donacion</t>
        </is>
      </c>
      <c r="C155" s="77">
        <f>CALI!C155+HUNGRIA!C155+YUMBO!C155+'ADULTO MAYOR'!C155+BUGA!C155+'COMEDORES CALI'!C155+'CTAS EN PPACION'!C155+'COMEDORES PALMIRA'!C155</f>
        <v/>
      </c>
      <c r="D155" s="9" t="n"/>
      <c r="E155" s="240" t="n"/>
      <c r="F155" s="77">
        <f>CALI!F155+HUNGRIA!F155+YUMBO!F155+'ADULTO MAYOR'!F155+BUGA!F155+'COMEDORES CALI'!F155+'CTAS EN PPACION'!F155+'COMEDORES PALMIRA'!F155</f>
        <v/>
      </c>
      <c r="G155" s="9" t="n"/>
      <c r="H155" s="240" t="n"/>
      <c r="I155" s="77">
        <f>CALI!I155+HUNGRIA!I155+YUMBO!I155+'ADULTO MAYOR'!I155+BUGA!I155+'COMEDORES CALI'!I155+'CTAS EN PPACION'!I155+'COMEDORES PALMIRA'!I155</f>
        <v/>
      </c>
      <c r="J155" s="9" t="n"/>
      <c r="K155" s="240" t="n"/>
      <c r="L155" s="77">
        <f>CALI!L155+HUNGRIA!L155+YUMBO!L155+'ADULTO MAYOR'!L155+BUGA!L155+'COMEDORES CALI'!L155+'CTAS EN PPACION'!L155+'COMEDORES PALMIRA'!L155</f>
        <v/>
      </c>
      <c r="M155" s="9" t="n"/>
      <c r="N155" s="240" t="n"/>
      <c r="O155" s="77">
        <f>CALI!O155+HUNGRIA!O155+YUMBO!O155+'ADULTO MAYOR'!O155+BUGA!O155+'COMEDORES CALI'!O155+'CTAS EN PPACION'!O155+'COMEDORES PALMIRA'!O155+'COMEDORES VALLE'!O155</f>
        <v/>
      </c>
      <c r="P155" s="9" t="n"/>
      <c r="Q155" s="240" t="n"/>
      <c r="R155" s="75">
        <f>CALI!R155+HUNGRIA!R155+YUMBO!R155+'ADULTO MAYOR'!R155+BUGA!R155+'COMEDORES CALI'!R155+'CTAS EN PPACION'!R155+'COMEDORES PALMIRA'!R155+'COMEDORES VALLE'!R155</f>
        <v/>
      </c>
      <c r="S155" s="9" t="n"/>
      <c r="T155" s="240" t="n"/>
      <c r="U155" s="77">
        <f>CALI!U155+HUNGRIA!U155+YUMBO!U155+'ADULTO MAYOR'!U155+BUGA!U155+'COMEDORES CALI'!U155+'CTAS EN PPACION'!U155+'COMEDORES PALMIRA'!U155+'COMEDORES VALLE'!U155</f>
        <v/>
      </c>
      <c r="V155" s="9" t="n"/>
      <c r="W155" s="240" t="n"/>
      <c r="X155" s="77">
        <f>CALI!X155+HUNGRIA!X155+YUMBO!X155+'ADULTO MAYOR'!X155+BUGA!X155+'COMEDORES CALI'!X155+'CTAS EN PPACION'!X155+'COMEDORES PALMIRA'!X155+'COMEDORES VALLE'!X155</f>
        <v/>
      </c>
      <c r="Y155" s="9" t="n"/>
      <c r="Z155" s="240" t="n"/>
      <c r="AA155" s="77">
        <f>CALI!AA155+HUNGRIA!AA155+YUMBO!AA155+'ADULTO MAYOR'!AA155+BUGA!AA155+'COMEDORES CALI'!AA155+'CTAS EN PPACION'!AA155+'COMEDORES PALMIRA'!AA155+'COMEDORES VALLE'!AA155</f>
        <v/>
      </c>
      <c r="AB155" s="9" t="n"/>
      <c r="AC155" s="240" t="n"/>
      <c r="AD155" s="77">
        <f>CALI!AD155+HUNGRIA!AD155+YUMBO!AD155+'ADULTO MAYOR'!AD155+BUGA!AD155+'COMEDORES CALI'!AD155+'CTAS EN PPACION'!AD155+'COMEDORES PALMIRA'!AD155+'COMEDORES VALLE'!AD155</f>
        <v/>
      </c>
      <c r="AE155" s="9" t="n"/>
      <c r="AF155" s="240" t="n"/>
      <c r="AG155" s="77">
        <f>CALI!AG155+HUNGRIA!AG155+YUMBO!AG155+'ADULTO MAYOR'!AG155+BUGA!AG155+'COMEDORES CALI'!AG155+'CTAS EN PPACION'!AG155+'COMEDORES PALMIRA'!AG155+'COMEDORES VALLE'!AG155</f>
        <v/>
      </c>
      <c r="AH155" s="9" t="n"/>
      <c r="AI155" s="240" t="n"/>
      <c r="AJ155" s="888">
        <f>CALI!AJ155+HUNGRIA!AJ155+YUMBO!AJ155+'ADULTO MAYOR'!AJ155+BUGA!AJ155+'COMEDORES CALI'!AJ155+'CTAS EN PPACION'!AJ155+'COMEDORES PALMIRA'!AJ155+'COMEDORES VALLE'!AJ155</f>
        <v/>
      </c>
      <c r="AK155" s="9" t="n"/>
      <c r="AL155" s="240" t="n"/>
      <c r="AM155" s="248">
        <f>C155+F155+I155+L155+O155+R155+U155+X155+AA155+AD155+AG155+AJ155</f>
        <v/>
      </c>
      <c r="AN155" s="297" t="n"/>
      <c r="AO155" s="240" t="n"/>
    </row>
    <row r="156" ht="15" customHeight="1" s="985">
      <c r="B156" s="1143" t="inlineStr">
        <is>
          <t>Donacion</t>
        </is>
      </c>
      <c r="C156" s="685">
        <f>CALI!C156+HUNGRIA!C156+YUMBO!C156+'ADULTO MAYOR'!C156+BUGA!C156+'COMEDORES CALI'!C156+'CTAS EN PPACION'!C156+'COMEDORES PALMIRA'!C156</f>
        <v/>
      </c>
      <c r="D156" s="677" t="n"/>
      <c r="E156" s="681" t="n"/>
      <c r="F156" s="685">
        <f>CALI!F156+HUNGRIA!F156+YUMBO!F156+'ADULTO MAYOR'!F156+BUGA!F156+'COMEDORES CALI'!F156+'CTAS EN PPACION'!F156+'COMEDORES PALMIRA'!F156</f>
        <v/>
      </c>
      <c r="G156" s="677" t="n"/>
      <c r="H156" s="681" t="n"/>
      <c r="I156" s="685">
        <f>CALI!I156+HUNGRIA!I156+YUMBO!I156+'ADULTO MAYOR'!I156+BUGA!I156+'COMEDORES CALI'!I156+'CTAS EN PPACION'!I156+'COMEDORES PALMIRA'!I156</f>
        <v/>
      </c>
      <c r="J156" s="677" t="n"/>
      <c r="K156" s="681" t="n"/>
      <c r="L156" s="685">
        <f>CALI!L156+HUNGRIA!L156+YUMBO!L156+'ADULTO MAYOR'!L156+BUGA!L156+'COMEDORES CALI'!L156+'CTAS EN PPACION'!L156+'COMEDORES PALMIRA'!L156</f>
        <v/>
      </c>
      <c r="M156" s="677" t="n"/>
      <c r="N156" s="681" t="n"/>
      <c r="O156" s="685">
        <f>CALI!O156+HUNGRIA!O156+YUMBO!O156+'ADULTO MAYOR'!O156+BUGA!O156+'COMEDORES CALI'!O156+'CTAS EN PPACION'!O156+'COMEDORES PALMIRA'!O156+'COMEDORES VALLE'!O156</f>
        <v/>
      </c>
      <c r="P156" s="677" t="n"/>
      <c r="Q156" s="681" t="n"/>
      <c r="R156" s="76">
        <f>CALI!R156+HUNGRIA!R156+YUMBO!R156+'ADULTO MAYOR'!R156+BUGA!R156+'COMEDORES CALI'!R156+'CTAS EN PPACION'!R156+'COMEDORES PALMIRA'!R156+'COMEDORES VALLE'!R156</f>
        <v/>
      </c>
      <c r="S156" s="677" t="n"/>
      <c r="T156" s="681" t="n"/>
      <c r="U156" s="685">
        <f>CALI!U156+HUNGRIA!U156+YUMBO!U156+'ADULTO MAYOR'!U156+BUGA!U156+'COMEDORES CALI'!U156+'CTAS EN PPACION'!U156+'COMEDORES PALMIRA'!U156+'COMEDORES VALLE'!U156</f>
        <v/>
      </c>
      <c r="V156" s="677" t="n"/>
      <c r="W156" s="681" t="n"/>
      <c r="X156" s="685">
        <f>CALI!X156+HUNGRIA!X156+YUMBO!X156+'ADULTO MAYOR'!X156+BUGA!X156+'COMEDORES CALI'!X156+'CTAS EN PPACION'!X156+'COMEDORES PALMIRA'!X156+'COMEDORES VALLE'!X156</f>
        <v/>
      </c>
      <c r="Y156" s="677" t="n"/>
      <c r="Z156" s="681" t="n"/>
      <c r="AA156" s="685">
        <f>CALI!AA156+HUNGRIA!AA156+YUMBO!AA156+'ADULTO MAYOR'!AA156+BUGA!AA156+'COMEDORES CALI'!AA156+'CTAS EN PPACION'!AA156+'COMEDORES PALMIRA'!AA156+'COMEDORES VALLE'!AA156</f>
        <v/>
      </c>
      <c r="AB156" s="677" t="n"/>
      <c r="AC156" s="681" t="n"/>
      <c r="AD156" s="685">
        <f>CALI!AD156+HUNGRIA!AD156+YUMBO!AD156+'ADULTO MAYOR'!AD156+BUGA!AD156+'COMEDORES CALI'!AD156+'CTAS EN PPACION'!AD156+'COMEDORES PALMIRA'!AD156+'COMEDORES VALLE'!AD156</f>
        <v/>
      </c>
      <c r="AE156" s="677" t="n"/>
      <c r="AF156" s="681" t="n"/>
      <c r="AG156" s="685">
        <f>CALI!AG156+HUNGRIA!AG156+YUMBO!AG156+'ADULTO MAYOR'!AG156+BUGA!AG156+'COMEDORES CALI'!AG156+'CTAS EN PPACION'!AG156+'COMEDORES PALMIRA'!AG156+'COMEDORES VALLE'!AG156</f>
        <v/>
      </c>
      <c r="AH156" s="677" t="n"/>
      <c r="AI156" s="681" t="n"/>
      <c r="AJ156" s="889">
        <f>CALI!AJ156+HUNGRIA!AJ156+YUMBO!AJ156+'ADULTO MAYOR'!AJ156+BUGA!AJ156+'COMEDORES CALI'!AJ156+'CTAS EN PPACION'!AJ156+'COMEDORES PALMIRA'!AJ156+'COMEDORES VALLE'!AJ156</f>
        <v/>
      </c>
      <c r="AK156" s="677" t="n"/>
      <c r="AL156" s="681" t="n"/>
      <c r="AM156" s="684">
        <f>C156+F156+I156+L156+O156+R156+U156+X156+AA156+AD156+AG156+AJ156</f>
        <v/>
      </c>
      <c r="AN156" s="686" t="n"/>
      <c r="AO156" s="681" t="n"/>
    </row>
    <row r="157" ht="15" customHeight="1" s="985">
      <c r="B157" s="1146" t="inlineStr">
        <is>
          <t>Otros Ajustes</t>
        </is>
      </c>
      <c r="C157" s="560">
        <f>CALI!C157+HUNGRIA!C157+YUMBO!C157+'ADULTO MAYOR'!C157+BUGA!C157+'COMEDORES CALI'!C157+'CTAS EN PPACION'!C157+'COMEDORES PALMIRA'!C157</f>
        <v/>
      </c>
      <c r="D157" s="553" t="n"/>
      <c r="E157" s="557" t="n"/>
      <c r="F157" s="560">
        <f>CALI!F157+HUNGRIA!F157+YUMBO!F157+'ADULTO MAYOR'!F157+BUGA!F157+'COMEDORES CALI'!F157+'CTAS EN PPACION'!F157+'COMEDORES PALMIRA'!F157</f>
        <v/>
      </c>
      <c r="G157" s="553" t="n"/>
      <c r="H157" s="557" t="n"/>
      <c r="I157" s="560">
        <f>CALI!I157+HUNGRIA!I157+YUMBO!I157+'ADULTO MAYOR'!I157+BUGA!I157+'COMEDORES CALI'!I157+'CTAS EN PPACION'!I157+'COMEDORES PALMIRA'!I157</f>
        <v/>
      </c>
      <c r="J157" s="553" t="n"/>
      <c r="K157" s="557" t="n"/>
      <c r="L157" s="560">
        <f>CALI!L157+HUNGRIA!L157+YUMBO!L157+'ADULTO MAYOR'!L157+BUGA!L157+'COMEDORES CALI'!L157+'CTAS EN PPACION'!L157+'COMEDORES PALMIRA'!L157</f>
        <v/>
      </c>
      <c r="M157" s="553" t="n"/>
      <c r="N157" s="557" t="n"/>
      <c r="O157" s="560">
        <f>CALI!O157+HUNGRIA!O157+YUMBO!O157+'ADULTO MAYOR'!O157+BUGA!O157+'COMEDORES CALI'!O157+'CTAS EN PPACION'!O157+'COMEDORES PALMIRA'!O157+'COMEDORES VALLE'!O157</f>
        <v/>
      </c>
      <c r="P157" s="553" t="n"/>
      <c r="Q157" s="557" t="n"/>
      <c r="R157" s="850">
        <f>CALI!R157+HUNGRIA!R157+YUMBO!R157+'ADULTO MAYOR'!R157+BUGA!R157+'COMEDORES CALI'!R157+'CTAS EN PPACION'!R157+'COMEDORES PALMIRA'!R157+'COMEDORES VALLE'!R157</f>
        <v/>
      </c>
      <c r="S157" s="553" t="n"/>
      <c r="T157" s="557" t="n"/>
      <c r="U157" s="560">
        <f>CALI!U157+HUNGRIA!U157+YUMBO!U157+'ADULTO MAYOR'!U157+BUGA!U157+'COMEDORES CALI'!U157+'CTAS EN PPACION'!U157+'COMEDORES PALMIRA'!U157+'COMEDORES VALLE'!U157</f>
        <v/>
      </c>
      <c r="V157" s="553" t="n"/>
      <c r="W157" s="557" t="n"/>
      <c r="X157" s="560">
        <f>CALI!X157+HUNGRIA!X157+YUMBO!X157+'ADULTO MAYOR'!X157+BUGA!X157+'COMEDORES CALI'!X157+'CTAS EN PPACION'!X157+'COMEDORES PALMIRA'!X157+'COMEDORES VALLE'!X157</f>
        <v/>
      </c>
      <c r="Y157" s="553" t="n"/>
      <c r="Z157" s="557" t="n"/>
      <c r="AA157" s="560">
        <f>CALI!AA157+HUNGRIA!AA157+YUMBO!AA157+'ADULTO MAYOR'!AA157+BUGA!AA157+'COMEDORES CALI'!AA157+'CTAS EN PPACION'!AA157+'COMEDORES PALMIRA'!AA157+'COMEDORES VALLE'!AA157</f>
        <v/>
      </c>
      <c r="AB157" s="553" t="n"/>
      <c r="AC157" s="557" t="n"/>
      <c r="AD157" s="560">
        <f>CALI!AD157+HUNGRIA!AD157+YUMBO!AD157+'ADULTO MAYOR'!AD157+BUGA!AD157+'COMEDORES CALI'!AD157+'CTAS EN PPACION'!AD157+'COMEDORES PALMIRA'!AD157+'COMEDORES VALLE'!AD157</f>
        <v/>
      </c>
      <c r="AE157" s="553" t="n"/>
      <c r="AF157" s="557" t="n"/>
      <c r="AG157" s="560">
        <f>CALI!AG157+HUNGRIA!AG157+YUMBO!AG157+'ADULTO MAYOR'!AG157+BUGA!AG157+'COMEDORES CALI'!AG157+'CTAS EN PPACION'!AG157+'COMEDORES PALMIRA'!AG157+'COMEDORES VALLE'!AG157</f>
        <v/>
      </c>
      <c r="AH157" s="553" t="n"/>
      <c r="AI157" s="557" t="n"/>
      <c r="AJ157" s="890">
        <f>CALI!AJ157+HUNGRIA!AJ157+YUMBO!AJ157+'ADULTO MAYOR'!AJ157+BUGA!AJ157+'COMEDORES CALI'!AJ157+'CTAS EN PPACION'!AJ157+'COMEDORES PALMIRA'!AJ157+'COMEDORES VALLE'!AJ157</f>
        <v/>
      </c>
      <c r="AK157" s="553" t="n"/>
      <c r="AL157" s="557" t="n"/>
      <c r="AM157" s="561">
        <f>C157+F157+I157+L157+O157+R157+U157+X157+AA157+AD157+AG157+AJ157</f>
        <v/>
      </c>
      <c r="AN157" s="562" t="n"/>
      <c r="AO157" s="557" t="n"/>
    </row>
    <row r="158" ht="15" customHeight="1" s="985">
      <c r="B158" s="1241" t="inlineStr">
        <is>
          <t>Otros Ajustes</t>
        </is>
      </c>
      <c r="C158" s="77">
        <f>CALI!C158+HUNGRIA!C158+YUMBO!C158+'ADULTO MAYOR'!C158+BUGA!C158+'COMEDORES CALI'!C158+'CTAS EN PPACION'!C158+'COMEDORES PALMIRA'!C158</f>
        <v/>
      </c>
      <c r="D158" s="9" t="n"/>
      <c r="E158" s="240" t="n"/>
      <c r="F158" s="77">
        <f>CALI!F158+HUNGRIA!F158+YUMBO!F158+'ADULTO MAYOR'!F158+BUGA!F158+'COMEDORES CALI'!F158+'CTAS EN PPACION'!F158+'COMEDORES PALMIRA'!F158</f>
        <v/>
      </c>
      <c r="G158" s="9" t="n"/>
      <c r="H158" s="240" t="n"/>
      <c r="I158" s="77">
        <f>CALI!I158+HUNGRIA!I158+YUMBO!I158+'ADULTO MAYOR'!I158+BUGA!I158+'COMEDORES CALI'!I158+'CTAS EN PPACION'!I158+'COMEDORES PALMIRA'!I158</f>
        <v/>
      </c>
      <c r="J158" s="9" t="n"/>
      <c r="K158" s="240" t="n"/>
      <c r="L158" s="77">
        <f>CALI!L158+HUNGRIA!L158+YUMBO!L158+'ADULTO MAYOR'!L158+BUGA!L158+'COMEDORES CALI'!L158+'CTAS EN PPACION'!L158+'COMEDORES PALMIRA'!L158</f>
        <v/>
      </c>
      <c r="M158" s="9" t="n"/>
      <c r="N158" s="240" t="n"/>
      <c r="O158" s="77">
        <f>CALI!O158+HUNGRIA!O158+YUMBO!O158+'ADULTO MAYOR'!O158+BUGA!O158+'COMEDORES CALI'!O158+'CTAS EN PPACION'!O158+'COMEDORES PALMIRA'!O158+'COMEDORES VALLE'!O158</f>
        <v/>
      </c>
      <c r="P158" s="9" t="n"/>
      <c r="Q158" s="240" t="n"/>
      <c r="R158" s="75">
        <f>CALI!R158+HUNGRIA!R158+YUMBO!R158+'ADULTO MAYOR'!R158+BUGA!R158+'COMEDORES CALI'!R158+'CTAS EN PPACION'!R158+'COMEDORES PALMIRA'!R158+'COMEDORES VALLE'!R158</f>
        <v/>
      </c>
      <c r="S158" s="9" t="n"/>
      <c r="T158" s="240" t="n"/>
      <c r="U158" s="77">
        <f>CALI!U158+HUNGRIA!U158+YUMBO!U158+'ADULTO MAYOR'!U158+BUGA!U158+'COMEDORES CALI'!U158+'CTAS EN PPACION'!U158+'COMEDORES PALMIRA'!U158+'COMEDORES VALLE'!U158</f>
        <v/>
      </c>
      <c r="V158" s="9" t="n"/>
      <c r="W158" s="240" t="n"/>
      <c r="X158" s="77">
        <f>CALI!X158+HUNGRIA!X158+YUMBO!X158+'ADULTO MAYOR'!X158+BUGA!X158+'COMEDORES CALI'!X158+'CTAS EN PPACION'!X158+'COMEDORES PALMIRA'!X158+'COMEDORES VALLE'!X158</f>
        <v/>
      </c>
      <c r="Y158" s="9" t="n"/>
      <c r="Z158" s="240" t="n"/>
      <c r="AA158" s="77">
        <f>CALI!AA158+HUNGRIA!AA158+YUMBO!AA158+'ADULTO MAYOR'!AA158+BUGA!AA158+'COMEDORES CALI'!AA158+'CTAS EN PPACION'!AA158+'COMEDORES PALMIRA'!AA158+'COMEDORES VALLE'!AA158</f>
        <v/>
      </c>
      <c r="AB158" s="9" t="n"/>
      <c r="AC158" s="240" t="n"/>
      <c r="AD158" s="77">
        <f>CALI!AD158+HUNGRIA!AD158+YUMBO!AD158+'ADULTO MAYOR'!AD158+BUGA!AD158+'COMEDORES CALI'!AD158+'CTAS EN PPACION'!AD158+'COMEDORES PALMIRA'!AD158+'COMEDORES VALLE'!AD158</f>
        <v/>
      </c>
      <c r="AE158" s="43" t="n"/>
      <c r="AF158" s="240" t="n"/>
      <c r="AG158" s="77">
        <f>CALI!AG158+HUNGRIA!AG158+YUMBO!AG158+'ADULTO MAYOR'!AG158+BUGA!AG158+'COMEDORES CALI'!AG158+'CTAS EN PPACION'!AG158+'COMEDORES PALMIRA'!AG158+'COMEDORES VALLE'!AG158</f>
        <v/>
      </c>
      <c r="AH158" s="9" t="n"/>
      <c r="AI158" s="240" t="n"/>
      <c r="AJ158" s="891">
        <f>CALI!AJ158+HUNGRIA!AJ158+YUMBO!AJ158+'ADULTO MAYOR'!AJ158+BUGA!AJ158+'COMEDORES CALI'!AJ158+'CTAS EN PPACION'!AJ158+'COMEDORES PALMIRA'!AJ158+'COMEDORES VALLE'!AJ158</f>
        <v/>
      </c>
      <c r="AK158" s="9" t="n"/>
      <c r="AL158" s="240" t="n"/>
      <c r="AM158" s="248">
        <f>C158+F158+I158+L158+O158+R158+U158+X158+AA158+AD158+AG158+AJ158</f>
        <v/>
      </c>
      <c r="AN158" s="297" t="n"/>
      <c r="AO158" s="295" t="n"/>
    </row>
    <row r="159" ht="15" customHeight="1" s="985">
      <c r="B159" s="1241" t="inlineStr">
        <is>
          <t>Otros Ajustes</t>
        </is>
      </c>
      <c r="C159" s="77">
        <f>CALI!C159+HUNGRIA!C159+YUMBO!C159+'ADULTO MAYOR'!C159+BUGA!C159+'COMEDORES CALI'!C159+'CTAS EN PPACION'!C159+'COMEDORES PALMIRA'!C159</f>
        <v/>
      </c>
      <c r="D159" s="9" t="n"/>
      <c r="E159" s="240" t="n"/>
      <c r="F159" s="77">
        <f>CALI!F159+HUNGRIA!F159+YUMBO!F159+'ADULTO MAYOR'!F159+BUGA!F159+'COMEDORES CALI'!F159+'CTAS EN PPACION'!F159+'COMEDORES PALMIRA'!F159</f>
        <v/>
      </c>
      <c r="G159" s="9" t="n"/>
      <c r="H159" s="240" t="n"/>
      <c r="I159" s="77">
        <f>CALI!I159+HUNGRIA!I159+YUMBO!I159+'ADULTO MAYOR'!I159+BUGA!I159+'COMEDORES CALI'!I159+'CTAS EN PPACION'!I159+'COMEDORES PALMIRA'!I159</f>
        <v/>
      </c>
      <c r="J159" s="9" t="n"/>
      <c r="K159" s="240" t="n"/>
      <c r="L159" s="77">
        <f>CALI!L159+HUNGRIA!L159+YUMBO!L159+'ADULTO MAYOR'!L159+BUGA!L159+'COMEDORES CALI'!L159+'CTAS EN PPACION'!L159+'COMEDORES PALMIRA'!L159</f>
        <v/>
      </c>
      <c r="M159" s="9" t="n"/>
      <c r="N159" s="240" t="n"/>
      <c r="O159" s="77">
        <f>CALI!O159+HUNGRIA!O159+YUMBO!O159+'ADULTO MAYOR'!O159+BUGA!O159+'COMEDORES CALI'!O159+'CTAS EN PPACION'!O159+'COMEDORES PALMIRA'!O159+'COMEDORES VALLE'!O159</f>
        <v/>
      </c>
      <c r="P159" s="9" t="n"/>
      <c r="Q159" s="240" t="n"/>
      <c r="R159" s="75">
        <f>CALI!R159+HUNGRIA!R159+YUMBO!R159+'ADULTO MAYOR'!R159+BUGA!R159+'COMEDORES CALI'!R159+'CTAS EN PPACION'!R159+'COMEDORES PALMIRA'!R159+'COMEDORES VALLE'!R159</f>
        <v/>
      </c>
      <c r="S159" s="9" t="n"/>
      <c r="T159" s="240" t="n"/>
      <c r="U159" s="77">
        <f>CALI!U159+HUNGRIA!U159+YUMBO!U159+'ADULTO MAYOR'!U159+BUGA!U159+'COMEDORES CALI'!U159+'CTAS EN PPACION'!U159+'COMEDORES PALMIRA'!U159+'COMEDORES VALLE'!U159</f>
        <v/>
      </c>
      <c r="V159" s="9" t="n"/>
      <c r="W159" s="240" t="n"/>
      <c r="X159" s="77">
        <f>CALI!X159+HUNGRIA!X159+YUMBO!X159+'ADULTO MAYOR'!X159+BUGA!X159+'COMEDORES CALI'!X159+'CTAS EN PPACION'!X159+'COMEDORES PALMIRA'!X159+'COMEDORES VALLE'!X159</f>
        <v/>
      </c>
      <c r="Y159" s="9" t="n"/>
      <c r="Z159" s="240" t="n"/>
      <c r="AA159" s="77">
        <f>CALI!AA159+HUNGRIA!AA159+YUMBO!AA159+'ADULTO MAYOR'!AA159+BUGA!AA159+'COMEDORES CALI'!AA159+'CTAS EN PPACION'!AA159+'COMEDORES PALMIRA'!AA159+'COMEDORES VALLE'!AA159</f>
        <v/>
      </c>
      <c r="AB159" s="9" t="n"/>
      <c r="AC159" s="240" t="n"/>
      <c r="AD159" s="77">
        <f>CALI!AD159+HUNGRIA!AD159+YUMBO!AD159+'ADULTO MAYOR'!AD159+BUGA!AD159+'COMEDORES CALI'!AD159+'CTAS EN PPACION'!AD159+'COMEDORES PALMIRA'!AD159+'COMEDORES VALLE'!AD159</f>
        <v/>
      </c>
      <c r="AE159" s="43" t="n"/>
      <c r="AF159" s="240" t="n"/>
      <c r="AG159" s="77">
        <f>CALI!AG159+HUNGRIA!AG159+YUMBO!AG159+'ADULTO MAYOR'!AG159+BUGA!AG159+'COMEDORES CALI'!AG159+'CTAS EN PPACION'!AG159+'COMEDORES PALMIRA'!AG159+'COMEDORES VALLE'!AG159</f>
        <v/>
      </c>
      <c r="AH159" s="9" t="n"/>
      <c r="AI159" s="240" t="n"/>
      <c r="AJ159" s="891">
        <f>CALI!AJ159+HUNGRIA!AJ159+YUMBO!AJ159+'ADULTO MAYOR'!AJ159+BUGA!AJ159+'COMEDORES CALI'!AJ159+'CTAS EN PPACION'!AJ159+'COMEDORES PALMIRA'!AJ159+'COMEDORES VALLE'!AJ159</f>
        <v/>
      </c>
      <c r="AK159" s="9" t="n"/>
      <c r="AL159" s="240" t="n"/>
      <c r="AM159" s="248">
        <f>C159+F159+I159+L159+O159+R159+U159+X159+AA159+AD159+AG159+AJ159</f>
        <v/>
      </c>
      <c r="AN159" s="297" t="n"/>
      <c r="AO159" s="295" t="n"/>
    </row>
    <row r="160" ht="15" customHeight="1" s="985" thickBot="1">
      <c r="B160" s="1154" t="inlineStr">
        <is>
          <t>Otros Ajustes</t>
        </is>
      </c>
      <c r="C160" s="241">
        <f>CALI!C160+HUNGRIA!C160+YUMBO!C160+'ADULTO MAYOR'!C160+BUGA!C160+'COMEDORES CALI'!C160+'CTAS EN PPACION'!C160+'COMEDORES PALMIRA'!C160</f>
        <v/>
      </c>
      <c r="D160" s="242" t="n"/>
      <c r="E160" s="243" t="n"/>
      <c r="F160" s="241">
        <f>CALI!F160+HUNGRIA!F160+YUMBO!F160+'ADULTO MAYOR'!F160+BUGA!F160+'COMEDORES CALI'!F160+'CTAS EN PPACION'!F160+'COMEDORES PALMIRA'!F160</f>
        <v/>
      </c>
      <c r="G160" s="242" t="n"/>
      <c r="H160" s="243" t="n"/>
      <c r="I160" s="241">
        <f>CALI!I160+HUNGRIA!I160+YUMBO!I160+'ADULTO MAYOR'!I160+BUGA!I160+'COMEDORES CALI'!I160+'CTAS EN PPACION'!I160+'COMEDORES PALMIRA'!I160</f>
        <v/>
      </c>
      <c r="J160" s="242" t="n"/>
      <c r="K160" s="243" t="n"/>
      <c r="L160" s="241">
        <f>CALI!L160+HUNGRIA!L160+YUMBO!L160+'ADULTO MAYOR'!L160+BUGA!L160+'COMEDORES CALI'!L160+'CTAS EN PPACION'!L160+'COMEDORES PALMIRA'!L160</f>
        <v/>
      </c>
      <c r="M160" s="242" t="n"/>
      <c r="N160" s="243" t="n"/>
      <c r="O160" s="241">
        <f>CALI!O160+HUNGRIA!O160+YUMBO!O160+'ADULTO MAYOR'!O160+BUGA!O160+'COMEDORES CALI'!O160+'CTAS EN PPACION'!O160+'COMEDORES PALMIRA'!O160+'COMEDORES VALLE'!O160</f>
        <v/>
      </c>
      <c r="P160" s="242" t="n"/>
      <c r="Q160" s="243" t="n"/>
      <c r="R160" s="234">
        <f>CALI!R160+HUNGRIA!R160+YUMBO!R160+'ADULTO MAYOR'!R160+BUGA!R160+'COMEDORES CALI'!R160+'CTAS EN PPACION'!R160+'COMEDORES PALMIRA'!R160+'COMEDORES VALLE'!R160</f>
        <v/>
      </c>
      <c r="S160" s="242" t="n"/>
      <c r="T160" s="243" t="n"/>
      <c r="U160" s="241">
        <f>CALI!U160+HUNGRIA!U160+YUMBO!U160+'ADULTO MAYOR'!U160+BUGA!U160+'COMEDORES CALI'!U160+'CTAS EN PPACION'!U160+'COMEDORES PALMIRA'!U160+'COMEDORES VALLE'!U160</f>
        <v/>
      </c>
      <c r="V160" s="242" t="n"/>
      <c r="W160" s="243" t="n"/>
      <c r="X160" s="241">
        <f>CALI!X160+HUNGRIA!X160+YUMBO!X160+'ADULTO MAYOR'!X160+BUGA!X160+'COMEDORES CALI'!X160+'CTAS EN PPACION'!X160+'COMEDORES PALMIRA'!X160+'COMEDORES VALLE'!X160</f>
        <v/>
      </c>
      <c r="Y160" s="242" t="n"/>
      <c r="Z160" s="243" t="n"/>
      <c r="AA160" s="241">
        <f>CALI!AA160+HUNGRIA!AA160+YUMBO!AA160+'ADULTO MAYOR'!AA160+BUGA!AA160+'COMEDORES CALI'!AA160+'CTAS EN PPACION'!AA160+'COMEDORES PALMIRA'!AA160+'COMEDORES VALLE'!AA160</f>
        <v/>
      </c>
      <c r="AB160" s="242" t="n"/>
      <c r="AC160" s="243" t="n"/>
      <c r="AD160" s="241">
        <f>CALI!AD160+HUNGRIA!AD160+YUMBO!AD160+'ADULTO MAYOR'!AD160+BUGA!AD160+'COMEDORES CALI'!AD160+'CTAS EN PPACION'!AD160+'COMEDORES PALMIRA'!AD160+'COMEDORES VALLE'!AD160</f>
        <v/>
      </c>
      <c r="AE160" s="242" t="n"/>
      <c r="AF160" s="243" t="n"/>
      <c r="AG160" s="241">
        <f>CALI!AG160+HUNGRIA!AG160+YUMBO!AG160+'ADULTO MAYOR'!AG160+BUGA!AG160+'COMEDORES CALI'!AG160+'CTAS EN PPACION'!AG160+'COMEDORES PALMIRA'!AG160+'COMEDORES VALLE'!AG160</f>
        <v/>
      </c>
      <c r="AH160" s="242" t="n"/>
      <c r="AI160" s="243" t="n"/>
      <c r="AJ160" s="892">
        <f>CALI!AJ160+HUNGRIA!AJ160+YUMBO!AJ160+'ADULTO MAYOR'!AJ160+BUGA!AJ160+'COMEDORES CALI'!AJ160+'CTAS EN PPACION'!AJ160+'COMEDORES PALMIRA'!AJ160+'COMEDORES VALLE'!AJ160</f>
        <v/>
      </c>
      <c r="AK160" s="242" t="n"/>
      <c r="AL160" s="243" t="n"/>
      <c r="AM160" s="249">
        <f>C160+F160+I160+L160+O160+R160+U160+X160+AA160+AD160+AG160+AJ160</f>
        <v/>
      </c>
      <c r="AN160" s="250" t="n"/>
      <c r="AO160" s="293" t="n"/>
    </row>
    <row r="161" ht="15" customHeight="1" s="985" thickBot="1" thickTop="1">
      <c r="B161" s="525" t="inlineStr">
        <is>
          <t>UTILIDAD NETA</t>
        </is>
      </c>
      <c r="C161" s="498">
        <f>C144-C147-C153</f>
        <v/>
      </c>
      <c r="D161" s="499" t="n"/>
      <c r="E161" s="512" t="n"/>
      <c r="F161" s="498">
        <f>F144-F147-F153</f>
        <v/>
      </c>
      <c r="G161" s="499" t="n"/>
      <c r="H161" s="512" t="n"/>
      <c r="I161" s="498">
        <f>I144-I147-I153</f>
        <v/>
      </c>
      <c r="J161" s="499" t="n"/>
      <c r="K161" s="512" t="n"/>
      <c r="L161" s="498">
        <f>L144-L147-L153</f>
        <v/>
      </c>
      <c r="M161" s="499" t="n"/>
      <c r="N161" s="512" t="n"/>
      <c r="O161" s="498">
        <f>O144-O147-O153</f>
        <v/>
      </c>
      <c r="P161" s="499" t="n"/>
      <c r="Q161" s="512" t="n"/>
      <c r="R161" s="498">
        <f>R144-R147-R153</f>
        <v/>
      </c>
      <c r="S161" s="499" t="n"/>
      <c r="T161" s="512" t="n"/>
      <c r="U161" s="498">
        <f>U144-U147-U153</f>
        <v/>
      </c>
      <c r="V161" s="499" t="n"/>
      <c r="W161" s="512" t="n"/>
      <c r="X161" s="498">
        <f>X144-X147-X153</f>
        <v/>
      </c>
      <c r="Y161" s="499" t="n"/>
      <c r="Z161" s="512" t="n"/>
      <c r="AA161" s="498">
        <f>AA144-AA147-AA153</f>
        <v/>
      </c>
      <c r="AB161" s="499" t="n"/>
      <c r="AC161" s="512" t="n"/>
      <c r="AD161" s="498">
        <f>AD144-AD147-AD153</f>
        <v/>
      </c>
      <c r="AE161" s="499" t="n"/>
      <c r="AF161" s="512" t="n"/>
      <c r="AG161" s="498">
        <f>AG144-AG147-AG153</f>
        <v/>
      </c>
      <c r="AH161" s="499" t="n"/>
      <c r="AI161" s="512" t="n"/>
      <c r="AJ161" s="498">
        <f>AJ144-AJ147-AJ153</f>
        <v/>
      </c>
      <c r="AK161" s="499" t="n"/>
      <c r="AL161" s="512" t="n"/>
      <c r="AM161" s="608">
        <f>C161+F161+I161+L161+O161+R161+U161+X161+AA161+AD161+AG161+AJ161</f>
        <v/>
      </c>
      <c r="AN161" s="609" t="n"/>
      <c r="AO161" s="513">
        <f>AM161/AM13</f>
        <v/>
      </c>
    </row>
    <row r="162" hidden="1" ht="15" customHeight="1" s="985" thickBot="1" thickTop="1">
      <c r="A162" s="153" t="inlineStr">
        <is>
          <t xml:space="preserve">42100501            </t>
        </is>
      </c>
      <c r="B162" s="529" t="inlineStr">
        <is>
          <t>(+) DESCUENTOS COMERCIALES</t>
        </is>
      </c>
      <c r="C162" s="498" t="n"/>
      <c r="D162" s="499" t="n"/>
      <c r="E162" s="512" t="n"/>
      <c r="F162" s="498" t="n"/>
      <c r="G162" s="499" t="n"/>
      <c r="H162" s="512" t="n"/>
      <c r="I162" s="498" t="n"/>
      <c r="J162" s="499" t="n"/>
      <c r="K162" s="512" t="n"/>
      <c r="L162" s="498" t="n"/>
      <c r="M162" s="499" t="n"/>
      <c r="N162" s="512" t="n"/>
      <c r="O162" s="498" t="n"/>
      <c r="P162" s="499" t="n"/>
      <c r="Q162" s="512" t="n"/>
      <c r="R162" s="498" t="n"/>
      <c r="S162" s="499" t="n"/>
      <c r="T162" s="512" t="n"/>
      <c r="U162" s="498" t="n"/>
      <c r="V162" s="499" t="n"/>
      <c r="W162" s="512" t="n"/>
      <c r="X162" s="498" t="n"/>
      <c r="Y162" s="499" t="n"/>
      <c r="Z162" s="512" t="n"/>
      <c r="AA162" s="498" t="n"/>
      <c r="AB162" s="499" t="n"/>
      <c r="AC162" s="512" t="n"/>
      <c r="AD162" s="498" t="n"/>
      <c r="AE162" s="499" t="n"/>
      <c r="AF162" s="512" t="n"/>
      <c r="AG162" s="498" t="n"/>
      <c r="AH162" s="499" t="n"/>
      <c r="AI162" s="512" t="n"/>
      <c r="AJ162" s="498" t="n"/>
      <c r="AK162" s="499" t="n"/>
      <c r="AL162" s="512" t="n"/>
      <c r="AM162" s="608">
        <f>C162+F162+I162+L162+O162+R162+U162+X162+AA162+AD162+AG162+AJ162</f>
        <v/>
      </c>
      <c r="AN162" s="609" t="n"/>
      <c r="AO162" s="513" t="n"/>
    </row>
    <row r="163" hidden="1" ht="15" customHeight="1" s="985" thickBot="1" thickTop="1">
      <c r="A163" s="153" t="inlineStr">
        <is>
          <t xml:space="preserve">42950501  -    42958101            </t>
        </is>
      </c>
      <c r="B163" s="529" t="inlineStr">
        <is>
          <t>(+) INGRESOS NO OPERACIONALES</t>
        </is>
      </c>
      <c r="C163" s="498" t="n"/>
      <c r="D163" s="499" t="n"/>
      <c r="E163" s="512" t="n"/>
      <c r="F163" s="498" t="n"/>
      <c r="G163" s="499" t="n"/>
      <c r="H163" s="512" t="n"/>
      <c r="I163" s="498" t="n"/>
      <c r="J163" s="499" t="n"/>
      <c r="K163" s="512" t="n"/>
      <c r="L163" s="498" t="n"/>
      <c r="M163" s="499" t="n"/>
      <c r="N163" s="512" t="n"/>
      <c r="O163" s="498" t="n"/>
      <c r="P163" s="499" t="n"/>
      <c r="Q163" s="512" t="n"/>
      <c r="R163" s="498" t="n"/>
      <c r="S163" s="499" t="n"/>
      <c r="T163" s="512" t="n"/>
      <c r="U163" s="498" t="n"/>
      <c r="V163" s="499" t="n"/>
      <c r="W163" s="512" t="n"/>
      <c r="X163" s="498" t="n"/>
      <c r="Y163" s="499" t="n"/>
      <c r="Z163" s="512" t="n"/>
      <c r="AA163" s="498" t="n"/>
      <c r="AB163" s="499" t="n"/>
      <c r="AC163" s="512" t="n"/>
      <c r="AD163" s="498" t="n"/>
      <c r="AE163" s="499" t="n"/>
      <c r="AF163" s="512" t="n"/>
      <c r="AG163" s="498" t="n"/>
      <c r="AH163" s="499" t="n"/>
      <c r="AI163" s="512" t="n"/>
      <c r="AJ163" s="498" t="n"/>
      <c r="AK163" s="499" t="n"/>
      <c r="AL163" s="512" t="n"/>
      <c r="AM163" s="608">
        <f>C163+F163+I163+L163+O163+R163+U163+X163+AA163+AD163+AG163+AJ163</f>
        <v/>
      </c>
      <c r="AN163" s="609" t="n"/>
      <c r="AO163" s="513" t="n"/>
    </row>
    <row r="164" hidden="1" ht="15" customHeight="1" s="985" thickBot="1" thickTop="1">
      <c r="A164" s="153" t="inlineStr">
        <is>
          <t xml:space="preserve">42950502            </t>
        </is>
      </c>
      <c r="B164" s="529" t="inlineStr">
        <is>
          <t>(+) INGRESOS INCAPACIDADES</t>
        </is>
      </c>
      <c r="C164" s="498" t="n"/>
      <c r="D164" s="499" t="n"/>
      <c r="E164" s="512" t="n"/>
      <c r="F164" s="498" t="n"/>
      <c r="G164" s="499" t="n"/>
      <c r="H164" s="512" t="n"/>
      <c r="I164" s="498" t="n"/>
      <c r="J164" s="499" t="n"/>
      <c r="K164" s="512" t="n"/>
      <c r="L164" s="498" t="n"/>
      <c r="M164" s="499" t="n"/>
      <c r="N164" s="512" t="n"/>
      <c r="O164" s="498" t="n"/>
      <c r="P164" s="499" t="n"/>
      <c r="Q164" s="512" t="n"/>
      <c r="R164" s="498" t="n"/>
      <c r="S164" s="499" t="n"/>
      <c r="T164" s="512" t="n"/>
      <c r="U164" s="498" t="n"/>
      <c r="V164" s="499" t="n"/>
      <c r="W164" s="512" t="n"/>
      <c r="X164" s="498" t="n"/>
      <c r="Y164" s="499" t="n"/>
      <c r="Z164" s="512" t="n"/>
      <c r="AA164" s="498" t="n"/>
      <c r="AB164" s="499" t="n"/>
      <c r="AC164" s="512" t="n"/>
      <c r="AD164" s="498" t="n"/>
      <c r="AE164" s="499" t="n"/>
      <c r="AF164" s="512" t="n"/>
      <c r="AG164" s="498" t="n"/>
      <c r="AH164" s="499" t="n"/>
      <c r="AI164" s="512" t="n"/>
      <c r="AJ164" s="498" t="n"/>
      <c r="AK164" s="499" t="n"/>
      <c r="AL164" s="512" t="n"/>
      <c r="AM164" s="608">
        <f>C164+F164+I164+L164+O164+R164+U164+X164+AA164+AD164+AG164+AJ164</f>
        <v/>
      </c>
      <c r="AN164" s="609" t="n"/>
      <c r="AO164" s="513" t="n"/>
    </row>
    <row r="165" hidden="1" ht="15" customHeight="1" s="985" thickBot="1" thickTop="1">
      <c r="B165" s="529" t="inlineStr">
        <is>
          <t xml:space="preserve">(-)INVERSION </t>
        </is>
      </c>
      <c r="C165" s="498" t="n"/>
      <c r="D165" s="499" t="n"/>
      <c r="E165" s="512" t="n"/>
      <c r="F165" s="498" t="n"/>
      <c r="G165" s="499" t="n"/>
      <c r="H165" s="512" t="n"/>
      <c r="I165" s="498" t="n"/>
      <c r="J165" s="499" t="n"/>
      <c r="K165" s="512" t="n"/>
      <c r="L165" s="498" t="n"/>
      <c r="M165" s="499" t="n"/>
      <c r="N165" s="512" t="n"/>
      <c r="O165" s="498" t="n"/>
      <c r="P165" s="499" t="n"/>
      <c r="Q165" s="512" t="n"/>
      <c r="R165" s="498" t="n"/>
      <c r="S165" s="499" t="n"/>
      <c r="T165" s="512" t="n"/>
      <c r="U165" s="498" t="n"/>
      <c r="V165" s="499" t="n"/>
      <c r="W165" s="512" t="n"/>
      <c r="X165" s="498" t="n"/>
      <c r="Y165" s="499" t="n"/>
      <c r="Z165" s="512" t="n"/>
      <c r="AA165" s="498" t="n"/>
      <c r="AB165" s="499" t="n"/>
      <c r="AC165" s="512" t="n"/>
      <c r="AD165" s="498" t="n"/>
      <c r="AE165" s="499" t="n"/>
      <c r="AF165" s="512" t="n"/>
      <c r="AG165" s="498" t="n"/>
      <c r="AH165" s="499" t="n"/>
      <c r="AI165" s="512" t="n"/>
      <c r="AJ165" s="498" t="n"/>
      <c r="AK165" s="499" t="n"/>
      <c r="AL165" s="512" t="n"/>
      <c r="AM165" s="608">
        <f>C165+F165+I165+L165+O165+R165+U165+X165+AA165+AD165+AG165+AJ165</f>
        <v/>
      </c>
      <c r="AN165" s="609" t="n"/>
      <c r="AO165" s="513" t="n"/>
    </row>
    <row r="166" hidden="1" ht="15" customHeight="1" s="985" thickBot="1" thickTop="1">
      <c r="A166" s="153" t="inlineStr">
        <is>
          <t xml:space="preserve">51103501            </t>
        </is>
      </c>
      <c r="B166" s="529" t="inlineStr">
        <is>
          <t>(-) COSTO FACTURAS</t>
        </is>
      </c>
      <c r="C166" s="498" t="n"/>
      <c r="D166" s="499" t="n"/>
      <c r="E166" s="512" t="n"/>
      <c r="F166" s="498" t="n"/>
      <c r="G166" s="499" t="n"/>
      <c r="H166" s="512" t="n"/>
      <c r="I166" s="512" t="n"/>
      <c r="J166" s="512" t="n"/>
      <c r="K166" s="512" t="n"/>
      <c r="L166" s="512" t="n"/>
      <c r="M166" s="512" t="n"/>
      <c r="N166" s="512" t="n"/>
      <c r="O166" s="512" t="n"/>
      <c r="P166" s="512" t="n"/>
      <c r="Q166" s="512" t="n"/>
      <c r="R166" s="512" t="n"/>
      <c r="S166" s="512" t="n"/>
      <c r="T166" s="512" t="n"/>
      <c r="U166" s="512" t="n"/>
      <c r="V166" s="512" t="n"/>
      <c r="W166" s="512" t="n"/>
      <c r="X166" s="512" t="n"/>
      <c r="Y166" s="512" t="n"/>
      <c r="Z166" s="512" t="n"/>
      <c r="AA166" s="512" t="n"/>
      <c r="AB166" s="512" t="n"/>
      <c r="AC166" s="512" t="n"/>
      <c r="AD166" s="512" t="n"/>
      <c r="AE166" s="512" t="n"/>
      <c r="AF166" s="512" t="n"/>
      <c r="AG166" s="512" t="n"/>
      <c r="AH166" s="512" t="n"/>
      <c r="AI166" s="512" t="n"/>
      <c r="AJ166" s="512" t="n"/>
      <c r="AK166" s="512" t="n"/>
      <c r="AL166" s="512" t="n"/>
      <c r="AM166" s="608">
        <f>C166+F166+I166+L166+O166+R166+U166+X166+AA166+AD166+AG166+AJ166</f>
        <v/>
      </c>
      <c r="AN166" s="609" t="n"/>
      <c r="AO166" s="513" t="n"/>
    </row>
    <row r="167" hidden="1" ht="15" customHeight="1" s="985" thickBot="1" thickTop="1">
      <c r="B167" s="529" t="inlineStr">
        <is>
          <t>(-) RECREARTE</t>
        </is>
      </c>
      <c r="C167" s="498" t="n"/>
      <c r="D167" s="499" t="n"/>
      <c r="E167" s="512" t="n"/>
      <c r="F167" s="498" t="n"/>
      <c r="G167" s="499" t="n"/>
      <c r="H167" s="512" t="n"/>
      <c r="I167" s="498" t="n"/>
      <c r="J167" s="499" t="n"/>
      <c r="K167" s="512" t="n"/>
      <c r="L167" s="498" t="n"/>
      <c r="M167" s="499" t="n"/>
      <c r="N167" s="512" t="n"/>
      <c r="O167" s="498" t="n"/>
      <c r="P167" s="499" t="n"/>
      <c r="Q167" s="512" t="n"/>
      <c r="R167" s="498" t="n"/>
      <c r="S167" s="499" t="n"/>
      <c r="T167" s="512" t="n"/>
      <c r="U167" s="498" t="n"/>
      <c r="V167" s="499" t="n"/>
      <c r="W167" s="512" t="n"/>
      <c r="X167" s="498" t="n"/>
      <c r="Y167" s="499" t="n"/>
      <c r="Z167" s="512" t="n"/>
      <c r="AA167" s="498" t="n"/>
      <c r="AB167" s="499" t="n"/>
      <c r="AC167" s="512" t="n"/>
      <c r="AD167" s="498" t="n"/>
      <c r="AE167" s="499" t="n"/>
      <c r="AF167" s="512" t="n"/>
      <c r="AG167" s="498" t="n"/>
      <c r="AH167" s="499" t="n"/>
      <c r="AI167" s="512" t="n"/>
      <c r="AJ167" s="498" t="n"/>
      <c r="AK167" s="499" t="n"/>
      <c r="AL167" s="512" t="n"/>
      <c r="AM167" s="587">
        <f>C167+F167+I167+L167+O167+R167+U167+X167+AA167+AD167+AG167+AJ167</f>
        <v/>
      </c>
      <c r="AN167" s="608" t="n"/>
      <c r="AO167" s="711" t="n"/>
    </row>
    <row r="168" ht="15" customHeight="1" s="985" thickBot="1" thickTop="1">
      <c r="B168" s="530" t="inlineStr">
        <is>
          <t>UTILIDAD NETA FINAL</t>
        </is>
      </c>
      <c r="C168" s="498">
        <f>C161+C162+C163+C164-C165-C166-C167</f>
        <v/>
      </c>
      <c r="D168" s="499" t="n"/>
      <c r="E168" s="512" t="n"/>
      <c r="F168" s="498">
        <f>F161+F162+F163+F164-F165-F166-F167</f>
        <v/>
      </c>
      <c r="G168" s="499" t="n"/>
      <c r="H168" s="512" t="n"/>
      <c r="I168" s="498">
        <f>I161+I162+I163+I164-I165-I166-I167</f>
        <v/>
      </c>
      <c r="J168" s="499" t="n"/>
      <c r="K168" s="512" t="n"/>
      <c r="L168" s="498">
        <f>L161+L162+L163+L164-L165-L166-L167</f>
        <v/>
      </c>
      <c r="M168" s="499" t="n"/>
      <c r="N168" s="512" t="n"/>
      <c r="O168" s="498">
        <f>O161+O162+O163+O164-O165-O166-O167</f>
        <v/>
      </c>
      <c r="P168" s="499" t="n"/>
      <c r="Q168" s="512" t="n"/>
      <c r="R168" s="498">
        <f>R161+R162+R163+R164-R165-R166-R167</f>
        <v/>
      </c>
      <c r="S168" s="499" t="n"/>
      <c r="T168" s="512" t="n"/>
      <c r="U168" s="498">
        <f>U161+U162+U163+U164-U165-U166-U167</f>
        <v/>
      </c>
      <c r="V168" s="499" t="n"/>
      <c r="W168" s="512" t="n"/>
      <c r="X168" s="498">
        <f>X161+X162+X163+X164-X165-X166-X167</f>
        <v/>
      </c>
      <c r="Y168" s="499" t="n"/>
      <c r="Z168" s="512" t="n"/>
      <c r="AA168" s="498">
        <f>AA161+AA162+AA163+AA164-AA165-AA166-AA167</f>
        <v/>
      </c>
      <c r="AB168" s="499" t="n"/>
      <c r="AC168" s="512" t="n"/>
      <c r="AD168" s="498">
        <f>AD161+AD162+AD163+AD164-AD165-AD166-AD167</f>
        <v/>
      </c>
      <c r="AE168" s="499" t="n"/>
      <c r="AF168" s="512" t="n"/>
      <c r="AG168" s="498">
        <f>AG161+AG162+AG163+AG164-AG165-AG166-AG167</f>
        <v/>
      </c>
      <c r="AH168" s="499" t="n"/>
      <c r="AI168" s="512" t="n"/>
      <c r="AJ168" s="498">
        <f>AJ161+AJ162+AJ163+AJ164-AJ165-AJ166-AJ167</f>
        <v/>
      </c>
      <c r="AK168" s="499" t="n"/>
      <c r="AL168" s="512" t="n"/>
      <c r="AM168" s="755">
        <f>AM161+AM162+AM163+AM164-AM165-AM166-AM167</f>
        <v/>
      </c>
      <c r="AN168" s="608" t="n"/>
      <c r="AO168" s="711" t="n"/>
    </row>
    <row r="169" ht="17.1" customHeight="1" s="985" thickBot="1" thickTop="1">
      <c r="B169" s="525" t="n"/>
      <c r="C169" s="501">
        <f>IFERROR(C168/C13, " ")</f>
        <v/>
      </c>
      <c r="D169" s="502" t="n"/>
      <c r="E169" s="513" t="n"/>
      <c r="F169" s="501">
        <f>IFERROR(F168/F13, " ")</f>
        <v/>
      </c>
      <c r="G169" s="502" t="n"/>
      <c r="H169" s="513" t="n"/>
      <c r="I169" s="501">
        <f>IFERROR(I168/I13, " ")</f>
        <v/>
      </c>
      <c r="J169" s="502" t="n"/>
      <c r="K169" s="513" t="n"/>
      <c r="L169" s="501">
        <f>IFERROR(L168/L13, " ")</f>
        <v/>
      </c>
      <c r="M169" s="502" t="n"/>
      <c r="N169" s="513" t="n"/>
      <c r="O169" s="543">
        <f>IFERROR(O168/O13, " ")</f>
        <v/>
      </c>
      <c r="P169" s="502" t="n"/>
      <c r="Q169" s="513" t="n"/>
      <c r="R169" s="540">
        <f>IFERROR(R168/R13, " ")</f>
        <v/>
      </c>
      <c r="S169" s="499" t="n"/>
      <c r="T169" s="539" t="n"/>
      <c r="U169" s="540">
        <f>IFERROR(U168/U13, " ")</f>
        <v/>
      </c>
      <c r="V169" s="499" t="n"/>
      <c r="W169" s="539" t="n"/>
      <c r="X169" s="540">
        <f>IFERROR(X168/X13, " ")</f>
        <v/>
      </c>
      <c r="Y169" s="499" t="n"/>
      <c r="Z169" s="539" t="n"/>
      <c r="AA169" s="540">
        <f>IFERROR(AA168/AA13, " ")</f>
        <v/>
      </c>
      <c r="AB169" s="499" t="n"/>
      <c r="AC169" s="539" t="n"/>
      <c r="AD169" s="501">
        <f>IFERROR(AD168/AD13, " ")</f>
        <v/>
      </c>
      <c r="AE169" s="499" t="n"/>
      <c r="AF169" s="539" t="n"/>
      <c r="AG169" s="501">
        <f>IFERROR(AG168/AG13, " ")</f>
        <v/>
      </c>
      <c r="AH169" s="499" t="n"/>
      <c r="AI169" s="539" t="n"/>
      <c r="AJ169" s="501">
        <f>IFERROR(AJ168/AJ13, " ")</f>
        <v/>
      </c>
      <c r="AK169" s="499" t="n"/>
      <c r="AL169" s="539" t="n"/>
      <c r="AM169" s="589">
        <f>IFERROR(AM168/AM13, " ")</f>
        <v/>
      </c>
      <c r="AN169" s="712" t="n"/>
      <c r="AO169" s="711" t="n"/>
    </row>
    <row r="170" hidden="1" ht="17.1" customHeight="1" s="985" thickBot="1" thickTop="1">
      <c r="B170" s="529" t="inlineStr">
        <is>
          <t>(-) PROVISION BONIFICACION</t>
        </is>
      </c>
      <c r="C170" s="498" t="n"/>
      <c r="D170" s="499" t="n"/>
      <c r="E170" s="512" t="n"/>
      <c r="F170" s="498" t="n"/>
      <c r="G170" s="499" t="n"/>
      <c r="H170" s="512" t="n"/>
      <c r="I170" s="494" t="n"/>
      <c r="J170" s="499" t="n"/>
      <c r="K170" s="512" t="n"/>
      <c r="L170" s="498" t="n"/>
      <c r="M170" s="499" t="n"/>
      <c r="N170" s="512" t="n"/>
      <c r="O170" s="498" t="n"/>
      <c r="P170" s="499" t="n"/>
      <c r="Q170" s="512" t="n"/>
      <c r="R170" s="498" t="n"/>
      <c r="S170" s="499" t="n"/>
      <c r="T170" s="512" t="n"/>
      <c r="U170" s="498" t="n"/>
      <c r="V170" s="499" t="n"/>
      <c r="W170" s="512" t="n"/>
      <c r="X170" s="498" t="n"/>
      <c r="Y170" s="499" t="n"/>
      <c r="Z170" s="512" t="n"/>
      <c r="AA170" s="498" t="n"/>
      <c r="AB170" s="499" t="n"/>
      <c r="AC170" s="512" t="n"/>
      <c r="AD170" s="498" t="n"/>
      <c r="AE170" s="499" t="n"/>
      <c r="AF170" s="512" t="n"/>
      <c r="AG170" s="498" t="n"/>
      <c r="AH170" s="499" t="n"/>
      <c r="AI170" s="512" t="n"/>
      <c r="AJ170" s="498" t="n"/>
      <c r="AK170" s="499" t="n"/>
      <c r="AL170" s="512" t="n"/>
      <c r="AM170" s="587" t="n"/>
      <c r="AN170" s="608" t="n"/>
      <c r="AO170" s="711" t="n"/>
    </row>
    <row r="171" hidden="1" ht="17.1" customHeight="1" s="985" thickTop="1">
      <c r="B171" s="855" t="inlineStr">
        <is>
          <t>UTILIDAD NETA FINAL</t>
        </is>
      </c>
      <c r="C171" s="494" t="n"/>
      <c r="D171" s="495" t="n"/>
      <c r="E171" s="509" t="n"/>
      <c r="F171" s="494" t="n"/>
      <c r="G171" s="495" t="n"/>
      <c r="H171" s="509" t="n"/>
      <c r="I171" s="494" t="n"/>
      <c r="J171" s="495" t="n"/>
      <c r="K171" s="509" t="n"/>
      <c r="L171" s="494" t="n"/>
      <c r="M171" s="495" t="n"/>
      <c r="N171" s="509" t="n"/>
      <c r="O171" s="494" t="n"/>
      <c r="P171" s="495" t="n"/>
      <c r="Q171" s="509" t="n"/>
      <c r="R171" s="494" t="n"/>
      <c r="S171" s="495" t="n"/>
      <c r="T171" s="509" t="n"/>
      <c r="U171" s="494" t="n"/>
      <c r="V171" s="495" t="n"/>
      <c r="W171" s="509" t="n"/>
      <c r="X171" s="494" t="n"/>
      <c r="Y171" s="495" t="n"/>
      <c r="Z171" s="509" t="n"/>
      <c r="AA171" s="494" t="n"/>
      <c r="AB171" s="495" t="n"/>
      <c r="AC171" s="509" t="n"/>
      <c r="AD171" s="494" t="n"/>
      <c r="AE171" s="495" t="n"/>
      <c r="AF171" s="509" t="n"/>
      <c r="AG171" s="494" t="n"/>
      <c r="AH171" s="495" t="n"/>
      <c r="AI171" s="509" t="n"/>
      <c r="AJ171" s="494" t="n"/>
      <c r="AK171" s="495" t="n"/>
      <c r="AL171" s="509" t="n"/>
      <c r="AM171" s="856">
        <f>AM168-AM170</f>
        <v/>
      </c>
      <c r="AN171" s="604" t="n"/>
      <c r="AO171" s="857" t="n"/>
    </row>
    <row r="172" ht="17.1" customHeight="1" s="985" thickBot="1" thickTop="1">
      <c r="B172" s="852" t="n"/>
      <c r="C172" s="700" t="n"/>
      <c r="D172" s="700" t="n"/>
      <c r="E172" s="853" t="n"/>
      <c r="F172" s="700" t="n"/>
      <c r="G172" s="700" t="n"/>
      <c r="H172" s="853" t="n"/>
      <c r="I172" s="700" t="n"/>
      <c r="J172" s="700" t="n"/>
      <c r="K172" s="853" t="n"/>
      <c r="L172" s="700" t="n"/>
      <c r="M172" s="700" t="n"/>
      <c r="N172" s="853" t="n"/>
      <c r="O172" s="700" t="n"/>
      <c r="P172" s="700" t="n"/>
      <c r="Q172" s="853" t="n"/>
      <c r="R172" s="700" t="n"/>
      <c r="S172" s="700" t="n"/>
      <c r="T172" s="853" t="n"/>
      <c r="U172" s="700" t="n"/>
      <c r="V172" s="700" t="n"/>
      <c r="W172" s="853" t="n"/>
      <c r="X172" s="700" t="n"/>
      <c r="Y172" s="700" t="n"/>
      <c r="Z172" s="853" t="n"/>
      <c r="AA172" s="700" t="n"/>
      <c r="AB172" s="700" t="n"/>
      <c r="AC172" s="853" t="n"/>
      <c r="AD172" s="700" t="n"/>
      <c r="AE172" s="700" t="n"/>
      <c r="AF172" s="853" t="n"/>
      <c r="AG172" s="700" t="n"/>
      <c r="AH172" s="700" t="n"/>
      <c r="AI172" s="853" t="n"/>
      <c r="AJ172" s="700" t="n"/>
      <c r="AK172" s="700" t="n"/>
      <c r="AL172" s="853" t="n"/>
      <c r="AM172" s="854" t="n"/>
      <c r="AN172" s="700" t="n"/>
      <c r="AO172" s="708" t="n"/>
    </row>
    <row r="173" ht="17.1" customFormat="1" customHeight="1" s="108" thickBot="1" thickTop="1">
      <c r="A173" s="153" t="n"/>
      <c r="B173" s="858" t="inlineStr">
        <is>
          <t>UTILIDAD PAE + ADULTO MAYOR</t>
        </is>
      </c>
      <c r="C173" s="859">
        <f>CALI!C161+YUMBO!C161+BUGA!C161+'ADULTO MAYOR'!C161</f>
        <v/>
      </c>
      <c r="D173" s="860" t="n"/>
      <c r="E173" s="861" t="n"/>
      <c r="F173" s="859">
        <f>CALI!F161+YUMBO!F161+BUGA!F161+'ADULTO MAYOR'!F161</f>
        <v/>
      </c>
      <c r="G173" s="860" t="n"/>
      <c r="H173" s="861" t="n"/>
      <c r="I173" s="859">
        <f>CALI!I161+YUMBO!I161+BUGA!I161+'ADULTO MAYOR'!I161</f>
        <v/>
      </c>
      <c r="J173" s="860" t="n"/>
      <c r="K173" s="861" t="n"/>
      <c r="L173" s="859">
        <f>CALI!L161+YUMBO!L161+BUGA!L161+'ADULTO MAYOR'!L161</f>
        <v/>
      </c>
      <c r="M173" s="860" t="n"/>
      <c r="N173" s="861" t="n"/>
      <c r="O173" s="859">
        <f>CALI!O161+YUMBO!O161+BUGA!O161+'ADULTO MAYOR'!O161</f>
        <v/>
      </c>
      <c r="P173" s="860" t="n"/>
      <c r="Q173" s="861" t="n"/>
      <c r="R173" s="859">
        <f>CALI!R161+YUMBO!R161+BUGA!R161+'ADULTO MAYOR'!R161</f>
        <v/>
      </c>
      <c r="S173" s="860" t="n"/>
      <c r="T173" s="861" t="n"/>
      <c r="U173" s="859">
        <f>CALI!U161+YUMBO!U161+BUGA!U161+'ADULTO MAYOR'!U161</f>
        <v/>
      </c>
      <c r="V173" s="860" t="n"/>
      <c r="W173" s="861" t="n"/>
      <c r="X173" s="859">
        <f>CALI!X161+YUMBO!X161+BUGA!X161+'ADULTO MAYOR'!X161</f>
        <v/>
      </c>
      <c r="Y173" s="860" t="n"/>
      <c r="Z173" s="861" t="n"/>
      <c r="AA173" s="859">
        <f>CALI!AA161+YUMBO!AA161+BUGA!AA161+'ADULTO MAYOR'!AA161</f>
        <v/>
      </c>
      <c r="AB173" s="860" t="n"/>
      <c r="AC173" s="861" t="n"/>
      <c r="AD173" s="859">
        <f>CALI!AD161+YUMBO!AD161+BUGA!AD161+'ADULTO MAYOR'!AD161</f>
        <v/>
      </c>
      <c r="AE173" s="860" t="n"/>
      <c r="AF173" s="861" t="n"/>
      <c r="AG173" s="859">
        <f>CALI!AG161+YUMBO!AG161+BUGA!AG161+'ADULTO MAYOR'!AG161</f>
        <v/>
      </c>
      <c r="AH173" s="860" t="n"/>
      <c r="AI173" s="861" t="n"/>
      <c r="AJ173" s="859">
        <f>CALI!AJ161+YUMBO!AJ161+BUGA!AJ161+'ADULTO MAYOR'!AJ161</f>
        <v/>
      </c>
      <c r="AK173" s="860" t="n"/>
      <c r="AL173" s="861" t="n"/>
      <c r="AM173" s="862">
        <f>CALI!AM161+YUMBO!AM161+BUGA!AM161+'ADULTO MAYOR'!AM161</f>
        <v/>
      </c>
      <c r="AN173" s="863" t="n"/>
      <c r="AO173" s="864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</row>
    <row r="174" ht="17.1" customHeight="1" s="985" thickBot="1" thickTop="1">
      <c r="B174" s="852" t="n"/>
      <c r="C174" s="865">
        <f>C173/(CALI!C13+YUMBO!C13+BUGA!C13+'ADULTO MAYOR'!C13)</f>
        <v/>
      </c>
      <c r="D174" s="866" t="n"/>
      <c r="E174" s="867" t="n"/>
      <c r="F174" s="865">
        <f>F173/(CALI!F13+YUMBO!F13+BUGA!F13+'ADULTO MAYOR'!F13)</f>
        <v/>
      </c>
      <c r="G174" s="866" t="n"/>
      <c r="H174" s="867" t="n"/>
      <c r="I174" s="865">
        <f>I173/(CALI!I13+YUMBO!I13+BUGA!I13+'ADULTO MAYOR'!I13)</f>
        <v/>
      </c>
      <c r="J174" s="866" t="n"/>
      <c r="K174" s="867" t="n"/>
      <c r="L174" s="865">
        <f>L173/(CALI!L13+YUMBO!L13+BUGA!L13+'ADULTO MAYOR'!L13)</f>
        <v/>
      </c>
      <c r="M174" s="866" t="n"/>
      <c r="N174" s="867" t="n"/>
      <c r="O174" s="865">
        <f>O173/(CALI!O13+YUMBO!O13+BUGA!O13+'ADULTO MAYOR'!O13)</f>
        <v/>
      </c>
      <c r="P174" s="866" t="n"/>
      <c r="Q174" s="867" t="n"/>
      <c r="R174" s="865">
        <f>R173/(CALI!R13+YUMBO!R13+BUGA!R13+'ADULTO MAYOR'!R13)</f>
        <v/>
      </c>
      <c r="S174" s="866" t="n"/>
      <c r="T174" s="867" t="n"/>
      <c r="U174" s="865">
        <f>U173/(CALI!U13+YUMBO!U13+BUGA!U13+'ADULTO MAYOR'!U13)</f>
        <v/>
      </c>
      <c r="V174" s="866" t="n"/>
      <c r="W174" s="867" t="n"/>
      <c r="X174" s="865">
        <f>X173/(CALI!X13+YUMBO!X13+BUGA!X13+'ADULTO MAYOR'!X13)</f>
        <v/>
      </c>
      <c r="Y174" s="866" t="n"/>
      <c r="Z174" s="867" t="n"/>
      <c r="AA174" s="865">
        <f>AA173/(CALI!AA13+YUMBO!AA13+BUGA!AA13+'ADULTO MAYOR'!AA13)</f>
        <v/>
      </c>
      <c r="AB174" s="866" t="n"/>
      <c r="AC174" s="867" t="n"/>
      <c r="AD174" s="865">
        <f>AD173/(CALI!AD13+YUMBO!AD13+BUGA!AD13+'ADULTO MAYOR'!AD13)</f>
        <v/>
      </c>
      <c r="AE174" s="866" t="n"/>
      <c r="AF174" s="867" t="n"/>
      <c r="AG174" s="865">
        <f>AG173/(CALI!AG13+YUMBO!AG13+BUGA!AG13+'ADULTO MAYOR'!AG13)</f>
        <v/>
      </c>
      <c r="AH174" s="866" t="n"/>
      <c r="AI174" s="867" t="n"/>
      <c r="AJ174" s="865">
        <f>AJ173/(CALI!AJ13+YUMBO!AJ13+BUGA!AJ13+'ADULTO MAYOR'!AJ13)</f>
        <v/>
      </c>
      <c r="AK174" s="866" t="n"/>
      <c r="AL174" s="867" t="n"/>
      <c r="AM174" s="865">
        <f>AM173/(CALI!AM13+YUMBO!AM13+BUGA!AM13+'ADULTO MAYOR'!AM13)</f>
        <v/>
      </c>
      <c r="AN174" s="863" t="n"/>
      <c r="AO174" s="864" t="n"/>
    </row>
    <row r="175" ht="17.1" customHeight="1" s="985" thickTop="1">
      <c r="B175" s="852" t="n"/>
      <c r="C175" s="700" t="n"/>
      <c r="D175" s="700" t="n"/>
      <c r="E175" s="853" t="n"/>
      <c r="F175" s="700" t="n"/>
      <c r="G175" s="700" t="n"/>
      <c r="H175" s="853" t="n"/>
      <c r="I175" s="700" t="n"/>
      <c r="J175" s="700" t="n"/>
      <c r="K175" s="853" t="n"/>
      <c r="L175" s="700" t="n"/>
      <c r="M175" s="700" t="n"/>
      <c r="N175" s="853" t="n"/>
      <c r="O175" s="700" t="n"/>
      <c r="P175" s="700" t="n"/>
      <c r="Q175" s="853" t="n"/>
      <c r="R175" s="700" t="n"/>
      <c r="S175" s="700" t="n"/>
      <c r="T175" s="853" t="n"/>
      <c r="U175" s="700" t="n"/>
      <c r="V175" s="700" t="n"/>
      <c r="W175" s="853" t="n"/>
      <c r="X175" s="700" t="n"/>
      <c r="Y175" s="700" t="n"/>
      <c r="Z175" s="853" t="n"/>
      <c r="AA175" s="700" t="n"/>
      <c r="AB175" s="700" t="n"/>
      <c r="AC175" s="853" t="n"/>
      <c r="AD175" s="700" t="n"/>
      <c r="AE175" s="700" t="n"/>
      <c r="AF175" s="853" t="n"/>
      <c r="AG175" s="700" t="n"/>
      <c r="AH175" s="700" t="n"/>
      <c r="AI175" s="853" t="n"/>
      <c r="AJ175" s="700" t="n"/>
      <c r="AK175" s="700" t="n"/>
      <c r="AL175" s="853" t="n"/>
      <c r="AM175" s="854" t="n"/>
      <c r="AN175" s="700" t="n"/>
      <c r="AO175" s="708" t="n"/>
    </row>
    <row r="176" ht="17.1" customFormat="1" customHeight="1" s="108">
      <c r="A176" s="153" t="n"/>
      <c r="B176" s="956" t="inlineStr">
        <is>
          <t>UTILIDAD VALORES</t>
        </is>
      </c>
      <c r="C176" s="960" t="n"/>
      <c r="D176" s="960" t="n"/>
      <c r="E176" s="960" t="n"/>
      <c r="F176" s="960" t="n"/>
      <c r="G176" s="960" t="n"/>
      <c r="H176" s="960" t="n"/>
      <c r="I176" s="960" t="n"/>
      <c r="J176" s="960" t="n"/>
      <c r="K176" s="960" t="n"/>
      <c r="L176" s="960" t="n"/>
      <c r="M176" s="960" t="n"/>
      <c r="N176" s="960" t="n"/>
      <c r="O176" s="960" t="n"/>
      <c r="P176" s="960" t="n"/>
      <c r="Q176" s="960" t="n"/>
      <c r="R176" s="960" t="n"/>
      <c r="S176" s="960" t="n"/>
      <c r="T176" s="960" t="n"/>
      <c r="U176" s="960" t="n"/>
      <c r="V176" s="960" t="n"/>
      <c r="W176" s="960" t="n"/>
      <c r="X176" s="960" t="n"/>
      <c r="Y176" s="960" t="n"/>
      <c r="Z176" s="960" t="n"/>
      <c r="AA176" s="960" t="n"/>
      <c r="AB176" s="960" t="n"/>
      <c r="AC176" s="960" t="n"/>
      <c r="AD176" s="960" t="n"/>
      <c r="AE176" s="960" t="n"/>
      <c r="AF176" s="960" t="n"/>
      <c r="AG176" s="960" t="n"/>
      <c r="AH176" s="960" t="n"/>
      <c r="AI176" s="960" t="n"/>
      <c r="AJ176" s="960" t="n"/>
      <c r="AK176" s="960" t="n"/>
      <c r="AL176" s="960" t="n"/>
      <c r="AM176" s="960" t="n"/>
      <c r="AN176" s="708" t="n"/>
      <c r="AO176" s="708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</row>
    <row r="177" ht="17.1" customHeight="1" s="985">
      <c r="B177" s="754" t="n"/>
      <c r="C177" s="961" t="n"/>
      <c r="D177" s="961" t="n"/>
      <c r="E177" s="961" t="n"/>
      <c r="F177" s="961" t="n"/>
      <c r="G177" s="961" t="n"/>
      <c r="H177" s="961" t="n"/>
      <c r="I177" s="961" t="n"/>
      <c r="J177" s="961" t="n"/>
      <c r="K177" s="961" t="n"/>
      <c r="L177" s="961" t="n"/>
      <c r="M177" s="961" t="n"/>
      <c r="N177" s="961" t="n"/>
      <c r="O177" s="961" t="n"/>
      <c r="P177" s="961" t="n"/>
      <c r="Q177" s="961" t="n"/>
      <c r="R177" s="961" t="n"/>
      <c r="S177" s="961" t="n"/>
      <c r="T177" s="961" t="n"/>
      <c r="U177" s="961" t="n"/>
      <c r="V177" s="961" t="n"/>
      <c r="W177" s="961" t="n"/>
      <c r="X177" s="961" t="n"/>
      <c r="Y177" s="961" t="n"/>
      <c r="Z177" s="961" t="n"/>
      <c r="AA177" s="961" t="n"/>
      <c r="AB177" s="961" t="n"/>
      <c r="AC177" s="961" t="n"/>
      <c r="AD177" s="961" t="n"/>
      <c r="AE177" s="961" t="n"/>
      <c r="AF177" s="961" t="n"/>
      <c r="AG177" s="961" t="n"/>
      <c r="AH177" s="961" t="n"/>
      <c r="AI177" s="961" t="n"/>
      <c r="AJ177" s="961" t="n"/>
      <c r="AK177" s="961" t="n"/>
      <c r="AL177" s="961" t="n"/>
      <c r="AM177" s="961" t="n"/>
      <c r="AN177" s="708" t="n"/>
      <c r="AO177" s="708" t="n"/>
    </row>
    <row r="178" ht="11.1" customFormat="1" customHeight="1" s="108">
      <c r="A178" s="153" t="n"/>
      <c r="B178" s="955" t="inlineStr">
        <is>
          <t>UTILIDAD</t>
        </is>
      </c>
      <c r="C178" s="957">
        <f>CALI!C161+YUMBO!C161+BUGA!C161+'COMEDORES CALI'!C161+'CTAS EN PPACION'!C161+'COMEDORES VALLE'!C161+'COMEDORES PALMIRA'!C161+'ADULTO MAYOR'!C161</f>
        <v/>
      </c>
      <c r="D178" s="957" t="n"/>
      <c r="E178" s="957" t="n"/>
      <c r="F178" s="957">
        <f>CALI!F161+YUMBO!F161+BUGA!F161+'COMEDORES CALI'!F161+'CTAS EN PPACION'!F161+'COMEDORES VALLE'!F161+'COMEDORES PALMIRA'!F161+'ADULTO MAYOR'!F161</f>
        <v/>
      </c>
      <c r="G178" s="957" t="n"/>
      <c r="H178" s="957" t="n"/>
      <c r="I178" s="957">
        <f>CALI!I161+YUMBO!I161+BUGA!I161+'COMEDORES CALI'!I161+'CTAS EN PPACION'!I161+'COMEDORES VALLE'!I161+'COMEDORES PALMIRA'!I161+'ADULTO MAYOR'!I161</f>
        <v/>
      </c>
      <c r="J178" s="957" t="n"/>
      <c r="K178" s="957" t="n"/>
      <c r="L178" s="957">
        <f>CALI!L161+YUMBO!L161+BUGA!L161+'COMEDORES CALI'!L161+'CTAS EN PPACION'!L161+'COMEDORES VALLE'!L161+'COMEDORES PALMIRA'!L161+'ADULTO MAYOR'!L161</f>
        <v/>
      </c>
      <c r="M178" s="957" t="n"/>
      <c r="N178" s="957">
        <f>CALI!N161+YUMBO!N161+BUGA!N161+'COMEDORES CALI'!N161+'CTAS EN PPACION'!N161+'COMEDORES VALLE'!N161+'COMEDORES PALMIRA'!N161+'ADULTO MAYOR'!N161</f>
        <v/>
      </c>
      <c r="O178" s="957">
        <f>CALI!O161+YUMBO!O161+BUGA!O161+'COMEDORES CALI'!O161+'CTAS EN PPACION'!O161+'COMEDORES VALLE'!O161+'COMEDORES PALMIRA'!O161+'ADULTO MAYOR'!O161</f>
        <v/>
      </c>
      <c r="P178" s="957" t="n"/>
      <c r="Q178" s="957" t="n"/>
      <c r="R178" s="957">
        <f>CALI!R161+YUMBO!R161+BUGA!R161+'COMEDORES CALI'!R161+'CTAS EN PPACION'!R161+'COMEDORES VALLE'!R161+'COMEDORES PALMIRA'!R161+'ADULTO MAYOR'!R161</f>
        <v/>
      </c>
      <c r="S178" s="957" t="n"/>
      <c r="T178" s="957" t="n"/>
      <c r="U178" s="957">
        <f>CALI!U161+YUMBO!U161+BUGA!U161+'COMEDORES CALI'!U161+'CTAS EN PPACION'!U161+'COMEDORES VALLE'!U161+'COMEDORES PALMIRA'!U161+'ADULTO MAYOR'!U161</f>
        <v/>
      </c>
      <c r="V178" s="957" t="n"/>
      <c r="W178" s="957" t="n"/>
      <c r="X178" s="957">
        <f>CALI!X161+YUMBO!X161+BUGA!X161+'COMEDORES CALI'!X161+'CTAS EN PPACION'!X161+'COMEDORES VALLE'!X161+'COMEDORES PALMIRA'!X161+'ADULTO MAYOR'!X161</f>
        <v/>
      </c>
      <c r="Y178" s="957" t="n"/>
      <c r="Z178" s="957" t="n"/>
      <c r="AA178" s="957">
        <f>CALI!AA161+YUMBO!AA161+BUGA!AA161+'COMEDORES CALI'!AA161+'CTAS EN PPACION'!AA161+'COMEDORES VALLE'!AA161+'COMEDORES PALMIRA'!AA161+'ADULTO MAYOR'!AA161</f>
        <v/>
      </c>
      <c r="AB178" s="957" t="n"/>
      <c r="AC178" s="957" t="n"/>
      <c r="AD178" s="957">
        <f>CALI!AD161+YUMBO!AD161+BUGA!AD161+'COMEDORES CALI'!AD161+'CTAS EN PPACION'!AD161+'COMEDORES VALLE'!AD161+'COMEDORES PALMIRA'!AD161+'ADULTO MAYOR'!AD161</f>
        <v/>
      </c>
      <c r="AE178" s="957" t="n"/>
      <c r="AF178" s="957" t="n"/>
      <c r="AG178" s="957">
        <f>CALI!AG161+YUMBO!AG161+BUGA!AG161+'COMEDORES CALI'!AG161+'CTAS EN PPACION'!AG161+'COMEDORES VALLE'!AG161+'COMEDORES PALMIRA'!AG161+'ADULTO MAYOR'!AG161</f>
        <v/>
      </c>
      <c r="AH178" s="957" t="n"/>
      <c r="AI178" s="957" t="n"/>
      <c r="AJ178" s="957">
        <f>CALI!AJ161+YUMBO!AJ161+BUGA!AJ161+'COMEDORES CALI'!AJ161+'CTAS EN PPACION'!AJ161+'COMEDORES VALLE'!AJ161+'COMEDORES PALMIRA'!AJ161+'ADULTO MAYOR'!AJ161</f>
        <v/>
      </c>
      <c r="AK178" s="957" t="n"/>
      <c r="AL178" s="957" t="n"/>
      <c r="AM178" s="957">
        <f>CALI!AM161+YUMBO!AM161+BUGA!AM161+'COMEDORES CALI'!AM161+'CTAS EN PPACION'!AM161+'COMEDORES VALLE'!AM161+'COMEDORES PALMIRA'!AM161+'ADULTO MAYOR'!AM161</f>
        <v/>
      </c>
      <c r="AN178" s="395" t="n"/>
      <c r="AO178" s="395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</row>
    <row r="179" ht="11.1" customFormat="1" customHeight="1" s="108">
      <c r="A179" s="153" t="n"/>
      <c r="B179" s="955" t="inlineStr">
        <is>
          <t>DIFERENCIA</t>
        </is>
      </c>
      <c r="C179" s="957">
        <f>C178-C168</f>
        <v/>
      </c>
      <c r="D179" s="957" t="n"/>
      <c r="E179" s="957" t="n"/>
      <c r="F179" s="957">
        <f>F178-F168</f>
        <v/>
      </c>
      <c r="G179" s="957" t="n"/>
      <c r="H179" s="957" t="n"/>
      <c r="I179" s="957">
        <f>I178-I168</f>
        <v/>
      </c>
      <c r="J179" s="957" t="n"/>
      <c r="K179" s="957" t="n"/>
      <c r="L179" s="957">
        <f>L178-L168</f>
        <v/>
      </c>
      <c r="M179" s="957" t="n"/>
      <c r="N179" s="957">
        <f>N178-N168</f>
        <v/>
      </c>
      <c r="O179" s="957">
        <f>O178-O168</f>
        <v/>
      </c>
      <c r="P179" s="957" t="n"/>
      <c r="Q179" s="957" t="n"/>
      <c r="R179" s="957">
        <f>R178-R168</f>
        <v/>
      </c>
      <c r="S179" s="957" t="n"/>
      <c r="T179" s="957" t="n"/>
      <c r="U179" s="957">
        <f>U178-U168</f>
        <v/>
      </c>
      <c r="V179" s="957" t="n"/>
      <c r="W179" s="957" t="n"/>
      <c r="X179" s="957">
        <f>X178-X168</f>
        <v/>
      </c>
      <c r="Y179" s="957" t="n"/>
      <c r="Z179" s="957" t="n"/>
      <c r="AA179" s="957">
        <f>AA178-AA168</f>
        <v/>
      </c>
      <c r="AB179" s="957" t="n"/>
      <c r="AC179" s="957" t="n"/>
      <c r="AD179" s="957">
        <f>AD178-AD168</f>
        <v/>
      </c>
      <c r="AE179" s="957" t="n"/>
      <c r="AF179" s="957" t="n"/>
      <c r="AG179" s="957">
        <f>AG178-AG168</f>
        <v/>
      </c>
      <c r="AH179" s="957" t="n"/>
      <c r="AI179" s="957" t="n"/>
      <c r="AJ179" s="957">
        <f>AJ178-AJ168</f>
        <v/>
      </c>
      <c r="AK179" s="957" t="n"/>
      <c r="AL179" s="957" t="n"/>
      <c r="AM179" s="957">
        <f>AM178-AM168</f>
        <v/>
      </c>
      <c r="AN179" s="395" t="n"/>
      <c r="AO179" s="395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</row>
    <row r="180" ht="11.1" customHeight="1" s="985">
      <c r="B180" s="954" t="inlineStr">
        <is>
          <t>GASTOS ADMON</t>
        </is>
      </c>
      <c r="C180" s="958">
        <f>'GASTOS ADMINISTRATIVOS'!C96-'PYG TOTAL'!C148</f>
        <v/>
      </c>
      <c r="D180" s="958" t="n"/>
      <c r="E180" s="958" t="n"/>
      <c r="F180" s="958">
        <f>'GASTOS ADMINISTRATIVOS'!D96-'PYG TOTAL'!F148</f>
        <v/>
      </c>
      <c r="G180" s="958" t="n"/>
      <c r="H180" s="958" t="n"/>
      <c r="I180" s="958">
        <f>'GASTOS ADMINISTRATIVOS'!E96-'PYG TOTAL'!I148</f>
        <v/>
      </c>
      <c r="J180" s="958" t="n"/>
      <c r="K180" s="958" t="n"/>
      <c r="L180" s="958">
        <f>'GASTOS ADMINISTRATIVOS'!F96-'PYG TOTAL'!L148</f>
        <v/>
      </c>
      <c r="M180" s="958" t="n"/>
      <c r="N180" s="958" t="n"/>
      <c r="O180" s="958">
        <f>'GASTOS ADMINISTRATIVOS'!G96-'PYG TOTAL'!O148</f>
        <v/>
      </c>
      <c r="P180" s="958" t="n"/>
      <c r="Q180" s="958" t="n"/>
      <c r="R180" s="958">
        <f>'GASTOS ADMINISTRATIVOS'!H96-'PYG TOTAL'!R148</f>
        <v/>
      </c>
      <c r="S180" s="958" t="n"/>
      <c r="T180" s="958" t="n"/>
      <c r="U180" s="958">
        <f>'GASTOS ADMINISTRATIVOS'!I96-'PYG TOTAL'!U148</f>
        <v/>
      </c>
      <c r="V180" s="958" t="n"/>
      <c r="W180" s="958" t="n"/>
      <c r="X180" s="959">
        <f>'GASTOS ADMINISTRATIVOS'!J96-'PYG TOTAL'!X148</f>
        <v/>
      </c>
      <c r="Y180" s="959" t="n"/>
      <c r="Z180" s="959" t="n"/>
      <c r="AA180" s="959">
        <f>'GASTOS ADMINISTRATIVOS'!K96-'PYG TOTAL'!AA148</f>
        <v/>
      </c>
      <c r="AB180" s="959" t="n"/>
      <c r="AC180" s="959" t="n"/>
      <c r="AD180" s="959">
        <f>'GASTOS ADMINISTRATIVOS'!L96-'PYG TOTAL'!AD148</f>
        <v/>
      </c>
      <c r="AE180" s="959" t="n"/>
      <c r="AF180" s="959" t="n"/>
      <c r="AG180" s="959">
        <f>'GASTOS ADMINISTRATIVOS'!M96-'PYG TOTAL'!AG148</f>
        <v/>
      </c>
      <c r="AH180" s="959" t="n"/>
      <c r="AI180" s="959" t="n"/>
      <c r="AJ180" s="959">
        <f>'GASTOS ADMINISTRATIVOS'!N96-'PYG TOTAL'!AJ148</f>
        <v/>
      </c>
      <c r="AK180" s="959" t="n"/>
      <c r="AL180" s="959" t="n"/>
      <c r="AM180" s="959">
        <f>'GASTOS ADMINISTRATIVOS'!O96-'PYG TOTAL'!AM148</f>
        <v/>
      </c>
      <c r="AN180" s="995" t="n"/>
      <c r="AO180" s="995" t="n"/>
    </row>
    <row r="181" ht="11.1" customHeight="1" s="985">
      <c r="B181" s="954" t="inlineStr">
        <is>
          <t>GASTOS OPERATIVOS</t>
        </is>
      </c>
      <c r="C181" s="959">
        <f>'GASTOS OPERATIVOS'!C17+BUGA!C85+'CTAS EN PPACION'!C85+'COMEDORES VALLE'!C85-C85</f>
        <v/>
      </c>
      <c r="D181" s="959" t="n"/>
      <c r="E181" s="959" t="n"/>
      <c r="F181" s="959">
        <f>'GASTOS OPERATIVOS'!D17+BUGA!F85+'CTAS EN PPACION'!F85+'COMEDORES VALLE'!F85-F85</f>
        <v/>
      </c>
      <c r="G181" s="959" t="n"/>
      <c r="H181" s="959" t="n"/>
      <c r="I181" s="959">
        <f>'GASTOS OPERATIVOS'!E17+BUGA!I85+'CTAS EN PPACION'!I85+'COMEDORES VALLE'!I85-I85</f>
        <v/>
      </c>
      <c r="J181" s="959" t="n"/>
      <c r="K181" s="959" t="n"/>
      <c r="L181" s="959">
        <f>'GASTOS OPERATIVOS'!F17+BUGA!L85+'CTAS EN PPACION'!L85+'COMEDORES VALLE'!L85-L85</f>
        <v/>
      </c>
      <c r="M181" s="959" t="n"/>
      <c r="N181" s="959" t="n"/>
      <c r="O181" s="959">
        <f>'GASTOS OPERATIVOS'!G17+BUGA!O85+'CTAS EN PPACION'!O85+'COMEDORES VALLE'!O85-O85</f>
        <v/>
      </c>
      <c r="P181" s="959" t="n"/>
      <c r="Q181" s="959" t="n"/>
      <c r="R181" s="959">
        <f>'GASTOS OPERATIVOS'!H17+BUGA!R85+'CTAS EN PPACION'!R85+'COMEDORES VALLE'!R85-R85</f>
        <v/>
      </c>
      <c r="S181" s="959" t="n"/>
      <c r="T181" s="959" t="n"/>
      <c r="U181" s="959">
        <f>'GASTOS OPERATIVOS'!I17+BUGA!U85+'CTAS EN PPACION'!U85+'COMEDORES VALLE'!U85-U85</f>
        <v/>
      </c>
      <c r="V181" s="959" t="n"/>
      <c r="W181" s="959" t="n"/>
      <c r="X181" s="959">
        <f>'GASTOS OPERATIVOS'!J17+BUGA!X85+'CTAS EN PPACION'!X85+'COMEDORES VALLE'!X85-X85</f>
        <v/>
      </c>
      <c r="Y181" s="959" t="n"/>
      <c r="Z181" s="959" t="n"/>
      <c r="AA181" s="959">
        <f>'GASTOS OPERATIVOS'!K17+BUGA!AA85+'CTAS EN PPACION'!AA85+'COMEDORES VALLE'!AA85-AA85</f>
        <v/>
      </c>
      <c r="AB181" s="959" t="n"/>
      <c r="AC181" s="959" t="n"/>
      <c r="AD181" s="959">
        <f>'GASTOS OPERATIVOS'!L17+BUGA!AD85+'CTAS EN PPACION'!AD85+'COMEDORES VALLE'!AD85-AD85</f>
        <v/>
      </c>
      <c r="AE181" s="959" t="n"/>
      <c r="AF181" s="959" t="n"/>
      <c r="AG181" s="959">
        <f>'GASTOS OPERATIVOS'!M17+BUGA!AG85+'CTAS EN PPACION'!AG85+'COMEDORES VALLE'!AG85-AG85</f>
        <v/>
      </c>
      <c r="AH181" s="959" t="n"/>
      <c r="AI181" s="959" t="n"/>
      <c r="AJ181" s="959">
        <f>'GASTOS OPERATIVOS'!N17+BUGA!AJ85+'CTAS EN PPACION'!AJ85+'COMEDORES VALLE'!AJ85-AJ85</f>
        <v/>
      </c>
      <c r="AK181" s="959" t="n"/>
      <c r="AL181" s="959" t="n"/>
      <c r="AM181" s="959">
        <f>'GASTOS OPERATIVOS'!O17+BUGA!AM85+'CTAS EN PPACION'!AM85+'COMEDORES VALLE'!AM85-AM85</f>
        <v/>
      </c>
      <c r="AN181" s="995" t="n"/>
      <c r="AO181" s="995" t="n"/>
    </row>
    <row r="182" ht="11.1" customHeight="1" s="985">
      <c r="B182" s="954" t="inlineStr">
        <is>
          <t>GASTOS VEHICULOS</t>
        </is>
      </c>
      <c r="C182" s="959">
        <f>'GASTOS VEHICULOS'!C25-'PYG TOTAL'!C73</f>
        <v/>
      </c>
      <c r="D182" s="959" t="n"/>
      <c r="E182" s="959" t="n"/>
      <c r="F182" s="959">
        <f>'GASTOS VEHICULOS'!D25-'PYG TOTAL'!F73</f>
        <v/>
      </c>
      <c r="G182" s="959" t="n"/>
      <c r="H182" s="959" t="n"/>
      <c r="I182" s="959">
        <f>'GASTOS VEHICULOS'!E25-'PYG TOTAL'!I73</f>
        <v/>
      </c>
      <c r="J182" s="959" t="n"/>
      <c r="K182" s="959" t="n"/>
      <c r="L182" s="959">
        <f>'GASTOS VEHICULOS'!F25-'PYG TOTAL'!L73</f>
        <v/>
      </c>
      <c r="M182" s="959" t="n"/>
      <c r="N182" s="959" t="n"/>
      <c r="O182" s="959">
        <f>'GASTOS VEHICULOS'!G25-'PYG TOTAL'!O73</f>
        <v/>
      </c>
      <c r="P182" s="959" t="n"/>
      <c r="Q182" s="959" t="n"/>
      <c r="R182" s="959">
        <f>'GASTOS VEHICULOS'!H25-'PYG TOTAL'!R73</f>
        <v/>
      </c>
      <c r="S182" s="959" t="n"/>
      <c r="T182" s="959" t="n"/>
      <c r="U182" s="959">
        <f>'GASTOS VEHICULOS'!I25-'PYG TOTAL'!U73</f>
        <v/>
      </c>
      <c r="V182" s="959" t="n"/>
      <c r="W182" s="959" t="n"/>
      <c r="X182" s="959">
        <f>'GASTOS VEHICULOS'!J25-'PYG TOTAL'!X73</f>
        <v/>
      </c>
      <c r="Y182" s="959" t="n"/>
      <c r="Z182" s="959" t="n"/>
      <c r="AA182" s="959">
        <f>'GASTOS VEHICULOS'!K25-'PYG TOTAL'!AA73</f>
        <v/>
      </c>
      <c r="AB182" s="959" t="n"/>
      <c r="AC182" s="959" t="n"/>
      <c r="AD182" s="959">
        <f>'GASTOS VEHICULOS'!L25-'PYG TOTAL'!AD73</f>
        <v/>
      </c>
      <c r="AE182" s="959" t="n"/>
      <c r="AF182" s="959" t="n"/>
      <c r="AG182" s="959">
        <f>'GASTOS VEHICULOS'!M25-'PYG TOTAL'!AG73</f>
        <v/>
      </c>
      <c r="AH182" s="959" t="n"/>
      <c r="AI182" s="959" t="n"/>
      <c r="AJ182" s="959">
        <f>'GASTOS VEHICULOS'!N25-'PYG TOTAL'!AJ73</f>
        <v/>
      </c>
      <c r="AK182" s="959" t="n"/>
      <c r="AL182" s="959" t="n"/>
      <c r="AM182" s="959">
        <f>'GASTOS VEHICULOS'!O25-'PYG TOTAL'!AM73</f>
        <v/>
      </c>
      <c r="AN182" s="995" t="n"/>
      <c r="AO182" s="995" t="n"/>
    </row>
    <row r="183">
      <c r="B183" s="954" t="inlineStr">
        <is>
          <t>GASTOS FINANCIEROS</t>
        </is>
      </c>
      <c r="C183" s="959">
        <f>'GASTOS ADMINISTRATIVOS'!C109-'PYG TOTAL'!C149+520117.4+29230.55+40203.2+79552.5+3501.4</f>
        <v/>
      </c>
      <c r="D183" s="959" t="n"/>
      <c r="E183" s="959" t="n"/>
      <c r="F183" s="959">
        <f>'GASTOS ADMINISTRATIVOS'!D109-'PYG TOTAL'!F149+129086.38+6000</f>
        <v/>
      </c>
      <c r="G183" s="959" t="n"/>
      <c r="H183" s="959" t="n"/>
      <c r="I183" s="959">
        <f>'GASTOS ADMINISTRATIVOS'!E109-'PYG TOTAL'!I149</f>
        <v/>
      </c>
      <c r="J183" s="959" t="n"/>
      <c r="K183" s="959" t="n"/>
      <c r="L183" s="959">
        <f>'GASTOS ADMINISTRATIVOS'!F109-'PYG TOTAL'!L149</f>
        <v/>
      </c>
      <c r="M183" s="959" t="n"/>
      <c r="N183" s="959" t="n"/>
      <c r="O183" s="959">
        <f>'GASTOS ADMINISTRATIVOS'!G109-'PYG TOTAL'!O149</f>
        <v/>
      </c>
      <c r="P183" s="959" t="n"/>
      <c r="Q183" s="959" t="n"/>
      <c r="R183" s="959">
        <f>'GASTOS ADMINISTRATIVOS'!H109-'PYG TOTAL'!R149</f>
        <v/>
      </c>
      <c r="S183" s="959" t="n"/>
      <c r="T183" s="959" t="n"/>
      <c r="U183" s="959">
        <f>'GASTOS ADMINISTRATIVOS'!I109-'PYG TOTAL'!U149</f>
        <v/>
      </c>
      <c r="V183" s="959" t="n"/>
      <c r="W183" s="959" t="n"/>
      <c r="X183" s="959">
        <f>'GASTOS ADMINISTRATIVOS'!J109-'PYG TOTAL'!X149</f>
        <v/>
      </c>
      <c r="Y183" s="959" t="n"/>
      <c r="Z183" s="959" t="n"/>
      <c r="AA183" s="959">
        <f>'GASTOS ADMINISTRATIVOS'!K109-'PYG TOTAL'!AA149</f>
        <v/>
      </c>
      <c r="AB183" s="959" t="n"/>
      <c r="AC183" s="959" t="n"/>
      <c r="AD183" s="959">
        <f>'GASTOS ADMINISTRATIVOS'!L109-'PYG TOTAL'!AD149</f>
        <v/>
      </c>
      <c r="AE183" s="959" t="n"/>
      <c r="AF183" s="959" t="n"/>
      <c r="AG183" s="959">
        <f>'GASTOS ADMINISTRATIVOS'!M109-'PYG TOTAL'!AG149</f>
        <v/>
      </c>
      <c r="AH183" s="959" t="n"/>
      <c r="AI183" s="959" t="n"/>
      <c r="AJ183" s="959">
        <f>'GASTOS ADMINISTRATIVOS'!N109-'PYG TOTAL'!AJ149</f>
        <v/>
      </c>
      <c r="AK183" s="959" t="n"/>
      <c r="AL183" s="959" t="n"/>
      <c r="AM183" s="959">
        <f>'GASTOS ADMINISTRATIVOS'!O109-'PYG TOTAL'!AM149+520117.4+29230.55+40203.2+79552.5+3501.4+129086.38+6000</f>
        <v/>
      </c>
      <c r="AN183" s="995" t="n"/>
    </row>
    <row r="184">
      <c r="B184" s="954" t="inlineStr">
        <is>
          <t>GASTOS NO OPERACIONALES</t>
        </is>
      </c>
      <c r="C184" s="959">
        <f>'GASTOS ADMINISTRATIVOS'!C119-'PYG TOTAL'!C151</f>
        <v/>
      </c>
      <c r="D184" s="959" t="n"/>
      <c r="E184" s="959" t="n"/>
      <c r="F184" s="959">
        <f>'GASTOS ADMINISTRATIVOS'!D119-'PYG TOTAL'!F151</f>
        <v/>
      </c>
      <c r="G184" s="959" t="n"/>
      <c r="H184" s="959" t="n"/>
      <c r="I184" s="959">
        <f>'GASTOS ADMINISTRATIVOS'!E119-'PYG TOTAL'!I151</f>
        <v/>
      </c>
      <c r="J184" s="959" t="n"/>
      <c r="K184" s="959" t="n"/>
      <c r="L184" s="959">
        <f>'GASTOS ADMINISTRATIVOS'!F119-'PYG TOTAL'!L151</f>
        <v/>
      </c>
      <c r="M184" s="959" t="n"/>
      <c r="N184" s="959" t="n"/>
      <c r="O184" s="959">
        <f>'GASTOS ADMINISTRATIVOS'!G119-'PYG TOTAL'!O151</f>
        <v/>
      </c>
      <c r="P184" s="959" t="n"/>
      <c r="Q184" s="959" t="n"/>
      <c r="R184" s="959">
        <f>'GASTOS ADMINISTRATIVOS'!H119-'PYG TOTAL'!R151</f>
        <v/>
      </c>
      <c r="S184" s="959" t="n"/>
      <c r="T184" s="959" t="n"/>
      <c r="U184" s="959">
        <f>'GASTOS ADMINISTRATIVOS'!I119-'PYG TOTAL'!U151</f>
        <v/>
      </c>
      <c r="V184" s="959" t="n"/>
      <c r="W184" s="959" t="n"/>
      <c r="X184" s="959">
        <f>'GASTOS ADMINISTRATIVOS'!J119-'PYG TOTAL'!X151</f>
        <v/>
      </c>
      <c r="Y184" s="959" t="n"/>
      <c r="Z184" s="959" t="n"/>
      <c r="AA184" s="959">
        <f>'GASTOS ADMINISTRATIVOS'!K119-'PYG TOTAL'!AA151</f>
        <v/>
      </c>
      <c r="AB184" s="959" t="n"/>
      <c r="AC184" s="959" t="n"/>
      <c r="AD184" s="959">
        <f>'GASTOS ADMINISTRATIVOS'!L119-'PYG TOTAL'!AD151</f>
        <v/>
      </c>
      <c r="AE184" s="959" t="n"/>
      <c r="AF184" s="959" t="n"/>
      <c r="AG184" s="959">
        <f>'GASTOS ADMINISTRATIVOS'!M119-'PYG TOTAL'!AG151</f>
        <v/>
      </c>
      <c r="AH184" s="959" t="n"/>
      <c r="AI184" s="959" t="n"/>
      <c r="AJ184" s="959">
        <f>'GASTOS ADMINISTRATIVOS'!N119-'PYG TOTAL'!AJ151</f>
        <v/>
      </c>
      <c r="AK184" s="959" t="n"/>
      <c r="AL184" s="959" t="n"/>
      <c r="AM184" s="959">
        <f>'GASTOS ADMINISTRATIVOS'!O119-'PYG TOTAL'!AM151</f>
        <v/>
      </c>
      <c r="AN184" s="402" t="n"/>
      <c r="AO184" s="996" t="n"/>
    </row>
    <row r="185">
      <c r="X185" s="996" t="n"/>
      <c r="Y185" s="1242" t="n"/>
      <c r="Z185" s="996" t="n"/>
      <c r="AA185" s="996" t="n"/>
      <c r="AB185" s="996" t="n"/>
      <c r="AC185" s="996" t="n"/>
      <c r="AE185" s="996" t="n"/>
      <c r="AF185" s="996" t="n"/>
      <c r="AG185" s="996" t="n"/>
      <c r="AH185" s="996" t="n"/>
      <c r="AI185" s="996" t="n"/>
      <c r="AJ185" s="996" t="n"/>
      <c r="AK185" s="996" t="n"/>
      <c r="AL185" s="996" t="n"/>
      <c r="AM185" s="895" t="n"/>
      <c r="AN185" s="996" t="n"/>
      <c r="AO185" s="996" t="n"/>
    </row>
    <row r="186">
      <c r="S186" s="1182" t="n"/>
      <c r="X186" s="996" t="n"/>
      <c r="Y186" s="996" t="n"/>
      <c r="Z186" s="996" t="n"/>
      <c r="AA186" s="996" t="n"/>
      <c r="AB186" s="1242" t="n"/>
      <c r="AC186" s="996" t="n"/>
      <c r="AD186" s="996" t="n"/>
      <c r="AE186" s="996" t="n"/>
      <c r="AF186" s="996" t="n"/>
      <c r="AG186" s="996" t="n"/>
      <c r="AH186" s="996" t="n"/>
      <c r="AI186" s="996" t="n"/>
      <c r="AJ186" s="996" t="n"/>
      <c r="AK186" s="996" t="n"/>
      <c r="AL186" s="996" t="n"/>
      <c r="AM186" s="402" t="n"/>
      <c r="AN186" s="996" t="n"/>
    </row>
    <row r="187">
      <c r="S187" s="1182" t="n"/>
      <c r="X187" s="996" t="n"/>
      <c r="Y187" s="1242" t="n"/>
      <c r="Z187" s="996" t="n"/>
      <c r="AA187" s="996" t="n"/>
      <c r="AB187" s="1242" t="n"/>
      <c r="AC187" s="996" t="n"/>
      <c r="AD187" s="882" t="n"/>
      <c r="AE187" s="996" t="n"/>
      <c r="AF187" s="996" t="n"/>
      <c r="AG187" s="613" t="n"/>
      <c r="AH187" s="996" t="n"/>
      <c r="AI187" s="996" t="n"/>
      <c r="AJ187" s="996" t="n"/>
      <c r="AK187" s="996" t="n"/>
      <c r="AL187" s="996" t="n"/>
      <c r="AM187" s="402" t="n"/>
      <c r="AN187" s="996" t="n"/>
      <c r="AO187" s="996" t="n"/>
    </row>
    <row r="188">
      <c r="X188" s="996" t="n"/>
      <c r="Y188" s="996" t="n"/>
      <c r="Z188" s="996" t="n"/>
      <c r="AA188" s="996" t="n"/>
      <c r="AB188" s="996" t="n"/>
      <c r="AC188" s="996" t="n"/>
      <c r="AD188" s="996" t="n"/>
      <c r="AE188" s="996" t="n"/>
      <c r="AF188" s="996" t="n"/>
      <c r="AG188" s="996" t="n"/>
      <c r="AH188" s="996" t="n"/>
      <c r="AI188" s="996" t="n"/>
      <c r="AJ188" s="996" t="n"/>
      <c r="AK188" s="996" t="n"/>
      <c r="AL188" s="996" t="n"/>
      <c r="AN188" s="996" t="n"/>
      <c r="AO188" s="996" t="n"/>
    </row>
    <row r="189">
      <c r="F189" s="1182" t="n"/>
      <c r="X189" s="996" t="n"/>
      <c r="Y189" s="996" t="n"/>
      <c r="Z189" s="996" t="n"/>
      <c r="AA189" s="996" t="n"/>
      <c r="AB189" s="996" t="n"/>
      <c r="AF189" s="613" t="n"/>
      <c r="AG189" s="613" t="n"/>
      <c r="AH189" s="613" t="n"/>
      <c r="AI189" s="613" t="n"/>
      <c r="AJ189" s="613" t="n"/>
      <c r="AK189" s="613" t="n"/>
      <c r="AL189" s="613" t="n"/>
      <c r="AM189" s="613" t="n"/>
      <c r="AN189" s="996" t="n"/>
      <c r="AO189" s="996" t="n"/>
    </row>
    <row r="190">
      <c r="X190" s="996" t="n"/>
      <c r="Y190" s="996" t="n"/>
      <c r="Z190" s="996" t="n"/>
      <c r="AA190" s="996" t="n"/>
      <c r="AB190" s="996" t="n"/>
      <c r="AC190" s="883" t="n"/>
      <c r="AD190" s="613" t="n"/>
      <c r="AE190" s="613" t="n"/>
      <c r="AF190" s="613" t="n"/>
      <c r="AG190" s="402" t="n"/>
      <c r="AH190" s="613" t="n"/>
      <c r="AI190" s="613" t="n"/>
      <c r="AJ190" s="613" t="n"/>
      <c r="AK190" s="613" t="n"/>
      <c r="AL190" s="613" t="n"/>
      <c r="AM190" s="613" t="n"/>
      <c r="AN190" s="996" t="n"/>
      <c r="AO190" s="996" t="n"/>
    </row>
    <row r="191">
      <c r="X191" s="996" t="n"/>
      <c r="Y191" s="996" t="n"/>
      <c r="Z191" s="996" t="n"/>
      <c r="AA191" s="996" t="n"/>
      <c r="AB191" s="996" t="n"/>
      <c r="AC191" s="613" t="n"/>
      <c r="AD191" s="613" t="n"/>
      <c r="AE191" s="613" t="n"/>
      <c r="AF191" s="613" t="n"/>
      <c r="AG191" s="613" t="n"/>
      <c r="AH191" s="613" t="n"/>
      <c r="AI191" s="613" t="n"/>
      <c r="AJ191" s="613" t="n"/>
      <c r="AK191" s="613" t="n"/>
      <c r="AL191" s="613" t="n"/>
      <c r="AM191" s="613" t="n"/>
      <c r="AN191" s="996" t="n"/>
      <c r="AO191" s="996" t="n"/>
    </row>
    <row r="192">
      <c r="X192" s="996" t="n"/>
      <c r="Y192" s="996" t="n"/>
      <c r="Z192" s="996" t="n"/>
      <c r="AA192" s="996" t="n"/>
      <c r="AB192" s="996" t="n"/>
      <c r="AC192" s="613" t="n"/>
      <c r="AD192" s="613" t="n"/>
      <c r="AE192" s="613" t="n"/>
      <c r="AF192" s="613" t="n"/>
      <c r="AG192" s="613" t="n"/>
      <c r="AH192" s="613" t="n"/>
      <c r="AI192" s="613" t="n"/>
      <c r="AJ192" s="613" t="n"/>
      <c r="AK192" s="613" t="n"/>
      <c r="AL192" s="613" t="n"/>
      <c r="AM192" s="613" t="n"/>
      <c r="AN192" s="996" t="n"/>
      <c r="AO192" s="996" t="n"/>
    </row>
    <row r="193">
      <c r="X193" s="996" t="n"/>
      <c r="Y193" s="996" t="n"/>
      <c r="Z193" s="996" t="n"/>
      <c r="AA193" s="996" t="n"/>
      <c r="AB193" s="996" t="n"/>
      <c r="AC193" s="613" t="n"/>
      <c r="AD193" s="613" t="n"/>
      <c r="AE193" s="613" t="n"/>
      <c r="AF193" s="613" t="n"/>
      <c r="AG193" s="613" t="n"/>
      <c r="AH193" s="613" t="n"/>
      <c r="AI193" s="613" t="n"/>
      <c r="AJ193" s="613" t="n"/>
      <c r="AK193" s="613" t="n"/>
      <c r="AL193" s="613" t="n"/>
      <c r="AM193" s="613" t="n"/>
      <c r="AN193" s="996" t="n"/>
      <c r="AO193" s="996" t="n"/>
    </row>
    <row r="194">
      <c r="X194" s="996" t="n"/>
      <c r="Y194" s="996" t="n"/>
      <c r="Z194" s="996" t="n"/>
      <c r="AA194" s="996" t="n"/>
      <c r="AB194" s="996" t="n"/>
      <c r="AC194" s="613" t="n"/>
      <c r="AD194" s="613" t="n"/>
      <c r="AE194" s="613" t="n"/>
      <c r="AF194" s="613" t="n"/>
      <c r="AG194" s="613" t="n"/>
      <c r="AH194" s="613" t="n"/>
      <c r="AI194" s="613" t="n"/>
      <c r="AJ194" s="613" t="n"/>
      <c r="AK194" s="613" t="n"/>
      <c r="AL194" s="613" t="n"/>
      <c r="AM194" s="613" t="n"/>
      <c r="AN194" s="996" t="n"/>
      <c r="AO194" s="996" t="n"/>
    </row>
    <row r="195">
      <c r="X195" s="996" t="n"/>
      <c r="Y195" s="996" t="n"/>
      <c r="Z195" s="996" t="n"/>
      <c r="AA195" s="996" t="n"/>
      <c r="AB195" s="996" t="n"/>
      <c r="AC195" s="613" t="n"/>
      <c r="AD195" s="613" t="n"/>
      <c r="AF195" s="613" t="n"/>
      <c r="AG195" s="613" t="n"/>
      <c r="AH195" s="613" t="n"/>
      <c r="AI195" s="613" t="n"/>
      <c r="AJ195" s="613" t="n"/>
      <c r="AK195" s="613" t="n"/>
      <c r="AL195" s="613" t="n"/>
      <c r="AM195" s="613" t="n"/>
      <c r="AN195" s="996" t="n"/>
      <c r="AO195" s="996" t="n"/>
    </row>
    <row r="196">
      <c r="X196" s="996" t="n"/>
      <c r="Y196" s="996" t="n"/>
      <c r="Z196" s="996" t="n"/>
      <c r="AA196" s="996" t="n"/>
      <c r="AB196" s="996" t="n"/>
      <c r="AC196" s="613" t="n"/>
      <c r="AD196" s="402" t="n"/>
      <c r="AE196" s="613" t="n"/>
      <c r="AF196" s="613" t="n"/>
      <c r="AG196" s="613" t="n"/>
      <c r="AH196" s="613" t="n"/>
      <c r="AI196" s="613" t="n"/>
      <c r="AJ196" s="613" t="n"/>
      <c r="AK196" s="613" t="n"/>
      <c r="AL196" s="613" t="n"/>
      <c r="AM196" s="613" t="n"/>
      <c r="AN196" s="996" t="n"/>
      <c r="AO196" s="996" t="n"/>
    </row>
    <row r="197">
      <c r="X197" s="996" t="n"/>
      <c r="Y197" s="996" t="n"/>
      <c r="Z197" s="996" t="n"/>
      <c r="AA197" s="996" t="n"/>
      <c r="AB197" s="996" t="n"/>
      <c r="AC197" s="613" t="n"/>
      <c r="AD197" s="402" t="n"/>
      <c r="AE197" s="613" t="n"/>
      <c r="AF197" s="613" t="n"/>
      <c r="AG197" s="613" t="n"/>
      <c r="AH197" s="613" t="n"/>
      <c r="AI197" s="613" t="n"/>
      <c r="AJ197" s="613" t="n"/>
      <c r="AK197" s="613" t="n"/>
      <c r="AL197" s="613" t="n"/>
      <c r="AM197" s="613" t="n"/>
      <c r="AN197" s="996" t="n"/>
      <c r="AO197" s="996" t="n"/>
    </row>
    <row r="198">
      <c r="X198" s="996" t="n"/>
      <c r="Y198" s="996" t="n"/>
      <c r="Z198" s="996" t="n"/>
      <c r="AA198" s="996" t="n"/>
      <c r="AB198" s="996" t="n"/>
      <c r="AC198" s="613" t="n"/>
      <c r="AD198" s="402" t="n"/>
      <c r="AE198" s="613" t="n"/>
      <c r="AF198" s="613" t="n"/>
      <c r="AG198" s="613" t="n"/>
      <c r="AH198" s="613" t="n"/>
      <c r="AI198" s="613" t="n"/>
      <c r="AJ198" s="613" t="n"/>
      <c r="AK198" s="613" t="n"/>
      <c r="AL198" s="613" t="n"/>
      <c r="AM198" s="613" t="n"/>
      <c r="AN198" s="996" t="n"/>
      <c r="AO198" s="996" t="n"/>
    </row>
    <row r="199">
      <c r="X199" s="996" t="n"/>
      <c r="Y199" s="996" t="n"/>
      <c r="Z199" s="996" t="n"/>
      <c r="AA199" s="996" t="n"/>
      <c r="AB199" s="996" t="n"/>
      <c r="AC199" s="613" t="n"/>
      <c r="AD199" s="613" t="n"/>
      <c r="AE199" s="613" t="n"/>
      <c r="AF199" s="613" t="n"/>
      <c r="AG199" s="613" t="n"/>
      <c r="AH199" s="613" t="n"/>
      <c r="AI199" s="613" t="n"/>
      <c r="AJ199" s="613" t="n"/>
      <c r="AK199" s="613" t="n"/>
      <c r="AL199" s="613" t="n"/>
      <c r="AM199" s="613" t="n"/>
      <c r="AN199" s="996" t="n"/>
      <c r="AO199" s="996" t="n"/>
    </row>
    <row r="200">
      <c r="X200" s="996" t="n"/>
      <c r="Y200" s="996" t="n"/>
      <c r="Z200" s="996" t="n"/>
      <c r="AA200" s="996" t="n"/>
      <c r="AB200" s="996" t="n"/>
      <c r="AC200" s="613" t="n"/>
      <c r="AD200" s="613" t="n"/>
      <c r="AE200" s="613" t="n"/>
      <c r="AF200" s="613" t="n"/>
      <c r="AG200" s="613" t="n"/>
      <c r="AH200" s="613" t="n"/>
      <c r="AI200" s="613" t="n"/>
      <c r="AJ200" s="613" t="n"/>
      <c r="AK200" s="613" t="n"/>
      <c r="AL200" s="613" t="n"/>
      <c r="AM200" s="613" t="n"/>
      <c r="AN200" s="996" t="n"/>
      <c r="AO200" s="996" t="n"/>
    </row>
    <row r="201">
      <c r="X201" s="549">
        <f>SUM(X187:X198)</f>
        <v/>
      </c>
      <c r="Y201" s="996" t="n"/>
      <c r="Z201" s="996" t="n"/>
      <c r="AA201" s="996" t="n"/>
      <c r="AB201" s="996" t="n"/>
      <c r="AC201" s="996" t="n"/>
      <c r="AD201" s="996" t="n"/>
      <c r="AE201" s="996" t="n"/>
      <c r="AF201" s="996" t="n"/>
      <c r="AG201" s="996" t="n"/>
      <c r="AH201" s="996" t="n"/>
      <c r="AI201" s="996" t="n"/>
      <c r="AJ201" s="996" t="n"/>
      <c r="AK201" s="996" t="n"/>
      <c r="AL201" s="996" t="n"/>
      <c r="AM201" s="996" t="n"/>
      <c r="AN201" s="996" t="n"/>
      <c r="AO201" s="996" t="n"/>
    </row>
    <row r="202">
      <c r="X202" s="996" t="n"/>
      <c r="Y202" s="996" t="n"/>
      <c r="Z202" s="996" t="n"/>
      <c r="AA202" s="996" t="n"/>
      <c r="AB202" s="996" t="n"/>
      <c r="AC202" s="996" t="n"/>
      <c r="AD202" s="996" t="n"/>
      <c r="AE202" s="996" t="n"/>
      <c r="AF202" s="996" t="n"/>
      <c r="AG202" s="996" t="n"/>
      <c r="AH202" s="996" t="n"/>
      <c r="AI202" s="996" t="n"/>
      <c r="AJ202" s="996" t="n"/>
      <c r="AK202" s="996" t="n"/>
      <c r="AL202" s="996" t="n"/>
      <c r="AM202" s="996" t="n"/>
      <c r="AN202" s="996" t="n"/>
      <c r="AO202" s="996" t="n"/>
    </row>
    <row r="203" hidden="1" s="985">
      <c r="I203" s="989">
        <f>I202/15</f>
        <v/>
      </c>
      <c r="X203" s="996" t="n"/>
      <c r="Y203" s="996" t="n"/>
      <c r="Z203" s="996" t="n"/>
      <c r="AA203" s="996" t="n"/>
      <c r="AB203" s="996" t="n"/>
      <c r="AC203" s="996" t="n"/>
      <c r="AD203" s="996" t="n"/>
      <c r="AE203" s="996" t="n"/>
      <c r="AF203" s="996" t="n"/>
      <c r="AG203" s="996" t="n"/>
      <c r="AH203" s="996" t="n"/>
      <c r="AI203" s="996" t="n"/>
      <c r="AJ203" s="996" t="n"/>
      <c r="AK203" s="996" t="n"/>
      <c r="AL203" s="996" t="n"/>
      <c r="AM203" s="996" t="n"/>
      <c r="AN203" s="996" t="n"/>
      <c r="AO203" s="996" t="n"/>
    </row>
    <row r="204">
      <c r="S204" s="996" t="n"/>
      <c r="T204" s="996" t="n"/>
      <c r="U204" s="996">
        <f>U168-#REF!</f>
        <v/>
      </c>
      <c r="V204" s="996" t="n"/>
      <c r="W204" s="996" t="n"/>
      <c r="X204" s="996" t="n"/>
      <c r="Y204" s="996" t="n"/>
      <c r="Z204" s="996" t="n"/>
      <c r="AA204" s="996" t="n"/>
      <c r="AB204" s="996" t="n"/>
      <c r="AC204" s="996" t="n"/>
      <c r="AD204" s="996" t="n"/>
      <c r="AE204" s="996" t="n"/>
      <c r="AF204" s="996" t="n"/>
      <c r="AG204" s="996" t="n"/>
      <c r="AH204" s="996" t="n"/>
      <c r="AI204" s="996" t="n"/>
      <c r="AJ204" s="996" t="n"/>
      <c r="AK204" s="996" t="n"/>
      <c r="AL204" s="996" t="n"/>
      <c r="AM204" s="996" t="n"/>
      <c r="AN204" s="871" t="n"/>
      <c r="AO204" s="996" t="n"/>
    </row>
    <row r="205">
      <c r="S205" s="996" t="n"/>
      <c r="T205" s="996" t="inlineStr">
        <is>
          <t>MP</t>
        </is>
      </c>
      <c r="U205" s="996">
        <f>V205*U13</f>
        <v/>
      </c>
      <c r="V205" s="1242">
        <f>#REF!-W43</f>
        <v/>
      </c>
      <c r="W205" s="996" t="n"/>
      <c r="X205" s="996" t="n"/>
      <c r="Y205" s="996" t="n"/>
      <c r="Z205" s="996" t="n"/>
      <c r="AA205" s="996" t="n"/>
      <c r="AB205" s="996" t="n"/>
      <c r="AC205" s="996" t="n"/>
      <c r="AD205" s="996" t="n"/>
      <c r="AE205" s="996" t="n"/>
      <c r="AF205" s="996" t="n"/>
      <c r="AG205" s="996" t="n"/>
      <c r="AH205" s="996" t="n"/>
      <c r="AI205" s="996" t="n"/>
      <c r="AJ205" s="996" t="n"/>
      <c r="AK205" s="996" t="n"/>
      <c r="AL205" s="996" t="n"/>
      <c r="AM205" s="402" t="n"/>
      <c r="AN205" s="989" t="n"/>
    </row>
    <row r="206">
      <c r="S206" s="996" t="n"/>
      <c r="T206" s="996" t="inlineStr">
        <is>
          <t>ADMON</t>
        </is>
      </c>
      <c r="U206" s="996">
        <f>#REF!-U148</f>
        <v/>
      </c>
      <c r="V206" s="996" t="n"/>
      <c r="W206" s="996" t="n"/>
      <c r="X206" s="996" t="n"/>
      <c r="Y206" s="996" t="n"/>
      <c r="Z206" s="996" t="n"/>
      <c r="AA206" s="996" t="n"/>
      <c r="AB206" s="996" t="n"/>
      <c r="AC206" s="996" t="n"/>
      <c r="AD206" s="996" t="n"/>
      <c r="AE206" s="996" t="n"/>
      <c r="AF206" s="996" t="n"/>
      <c r="AG206" s="996" t="n"/>
      <c r="AH206" s="996" t="n"/>
      <c r="AI206" s="996" t="n"/>
      <c r="AJ206" s="996" t="n"/>
      <c r="AK206" s="996" t="n"/>
      <c r="AL206" s="996" t="n"/>
    </row>
    <row r="207">
      <c r="S207" s="996" t="n"/>
      <c r="T207" s="996" t="inlineStr">
        <is>
          <t>OPERATIVO</t>
        </is>
      </c>
      <c r="U207" s="996">
        <f>#REF!-U85</f>
        <v/>
      </c>
      <c r="V207" s="996" t="n"/>
      <c r="W207" s="996" t="n"/>
      <c r="X207" s="996" t="n"/>
      <c r="Y207" s="996" t="n"/>
      <c r="Z207" s="996" t="n"/>
      <c r="AA207" s="996" t="n"/>
      <c r="AB207" s="996" t="n"/>
      <c r="AC207" s="996" t="n"/>
      <c r="AD207" s="996" t="n"/>
      <c r="AE207" s="996" t="n"/>
      <c r="AF207" s="996" t="n"/>
      <c r="AG207" s="996" t="n"/>
      <c r="AH207" s="996" t="n"/>
      <c r="AI207" s="996" t="n"/>
      <c r="AJ207" s="996" t="n"/>
      <c r="AK207" s="996" t="n"/>
      <c r="AL207" s="996" t="n"/>
      <c r="AM207" s="996">
        <f>AM204-'COMEDORES PALMIRA'!AM167</f>
        <v/>
      </c>
    </row>
    <row r="208">
      <c r="S208" s="996" t="n"/>
      <c r="T208" s="996" t="inlineStr">
        <is>
          <t>INV COM</t>
        </is>
      </c>
      <c r="U208" s="996" t="n">
        <v>56000000</v>
      </c>
      <c r="V208" s="996" t="n"/>
      <c r="W208" s="996" t="n"/>
      <c r="X208" s="996" t="n"/>
      <c r="Y208" s="996" t="n"/>
      <c r="Z208" s="996" t="n"/>
      <c r="AA208" s="996" t="n"/>
      <c r="AB208" s="996" t="n"/>
      <c r="AC208" s="996" t="n"/>
      <c r="AD208" s="996" t="n"/>
      <c r="AE208" s="996" t="n"/>
      <c r="AF208" s="996" t="n"/>
      <c r="AG208" s="996" t="n"/>
      <c r="AH208" s="996" t="n"/>
      <c r="AI208" s="996" t="n"/>
      <c r="AJ208" s="996" t="n"/>
      <c r="AK208" s="996" t="n"/>
      <c r="AL208" s="996" t="n"/>
      <c r="AM208" s="996" t="n"/>
    </row>
    <row r="209">
      <c r="S209" s="996" t="n"/>
      <c r="T209" s="996" t="inlineStr">
        <is>
          <t>TRTANSP</t>
        </is>
      </c>
      <c r="U209" s="996" t="n">
        <v>44000000</v>
      </c>
      <c r="V209" s="996" t="n"/>
      <c r="W209" s="996" t="n"/>
      <c r="X209" s="996" t="n"/>
      <c r="Y209" s="996" t="n"/>
      <c r="Z209" s="996" t="n"/>
      <c r="AA209" s="996" t="n"/>
      <c r="AB209" s="996" t="n"/>
      <c r="AC209" s="996" t="n"/>
      <c r="AD209" s="996" t="n"/>
      <c r="AE209" s="996" t="n"/>
      <c r="AF209" s="996" t="n"/>
      <c r="AG209" s="996" t="n"/>
      <c r="AH209" s="996" t="n"/>
      <c r="AI209" s="996" t="n"/>
      <c r="AJ209" s="996" t="n"/>
      <c r="AK209" s="996" t="n"/>
      <c r="AL209" s="996" t="n"/>
      <c r="AM209" s="996" t="n"/>
    </row>
    <row r="210">
      <c r="S210" s="996" t="n"/>
      <c r="T210" s="996" t="inlineStr">
        <is>
          <t>MANIP</t>
        </is>
      </c>
      <c r="U210" s="996" t="n">
        <v>74000000</v>
      </c>
      <c r="V210" s="996" t="n"/>
      <c r="W210" s="996" t="n"/>
      <c r="X210" s="996" t="n"/>
      <c r="Y210" s="996" t="n"/>
      <c r="Z210" s="996" t="n"/>
      <c r="AA210" s="996" t="n"/>
      <c r="AB210" s="996" t="n"/>
      <c r="AC210" s="996" t="n"/>
      <c r="AD210" s="996" t="n"/>
      <c r="AE210" s="996" t="n"/>
      <c r="AF210" s="996" t="n"/>
      <c r="AG210" s="996" t="n"/>
      <c r="AH210" s="996" t="n"/>
      <c r="AI210" s="996" t="n"/>
      <c r="AJ210" s="996" t="n"/>
      <c r="AK210" s="996" t="n"/>
      <c r="AL210" s="996" t="n"/>
      <c r="AM210" s="996" t="n"/>
    </row>
    <row r="211">
      <c r="S211" s="996" t="n"/>
      <c r="T211" s="996" t="inlineStr">
        <is>
          <t>DOT Y EX</t>
        </is>
      </c>
      <c r="U211" s="996" t="n">
        <v>43000000</v>
      </c>
      <c r="V211" s="996" t="n"/>
      <c r="W211" s="996" t="n"/>
      <c r="X211" s="996" t="n"/>
      <c r="Y211" s="996" t="n"/>
      <c r="Z211" s="996" t="n"/>
      <c r="AA211" s="996" t="n"/>
      <c r="AB211" s="996" t="n"/>
      <c r="AC211" s="996" t="n"/>
      <c r="AD211" s="996" t="n"/>
      <c r="AE211" s="996" t="n"/>
      <c r="AF211" s="996" t="n"/>
      <c r="AG211" s="996" t="n"/>
      <c r="AH211" s="996" t="n"/>
      <c r="AI211" s="996" t="n"/>
      <c r="AJ211" s="996" t="n"/>
      <c r="AK211" s="996" t="n"/>
      <c r="AL211" s="996" t="n"/>
      <c r="AM211" s="996" t="n"/>
    </row>
    <row r="212">
      <c r="S212" s="996" t="n"/>
      <c r="T212" s="996" t="n"/>
      <c r="U212" s="996" t="n"/>
      <c r="V212" s="996" t="n"/>
      <c r="W212" s="996" t="n"/>
      <c r="X212" s="996" t="n"/>
      <c r="Y212" s="996" t="n"/>
      <c r="Z212" s="996" t="n"/>
      <c r="AA212" s="996" t="n"/>
      <c r="AB212" s="996" t="n"/>
      <c r="AC212" s="996" t="n"/>
      <c r="AD212" s="996" t="n"/>
      <c r="AE212" s="996" t="n"/>
      <c r="AF212" s="996" t="n"/>
      <c r="AG212" s="996" t="n"/>
      <c r="AH212" s="996" t="n"/>
      <c r="AI212" s="996" t="n"/>
      <c r="AJ212" s="996" t="n"/>
      <c r="AK212" s="996" t="n"/>
      <c r="AL212" s="996" t="n"/>
      <c r="AM212" s="996" t="n"/>
    </row>
    <row r="213">
      <c r="S213" s="996" t="n"/>
      <c r="T213" s="996" t="n"/>
      <c r="U213" s="996">
        <f>SUM(U205:U212)</f>
        <v/>
      </c>
      <c r="V213" s="996" t="n"/>
      <c r="W213" s="996" t="n"/>
      <c r="X213" s="996" t="n"/>
      <c r="Y213" s="996" t="n"/>
      <c r="Z213" s="996" t="n"/>
      <c r="AA213" s="996" t="n"/>
      <c r="AB213" s="996" t="n"/>
      <c r="AC213" s="996" t="n"/>
      <c r="AD213" s="996" t="n"/>
      <c r="AE213" s="996" t="n"/>
      <c r="AF213" s="996" t="n"/>
      <c r="AG213" s="996" t="n"/>
      <c r="AH213" s="996" t="n"/>
      <c r="AI213" s="996" t="n"/>
      <c r="AJ213" s="996" t="n"/>
      <c r="AK213" s="996" t="n"/>
      <c r="AL213" s="996" t="n"/>
      <c r="AM213" s="996" t="n"/>
    </row>
    <row r="214">
      <c r="S214" s="996" t="n"/>
      <c r="T214" s="996" t="n"/>
      <c r="U214" s="996" t="n"/>
      <c r="V214" s="996" t="n"/>
      <c r="W214" s="996" t="n"/>
      <c r="X214" s="996" t="n"/>
      <c r="Y214" s="996" t="n"/>
      <c r="Z214" s="996" t="n"/>
      <c r="AA214" s="996" t="n"/>
      <c r="AB214" s="996" t="n"/>
      <c r="AC214" s="996" t="n"/>
      <c r="AD214" s="996" t="n"/>
      <c r="AE214" s="996" t="n"/>
      <c r="AF214" s="996" t="n"/>
      <c r="AG214" s="996" t="n"/>
      <c r="AH214" s="996" t="n"/>
      <c r="AI214" s="996" t="n"/>
      <c r="AJ214" s="996" t="n"/>
      <c r="AK214" s="996" t="n"/>
      <c r="AL214" s="996" t="n"/>
      <c r="AM214" s="996" t="n"/>
    </row>
  </sheetData>
  <mergeCells count="4">
    <mergeCell ref="C2:AM2"/>
    <mergeCell ref="AN205:AO205"/>
    <mergeCell ref="AN183:AO183"/>
    <mergeCell ref="AN186:AO186"/>
  </mergeCells>
  <pageMargins left="0.7" right="0.7" top="0.75" bottom="0.75" header="0.3" footer="0.3"/>
  <pageSetup orientation="landscape" scale="40"/>
</worksheet>
</file>

<file path=xl/worksheets/sheet17.xml><?xml version="1.0" encoding="utf-8"?>
<worksheet xmlns="http://schemas.openxmlformats.org/spreadsheetml/2006/main">
  <sheetPr codeName="Hoja25">
    <outlinePr summaryBelow="1" summaryRight="1"/>
    <pageSetUpPr/>
  </sheetPr>
  <dimension ref="A2:AR147"/>
  <sheetViews>
    <sheetView zoomScaleNormal="100" workbookViewId="0">
      <pane xSplit="2" ySplit="13" topLeftCell="C117" activePane="bottomRight" state="frozen"/>
      <selection activeCell="AJ155" sqref="U155:AJ155"/>
      <selection pane="topRight" activeCell="AJ155" sqref="U155:AJ155"/>
      <selection pane="bottomLeft" activeCell="AJ155" sqref="U155:AJ155"/>
      <selection pane="bottomRight" activeCell="I104" sqref="I104"/>
    </sheetView>
  </sheetViews>
  <sheetFormatPr baseColWidth="10" defaultColWidth="11.44140625" defaultRowHeight="10.2" outlineLevelRow="1"/>
  <cols>
    <col width="8.33203125" customWidth="1" style="226" min="1" max="1"/>
    <col width="41.5546875" customWidth="1" style="2" min="2" max="2"/>
    <col width="14.44140625" customWidth="1" style="989" min="3" max="3"/>
    <col width="8.6640625" customWidth="1" style="989" min="4" max="4"/>
    <col width="8.6640625" customWidth="1" style="1033" min="5" max="5"/>
    <col width="14.44140625" customWidth="1" style="989" min="6" max="6"/>
    <col width="8.6640625" customWidth="1" style="989" min="7" max="7"/>
    <col width="8.6640625" customWidth="1" style="1033" min="8" max="8"/>
    <col width="14.44140625" customWidth="1" style="989" min="9" max="9"/>
    <col width="8.6640625" customWidth="1" style="989" min="10" max="10"/>
    <col width="8.6640625" customWidth="1" style="1033" min="11" max="11"/>
    <col width="14.44140625" customWidth="1" style="989" min="12" max="12"/>
    <col width="8.6640625" customWidth="1" style="989" min="13" max="13"/>
    <col width="8.6640625" customWidth="1" style="1033" min="14" max="14"/>
    <col width="14.44140625" customWidth="1" style="989" min="15" max="15"/>
    <col width="8.6640625" customWidth="1" style="989" min="16" max="16"/>
    <col width="8.6640625" customWidth="1" style="1033" min="17" max="17"/>
    <col width="14.44140625" customWidth="1" style="989" min="18" max="18"/>
    <col width="8.6640625" customWidth="1" style="989" min="19" max="19"/>
    <col width="8.6640625" customWidth="1" style="1033" min="20" max="20"/>
    <col width="14.44140625" customWidth="1" style="989" min="21" max="21"/>
    <col width="8.6640625" customWidth="1" style="989" min="22" max="22"/>
    <col width="8.6640625" customWidth="1" style="1033" min="23" max="23"/>
    <col width="14.44140625" customWidth="1" style="989" min="24" max="24"/>
    <col width="8.6640625" customWidth="1" style="989" min="25" max="25"/>
    <col width="8.6640625" customWidth="1" style="1033" min="26" max="26"/>
    <col width="14.44140625" customWidth="1" style="989" min="27" max="27"/>
    <col width="8.6640625" customWidth="1" style="989" min="28" max="28"/>
    <col width="8.6640625" customWidth="1" style="1033" min="29" max="29"/>
    <col width="14.44140625" customWidth="1" style="989" min="30" max="30"/>
    <col width="8.6640625" customWidth="1" style="989" min="31" max="31"/>
    <col width="8.6640625" customWidth="1" style="1033" min="32" max="32"/>
    <col width="14.44140625" customWidth="1" style="989" min="33" max="33"/>
    <col width="8.6640625" customWidth="1" style="989" min="34" max="34"/>
    <col width="8.6640625" customWidth="1" style="1033" min="35" max="35"/>
    <col width="14.44140625" customWidth="1" style="989" min="36" max="36"/>
    <col width="8.6640625" customWidth="1" style="989" min="37" max="38"/>
    <col width="17.88671875" customWidth="1" style="989" min="39" max="39"/>
    <col width="11.33203125" customWidth="1" style="989" min="40" max="40"/>
    <col width="8.6640625" customWidth="1" style="1033" min="41" max="41"/>
    <col width="6.6640625" customWidth="1" style="2" min="42" max="42"/>
    <col width="11.44140625" customWidth="1" style="2" min="43" max="47"/>
    <col width="11.44140625" customWidth="1" style="2" min="48" max="16384"/>
  </cols>
  <sheetData>
    <row r="2" ht="24.9" customHeight="1" s="985" thickBot="1">
      <c r="B2" s="236" t="inlineStr">
        <is>
          <t xml:space="preserve">CORPORACIÓN HACIA UN VALLE SOLIDARIO </t>
        </is>
      </c>
      <c r="C2" s="987" t="inlineStr">
        <is>
          <t>PRESUPUESTO RECREARTE 2026</t>
        </is>
      </c>
      <c r="D2" s="988" t="n"/>
      <c r="E2" s="988" t="n"/>
      <c r="F2" s="988" t="n"/>
      <c r="G2" s="988" t="n"/>
      <c r="H2" s="988" t="n"/>
      <c r="I2" s="988" t="n"/>
      <c r="J2" s="988" t="n"/>
      <c r="K2" s="988" t="n"/>
      <c r="L2" s="988" t="n"/>
      <c r="M2" s="988" t="n"/>
      <c r="N2" s="988" t="n"/>
      <c r="O2" s="988" t="n"/>
      <c r="P2" s="988" t="n"/>
      <c r="Q2" s="988" t="n"/>
      <c r="R2" s="988" t="n"/>
      <c r="S2" s="988" t="n"/>
      <c r="T2" s="988" t="n"/>
      <c r="U2" s="988" t="n"/>
      <c r="V2" s="988" t="n"/>
      <c r="W2" s="988" t="n"/>
      <c r="X2" s="988" t="n"/>
      <c r="Y2" s="988" t="n"/>
      <c r="Z2" s="988" t="n"/>
      <c r="AA2" s="988" t="n"/>
      <c r="AB2" s="988" t="n"/>
      <c r="AC2" s="988" t="n"/>
      <c r="AD2" s="988" t="n"/>
      <c r="AE2" s="988" t="n"/>
      <c r="AF2" s="988" t="n"/>
      <c r="AG2" s="988" t="n"/>
      <c r="AH2" s="988" t="n"/>
      <c r="AI2" s="988" t="n"/>
      <c r="AJ2" s="988" t="n"/>
      <c r="AK2" s="988" t="n"/>
      <c r="AL2" s="988" t="n"/>
      <c r="AM2" s="988" t="n"/>
      <c r="AN2" s="236" t="n"/>
      <c r="AO2" s="1034" t="n"/>
    </row>
    <row r="3" ht="21.75" customHeight="1" s="985" thickBot="1" thickTop="1">
      <c r="B3" s="523" t="inlineStr">
        <is>
          <t xml:space="preserve">DIAS DE ATENCIÓN </t>
        </is>
      </c>
      <c r="C3" s="537" t="n"/>
      <c r="D3" s="480" t="n"/>
      <c r="E3" s="1035" t="n"/>
      <c r="F3" s="537" t="n"/>
      <c r="G3" s="480" t="n"/>
      <c r="H3" s="1035" t="n"/>
      <c r="I3" s="479" t="n"/>
      <c r="J3" s="480" t="n"/>
      <c r="K3" s="1035" t="n"/>
      <c r="L3" s="479" t="n"/>
      <c r="M3" s="480" t="n"/>
      <c r="N3" s="1035" t="n"/>
      <c r="O3" s="479" t="n"/>
      <c r="P3" s="480" t="n"/>
      <c r="Q3" s="1035" t="n"/>
      <c r="R3" s="479" t="n"/>
      <c r="S3" s="480" t="n"/>
      <c r="T3" s="1035" t="n"/>
      <c r="U3" s="479" t="n"/>
      <c r="V3" s="480" t="n"/>
      <c r="W3" s="1035" t="n"/>
      <c r="X3" s="479" t="n"/>
      <c r="Y3" s="480" t="n"/>
      <c r="Z3" s="1035" t="n"/>
      <c r="AA3" s="479" t="n"/>
      <c r="AB3" s="480" t="n"/>
      <c r="AC3" s="1035" t="n"/>
      <c r="AD3" s="479" t="n"/>
      <c r="AE3" s="480" t="n"/>
      <c r="AF3" s="1035" t="n"/>
      <c r="AG3" s="479" t="n"/>
      <c r="AH3" s="480" t="n"/>
      <c r="AI3" s="1035" t="n"/>
      <c r="AJ3" s="479" t="n"/>
      <c r="AK3" s="480" t="n"/>
      <c r="AL3" s="1035" t="n"/>
      <c r="AM3" s="573">
        <f>SUM(F3:AJ3)</f>
        <v/>
      </c>
      <c r="AN3" s="574" t="n"/>
      <c r="AO3" s="1036" t="n"/>
    </row>
    <row r="4" ht="24.75" customFormat="1" customHeight="1" s="215" thickBot="1" thickTop="1">
      <c r="A4" s="227" t="n"/>
      <c r="B4" s="21" t="n"/>
      <c r="C4" s="544" t="inlineStr">
        <is>
          <t>ENE</t>
        </is>
      </c>
      <c r="D4" s="545" t="inlineStr">
        <is>
          <t>x racion</t>
        </is>
      </c>
      <c r="E4" s="1158" t="inlineStr">
        <is>
          <t>%</t>
        </is>
      </c>
      <c r="F4" s="482" t="inlineStr">
        <is>
          <t>FEB</t>
        </is>
      </c>
      <c r="G4" s="483" t="inlineStr">
        <is>
          <t>x racion</t>
        </is>
      </c>
      <c r="H4" s="1037" t="inlineStr">
        <is>
          <t>%</t>
        </is>
      </c>
      <c r="I4" s="482" t="inlineStr">
        <is>
          <t>MAR</t>
        </is>
      </c>
      <c r="J4" s="483" t="inlineStr">
        <is>
          <t>x racion</t>
        </is>
      </c>
      <c r="K4" s="1037" t="inlineStr">
        <is>
          <t>%</t>
        </is>
      </c>
      <c r="L4" s="482" t="inlineStr">
        <is>
          <t>ABR</t>
        </is>
      </c>
      <c r="M4" s="483" t="inlineStr">
        <is>
          <t>x racion</t>
        </is>
      </c>
      <c r="N4" s="1037" t="inlineStr">
        <is>
          <t>%</t>
        </is>
      </c>
      <c r="O4" s="482" t="inlineStr">
        <is>
          <t>MAY</t>
        </is>
      </c>
      <c r="P4" s="483" t="inlineStr">
        <is>
          <t>x racion</t>
        </is>
      </c>
      <c r="Q4" s="1037" t="inlineStr">
        <is>
          <t>%</t>
        </is>
      </c>
      <c r="R4" s="482" t="inlineStr">
        <is>
          <t>JUN</t>
        </is>
      </c>
      <c r="S4" s="483" t="inlineStr">
        <is>
          <t>x racion</t>
        </is>
      </c>
      <c r="T4" s="1037" t="inlineStr">
        <is>
          <t>%</t>
        </is>
      </c>
      <c r="U4" s="482" t="inlineStr">
        <is>
          <t>JUL</t>
        </is>
      </c>
      <c r="V4" s="483" t="inlineStr">
        <is>
          <t>x racion</t>
        </is>
      </c>
      <c r="W4" s="1037" t="inlineStr">
        <is>
          <t>%</t>
        </is>
      </c>
      <c r="X4" s="482" t="inlineStr">
        <is>
          <t>AGO</t>
        </is>
      </c>
      <c r="Y4" s="483" t="inlineStr">
        <is>
          <t>x racion</t>
        </is>
      </c>
      <c r="Z4" s="1037" t="inlineStr">
        <is>
          <t>%</t>
        </is>
      </c>
      <c r="AA4" s="482" t="inlineStr">
        <is>
          <t>SEP</t>
        </is>
      </c>
      <c r="AB4" s="483" t="inlineStr">
        <is>
          <t>x racion</t>
        </is>
      </c>
      <c r="AC4" s="1037" t="inlineStr">
        <is>
          <t>%</t>
        </is>
      </c>
      <c r="AD4" s="482" t="inlineStr">
        <is>
          <t>OCT</t>
        </is>
      </c>
      <c r="AE4" s="483" t="inlineStr">
        <is>
          <t>x racion</t>
        </is>
      </c>
      <c r="AF4" s="1037" t="inlineStr">
        <is>
          <t>%</t>
        </is>
      </c>
      <c r="AG4" s="482" t="inlineStr">
        <is>
          <t>NOV</t>
        </is>
      </c>
      <c r="AH4" s="483" t="inlineStr">
        <is>
          <t>x racion</t>
        </is>
      </c>
      <c r="AI4" s="1037" t="inlineStr">
        <is>
          <t>%</t>
        </is>
      </c>
      <c r="AJ4" s="482" t="inlineStr">
        <is>
          <t>DIC</t>
        </is>
      </c>
      <c r="AK4" s="483" t="inlineStr">
        <is>
          <t>x racion</t>
        </is>
      </c>
      <c r="AL4" s="1037" t="inlineStr">
        <is>
          <t>%</t>
        </is>
      </c>
      <c r="AM4" s="576" t="inlineStr">
        <is>
          <t>ACUMULADO</t>
        </is>
      </c>
      <c r="AN4" s="483" t="inlineStr">
        <is>
          <t>x racion</t>
        </is>
      </c>
      <c r="AO4" s="1038" t="inlineStr">
        <is>
          <t>%</t>
        </is>
      </c>
    </row>
    <row r="5" hidden="1" ht="15" customFormat="1" customHeight="1" s="223" thickTop="1">
      <c r="A5" s="228" t="n"/>
      <c r="B5" s="258" t="inlineStr">
        <is>
          <t>COMPLEMENTO INDUSTRIALIZADO</t>
        </is>
      </c>
      <c r="C5" s="257" t="n"/>
      <c r="D5" s="89" t="n"/>
      <c r="E5" s="1041" t="n"/>
      <c r="F5" s="259" t="n"/>
      <c r="G5" s="260" t="n"/>
      <c r="H5" s="1041" t="n"/>
      <c r="I5" s="259" t="n"/>
      <c r="J5" s="89" t="n"/>
      <c r="K5" s="1041" t="n"/>
      <c r="L5" s="259" t="n"/>
      <c r="M5" s="89" t="n"/>
      <c r="N5" s="1041" t="n"/>
      <c r="O5" s="259" t="n"/>
      <c r="P5" s="89" t="n"/>
      <c r="Q5" s="1041" t="n"/>
      <c r="R5" s="259" t="n"/>
      <c r="S5" s="89" t="n"/>
      <c r="T5" s="1041" t="n"/>
      <c r="U5" s="259" t="n"/>
      <c r="V5" s="89" t="n"/>
      <c r="W5" s="1041" t="n"/>
      <c r="X5" s="259" t="n"/>
      <c r="Y5" s="89" t="n"/>
      <c r="Z5" s="1041" t="n"/>
      <c r="AA5" s="259" t="n"/>
      <c r="AB5" s="89" t="n"/>
      <c r="AC5" s="1041" t="n"/>
      <c r="AD5" s="259" t="n"/>
      <c r="AE5" s="89" t="n"/>
      <c r="AF5" s="1041" t="n"/>
      <c r="AG5" s="259" t="n"/>
      <c r="AH5" s="89" t="n"/>
      <c r="AI5" s="1041" t="n"/>
      <c r="AJ5" s="259" t="n"/>
      <c r="AK5" s="89" t="n"/>
      <c r="AL5" s="87" t="n"/>
      <c r="AM5" s="261">
        <f>C5+F5+I5+L5+O5+R5+U5+X5+AA5+AD5+AG5+AJ5</f>
        <v/>
      </c>
      <c r="AN5" s="89" t="n"/>
      <c r="AO5" s="1042">
        <f>AM5/AM12</f>
        <v/>
      </c>
    </row>
    <row r="6" hidden="1" ht="15" customFormat="1" customHeight="1" s="223">
      <c r="A6" s="228" t="n"/>
      <c r="B6" s="258" t="inlineStr">
        <is>
          <t>COMPLEMENTO PREPARADO</t>
        </is>
      </c>
      <c r="C6" s="25" t="n"/>
      <c r="D6" s="43" t="n"/>
      <c r="E6" s="1045" t="n"/>
      <c r="F6" s="25" t="n"/>
      <c r="G6" s="43" t="n"/>
      <c r="H6" s="1045" t="n"/>
      <c r="I6" s="25" t="n"/>
      <c r="J6" s="43" t="n"/>
      <c r="K6" s="1045" t="n"/>
      <c r="L6" s="25" t="n"/>
      <c r="M6" s="43" t="n"/>
      <c r="N6" s="1045" t="n"/>
      <c r="O6" s="25" t="n"/>
      <c r="P6" s="43" t="n"/>
      <c r="Q6" s="1045" t="n"/>
      <c r="R6" s="25" t="n"/>
      <c r="S6" s="43" t="n"/>
      <c r="T6" s="1045" t="n"/>
      <c r="U6" s="25" t="n"/>
      <c r="V6" s="43" t="n"/>
      <c r="W6" s="1045" t="n"/>
      <c r="X6" s="25" t="n"/>
      <c r="Y6" s="43" t="n"/>
      <c r="Z6" s="1045" t="n"/>
      <c r="AA6" s="25" t="n"/>
      <c r="AB6" s="43" t="n"/>
      <c r="AC6" s="1045" t="n"/>
      <c r="AD6" s="25" t="n"/>
      <c r="AE6" s="43" t="n"/>
      <c r="AF6" s="1045" t="n"/>
      <c r="AG6" s="25" t="n"/>
      <c r="AH6" s="43" t="n"/>
      <c r="AI6" s="1045" t="n"/>
      <c r="AJ6" s="25" t="n"/>
      <c r="AK6" s="43" t="n"/>
      <c r="AL6" s="57" t="n"/>
      <c r="AM6" s="205">
        <f>C6+F6+I6+L6+O6+R6+U6+X6+AA6+AD6+AG6+AJ6</f>
        <v/>
      </c>
      <c r="AN6" s="43" t="n"/>
      <c r="AO6" s="1046">
        <f>AM6/AM12</f>
        <v/>
      </c>
    </row>
    <row r="7" hidden="1" ht="15" customFormat="1" customHeight="1" s="223">
      <c r="A7" s="228" t="n"/>
      <c r="B7" s="258" t="inlineStr">
        <is>
          <t>ALMUERZO JORNADA UNICA</t>
        </is>
      </c>
      <c r="C7" s="25" t="n"/>
      <c r="D7" s="43" t="n"/>
      <c r="E7" s="1045" t="n"/>
      <c r="F7" s="25" t="n"/>
      <c r="G7" s="43" t="n"/>
      <c r="H7" s="1045" t="n"/>
      <c r="I7" s="25" t="n"/>
      <c r="J7" s="43" t="n"/>
      <c r="K7" s="1045" t="n"/>
      <c r="L7" s="25" t="n"/>
      <c r="M7" s="43" t="n"/>
      <c r="N7" s="1045" t="n"/>
      <c r="O7" s="25" t="n"/>
      <c r="P7" s="43" t="n"/>
      <c r="Q7" s="1045" t="n"/>
      <c r="R7" s="25" t="n"/>
      <c r="S7" s="43" t="n"/>
      <c r="T7" s="1045" t="n"/>
      <c r="U7" s="25" t="n"/>
      <c r="V7" s="43" t="n"/>
      <c r="W7" s="1045" t="n"/>
      <c r="X7" s="25" t="n"/>
      <c r="Y7" s="43" t="n"/>
      <c r="Z7" s="1045" t="n"/>
      <c r="AA7" s="25" t="n"/>
      <c r="AB7" s="43" t="n"/>
      <c r="AC7" s="1045" t="n"/>
      <c r="AD7" s="25" t="n"/>
      <c r="AE7" s="43" t="n"/>
      <c r="AF7" s="1045" t="n"/>
      <c r="AG7" s="25" t="n"/>
      <c r="AH7" s="43" t="n"/>
      <c r="AI7" s="1045" t="n"/>
      <c r="AJ7" s="25" t="n"/>
      <c r="AK7" s="43" t="n"/>
      <c r="AL7" s="57" t="n"/>
      <c r="AM7" s="205">
        <f>C7+F7+I7+L7+O7+R7+U7+X7+AA7+AD7+AG7+AJ7</f>
        <v/>
      </c>
      <c r="AN7" s="43" t="n"/>
      <c r="AO7" s="1046">
        <f>AM7/AM12</f>
        <v/>
      </c>
    </row>
    <row r="8" hidden="1" ht="15" customFormat="1" customHeight="1" s="223">
      <c r="A8" s="228" t="n"/>
      <c r="B8" s="258" t="inlineStr">
        <is>
          <t>NOVEDADES</t>
        </is>
      </c>
      <c r="C8" s="74" t="n"/>
      <c r="D8" s="43" t="n"/>
      <c r="E8" s="1045" t="n"/>
      <c r="F8" s="74" t="n"/>
      <c r="G8" s="43" t="n"/>
      <c r="H8" s="1045" t="n"/>
      <c r="I8" s="74" t="n"/>
      <c r="J8" s="43" t="n"/>
      <c r="K8" s="1045" t="n"/>
      <c r="L8" s="74" t="n"/>
      <c r="M8" s="43" t="n"/>
      <c r="N8" s="1045" t="n"/>
      <c r="O8" s="74" t="n"/>
      <c r="P8" s="43" t="n"/>
      <c r="Q8" s="1045" t="n"/>
      <c r="R8" s="74" t="n"/>
      <c r="S8" s="43" t="n"/>
      <c r="T8" s="1045" t="n"/>
      <c r="U8" s="74" t="n"/>
      <c r="V8" s="43" t="n"/>
      <c r="W8" s="1045" t="n"/>
      <c r="X8" s="74" t="n"/>
      <c r="Y8" s="43" t="n"/>
      <c r="Z8" s="1045" t="n"/>
      <c r="AA8" s="74" t="n"/>
      <c r="AB8" s="43" t="n"/>
      <c r="AC8" s="1045" t="n"/>
      <c r="AD8" s="74" t="n"/>
      <c r="AE8" s="43" t="n"/>
      <c r="AF8" s="1045" t="n"/>
      <c r="AG8" s="74" t="n"/>
      <c r="AH8" s="43" t="n"/>
      <c r="AI8" s="1045" t="n"/>
      <c r="AJ8" s="74" t="n"/>
      <c r="AK8" s="43" t="n"/>
      <c r="AL8" s="57" t="n"/>
      <c r="AM8" s="205">
        <f>C8+F8+I8+L8+O8+R8+U8+X8+AA8+AD8+AG8+AJ8</f>
        <v/>
      </c>
      <c r="AN8" s="43" t="n"/>
      <c r="AO8" s="1046" t="n"/>
    </row>
    <row r="9" hidden="1" ht="15" customFormat="1" customHeight="1" s="223">
      <c r="A9" s="228" t="n"/>
      <c r="B9" s="14" t="n"/>
      <c r="C9" s="257" t="n"/>
      <c r="D9" s="89" t="n"/>
      <c r="E9" s="1045" t="n"/>
      <c r="F9" s="74" t="n"/>
      <c r="G9" s="43" t="n"/>
      <c r="H9" s="1045" t="n"/>
      <c r="I9" s="74" t="n"/>
      <c r="J9" s="43" t="n"/>
      <c r="K9" s="1045" t="n"/>
      <c r="L9" s="74" t="n"/>
      <c r="M9" s="43" t="n"/>
      <c r="N9" s="1045" t="n"/>
      <c r="O9" s="74" t="n"/>
      <c r="P9" s="43" t="n"/>
      <c r="Q9" s="1045" t="n"/>
      <c r="R9" s="74" t="n"/>
      <c r="S9" s="43" t="n"/>
      <c r="T9" s="1045" t="n"/>
      <c r="U9" s="74" t="n"/>
      <c r="V9" s="43" t="n"/>
      <c r="W9" s="1045" t="n"/>
      <c r="X9" s="74" t="n"/>
      <c r="Y9" s="43" t="n"/>
      <c r="Z9" s="1045" t="n"/>
      <c r="AA9" s="74" t="n"/>
      <c r="AB9" s="43" t="n"/>
      <c r="AC9" s="1045" t="n"/>
      <c r="AD9" s="74" t="n"/>
      <c r="AE9" s="43" t="n"/>
      <c r="AF9" s="1045" t="n"/>
      <c r="AG9" s="74" t="n"/>
      <c r="AH9" s="43" t="n"/>
      <c r="AI9" s="1045" t="n"/>
      <c r="AJ9" s="74" t="n"/>
      <c r="AK9" s="43" t="n"/>
      <c r="AL9" s="57" t="n"/>
      <c r="AM9" s="205">
        <f>C9+F9+I9+L9+O9+R9+U9+X9+AA9+AD9+AG9+AJ9</f>
        <v/>
      </c>
      <c r="AN9" s="43" t="n"/>
      <c r="AO9" s="1046" t="n"/>
    </row>
    <row r="10" hidden="1" ht="15" customFormat="1" customHeight="1" s="223">
      <c r="A10" s="228" t="n"/>
      <c r="B10" s="14" t="n"/>
      <c r="C10" s="74" t="n"/>
      <c r="D10" s="43" t="n"/>
      <c r="E10" s="1045" t="n"/>
      <c r="F10" s="74" t="n"/>
      <c r="G10" s="43" t="n"/>
      <c r="H10" s="1045" t="n"/>
      <c r="I10" s="74" t="n"/>
      <c r="J10" s="43" t="n"/>
      <c r="K10" s="1045" t="n"/>
      <c r="L10" s="74" t="n"/>
      <c r="M10" s="43" t="n"/>
      <c r="N10" s="1045" t="n"/>
      <c r="O10" s="74" t="n"/>
      <c r="P10" s="43" t="n"/>
      <c r="Q10" s="1045" t="n"/>
      <c r="R10" s="74" t="n"/>
      <c r="S10" s="43" t="n"/>
      <c r="T10" s="1045" t="n"/>
      <c r="U10" s="74" t="n"/>
      <c r="V10" s="43" t="n"/>
      <c r="W10" s="1045" t="n"/>
      <c r="X10" s="74" t="n"/>
      <c r="Y10" s="43" t="n"/>
      <c r="Z10" s="1045" t="n"/>
      <c r="AA10" s="74" t="n"/>
      <c r="AB10" s="43" t="n"/>
      <c r="AC10" s="1045" t="n"/>
      <c r="AD10" s="74" t="n"/>
      <c r="AE10" s="43" t="n"/>
      <c r="AF10" s="1045" t="n"/>
      <c r="AG10" s="74" t="n"/>
      <c r="AH10" s="43" t="n"/>
      <c r="AI10" s="1045" t="n"/>
      <c r="AJ10" s="74" t="n"/>
      <c r="AK10" s="43" t="n"/>
      <c r="AL10" s="57" t="n"/>
      <c r="AM10" s="205">
        <f>C10+F10+I10+L10+O10+R10+U10+X10+AA10+AD10+AG10+AJ10</f>
        <v/>
      </c>
      <c r="AN10" s="43" t="n"/>
      <c r="AO10" s="1046" t="n"/>
    </row>
    <row r="11" hidden="1" ht="15" customFormat="1" customHeight="1" s="223">
      <c r="A11" s="228" t="n"/>
      <c r="B11" s="14" t="n"/>
      <c r="C11" s="102" t="n"/>
      <c r="D11" s="84" t="n"/>
      <c r="E11" s="1047" t="n"/>
      <c r="F11" s="102" t="n"/>
      <c r="G11" s="84" t="n"/>
      <c r="H11" s="1047" t="n"/>
      <c r="I11" s="102" t="n"/>
      <c r="J11" s="84" t="n"/>
      <c r="K11" s="1047" t="n"/>
      <c r="L11" s="102" t="n"/>
      <c r="M11" s="84" t="n"/>
      <c r="N11" s="1047" t="n"/>
      <c r="O11" s="102" t="n"/>
      <c r="P11" s="84" t="n"/>
      <c r="Q11" s="1047" t="n"/>
      <c r="R11" s="102" t="n"/>
      <c r="S11" s="84" t="n"/>
      <c r="T11" s="1047" t="n"/>
      <c r="U11" s="102" t="n"/>
      <c r="V11" s="84" t="n"/>
      <c r="W11" s="1047" t="n"/>
      <c r="X11" s="102" t="n"/>
      <c r="Y11" s="84" t="n"/>
      <c r="Z11" s="1047" t="n"/>
      <c r="AA11" s="102" t="n"/>
      <c r="AB11" s="84" t="n"/>
      <c r="AC11" s="1047" t="n"/>
      <c r="AD11" s="102" t="n"/>
      <c r="AE11" s="84" t="n"/>
      <c r="AF11" s="1047" t="n"/>
      <c r="AG11" s="102" t="n"/>
      <c r="AH11" s="84" t="n"/>
      <c r="AI11" s="1047" t="n"/>
      <c r="AJ11" s="102" t="n"/>
      <c r="AK11" s="84" t="n"/>
      <c r="AL11" s="85" t="n"/>
      <c r="AM11" s="206">
        <f>C11+F11+I11+L11+O11+R11+U11+X11+AA11+AD11+AG11+AJ11</f>
        <v/>
      </c>
      <c r="AN11" s="84" t="n"/>
      <c r="AO11" s="1048" t="n"/>
    </row>
    <row r="12" hidden="1" ht="15" customFormat="1" customHeight="1" s="223">
      <c r="A12" s="228" t="n"/>
      <c r="B12" s="15" t="inlineStr">
        <is>
          <t>TOTAL RACIONES</t>
        </is>
      </c>
      <c r="C12" s="46">
        <f>SUM(C5:C11)</f>
        <v/>
      </c>
      <c r="D12" s="47" t="n"/>
      <c r="E12" s="1049" t="n"/>
      <c r="F12" s="46">
        <f>SUM(F5:F11)</f>
        <v/>
      </c>
      <c r="G12" s="47" t="n"/>
      <c r="H12" s="1049" t="n"/>
      <c r="I12" s="46">
        <f>SUM(I5:I11)</f>
        <v/>
      </c>
      <c r="J12" s="47" t="n"/>
      <c r="K12" s="1049" t="n"/>
      <c r="L12" s="46">
        <f>SUM(L5:L11)</f>
        <v/>
      </c>
      <c r="M12" s="47" t="n"/>
      <c r="N12" s="1049" t="n"/>
      <c r="O12" s="46">
        <f>SUM(O5:O11)</f>
        <v/>
      </c>
      <c r="P12" s="47" t="n"/>
      <c r="Q12" s="1049" t="n"/>
      <c r="R12" s="46">
        <f>SUM(R5:R11)</f>
        <v/>
      </c>
      <c r="S12" s="47" t="n"/>
      <c r="T12" s="1049" t="n"/>
      <c r="U12" s="46">
        <f>SUM(U5:U11)</f>
        <v/>
      </c>
      <c r="V12" s="47" t="n"/>
      <c r="W12" s="1049" t="n"/>
      <c r="X12" s="46">
        <f>SUM(X5:X11)</f>
        <v/>
      </c>
      <c r="Y12" s="47" t="n"/>
      <c r="Z12" s="1049" t="n"/>
      <c r="AA12" s="46">
        <f>SUM(AA5:AA11)</f>
        <v/>
      </c>
      <c r="AB12" s="47" t="n"/>
      <c r="AC12" s="1049" t="n"/>
      <c r="AD12" s="46">
        <f>SUM(AD5:AD11)</f>
        <v/>
      </c>
      <c r="AE12" s="47" t="n"/>
      <c r="AF12" s="1049" t="n"/>
      <c r="AG12" s="46">
        <f>SUM(AG5:AG11)</f>
        <v/>
      </c>
      <c r="AH12" s="47" t="n"/>
      <c r="AI12" s="1049" t="n"/>
      <c r="AJ12" s="46">
        <f>SUM(AJ5:AJ11)</f>
        <v/>
      </c>
      <c r="AK12" s="47" t="n"/>
      <c r="AL12" s="59" t="n"/>
      <c r="AM12" s="207">
        <f>C12+F12+I12+L12+O12+R12+U12+X12+AA12+AD12+AG12+AJ12</f>
        <v/>
      </c>
      <c r="AN12" s="47" t="n"/>
      <c r="AO12" s="1050" t="n"/>
    </row>
    <row r="13" hidden="1" ht="15" customHeight="1" s="985">
      <c r="B13" s="19" t="inlineStr">
        <is>
          <t>INGRESOS BRUTOS</t>
        </is>
      </c>
      <c r="C13" s="48">
        <f>C14+C23</f>
        <v/>
      </c>
      <c r="D13" s="10" t="n"/>
      <c r="E13" s="1243" t="n"/>
      <c r="F13" s="48">
        <f>F14+F23</f>
        <v/>
      </c>
      <c r="G13" s="10" t="n"/>
      <c r="H13" s="1243" t="n"/>
      <c r="I13" s="48">
        <f>I14+I23</f>
        <v/>
      </c>
      <c r="J13" s="10" t="n"/>
      <c r="K13" s="1243" t="n"/>
      <c r="L13" s="48">
        <f>L14+L23</f>
        <v/>
      </c>
      <c r="M13" s="10" t="n"/>
      <c r="N13" s="1243" t="n"/>
      <c r="O13" s="48">
        <f>O14+O23</f>
        <v/>
      </c>
      <c r="P13" s="10" t="n"/>
      <c r="Q13" s="1243" t="n"/>
      <c r="R13" s="48">
        <f>R14+R23</f>
        <v/>
      </c>
      <c r="S13" s="10" t="n"/>
      <c r="T13" s="1243" t="n"/>
      <c r="U13" s="48">
        <f>U14+U23</f>
        <v/>
      </c>
      <c r="V13" s="10" t="n"/>
      <c r="W13" s="1243" t="n"/>
      <c r="X13" s="48">
        <f>X14+X23</f>
        <v/>
      </c>
      <c r="Y13" s="10" t="n"/>
      <c r="Z13" s="1243" t="n"/>
      <c r="AA13" s="48">
        <f>AA14+AA23</f>
        <v/>
      </c>
      <c r="AB13" s="10" t="n"/>
      <c r="AC13" s="1243" t="n"/>
      <c r="AD13" s="48">
        <f>AD14+AD23</f>
        <v/>
      </c>
      <c r="AE13" s="10" t="n"/>
      <c r="AF13" s="1243" t="n"/>
      <c r="AG13" s="48">
        <f>AG14+AG23</f>
        <v/>
      </c>
      <c r="AH13" s="10" t="n"/>
      <c r="AI13" s="1243" t="n"/>
      <c r="AJ13" s="48">
        <f>AJ14+AJ23</f>
        <v/>
      </c>
      <c r="AK13" s="10" t="n"/>
      <c r="AL13" s="60" t="n"/>
      <c r="AM13" s="208">
        <f>C13+F13+I13+L13+O13+R13+U13+X13+AA13+AD13+AG13+AJ13</f>
        <v/>
      </c>
      <c r="AN13" s="10" t="n"/>
      <c r="AO13" s="1244" t="n"/>
    </row>
    <row r="14" hidden="1" ht="15" customHeight="1" s="985">
      <c r="B14" s="16" t="inlineStr">
        <is>
          <t>OPERACIONALES</t>
        </is>
      </c>
      <c r="C14" s="49">
        <f>C15</f>
        <v/>
      </c>
      <c r="D14" s="3" t="n"/>
      <c r="E14" s="1053" t="n"/>
      <c r="F14" s="49">
        <f>F15</f>
        <v/>
      </c>
      <c r="G14" s="3" t="n"/>
      <c r="H14" s="1053" t="n"/>
      <c r="I14" s="49">
        <f>I15</f>
        <v/>
      </c>
      <c r="J14" s="3" t="n"/>
      <c r="K14" s="1053" t="n"/>
      <c r="L14" s="49">
        <f>L15</f>
        <v/>
      </c>
      <c r="M14" s="3" t="n"/>
      <c r="N14" s="1053" t="n"/>
      <c r="O14" s="49">
        <f>O15</f>
        <v/>
      </c>
      <c r="P14" s="3" t="n"/>
      <c r="Q14" s="1053" t="n"/>
      <c r="R14" s="49">
        <f>R15</f>
        <v/>
      </c>
      <c r="S14" s="3" t="n"/>
      <c r="T14" s="1053" t="n"/>
      <c r="U14" s="49">
        <f>U15</f>
        <v/>
      </c>
      <c r="V14" s="3" t="n"/>
      <c r="W14" s="1053" t="n"/>
      <c r="X14" s="49">
        <f>X15</f>
        <v/>
      </c>
      <c r="Y14" s="3" t="n"/>
      <c r="Z14" s="1053" t="n"/>
      <c r="AA14" s="49">
        <f>AA15</f>
        <v/>
      </c>
      <c r="AB14" s="3" t="n"/>
      <c r="AC14" s="1053" t="n"/>
      <c r="AD14" s="49">
        <f>AD15</f>
        <v/>
      </c>
      <c r="AE14" s="3" t="n"/>
      <c r="AF14" s="1053" t="n"/>
      <c r="AG14" s="49">
        <f>AG15</f>
        <v/>
      </c>
      <c r="AH14" s="3" t="n"/>
      <c r="AI14" s="1053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054" t="n"/>
    </row>
    <row r="15" hidden="1" ht="15" customHeight="1" s="985">
      <c r="B15" s="16" t="inlineStr">
        <is>
          <t>INDUSTRIAS MANUFACTURERAS</t>
        </is>
      </c>
      <c r="C15" s="49">
        <f>SUM(C16:C22)</f>
        <v/>
      </c>
      <c r="D15" s="3" t="n"/>
      <c r="E15" s="1053" t="n"/>
      <c r="F15" s="49">
        <f>SUM(F16:F22)</f>
        <v/>
      </c>
      <c r="G15" s="3" t="n"/>
      <c r="H15" s="1053" t="n"/>
      <c r="I15" s="49">
        <f>SUM(I16:I22)</f>
        <v/>
      </c>
      <c r="J15" s="3" t="n"/>
      <c r="K15" s="1053" t="n"/>
      <c r="L15" s="49">
        <f>SUM(L16:L22)</f>
        <v/>
      </c>
      <c r="M15" s="3" t="n"/>
      <c r="N15" s="1053" t="n"/>
      <c r="O15" s="49">
        <f>SUM(O16:O22)</f>
        <v/>
      </c>
      <c r="P15" s="3" t="n"/>
      <c r="Q15" s="1053" t="n"/>
      <c r="R15" s="49">
        <f>SUM(R16:R22)</f>
        <v/>
      </c>
      <c r="S15" s="3" t="n"/>
      <c r="T15" s="1053" t="n"/>
      <c r="U15" s="49">
        <f>SUM(U16:U22)</f>
        <v/>
      </c>
      <c r="V15" s="3" t="n"/>
      <c r="W15" s="1053" t="n"/>
      <c r="X15" s="49">
        <f>SUM(X16:X22)</f>
        <v/>
      </c>
      <c r="Y15" s="3" t="n"/>
      <c r="Z15" s="1053">
        <f>X15/X15</f>
        <v/>
      </c>
      <c r="AA15" s="49">
        <f>SUM(AA16:AA22)</f>
        <v/>
      </c>
      <c r="AB15" s="61" t="n"/>
      <c r="AC15" s="1053">
        <f>AA15/AA15</f>
        <v/>
      </c>
      <c r="AD15" s="49">
        <f>SUM(AD16:AD22)</f>
        <v/>
      </c>
      <c r="AE15" s="61" t="n"/>
      <c r="AF15" s="1053">
        <f>AD15/AD15</f>
        <v/>
      </c>
      <c r="AG15" s="49">
        <f>SUM(AG16:AG22)</f>
        <v/>
      </c>
      <c r="AH15" s="3" t="n"/>
      <c r="AI15" s="1053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054">
        <f>AM15/AM15</f>
        <v/>
      </c>
    </row>
    <row r="16" hidden="1" ht="15" customHeight="1" s="985">
      <c r="B16" s="262" t="inlineStr">
        <is>
          <t>COMPLEMENTO INDUSTRIALIZADO</t>
        </is>
      </c>
      <c r="C16" s="103" t="n"/>
      <c r="D16" s="79" t="n"/>
      <c r="E16" s="1055" t="n"/>
      <c r="F16" s="103" t="n"/>
      <c r="G16" s="79" t="n"/>
      <c r="H16" s="1055" t="n"/>
      <c r="I16" s="103" t="n"/>
      <c r="J16" s="79" t="n"/>
      <c r="K16" s="1055" t="n"/>
      <c r="L16" s="103" t="n"/>
      <c r="M16" s="79" t="n"/>
      <c r="N16" s="1055" t="n"/>
      <c r="O16" s="103" t="n"/>
      <c r="P16" s="79" t="n"/>
      <c r="Q16" s="1055" t="n"/>
      <c r="R16" s="103" t="n"/>
      <c r="S16" s="79" t="n"/>
      <c r="T16" s="1055" t="n"/>
      <c r="U16" s="103" t="n"/>
      <c r="V16" s="79" t="n"/>
      <c r="W16" s="1055" t="n"/>
      <c r="X16" s="103" t="n"/>
      <c r="Y16" s="79" t="n"/>
      <c r="Z16" s="1055" t="n"/>
      <c r="AA16" s="103" t="n"/>
      <c r="AB16" s="79" t="n"/>
      <c r="AC16" s="1055" t="n"/>
      <c r="AD16" s="103" t="n"/>
      <c r="AE16" s="79" t="n"/>
      <c r="AF16" s="1055" t="n"/>
      <c r="AG16" s="103" t="n"/>
      <c r="AH16" s="79" t="n"/>
      <c r="AI16" s="1055" t="n"/>
      <c r="AJ16" s="103" t="n"/>
      <c r="AK16" s="79" t="n"/>
      <c r="AL16" s="80" t="n"/>
      <c r="AM16" s="212">
        <f>C16+F16+I16+L16+O16+R16+U16+X16+AA16+AD16+AG16+AJ16</f>
        <v/>
      </c>
      <c r="AN16" s="79">
        <f>AM16/AM5</f>
        <v/>
      </c>
      <c r="AO16" s="1056">
        <f>AM16/AM$13</f>
        <v/>
      </c>
    </row>
    <row r="17" hidden="1" ht="15" customHeight="1" s="985">
      <c r="B17" s="104" t="inlineStr">
        <is>
          <t>COMPLEMENTO PREPARADO</t>
        </is>
      </c>
      <c r="C17" s="25" t="n"/>
      <c r="D17" s="43" t="n"/>
      <c r="E17" s="1045" t="n"/>
      <c r="F17" s="25" t="n"/>
      <c r="G17" s="43" t="n"/>
      <c r="H17" s="1045" t="n"/>
      <c r="I17" s="25" t="n"/>
      <c r="J17" s="43" t="n"/>
      <c r="K17" s="1045" t="n"/>
      <c r="L17" s="25" t="n"/>
      <c r="M17" s="43" t="n"/>
      <c r="N17" s="1045" t="n"/>
      <c r="O17" s="25" t="n"/>
      <c r="P17" s="43" t="n"/>
      <c r="Q17" s="1045" t="n"/>
      <c r="R17" s="25" t="n"/>
      <c r="S17" s="43" t="n"/>
      <c r="T17" s="1045" t="n"/>
      <c r="U17" s="25" t="n"/>
      <c r="V17" s="43" t="n"/>
      <c r="W17" s="1045" t="n"/>
      <c r="X17" s="25" t="n"/>
      <c r="Y17" s="43" t="n"/>
      <c r="Z17" s="1045" t="n"/>
      <c r="AA17" s="25" t="n"/>
      <c r="AB17" s="43" t="n"/>
      <c r="AC17" s="1045" t="n"/>
      <c r="AD17" s="25" t="n"/>
      <c r="AE17" s="43" t="n"/>
      <c r="AF17" s="1045" t="n"/>
      <c r="AG17" s="25" t="n"/>
      <c r="AH17" s="43" t="n"/>
      <c r="AI17" s="1045" t="n"/>
      <c r="AJ17" s="25" t="n"/>
      <c r="AK17" s="43" t="n"/>
      <c r="AL17" s="57" t="n"/>
      <c r="AM17" s="205">
        <f>C17+F17+I17+L17+O17+R17+U17+X17+AA17+AD17+AG17+AJ17</f>
        <v/>
      </c>
      <c r="AN17" s="43">
        <f>AM17/AM6</f>
        <v/>
      </c>
      <c r="AO17" s="1046">
        <f>AM17/AM$13</f>
        <v/>
      </c>
    </row>
    <row r="18" hidden="1" ht="15" customHeight="1" s="985">
      <c r="B18" s="104" t="inlineStr">
        <is>
          <t>ALMUERZO JORNADA UNICA</t>
        </is>
      </c>
      <c r="C18" s="25" t="n"/>
      <c r="D18" s="43" t="n"/>
      <c r="E18" s="1045" t="n"/>
      <c r="F18" s="25" t="n"/>
      <c r="G18" s="43" t="n"/>
      <c r="H18" s="1045" t="n"/>
      <c r="I18" s="25" t="n"/>
      <c r="J18" s="43" t="n"/>
      <c r="K18" s="1045" t="n"/>
      <c r="L18" s="25" t="n"/>
      <c r="M18" s="43" t="n"/>
      <c r="N18" s="1045" t="n"/>
      <c r="O18" s="25" t="n"/>
      <c r="P18" s="43" t="n"/>
      <c r="Q18" s="1045" t="n"/>
      <c r="R18" s="25" t="n"/>
      <c r="S18" s="43" t="n"/>
      <c r="T18" s="1045" t="n"/>
      <c r="U18" s="25" t="n"/>
      <c r="V18" s="43" t="n"/>
      <c r="W18" s="1045" t="n"/>
      <c r="X18" s="25" t="n"/>
      <c r="Y18" s="43" t="n"/>
      <c r="Z18" s="1045" t="n"/>
      <c r="AA18" s="25" t="n"/>
      <c r="AB18" s="43" t="n"/>
      <c r="AC18" s="1045" t="n"/>
      <c r="AD18" s="25" t="n"/>
      <c r="AE18" s="43" t="n"/>
      <c r="AF18" s="1045" t="n"/>
      <c r="AG18" s="25" t="n"/>
      <c r="AH18" s="43" t="n"/>
      <c r="AI18" s="1045" t="n"/>
      <c r="AJ18" s="25" t="n"/>
      <c r="AK18" s="43" t="n"/>
      <c r="AL18" s="57" t="n"/>
      <c r="AM18" s="205">
        <f>C18+F18+I18+L18+O18+R18+U18+X18+AA18+AD18+AG18+AJ18</f>
        <v/>
      </c>
      <c r="AN18" s="43">
        <f>AM18/AM7</f>
        <v/>
      </c>
      <c r="AO18" s="1046">
        <f>AM18/AM$13</f>
        <v/>
      </c>
    </row>
    <row r="19" hidden="1" ht="15" customHeight="1" s="985">
      <c r="B19" s="104" t="inlineStr">
        <is>
          <t>NOVEDADES</t>
        </is>
      </c>
      <c r="C19" s="25" t="n"/>
      <c r="D19" s="43" t="n"/>
      <c r="E19" s="1045" t="n"/>
      <c r="F19" s="25" t="n"/>
      <c r="G19" s="43" t="n"/>
      <c r="H19" s="1045" t="n"/>
      <c r="I19" s="25" t="n"/>
      <c r="J19" s="43" t="n"/>
      <c r="K19" s="1045" t="n"/>
      <c r="L19" s="12" t="n"/>
      <c r="M19" s="43" t="n"/>
      <c r="N19" s="1045" t="n"/>
      <c r="O19" s="25" t="n"/>
      <c r="P19" s="43" t="n"/>
      <c r="Q19" s="1045" t="n"/>
      <c r="R19" s="25" t="n"/>
      <c r="S19" s="43" t="n"/>
      <c r="T19" s="1045" t="n"/>
      <c r="U19" s="25" t="n"/>
      <c r="V19" s="43" t="n"/>
      <c r="W19" s="1045" t="n"/>
      <c r="X19" s="25" t="n"/>
      <c r="Y19" s="43" t="n"/>
      <c r="Z19" s="1045" t="n"/>
      <c r="AA19" s="25" t="n"/>
      <c r="AB19" s="43" t="n"/>
      <c r="AC19" s="1045" t="n"/>
      <c r="AD19" s="25" t="n"/>
      <c r="AE19" s="43" t="n"/>
      <c r="AF19" s="1045" t="n"/>
      <c r="AG19" s="25" t="n"/>
      <c r="AH19" s="43" t="n"/>
      <c r="AI19" s="1045" t="n"/>
      <c r="AJ19" s="25" t="n"/>
      <c r="AK19" s="43" t="n"/>
      <c r="AL19" s="57" t="n"/>
      <c r="AM19" s="205">
        <f>C19+F19+I19+L19+O19+R19+U19+X19+AA19+AD19+AG19+AJ19</f>
        <v/>
      </c>
      <c r="AN19" s="43" t="n"/>
      <c r="AO19" s="1046" t="n"/>
    </row>
    <row r="20" hidden="1" ht="15" customHeight="1" s="985">
      <c r="B20" s="263" t="n"/>
      <c r="C20" s="75" t="n"/>
      <c r="D20" s="43" t="n"/>
      <c r="E20" s="1045" t="n"/>
      <c r="F20" s="25" t="n"/>
      <c r="G20" s="43" t="n"/>
      <c r="H20" s="1045" t="n"/>
      <c r="I20" s="75" t="n"/>
      <c r="J20" s="43" t="n"/>
      <c r="K20" s="1045" t="n"/>
      <c r="L20" s="75" t="n"/>
      <c r="M20" s="43" t="n"/>
      <c r="N20" s="1045" t="n"/>
      <c r="O20" s="75" t="n"/>
      <c r="P20" s="43" t="n"/>
      <c r="Q20" s="1045" t="n"/>
      <c r="R20" s="75" t="n"/>
      <c r="S20" s="43" t="n"/>
      <c r="T20" s="1045" t="n"/>
      <c r="U20" s="75" t="n"/>
      <c r="V20" s="43" t="n"/>
      <c r="W20" s="1045" t="n"/>
      <c r="X20" s="75" t="n"/>
      <c r="Y20" s="43" t="n"/>
      <c r="Z20" s="1045" t="n"/>
      <c r="AA20" s="75" t="n"/>
      <c r="AB20" s="43" t="n"/>
      <c r="AC20" s="1045" t="n"/>
      <c r="AD20" s="75" t="n"/>
      <c r="AE20" s="43" t="n"/>
      <c r="AF20" s="1045" t="n"/>
      <c r="AG20" s="75" t="n"/>
      <c r="AH20" s="43" t="n"/>
      <c r="AI20" s="1045" t="n"/>
      <c r="AJ20" s="75" t="n"/>
      <c r="AK20" s="43" t="n"/>
      <c r="AL20" s="57" t="n"/>
      <c r="AM20" s="205">
        <f>C20+F20+I20+L20+O20+R20+U20+X20+AA20+AD20+AG20+AJ20</f>
        <v/>
      </c>
      <c r="AN20" s="43" t="n"/>
      <c r="AO20" s="1046" t="n"/>
    </row>
    <row r="21" hidden="1" ht="15" customHeight="1" s="985">
      <c r="B21" s="30" t="n"/>
      <c r="C21" s="75" t="n"/>
      <c r="D21" s="43" t="n"/>
      <c r="E21" s="1045" t="n"/>
      <c r="F21" s="25" t="n"/>
      <c r="G21" s="43" t="n"/>
      <c r="H21" s="1045" t="n"/>
      <c r="I21" s="75" t="n"/>
      <c r="J21" s="43" t="n"/>
      <c r="K21" s="1045" t="n"/>
      <c r="L21" s="75" t="n"/>
      <c r="M21" s="43" t="n"/>
      <c r="N21" s="1045" t="n"/>
      <c r="O21" s="75" t="n"/>
      <c r="P21" s="43" t="n"/>
      <c r="Q21" s="1045" t="n"/>
      <c r="R21" s="75" t="n"/>
      <c r="S21" s="43" t="n"/>
      <c r="T21" s="1045" t="n"/>
      <c r="U21" s="75" t="n"/>
      <c r="V21" s="43" t="n"/>
      <c r="W21" s="1045" t="n"/>
      <c r="X21" s="75" t="n"/>
      <c r="Y21" s="43" t="n"/>
      <c r="Z21" s="1045" t="n"/>
      <c r="AA21" s="75" t="n"/>
      <c r="AB21" s="43" t="n"/>
      <c r="AC21" s="1045" t="n"/>
      <c r="AD21" s="75" t="n"/>
      <c r="AE21" s="43" t="n"/>
      <c r="AF21" s="1045" t="n"/>
      <c r="AG21" s="75" t="n"/>
      <c r="AH21" s="43" t="n"/>
      <c r="AI21" s="1045" t="n"/>
      <c r="AJ21" s="75" t="n"/>
      <c r="AK21" s="43" t="n"/>
      <c r="AL21" s="57" t="n"/>
      <c r="AM21" s="205">
        <f>C21+F21+I21+L21+O21+R21+U21+X21+AA21+AD21+AG21+AJ21</f>
        <v/>
      </c>
      <c r="AN21" s="43" t="n"/>
      <c r="AO21" s="1046" t="n"/>
    </row>
    <row r="22" hidden="1" ht="15" customHeight="1" s="985">
      <c r="B22" s="30" t="n"/>
      <c r="C22" s="51" t="n"/>
      <c r="D22" s="42" t="n"/>
      <c r="E22" s="1057" t="n"/>
      <c r="F22" s="22" t="n"/>
      <c r="G22" s="42" t="n"/>
      <c r="H22" s="1057" t="n"/>
      <c r="I22" s="51" t="n"/>
      <c r="J22" s="42" t="n"/>
      <c r="K22" s="1057" t="n"/>
      <c r="L22" s="51" t="n"/>
      <c r="M22" s="42" t="n"/>
      <c r="N22" s="1057" t="n"/>
      <c r="O22" s="51" t="n"/>
      <c r="P22" s="42" t="n"/>
      <c r="Q22" s="1057" t="n"/>
      <c r="R22" s="51" t="n"/>
      <c r="S22" s="42" t="n"/>
      <c r="T22" s="1057" t="n"/>
      <c r="U22" s="51" t="n"/>
      <c r="V22" s="42" t="n"/>
      <c r="W22" s="1057" t="n"/>
      <c r="X22" s="51" t="n"/>
      <c r="Y22" s="42" t="n"/>
      <c r="Z22" s="1057" t="n"/>
      <c r="AA22" s="51" t="n"/>
      <c r="AB22" s="42" t="n"/>
      <c r="AC22" s="1057" t="n"/>
      <c r="AD22" s="51" t="n"/>
      <c r="AE22" s="42" t="n"/>
      <c r="AF22" s="1057" t="n"/>
      <c r="AG22" s="51" t="n"/>
      <c r="AH22" s="42" t="n"/>
      <c r="AI22" s="1057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058" t="n"/>
    </row>
    <row r="23" hidden="1" outlineLevel="1" ht="15" customHeight="1" s="985">
      <c r="B23" s="16" t="inlineStr">
        <is>
          <t>NO OPERACIONALES</t>
        </is>
      </c>
      <c r="C23" s="49">
        <f>C24</f>
        <v/>
      </c>
      <c r="D23" s="3" t="n"/>
      <c r="E23" s="1053" t="n"/>
      <c r="F23" s="49">
        <f>F24</f>
        <v/>
      </c>
      <c r="G23" s="3" t="n"/>
      <c r="H23" s="1053" t="n"/>
      <c r="I23" s="49">
        <f>I24</f>
        <v/>
      </c>
      <c r="J23" s="3" t="n"/>
      <c r="K23" s="1053" t="n"/>
      <c r="L23" s="49">
        <f>L24</f>
        <v/>
      </c>
      <c r="M23" s="3" t="n"/>
      <c r="N23" s="1053" t="n"/>
      <c r="O23" s="49">
        <f>O24</f>
        <v/>
      </c>
      <c r="P23" s="3" t="n"/>
      <c r="Q23" s="1053" t="n"/>
      <c r="R23" s="49">
        <f>R24</f>
        <v/>
      </c>
      <c r="S23" s="3" t="n"/>
      <c r="T23" s="1053" t="n"/>
      <c r="U23" s="49">
        <f>U24</f>
        <v/>
      </c>
      <c r="V23" s="3" t="n"/>
      <c r="W23" s="1053" t="n"/>
      <c r="X23" s="49">
        <f>X24</f>
        <v/>
      </c>
      <c r="Y23" s="3" t="n"/>
      <c r="Z23" s="1053" t="n"/>
      <c r="AA23" s="49">
        <f>AA24</f>
        <v/>
      </c>
      <c r="AB23" s="3" t="n"/>
      <c r="AC23" s="1053" t="n"/>
      <c r="AD23" s="49" t="n"/>
      <c r="AE23" s="3" t="n"/>
      <c r="AF23" s="1053" t="n"/>
      <c r="AG23" s="49" t="n"/>
      <c r="AH23" s="3" t="n"/>
      <c r="AI23" s="1053" t="n"/>
      <c r="AJ23" s="49" t="n"/>
      <c r="AK23" s="3" t="n"/>
      <c r="AL23" s="61" t="n"/>
      <c r="AM23" s="16">
        <f>C23+F23+I23+L23+O23+R23+U23+X23+AA23+AD23+AG23+AJ23</f>
        <v/>
      </c>
      <c r="AN23" s="3" t="n"/>
      <c r="AO23" s="1054" t="n"/>
    </row>
    <row r="24" hidden="1" outlineLevel="1" ht="15" customHeight="1" s="985">
      <c r="B24" s="16" t="inlineStr">
        <is>
          <t>FINANCIEROS</t>
        </is>
      </c>
      <c r="C24" s="49">
        <f>SUM(C25:C27)</f>
        <v/>
      </c>
      <c r="D24" s="3" t="n"/>
      <c r="E24" s="1053" t="n"/>
      <c r="F24" s="49">
        <f>SUM(F25:F27)</f>
        <v/>
      </c>
      <c r="G24" s="3" t="n"/>
      <c r="H24" s="1053" t="n"/>
      <c r="I24" s="49">
        <f>SUM(I25:I27)</f>
        <v/>
      </c>
      <c r="J24" s="3" t="n"/>
      <c r="K24" s="1053" t="n"/>
      <c r="L24" s="49">
        <f>SUM(L25:L27)</f>
        <v/>
      </c>
      <c r="M24" s="3" t="n"/>
      <c r="N24" s="1053" t="n"/>
      <c r="O24" s="49">
        <f>SUM(O25:O27)</f>
        <v/>
      </c>
      <c r="P24" s="3" t="n"/>
      <c r="Q24" s="1053" t="n"/>
      <c r="R24" s="49">
        <f>SUM(R25:R27)</f>
        <v/>
      </c>
      <c r="S24" s="3" t="n"/>
      <c r="T24" s="1053" t="n"/>
      <c r="U24" s="49">
        <f>SUM(U25:U27)</f>
        <v/>
      </c>
      <c r="V24" s="3" t="n"/>
      <c r="W24" s="1053" t="n"/>
      <c r="X24" s="49">
        <f>SUM(X25:X27)</f>
        <v/>
      </c>
      <c r="Y24" s="3" t="n"/>
      <c r="Z24" s="1053" t="n"/>
      <c r="AA24" s="49">
        <f>SUM(AA25:AA27)</f>
        <v/>
      </c>
      <c r="AB24" s="3" t="n"/>
      <c r="AC24" s="1053" t="n"/>
      <c r="AD24" s="49">
        <f>SUM(AD25:AD27)</f>
        <v/>
      </c>
      <c r="AE24" s="3" t="n"/>
      <c r="AF24" s="1053" t="n"/>
      <c r="AG24" s="49">
        <f>SUM(AG25:AG27)</f>
        <v/>
      </c>
      <c r="AH24" s="3" t="n"/>
      <c r="AI24" s="1053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054" t="n"/>
    </row>
    <row r="25" hidden="1" outlineLevel="1" ht="15" customHeight="1" s="985">
      <c r="B25" s="32" t="inlineStr">
        <is>
          <t>Intereses</t>
        </is>
      </c>
      <c r="C25" s="35" t="n"/>
      <c r="D25" s="52" t="n"/>
      <c r="E25" s="1059" t="n"/>
      <c r="F25" s="35" t="n"/>
      <c r="G25" s="52" t="n"/>
      <c r="H25" s="1059" t="n"/>
      <c r="I25" s="35" t="n"/>
      <c r="J25" s="52" t="n"/>
      <c r="K25" s="1059" t="n"/>
      <c r="L25" s="35" t="n"/>
      <c r="M25" s="52" t="n"/>
      <c r="N25" s="1059" t="n"/>
      <c r="O25" s="35" t="n"/>
      <c r="P25" s="52" t="n"/>
      <c r="Q25" s="1059" t="n"/>
      <c r="R25" s="35" t="n"/>
      <c r="S25" s="52" t="n"/>
      <c r="T25" s="1059" t="n"/>
      <c r="U25" s="35" t="n"/>
      <c r="V25" s="52" t="n"/>
      <c r="W25" s="1059" t="n"/>
      <c r="X25" s="35" t="n"/>
      <c r="Y25" s="52" t="n"/>
      <c r="Z25" s="1059" t="n"/>
      <c r="AA25" s="35" t="n"/>
      <c r="AB25" s="52" t="n"/>
      <c r="AC25" s="1059" t="n"/>
      <c r="AD25" s="35" t="n"/>
      <c r="AE25" s="52" t="n"/>
      <c r="AF25" s="1059" t="n"/>
      <c r="AG25" s="35" t="n"/>
      <c r="AH25" s="52" t="n"/>
      <c r="AI25" s="1059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060" t="n"/>
    </row>
    <row r="26" hidden="1" outlineLevel="1" ht="15" customHeight="1" s="985">
      <c r="B26" s="32" t="inlineStr">
        <is>
          <t>Descuentos Comerciales</t>
        </is>
      </c>
      <c r="C26" s="35" t="n"/>
      <c r="D26" s="52" t="n"/>
      <c r="E26" s="1059" t="n"/>
      <c r="F26" s="35" t="n"/>
      <c r="G26" s="52" t="n"/>
      <c r="H26" s="1059" t="n"/>
      <c r="I26" s="35" t="n"/>
      <c r="J26" s="52" t="n"/>
      <c r="K26" s="1059" t="n"/>
      <c r="L26" s="35" t="n"/>
      <c r="M26" s="52" t="n"/>
      <c r="N26" s="1059" t="n"/>
      <c r="O26" s="35" t="n"/>
      <c r="P26" s="52" t="n"/>
      <c r="Q26" s="1059" t="n"/>
      <c r="R26" s="35" t="n"/>
      <c r="S26" s="52" t="n"/>
      <c r="T26" s="1059" t="n"/>
      <c r="U26" s="35" t="n"/>
      <c r="V26" s="52" t="n"/>
      <c r="W26" s="1059" t="n"/>
      <c r="X26" s="35" t="n"/>
      <c r="Y26" s="52" t="n"/>
      <c r="Z26" s="1059" t="n"/>
      <c r="AA26" s="35" t="n"/>
      <c r="AB26" s="52" t="n"/>
      <c r="AC26" s="1059" t="n"/>
      <c r="AD26" s="35" t="n"/>
      <c r="AE26" s="52" t="n"/>
      <c r="AF26" s="1059" t="n"/>
      <c r="AG26" s="35" t="n"/>
      <c r="AH26" s="52" t="n"/>
      <c r="AI26" s="1059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060" t="n"/>
    </row>
    <row r="27" hidden="1" outlineLevel="1" ht="15" customHeight="1" s="985">
      <c r="B27" s="32" t="inlineStr">
        <is>
          <t>otros</t>
        </is>
      </c>
      <c r="C27" s="35" t="n"/>
      <c r="D27" s="52" t="n"/>
      <c r="E27" s="1059" t="n"/>
      <c r="F27" s="35" t="n"/>
      <c r="G27" s="52" t="n"/>
      <c r="H27" s="1059" t="n"/>
      <c r="I27" s="35" t="n"/>
      <c r="J27" s="52" t="n"/>
      <c r="K27" s="1059" t="n"/>
      <c r="L27" s="35" t="n"/>
      <c r="M27" s="52" t="n"/>
      <c r="N27" s="1059" t="n"/>
      <c r="O27" s="35" t="n"/>
      <c r="P27" s="52" t="n"/>
      <c r="Q27" s="1059" t="n"/>
      <c r="R27" s="35" t="n"/>
      <c r="S27" s="52" t="n"/>
      <c r="T27" s="1059" t="n"/>
      <c r="U27" s="35" t="n"/>
      <c r="V27" s="52" t="n"/>
      <c r="W27" s="1059" t="n"/>
      <c r="X27" s="35" t="n"/>
      <c r="Y27" s="52" t="n"/>
      <c r="Z27" s="1059" t="n"/>
      <c r="AA27" s="35" t="n"/>
      <c r="AB27" s="52" t="n"/>
      <c r="AC27" s="1059" t="n"/>
      <c r="AD27" s="35" t="n"/>
      <c r="AE27" s="52" t="n"/>
      <c r="AF27" s="1059" t="n"/>
      <c r="AG27" s="35" t="n"/>
      <c r="AH27" s="52" t="n"/>
      <c r="AI27" s="1059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060" t="n"/>
    </row>
    <row r="28" hidden="1" collapsed="1" ht="15" customHeight="1" s="985">
      <c r="B28" s="16" t="inlineStr">
        <is>
          <t>DESCUENTOS - GASTO OPERACIONAL</t>
        </is>
      </c>
      <c r="C28" s="49">
        <f>+C29</f>
        <v/>
      </c>
      <c r="D28" s="3" t="n"/>
      <c r="E28" s="1053" t="n"/>
      <c r="F28" s="49">
        <f>+F29</f>
        <v/>
      </c>
      <c r="G28" s="3" t="n"/>
      <c r="H28" s="1053" t="n"/>
      <c r="I28" s="49">
        <f>+I29</f>
        <v/>
      </c>
      <c r="J28" s="3" t="n"/>
      <c r="K28" s="1053" t="n"/>
      <c r="L28" s="49">
        <f>+L29</f>
        <v/>
      </c>
      <c r="M28" s="3" t="n"/>
      <c r="N28" s="1053" t="n"/>
      <c r="O28" s="49">
        <f>+O29</f>
        <v/>
      </c>
      <c r="P28" s="3" t="n"/>
      <c r="Q28" s="1053" t="n"/>
      <c r="R28" s="49">
        <f>+R29</f>
        <v/>
      </c>
      <c r="S28" s="3" t="n"/>
      <c r="T28" s="1053" t="n"/>
      <c r="U28" s="49">
        <f>+U29</f>
        <v/>
      </c>
      <c r="V28" s="3" t="n"/>
      <c r="W28" s="1053" t="n"/>
      <c r="X28" s="49">
        <f>+X29</f>
        <v/>
      </c>
      <c r="Y28" s="3" t="n"/>
      <c r="Z28" s="1053" t="n"/>
      <c r="AA28" s="49">
        <f>+AA29</f>
        <v/>
      </c>
      <c r="AB28" s="3" t="n"/>
      <c r="AC28" s="1053" t="n"/>
      <c r="AD28" s="49">
        <f>+AD29</f>
        <v/>
      </c>
      <c r="AE28" s="3" t="n"/>
      <c r="AF28" s="1053" t="n"/>
      <c r="AG28" s="49">
        <f>+AG29</f>
        <v/>
      </c>
      <c r="AH28" s="3" t="n"/>
      <c r="AI28" s="1053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054" t="n"/>
    </row>
    <row r="29" hidden="1" ht="15" customHeight="1" s="985">
      <c r="B29" s="16" t="inlineStr">
        <is>
          <t>OTROS</t>
        </is>
      </c>
      <c r="C29" s="49">
        <f>SUM(C30:C35)</f>
        <v/>
      </c>
      <c r="D29" s="3" t="n"/>
      <c r="E29" s="1053" t="n"/>
      <c r="F29" s="49">
        <f>SUM(F30:F35)</f>
        <v/>
      </c>
      <c r="G29" s="3" t="n"/>
      <c r="H29" s="1053">
        <f>F29/F13</f>
        <v/>
      </c>
      <c r="I29" s="49">
        <f>SUM(I30:I35)</f>
        <v/>
      </c>
      <c r="J29" s="3" t="n"/>
      <c r="K29" s="1053">
        <f>I29/I13</f>
        <v/>
      </c>
      <c r="L29" s="49">
        <f>SUM(L30:L35)</f>
        <v/>
      </c>
      <c r="M29" s="3" t="n"/>
      <c r="N29" s="1053">
        <f>L29/L13</f>
        <v/>
      </c>
      <c r="O29" s="49">
        <f>SUM(O30:O35)</f>
        <v/>
      </c>
      <c r="P29" s="3" t="n"/>
      <c r="Q29" s="1053">
        <f>O29/O13</f>
        <v/>
      </c>
      <c r="R29" s="49">
        <f>SUM(R30:R35)</f>
        <v/>
      </c>
      <c r="S29" s="3" t="n"/>
      <c r="T29" s="1053">
        <f>R29/R13</f>
        <v/>
      </c>
      <c r="U29" s="49">
        <f>SUM(U30:U35)</f>
        <v/>
      </c>
      <c r="V29" s="3" t="n"/>
      <c r="W29" s="1053">
        <f>U29/U13</f>
        <v/>
      </c>
      <c r="X29" s="49">
        <f>SUM(X30:X35)</f>
        <v/>
      </c>
      <c r="Y29" s="3" t="n"/>
      <c r="Z29" s="1053">
        <f>X29/X13</f>
        <v/>
      </c>
      <c r="AA29" s="49">
        <f>SUM(AA30:AA35)</f>
        <v/>
      </c>
      <c r="AB29" s="3" t="n"/>
      <c r="AC29" s="1053">
        <f>AA29/AA13</f>
        <v/>
      </c>
      <c r="AD29" s="49">
        <f>SUM(AD30:AD35)</f>
        <v/>
      </c>
      <c r="AE29" s="3" t="n"/>
      <c r="AF29" s="1053">
        <f>AD29/AD13</f>
        <v/>
      </c>
      <c r="AG29" s="49">
        <f>SUM(AG30:AG35)</f>
        <v/>
      </c>
      <c r="AH29" s="3" t="n"/>
      <c r="AI29" s="1053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054">
        <f>AM29/AM13</f>
        <v/>
      </c>
    </row>
    <row r="30" hidden="1" outlineLevel="1" ht="15" customHeight="1" s="985">
      <c r="B30" s="262" t="n"/>
      <c r="C30" s="1061" t="n"/>
      <c r="D30" s="79" t="n"/>
      <c r="E30" s="1055" t="n"/>
      <c r="F30" s="1061" t="n"/>
      <c r="G30" s="79" t="n"/>
      <c r="H30" s="1055" t="n"/>
      <c r="I30" s="1061" t="n"/>
      <c r="J30" s="79" t="n"/>
      <c r="K30" s="1055" t="n"/>
      <c r="L30" s="1061" t="n"/>
      <c r="M30" s="79" t="n"/>
      <c r="N30" s="1055" t="n"/>
      <c r="O30" s="1061" t="n"/>
      <c r="P30" s="79" t="n"/>
      <c r="Q30" s="1055" t="n"/>
      <c r="R30" s="1061" t="n"/>
      <c r="S30" s="79" t="n"/>
      <c r="T30" s="1055" t="n"/>
      <c r="U30" s="1061" t="n"/>
      <c r="V30" s="79" t="n"/>
      <c r="W30" s="1055" t="n"/>
      <c r="X30" s="1061" t="n"/>
      <c r="Y30" s="79" t="n"/>
      <c r="Z30" s="1055" t="n"/>
      <c r="AA30" s="1061" t="n"/>
      <c r="AB30" s="79" t="n"/>
      <c r="AC30" s="1055" t="n"/>
      <c r="AD30" s="1061" t="n"/>
      <c r="AE30" s="79" t="n"/>
      <c r="AF30" s="1055" t="n"/>
      <c r="AG30" s="1061" t="n"/>
      <c r="AH30" s="79" t="n"/>
      <c r="AI30" s="1055" t="n"/>
      <c r="AJ30" s="1061" t="n"/>
      <c r="AK30" s="79" t="n"/>
      <c r="AL30" s="80" t="n"/>
      <c r="AM30" s="212">
        <f>C30+F30+I30+L30+O30+R30+U30+X30+AA30+AD30+AG30+AJ30</f>
        <v/>
      </c>
      <c r="AN30" s="79" t="n"/>
      <c r="AO30" s="1056" t="n"/>
    </row>
    <row r="31" hidden="1" outlineLevel="1" ht="15" customHeight="1" s="985">
      <c r="B31" s="105" t="n"/>
      <c r="C31" s="1062" t="n"/>
      <c r="D31" s="43" t="n"/>
      <c r="E31" s="1045" t="n"/>
      <c r="F31" s="1062" t="n"/>
      <c r="G31" s="43" t="n"/>
      <c r="H31" s="1045" t="n"/>
      <c r="I31" s="1062" t="n"/>
      <c r="J31" s="43" t="n"/>
      <c r="K31" s="1045" t="n"/>
      <c r="L31" s="1062" t="n"/>
      <c r="M31" s="43" t="n"/>
      <c r="N31" s="1045" t="n"/>
      <c r="O31" s="1062" t="n"/>
      <c r="P31" s="43" t="n"/>
      <c r="Q31" s="1045" t="n"/>
      <c r="R31" s="1062" t="n"/>
      <c r="S31" s="43" t="n"/>
      <c r="T31" s="1045" t="n"/>
      <c r="U31" s="1062" t="n"/>
      <c r="V31" s="43" t="n"/>
      <c r="W31" s="1045" t="n"/>
      <c r="X31" s="1062" t="n"/>
      <c r="Y31" s="43" t="n"/>
      <c r="Z31" s="1045" t="n"/>
      <c r="AA31" s="1062" t="n"/>
      <c r="AB31" s="43" t="n"/>
      <c r="AC31" s="1045" t="n"/>
      <c r="AD31" s="1062" t="n"/>
      <c r="AE31" s="43" t="n"/>
      <c r="AF31" s="1045" t="n"/>
      <c r="AG31" s="1062" t="n"/>
      <c r="AH31" s="43" t="n"/>
      <c r="AI31" s="1045" t="n"/>
      <c r="AJ31" s="1062" t="n"/>
      <c r="AK31" s="43" t="n"/>
      <c r="AL31" s="57" t="n"/>
      <c r="AM31" s="205">
        <f>C31+F31+I31+L31+O31+R31+U31+X31+AA31+AD31+AG31+AJ31</f>
        <v/>
      </c>
      <c r="AN31" s="43" t="n"/>
      <c r="AO31" s="1046" t="n"/>
    </row>
    <row r="32" hidden="1" outlineLevel="1" ht="15" customHeight="1" s="985">
      <c r="B32" s="105" t="n"/>
      <c r="C32" s="1062" t="n"/>
      <c r="D32" s="43" t="n"/>
      <c r="E32" s="1045" t="n"/>
      <c r="F32" s="1062" t="n"/>
      <c r="G32" s="43" t="n"/>
      <c r="H32" s="1045" t="n"/>
      <c r="I32" s="1062" t="n"/>
      <c r="J32" s="43" t="n"/>
      <c r="K32" s="1045" t="n"/>
      <c r="L32" s="1062" t="n"/>
      <c r="M32" s="43" t="n"/>
      <c r="N32" s="1045" t="n"/>
      <c r="O32" s="1062" t="n"/>
      <c r="P32" s="43" t="n"/>
      <c r="Q32" s="1045" t="n"/>
      <c r="R32" s="1062" t="n"/>
      <c r="S32" s="43" t="n"/>
      <c r="T32" s="1045" t="n"/>
      <c r="U32" s="1062" t="n"/>
      <c r="V32" s="43" t="n"/>
      <c r="W32" s="1045" t="n"/>
      <c r="X32" s="1062" t="n"/>
      <c r="Y32" s="43" t="n"/>
      <c r="Z32" s="1045" t="n"/>
      <c r="AA32" s="1062" t="n"/>
      <c r="AB32" s="43" t="n"/>
      <c r="AC32" s="1045" t="n"/>
      <c r="AD32" s="1062" t="n"/>
      <c r="AE32" s="43" t="n"/>
      <c r="AF32" s="1045" t="n"/>
      <c r="AG32" s="1062" t="n"/>
      <c r="AH32" s="43" t="n"/>
      <c r="AI32" s="1045" t="n"/>
      <c r="AJ32" s="1062" t="n"/>
      <c r="AK32" s="43" t="n"/>
      <c r="AL32" s="57" t="n"/>
      <c r="AM32" s="205">
        <f>C32+F32+I32+L32+O32+R32+U32+X32+AA32+AD32+AG32+AJ32</f>
        <v/>
      </c>
      <c r="AN32" s="43" t="n"/>
      <c r="AO32" s="1046" t="n"/>
    </row>
    <row r="33" hidden="1" outlineLevel="1" ht="15" customHeight="1" s="985">
      <c r="B33" s="105" t="n"/>
      <c r="C33" s="205" t="n"/>
      <c r="D33" s="43" t="n"/>
      <c r="E33" s="1045" t="n"/>
      <c r="F33" s="25" t="n"/>
      <c r="G33" s="43" t="n"/>
      <c r="H33" s="1045" t="n"/>
      <c r="I33" s="25" t="n"/>
      <c r="J33" s="43" t="n"/>
      <c r="K33" s="1045" t="n"/>
      <c r="L33" s="25" t="n"/>
      <c r="M33" s="43" t="n"/>
      <c r="N33" s="1045" t="n"/>
      <c r="O33" s="25" t="n"/>
      <c r="P33" s="43" t="n"/>
      <c r="Q33" s="1045" t="n"/>
      <c r="R33" s="25" t="n"/>
      <c r="S33" s="43" t="n"/>
      <c r="T33" s="1045" t="n"/>
      <c r="U33" s="25" t="n"/>
      <c r="V33" s="43" t="n"/>
      <c r="W33" s="1045" t="n"/>
      <c r="X33" s="25" t="n"/>
      <c r="Y33" s="43" t="n"/>
      <c r="Z33" s="1045" t="n"/>
      <c r="AA33" s="25" t="n"/>
      <c r="AB33" s="43" t="n"/>
      <c r="AC33" s="1045" t="n"/>
      <c r="AD33" s="25" t="n"/>
      <c r="AE33" s="43" t="n"/>
      <c r="AF33" s="1045" t="n"/>
      <c r="AG33" s="25" t="n"/>
      <c r="AH33" s="43" t="n"/>
      <c r="AI33" s="1045" t="n"/>
      <c r="AJ33" s="25" t="n"/>
      <c r="AK33" s="43" t="n"/>
      <c r="AL33" s="57" t="n"/>
      <c r="AM33" s="205">
        <f>C33+F33+I33+L33+O33+R33+U33+X33+AA33+AD33+AG33+AJ33</f>
        <v/>
      </c>
      <c r="AN33" s="43" t="n"/>
      <c r="AO33" s="1046" t="n"/>
    </row>
    <row r="34" hidden="1" outlineLevel="1" ht="15" customHeight="1" s="985">
      <c r="B34" s="105" t="n"/>
      <c r="C34" s="25" t="n"/>
      <c r="D34" s="43" t="n"/>
      <c r="E34" s="1045" t="n"/>
      <c r="F34" s="25" t="n"/>
      <c r="G34" s="43" t="n"/>
      <c r="H34" s="1045" t="n"/>
      <c r="I34" s="25" t="n"/>
      <c r="J34" s="43" t="n"/>
      <c r="K34" s="1045" t="n"/>
      <c r="L34" s="25" t="n"/>
      <c r="M34" s="43" t="n"/>
      <c r="N34" s="1045" t="n"/>
      <c r="O34" s="25" t="n"/>
      <c r="P34" s="43" t="n"/>
      <c r="Q34" s="1045" t="n"/>
      <c r="R34" s="25" t="n"/>
      <c r="S34" s="43" t="n"/>
      <c r="T34" s="1045" t="n"/>
      <c r="U34" s="25" t="n"/>
      <c r="V34" s="43" t="n"/>
      <c r="W34" s="1045" t="n"/>
      <c r="X34" s="25" t="n"/>
      <c r="Y34" s="43" t="n"/>
      <c r="Z34" s="1045" t="n"/>
      <c r="AA34" s="25" t="n"/>
      <c r="AB34" s="43" t="n"/>
      <c r="AC34" s="1045" t="n"/>
      <c r="AD34" s="25" t="n"/>
      <c r="AE34" s="43" t="n"/>
      <c r="AF34" s="1045" t="n"/>
      <c r="AG34" s="25" t="n"/>
      <c r="AH34" s="43" t="n"/>
      <c r="AI34" s="1045" t="n"/>
      <c r="AJ34" s="25" t="n"/>
      <c r="AK34" s="43" t="n"/>
      <c r="AL34" s="57" t="n"/>
      <c r="AM34" s="205">
        <f>C34+F34+I34+L34+O34+R34+U34+X34+AA34+AD34+AG34+AJ34</f>
        <v/>
      </c>
      <c r="AN34" s="43" t="n"/>
      <c r="AO34" s="1046" t="n"/>
    </row>
    <row r="35" hidden="1" outlineLevel="1" ht="15" customHeight="1" s="985">
      <c r="B35" s="335" t="n"/>
      <c r="C35" s="91" t="n"/>
      <c r="D35" s="92" t="n"/>
      <c r="E35" s="1063" t="n"/>
      <c r="F35" s="91" t="n"/>
      <c r="G35" s="92" t="n"/>
      <c r="H35" s="1063" t="n"/>
      <c r="I35" s="91" t="n"/>
      <c r="J35" s="92" t="n"/>
      <c r="K35" s="1063" t="n"/>
      <c r="L35" s="91" t="n"/>
      <c r="M35" s="92" t="n"/>
      <c r="N35" s="1063" t="n"/>
      <c r="O35" s="91" t="n"/>
      <c r="P35" s="92" t="n"/>
      <c r="Q35" s="1063" t="n"/>
      <c r="R35" s="91" t="n"/>
      <c r="S35" s="92" t="n"/>
      <c r="T35" s="1063" t="n"/>
      <c r="U35" s="91" t="n"/>
      <c r="V35" s="92" t="n"/>
      <c r="W35" s="1063" t="n"/>
      <c r="X35" s="91" t="n"/>
      <c r="Y35" s="92" t="n"/>
      <c r="Z35" s="1063" t="n"/>
      <c r="AA35" s="91" t="n"/>
      <c r="AB35" s="92" t="n"/>
      <c r="AC35" s="1063" t="n"/>
      <c r="AD35" s="91" t="n"/>
      <c r="AE35" s="92" t="n"/>
      <c r="AF35" s="1063" t="n"/>
      <c r="AG35" s="91" t="n"/>
      <c r="AH35" s="92" t="n"/>
      <c r="AI35" s="1063" t="n"/>
      <c r="AJ35" s="91" t="n"/>
      <c r="AK35" s="92" t="n"/>
      <c r="AL35" s="88" t="n"/>
      <c r="AM35" s="284">
        <f>C35+F35+I35+L35+O35+R35+U35+X35+AA35+AD35+AG35+AJ35</f>
        <v/>
      </c>
      <c r="AN35" s="92" t="n"/>
      <c r="AO35" s="1064" t="n"/>
    </row>
    <row r="36" hidden="1" outlineLevel="1" ht="15" customHeight="1" s="985">
      <c r="B36" s="105" t="n"/>
      <c r="C36" s="25" t="n"/>
      <c r="D36" s="43" t="n"/>
      <c r="E36" s="1045" t="n"/>
      <c r="F36" s="25" t="n"/>
      <c r="G36" s="43" t="n"/>
      <c r="H36" s="1045" t="n"/>
      <c r="I36" s="25" t="n"/>
      <c r="J36" s="43" t="n"/>
      <c r="K36" s="1045" t="n"/>
      <c r="L36" s="25" t="n"/>
      <c r="M36" s="43" t="n"/>
      <c r="N36" s="1045" t="n"/>
      <c r="O36" s="25" t="n"/>
      <c r="P36" s="43" t="n"/>
      <c r="Q36" s="1045" t="n"/>
      <c r="R36" s="25" t="n"/>
      <c r="S36" s="43" t="n"/>
      <c r="T36" s="1045" t="n"/>
      <c r="U36" s="25" t="n"/>
      <c r="V36" s="43" t="n"/>
      <c r="W36" s="1045" t="n"/>
      <c r="X36" s="25" t="n"/>
      <c r="Y36" s="43" t="n"/>
      <c r="Z36" s="1045" t="n"/>
      <c r="AA36" s="25" t="n"/>
      <c r="AB36" s="43" t="n"/>
      <c r="AC36" s="1045" t="n"/>
      <c r="AD36" s="25" t="n"/>
      <c r="AE36" s="43" t="n"/>
      <c r="AF36" s="1045" t="n"/>
      <c r="AG36" s="25" t="n"/>
      <c r="AH36" s="43" t="n"/>
      <c r="AI36" s="1045" t="n"/>
      <c r="AJ36" s="25" t="n"/>
      <c r="AK36" s="43" t="n"/>
      <c r="AL36" s="57" t="n"/>
      <c r="AM36" s="205" t="n"/>
      <c r="AN36" s="43" t="n"/>
      <c r="AO36" s="1046" t="n"/>
    </row>
    <row r="37" hidden="1" outlineLevel="1" ht="15" customHeight="1" s="985">
      <c r="B37" s="30" t="n"/>
      <c r="C37" s="22" t="n"/>
      <c r="D37" s="42" t="n"/>
      <c r="E37" s="1057" t="n"/>
      <c r="F37" s="22" t="n"/>
      <c r="G37" s="42" t="n"/>
      <c r="H37" s="1057" t="n"/>
      <c r="I37" s="22" t="n"/>
      <c r="J37" s="42" t="n"/>
      <c r="K37" s="1057" t="n"/>
      <c r="L37" s="22" t="n"/>
      <c r="M37" s="42" t="n"/>
      <c r="N37" s="1057" t="n"/>
      <c r="O37" s="22" t="n"/>
      <c r="P37" s="42" t="n"/>
      <c r="Q37" s="1057" t="n"/>
      <c r="R37" s="22" t="n"/>
      <c r="S37" s="42" t="n"/>
      <c r="T37" s="1057" t="n"/>
      <c r="U37" s="22" t="n"/>
      <c r="V37" s="42" t="n"/>
      <c r="W37" s="1057" t="n"/>
      <c r="X37" s="22" t="n"/>
      <c r="Y37" s="42" t="n"/>
      <c r="Z37" s="1057" t="n"/>
      <c r="AA37" s="22" t="n"/>
      <c r="AB37" s="42" t="n"/>
      <c r="AC37" s="1057" t="n"/>
      <c r="AD37" s="22" t="n"/>
      <c r="AE37" s="42" t="n"/>
      <c r="AF37" s="1057" t="n"/>
      <c r="AG37" s="22" t="n"/>
      <c r="AH37" s="42" t="n"/>
      <c r="AI37" s="1057" t="n"/>
      <c r="AJ37" s="22" t="n"/>
      <c r="AK37" s="42" t="n"/>
      <c r="AL37" s="56" t="n"/>
      <c r="AM37" s="97" t="n"/>
      <c r="AN37" s="42" t="n"/>
      <c r="AO37" s="1058" t="n"/>
    </row>
    <row r="38" hidden="1" outlineLevel="1" ht="15" customHeight="1" s="985">
      <c r="B38" s="30" t="n"/>
      <c r="C38" s="22" t="n"/>
      <c r="D38" s="42" t="n"/>
      <c r="E38" s="1057" t="n"/>
      <c r="F38" s="22" t="n"/>
      <c r="G38" s="42" t="n"/>
      <c r="H38" s="1057" t="n"/>
      <c r="I38" s="22" t="n"/>
      <c r="J38" s="42" t="n"/>
      <c r="K38" s="1057" t="n"/>
      <c r="L38" s="22" t="n"/>
      <c r="M38" s="42" t="n"/>
      <c r="N38" s="1057" t="n"/>
      <c r="O38" s="22" t="n"/>
      <c r="P38" s="42" t="n"/>
      <c r="Q38" s="1057" t="n"/>
      <c r="R38" s="22" t="n"/>
      <c r="S38" s="42" t="n"/>
      <c r="T38" s="1057" t="n"/>
      <c r="U38" s="22" t="n"/>
      <c r="V38" s="42" t="n"/>
      <c r="W38" s="1057" t="n"/>
      <c r="X38" s="22" t="n"/>
      <c r="Y38" s="42" t="n"/>
      <c r="Z38" s="1057" t="n"/>
      <c r="AA38" s="22" t="n"/>
      <c r="AB38" s="42" t="n"/>
      <c r="AC38" s="1057" t="n"/>
      <c r="AD38" s="22" t="n"/>
      <c r="AE38" s="42" t="n"/>
      <c r="AF38" s="1057" t="n"/>
      <c r="AG38" s="22" t="n"/>
      <c r="AH38" s="42" t="n"/>
      <c r="AI38" s="1057" t="n"/>
      <c r="AJ38" s="22" t="n"/>
      <c r="AK38" s="42" t="n"/>
      <c r="AL38" s="56" t="n"/>
      <c r="AM38" s="97" t="n"/>
      <c r="AN38" s="42" t="n"/>
      <c r="AO38" s="1058" t="n"/>
    </row>
    <row r="39" hidden="1" outlineLevel="1" ht="15" customHeight="1" s="985">
      <c r="B39" s="30" t="n"/>
      <c r="C39" s="22" t="n"/>
      <c r="D39" s="42" t="n"/>
      <c r="E39" s="1057" t="n"/>
      <c r="F39" s="22" t="n"/>
      <c r="G39" s="42" t="n"/>
      <c r="H39" s="1057" t="n"/>
      <c r="I39" s="22" t="n"/>
      <c r="J39" s="42" t="n"/>
      <c r="K39" s="1057" t="n"/>
      <c r="L39" s="22" t="n"/>
      <c r="M39" s="42" t="n"/>
      <c r="N39" s="1057" t="n"/>
      <c r="O39" s="22" t="n"/>
      <c r="P39" s="42" t="n"/>
      <c r="Q39" s="1057" t="n"/>
      <c r="R39" s="22" t="n"/>
      <c r="S39" s="42" t="n"/>
      <c r="T39" s="1057" t="n"/>
      <c r="U39" s="22" t="n"/>
      <c r="V39" s="42" t="n"/>
      <c r="W39" s="1057" t="n"/>
      <c r="X39" s="22" t="n"/>
      <c r="Y39" s="42" t="n"/>
      <c r="Z39" s="1057" t="n"/>
      <c r="AA39" s="22" t="n"/>
      <c r="AB39" s="42" t="n"/>
      <c r="AC39" s="1057" t="n"/>
      <c r="AD39" s="22" t="n"/>
      <c r="AE39" s="42" t="n"/>
      <c r="AF39" s="1057" t="n"/>
      <c r="AG39" s="22" t="n"/>
      <c r="AH39" s="42" t="n"/>
      <c r="AI39" s="1057" t="n"/>
      <c r="AJ39" s="22" t="n"/>
      <c r="AK39" s="42" t="n"/>
      <c r="AL39" s="56" t="n"/>
      <c r="AM39" s="97" t="n"/>
      <c r="AN39" s="42" t="n"/>
      <c r="AO39" s="1058" t="n"/>
    </row>
    <row r="40" hidden="1" outlineLevel="1" ht="15" customHeight="1" s="985">
      <c r="B40" s="30" t="n"/>
      <c r="C40" s="22" t="n"/>
      <c r="D40" s="42" t="n"/>
      <c r="E40" s="1057" t="n"/>
      <c r="F40" s="22" t="n"/>
      <c r="G40" s="42" t="n"/>
      <c r="H40" s="1057" t="n"/>
      <c r="I40" s="22" t="n"/>
      <c r="J40" s="42" t="n"/>
      <c r="K40" s="1057" t="n"/>
      <c r="L40" s="22" t="n"/>
      <c r="M40" s="42" t="n"/>
      <c r="N40" s="1057" t="n"/>
      <c r="O40" s="22" t="n"/>
      <c r="P40" s="42" t="n"/>
      <c r="Q40" s="1057" t="n"/>
      <c r="R40" s="22" t="n"/>
      <c r="S40" s="42" t="n"/>
      <c r="T40" s="1057" t="n"/>
      <c r="U40" s="22" t="n"/>
      <c r="V40" s="42" t="n"/>
      <c r="W40" s="1057" t="n"/>
      <c r="X40" s="22" t="n"/>
      <c r="Y40" s="42" t="n"/>
      <c r="Z40" s="1057" t="n"/>
      <c r="AA40" s="22" t="n"/>
      <c r="AB40" s="42" t="n"/>
      <c r="AC40" s="1057" t="n"/>
      <c r="AD40" s="22" t="n"/>
      <c r="AE40" s="42" t="n"/>
      <c r="AF40" s="1057" t="n"/>
      <c r="AG40" s="22" t="n"/>
      <c r="AH40" s="42" t="n"/>
      <c r="AI40" s="1057" t="n"/>
      <c r="AJ40" s="22" t="n"/>
      <c r="AK40" s="42" t="n"/>
      <c r="AL40" s="56" t="n"/>
      <c r="AM40" s="97" t="n"/>
      <c r="AN40" s="42" t="n"/>
      <c r="AO40" s="1058" t="n"/>
    </row>
    <row r="41" hidden="1" outlineLevel="1" ht="15" customHeight="1" s="985">
      <c r="B41" s="30" t="n"/>
      <c r="C41" s="22" t="n"/>
      <c r="D41" s="42" t="n"/>
      <c r="E41" s="1057" t="n"/>
      <c r="F41" s="22" t="n"/>
      <c r="G41" s="42" t="n"/>
      <c r="H41" s="1057" t="n"/>
      <c r="I41" s="22" t="n"/>
      <c r="J41" s="42" t="n"/>
      <c r="K41" s="1057" t="n"/>
      <c r="L41" s="22" t="n"/>
      <c r="M41" s="42" t="n"/>
      <c r="N41" s="1057" t="n"/>
      <c r="O41" s="22" t="n"/>
      <c r="P41" s="42" t="n"/>
      <c r="Q41" s="1057" t="n"/>
      <c r="R41" s="22" t="n"/>
      <c r="S41" s="42" t="n"/>
      <c r="T41" s="1057" t="n"/>
      <c r="U41" s="22" t="n"/>
      <c r="V41" s="42" t="n"/>
      <c r="W41" s="1057" t="n"/>
      <c r="X41" s="22" t="n"/>
      <c r="Y41" s="42" t="n"/>
      <c r="Z41" s="1057" t="n"/>
      <c r="AA41" s="22" t="n"/>
      <c r="AB41" s="42" t="n"/>
      <c r="AC41" s="1057" t="n"/>
      <c r="AD41" s="22" t="n"/>
      <c r="AE41" s="42" t="n"/>
      <c r="AF41" s="1057" t="n"/>
      <c r="AG41" s="22" t="n"/>
      <c r="AH41" s="42" t="n"/>
      <c r="AI41" s="1057" t="n"/>
      <c r="AJ41" s="22" t="n"/>
      <c r="AK41" s="42" t="n"/>
      <c r="AL41" s="56" t="n"/>
      <c r="AM41" s="97" t="n"/>
      <c r="AN41" s="42" t="n"/>
      <c r="AO41" s="1058" t="n"/>
    </row>
    <row r="42" hidden="1" collapsed="1" ht="15" customHeight="1" s="985" thickBot="1">
      <c r="B42" s="20" t="inlineStr">
        <is>
          <t>TOTAL INGRESOS NETOS</t>
        </is>
      </c>
      <c r="C42" s="54">
        <f>+C14+C23-C28</f>
        <v/>
      </c>
      <c r="D42" s="55" t="n"/>
      <c r="E42" s="1245" t="n"/>
      <c r="F42" s="54">
        <f>+F14+F23-F28</f>
        <v/>
      </c>
      <c r="G42" s="55" t="n"/>
      <c r="H42" s="1245" t="n"/>
      <c r="I42" s="54">
        <f>+I14+I23-I28</f>
        <v/>
      </c>
      <c r="J42" s="55" t="n"/>
      <c r="K42" s="1245" t="n"/>
      <c r="L42" s="54">
        <f>+L14+L23-L28</f>
        <v/>
      </c>
      <c r="M42" s="55" t="n"/>
      <c r="N42" s="1245" t="n"/>
      <c r="O42" s="54">
        <f>+O14+O23-O28</f>
        <v/>
      </c>
      <c r="P42" s="55" t="n"/>
      <c r="Q42" s="1245" t="n"/>
      <c r="R42" s="54">
        <f>+R14+R23-R28</f>
        <v/>
      </c>
      <c r="S42" s="55" t="n"/>
      <c r="T42" s="1245" t="n"/>
      <c r="U42" s="54">
        <f>+U14+U23-U28</f>
        <v/>
      </c>
      <c r="V42" s="55" t="n"/>
      <c r="W42" s="1245" t="n"/>
      <c r="X42" s="54">
        <f>+X14+X23-X28</f>
        <v/>
      </c>
      <c r="Y42" s="55" t="n"/>
      <c r="Z42" s="1245" t="n"/>
      <c r="AA42" s="54">
        <f>+AA14+AA23-AA28</f>
        <v/>
      </c>
      <c r="AB42" s="55" t="n"/>
      <c r="AC42" s="1245" t="n"/>
      <c r="AD42" s="54">
        <f>+AD14+AD23-AD28</f>
        <v/>
      </c>
      <c r="AE42" s="55" t="n"/>
      <c r="AF42" s="1245" t="n"/>
      <c r="AG42" s="54">
        <f>+AG14+AG23-AG28</f>
        <v/>
      </c>
      <c r="AH42" s="55" t="n"/>
      <c r="AI42" s="1245" t="n"/>
      <c r="AJ42" s="54">
        <f>+AJ14+AJ23-AJ28</f>
        <v/>
      </c>
      <c r="AK42" s="55" t="n"/>
      <c r="AL42" s="63" t="n"/>
      <c r="AM42" s="210">
        <f>C42+F42+I42+L42+O42+R42+U42+X42+AA42+AD42+AG42+AJ42</f>
        <v/>
      </c>
      <c r="AN42" s="55" t="n"/>
      <c r="AO42" s="1246" t="n"/>
    </row>
    <row r="43" ht="15" customHeight="1" s="985" thickBot="1" thickTop="1">
      <c r="C43" s="2" t="n"/>
      <c r="D43" s="2" t="n"/>
      <c r="E43" s="1067" t="n"/>
      <c r="F43" s="2" t="n"/>
      <c r="G43" s="2" t="n"/>
      <c r="H43" s="1067" t="n"/>
      <c r="I43" s="2" t="n"/>
      <c r="J43" s="2" t="n"/>
      <c r="K43" s="1067" t="n"/>
      <c r="L43" s="2" t="n"/>
      <c r="M43" s="2" t="n"/>
      <c r="N43" s="1067" t="n"/>
      <c r="O43" s="2" t="n"/>
      <c r="P43" s="2" t="n"/>
      <c r="Q43" s="1067" t="n"/>
      <c r="R43" s="2" t="n"/>
      <c r="S43" s="2" t="n"/>
      <c r="T43" s="1067" t="n"/>
      <c r="U43" s="2" t="n"/>
      <c r="V43" s="2" t="n"/>
      <c r="W43" s="1067" t="n"/>
      <c r="X43" s="2" t="n"/>
      <c r="Y43" s="2" t="n"/>
      <c r="Z43" s="1068" t="n"/>
      <c r="AA43" s="2" t="n"/>
      <c r="AB43" s="2" t="n"/>
      <c r="AC43" s="1068" t="n"/>
      <c r="AD43" s="2" t="n"/>
      <c r="AE43" s="2" t="n"/>
      <c r="AF43" s="1068" t="n"/>
      <c r="AG43" s="2" t="n"/>
      <c r="AH43" s="2" t="n"/>
      <c r="AI43" s="1067" t="n"/>
      <c r="AJ43" s="2" t="n"/>
      <c r="AK43" s="2" t="n"/>
      <c r="AL43" s="2" t="n"/>
      <c r="AM43" s="136" t="n"/>
      <c r="AN43" s="2" t="n"/>
      <c r="AO43" s="1067" t="n"/>
    </row>
    <row r="44" ht="15" customHeight="1" s="985" thickTop="1">
      <c r="B44" s="527" t="inlineStr">
        <is>
          <t>COSTOS DIRECTOS</t>
        </is>
      </c>
      <c r="C44" s="491">
        <f>+C45+C60+C78</f>
        <v/>
      </c>
      <c r="D44" s="492" t="n"/>
      <c r="E44" s="1069" t="n"/>
      <c r="F44" s="491">
        <f>+F45+F60+F78</f>
        <v/>
      </c>
      <c r="G44" s="492" t="n"/>
      <c r="H44" s="1069" t="n"/>
      <c r="I44" s="491">
        <f>+I45+I60+I78</f>
        <v/>
      </c>
      <c r="J44" s="492" t="n"/>
      <c r="K44" s="1069" t="n"/>
      <c r="L44" s="491">
        <f>+L45+L60+L78</f>
        <v/>
      </c>
      <c r="M44" s="492" t="n"/>
      <c r="N44" s="1069" t="n"/>
      <c r="O44" s="491">
        <f>+O45+O60+O78</f>
        <v/>
      </c>
      <c r="P44" s="492" t="n"/>
      <c r="Q44" s="1069" t="n"/>
      <c r="R44" s="491">
        <f>+R45+R60+R78</f>
        <v/>
      </c>
      <c r="S44" s="492" t="n"/>
      <c r="T44" s="1069" t="n"/>
      <c r="U44" s="491">
        <f>+U45+U60+U78</f>
        <v/>
      </c>
      <c r="V44" s="492" t="n"/>
      <c r="W44" s="1069" t="n"/>
      <c r="X44" s="491">
        <f>+X45+X60+X78</f>
        <v/>
      </c>
      <c r="Y44" s="492" t="n"/>
      <c r="Z44" s="1069" t="n"/>
      <c r="AA44" s="491">
        <f>+AA45+AA60+AA78</f>
        <v/>
      </c>
      <c r="AB44" s="492" t="n"/>
      <c r="AC44" s="1069" t="n"/>
      <c r="AD44" s="491">
        <f>+AD45+AD60+AD78</f>
        <v/>
      </c>
      <c r="AE44" s="492" t="n"/>
      <c r="AF44" s="1069" t="n"/>
      <c r="AG44" s="441">
        <f>+AG45+AG60+AG78</f>
        <v/>
      </c>
      <c r="AH44" s="442" t="n"/>
      <c r="AI44" s="1103" t="n"/>
      <c r="AJ44" s="441">
        <f>+AJ45+AJ60+AJ78</f>
        <v/>
      </c>
      <c r="AK44" s="442" t="n"/>
      <c r="AL44" s="1247">
        <f>AJ44/AJ$13</f>
        <v/>
      </c>
      <c r="AM44" s="583">
        <f>C44+F44+I44+L44+O44+R44+U44+X44+AA44+AD44+AG44+AJ44</f>
        <v/>
      </c>
      <c r="AN44" s="492" t="n"/>
      <c r="AO44" s="1070" t="n"/>
    </row>
    <row r="45" hidden="1" ht="15" customHeight="1" s="985">
      <c r="B45" s="16" t="inlineStr">
        <is>
          <t>COSTOS INDUSTRIALIZADOS</t>
        </is>
      </c>
      <c r="C45" s="49">
        <f>+C46+C58+C59</f>
        <v/>
      </c>
      <c r="D45" s="3" t="n"/>
      <c r="E45" s="1053" t="n"/>
      <c r="F45" s="49">
        <f>+F46+F58+F59</f>
        <v/>
      </c>
      <c r="G45" s="3" t="n"/>
      <c r="H45" s="1053" t="n"/>
      <c r="I45" s="49">
        <f>+I46+I58+I59</f>
        <v/>
      </c>
      <c r="J45" s="3" t="n"/>
      <c r="K45" s="1053" t="n"/>
      <c r="L45" s="49">
        <f>+L46+L58+L59</f>
        <v/>
      </c>
      <c r="M45" s="3" t="n"/>
      <c r="N45" s="1053" t="n"/>
      <c r="O45" s="49">
        <f>+O46+O58+O59</f>
        <v/>
      </c>
      <c r="P45" s="3" t="n"/>
      <c r="Q45" s="1053" t="n"/>
      <c r="R45" s="49">
        <f>+R46+R58+R59</f>
        <v/>
      </c>
      <c r="S45" s="3" t="n"/>
      <c r="T45" s="1053" t="n"/>
      <c r="U45" s="49">
        <f>+U46+U58+U59</f>
        <v/>
      </c>
      <c r="V45" s="3" t="n"/>
      <c r="W45" s="1053" t="n"/>
      <c r="X45" s="49">
        <f>+X46+X58+X59</f>
        <v/>
      </c>
      <c r="Y45" s="3" t="n"/>
      <c r="Z45" s="1053" t="n"/>
      <c r="AA45" s="49">
        <f>+AA46+AA58+AA59</f>
        <v/>
      </c>
      <c r="AB45" s="3" t="n"/>
      <c r="AC45" s="1053" t="n"/>
      <c r="AD45" s="49">
        <f>+AD46+AD58+AD59</f>
        <v/>
      </c>
      <c r="AE45" s="3" t="n"/>
      <c r="AF45" s="1053" t="n"/>
      <c r="AG45" s="49">
        <f>+AG46+AG58+AG59</f>
        <v/>
      </c>
      <c r="AH45" s="3" t="n"/>
      <c r="AI45" s="1053" t="n"/>
      <c r="AJ45" s="49">
        <f>+AJ46+AJ58+AJ59</f>
        <v/>
      </c>
      <c r="AK45" s="3" t="n"/>
      <c r="AL45" s="61" t="n"/>
      <c r="AM45" s="16">
        <f>C45+F45+I45+L45+O45+R45+U45+X45+AA45+AD45+AG45+AJ45</f>
        <v/>
      </c>
      <c r="AN45" s="3" t="n"/>
      <c r="AO45" s="1054" t="n"/>
    </row>
    <row r="46" hidden="1" ht="15" customHeight="1" s="985">
      <c r="B46" s="36" t="inlineStr">
        <is>
          <t>INSUMOS</t>
        </is>
      </c>
      <c r="C46" s="37">
        <f>SUM(C47:C56)+C57</f>
        <v/>
      </c>
      <c r="D46" s="67" t="n"/>
      <c r="E46" s="1071" t="n"/>
      <c r="F46" s="37">
        <f>SUM(F47:F56)+F57</f>
        <v/>
      </c>
      <c r="G46" s="67" t="n"/>
      <c r="H46" s="1071" t="n"/>
      <c r="I46" s="37">
        <f>SUM(I47:I56)+I57</f>
        <v/>
      </c>
      <c r="J46" s="67" t="n"/>
      <c r="K46" s="1071" t="n"/>
      <c r="L46" s="37">
        <f>SUM(L47:L56)+L57</f>
        <v/>
      </c>
      <c r="M46" s="67" t="n"/>
      <c r="N46" s="1071" t="n"/>
      <c r="O46" s="37">
        <f>SUM(O47:O56)+O57</f>
        <v/>
      </c>
      <c r="P46" s="67" t="n"/>
      <c r="Q46" s="1071" t="n"/>
      <c r="R46" s="37">
        <f>SUM(R47:R56)+R57</f>
        <v/>
      </c>
      <c r="S46" s="67" t="n"/>
      <c r="T46" s="1071" t="n"/>
      <c r="U46" s="37">
        <f>SUM(U47:U56)+U57</f>
        <v/>
      </c>
      <c r="V46" s="67" t="n"/>
      <c r="W46" s="1071" t="n"/>
      <c r="X46" s="37">
        <f>SUM(X47:X56)+X57</f>
        <v/>
      </c>
      <c r="Y46" s="67" t="n"/>
      <c r="Z46" s="1071" t="n"/>
      <c r="AA46" s="37">
        <f>SUM(AA47:AA56)+AA57</f>
        <v/>
      </c>
      <c r="AB46" s="67" t="n"/>
      <c r="AC46" s="1071" t="n"/>
      <c r="AD46" s="37">
        <f>SUM(AD47:AD56)+AD57</f>
        <v/>
      </c>
      <c r="AE46" s="67" t="n"/>
      <c r="AF46" s="1071" t="n"/>
      <c r="AG46" s="37">
        <f>SUM(AG47:AG56)+AG57</f>
        <v/>
      </c>
      <c r="AH46" s="67" t="n"/>
      <c r="AI46" s="1071" t="n"/>
      <c r="AJ46" s="37">
        <f>SUM(AJ47:AJ56)+AJ57</f>
        <v/>
      </c>
      <c r="AK46" s="67" t="n"/>
      <c r="AL46" s="68" t="n"/>
      <c r="AM46" s="211">
        <f>C46+F46+I46+L46+O46+R46+U46+X46+AA46+AD46+AG46+AJ46</f>
        <v/>
      </c>
      <c r="AN46" s="67" t="n"/>
      <c r="AO46" s="1072" t="n"/>
    </row>
    <row r="47" hidden="1" ht="15" customHeight="1" s="985">
      <c r="B47" s="97" t="n"/>
      <c r="C47" s="76" t="n"/>
      <c r="D47" s="42" t="n"/>
      <c r="E47" s="1057" t="n"/>
      <c r="F47" s="76" t="n"/>
      <c r="G47" s="42" t="n"/>
      <c r="H47" s="1057" t="n"/>
      <c r="I47" s="76" t="n"/>
      <c r="J47" s="42" t="n"/>
      <c r="K47" s="1057" t="n"/>
      <c r="L47" s="76" t="n"/>
      <c r="M47" s="42" t="n"/>
      <c r="N47" s="1057" t="n"/>
      <c r="O47" s="76" t="n"/>
      <c r="P47" s="42" t="n"/>
      <c r="Q47" s="1057" t="n"/>
      <c r="R47" s="76" t="n"/>
      <c r="S47" s="42" t="n"/>
      <c r="T47" s="1057" t="n"/>
      <c r="U47" s="76" t="n"/>
      <c r="V47" s="42" t="n"/>
      <c r="W47" s="1057" t="n"/>
      <c r="X47" s="76" t="n"/>
      <c r="Y47" s="42" t="n"/>
      <c r="Z47" s="1057" t="n"/>
      <c r="AA47" s="76" t="n"/>
      <c r="AB47" s="42" t="n"/>
      <c r="AC47" s="1057" t="n"/>
      <c r="AD47" s="76" t="n"/>
      <c r="AE47" s="42" t="n"/>
      <c r="AF47" s="1057" t="n"/>
      <c r="AG47" s="76" t="n"/>
      <c r="AH47" s="42" t="n"/>
      <c r="AI47" s="1057" t="n"/>
      <c r="AJ47" s="76" t="n"/>
      <c r="AK47" s="42" t="n"/>
      <c r="AL47" s="1057" t="n"/>
      <c r="AM47" s="97" t="n"/>
      <c r="AN47" s="42">
        <f>AM47/AM5</f>
        <v/>
      </c>
      <c r="AO47" s="1058" t="n"/>
    </row>
    <row r="48" hidden="1" ht="15" customHeight="1" s="985">
      <c r="B48" s="25" t="n"/>
      <c r="C48" s="25" t="n"/>
      <c r="D48" s="43" t="n"/>
      <c r="E48" s="1045" t="n"/>
      <c r="F48" s="25" t="n"/>
      <c r="G48" s="43" t="n"/>
      <c r="H48" s="1045" t="n"/>
      <c r="I48" s="75" t="n"/>
      <c r="J48" s="43" t="n"/>
      <c r="K48" s="1045" t="n"/>
      <c r="L48" s="75" t="n"/>
      <c r="M48" s="43" t="n"/>
      <c r="N48" s="1045" t="n"/>
      <c r="O48" s="75" t="n"/>
      <c r="P48" s="43" t="n"/>
      <c r="Q48" s="1045" t="n"/>
      <c r="R48" s="75" t="n"/>
      <c r="S48" s="43" t="n"/>
      <c r="T48" s="1045" t="n"/>
      <c r="U48" s="75" t="n"/>
      <c r="V48" s="43" t="n"/>
      <c r="W48" s="1045" t="n"/>
      <c r="X48" s="75" t="n"/>
      <c r="Y48" s="43" t="n"/>
      <c r="Z48" s="1045" t="n"/>
      <c r="AA48" s="75" t="n"/>
      <c r="AB48" s="43" t="n"/>
      <c r="AC48" s="1045" t="n"/>
      <c r="AD48" s="75" t="n"/>
      <c r="AE48" s="43" t="n"/>
      <c r="AF48" s="1045" t="n"/>
      <c r="AG48" s="75" t="n"/>
      <c r="AH48" s="43" t="n"/>
      <c r="AI48" s="1045" t="n"/>
      <c r="AJ48" s="75" t="n"/>
      <c r="AK48" s="43" t="n"/>
      <c r="AL48" s="57" t="n"/>
      <c r="AM48" s="205" t="n"/>
      <c r="AN48" s="43" t="n"/>
      <c r="AO48" s="1046" t="n"/>
    </row>
    <row r="49" hidden="1" ht="15" customHeight="1" s="985">
      <c r="B49" s="25" t="n"/>
      <c r="C49" s="25" t="n"/>
      <c r="D49" s="43" t="n"/>
      <c r="E49" s="1045" t="n"/>
      <c r="F49" s="25" t="n"/>
      <c r="G49" s="43" t="n"/>
      <c r="H49" s="1045" t="n"/>
      <c r="I49" s="75" t="n"/>
      <c r="J49" s="43" t="n"/>
      <c r="K49" s="1045" t="n"/>
      <c r="L49" s="75" t="n"/>
      <c r="M49" s="43" t="n"/>
      <c r="N49" s="1045" t="n"/>
      <c r="O49" s="75" t="n"/>
      <c r="P49" s="43" t="n"/>
      <c r="Q49" s="1045" t="n"/>
      <c r="R49" s="75" t="n"/>
      <c r="S49" s="43" t="n"/>
      <c r="T49" s="1045" t="n"/>
      <c r="U49" s="75" t="n"/>
      <c r="V49" s="43" t="n"/>
      <c r="W49" s="1045" t="n"/>
      <c r="X49" s="75" t="n"/>
      <c r="Y49" s="43" t="n"/>
      <c r="Z49" s="1045" t="n"/>
      <c r="AA49" s="75" t="n"/>
      <c r="AB49" s="43" t="n"/>
      <c r="AC49" s="1045" t="n"/>
      <c r="AD49" s="75" t="n"/>
      <c r="AE49" s="43" t="n"/>
      <c r="AF49" s="1045" t="n"/>
      <c r="AG49" s="75" t="n"/>
      <c r="AH49" s="43" t="n"/>
      <c r="AI49" s="1045" t="n"/>
      <c r="AJ49" s="75" t="n"/>
      <c r="AK49" s="43" t="n"/>
      <c r="AL49" s="57" t="n"/>
      <c r="AM49" s="205" t="n"/>
      <c r="AN49" s="43" t="n"/>
      <c r="AO49" s="1046" t="n"/>
    </row>
    <row r="50" hidden="1" ht="15" customHeight="1" s="985">
      <c r="B50" s="25" t="n"/>
      <c r="C50" s="25" t="n"/>
      <c r="D50" s="43" t="n"/>
      <c r="E50" s="1045" t="n"/>
      <c r="F50" s="25" t="n"/>
      <c r="G50" s="43" t="n"/>
      <c r="H50" s="1045" t="n"/>
      <c r="I50" s="25" t="n"/>
      <c r="J50" s="43" t="n"/>
      <c r="K50" s="1045" t="n"/>
      <c r="L50" s="25" t="n"/>
      <c r="M50" s="43" t="n"/>
      <c r="N50" s="1045" t="n"/>
      <c r="O50" s="25" t="n"/>
      <c r="P50" s="43" t="n"/>
      <c r="Q50" s="1045" t="n"/>
      <c r="R50" s="25" t="n"/>
      <c r="S50" s="43" t="n"/>
      <c r="T50" s="1045" t="n"/>
      <c r="U50" s="25" t="n"/>
      <c r="V50" s="43" t="n"/>
      <c r="W50" s="1045" t="n"/>
      <c r="X50" s="25" t="n"/>
      <c r="Y50" s="43" t="n"/>
      <c r="Z50" s="1045" t="n"/>
      <c r="AA50" s="25" t="n"/>
      <c r="AB50" s="43" t="n"/>
      <c r="AC50" s="1045" t="n"/>
      <c r="AD50" s="25" t="n"/>
      <c r="AE50" s="43" t="n"/>
      <c r="AF50" s="1045" t="n"/>
      <c r="AG50" s="25" t="n"/>
      <c r="AH50" s="43" t="n"/>
      <c r="AI50" s="1045" t="n"/>
      <c r="AJ50" s="25" t="n"/>
      <c r="AK50" s="43" t="n"/>
      <c r="AL50" s="57" t="n"/>
      <c r="AM50" s="205" t="n"/>
      <c r="AN50" s="43" t="n"/>
      <c r="AO50" s="1046" t="n"/>
    </row>
    <row r="51" hidden="1" ht="15" customHeight="1" s="985">
      <c r="B51" s="25" t="n"/>
      <c r="C51" s="25" t="n"/>
      <c r="D51" s="43" t="n"/>
      <c r="E51" s="1045" t="n"/>
      <c r="F51" s="25" t="n"/>
      <c r="G51" s="43" t="n"/>
      <c r="H51" s="1045" t="n"/>
      <c r="I51" s="25" t="n"/>
      <c r="J51" s="43" t="n"/>
      <c r="K51" s="1045" t="n"/>
      <c r="L51" s="25" t="n"/>
      <c r="M51" s="43" t="n"/>
      <c r="N51" s="1045" t="n"/>
      <c r="O51" s="25" t="n"/>
      <c r="P51" s="43" t="n"/>
      <c r="Q51" s="1045" t="n"/>
      <c r="R51" s="25" t="n"/>
      <c r="S51" s="43" t="n"/>
      <c r="T51" s="1045" t="n"/>
      <c r="U51" s="25" t="n"/>
      <c r="V51" s="43" t="n"/>
      <c r="W51" s="1045" t="n"/>
      <c r="X51" s="25" t="n"/>
      <c r="Y51" s="43" t="n"/>
      <c r="Z51" s="1045" t="n"/>
      <c r="AA51" s="25" t="n"/>
      <c r="AB51" s="43" t="n"/>
      <c r="AC51" s="1045" t="n"/>
      <c r="AD51" s="25" t="n"/>
      <c r="AE51" s="43" t="n"/>
      <c r="AF51" s="1045" t="n"/>
      <c r="AG51" s="25" t="n"/>
      <c r="AH51" s="43" t="n"/>
      <c r="AI51" s="1045" t="n"/>
      <c r="AJ51" s="25" t="n"/>
      <c r="AK51" s="43" t="n"/>
      <c r="AL51" s="57" t="n"/>
      <c r="AM51" s="205" t="n"/>
      <c r="AN51" s="43" t="n"/>
      <c r="AO51" s="1046" t="n"/>
    </row>
    <row r="52" hidden="1" ht="15" customHeight="1" s="985">
      <c r="B52" s="25" t="n"/>
      <c r="C52" s="25" t="n"/>
      <c r="D52" s="43" t="n"/>
      <c r="E52" s="1045" t="n"/>
      <c r="F52" s="25" t="n"/>
      <c r="G52" s="43" t="n"/>
      <c r="H52" s="1045" t="n"/>
      <c r="I52" s="25" t="n"/>
      <c r="J52" s="43" t="n"/>
      <c r="K52" s="1045" t="n"/>
      <c r="L52" s="25" t="n"/>
      <c r="M52" s="43" t="n"/>
      <c r="N52" s="1045" t="n"/>
      <c r="O52" s="25" t="n"/>
      <c r="P52" s="43" t="n"/>
      <c r="Q52" s="1045" t="n"/>
      <c r="R52" s="25" t="n"/>
      <c r="S52" s="43" t="n"/>
      <c r="T52" s="1045" t="n"/>
      <c r="U52" s="25" t="n"/>
      <c r="V52" s="43" t="n"/>
      <c r="W52" s="1045" t="n"/>
      <c r="X52" s="25" t="n"/>
      <c r="Y52" s="43" t="n"/>
      <c r="Z52" s="1045" t="n"/>
      <c r="AA52" s="25" t="n"/>
      <c r="AB52" s="43" t="n"/>
      <c r="AC52" s="1045" t="n"/>
      <c r="AD52" s="25" t="n"/>
      <c r="AE52" s="43" t="n"/>
      <c r="AF52" s="1045" t="n"/>
      <c r="AG52" s="25" t="n"/>
      <c r="AH52" s="43" t="n"/>
      <c r="AI52" s="1045" t="n"/>
      <c r="AJ52" s="25" t="n"/>
      <c r="AK52" s="43" t="n"/>
      <c r="AL52" s="57" t="n"/>
      <c r="AM52" s="205" t="n"/>
      <c r="AN52" s="43" t="n"/>
      <c r="AO52" s="1046" t="n"/>
    </row>
    <row r="53" hidden="1" ht="15" customHeight="1" s="985">
      <c r="B53" s="25" t="n"/>
      <c r="C53" s="25" t="n"/>
      <c r="D53" s="43" t="n"/>
      <c r="E53" s="1045" t="n"/>
      <c r="F53" s="25" t="n"/>
      <c r="G53" s="43" t="n"/>
      <c r="H53" s="1045" t="n"/>
      <c r="I53" s="25" t="n"/>
      <c r="J53" s="43" t="n"/>
      <c r="K53" s="1045" t="n"/>
      <c r="L53" s="25" t="n"/>
      <c r="M53" s="43" t="n"/>
      <c r="N53" s="1045" t="n"/>
      <c r="O53" s="25" t="n"/>
      <c r="P53" s="43" t="n"/>
      <c r="Q53" s="1045" t="n"/>
      <c r="R53" s="25" t="n"/>
      <c r="S53" s="43" t="n"/>
      <c r="T53" s="1045" t="n"/>
      <c r="U53" s="25" t="n"/>
      <c r="V53" s="43" t="n"/>
      <c r="W53" s="1045" t="n"/>
      <c r="X53" s="25" t="n"/>
      <c r="Y53" s="43" t="n"/>
      <c r="Z53" s="1045" t="n"/>
      <c r="AA53" s="25" t="n"/>
      <c r="AB53" s="43" t="n"/>
      <c r="AC53" s="1045" t="n"/>
      <c r="AD53" s="25" t="n"/>
      <c r="AE53" s="43" t="n"/>
      <c r="AF53" s="1045" t="n"/>
      <c r="AG53" s="25" t="n"/>
      <c r="AH53" s="43" t="n"/>
      <c r="AI53" s="1045" t="n"/>
      <c r="AJ53" s="25" t="n"/>
      <c r="AK53" s="43" t="n"/>
      <c r="AL53" s="57" t="n"/>
      <c r="AM53" s="205" t="n"/>
      <c r="AN53" s="43" t="n"/>
      <c r="AO53" s="1046" t="n"/>
    </row>
    <row r="54" hidden="1" ht="15" customHeight="1" s="985">
      <c r="B54" s="25" t="n"/>
      <c r="C54" s="25" t="n"/>
      <c r="D54" s="43" t="n"/>
      <c r="E54" s="1045" t="n"/>
      <c r="F54" s="25" t="n"/>
      <c r="G54" s="43" t="n"/>
      <c r="H54" s="1045" t="n"/>
      <c r="I54" s="25" t="n"/>
      <c r="J54" s="43" t="n"/>
      <c r="K54" s="1045" t="n"/>
      <c r="L54" s="25" t="n"/>
      <c r="M54" s="43" t="n"/>
      <c r="N54" s="1045" t="n"/>
      <c r="O54" s="25" t="n"/>
      <c r="P54" s="43" t="n"/>
      <c r="Q54" s="1045" t="n"/>
      <c r="R54" s="25" t="n"/>
      <c r="S54" s="43" t="n"/>
      <c r="T54" s="1045" t="n"/>
      <c r="U54" s="25" t="n"/>
      <c r="V54" s="43" t="n"/>
      <c r="W54" s="1045" t="n"/>
      <c r="X54" s="25" t="n"/>
      <c r="Y54" s="43" t="n"/>
      <c r="Z54" s="1045" t="n"/>
      <c r="AA54" s="25" t="n"/>
      <c r="AB54" s="43" t="n"/>
      <c r="AC54" s="1045" t="n"/>
      <c r="AD54" s="25" t="n"/>
      <c r="AE54" s="43" t="n"/>
      <c r="AF54" s="1045" t="n"/>
      <c r="AG54" s="25" t="n"/>
      <c r="AH54" s="43" t="n"/>
      <c r="AI54" s="1045" t="n"/>
      <c r="AJ54" s="25" t="n"/>
      <c r="AK54" s="43" t="n"/>
      <c r="AL54" s="57" t="n"/>
      <c r="AM54" s="205" t="n"/>
      <c r="AN54" s="43" t="n"/>
      <c r="AO54" s="1046" t="n"/>
    </row>
    <row r="55" hidden="1" ht="15" customHeight="1" s="985">
      <c r="B55" s="25" t="n"/>
      <c r="C55" s="25" t="n"/>
      <c r="D55" s="43" t="n"/>
      <c r="E55" s="1045" t="n"/>
      <c r="F55" s="25" t="n"/>
      <c r="G55" s="43" t="n"/>
      <c r="H55" s="1045" t="n"/>
      <c r="I55" s="25" t="n"/>
      <c r="J55" s="43" t="n"/>
      <c r="K55" s="1045" t="n"/>
      <c r="L55" s="25" t="n"/>
      <c r="M55" s="43" t="n"/>
      <c r="N55" s="1045" t="n"/>
      <c r="O55" s="25" t="n"/>
      <c r="P55" s="43" t="n"/>
      <c r="Q55" s="1045" t="n"/>
      <c r="R55" s="25" t="n"/>
      <c r="S55" s="43" t="n"/>
      <c r="T55" s="1045" t="n"/>
      <c r="U55" s="25" t="n"/>
      <c r="V55" s="43" t="n"/>
      <c r="W55" s="1045" t="n"/>
      <c r="X55" s="25" t="n"/>
      <c r="Y55" s="43" t="n"/>
      <c r="Z55" s="1045" t="n"/>
      <c r="AA55" s="25" t="n"/>
      <c r="AB55" s="43" t="n"/>
      <c r="AC55" s="1045" t="n"/>
      <c r="AD55" s="25" t="n"/>
      <c r="AE55" s="43" t="n"/>
      <c r="AF55" s="1045" t="n"/>
      <c r="AG55" s="25" t="n"/>
      <c r="AH55" s="43" t="n"/>
      <c r="AI55" s="1045" t="n"/>
      <c r="AJ55" s="25" t="n"/>
      <c r="AK55" s="43" t="n"/>
      <c r="AL55" s="57" t="n"/>
      <c r="AM55" s="205" t="n"/>
      <c r="AN55" s="43" t="n"/>
      <c r="AO55" s="1046" t="n"/>
    </row>
    <row r="56" hidden="1" ht="15" customHeight="1" s="985">
      <c r="B56" s="22" t="n"/>
      <c r="C56" s="22" t="n"/>
      <c r="D56" s="42" t="n"/>
      <c r="E56" s="1057" t="n"/>
      <c r="F56" s="22" t="n"/>
      <c r="G56" s="42" t="n"/>
      <c r="H56" s="1057" t="n"/>
      <c r="I56" s="22" t="n"/>
      <c r="J56" s="42" t="n"/>
      <c r="K56" s="1057" t="n"/>
      <c r="L56" s="22" t="n"/>
      <c r="M56" s="42" t="n"/>
      <c r="N56" s="1057" t="n"/>
      <c r="O56" s="22" t="n"/>
      <c r="P56" s="42" t="n"/>
      <c r="Q56" s="1057" t="n"/>
      <c r="R56" s="22" t="n"/>
      <c r="S56" s="42" t="n"/>
      <c r="T56" s="1057" t="n"/>
      <c r="U56" s="22" t="n"/>
      <c r="V56" s="42" t="n"/>
      <c r="W56" s="1057" t="n"/>
      <c r="X56" s="22" t="n"/>
      <c r="Y56" s="42" t="n"/>
      <c r="Z56" s="1057" t="n"/>
      <c r="AA56" s="22" t="n"/>
      <c r="AB56" s="42" t="n"/>
      <c r="AC56" s="1057" t="n"/>
      <c r="AD56" s="22" t="n"/>
      <c r="AE56" s="42" t="n"/>
      <c r="AF56" s="1057" t="n"/>
      <c r="AG56" s="22" t="n"/>
      <c r="AH56" s="42" t="n"/>
      <c r="AI56" s="1057" t="n"/>
      <c r="AJ56" s="22" t="n"/>
      <c r="AK56" s="42" t="n"/>
      <c r="AL56" s="56" t="n"/>
      <c r="AM56" s="97" t="n"/>
      <c r="AN56" s="42" t="n"/>
      <c r="AO56" s="1058" t="n"/>
    </row>
    <row r="57" hidden="1" ht="15" customHeight="1" s="985">
      <c r="B57" s="36" t="n"/>
      <c r="C57" s="37" t="n"/>
      <c r="D57" s="67" t="n"/>
      <c r="E57" s="1071" t="n"/>
      <c r="F57" s="37" t="n"/>
      <c r="G57" s="67" t="n"/>
      <c r="H57" s="1071" t="n"/>
      <c r="I57" s="37" t="n"/>
      <c r="J57" s="67" t="n"/>
      <c r="K57" s="1071" t="n"/>
      <c r="L57" s="37" t="n"/>
      <c r="M57" s="67" t="n"/>
      <c r="N57" s="1071" t="n"/>
      <c r="O57" s="37" t="n"/>
      <c r="P57" s="67" t="n"/>
      <c r="Q57" s="1071" t="n"/>
      <c r="R57" s="37" t="n"/>
      <c r="S57" s="67" t="n"/>
      <c r="T57" s="1071" t="n"/>
      <c r="U57" s="37" t="n"/>
      <c r="V57" s="67" t="n"/>
      <c r="W57" s="1071" t="n"/>
      <c r="X57" s="37" t="n"/>
      <c r="Y57" s="67" t="n"/>
      <c r="Z57" s="1071" t="n"/>
      <c r="AA57" s="37" t="n"/>
      <c r="AB57" s="67" t="n"/>
      <c r="AC57" s="1071" t="n"/>
      <c r="AD57" s="37" t="n"/>
      <c r="AE57" s="67" t="n"/>
      <c r="AF57" s="1071" t="n"/>
      <c r="AG57" s="37" t="n"/>
      <c r="AH57" s="67" t="n"/>
      <c r="AI57" s="1071" t="n"/>
      <c r="AJ57" s="37" t="n"/>
      <c r="AK57" s="67" t="n"/>
      <c r="AL57" s="68" t="n"/>
      <c r="AM57" s="211" t="n"/>
      <c r="AN57" s="67" t="n"/>
      <c r="AO57" s="1072" t="n"/>
    </row>
    <row r="58" hidden="1" ht="15" customHeight="1" s="985">
      <c r="B58" s="36" t="n"/>
      <c r="C58" s="37" t="n"/>
      <c r="D58" s="67" t="n"/>
      <c r="E58" s="1071" t="n"/>
      <c r="F58" s="37" t="n"/>
      <c r="G58" s="67" t="n"/>
      <c r="H58" s="1071" t="n"/>
      <c r="I58" s="37" t="n"/>
      <c r="J58" s="67" t="n"/>
      <c r="K58" s="1071" t="n"/>
      <c r="L58" s="37" t="n"/>
      <c r="M58" s="67" t="n"/>
      <c r="N58" s="1071" t="n"/>
      <c r="O58" s="37" t="n"/>
      <c r="P58" s="67" t="n"/>
      <c r="Q58" s="1071" t="n"/>
      <c r="R58" s="37" t="n"/>
      <c r="S58" s="67" t="n"/>
      <c r="T58" s="1071" t="n"/>
      <c r="U58" s="37" t="n"/>
      <c r="V58" s="67" t="n"/>
      <c r="W58" s="1071" t="n"/>
      <c r="X58" s="37" t="n"/>
      <c r="Y58" s="67" t="n"/>
      <c r="Z58" s="1071" t="n"/>
      <c r="AA58" s="37" t="n"/>
      <c r="AB58" s="67" t="n"/>
      <c r="AC58" s="1071" t="n"/>
      <c r="AD58" s="37" t="n"/>
      <c r="AE58" s="67" t="n"/>
      <c r="AF58" s="1071" t="n"/>
      <c r="AG58" s="37" t="n"/>
      <c r="AH58" s="67" t="n"/>
      <c r="AI58" s="1071" t="n"/>
      <c r="AJ58" s="37" t="n"/>
      <c r="AK58" s="67" t="n"/>
      <c r="AL58" s="68" t="n"/>
      <c r="AM58" s="211" t="n"/>
      <c r="AN58" s="67" t="n"/>
      <c r="AO58" s="1072" t="n"/>
    </row>
    <row r="59" hidden="1" ht="15" customFormat="1" customHeight="1" s="108">
      <c r="A59" s="229" t="n"/>
      <c r="B59" s="36" t="n"/>
      <c r="C59" s="37" t="n"/>
      <c r="D59" s="45" t="n"/>
      <c r="E59" s="1073" t="n"/>
      <c r="F59" s="37" t="n"/>
      <c r="G59" s="45" t="n"/>
      <c r="H59" s="1073" t="n"/>
      <c r="I59" s="37" t="n"/>
      <c r="J59" s="365" t="n"/>
      <c r="K59" s="1073" t="n"/>
      <c r="L59" s="37" t="n"/>
      <c r="M59" s="45" t="n"/>
      <c r="N59" s="1073" t="n"/>
      <c r="O59" s="37" t="n"/>
      <c r="P59" s="45" t="n"/>
      <c r="Q59" s="1073" t="n"/>
      <c r="R59" s="37" t="n"/>
      <c r="S59" s="45" t="n"/>
      <c r="T59" s="1073" t="n"/>
      <c r="U59" s="37" t="n"/>
      <c r="V59" s="45" t="n"/>
      <c r="W59" s="1073" t="n"/>
      <c r="X59" s="37" t="n"/>
      <c r="Y59" s="45" t="n"/>
      <c r="Z59" s="1073" t="n"/>
      <c r="AA59" s="37" t="n"/>
      <c r="AB59" s="45" t="n"/>
      <c r="AC59" s="1073" t="n"/>
      <c r="AD59" s="37" t="n"/>
      <c r="AE59" s="45" t="n"/>
      <c r="AF59" s="1073" t="n"/>
      <c r="AG59" s="37" t="n"/>
      <c r="AH59" s="45" t="n"/>
      <c r="AI59" s="1073" t="n"/>
      <c r="AJ59" s="37" t="n"/>
      <c r="AK59" s="45" t="n"/>
      <c r="AL59" s="1073" t="n"/>
      <c r="AM59" s="211" t="n"/>
      <c r="AN59" s="42" t="n"/>
      <c r="AO59" s="1074" t="n"/>
    </row>
    <row r="60" hidden="1" ht="15" customHeight="1" s="985">
      <c r="B60" s="16" t="inlineStr">
        <is>
          <t>COSTOS PREPARADOS</t>
        </is>
      </c>
      <c r="C60" s="49">
        <f>+C61+C73+C74+C75+C76+C77</f>
        <v/>
      </c>
      <c r="D60" s="67" t="n"/>
      <c r="E60" s="1071" t="n"/>
      <c r="F60" s="49">
        <f>+F61+F73+F74+F75+F76+F77</f>
        <v/>
      </c>
      <c r="G60" s="3" t="n"/>
      <c r="H60" s="1053" t="n"/>
      <c r="I60" s="49">
        <f>+I61+I73+I74+I75+I76+I77</f>
        <v/>
      </c>
      <c r="J60" s="3" t="n"/>
      <c r="K60" s="1053" t="n"/>
      <c r="L60" s="49">
        <f>+L61+L73+L74+L75+L76+L77</f>
        <v/>
      </c>
      <c r="M60" s="3" t="n"/>
      <c r="N60" s="1053" t="n"/>
      <c r="O60" s="49">
        <f>+O61+O73+O74+O75+O76+O77</f>
        <v/>
      </c>
      <c r="P60" s="3" t="n"/>
      <c r="Q60" s="1053" t="n"/>
      <c r="R60" s="49">
        <f>+R61+R73+R74+R75+R76+R77</f>
        <v/>
      </c>
      <c r="S60" s="3" t="n"/>
      <c r="T60" s="1053" t="n"/>
      <c r="U60" s="49">
        <f>+U61+U73+U74+U75+U76+U77</f>
        <v/>
      </c>
      <c r="V60" s="3" t="n"/>
      <c r="W60" s="1053" t="n"/>
      <c r="X60" s="49">
        <f>+X61+X73+X74+X75+X76+X77</f>
        <v/>
      </c>
      <c r="Y60" s="3" t="n"/>
      <c r="Z60" s="1053" t="n"/>
      <c r="AA60" s="49">
        <f>+AA61+AA73+AA74+AA75+AA76+AA77</f>
        <v/>
      </c>
      <c r="AB60" s="3" t="n"/>
      <c r="AC60" s="1053" t="n"/>
      <c r="AD60" s="49">
        <f>+AD61+AD73+AD74+AD75+AD76+AD77</f>
        <v/>
      </c>
      <c r="AE60" s="3" t="n"/>
      <c r="AF60" s="1053" t="n"/>
      <c r="AG60" s="49">
        <f>+AG61+AG73+AG74+AG75+AG76+AG77</f>
        <v/>
      </c>
      <c r="AH60" s="3" t="n"/>
      <c r="AI60" s="1053" t="n"/>
      <c r="AJ60" s="49">
        <f>+AJ61+AJ73+AJ74+AJ75+AJ76+AJ77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054" t="n"/>
    </row>
    <row r="61" hidden="1" ht="15" customHeight="1" s="985">
      <c r="B61" s="36" t="inlineStr">
        <is>
          <t>INSUMOS</t>
        </is>
      </c>
      <c r="C61" s="37">
        <f>SUM(C62:C71)+C72</f>
        <v/>
      </c>
      <c r="D61" s="67" t="n"/>
      <c r="E61" s="1071" t="n"/>
      <c r="F61" s="37">
        <f>SUM(F62:F71)+F72</f>
        <v/>
      </c>
      <c r="G61" s="67" t="n"/>
      <c r="H61" s="1071" t="n"/>
      <c r="I61" s="37">
        <f>SUM(I62:I71)+I72</f>
        <v/>
      </c>
      <c r="J61" s="67" t="n"/>
      <c r="K61" s="1071" t="n"/>
      <c r="L61" s="37">
        <f>SUM(L62:L71)+L72</f>
        <v/>
      </c>
      <c r="M61" s="67" t="n"/>
      <c r="N61" s="1071" t="n"/>
      <c r="O61" s="37">
        <f>SUM(O62:O71)+O72</f>
        <v/>
      </c>
      <c r="P61" s="67" t="n"/>
      <c r="Q61" s="1071" t="n"/>
      <c r="R61" s="37">
        <f>SUM(R62:R71)+R72</f>
        <v/>
      </c>
      <c r="S61" s="67" t="n"/>
      <c r="T61" s="1071" t="n"/>
      <c r="U61" s="37">
        <f>SUM(U62:U71)+U72</f>
        <v/>
      </c>
      <c r="V61" s="67" t="n"/>
      <c r="W61" s="1071" t="n"/>
      <c r="X61" s="37">
        <f>SUM(X62:X71)+X72</f>
        <v/>
      </c>
      <c r="Y61" s="67" t="n"/>
      <c r="Z61" s="1071" t="n"/>
      <c r="AA61" s="37">
        <f>SUM(AA62:AA71)+AA72</f>
        <v/>
      </c>
      <c r="AB61" s="67" t="n"/>
      <c r="AC61" s="1071" t="n"/>
      <c r="AD61" s="37">
        <f>SUM(AD62:AD71)+AD72</f>
        <v/>
      </c>
      <c r="AE61" s="67" t="n"/>
      <c r="AF61" s="1071" t="n"/>
      <c r="AG61" s="37">
        <f>SUM(AG62:AG71)+AG72</f>
        <v/>
      </c>
      <c r="AH61" s="67" t="n"/>
      <c r="AI61" s="1071" t="n"/>
      <c r="AJ61" s="37">
        <f>SUM(AJ62:AJ71)+AJ72</f>
        <v/>
      </c>
      <c r="AK61" s="67" t="n"/>
      <c r="AL61" s="68" t="n"/>
      <c r="AM61" s="211">
        <f>C61+F61+I61+L61+O61+R61+U61+X61+AA61+AD61+AG61+AJ61</f>
        <v/>
      </c>
      <c r="AN61" s="67" t="n"/>
      <c r="AO61" s="1072" t="n"/>
    </row>
    <row r="62" hidden="1" ht="15" customHeight="1" s="985">
      <c r="B62" s="100" t="inlineStr">
        <is>
          <t>Complemento Preparado</t>
        </is>
      </c>
      <c r="C62" s="78" t="n"/>
      <c r="D62" s="79" t="n"/>
      <c r="E62" s="1055" t="n"/>
      <c r="F62" s="78" t="n"/>
      <c r="G62" s="79" t="n"/>
      <c r="H62" s="1055" t="n"/>
      <c r="I62" s="78" t="n"/>
      <c r="J62" s="79" t="n"/>
      <c r="K62" s="1055" t="n"/>
      <c r="L62" s="78" t="n"/>
      <c r="M62" s="79" t="n"/>
      <c r="N62" s="1055" t="n"/>
      <c r="O62" s="78" t="n"/>
      <c r="P62" s="79" t="n"/>
      <c r="Q62" s="1055" t="n"/>
      <c r="R62" s="78" t="n"/>
      <c r="S62" s="79" t="n"/>
      <c r="T62" s="1055" t="n"/>
      <c r="U62" s="78" t="n"/>
      <c r="V62" s="79" t="n"/>
      <c r="W62" s="1055" t="n"/>
      <c r="X62" s="78" t="n"/>
      <c r="Y62" s="79" t="n"/>
      <c r="Z62" s="1055" t="n"/>
      <c r="AA62" s="78" t="n"/>
      <c r="AB62" s="79" t="n"/>
      <c r="AC62" s="1055" t="n"/>
      <c r="AD62" s="78" t="n"/>
      <c r="AE62" s="79" t="n"/>
      <c r="AF62" s="1055" t="n"/>
      <c r="AG62" s="78" t="n"/>
      <c r="AH62" s="79" t="n"/>
      <c r="AI62" s="1055" t="n"/>
      <c r="AJ62" s="78" t="n"/>
      <c r="AK62" s="79" t="n"/>
      <c r="AL62" s="1055" t="n"/>
      <c r="AM62" s="212">
        <f>C62+F62+I62+L62+O62+R62+U62+X62+AA62+AD62+AG62+AJ62</f>
        <v/>
      </c>
      <c r="AN62" s="79">
        <f>AM62/AM6</f>
        <v/>
      </c>
      <c r="AO62" s="1055" t="n"/>
    </row>
    <row r="63" hidden="1" ht="15" customHeight="1" s="985">
      <c r="B63" s="101" t="inlineStr">
        <is>
          <t>AlmuerzoJornada Unica</t>
        </is>
      </c>
      <c r="C63" s="25" t="n"/>
      <c r="D63" s="43" t="n"/>
      <c r="E63" s="1045" t="n"/>
      <c r="F63" s="25" t="n"/>
      <c r="G63" s="43" t="n"/>
      <c r="H63" s="1045" t="n"/>
      <c r="I63" s="25" t="n"/>
      <c r="J63" s="43" t="n"/>
      <c r="K63" s="1045" t="n"/>
      <c r="L63" s="25" t="n"/>
      <c r="M63" s="43" t="n"/>
      <c r="N63" s="1045" t="n"/>
      <c r="O63" s="25" t="n"/>
      <c r="P63" s="43" t="n"/>
      <c r="Q63" s="1045" t="n"/>
      <c r="R63" s="25" t="n"/>
      <c r="S63" s="43" t="n"/>
      <c r="T63" s="1045" t="n"/>
      <c r="U63" s="25" t="n"/>
      <c r="V63" s="43" t="n"/>
      <c r="W63" s="1045" t="n"/>
      <c r="X63" s="25" t="n"/>
      <c r="Y63" s="43" t="n"/>
      <c r="Z63" s="1045" t="n"/>
      <c r="AA63" s="25" t="n"/>
      <c r="AB63" s="43" t="n"/>
      <c r="AC63" s="1045" t="n"/>
      <c r="AD63" s="25" t="n"/>
      <c r="AE63" s="43" t="n"/>
      <c r="AF63" s="1045" t="n"/>
      <c r="AG63" s="25" t="n"/>
      <c r="AH63" s="43" t="n"/>
      <c r="AI63" s="1045" t="n"/>
      <c r="AJ63" s="25" t="n"/>
      <c r="AK63" s="43" t="n"/>
      <c r="AL63" s="1045" t="n"/>
      <c r="AM63" s="205">
        <f>C63+F63+I63+L63+O63+R63+U63+X63+AA63+AD63+AG63+AJ63</f>
        <v/>
      </c>
      <c r="AN63" s="43">
        <f>AM63/AM7</f>
        <v/>
      </c>
      <c r="AO63" s="1045" t="n"/>
    </row>
    <row r="64" hidden="1" ht="15" customHeight="1" s="985">
      <c r="B64" s="25" t="n"/>
      <c r="C64" s="25" t="n"/>
      <c r="D64" s="43" t="n"/>
      <c r="E64" s="1045" t="n"/>
      <c r="F64" s="25" t="n"/>
      <c r="G64" s="43" t="n"/>
      <c r="H64" s="1045" t="n"/>
      <c r="I64" s="82" t="n"/>
      <c r="J64" s="43" t="n"/>
      <c r="K64" s="1045" t="n"/>
      <c r="L64" s="82" t="n"/>
      <c r="M64" s="43" t="n"/>
      <c r="N64" s="1045" t="n"/>
      <c r="O64" s="82" t="n"/>
      <c r="P64" s="43" t="n"/>
      <c r="Q64" s="1045" t="n"/>
      <c r="R64" s="82" t="n"/>
      <c r="S64" s="43" t="n"/>
      <c r="T64" s="1045" t="n"/>
      <c r="U64" s="82" t="n"/>
      <c r="V64" s="43" t="n"/>
      <c r="W64" s="1045" t="n"/>
      <c r="X64" s="82" t="n"/>
      <c r="Y64" s="43" t="n"/>
      <c r="Z64" s="1045" t="n"/>
      <c r="AA64" s="82" t="n"/>
      <c r="AB64" s="43" t="n"/>
      <c r="AC64" s="1045" t="n"/>
      <c r="AD64" s="82" t="n"/>
      <c r="AE64" s="43" t="n"/>
      <c r="AF64" s="1045" t="n"/>
      <c r="AG64" s="82" t="n"/>
      <c r="AH64" s="43" t="n"/>
      <c r="AI64" s="1045" t="n"/>
      <c r="AJ64" s="82" t="n"/>
      <c r="AK64" s="43" t="n"/>
      <c r="AL64" s="57" t="n"/>
      <c r="AM64" s="205">
        <f>C64+F64+I64+L64+O64+R64+U64+X64+AA64+AD64+AG64+AJ64</f>
        <v/>
      </c>
      <c r="AN64" s="43" t="n"/>
      <c r="AO64" s="1046" t="n"/>
    </row>
    <row r="65" hidden="1" ht="15" customHeight="1" s="985">
      <c r="B65" s="25" t="n"/>
      <c r="C65" s="25" t="n"/>
      <c r="D65" s="43" t="n"/>
      <c r="E65" s="1045" t="n"/>
      <c r="F65" s="25" t="n"/>
      <c r="G65" s="43" t="n"/>
      <c r="H65" s="1045" t="n"/>
      <c r="I65" s="25" t="n"/>
      <c r="J65" s="43" t="n"/>
      <c r="K65" s="1045" t="n"/>
      <c r="L65" s="25" t="n"/>
      <c r="M65" s="43" t="n"/>
      <c r="N65" s="1045" t="n"/>
      <c r="O65" s="25" t="n"/>
      <c r="P65" s="43" t="n"/>
      <c r="Q65" s="1045" t="n"/>
      <c r="R65" s="25" t="n"/>
      <c r="S65" s="43" t="n"/>
      <c r="T65" s="1045" t="n"/>
      <c r="U65" s="25" t="n"/>
      <c r="V65" s="43" t="n"/>
      <c r="W65" s="1045" t="n"/>
      <c r="X65" s="25" t="n"/>
      <c r="Y65" s="43" t="n"/>
      <c r="Z65" s="1045" t="n"/>
      <c r="AA65" s="25" t="n"/>
      <c r="AB65" s="43" t="n"/>
      <c r="AC65" s="1045" t="n"/>
      <c r="AD65" s="25" t="n"/>
      <c r="AE65" s="43" t="n"/>
      <c r="AF65" s="1045" t="n"/>
      <c r="AG65" s="25" t="n"/>
      <c r="AH65" s="43" t="n"/>
      <c r="AI65" s="1045" t="n"/>
      <c r="AJ65" s="25" t="n"/>
      <c r="AK65" s="43" t="n"/>
      <c r="AL65" s="57" t="n"/>
      <c r="AM65" s="205">
        <f>C65+F65+I65+L65+O65+R65+U65+X65+AA65+AD65+AG65+AJ65</f>
        <v/>
      </c>
      <c r="AN65" s="43" t="n"/>
      <c r="AO65" s="1046" t="n"/>
    </row>
    <row r="66" hidden="1" ht="15" customHeight="1" s="985">
      <c r="B66" s="25" t="n"/>
      <c r="C66" s="25" t="n"/>
      <c r="D66" s="43" t="n"/>
      <c r="E66" s="1045" t="n"/>
      <c r="F66" s="25" t="n"/>
      <c r="G66" s="43" t="n"/>
      <c r="H66" s="1045" t="n"/>
      <c r="I66" s="25" t="n"/>
      <c r="J66" s="43" t="n"/>
      <c r="K66" s="1045" t="n"/>
      <c r="L66" s="25" t="n"/>
      <c r="M66" s="43" t="n"/>
      <c r="N66" s="1045" t="n"/>
      <c r="O66" s="25" t="n"/>
      <c r="P66" s="43" t="n"/>
      <c r="Q66" s="1045" t="n"/>
      <c r="R66" s="25" t="n"/>
      <c r="S66" s="43" t="n"/>
      <c r="T66" s="1045" t="n"/>
      <c r="U66" s="25" t="n"/>
      <c r="V66" s="43" t="n"/>
      <c r="W66" s="1045" t="n"/>
      <c r="X66" s="25" t="n"/>
      <c r="Y66" s="43" t="n"/>
      <c r="Z66" s="1045" t="n"/>
      <c r="AA66" s="25" t="n"/>
      <c r="AB66" s="43" t="n"/>
      <c r="AC66" s="1045" t="n"/>
      <c r="AD66" s="25" t="n"/>
      <c r="AE66" s="43" t="n"/>
      <c r="AF66" s="1045" t="n"/>
      <c r="AG66" s="25" t="n"/>
      <c r="AH66" s="43" t="n"/>
      <c r="AI66" s="1045" t="n"/>
      <c r="AJ66" s="25" t="n"/>
      <c r="AK66" s="43" t="n"/>
      <c r="AL66" s="57" t="n"/>
      <c r="AM66" s="205">
        <f>C66+F66+I66+L66+O66+R66+U66+X66+AA66+AD66+AG66+AJ66</f>
        <v/>
      </c>
      <c r="AN66" s="43" t="n"/>
      <c r="AO66" s="1046" t="n"/>
    </row>
    <row r="67" hidden="1" ht="15" customHeight="1" s="985">
      <c r="B67" s="25" t="n"/>
      <c r="C67" s="25" t="n"/>
      <c r="D67" s="43" t="n"/>
      <c r="E67" s="1045" t="n"/>
      <c r="F67" s="25" t="n"/>
      <c r="G67" s="43" t="n"/>
      <c r="H67" s="1045" t="n"/>
      <c r="I67" s="25" t="n"/>
      <c r="J67" s="43" t="n"/>
      <c r="K67" s="1045" t="n"/>
      <c r="L67" s="25" t="n"/>
      <c r="M67" s="43" t="n"/>
      <c r="N67" s="1045" t="n"/>
      <c r="O67" s="25" t="n"/>
      <c r="P67" s="43" t="n"/>
      <c r="Q67" s="1045" t="n"/>
      <c r="R67" s="25" t="n"/>
      <c r="S67" s="43" t="n"/>
      <c r="T67" s="1045" t="n"/>
      <c r="U67" s="25" t="n"/>
      <c r="V67" s="43" t="n"/>
      <c r="W67" s="1045" t="n"/>
      <c r="X67" s="25" t="n"/>
      <c r="Y67" s="43" t="n"/>
      <c r="Z67" s="1045" t="n"/>
      <c r="AA67" s="25" t="n"/>
      <c r="AB67" s="43" t="n"/>
      <c r="AC67" s="1045" t="n"/>
      <c r="AD67" s="25" t="n"/>
      <c r="AE67" s="43" t="n"/>
      <c r="AF67" s="1045" t="n"/>
      <c r="AG67" s="25" t="n"/>
      <c r="AH67" s="43" t="n"/>
      <c r="AI67" s="1045" t="n"/>
      <c r="AJ67" s="25" t="n"/>
      <c r="AK67" s="43" t="n"/>
      <c r="AL67" s="57" t="n"/>
      <c r="AM67" s="205" t="n"/>
      <c r="AN67" s="43" t="n"/>
      <c r="AO67" s="1046" t="n"/>
    </row>
    <row r="68" hidden="1" ht="15" customHeight="1" s="985">
      <c r="B68" s="25" t="n"/>
      <c r="C68" s="25" t="n"/>
      <c r="D68" s="43" t="n"/>
      <c r="E68" s="1045" t="n"/>
      <c r="F68" s="25" t="n"/>
      <c r="G68" s="43" t="n"/>
      <c r="H68" s="1045" t="n"/>
      <c r="I68" s="25" t="n"/>
      <c r="J68" s="43" t="n"/>
      <c r="K68" s="1045" t="n"/>
      <c r="L68" s="25" t="n"/>
      <c r="M68" s="43" t="n"/>
      <c r="N68" s="1045" t="n"/>
      <c r="O68" s="25" t="n"/>
      <c r="P68" s="43" t="n"/>
      <c r="Q68" s="1045" t="n"/>
      <c r="R68" s="25" t="n"/>
      <c r="S68" s="43" t="n"/>
      <c r="T68" s="1045" t="n"/>
      <c r="U68" s="25" t="n"/>
      <c r="V68" s="43" t="n"/>
      <c r="W68" s="1045" t="n"/>
      <c r="X68" s="25" t="n"/>
      <c r="Y68" s="43" t="n"/>
      <c r="Z68" s="1045" t="n"/>
      <c r="AA68" s="25" t="n"/>
      <c r="AB68" s="43" t="n"/>
      <c r="AC68" s="1045" t="n"/>
      <c r="AD68" s="25" t="n"/>
      <c r="AE68" s="43" t="n"/>
      <c r="AF68" s="1045" t="n"/>
      <c r="AG68" s="25" t="n"/>
      <c r="AH68" s="43" t="n"/>
      <c r="AI68" s="1045" t="n"/>
      <c r="AJ68" s="25" t="n"/>
      <c r="AK68" s="43" t="n"/>
      <c r="AL68" s="57" t="n"/>
      <c r="AM68" s="205" t="n"/>
      <c r="AN68" s="43" t="n"/>
      <c r="AO68" s="1046" t="n"/>
    </row>
    <row r="69" hidden="1" ht="15" customHeight="1" s="985">
      <c r="B69" s="25" t="n"/>
      <c r="C69" s="25" t="n"/>
      <c r="D69" s="43" t="n"/>
      <c r="E69" s="1045" t="n"/>
      <c r="F69" s="25" t="n"/>
      <c r="G69" s="43" t="n"/>
      <c r="H69" s="1045" t="n"/>
      <c r="I69" s="25" t="n"/>
      <c r="J69" s="43" t="n"/>
      <c r="K69" s="1045" t="n"/>
      <c r="L69" s="25" t="n"/>
      <c r="M69" s="43" t="n"/>
      <c r="N69" s="1045" t="n"/>
      <c r="O69" s="25" t="n"/>
      <c r="P69" s="43" t="n"/>
      <c r="Q69" s="1045" t="n"/>
      <c r="R69" s="25" t="n"/>
      <c r="S69" s="43" t="n"/>
      <c r="T69" s="1045" t="n"/>
      <c r="U69" s="25" t="n"/>
      <c r="V69" s="43" t="n"/>
      <c r="W69" s="1045" t="n"/>
      <c r="X69" s="25" t="n"/>
      <c r="Y69" s="43" t="n"/>
      <c r="Z69" s="1045" t="n"/>
      <c r="AA69" s="25" t="n"/>
      <c r="AB69" s="43" t="n"/>
      <c r="AC69" s="1045" t="n"/>
      <c r="AD69" s="25" t="n"/>
      <c r="AE69" s="43" t="n"/>
      <c r="AF69" s="1045" t="n"/>
      <c r="AG69" s="25" t="n"/>
      <c r="AH69" s="43" t="n"/>
      <c r="AI69" s="1045" t="n"/>
      <c r="AJ69" s="25" t="n"/>
      <c r="AK69" s="43" t="n"/>
      <c r="AL69" s="57" t="n"/>
      <c r="AM69" s="205" t="n"/>
      <c r="AN69" s="43" t="n"/>
      <c r="AO69" s="1046" t="n"/>
    </row>
    <row r="70" hidden="1" ht="15" customHeight="1" s="985">
      <c r="B70" s="91" t="inlineStr">
        <is>
          <t>REFRIGERIOS ESPECIALES</t>
        </is>
      </c>
      <c r="C70" s="91" t="n"/>
      <c r="D70" s="92" t="n"/>
      <c r="E70" s="1063" t="n"/>
      <c r="F70" s="91" t="n"/>
      <c r="G70" s="92" t="n"/>
      <c r="H70" s="1063" t="n"/>
      <c r="I70" s="91" t="n"/>
      <c r="J70" s="92" t="n"/>
      <c r="K70" s="1063" t="n"/>
      <c r="L70" s="91" t="n"/>
      <c r="M70" s="92" t="n"/>
      <c r="N70" s="1063" t="n"/>
      <c r="O70" s="91" t="n"/>
      <c r="P70" s="92" t="n"/>
      <c r="Q70" s="1063" t="n"/>
      <c r="R70" s="91" t="n"/>
      <c r="S70" s="92" t="n"/>
      <c r="T70" s="1063" t="n"/>
      <c r="U70" s="91" t="n"/>
      <c r="V70" s="92" t="n"/>
      <c r="W70" s="1063" t="n"/>
      <c r="X70" s="91" t="n"/>
      <c r="Y70" s="92" t="n"/>
      <c r="Z70" s="1063" t="n"/>
      <c r="AA70" s="91" t="n"/>
      <c r="AB70" s="92" t="n"/>
      <c r="AC70" s="1063" t="n"/>
      <c r="AD70" s="25" t="n"/>
      <c r="AE70" s="43" t="n"/>
      <c r="AF70" s="1045" t="n"/>
      <c r="AG70" s="25" t="n"/>
      <c r="AH70" s="43" t="n"/>
      <c r="AI70" s="1045" t="n"/>
      <c r="AJ70" s="25" t="n"/>
      <c r="AK70" s="43" t="n"/>
      <c r="AL70" s="57" t="n"/>
      <c r="AM70" s="205" t="n"/>
      <c r="AN70" s="43" t="n"/>
      <c r="AO70" s="1046" t="n"/>
    </row>
    <row r="71" hidden="1" ht="15" customHeight="1" s="985">
      <c r="B71" s="83" t="n"/>
      <c r="C71" s="83" t="n"/>
      <c r="D71" s="84" t="n"/>
      <c r="E71" s="1047" t="n"/>
      <c r="F71" s="83" t="n"/>
      <c r="G71" s="84" t="n"/>
      <c r="H71" s="1047" t="n"/>
      <c r="I71" s="83" t="n"/>
      <c r="J71" s="84" t="n"/>
      <c r="K71" s="1047" t="n"/>
      <c r="L71" s="83" t="n"/>
      <c r="M71" s="84" t="n"/>
      <c r="N71" s="1047" t="n"/>
      <c r="O71" s="83" t="n"/>
      <c r="P71" s="84" t="n"/>
      <c r="Q71" s="1047" t="n"/>
      <c r="R71" s="83" t="n"/>
      <c r="S71" s="84" t="n"/>
      <c r="T71" s="1047" t="n"/>
      <c r="U71" s="83" t="n"/>
      <c r="V71" s="84" t="n"/>
      <c r="W71" s="1047" t="n"/>
      <c r="X71" s="83" t="n"/>
      <c r="Y71" s="84" t="n"/>
      <c r="Z71" s="1047" t="n"/>
      <c r="AA71" s="83" t="n"/>
      <c r="AB71" s="84" t="n"/>
      <c r="AC71" s="1047" t="n"/>
      <c r="AD71" s="83" t="n"/>
      <c r="AE71" s="84" t="n"/>
      <c r="AF71" s="1047" t="n"/>
      <c r="AG71" s="83" t="n"/>
      <c r="AH71" s="84" t="n"/>
      <c r="AI71" s="1047" t="n"/>
      <c r="AJ71" s="83" t="n"/>
      <c r="AK71" s="84" t="n"/>
      <c r="AL71" s="85" t="n"/>
      <c r="AM71" s="206">
        <f>C71+F71+I71+L71+O71+R71+U71+X71+AA71+AD71+AG71+AJ71</f>
        <v/>
      </c>
      <c r="AN71" s="84" t="n"/>
      <c r="AO71" s="1048" t="n"/>
    </row>
    <row r="72" hidden="1" ht="15" customHeight="1" s="985">
      <c r="B72" s="46" t="inlineStr">
        <is>
          <t>Transporte Materia Prima - Cavasa</t>
        </is>
      </c>
      <c r="C72" s="37" t="n"/>
      <c r="D72" s="67" t="n"/>
      <c r="E72" s="1071" t="n"/>
      <c r="F72" s="37" t="n"/>
      <c r="G72" s="67" t="n"/>
      <c r="H72" s="1071" t="n"/>
      <c r="I72" s="37" t="n"/>
      <c r="J72" s="67" t="n"/>
      <c r="K72" s="1071" t="n"/>
      <c r="L72" s="37" t="n"/>
      <c r="M72" s="67" t="n"/>
      <c r="N72" s="1071" t="n"/>
      <c r="O72" s="37" t="n"/>
      <c r="P72" s="67" t="n"/>
      <c r="Q72" s="1071" t="n"/>
      <c r="R72" s="37" t="n"/>
      <c r="S72" s="67" t="n"/>
      <c r="T72" s="1071" t="n"/>
      <c r="U72" s="37" t="n"/>
      <c r="V72" s="67" t="n"/>
      <c r="W72" s="1071" t="n"/>
      <c r="X72" s="37" t="n"/>
      <c r="Y72" s="67" t="n"/>
      <c r="Z72" s="1071" t="n"/>
      <c r="AA72" s="37" t="n"/>
      <c r="AB72" s="67" t="n"/>
      <c r="AC72" s="1071" t="n"/>
      <c r="AD72" s="37" t="n"/>
      <c r="AE72" s="67" t="n"/>
      <c r="AF72" s="1071" t="n"/>
      <c r="AG72" s="37" t="n"/>
      <c r="AH72" s="67" t="n"/>
      <c r="AI72" s="1071" t="n"/>
      <c r="AJ72" s="37" t="n"/>
      <c r="AK72" s="67" t="n"/>
      <c r="AL72" s="68" t="n"/>
      <c r="AM72" s="211">
        <f>C72+F72+I72+L72+O72+R72+U72+X72+AA72+AD72+AG72+AJ72</f>
        <v/>
      </c>
      <c r="AN72" s="67" t="n"/>
      <c r="AO72" s="1072" t="n"/>
    </row>
    <row r="73" hidden="1" ht="15" customHeight="1" s="985">
      <c r="B73" s="36" t="inlineStr">
        <is>
          <t>Flete Preparados PROPIOS</t>
        </is>
      </c>
      <c r="C73" s="37" t="n"/>
      <c r="D73" s="67" t="n"/>
      <c r="E73" s="1071" t="n"/>
      <c r="F73" s="37" t="n"/>
      <c r="G73" s="67" t="n"/>
      <c r="H73" s="1071" t="n"/>
      <c r="I73" s="37" t="n"/>
      <c r="J73" s="67" t="n"/>
      <c r="K73" s="1071" t="n"/>
      <c r="L73" s="37" t="n"/>
      <c r="M73" s="67" t="n"/>
      <c r="N73" s="1071" t="n"/>
      <c r="O73" s="37" t="n"/>
      <c r="P73" s="67" t="n"/>
      <c r="Q73" s="1071" t="n"/>
      <c r="R73" s="37" t="n"/>
      <c r="S73" s="67" t="n"/>
      <c r="T73" s="1071" t="n"/>
      <c r="U73" s="37" t="n"/>
      <c r="V73" s="67" t="n"/>
      <c r="W73" s="1071" t="n"/>
      <c r="X73" s="37" t="n"/>
      <c r="Y73" s="67" t="n"/>
      <c r="Z73" s="1071" t="n"/>
      <c r="AA73" s="37" t="n"/>
      <c r="AB73" s="67" t="n"/>
      <c r="AC73" s="1071" t="n"/>
      <c r="AD73" s="37" t="n"/>
      <c r="AE73" s="67" t="n"/>
      <c r="AF73" s="1071" t="n"/>
      <c r="AG73" s="37" t="n"/>
      <c r="AH73" s="67" t="n"/>
      <c r="AI73" s="1071" t="n"/>
      <c r="AJ73" s="37" t="n"/>
      <c r="AK73" s="67" t="n"/>
      <c r="AL73" s="68" t="n"/>
      <c r="AM73" s="211">
        <f>C73+F73+I73+L73+O73+R73+U73+X73+AA73+AD73+AG73+AJ73</f>
        <v/>
      </c>
      <c r="AN73" s="67" t="n"/>
      <c r="AO73" s="1075" t="n"/>
    </row>
    <row r="74" ht="15" customHeight="1" s="985">
      <c r="B74" s="36" t="inlineStr">
        <is>
          <t>Transporte</t>
        </is>
      </c>
      <c r="C74" s="37" t="n">
        <v>0</v>
      </c>
      <c r="D74" s="67" t="n"/>
      <c r="E74" s="1071" t="n"/>
      <c r="F74" s="37" t="n">
        <v>0</v>
      </c>
      <c r="G74" s="67" t="n"/>
      <c r="H74" s="1071" t="n"/>
      <c r="I74" s="37" t="n"/>
      <c r="J74" s="366" t="n"/>
      <c r="K74" s="1071" t="n"/>
      <c r="L74" s="37" t="n"/>
      <c r="M74" s="67" t="n"/>
      <c r="N74" s="1071" t="n"/>
      <c r="O74" s="37" t="n"/>
      <c r="P74" s="67" t="n"/>
      <c r="Q74" s="1071" t="n"/>
      <c r="R74" s="37" t="n"/>
      <c r="S74" s="67" t="n"/>
      <c r="T74" s="1071" t="n"/>
      <c r="U74" s="37" t="n"/>
      <c r="V74" s="67" t="n"/>
      <c r="W74" s="1071" t="n"/>
      <c r="X74" s="37" t="n"/>
      <c r="Y74" s="67" t="n"/>
      <c r="Z74" s="1071" t="n"/>
      <c r="AA74" s="37" t="n"/>
      <c r="AB74" s="67" t="n"/>
      <c r="AC74" s="1071" t="n"/>
      <c r="AD74" s="37" t="n"/>
      <c r="AE74" s="67" t="n"/>
      <c r="AF74" s="1071" t="n"/>
      <c r="AG74" s="37" t="n"/>
      <c r="AH74" s="67" t="n"/>
      <c r="AI74" s="1071" t="n"/>
      <c r="AJ74" s="37" t="n"/>
      <c r="AK74" s="67" t="n"/>
      <c r="AL74" s="1071" t="n"/>
      <c r="AM74" s="211">
        <f>C74+F74+I74+L74+O74+R74+U74+X74+AA74+AD74+AG74+AJ74</f>
        <v/>
      </c>
      <c r="AN74" s="67" t="n"/>
      <c r="AO74" s="1075" t="n"/>
    </row>
    <row r="75" ht="15" customHeight="1" s="985">
      <c r="B75" s="36" t="inlineStr">
        <is>
          <t>Material de empaque</t>
        </is>
      </c>
      <c r="C75" s="37" t="n"/>
      <c r="D75" s="67" t="n"/>
      <c r="E75" s="1071" t="n"/>
      <c r="F75" s="37" t="n"/>
      <c r="G75" s="67" t="n"/>
      <c r="H75" s="1071" t="n"/>
      <c r="I75" s="37" t="n"/>
      <c r="J75" s="67" t="n"/>
      <c r="K75" s="1071" t="n"/>
      <c r="L75" s="37" t="n"/>
      <c r="M75" s="67" t="n"/>
      <c r="N75" s="1071" t="n"/>
      <c r="O75" s="37" t="n"/>
      <c r="P75" s="67" t="n"/>
      <c r="Q75" s="1071" t="n"/>
      <c r="R75" s="37" t="n"/>
      <c r="S75" s="67" t="n"/>
      <c r="T75" s="1071" t="n"/>
      <c r="U75" s="37" t="n"/>
      <c r="V75" s="67" t="n"/>
      <c r="W75" s="1071" t="n"/>
      <c r="X75" s="37" t="n"/>
      <c r="Y75" s="67" t="n"/>
      <c r="Z75" s="1071" t="n"/>
      <c r="AA75" s="37" t="n"/>
      <c r="AB75" s="67" t="n"/>
      <c r="AC75" s="1071" t="n"/>
      <c r="AD75" s="37" t="n"/>
      <c r="AE75" s="67" t="n"/>
      <c r="AF75" s="1071" t="n"/>
      <c r="AG75" s="37" t="n"/>
      <c r="AH75" s="67" t="n"/>
      <c r="AI75" s="1071" t="n"/>
      <c r="AJ75" s="37" t="n"/>
      <c r="AK75" s="67" t="n"/>
      <c r="AL75" s="68" t="n"/>
      <c r="AM75" s="211">
        <f>C75+F75+I75+L75+O75+R75+U75+X75+AA75+AD75+AG75+AJ75</f>
        <v/>
      </c>
      <c r="AN75" s="67" t="n"/>
      <c r="AO75" s="1072" t="n"/>
    </row>
    <row r="76" ht="15" customHeight="1" s="985">
      <c r="B76" s="36" t="inlineStr">
        <is>
          <t>Menaje</t>
        </is>
      </c>
      <c r="C76" s="37" t="n"/>
      <c r="D76" s="67" t="n"/>
      <c r="E76" s="1071" t="n"/>
      <c r="F76" s="37" t="n"/>
      <c r="G76" s="67" t="n"/>
      <c r="H76" s="1071" t="n"/>
      <c r="I76" s="37" t="n"/>
      <c r="J76" s="67" t="n"/>
      <c r="K76" s="1071" t="n"/>
      <c r="L76" s="37" t="n"/>
      <c r="M76" s="67" t="n"/>
      <c r="N76" s="1071" t="n"/>
      <c r="O76" s="37" t="n"/>
      <c r="P76" s="67" t="n"/>
      <c r="Q76" s="1071" t="n"/>
      <c r="R76" s="37" t="n"/>
      <c r="S76" s="67" t="n"/>
      <c r="T76" s="1071" t="n"/>
      <c r="U76" s="37" t="n"/>
      <c r="V76" s="67" t="n"/>
      <c r="W76" s="1071" t="n"/>
      <c r="X76" s="37" t="n"/>
      <c r="Y76" s="67" t="n"/>
      <c r="Z76" s="1071" t="n"/>
      <c r="AA76" s="37" t="n"/>
      <c r="AB76" s="67" t="n"/>
      <c r="AC76" s="1071" t="n"/>
      <c r="AD76" s="37" t="n"/>
      <c r="AE76" s="67" t="n"/>
      <c r="AF76" s="1071" t="n"/>
      <c r="AG76" s="37" t="n"/>
      <c r="AH76" s="67" t="n"/>
      <c r="AI76" s="1071" t="n"/>
      <c r="AJ76" s="37" t="n"/>
      <c r="AK76" s="67" t="n"/>
      <c r="AL76" s="68" t="n"/>
      <c r="AM76" s="211">
        <f>C76+F76+I76+L76+O76+R76+U76+X76+AA76+AD76+AG76+AJ76</f>
        <v/>
      </c>
      <c r="AN76" s="67" t="n"/>
      <c r="AO76" s="1075" t="n"/>
    </row>
    <row r="77" ht="15" customHeight="1" s="985">
      <c r="B77" s="66" t="inlineStr">
        <is>
          <t>Servicio de Gas</t>
        </is>
      </c>
      <c r="C77" s="28" t="n"/>
      <c r="D77" s="45" t="n"/>
      <c r="E77" s="1166" t="n"/>
      <c r="F77" s="367" t="n"/>
      <c r="G77" s="45" t="n"/>
      <c r="H77" s="1071" t="n"/>
      <c r="I77" s="28" t="n"/>
      <c r="J77" s="45" t="n"/>
      <c r="K77" s="1071" t="n"/>
      <c r="L77" s="28" t="n"/>
      <c r="M77" s="45" t="n"/>
      <c r="N77" s="1071" t="n"/>
      <c r="O77" s="28" t="n"/>
      <c r="P77" s="45" t="n"/>
      <c r="Q77" s="1071" t="n"/>
      <c r="R77" s="28" t="n"/>
      <c r="S77" s="45" t="n"/>
      <c r="T77" s="1071" t="n"/>
      <c r="U77" s="28" t="n"/>
      <c r="V77" s="45" t="n"/>
      <c r="W77" s="1071" t="n"/>
      <c r="X77" s="28" t="n"/>
      <c r="Y77" s="45" t="n"/>
      <c r="Z77" s="1071" t="n"/>
      <c r="AA77" s="28" t="n"/>
      <c r="AB77" s="45" t="n"/>
      <c r="AC77" s="1071" t="n"/>
      <c r="AD77" s="28" t="n"/>
      <c r="AE77" s="45" t="n"/>
      <c r="AF77" s="1071" t="n"/>
      <c r="AG77" s="28" t="n"/>
      <c r="AH77" s="45" t="n"/>
      <c r="AI77" s="1071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075" t="n"/>
    </row>
    <row r="78" ht="15" customHeight="1" s="985">
      <c r="B78" s="16" t="inlineStr">
        <is>
          <t>GASTOS DE PERSONAL</t>
        </is>
      </c>
      <c r="C78" s="49">
        <f>SUM(C79:C81)</f>
        <v/>
      </c>
      <c r="D78" s="3" t="n"/>
      <c r="E78" s="1053" t="n"/>
      <c r="F78" s="49">
        <f>SUM(F79:F81)</f>
        <v/>
      </c>
      <c r="G78" s="3" t="n"/>
      <c r="H78" s="1053" t="n"/>
      <c r="I78" s="49">
        <f>SUM(I79:I81)</f>
        <v/>
      </c>
      <c r="J78" s="3" t="n"/>
      <c r="K78" s="1053" t="n"/>
      <c r="L78" s="49">
        <f>SUM(L79:L81)</f>
        <v/>
      </c>
      <c r="M78" s="3" t="n"/>
      <c r="N78" s="1053" t="n"/>
      <c r="O78" s="49">
        <f>SUM(O79:O81)</f>
        <v/>
      </c>
      <c r="P78" s="3" t="n"/>
      <c r="Q78" s="1053" t="n"/>
      <c r="R78" s="49">
        <f>SUM(R79:R81)</f>
        <v/>
      </c>
      <c r="S78" s="3" t="n"/>
      <c r="T78" s="1053" t="n"/>
      <c r="U78" s="49">
        <f>SUM(U79:U81)</f>
        <v/>
      </c>
      <c r="V78" s="3" t="n"/>
      <c r="W78" s="1053" t="n"/>
      <c r="X78" s="93">
        <f>SUM(X79:X81)</f>
        <v/>
      </c>
      <c r="Y78" s="3" t="n"/>
      <c r="Z78" s="1053" t="n"/>
      <c r="AA78" s="49">
        <f>SUM(AA79:AA81)</f>
        <v/>
      </c>
      <c r="AB78" s="3" t="n"/>
      <c r="AC78" s="1053" t="n"/>
      <c r="AD78" s="49">
        <f>SUM(AD79:AD81)</f>
        <v/>
      </c>
      <c r="AE78" s="3" t="n"/>
      <c r="AF78" s="1053" t="n"/>
      <c r="AG78" s="49">
        <f>SUM(AG79:AG81)</f>
        <v/>
      </c>
      <c r="AH78" s="3" t="n"/>
      <c r="AI78" s="1053" t="n"/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076" t="n"/>
    </row>
    <row r="79" ht="15" customHeight="1" s="985">
      <c r="B79" s="39" t="inlineStr">
        <is>
          <t>Coordinacion</t>
        </is>
      </c>
      <c r="C79" s="266">
        <f>'[21]Hoja 1'!$D$42</f>
        <v/>
      </c>
      <c r="D79" s="267" t="n"/>
      <c r="E79" s="1077" t="n"/>
      <c r="F79" s="266">
        <f>'[29]Hoja 1'!$H$45</f>
        <v/>
      </c>
      <c r="G79" s="69" t="n"/>
      <c r="H79" s="1077" t="n"/>
      <c r="I79" s="266" t="n"/>
      <c r="J79" s="69" t="n"/>
      <c r="K79" s="1077" t="n"/>
      <c r="L79" s="266" t="n"/>
      <c r="M79" s="69" t="n"/>
      <c r="N79" s="1077" t="n"/>
      <c r="O79" s="266" t="n"/>
      <c r="P79" s="69" t="n"/>
      <c r="Q79" s="1077" t="n"/>
      <c r="R79" s="266" t="n"/>
      <c r="S79" s="69" t="n"/>
      <c r="T79" s="1077" t="n"/>
      <c r="U79" s="266" t="n"/>
      <c r="V79" s="69" t="n"/>
      <c r="W79" s="1077" t="n"/>
      <c r="X79" s="266" t="n"/>
      <c r="Y79" s="69" t="n"/>
      <c r="Z79" s="1077" t="n"/>
      <c r="AA79" s="266" t="n"/>
      <c r="AB79" s="69" t="n"/>
      <c r="AC79" s="1077" t="n"/>
      <c r="AD79" s="266" t="n"/>
      <c r="AE79" s="69" t="n"/>
      <c r="AF79" s="1077" t="n"/>
      <c r="AG79" s="266" t="n"/>
      <c r="AH79" s="69" t="n"/>
      <c r="AI79" s="1077" t="n"/>
      <c r="AJ79" s="266" t="n"/>
      <c r="AK79" s="69" t="n"/>
      <c r="AL79" s="1077" t="n"/>
      <c r="AM79" s="268">
        <f>C79+F79+I79+L79+O79+R79+U79+X79+AA79+AD79+AG79+AJ79</f>
        <v/>
      </c>
      <c r="AN79" s="4" t="n"/>
      <c r="AO79" s="1078" t="n"/>
      <c r="AP79" s="1068" t="n"/>
    </row>
    <row r="80" ht="15" customHeight="1" s="985">
      <c r="B80" s="25" t="inlineStr">
        <is>
          <t xml:space="preserve">Profesores </t>
        </is>
      </c>
      <c r="C80" s="25">
        <f>'[9]Hoja 1'!$C$736</f>
        <v/>
      </c>
      <c r="D80" s="272" t="n"/>
      <c r="E80" s="1045" t="n"/>
      <c r="F80" s="25">
        <f>'[10]Hoja 1'!$C$672</f>
        <v/>
      </c>
      <c r="G80" s="43" t="n"/>
      <c r="H80" s="1045" t="n"/>
      <c r="I80" s="25" t="n"/>
      <c r="J80" s="43" t="n"/>
      <c r="K80" s="1045" t="n"/>
      <c r="L80" s="25" t="n"/>
      <c r="M80" s="43" t="n"/>
      <c r="N80" s="1045" t="n"/>
      <c r="O80" s="25" t="n"/>
      <c r="P80" s="43" t="n"/>
      <c r="Q80" s="1045" t="n"/>
      <c r="R80" s="25" t="n"/>
      <c r="S80" s="43" t="n"/>
      <c r="T80" s="1045" t="n"/>
      <c r="U80" s="25" t="n"/>
      <c r="V80" s="43" t="n"/>
      <c r="W80" s="1045" t="n"/>
      <c r="X80" s="25" t="n"/>
      <c r="Y80" s="43" t="n"/>
      <c r="Z80" s="1045" t="n"/>
      <c r="AA80" s="25" t="n"/>
      <c r="AB80" s="43" t="n"/>
      <c r="AC80" s="1045" t="n"/>
      <c r="AD80" s="25" t="n"/>
      <c r="AE80" s="43" t="n"/>
      <c r="AF80" s="1045" t="n"/>
      <c r="AG80" s="25" t="n"/>
      <c r="AH80" s="43" t="n"/>
      <c r="AI80" s="1045" t="n"/>
      <c r="AJ80" s="25" t="n"/>
      <c r="AK80" s="43" t="n"/>
      <c r="AL80" s="57" t="n"/>
      <c r="AM80" s="205">
        <f>C80+F80+I80+L80+O80+R80+U80+X80+AA80+AD80+AG80+AJ80</f>
        <v/>
      </c>
      <c r="AN80" s="43" t="n"/>
      <c r="AO80" s="1046" t="n"/>
      <c r="AQ80" s="1203" t="n"/>
      <c r="AR80" s="1203" t="n"/>
    </row>
    <row r="81" ht="15" customHeight="1" s="985" thickBot="1">
      <c r="B81" s="98" t="inlineStr">
        <is>
          <t>Servicios Generales</t>
        </is>
      </c>
      <c r="C81" s="71" t="n"/>
      <c r="D81" s="802" t="n"/>
      <c r="E81" s="1086" t="n"/>
      <c r="F81" s="71" t="n"/>
      <c r="G81" s="72" t="n"/>
      <c r="H81" s="1086" t="n"/>
      <c r="I81" s="71" t="n"/>
      <c r="J81" s="72" t="n"/>
      <c r="K81" s="1086" t="n"/>
      <c r="L81" s="71" t="n"/>
      <c r="M81" s="72" t="n"/>
      <c r="N81" s="1086" t="n"/>
      <c r="O81" s="71" t="n"/>
      <c r="P81" s="72" t="n"/>
      <c r="Q81" s="1086" t="n"/>
      <c r="R81" s="71" t="n"/>
      <c r="S81" s="72" t="n"/>
      <c r="T81" s="1086" t="n"/>
      <c r="U81" s="71" t="n"/>
      <c r="V81" s="72" t="n"/>
      <c r="W81" s="1086" t="n"/>
      <c r="X81" s="71" t="n"/>
      <c r="Y81" s="72" t="n"/>
      <c r="Z81" s="1086" t="n"/>
      <c r="AA81" s="71" t="n"/>
      <c r="AB81" s="72" t="n"/>
      <c r="AC81" s="1086" t="n"/>
      <c r="AD81" s="71" t="n"/>
      <c r="AE81" s="72" t="n"/>
      <c r="AF81" s="1086" t="n"/>
      <c r="AG81" s="71" t="n"/>
      <c r="AH81" s="72" t="n"/>
      <c r="AI81" s="1086" t="n"/>
      <c r="AJ81" s="71" t="n"/>
      <c r="AK81" s="72" t="n"/>
      <c r="AL81" s="73" t="n"/>
      <c r="AM81" s="71">
        <f>C81+F81+I81+L81+O81+R81+U81+X81+AA81+AD81+AG81+AJ81</f>
        <v/>
      </c>
      <c r="AN81" s="214" t="n"/>
      <c r="AO81" s="1080" t="n"/>
    </row>
    <row r="82" ht="15" customHeight="1" s="985" thickBot="1" thickTop="1">
      <c r="C82" s="2" t="n"/>
      <c r="D82" s="2" t="n"/>
      <c r="E82" s="1067" t="n"/>
      <c r="F82" s="2" t="n"/>
      <c r="G82" s="2" t="n"/>
      <c r="H82" s="1067" t="n"/>
      <c r="I82" s="2" t="n"/>
      <c r="J82" s="2" t="n"/>
      <c r="K82" s="1067" t="n"/>
      <c r="L82" s="2" t="n"/>
      <c r="M82" s="2" t="n"/>
      <c r="N82" s="1067" t="n"/>
      <c r="O82" s="2" t="n"/>
      <c r="P82" s="2" t="n"/>
      <c r="Q82" s="1067" t="n"/>
      <c r="R82" s="2" t="n"/>
      <c r="S82" s="2" t="n"/>
      <c r="T82" s="1067" t="n"/>
      <c r="U82" s="2" t="n"/>
      <c r="V82" s="2" t="n"/>
      <c r="W82" s="1067" t="n"/>
      <c r="X82" s="2" t="n"/>
      <c r="Y82" s="2" t="n"/>
      <c r="Z82" s="1067" t="n"/>
      <c r="AA82" s="2" t="n"/>
      <c r="AB82" s="2" t="n"/>
      <c r="AC82" s="1067" t="n"/>
      <c r="AD82" s="2" t="n"/>
      <c r="AE82" s="2" t="n"/>
      <c r="AF82" s="1067" t="n"/>
      <c r="AG82" s="2" t="n"/>
      <c r="AH82" s="2" t="n"/>
      <c r="AI82" s="1067" t="n"/>
      <c r="AJ82" s="2" t="n"/>
      <c r="AK82" s="2" t="n"/>
      <c r="AL82" s="64" t="n"/>
      <c r="AM82" s="151" t="n"/>
      <c r="AN82" s="2" t="n"/>
      <c r="AO82" s="1067" t="n"/>
    </row>
    <row r="83" ht="15" customHeight="1" s="985" thickTop="1">
      <c r="B83" s="527" t="inlineStr">
        <is>
          <t>OTROS COSTOS Y GASTOS INDIRECTOS</t>
        </is>
      </c>
      <c r="C83" s="491">
        <f>+C84+C88+C91+C95+C98+C108+C113+C119+C122+C126</f>
        <v/>
      </c>
      <c r="D83" s="492" t="n"/>
      <c r="E83" s="1069" t="n"/>
      <c r="F83" s="491">
        <f>+F84+F88+F91+F95+F98+F108+F113+F119+F122+F126</f>
        <v/>
      </c>
      <c r="G83" s="492" t="n"/>
      <c r="H83" s="1069" t="n"/>
      <c r="I83" s="491">
        <f>+I84+I88+I91+I95+I98+I108+I113+I119+I122+I126</f>
        <v/>
      </c>
      <c r="J83" s="492" t="n"/>
      <c r="K83" s="1069" t="n"/>
      <c r="L83" s="491">
        <f>+L84+L88+L91+L95+L98+L108+L113+L119+L122+L126</f>
        <v/>
      </c>
      <c r="M83" s="492" t="n"/>
      <c r="N83" s="1069" t="n"/>
      <c r="O83" s="491">
        <f>+O84+O88+O91+O95+O98+O108+O113+O119+O122+O126</f>
        <v/>
      </c>
      <c r="P83" s="492" t="n"/>
      <c r="Q83" s="1069" t="n"/>
      <c r="R83" s="491">
        <f>+R84+R88+R91+R95+R98+R108+R113+R119+R122+R126</f>
        <v/>
      </c>
      <c r="S83" s="492" t="n"/>
      <c r="T83" s="1069" t="n"/>
      <c r="U83" s="491">
        <f>+U84+U88+U91+U95+U98+U108+U113+U119+U122+U126</f>
        <v/>
      </c>
      <c r="V83" s="492" t="n"/>
      <c r="W83" s="1069" t="n"/>
      <c r="X83" s="491">
        <f>+X84+X88+X91+X95+X98+X108+X113+X119+X122+X126</f>
        <v/>
      </c>
      <c r="Y83" s="492" t="n"/>
      <c r="Z83" s="1069" t="n"/>
      <c r="AA83" s="491">
        <f>+AA84+AA88+AA91+AA95+AA98+AA108+AA113+AA119+AA122+AA126</f>
        <v/>
      </c>
      <c r="AB83" s="492" t="n"/>
      <c r="AC83" s="1069" t="n"/>
      <c r="AD83" s="441">
        <f>+AD84+AD88+AD91+AD95+AD98+AD108+AD113+AD119+AD122+AD126</f>
        <v/>
      </c>
      <c r="AE83" s="442" t="n"/>
      <c r="AF83" s="1103" t="n"/>
      <c r="AG83" s="441">
        <f>+AG84+AG88+AG91+AG95+AG98+AG108+AG113+AG119+AG122+AG126</f>
        <v/>
      </c>
      <c r="AH83" s="442" t="n"/>
      <c r="AI83" s="1103" t="n"/>
      <c r="AJ83" s="441">
        <f>+AJ84+AJ88+AJ91+AJ95+AJ98+AJ108+AJ113+AJ119+AJ122+AJ126</f>
        <v/>
      </c>
      <c r="AK83" s="442" t="n"/>
      <c r="AL83" s="447" t="n"/>
      <c r="AM83" s="583">
        <f>C83+F83+I83+L83+O83+R83+U83+X83+AA83+AD83+AG83+AJ83</f>
        <v/>
      </c>
      <c r="AN83" s="492" t="n"/>
      <c r="AO83" s="1081" t="n"/>
    </row>
    <row r="84" ht="15" customHeight="1" s="985">
      <c r="B84" s="16" t="inlineStr">
        <is>
          <t>COSTOS DE PERSONAL</t>
        </is>
      </c>
      <c r="C84" s="49">
        <f>SUM(C85:C87)</f>
        <v/>
      </c>
      <c r="D84" s="3" t="n"/>
      <c r="E84" s="1053" t="n"/>
      <c r="F84" s="49">
        <f>SUM(F85:F87)</f>
        <v/>
      </c>
      <c r="G84" s="3" t="n"/>
      <c r="H84" s="1053" t="n"/>
      <c r="I84" s="49">
        <f>SUM(I85:I87)</f>
        <v/>
      </c>
      <c r="J84" s="3" t="n"/>
      <c r="K84" s="1053" t="n"/>
      <c r="L84" s="49">
        <f>SUM(L85:L87)</f>
        <v/>
      </c>
      <c r="M84" s="3" t="n"/>
      <c r="N84" s="1053" t="n"/>
      <c r="O84" s="49">
        <f>SUM(O85:O87)</f>
        <v/>
      </c>
      <c r="P84" s="3" t="n"/>
      <c r="Q84" s="1053" t="n"/>
      <c r="R84" s="49">
        <f>SUM(R85:R87)</f>
        <v/>
      </c>
      <c r="S84" s="3" t="n"/>
      <c r="T84" s="1053" t="n"/>
      <c r="U84" s="49">
        <f>SUM(U85:U87)</f>
        <v/>
      </c>
      <c r="V84" s="3" t="n"/>
      <c r="W84" s="1053" t="n"/>
      <c r="X84" s="49">
        <f>SUM(X85:X87)</f>
        <v/>
      </c>
      <c r="Y84" s="3" t="n"/>
      <c r="Z84" s="1053" t="n"/>
      <c r="AA84" s="49">
        <f>SUM(AA85:AA87)</f>
        <v/>
      </c>
      <c r="AB84" s="3" t="n"/>
      <c r="AC84" s="1053" t="n"/>
      <c r="AD84" s="49">
        <f>SUM(AD85:AD87)</f>
        <v/>
      </c>
      <c r="AE84" s="3" t="n"/>
      <c r="AF84" s="1053" t="n"/>
      <c r="AG84" s="49">
        <f>SUM(AG85:AG87)</f>
        <v/>
      </c>
      <c r="AH84" s="3" t="n"/>
      <c r="AI84" s="1053" t="n"/>
      <c r="AJ84" s="49">
        <f>SUM(AJ85:AJ87)</f>
        <v/>
      </c>
      <c r="AK84" s="3" t="n"/>
      <c r="AL84" s="61" t="n"/>
      <c r="AM84" s="16">
        <f>C84+F84+I84+L84+O84+R84+U84+X84+AA84+AD84+AG84+AJ84</f>
        <v/>
      </c>
      <c r="AN84" s="3" t="n"/>
      <c r="AO84" s="1076" t="n"/>
    </row>
    <row r="85" ht="15" customHeight="1" s="985">
      <c r="B85" s="39" t="inlineStr">
        <is>
          <t>Costos Indirectos de Personal</t>
        </is>
      </c>
      <c r="C85" s="39" t="n"/>
      <c r="D85" s="69" t="n"/>
      <c r="E85" s="1077" t="n"/>
      <c r="F85" s="353" t="n"/>
      <c r="G85" s="69" t="n"/>
      <c r="H85" s="1077" t="n"/>
      <c r="I85" s="353" t="n"/>
      <c r="J85" s="69" t="n"/>
      <c r="K85" s="1077" t="n"/>
      <c r="L85" s="39" t="n"/>
      <c r="M85" s="69" t="n"/>
      <c r="N85" s="1077" t="n"/>
      <c r="O85" s="39" t="n"/>
      <c r="P85" s="69" t="n"/>
      <c r="Q85" s="1077" t="n"/>
      <c r="R85" s="39" t="n"/>
      <c r="S85" s="69" t="n"/>
      <c r="T85" s="1077" t="n"/>
      <c r="U85" s="39" t="n"/>
      <c r="V85" s="69" t="n"/>
      <c r="W85" s="1077" t="n"/>
      <c r="X85" s="39" t="n"/>
      <c r="Y85" s="69" t="n"/>
      <c r="Z85" s="1077" t="n"/>
      <c r="AA85" s="39" t="n"/>
      <c r="AB85" s="69" t="n"/>
      <c r="AC85" s="1077" t="n"/>
      <c r="AD85" s="39" t="n"/>
      <c r="AE85" s="69" t="n"/>
      <c r="AF85" s="1077" t="n"/>
      <c r="AG85" s="39" t="n"/>
      <c r="AH85" s="69" t="n"/>
      <c r="AI85" s="1077" t="n"/>
      <c r="AJ85" s="39" t="n"/>
      <c r="AK85" s="69" t="n"/>
      <c r="AL85" s="70" t="n"/>
      <c r="AM85" s="209">
        <f>C85+F85+I85+L85+O85+R85+U85+X85+AA85+AD85+AG85+AJ85</f>
        <v/>
      </c>
      <c r="AN85" s="69" t="n"/>
      <c r="AO85" s="1082" t="n"/>
    </row>
    <row r="86" ht="15" customHeight="1" s="985">
      <c r="B86" s="25" t="inlineStr">
        <is>
          <t>Dotación y Suministros</t>
        </is>
      </c>
      <c r="C86" s="25" t="n"/>
      <c r="D86" s="43" t="n"/>
      <c r="E86" s="1045" t="n"/>
      <c r="F86" s="25" t="n"/>
      <c r="G86" s="272" t="n"/>
      <c r="H86" s="1045" t="n"/>
      <c r="I86" s="25" t="n"/>
      <c r="J86" s="43" t="n"/>
      <c r="K86" s="1045" t="n"/>
      <c r="L86" s="25" t="n"/>
      <c r="M86" s="43" t="n"/>
      <c r="N86" s="1045" t="n"/>
      <c r="O86" s="25" t="n"/>
      <c r="P86" s="43" t="n"/>
      <c r="Q86" s="1045" t="n"/>
      <c r="R86" s="25" t="n"/>
      <c r="S86" s="43" t="n"/>
      <c r="T86" s="1045" t="n"/>
      <c r="U86" s="25" t="n"/>
      <c r="V86" s="43" t="n"/>
      <c r="W86" s="1045" t="n"/>
      <c r="X86" s="25" t="n"/>
      <c r="Y86" s="43" t="n"/>
      <c r="Z86" s="1045" t="n"/>
      <c r="AA86" s="25" t="n"/>
      <c r="AB86" s="43" t="n"/>
      <c r="AC86" s="1045" t="n"/>
      <c r="AD86" s="25" t="n"/>
      <c r="AE86" s="43" t="n"/>
      <c r="AF86" s="1045" t="n"/>
      <c r="AG86" s="25" t="n"/>
      <c r="AH86" s="43" t="n"/>
      <c r="AI86" s="1045" t="n"/>
      <c r="AJ86" s="25" t="n"/>
      <c r="AK86" s="43" t="n"/>
      <c r="AL86" s="57" t="n"/>
      <c r="AM86" s="209">
        <f>C86+F86+I86+L86+O86+R86+U86+X86+AA86+AD86+AG86+AJ86</f>
        <v/>
      </c>
      <c r="AN86" s="43" t="n"/>
      <c r="AO86" s="1046" t="n"/>
    </row>
    <row r="87" ht="15" customHeight="1" s="985">
      <c r="B87" s="97" t="inlineStr">
        <is>
          <t>Gastos Medicos</t>
        </is>
      </c>
      <c r="C87" s="22" t="n"/>
      <c r="D87" s="42" t="n"/>
      <c r="E87" s="1057" t="n"/>
      <c r="F87" s="273" t="n"/>
      <c r="G87" s="146" t="n"/>
      <c r="H87" s="1057" t="n"/>
      <c r="I87" s="22" t="n"/>
      <c r="J87" s="42" t="n"/>
      <c r="K87" s="1057" t="n"/>
      <c r="L87" s="22" t="n"/>
      <c r="M87" s="42" t="n"/>
      <c r="N87" s="1057" t="n"/>
      <c r="O87" s="22" t="n"/>
      <c r="P87" s="42" t="n"/>
      <c r="Q87" s="1057" t="n"/>
      <c r="R87" s="22" t="n"/>
      <c r="S87" s="42" t="n"/>
      <c r="T87" s="1057" t="n"/>
      <c r="U87" s="22" t="n"/>
      <c r="V87" s="42" t="n"/>
      <c r="W87" s="1057" t="n"/>
      <c r="X87" s="22" t="n"/>
      <c r="Y87" s="42" t="n"/>
      <c r="Z87" s="1057" t="n"/>
      <c r="AA87" s="22" t="n"/>
      <c r="AB87" s="42" t="n"/>
      <c r="AC87" s="1057" t="n"/>
      <c r="AD87" s="22" t="n"/>
      <c r="AE87" s="42" t="n"/>
      <c r="AF87" s="1057" t="n"/>
      <c r="AG87" s="22" t="n"/>
      <c r="AH87" s="42" t="n"/>
      <c r="AI87" s="1057" t="n"/>
      <c r="AJ87" s="22" t="n"/>
      <c r="AK87" s="42" t="n"/>
      <c r="AL87" s="56" t="n"/>
      <c r="AM87" s="209">
        <f>C87+F87+I87+L87+O87+R87+U87+X87+AA87+AD87+AG87+AJ87</f>
        <v/>
      </c>
      <c r="AN87" s="42" t="n"/>
      <c r="AO87" s="1058" t="n"/>
    </row>
    <row r="88" ht="15" customHeight="1" s="985">
      <c r="B88" s="16" t="inlineStr">
        <is>
          <t>HONORARIOS</t>
        </is>
      </c>
      <c r="C88" s="49">
        <f>SUM(C89:C90)</f>
        <v/>
      </c>
      <c r="D88" s="3" t="n"/>
      <c r="E88" s="1053" t="n"/>
      <c r="F88" s="49">
        <f>SUM(F89:F90)</f>
        <v/>
      </c>
      <c r="G88" s="3" t="n"/>
      <c r="H88" s="1053" t="n"/>
      <c r="I88" s="90">
        <f>SUM(I89:I90)</f>
        <v/>
      </c>
      <c r="J88" s="3" t="n"/>
      <c r="K88" s="1053" t="n"/>
      <c r="L88" s="49">
        <f>SUM(L89:L90)</f>
        <v/>
      </c>
      <c r="M88" s="3" t="n"/>
      <c r="N88" s="1053" t="n"/>
      <c r="O88" s="49">
        <f>SUM(O89:O90)</f>
        <v/>
      </c>
      <c r="P88" s="3" t="n"/>
      <c r="Q88" s="1053" t="n"/>
      <c r="R88" s="49">
        <f>SUM(R89:R90)</f>
        <v/>
      </c>
      <c r="S88" s="3" t="n"/>
      <c r="T88" s="1053" t="n"/>
      <c r="U88" s="49">
        <f>SUM(U89:U90)</f>
        <v/>
      </c>
      <c r="V88" s="3" t="n"/>
      <c r="W88" s="1053" t="n"/>
      <c r="X88" s="49">
        <f>SUM(X89:X90)</f>
        <v/>
      </c>
      <c r="Y88" s="3" t="n"/>
      <c r="Z88" s="1053" t="n"/>
      <c r="AA88" s="49">
        <f>SUM(AA89:AA90)</f>
        <v/>
      </c>
      <c r="AB88" s="3" t="n"/>
      <c r="AC88" s="1053" t="n"/>
      <c r="AD88" s="49">
        <f>SUM(AD89:AD90)</f>
        <v/>
      </c>
      <c r="AE88" s="3" t="n"/>
      <c r="AF88" s="1053" t="n"/>
      <c r="AG88" s="49">
        <f>SUM(AG89:AG90)</f>
        <v/>
      </c>
      <c r="AH88" s="3" t="n"/>
      <c r="AI88" s="1053" t="n"/>
      <c r="AJ88" s="49">
        <f>SUM(AJ89:AJ90)</f>
        <v/>
      </c>
      <c r="AK88" s="3" t="n"/>
      <c r="AL88" s="61" t="n"/>
      <c r="AM88" s="16">
        <f>C88+F88+I88+L88+O88+R88+U88+X88+AA88+AD88+AG88+AJ88</f>
        <v/>
      </c>
      <c r="AN88" s="3" t="n"/>
      <c r="AO88" s="1076" t="n"/>
    </row>
    <row r="89" outlineLevel="1" ht="15" customHeight="1" s="985">
      <c r="B89" s="39" t="inlineStr">
        <is>
          <t>Asesoría Juridica</t>
        </is>
      </c>
      <c r="C89" s="39" t="n"/>
      <c r="D89" s="69" t="n"/>
      <c r="E89" s="1077" t="n"/>
      <c r="F89" s="39" t="n"/>
      <c r="G89" s="69" t="n"/>
      <c r="H89" s="1077" t="n"/>
      <c r="I89" s="39" t="n"/>
      <c r="J89" s="69" t="n"/>
      <c r="K89" s="1077" t="n"/>
      <c r="L89" s="39" t="n"/>
      <c r="M89" s="69" t="n"/>
      <c r="N89" s="1077" t="n"/>
      <c r="O89" s="39" t="n"/>
      <c r="P89" s="69" t="n"/>
      <c r="Q89" s="1077" t="n"/>
      <c r="R89" s="39" t="n"/>
      <c r="S89" s="69" t="n"/>
      <c r="T89" s="1077" t="n"/>
      <c r="U89" s="39" t="n"/>
      <c r="V89" s="69" t="n"/>
      <c r="W89" s="1077" t="n"/>
      <c r="X89" s="39" t="n"/>
      <c r="Y89" s="69" t="n"/>
      <c r="Z89" s="1077" t="n"/>
      <c r="AA89" s="39" t="n"/>
      <c r="AB89" s="69" t="n"/>
      <c r="AC89" s="1077" t="n"/>
      <c r="AD89" s="39" t="n"/>
      <c r="AE89" s="69" t="n"/>
      <c r="AF89" s="1077" t="n"/>
      <c r="AG89" s="39" t="n"/>
      <c r="AH89" s="69" t="n"/>
      <c r="AI89" s="1077" t="n"/>
      <c r="AJ89" s="39" t="n"/>
      <c r="AK89" s="69" t="n"/>
      <c r="AL89" s="70" t="n"/>
      <c r="AM89" s="209">
        <f>C89+F89+I89+L89+O89+R89+U89+X89+AA89+AD89+AG89+AJ89</f>
        <v/>
      </c>
      <c r="AN89" s="69" t="n"/>
      <c r="AO89" s="1082" t="n"/>
    </row>
    <row r="90" outlineLevel="1" ht="15" customHeight="1" s="985">
      <c r="B90" s="83" t="inlineStr">
        <is>
          <t>Capacitacion</t>
        </is>
      </c>
      <c r="C90" s="83" t="n"/>
      <c r="D90" s="84" t="n"/>
      <c r="E90" s="1047" t="n"/>
      <c r="F90" s="83" t="n"/>
      <c r="G90" s="84" t="n"/>
      <c r="H90" s="1047" t="n"/>
      <c r="I90" s="83" t="n"/>
      <c r="J90" s="84" t="n"/>
      <c r="K90" s="1047" t="n"/>
      <c r="L90" s="83" t="n"/>
      <c r="M90" s="84" t="n"/>
      <c r="N90" s="1047" t="n"/>
      <c r="O90" s="83" t="n"/>
      <c r="P90" s="84" t="n"/>
      <c r="Q90" s="1047" t="n"/>
      <c r="R90" s="83" t="n"/>
      <c r="S90" s="84" t="n"/>
      <c r="T90" s="1047" t="n"/>
      <c r="U90" s="83" t="n"/>
      <c r="V90" s="84" t="n"/>
      <c r="W90" s="1047" t="n"/>
      <c r="X90" s="83" t="n"/>
      <c r="Y90" s="84" t="n"/>
      <c r="Z90" s="1047" t="n"/>
      <c r="AA90" s="83" t="n"/>
      <c r="AB90" s="84" t="n"/>
      <c r="AC90" s="1047" t="n"/>
      <c r="AD90" s="83" t="n"/>
      <c r="AE90" s="84" t="n"/>
      <c r="AF90" s="1047" t="n"/>
      <c r="AG90" s="83" t="n"/>
      <c r="AH90" s="84" t="n"/>
      <c r="AI90" s="1047" t="n"/>
      <c r="AJ90" s="83" t="n"/>
      <c r="AK90" s="84" t="n"/>
      <c r="AL90" s="85" t="n"/>
      <c r="AM90" s="206">
        <f>C90+F90+I90+L90+O90+R90+U90+X90+AA90+AD90+AG90+AJ90</f>
        <v/>
      </c>
      <c r="AN90" s="84" t="n"/>
      <c r="AO90" s="1048" t="n"/>
    </row>
    <row r="91" ht="15" customHeight="1" s="985">
      <c r="B91" s="16" t="inlineStr">
        <is>
          <t>ARRENDAMIENTOS</t>
        </is>
      </c>
      <c r="C91" s="49">
        <f>SUM(C92:C94)</f>
        <v/>
      </c>
      <c r="D91" s="3" t="n"/>
      <c r="E91" s="1053" t="n"/>
      <c r="F91" s="49">
        <f>SUM(F92:F94)</f>
        <v/>
      </c>
      <c r="G91" s="3" t="n"/>
      <c r="H91" s="1053" t="n"/>
      <c r="I91" s="90">
        <f>SUM(I92:I94)</f>
        <v/>
      </c>
      <c r="J91" s="3" t="n"/>
      <c r="K91" s="1053" t="n"/>
      <c r="L91" s="49">
        <f>SUM(L92:L94)</f>
        <v/>
      </c>
      <c r="M91" s="3" t="n"/>
      <c r="N91" s="1053" t="n"/>
      <c r="O91" s="49">
        <f>SUM(O92:O94)</f>
        <v/>
      </c>
      <c r="P91" s="3" t="n"/>
      <c r="Q91" s="1053" t="n"/>
      <c r="R91" s="49">
        <f>SUM(R92:R94)</f>
        <v/>
      </c>
      <c r="S91" s="3" t="n"/>
      <c r="T91" s="1053" t="n"/>
      <c r="U91" s="49">
        <f>SUM(U92:U94)</f>
        <v/>
      </c>
      <c r="V91" s="3" t="n"/>
      <c r="W91" s="1053" t="n"/>
      <c r="X91" s="49">
        <f>SUM(X92:X94)</f>
        <v/>
      </c>
      <c r="Y91" s="3" t="n"/>
      <c r="Z91" s="1053" t="n"/>
      <c r="AA91" s="49">
        <f>SUM(AA92:AA94)</f>
        <v/>
      </c>
      <c r="AB91" s="3" t="n"/>
      <c r="AC91" s="1053" t="n"/>
      <c r="AD91" s="49">
        <f>SUM(AD92:AD94)</f>
        <v/>
      </c>
      <c r="AE91" s="3" t="n"/>
      <c r="AF91" s="1053" t="n"/>
      <c r="AG91" s="49">
        <f>SUM(AG92:AG94)</f>
        <v/>
      </c>
      <c r="AH91" s="3" t="n"/>
      <c r="AI91" s="1053" t="n"/>
      <c r="AJ91" s="49">
        <f>SUM(AJ92:AJ94)</f>
        <v/>
      </c>
      <c r="AK91" s="3" t="n"/>
      <c r="AL91" s="61" t="n"/>
      <c r="AM91" s="16">
        <f>C91+F91+I91+L91+O91+R91+U91+X91+AA91+AD91+AG91+AJ91</f>
        <v/>
      </c>
      <c r="AN91" s="3" t="n"/>
      <c r="AO91" s="1076" t="n"/>
    </row>
    <row r="92" outlineLevel="1" ht="15" customHeight="1" s="985">
      <c r="B92" s="39" t="inlineStr">
        <is>
          <t>Construcciones y Edificaciones</t>
        </is>
      </c>
      <c r="C92" s="39">
        <f>'[9]Hoja 1'!$C$708</f>
        <v/>
      </c>
      <c r="D92" s="69" t="n"/>
      <c r="E92" s="1077" t="n"/>
      <c r="F92" s="39" t="n"/>
      <c r="G92" s="69" t="n"/>
      <c r="H92" s="1077" t="n"/>
      <c r="I92" s="39" t="n"/>
      <c r="J92" s="69" t="n"/>
      <c r="K92" s="1077" t="n"/>
      <c r="L92" s="39" t="n"/>
      <c r="M92" s="69" t="n"/>
      <c r="N92" s="1077" t="n"/>
      <c r="O92" s="39" t="n"/>
      <c r="P92" s="69" t="n"/>
      <c r="Q92" s="1077" t="n"/>
      <c r="R92" s="39" t="n"/>
      <c r="S92" s="69" t="n"/>
      <c r="T92" s="1077" t="n"/>
      <c r="U92" s="39" t="n"/>
      <c r="V92" s="69" t="n"/>
      <c r="W92" s="1077" t="n"/>
      <c r="X92" s="39" t="n"/>
      <c r="Y92" s="69" t="n"/>
      <c r="Z92" s="1077" t="n"/>
      <c r="AA92" s="39" t="n"/>
      <c r="AB92" s="69" t="n"/>
      <c r="AC92" s="1077" t="n"/>
      <c r="AD92" s="39" t="n"/>
      <c r="AE92" s="69" t="n"/>
      <c r="AF92" s="1077" t="n"/>
      <c r="AG92" s="39" t="n"/>
      <c r="AH92" s="69" t="n"/>
      <c r="AI92" s="1077" t="n"/>
      <c r="AJ92" s="39" t="n"/>
      <c r="AK92" s="69" t="n"/>
      <c r="AL92" s="70" t="n"/>
      <c r="AM92" s="209">
        <f>C92+F92+I92+L92+O92+R92+U92+X92+AA92+AD92+AG92+AJ92</f>
        <v/>
      </c>
      <c r="AN92" s="69" t="n"/>
      <c r="AO92" s="1082" t="n"/>
    </row>
    <row r="93" outlineLevel="1" ht="15" customHeight="1" s="985">
      <c r="B93" s="25" t="inlineStr">
        <is>
          <t>Maquinaria y Equipo</t>
        </is>
      </c>
      <c r="C93" s="25" t="n"/>
      <c r="D93" s="43" t="n"/>
      <c r="E93" s="1045" t="n"/>
      <c r="F93" s="25" t="n"/>
      <c r="G93" s="43" t="n"/>
      <c r="H93" s="1045" t="n"/>
      <c r="I93" s="25" t="n"/>
      <c r="J93" s="43" t="n"/>
      <c r="K93" s="1045" t="n"/>
      <c r="L93" s="25" t="n"/>
      <c r="M93" s="43" t="n"/>
      <c r="N93" s="1045" t="n"/>
      <c r="O93" s="25" t="n"/>
      <c r="P93" s="43" t="n"/>
      <c r="Q93" s="1045" t="n"/>
      <c r="R93" s="25" t="n"/>
      <c r="S93" s="43" t="n"/>
      <c r="T93" s="1045" t="n"/>
      <c r="U93" s="25" t="n"/>
      <c r="V93" s="43" t="n"/>
      <c r="W93" s="1045" t="n"/>
      <c r="X93" s="25" t="n"/>
      <c r="Y93" s="43" t="n"/>
      <c r="Z93" s="1045" t="n"/>
      <c r="AA93" s="25" t="n"/>
      <c r="AB93" s="43" t="n"/>
      <c r="AC93" s="1045" t="n"/>
      <c r="AD93" s="25" t="n"/>
      <c r="AE93" s="43" t="n"/>
      <c r="AF93" s="1045" t="n"/>
      <c r="AG93" s="25" t="n"/>
      <c r="AH93" s="43" t="n"/>
      <c r="AI93" s="1045" t="n"/>
      <c r="AJ93" s="25" t="n"/>
      <c r="AK93" s="43" t="n"/>
      <c r="AL93" s="57" t="n"/>
      <c r="AM93" s="205">
        <f>C93+F93+I93+L93+O93+R93+U93+X93+AA93+AD93+AG93+AJ93</f>
        <v/>
      </c>
      <c r="AN93" s="43" t="n"/>
      <c r="AO93" s="1046" t="n"/>
    </row>
    <row r="94" outlineLevel="1" ht="15" customHeight="1" s="985">
      <c r="B94" s="28" t="inlineStr">
        <is>
          <t>Equipo de Oficina</t>
        </is>
      </c>
      <c r="C94" s="28" t="n"/>
      <c r="D94" s="45" t="n"/>
      <c r="E94" s="1073" t="n"/>
      <c r="F94" s="28" t="n"/>
      <c r="G94" s="45" t="n"/>
      <c r="H94" s="1073" t="n"/>
      <c r="I94" s="28" t="n"/>
      <c r="J94" s="45" t="n"/>
      <c r="K94" s="1073" t="n"/>
      <c r="L94" s="28" t="n"/>
      <c r="M94" s="45" t="n"/>
      <c r="N94" s="1073" t="n"/>
      <c r="O94" s="28" t="n"/>
      <c r="P94" s="45" t="n"/>
      <c r="Q94" s="1073" t="n"/>
      <c r="R94" s="28" t="n"/>
      <c r="S94" s="45" t="n"/>
      <c r="T94" s="1073" t="n"/>
      <c r="U94" s="28" t="n"/>
      <c r="V94" s="45" t="n"/>
      <c r="W94" s="1073" t="n"/>
      <c r="X94" s="28" t="n"/>
      <c r="Y94" s="45" t="n"/>
      <c r="Z94" s="1073" t="n"/>
      <c r="AA94" s="28" t="n"/>
      <c r="AB94" s="45" t="n"/>
      <c r="AC94" s="1073" t="n"/>
      <c r="AD94" s="28" t="n"/>
      <c r="AE94" s="45" t="n"/>
      <c r="AF94" s="1073" t="n"/>
      <c r="AG94" s="28" t="n"/>
      <c r="AH94" s="45" t="n"/>
      <c r="AI94" s="1073" t="n"/>
      <c r="AJ94" s="28" t="n"/>
      <c r="AK94" s="45" t="n"/>
      <c r="AL94" s="58" t="n"/>
      <c r="AM94" s="26">
        <f>C94+F94+I94+L94+O94+R94+U94+X94+AA94+AD94+AG94+AJ94</f>
        <v/>
      </c>
      <c r="AN94" s="45" t="n"/>
      <c r="AO94" s="1083" t="n"/>
    </row>
    <row r="95" hidden="1" ht="15" customHeight="1" s="985">
      <c r="B95" s="106" t="inlineStr">
        <is>
          <t>SEGUROS</t>
        </is>
      </c>
      <c r="C95" s="49">
        <f>SUM(C96:C97)</f>
        <v/>
      </c>
      <c r="D95" s="3" t="n"/>
      <c r="E95" s="1053" t="n"/>
      <c r="F95" s="49">
        <f>SUM(F96:F97)</f>
        <v/>
      </c>
      <c r="G95" s="3" t="n"/>
      <c r="H95" s="1053" t="n"/>
      <c r="I95" s="90">
        <f>SUM(I96:I97)</f>
        <v/>
      </c>
      <c r="J95" s="3" t="n"/>
      <c r="K95" s="1053" t="n"/>
      <c r="L95" s="49">
        <f>SUM(L96:L97)</f>
        <v/>
      </c>
      <c r="M95" s="3" t="n"/>
      <c r="N95" s="1053" t="n"/>
      <c r="O95" s="49">
        <f>SUM(O96:O97)</f>
        <v/>
      </c>
      <c r="P95" s="3" t="n"/>
      <c r="Q95" s="1053" t="n"/>
      <c r="R95" s="49">
        <f>SUM(R96:R97)</f>
        <v/>
      </c>
      <c r="S95" s="3" t="n"/>
      <c r="T95" s="1053" t="n"/>
      <c r="U95" s="49">
        <f>SUM(U96:U97)</f>
        <v/>
      </c>
      <c r="V95" s="3" t="n"/>
      <c r="W95" s="1053" t="n"/>
      <c r="X95" s="49">
        <f>SUM(X96:X97)</f>
        <v/>
      </c>
      <c r="Y95" s="3" t="n"/>
      <c r="Z95" s="1053">
        <f>X95/(X$13)</f>
        <v/>
      </c>
      <c r="AA95" s="49">
        <f>SUM(AA96:AA97)</f>
        <v/>
      </c>
      <c r="AB95" s="3" t="n"/>
      <c r="AC95" s="1053" t="n"/>
      <c r="AD95" s="49">
        <f>SUM(AD96:AD97)</f>
        <v/>
      </c>
      <c r="AE95" s="3" t="n"/>
      <c r="AF95" s="1053" t="n"/>
      <c r="AG95" s="49">
        <f>SUM(AG96:AG97)</f>
        <v/>
      </c>
      <c r="AH95" s="3" t="n"/>
      <c r="AI95" s="1053" t="n"/>
      <c r="AJ95" s="49">
        <f>SUM(AJ96:AJ97)</f>
        <v/>
      </c>
      <c r="AK95" s="3" t="n"/>
      <c r="AL95" s="61" t="n"/>
      <c r="AM95" s="16">
        <f>C95+F95+I95+L95+O95+R95+U95+X95+AA95+AD95+AG95+AJ95</f>
        <v/>
      </c>
      <c r="AN95" s="3" t="n"/>
      <c r="AO95" s="1076" t="n"/>
    </row>
    <row r="96" hidden="1" outlineLevel="1" ht="15" customFormat="1" customHeight="1" s="108">
      <c r="A96" s="229" t="inlineStr">
        <is>
          <t xml:space="preserve">73301001            </t>
        </is>
      </c>
      <c r="B96" s="39" t="inlineStr">
        <is>
          <t xml:space="preserve">Cumplimiento </t>
        </is>
      </c>
      <c r="C96" s="39" t="n"/>
      <c r="D96" s="69" t="n"/>
      <c r="E96" s="1077" t="n"/>
      <c r="F96" s="39" t="n"/>
      <c r="G96" s="69" t="n"/>
      <c r="H96" s="1077" t="n"/>
      <c r="I96" s="39" t="n"/>
      <c r="J96" s="69" t="n"/>
      <c r="K96" s="1077" t="n"/>
      <c r="L96" s="353" t="n"/>
      <c r="M96" s="69" t="n"/>
      <c r="N96" s="1077" t="n"/>
      <c r="O96" s="39" t="n"/>
      <c r="P96" s="69" t="n"/>
      <c r="Q96" s="1077" t="n"/>
      <c r="R96" s="39" t="n"/>
      <c r="S96" s="69" t="n"/>
      <c r="T96" s="1077" t="n"/>
      <c r="U96" s="39" t="n"/>
      <c r="V96" s="69" t="n"/>
      <c r="W96" s="1077" t="n"/>
      <c r="X96" s="39" t="n"/>
      <c r="Y96" s="69" t="n"/>
      <c r="Z96" s="1077" t="n"/>
      <c r="AA96" s="39" t="n"/>
      <c r="AB96" s="69" t="n"/>
      <c r="AC96" s="1077" t="n"/>
      <c r="AD96" s="39" t="n"/>
      <c r="AE96" s="69" t="n"/>
      <c r="AF96" s="1077" t="n"/>
      <c r="AG96" s="39" t="n"/>
      <c r="AH96" s="69" t="n"/>
      <c r="AI96" s="1077" t="n"/>
      <c r="AJ96" s="39" t="n"/>
      <c r="AK96" s="69" t="n"/>
      <c r="AL96" s="70" t="n"/>
      <c r="AM96" s="209">
        <f>C96+F96+I96+L96+O96+R96+U96+X96+AA96+AD96+AG96+AJ96</f>
        <v/>
      </c>
      <c r="AN96" s="69" t="n"/>
      <c r="AO96" s="1082" t="n"/>
    </row>
    <row r="97" hidden="1" outlineLevel="1" ht="15" customFormat="1" customHeight="1" s="108">
      <c r="A97" s="229" t="inlineStr">
        <is>
          <t xml:space="preserve">73306001            </t>
        </is>
      </c>
      <c r="B97" s="275" t="inlineStr">
        <is>
          <t>Respomsabilidad Civil Y Extracontractual</t>
        </is>
      </c>
      <c r="C97" s="275" t="n"/>
      <c r="D97" s="276" t="n"/>
      <c r="E97" s="1084" t="n"/>
      <c r="F97" s="275" t="n"/>
      <c r="G97" s="276" t="n"/>
      <c r="H97" s="1084" t="n"/>
      <c r="I97" s="275" t="n"/>
      <c r="J97" s="276" t="n"/>
      <c r="K97" s="1084" t="n"/>
      <c r="L97" s="275" t="n"/>
      <c r="M97" s="276" t="n"/>
      <c r="N97" s="1084" t="n"/>
      <c r="O97" s="275" t="n"/>
      <c r="P97" s="276" t="n"/>
      <c r="Q97" s="1084" t="n"/>
      <c r="R97" s="275" t="n"/>
      <c r="S97" s="276" t="n"/>
      <c r="T97" s="1084" t="n"/>
      <c r="U97" s="275" t="n"/>
      <c r="V97" s="276" t="n"/>
      <c r="W97" s="1084" t="n"/>
      <c r="X97" s="275" t="n"/>
      <c r="Y97" s="276" t="n"/>
      <c r="Z97" s="1084" t="n"/>
      <c r="AA97" s="275" t="n"/>
      <c r="AB97" s="276" t="n"/>
      <c r="AC97" s="1084" t="n"/>
      <c r="AD97" s="275" t="n"/>
      <c r="AE97" s="276" t="n"/>
      <c r="AF97" s="1084" t="n"/>
      <c r="AG97" s="275" t="n"/>
      <c r="AH97" s="276" t="n"/>
      <c r="AI97" s="1084" t="n"/>
      <c r="AJ97" s="275" t="n"/>
      <c r="AK97" s="276" t="n"/>
      <c r="AL97" s="277" t="n"/>
      <c r="AM97" s="278">
        <f>C97+F97+I97+L97+O97+R97+U97+X97+AA97+AD97+AG97+AJ97</f>
        <v/>
      </c>
      <c r="AN97" s="276" t="n"/>
      <c r="AO97" s="1085" t="n"/>
    </row>
    <row r="98" collapsed="1" ht="15" customHeight="1" s="985">
      <c r="B98" s="16" t="inlineStr">
        <is>
          <t>SERVICIOS</t>
        </is>
      </c>
      <c r="C98" s="49">
        <f>SUM(C99:C107)</f>
        <v/>
      </c>
      <c r="D98" s="3" t="n"/>
      <c r="E98" s="1053" t="n"/>
      <c r="F98" s="90">
        <f>SUM(F99:F107)</f>
        <v/>
      </c>
      <c r="G98" s="3" t="n"/>
      <c r="H98" s="1053" t="n"/>
      <c r="I98" s="90">
        <f>SUM(I99:I107)</f>
        <v/>
      </c>
      <c r="J98" s="3" t="n"/>
      <c r="K98" s="1053" t="n"/>
      <c r="L98" s="49">
        <f>SUM(L99:L107)</f>
        <v/>
      </c>
      <c r="M98" s="3" t="n"/>
      <c r="N98" s="1053" t="n"/>
      <c r="O98" s="49">
        <f>SUM(O99:O107)</f>
        <v/>
      </c>
      <c r="P98" s="3" t="n"/>
      <c r="Q98" s="1053" t="n"/>
      <c r="R98" s="49">
        <f>SUM(R99:R107)</f>
        <v/>
      </c>
      <c r="S98" s="3" t="n"/>
      <c r="T98" s="1053" t="n"/>
      <c r="U98" s="49">
        <f>SUM(U99:U107)</f>
        <v/>
      </c>
      <c r="V98" s="3" t="n"/>
      <c r="W98" s="1053" t="n"/>
      <c r="X98" s="49">
        <f>SUM(X99:X107)</f>
        <v/>
      </c>
      <c r="Y98" s="3" t="n"/>
      <c r="Z98" s="1053" t="n"/>
      <c r="AA98" s="49">
        <f>SUM(AA99:AA107)</f>
        <v/>
      </c>
      <c r="AB98" s="3" t="n"/>
      <c r="AC98" s="1053" t="n"/>
      <c r="AD98" s="49">
        <f>SUM(AD99:AD107)</f>
        <v/>
      </c>
      <c r="AE98" s="3" t="n"/>
      <c r="AF98" s="1053" t="n"/>
      <c r="AG98" s="49">
        <f>SUM(AG99:AG107)</f>
        <v/>
      </c>
      <c r="AH98" s="3" t="n"/>
      <c r="AI98" s="1053" t="n"/>
      <c r="AJ98" s="49">
        <f>SUM(AJ99:AJ107)</f>
        <v/>
      </c>
      <c r="AK98" s="3" t="n"/>
      <c r="AL98" s="61" t="n"/>
      <c r="AM98" s="16">
        <f>C98+F98+I98+L98+O98+R98+U98+X98+AA98+AD98+AG98+AJ98</f>
        <v/>
      </c>
      <c r="AN98" s="3" t="n"/>
      <c r="AO98" s="1076" t="n"/>
    </row>
    <row r="99" outlineLevel="1" ht="15" customHeight="1" s="985">
      <c r="B99" s="39" t="inlineStr">
        <is>
          <t>Aseo y Vigilancia</t>
        </is>
      </c>
      <c r="C99" s="39" t="n"/>
      <c r="D99" s="69" t="n"/>
      <c r="E99" s="1077" t="n"/>
      <c r="F99" s="39" t="n"/>
      <c r="G99" s="69" t="n"/>
      <c r="H99" s="1077" t="n"/>
      <c r="I99" s="39" t="n"/>
      <c r="J99" s="69" t="n"/>
      <c r="K99" s="1077" t="n"/>
      <c r="L99" s="39" t="n"/>
      <c r="M99" s="69" t="n"/>
      <c r="N99" s="1077" t="n"/>
      <c r="O99" s="39" t="n"/>
      <c r="P99" s="69" t="n"/>
      <c r="Q99" s="1077" t="n"/>
      <c r="R99" s="39" t="n"/>
      <c r="S99" s="69" t="n"/>
      <c r="T99" s="1077" t="n"/>
      <c r="U99" s="39" t="n"/>
      <c r="V99" s="69" t="n"/>
      <c r="W99" s="1077" t="n"/>
      <c r="X99" s="39" t="n"/>
      <c r="Y99" s="69" t="n"/>
      <c r="Z99" s="1077" t="n"/>
      <c r="AA99" s="39" t="n"/>
      <c r="AB99" s="69" t="n"/>
      <c r="AC99" s="1077" t="n"/>
      <c r="AD99" s="39" t="n"/>
      <c r="AE99" s="69" t="n"/>
      <c r="AF99" s="1077" t="n"/>
      <c r="AG99" s="39" t="n"/>
      <c r="AH99" s="69" t="n"/>
      <c r="AI99" s="1077" t="n"/>
      <c r="AJ99" s="39" t="n"/>
      <c r="AK99" s="69" t="n"/>
      <c r="AL99" s="70" t="n"/>
      <c r="AM99" s="209">
        <f>C99+F99+I99+L99+O99+R99+U99+X99+AA99+AD99+AG99+AJ99</f>
        <v/>
      </c>
      <c r="AN99" s="69" t="n"/>
      <c r="AO99" s="1082" t="n"/>
    </row>
    <row r="100" outlineLevel="1" ht="15" customHeight="1" s="985">
      <c r="B100" s="25" t="inlineStr">
        <is>
          <t>Temporales</t>
        </is>
      </c>
      <c r="C100" s="25" t="n"/>
      <c r="D100" s="43" t="n"/>
      <c r="E100" s="1045" t="n"/>
      <c r="F100" s="25" t="n"/>
      <c r="G100" s="43" t="n"/>
      <c r="H100" s="1045" t="n"/>
      <c r="I100" s="25" t="n"/>
      <c r="J100" s="43" t="n"/>
      <c r="K100" s="1045" t="n"/>
      <c r="L100" s="25" t="n"/>
      <c r="M100" s="43" t="n"/>
      <c r="N100" s="1045" t="n"/>
      <c r="O100" s="25" t="n"/>
      <c r="P100" s="43" t="n"/>
      <c r="Q100" s="1045" t="n"/>
      <c r="R100" s="25" t="n"/>
      <c r="S100" s="43" t="n"/>
      <c r="T100" s="1045" t="n"/>
      <c r="U100" s="25" t="n"/>
      <c r="V100" s="43" t="n"/>
      <c r="W100" s="1045" t="n"/>
      <c r="X100" s="25" t="n"/>
      <c r="Y100" s="43" t="n"/>
      <c r="Z100" s="1045" t="n"/>
      <c r="AA100" s="25" t="n"/>
      <c r="AB100" s="43" t="n"/>
      <c r="AC100" s="1045" t="n"/>
      <c r="AD100" s="25" t="n"/>
      <c r="AE100" s="43" t="n"/>
      <c r="AF100" s="1045" t="n"/>
      <c r="AG100" s="25" t="n"/>
      <c r="AH100" s="43" t="n"/>
      <c r="AI100" s="1045" t="n"/>
      <c r="AJ100" s="25" t="n"/>
      <c r="AK100" s="43" t="n"/>
      <c r="AL100" s="57" t="n"/>
      <c r="AM100" s="205">
        <f>C100+F100+I100+L100+O100+R100+U100+X100+AA100+AD100+AG100+AJ100</f>
        <v/>
      </c>
      <c r="AN100" s="43" t="n"/>
      <c r="AO100" s="1046" t="n"/>
    </row>
    <row r="101" outlineLevel="1" ht="15" customHeight="1" s="985">
      <c r="B101" s="25" t="inlineStr">
        <is>
          <t>Mensajeria</t>
        </is>
      </c>
      <c r="C101" s="25" t="n"/>
      <c r="D101" s="43" t="n"/>
      <c r="E101" s="1045" t="n"/>
      <c r="F101" s="25" t="n"/>
      <c r="G101" s="43" t="n"/>
      <c r="H101" s="1045" t="n"/>
      <c r="I101" s="25" t="n"/>
      <c r="J101" s="43" t="n"/>
      <c r="K101" s="1045" t="n"/>
      <c r="L101" s="25" t="n"/>
      <c r="M101" s="43" t="n"/>
      <c r="N101" s="1045" t="n"/>
      <c r="O101" s="25" t="n"/>
      <c r="P101" s="43" t="n"/>
      <c r="Q101" s="1045" t="n"/>
      <c r="R101" s="25" t="n"/>
      <c r="S101" s="43" t="n"/>
      <c r="T101" s="1045" t="n"/>
      <c r="U101" s="25" t="n"/>
      <c r="V101" s="43" t="n"/>
      <c r="W101" s="1045" t="n"/>
      <c r="X101" s="25" t="n"/>
      <c r="Y101" s="43" t="n"/>
      <c r="Z101" s="1045" t="n"/>
      <c r="AA101" s="25" t="n"/>
      <c r="AB101" s="43" t="n"/>
      <c r="AC101" s="1045" t="n"/>
      <c r="AD101" s="25" t="n"/>
      <c r="AE101" s="43" t="n"/>
      <c r="AF101" s="1045" t="n"/>
      <c r="AG101" s="25" t="n"/>
      <c r="AH101" s="43" t="n"/>
      <c r="AI101" s="1045" t="n"/>
      <c r="AJ101" s="25" t="n"/>
      <c r="AK101" s="43" t="n"/>
      <c r="AL101" s="57" t="n"/>
      <c r="AM101" s="205">
        <f>C101+F101+I101+L101+O101+R101+U101+X101+AA101+AD101+AG101+AJ101</f>
        <v/>
      </c>
      <c r="AN101" s="43" t="n"/>
      <c r="AO101" s="1046" t="n"/>
    </row>
    <row r="102" outlineLevel="1" ht="15" customHeight="1" s="985">
      <c r="B102" s="25" t="inlineStr">
        <is>
          <t>Laboratorio</t>
        </is>
      </c>
      <c r="C102" s="281" t="n"/>
      <c r="D102" s="43" t="n"/>
      <c r="E102" s="1045" t="n"/>
      <c r="F102" s="25" t="n"/>
      <c r="G102" s="43" t="n"/>
      <c r="H102" s="1045" t="n"/>
      <c r="I102" s="25" t="n"/>
      <c r="J102" s="43" t="n"/>
      <c r="K102" s="1045" t="n"/>
      <c r="L102" s="25" t="n"/>
      <c r="M102" s="43" t="n"/>
      <c r="N102" s="1045" t="n"/>
      <c r="O102" s="25" t="n"/>
      <c r="P102" s="43" t="n"/>
      <c r="Q102" s="1045" t="n"/>
      <c r="R102" s="25" t="n"/>
      <c r="S102" s="43" t="n"/>
      <c r="T102" s="1045" t="n"/>
      <c r="U102" s="25" t="n"/>
      <c r="V102" s="43" t="n"/>
      <c r="W102" s="1045" t="n"/>
      <c r="X102" s="25" t="n"/>
      <c r="Y102" s="43" t="n"/>
      <c r="Z102" s="1045" t="n"/>
      <c r="AA102" s="25" t="n"/>
      <c r="AB102" s="43" t="n"/>
      <c r="AC102" s="1045" t="n"/>
      <c r="AD102" s="25" t="n"/>
      <c r="AE102" s="43" t="n"/>
      <c r="AF102" s="1045" t="n"/>
      <c r="AG102" s="25" t="n"/>
      <c r="AH102" s="43" t="n"/>
      <c r="AI102" s="1045" t="n"/>
      <c r="AJ102" s="25" t="n"/>
      <c r="AK102" s="43" t="n"/>
      <c r="AL102" s="57" t="n"/>
      <c r="AM102" s="205">
        <f>C102+F102+I102+L102+O102+R102+U102+X102+AA102+AD102+AG102+AJ102</f>
        <v/>
      </c>
      <c r="AN102" s="43" t="n"/>
      <c r="AO102" s="1046" t="n"/>
    </row>
    <row r="103" outlineLevel="1" ht="15" customHeight="1" s="985">
      <c r="B103" s="25" t="inlineStr">
        <is>
          <t>Fumigacion</t>
        </is>
      </c>
      <c r="C103" s="281" t="n"/>
      <c r="D103" s="43" t="n"/>
      <c r="E103" s="1045" t="n"/>
      <c r="F103" s="25" t="n"/>
      <c r="G103" s="43" t="n"/>
      <c r="H103" s="1045" t="n"/>
      <c r="I103" s="25" t="n"/>
      <c r="J103" s="43" t="n"/>
      <c r="K103" s="1045" t="n"/>
      <c r="L103" s="25" t="n"/>
      <c r="M103" s="43" t="n"/>
      <c r="N103" s="1045" t="n"/>
      <c r="O103" s="25" t="n"/>
      <c r="P103" s="43" t="n"/>
      <c r="Q103" s="1045" t="n"/>
      <c r="R103" s="25" t="n"/>
      <c r="S103" s="43" t="n"/>
      <c r="T103" s="1045" t="n"/>
      <c r="U103" s="25" t="n"/>
      <c r="V103" s="43" t="n"/>
      <c r="W103" s="1045" t="n"/>
      <c r="X103" s="25" t="n"/>
      <c r="Y103" s="43" t="n"/>
      <c r="Z103" s="1045" t="n"/>
      <c r="AA103" s="25" t="n"/>
      <c r="AB103" s="43" t="n"/>
      <c r="AC103" s="1045" t="n"/>
      <c r="AD103" s="25" t="n"/>
      <c r="AE103" s="43" t="n"/>
      <c r="AF103" s="1045" t="n"/>
      <c r="AG103" s="25" t="n"/>
      <c r="AH103" s="43" t="n"/>
      <c r="AI103" s="1045" t="n"/>
      <c r="AJ103" s="25" t="n"/>
      <c r="AK103" s="43" t="n"/>
      <c r="AL103" s="57" t="n"/>
      <c r="AM103" s="205">
        <f>C103+F103+I103+L103+O103+R103+U103+X103+AA103+AD103+AG103+AJ103</f>
        <v/>
      </c>
      <c r="AN103" s="43" t="n"/>
      <c r="AO103" s="1046" t="n"/>
    </row>
    <row r="104" outlineLevel="1" ht="15" customHeight="1" s="985">
      <c r="B104" s="25" t="inlineStr">
        <is>
          <t>Acueducto y Alcantarillado</t>
        </is>
      </c>
      <c r="C104" s="25" t="n"/>
      <c r="D104" s="43" t="n"/>
      <c r="E104" s="1045" t="n"/>
      <c r="F104" s="25" t="n"/>
      <c r="G104" s="43" t="n"/>
      <c r="H104" s="1045" t="n"/>
      <c r="I104" s="25" t="n"/>
      <c r="J104" s="43" t="n"/>
      <c r="K104" s="1045" t="n"/>
      <c r="L104" s="25" t="n"/>
      <c r="M104" s="43" t="n"/>
      <c r="N104" s="1045" t="n"/>
      <c r="O104" s="25" t="n"/>
      <c r="P104" s="43" t="n"/>
      <c r="Q104" s="1045" t="n"/>
      <c r="R104" s="25" t="n"/>
      <c r="S104" s="43" t="n"/>
      <c r="T104" s="1045" t="n"/>
      <c r="U104" s="25" t="n"/>
      <c r="V104" s="43" t="n"/>
      <c r="W104" s="1045" t="n"/>
      <c r="X104" s="25" t="n"/>
      <c r="Y104" s="43" t="n"/>
      <c r="Z104" s="1045" t="n"/>
      <c r="AA104" s="25" t="n"/>
      <c r="AB104" s="43" t="n"/>
      <c r="AC104" s="1045" t="n"/>
      <c r="AD104" s="25" t="n"/>
      <c r="AE104" s="43" t="n"/>
      <c r="AF104" s="1045" t="n"/>
      <c r="AG104" s="25" t="n"/>
      <c r="AH104" s="43" t="n"/>
      <c r="AI104" s="1045" t="n"/>
      <c r="AJ104" s="25" t="n"/>
      <c r="AK104" s="43" t="n"/>
      <c r="AL104" s="57" t="n"/>
      <c r="AM104" s="205">
        <f>C104+F104+I104+L104+O104+R104+U104+X104+AA104+AD104+AG104+AJ104</f>
        <v/>
      </c>
      <c r="AN104" s="43" t="n"/>
      <c r="AO104" s="1046" t="n"/>
    </row>
    <row r="105" outlineLevel="1" ht="15" customHeight="1" s="985">
      <c r="B105" s="25" t="inlineStr">
        <is>
          <t>Energia</t>
        </is>
      </c>
      <c r="C105" s="25" t="n"/>
      <c r="D105" s="43" t="n"/>
      <c r="E105" s="1045" t="n"/>
      <c r="F105" s="25" t="n"/>
      <c r="G105" s="43" t="n"/>
      <c r="H105" s="1045" t="n"/>
      <c r="I105" s="25" t="n"/>
      <c r="J105" s="43" t="n"/>
      <c r="K105" s="1045" t="n"/>
      <c r="L105" s="274" t="n"/>
      <c r="M105" s="43" t="n"/>
      <c r="N105" s="1045" t="n"/>
      <c r="O105" s="274" t="n"/>
      <c r="P105" s="43" t="n"/>
      <c r="Q105" s="1045" t="n"/>
      <c r="R105" s="274" t="n"/>
      <c r="S105" s="43" t="n"/>
      <c r="T105" s="1045" t="n"/>
      <c r="U105" s="274" t="n"/>
      <c r="V105" s="43" t="n"/>
      <c r="W105" s="1045" t="n"/>
      <c r="X105" s="274" t="n"/>
      <c r="Y105" s="43" t="n"/>
      <c r="Z105" s="1045" t="n"/>
      <c r="AA105" s="274" t="n"/>
      <c r="AB105" s="43" t="n"/>
      <c r="AC105" s="1045" t="n"/>
      <c r="AD105" s="282" t="n"/>
      <c r="AE105" s="43" t="n"/>
      <c r="AF105" s="1045" t="n"/>
      <c r="AG105" s="283" t="n"/>
      <c r="AH105" s="43" t="n"/>
      <c r="AI105" s="1045" t="n"/>
      <c r="AJ105" s="25" t="n"/>
      <c r="AK105" s="43" t="n"/>
      <c r="AL105" s="57" t="n"/>
      <c r="AM105" s="205">
        <f>C105+F105+I105+L105+O105+R105+U105+X105+AA105+AD105+AG105+AJ105</f>
        <v/>
      </c>
      <c r="AN105" s="43" t="n"/>
      <c r="AO105" s="1046" t="n"/>
    </row>
    <row r="106" outlineLevel="1" ht="15" customHeight="1" s="985">
      <c r="A106" s="226" t="inlineStr">
        <is>
          <t xml:space="preserve">73354001            </t>
        </is>
      </c>
      <c r="B106" s="205" t="inlineStr">
        <is>
          <t>Correo, porte y telegramas</t>
        </is>
      </c>
      <c r="C106" s="25" t="n"/>
      <c r="D106" s="43" t="n"/>
      <c r="E106" s="1045" t="n"/>
      <c r="F106" s="25" t="n"/>
      <c r="G106" s="43" t="n"/>
      <c r="H106" s="1045" t="n"/>
      <c r="I106" s="25" t="n"/>
      <c r="J106" s="43" t="n"/>
      <c r="K106" s="1045" t="n"/>
      <c r="L106" s="274" t="n"/>
      <c r="M106" s="43" t="n"/>
      <c r="N106" s="1045" t="n"/>
      <c r="O106" s="274" t="n"/>
      <c r="P106" s="43" t="n"/>
      <c r="Q106" s="1045" t="n"/>
      <c r="R106" s="274" t="n"/>
      <c r="S106" s="43" t="n"/>
      <c r="T106" s="1045" t="n"/>
      <c r="U106" s="274" t="n"/>
      <c r="V106" s="43" t="n"/>
      <c r="W106" s="1045" t="n"/>
      <c r="X106" s="274" t="n"/>
      <c r="Y106" s="43" t="n"/>
      <c r="Z106" s="1045" t="n"/>
      <c r="AA106" s="274" t="n"/>
      <c r="AB106" s="43" t="n"/>
      <c r="AC106" s="1045" t="n"/>
      <c r="AD106" s="282" t="n"/>
      <c r="AE106" s="43" t="n"/>
      <c r="AF106" s="1045" t="n"/>
      <c r="AG106" s="283" t="n"/>
      <c r="AH106" s="43" t="n"/>
      <c r="AI106" s="1045" t="n"/>
      <c r="AJ106" s="25" t="n"/>
      <c r="AK106" s="43" t="n"/>
      <c r="AL106" s="57" t="n"/>
      <c r="AM106" s="205">
        <f>C106+F106+I106+L106+O106+R106+U106+X106+AA106+AD106+AG106+AJ106</f>
        <v/>
      </c>
      <c r="AN106" s="43" t="n"/>
      <c r="AO106" s="1046" t="n"/>
    </row>
    <row r="107" outlineLevel="1" ht="15" customHeight="1" s="985">
      <c r="B107" s="349" t="inlineStr">
        <is>
          <t>Transporte</t>
        </is>
      </c>
      <c r="C107" s="22" t="n"/>
      <c r="D107" s="42" t="n"/>
      <c r="E107" s="1057" t="n"/>
      <c r="F107" s="381" t="n"/>
      <c r="G107" s="42" t="n"/>
      <c r="H107" s="1057" t="n"/>
      <c r="I107" s="2" t="n"/>
      <c r="J107" s="42" t="n"/>
      <c r="K107" s="1057" t="n"/>
      <c r="L107" s="2" t="n"/>
      <c r="M107" s="42" t="n"/>
      <c r="N107" s="1057" t="n"/>
      <c r="O107" s="2" t="n"/>
      <c r="P107" s="42" t="n"/>
      <c r="Q107" s="1057" t="n"/>
      <c r="R107" s="2" t="n"/>
      <c r="S107" s="42" t="n"/>
      <c r="T107" s="1057" t="n"/>
      <c r="U107" s="2" t="n"/>
      <c r="V107" s="42" t="n"/>
      <c r="W107" s="1057" t="n"/>
      <c r="X107" s="2" t="n"/>
      <c r="Y107" s="42" t="n"/>
      <c r="Z107" s="1057" t="n"/>
      <c r="AA107" s="2" t="n"/>
      <c r="AB107" s="42" t="n"/>
      <c r="AC107" s="1057" t="n"/>
      <c r="AD107" s="2" t="n"/>
      <c r="AE107" s="42" t="n"/>
      <c r="AF107" s="1057" t="n"/>
      <c r="AG107" s="2" t="n"/>
      <c r="AH107" s="42" t="n"/>
      <c r="AI107" s="1057" t="n"/>
      <c r="AJ107" s="2" t="n"/>
      <c r="AK107" s="42" t="n"/>
      <c r="AL107" s="56" t="n"/>
      <c r="AM107" s="97">
        <f>C107+F107+I107+L107+O107+R107+U107+X107+AA107+AD107+AG107+AJ107</f>
        <v/>
      </c>
      <c r="AN107" s="42" t="n"/>
      <c r="AO107" s="1058" t="n"/>
    </row>
    <row r="108" ht="15" customHeight="1" s="985">
      <c r="B108" s="16" t="inlineStr">
        <is>
          <t>GASTOS LEGALES</t>
        </is>
      </c>
      <c r="C108" s="49">
        <f>SUM(C109:C112)</f>
        <v/>
      </c>
      <c r="D108" s="3" t="n"/>
      <c r="E108" s="1053" t="n"/>
      <c r="F108" s="49">
        <f>SUM(F109:F112)</f>
        <v/>
      </c>
      <c r="G108" s="3" t="n"/>
      <c r="H108" s="1053" t="n"/>
      <c r="I108" s="90">
        <f>SUM(I109:I112)</f>
        <v/>
      </c>
      <c r="J108" s="3" t="n"/>
      <c r="K108" s="1053" t="n"/>
      <c r="L108" s="49">
        <f>SUM(L109:L112)</f>
        <v/>
      </c>
      <c r="M108" s="3" t="n"/>
      <c r="N108" s="1053" t="n"/>
      <c r="O108" s="49">
        <f>SUM(O109:O112)</f>
        <v/>
      </c>
      <c r="P108" s="3" t="n"/>
      <c r="Q108" s="1053" t="n"/>
      <c r="R108" s="49">
        <f>SUM(R109:R112)</f>
        <v/>
      </c>
      <c r="S108" s="3" t="n"/>
      <c r="T108" s="1053" t="n"/>
      <c r="U108" s="49">
        <f>SUM(U109:U112)</f>
        <v/>
      </c>
      <c r="V108" s="3" t="n"/>
      <c r="W108" s="1053" t="n"/>
      <c r="X108" s="49">
        <f>SUM(X109:X112)</f>
        <v/>
      </c>
      <c r="Y108" s="3" t="n"/>
      <c r="Z108" s="1053">
        <f>X108/(X$13)</f>
        <v/>
      </c>
      <c r="AA108" s="49">
        <f>SUM(AA109:AA112)</f>
        <v/>
      </c>
      <c r="AB108" s="3" t="n"/>
      <c r="AC108" s="1053">
        <f>AA108/(AA$13)</f>
        <v/>
      </c>
      <c r="AD108" s="49">
        <f>SUM(AD109:AD112)</f>
        <v/>
      </c>
      <c r="AE108" s="3" t="n"/>
      <c r="AF108" s="1053" t="n"/>
      <c r="AG108" s="49">
        <f>SUM(AG109:AG112)</f>
        <v/>
      </c>
      <c r="AH108" s="3" t="n"/>
      <c r="AI108" s="1053" t="n"/>
      <c r="AJ108" s="49">
        <f>SUM(AJ109:AJ112)</f>
        <v/>
      </c>
      <c r="AK108" s="3" t="n"/>
      <c r="AL108" s="61" t="n"/>
      <c r="AM108" s="16">
        <f>C108+F108+I108+L108+O108+R108+U108+X108+AA108+AD108+AG108+AJ108</f>
        <v/>
      </c>
      <c r="AN108" s="3" t="n"/>
      <c r="AO108" s="1076" t="n"/>
    </row>
    <row r="109" outlineLevel="1" ht="15" customHeight="1" s="985">
      <c r="A109" s="226" t="inlineStr">
        <is>
          <t xml:space="preserve">73400501            </t>
        </is>
      </c>
      <c r="B109" s="39" t="inlineStr">
        <is>
          <t>Notariales</t>
        </is>
      </c>
      <c r="C109" s="39" t="n"/>
      <c r="D109" s="69" t="n"/>
      <c r="E109" s="1077" t="n"/>
      <c r="F109" s="39" t="n"/>
      <c r="G109" s="69" t="n"/>
      <c r="H109" s="1077" t="n"/>
      <c r="I109" s="39" t="n"/>
      <c r="J109" s="69" t="n"/>
      <c r="K109" s="1077" t="n"/>
      <c r="L109" s="39" t="n"/>
      <c r="M109" s="69" t="n"/>
      <c r="N109" s="1077" t="n"/>
      <c r="O109" s="39" t="n"/>
      <c r="P109" s="69" t="n"/>
      <c r="Q109" s="1077" t="n"/>
      <c r="R109" s="39" t="n"/>
      <c r="S109" s="69" t="n"/>
      <c r="T109" s="1077" t="n"/>
      <c r="U109" s="39" t="n"/>
      <c r="V109" s="69" t="n"/>
      <c r="W109" s="1077" t="n"/>
      <c r="X109" s="39" t="n"/>
      <c r="Y109" s="69" t="n"/>
      <c r="Z109" s="1077" t="n"/>
      <c r="AA109" s="39" t="n"/>
      <c r="AB109" s="69" t="n"/>
      <c r="AC109" s="1077" t="n"/>
      <c r="AD109" s="39" t="n"/>
      <c r="AE109" s="69" t="n"/>
      <c r="AF109" s="1077" t="n"/>
      <c r="AG109" s="39" t="n"/>
      <c r="AH109" s="69" t="n"/>
      <c r="AI109" s="1077" t="n"/>
      <c r="AJ109" s="39" t="n"/>
      <c r="AK109" s="69" t="n"/>
      <c r="AL109" s="70" t="n"/>
      <c r="AM109" s="209">
        <f>C109+F109+I109+L109+O109+R109+U109+X109+AA109+AD109+AG109+AJ109</f>
        <v/>
      </c>
      <c r="AN109" s="69" t="n"/>
      <c r="AO109" s="1082" t="n"/>
    </row>
    <row r="110" outlineLevel="1" ht="15" customHeight="1" s="985">
      <c r="A110" s="226" t="inlineStr">
        <is>
          <t xml:space="preserve">73401001            </t>
        </is>
      </c>
      <c r="B110" s="25" t="inlineStr">
        <is>
          <t>Registro Mercantil</t>
        </is>
      </c>
      <c r="C110" s="25" t="n"/>
      <c r="D110" s="43" t="n"/>
      <c r="E110" s="1045" t="n"/>
      <c r="F110" s="25" t="n"/>
      <c r="G110" s="43" t="n"/>
      <c r="H110" s="1045" t="n"/>
      <c r="I110" s="25" t="n"/>
      <c r="J110" s="43" t="n"/>
      <c r="K110" s="1045" t="n"/>
      <c r="L110" s="25" t="n"/>
      <c r="M110" s="43" t="n"/>
      <c r="N110" s="1045" t="n"/>
      <c r="O110" s="25" t="n"/>
      <c r="P110" s="43" t="n"/>
      <c r="Q110" s="1045" t="n"/>
      <c r="R110" s="25" t="n"/>
      <c r="S110" s="43" t="n"/>
      <c r="T110" s="1045" t="n"/>
      <c r="U110" s="25" t="n"/>
      <c r="V110" s="43" t="n"/>
      <c r="W110" s="1045" t="n"/>
      <c r="X110" s="25" t="n"/>
      <c r="Y110" s="43" t="n"/>
      <c r="Z110" s="1045" t="n"/>
      <c r="AA110" s="25" t="n"/>
      <c r="AB110" s="43" t="n"/>
      <c r="AC110" s="1045" t="n"/>
      <c r="AD110" s="25" t="n"/>
      <c r="AE110" s="43" t="n"/>
      <c r="AF110" s="1045" t="n"/>
      <c r="AG110" s="25" t="n"/>
      <c r="AH110" s="43" t="n"/>
      <c r="AI110" s="1045" t="n"/>
      <c r="AJ110" s="25" t="n"/>
      <c r="AK110" s="43" t="n"/>
      <c r="AL110" s="57" t="n"/>
      <c r="AM110" s="205">
        <f>C110+F110+I110+L110+O110+R110+U110+X110+AA110+AD110+AG110+AJ110</f>
        <v/>
      </c>
      <c r="AN110" s="43" t="n"/>
      <c r="AO110" s="1046" t="n"/>
    </row>
    <row r="111" outlineLevel="1" ht="15" customHeight="1" s="985">
      <c r="A111" s="226" t="inlineStr">
        <is>
          <t xml:space="preserve">73401501            </t>
        </is>
      </c>
      <c r="B111" s="25" t="inlineStr">
        <is>
          <t>Trámites y Licencias</t>
        </is>
      </c>
      <c r="C111" s="25" t="n"/>
      <c r="D111" s="43" t="n"/>
      <c r="E111" s="1045" t="n"/>
      <c r="F111" s="25" t="n"/>
      <c r="G111" s="43" t="n"/>
      <c r="H111" s="1045" t="n"/>
      <c r="I111" s="25" t="n"/>
      <c r="J111" s="43" t="n"/>
      <c r="K111" s="1045" t="n"/>
      <c r="L111" s="25" t="n"/>
      <c r="M111" s="43" t="n"/>
      <c r="N111" s="1045" t="n"/>
      <c r="O111" s="25" t="n"/>
      <c r="P111" s="43" t="n"/>
      <c r="Q111" s="1045" t="n"/>
      <c r="R111" s="25" t="n"/>
      <c r="S111" s="43" t="n"/>
      <c r="T111" s="1045" t="n"/>
      <c r="U111" s="25" t="n"/>
      <c r="V111" s="43" t="n"/>
      <c r="W111" s="1045" t="n"/>
      <c r="X111" s="25" t="n"/>
      <c r="Y111" s="43" t="n"/>
      <c r="Z111" s="1045" t="n"/>
      <c r="AA111" s="25" t="n"/>
      <c r="AB111" s="43" t="n"/>
      <c r="AC111" s="1045" t="n"/>
      <c r="AD111" s="25" t="n"/>
      <c r="AE111" s="43" t="n"/>
      <c r="AF111" s="1045" t="n"/>
      <c r="AG111" s="25" t="n"/>
      <c r="AH111" s="43" t="n"/>
      <c r="AI111" s="1045" t="n"/>
      <c r="AJ111" s="25" t="n"/>
      <c r="AK111" s="43" t="n"/>
      <c r="AL111" s="57" t="n"/>
      <c r="AM111" s="205">
        <f>C111+F111+I111+L111+O111+R111+U111+X111+AA111+AD111+AG111+AJ111</f>
        <v/>
      </c>
      <c r="AN111" s="43" t="n"/>
      <c r="AO111" s="1046" t="n"/>
    </row>
    <row r="112" outlineLevel="1" ht="15" customHeight="1" s="985">
      <c r="A112" s="226" t="inlineStr">
        <is>
          <t xml:space="preserve">73409501            </t>
        </is>
      </c>
      <c r="B112" s="28" t="inlineStr">
        <is>
          <t xml:space="preserve">Certificados Camara Comercio        </t>
        </is>
      </c>
      <c r="C112" s="28" t="n"/>
      <c r="D112" s="45" t="n"/>
      <c r="E112" s="1073" t="n"/>
      <c r="F112" s="28" t="n"/>
      <c r="G112" s="45" t="n"/>
      <c r="H112" s="1073" t="n"/>
      <c r="I112" s="28" t="n"/>
      <c r="J112" s="45" t="n"/>
      <c r="K112" s="1073" t="n"/>
      <c r="L112" s="28" t="n"/>
      <c r="M112" s="45" t="n"/>
      <c r="N112" s="1073" t="n"/>
      <c r="O112" s="28" t="n"/>
      <c r="P112" s="45" t="n"/>
      <c r="Q112" s="1073" t="n"/>
      <c r="R112" s="28" t="n"/>
      <c r="S112" s="45" t="n"/>
      <c r="T112" s="1073" t="n"/>
      <c r="U112" s="28" t="n"/>
      <c r="V112" s="45" t="n"/>
      <c r="W112" s="1073" t="n"/>
      <c r="X112" s="28" t="n"/>
      <c r="Y112" s="45" t="n"/>
      <c r="Z112" s="1073" t="n"/>
      <c r="AA112" s="28" t="n"/>
      <c r="AB112" s="45" t="n"/>
      <c r="AC112" s="1073" t="n"/>
      <c r="AD112" s="28" t="n"/>
      <c r="AE112" s="45" t="n"/>
      <c r="AF112" s="1073" t="n"/>
      <c r="AG112" s="28" t="n"/>
      <c r="AH112" s="45" t="n"/>
      <c r="AI112" s="1073" t="n"/>
      <c r="AJ112" s="28" t="n"/>
      <c r="AK112" s="45" t="n"/>
      <c r="AL112" s="58" t="n"/>
      <c r="AM112" s="26">
        <f>C112+F112+I112+L112+O112+R112+U112+X112+AA112+AD112+AG112+AJ112</f>
        <v/>
      </c>
      <c r="AN112" s="45" t="n"/>
      <c r="AO112" s="1083" t="n"/>
    </row>
    <row r="113" ht="15" customHeight="1" s="985">
      <c r="B113" s="16" t="inlineStr">
        <is>
          <t xml:space="preserve">MANTENIMIENTO Y REPARACIONES  </t>
        </is>
      </c>
      <c r="C113" s="49">
        <f>SUM(C114:C115)</f>
        <v/>
      </c>
      <c r="D113" s="3" t="n"/>
      <c r="E113" s="1053" t="n"/>
      <c r="F113" s="90">
        <f>SUM(F114:F118)</f>
        <v/>
      </c>
      <c r="G113" s="3" t="n"/>
      <c r="H113" s="1053" t="n"/>
      <c r="I113" s="90">
        <f>SUM(I114:I118)</f>
        <v/>
      </c>
      <c r="J113" s="3" t="n"/>
      <c r="K113" s="1053" t="n"/>
      <c r="L113" s="90">
        <f>SUM(L114:L118)</f>
        <v/>
      </c>
      <c r="M113" s="3" t="n"/>
      <c r="N113" s="1053" t="n"/>
      <c r="O113" s="90">
        <f>SUM(O114:O118)</f>
        <v/>
      </c>
      <c r="P113" s="3" t="n"/>
      <c r="Q113" s="1053" t="n"/>
      <c r="R113" s="90">
        <f>SUM(R114:R118)</f>
        <v/>
      </c>
      <c r="S113" s="3" t="n"/>
      <c r="T113" s="1053" t="n"/>
      <c r="U113" s="90">
        <f>SUM(U114:U118)</f>
        <v/>
      </c>
      <c r="V113" s="3" t="n"/>
      <c r="W113" s="1053" t="n"/>
      <c r="X113" s="90">
        <f>SUM(X114:X118)</f>
        <v/>
      </c>
      <c r="Y113" s="3" t="n"/>
      <c r="Z113" s="1053">
        <f>X113/(X$13)</f>
        <v/>
      </c>
      <c r="AA113" s="90">
        <f>SUM(AA114:AA118)</f>
        <v/>
      </c>
      <c r="AB113" s="3" t="n"/>
      <c r="AC113" s="1053">
        <f>AA113/(AA$13)</f>
        <v/>
      </c>
      <c r="AD113" s="90">
        <f>SUM(AD114:AD118)</f>
        <v/>
      </c>
      <c r="AE113" s="3" t="n"/>
      <c r="AF113" s="1053" t="n"/>
      <c r="AG113" s="90">
        <f>SUM(AG114:AG118)</f>
        <v/>
      </c>
      <c r="AH113" s="3" t="n"/>
      <c r="AI113" s="1053" t="n"/>
      <c r="AJ113" s="90">
        <f>SUM(AJ114:AJ118)</f>
        <v/>
      </c>
      <c r="AK113" s="3" t="n"/>
      <c r="AL113" s="61" t="n"/>
      <c r="AM113" s="16">
        <f>C113+F113+I113+L113+O113+R113+U113+X113+AA113+AD113+AG113+AJ113</f>
        <v/>
      </c>
      <c r="AN113" s="3" t="n"/>
      <c r="AO113" s="1076" t="n"/>
    </row>
    <row r="114" outlineLevel="1" ht="15" customHeight="1" s="985">
      <c r="A114" s="226" t="inlineStr">
        <is>
          <t xml:space="preserve">73451001            </t>
        </is>
      </c>
      <c r="B114" s="39" t="inlineStr">
        <is>
          <t xml:space="preserve">Construcciones y Edificaciones          </t>
        </is>
      </c>
      <c r="C114" s="39" t="n"/>
      <c r="D114" s="69" t="n"/>
      <c r="E114" s="1077" t="n"/>
      <c r="F114" s="39" t="n"/>
      <c r="G114" s="69" t="n"/>
      <c r="H114" s="1077" t="n"/>
      <c r="I114" s="39" t="n"/>
      <c r="J114" s="69" t="n"/>
      <c r="K114" s="1077" t="n"/>
      <c r="L114" s="39" t="n"/>
      <c r="M114" s="69" t="n"/>
      <c r="N114" s="1077" t="n"/>
      <c r="O114" s="39" t="n"/>
      <c r="P114" s="69" t="n"/>
      <c r="Q114" s="1077" t="n"/>
      <c r="R114" s="39" t="n"/>
      <c r="S114" s="69" t="n"/>
      <c r="T114" s="1077" t="n"/>
      <c r="U114" s="39" t="n"/>
      <c r="V114" s="69" t="n"/>
      <c r="W114" s="1077" t="n"/>
      <c r="X114" s="39" t="n"/>
      <c r="Y114" s="69" t="n"/>
      <c r="Z114" s="1077" t="n"/>
      <c r="AA114" s="39" t="n"/>
      <c r="AB114" s="69" t="n"/>
      <c r="AC114" s="1077" t="n"/>
      <c r="AD114" s="39" t="n"/>
      <c r="AE114" s="69" t="n"/>
      <c r="AF114" s="1077" t="n"/>
      <c r="AG114" s="39" t="n"/>
      <c r="AH114" s="69" t="n"/>
      <c r="AI114" s="1077" t="n"/>
      <c r="AJ114" s="39" t="n"/>
      <c r="AK114" s="69" t="n"/>
      <c r="AL114" s="70" t="n"/>
      <c r="AM114" s="209">
        <f>C114+F114+I114+L114+O114+R114+U114+X114+AA114+AD114+AG114+AJ114</f>
        <v/>
      </c>
      <c r="AN114" s="69" t="n"/>
      <c r="AO114" s="1082" t="n"/>
    </row>
    <row r="115" outlineLevel="1" ht="15" customHeight="1" s="985">
      <c r="A115" s="226" t="inlineStr">
        <is>
          <t xml:space="preserve">73451501            </t>
        </is>
      </c>
      <c r="B115" s="25" t="inlineStr">
        <is>
          <t xml:space="preserve">Maquinaria y Equipo                     </t>
        </is>
      </c>
      <c r="C115" s="25" t="n"/>
      <c r="D115" s="43" t="n"/>
      <c r="E115" s="1045" t="n"/>
      <c r="F115" s="25" t="n"/>
      <c r="G115" s="43" t="n"/>
      <c r="H115" s="1045" t="n"/>
      <c r="I115" s="25" t="n"/>
      <c r="J115" s="43" t="n"/>
      <c r="K115" s="1045" t="n"/>
      <c r="L115" s="25" t="n"/>
      <c r="M115" s="43" t="n"/>
      <c r="N115" s="1045" t="n"/>
      <c r="O115" s="25" t="n"/>
      <c r="P115" s="43" t="n"/>
      <c r="Q115" s="1045" t="n"/>
      <c r="R115" s="25" t="n"/>
      <c r="S115" s="43" t="n"/>
      <c r="T115" s="1045" t="n"/>
      <c r="U115" s="25" t="n"/>
      <c r="V115" s="43" t="n"/>
      <c r="W115" s="1045" t="n"/>
      <c r="X115" s="25" t="n"/>
      <c r="Y115" s="43" t="n"/>
      <c r="Z115" s="1045" t="n"/>
      <c r="AA115" s="25" t="n"/>
      <c r="AB115" s="43" t="n"/>
      <c r="AC115" s="1045" t="n"/>
      <c r="AD115" s="25" t="n"/>
      <c r="AE115" s="43" t="n"/>
      <c r="AF115" s="1045" t="n"/>
      <c r="AG115" s="25" t="n"/>
      <c r="AH115" s="43" t="n"/>
      <c r="AI115" s="1045" t="n"/>
      <c r="AJ115" s="25" t="n"/>
      <c r="AK115" s="43" t="n"/>
      <c r="AL115" s="57" t="n"/>
      <c r="AM115" s="205">
        <f>C115+F115+I115+L115+O115+R115+U115+X115+AA115+AD115+AG115+AJ115</f>
        <v/>
      </c>
      <c r="AN115" s="43" t="n"/>
      <c r="AO115" s="1046" t="n"/>
    </row>
    <row r="116" outlineLevel="1" ht="15" customHeight="1" s="985">
      <c r="A116" s="226" t="inlineStr">
        <is>
          <t xml:space="preserve">73451502            </t>
        </is>
      </c>
      <c r="B116" s="205" t="inlineStr">
        <is>
          <t>Equipos de Cocina</t>
        </is>
      </c>
      <c r="C116" s="25" t="n"/>
      <c r="D116" s="43" t="n"/>
      <c r="E116" s="1045" t="n"/>
      <c r="F116" s="25" t="n"/>
      <c r="G116" s="43" t="n"/>
      <c r="H116" s="1045" t="n"/>
      <c r="I116" s="25" t="n"/>
      <c r="J116" s="43" t="n"/>
      <c r="K116" s="1045" t="n"/>
      <c r="L116" s="25" t="n"/>
      <c r="M116" s="43" t="n"/>
      <c r="N116" s="1045" t="n"/>
      <c r="O116" s="25" t="n"/>
      <c r="P116" s="43" t="n"/>
      <c r="Q116" s="1045" t="n"/>
      <c r="R116" s="25" t="n"/>
      <c r="S116" s="43" t="n"/>
      <c r="T116" s="1045" t="n"/>
      <c r="U116" s="25" t="n"/>
      <c r="V116" s="43" t="n"/>
      <c r="W116" s="1045" t="n"/>
      <c r="X116" s="25" t="n"/>
      <c r="Y116" s="43" t="n"/>
      <c r="Z116" s="1045" t="n"/>
      <c r="AA116" s="25" t="n"/>
      <c r="AB116" s="43" t="n"/>
      <c r="AC116" s="1045" t="n"/>
      <c r="AD116" s="25" t="n"/>
      <c r="AE116" s="43" t="n"/>
      <c r="AF116" s="1045" t="n"/>
      <c r="AG116" s="25" t="n"/>
      <c r="AH116" s="43" t="n"/>
      <c r="AI116" s="1045" t="n"/>
      <c r="AJ116" s="25" t="n"/>
      <c r="AK116" s="43" t="n"/>
      <c r="AL116" s="57" t="n"/>
      <c r="AM116" s="205">
        <f>C116+F116+I116+L116+O116+R116+U116+X116+AA116+AD116+AG116+AJ116</f>
        <v/>
      </c>
      <c r="AN116" s="43" t="n"/>
      <c r="AO116" s="1046" t="n"/>
    </row>
    <row r="117" outlineLevel="1" ht="15" customHeight="1" s="985">
      <c r="A117" s="226" t="inlineStr">
        <is>
          <t xml:space="preserve">73452001            </t>
        </is>
      </c>
      <c r="B117" s="205" t="inlineStr">
        <is>
          <t xml:space="preserve">Equipo de Oficina                       </t>
        </is>
      </c>
      <c r="C117" s="25" t="n"/>
      <c r="D117" s="43" t="n"/>
      <c r="E117" s="1045" t="n"/>
      <c r="F117" s="25" t="n"/>
      <c r="G117" s="43" t="n"/>
      <c r="H117" s="1045" t="n"/>
      <c r="I117" s="25" t="n"/>
      <c r="J117" s="43" t="n"/>
      <c r="K117" s="1045" t="n"/>
      <c r="L117" s="25" t="n"/>
      <c r="M117" s="43" t="n"/>
      <c r="N117" s="1045" t="n"/>
      <c r="O117" s="25" t="n"/>
      <c r="P117" s="43" t="n"/>
      <c r="Q117" s="1045" t="n"/>
      <c r="R117" s="25" t="n"/>
      <c r="S117" s="43" t="n"/>
      <c r="T117" s="1045" t="n"/>
      <c r="U117" s="25" t="n"/>
      <c r="V117" s="43" t="n"/>
      <c r="W117" s="1045" t="n"/>
      <c r="X117" s="25" t="n"/>
      <c r="Y117" s="43" t="n"/>
      <c r="Z117" s="1045" t="n"/>
      <c r="AA117" s="25" t="n"/>
      <c r="AB117" s="43" t="n"/>
      <c r="AC117" s="1045" t="n"/>
      <c r="AD117" s="25" t="n"/>
      <c r="AE117" s="43" t="n"/>
      <c r="AF117" s="1045" t="n"/>
      <c r="AG117" s="25" t="n"/>
      <c r="AH117" s="43" t="n"/>
      <c r="AI117" s="1045" t="n"/>
      <c r="AJ117" s="25" t="n"/>
      <c r="AK117" s="43" t="n"/>
      <c r="AL117" s="57" t="n"/>
      <c r="AM117" s="205">
        <f>C117+F117+I117+L117+O117+R117+U117+X117+AA117+AD117+AG117+AJ117</f>
        <v/>
      </c>
      <c r="AN117" s="43" t="n"/>
      <c r="AO117" s="1046" t="n"/>
    </row>
    <row r="118" outlineLevel="1" ht="15" customHeight="1" s="985">
      <c r="A118" s="226" t="inlineStr">
        <is>
          <t xml:space="preserve">73456001            </t>
        </is>
      </c>
      <c r="B118" s="97" t="inlineStr">
        <is>
          <t xml:space="preserve">Acueductos, planta y redes              </t>
        </is>
      </c>
      <c r="C118" s="28" t="n"/>
      <c r="D118" s="42" t="n"/>
      <c r="E118" s="1057" t="n"/>
      <c r="F118" s="22" t="n"/>
      <c r="G118" s="42" t="n"/>
      <c r="H118" s="1057" t="n"/>
      <c r="I118" s="22" t="n"/>
      <c r="J118" s="42" t="n"/>
      <c r="K118" s="1057" t="n"/>
      <c r="L118" s="22" t="n"/>
      <c r="M118" s="42" t="n"/>
      <c r="N118" s="1057" t="n"/>
      <c r="O118" s="22" t="n"/>
      <c r="P118" s="42" t="n"/>
      <c r="Q118" s="1057" t="n"/>
      <c r="R118" s="22" t="n"/>
      <c r="S118" s="42" t="n"/>
      <c r="T118" s="1057" t="n"/>
      <c r="U118" s="22" t="n"/>
      <c r="V118" s="42" t="n"/>
      <c r="W118" s="1057" t="n"/>
      <c r="X118" s="22" t="n"/>
      <c r="Y118" s="42" t="n"/>
      <c r="Z118" s="1057" t="n"/>
      <c r="AA118" s="22" t="n"/>
      <c r="AB118" s="42" t="n"/>
      <c r="AC118" s="1057" t="n"/>
      <c r="AD118" s="22" t="n"/>
      <c r="AE118" s="42" t="n"/>
      <c r="AF118" s="1057" t="n"/>
      <c r="AG118" s="22" t="n"/>
      <c r="AH118" s="42" t="n"/>
      <c r="AI118" s="1057" t="n"/>
      <c r="AJ118" s="22" t="n"/>
      <c r="AK118" s="42" t="n"/>
      <c r="AL118" s="56" t="n"/>
      <c r="AM118" s="97">
        <f>C118+F118+I118+L118+O118+R118+U118+X118+AA118+AD118+AG118+AJ118</f>
        <v/>
      </c>
      <c r="AN118" s="42" t="n"/>
      <c r="AO118" s="1058" t="n"/>
    </row>
    <row r="119" ht="15" customHeight="1" s="985">
      <c r="B119" s="16" t="inlineStr">
        <is>
          <t>ADECUACIONES E INSTALACIONES</t>
        </is>
      </c>
      <c r="C119" s="49">
        <f>SUM(C120:C121)</f>
        <v/>
      </c>
      <c r="D119" s="3" t="n"/>
      <c r="E119" s="1053" t="n"/>
      <c r="F119" s="49">
        <f>SUM(F120)</f>
        <v/>
      </c>
      <c r="G119" s="3" t="n"/>
      <c r="H119" s="1053" t="n"/>
      <c r="I119" s="90">
        <f>SUM(I120)</f>
        <v/>
      </c>
      <c r="J119" s="3" t="n"/>
      <c r="K119" s="1053" t="n"/>
      <c r="L119" s="49">
        <f>SUM(L120)</f>
        <v/>
      </c>
      <c r="M119" s="3" t="n"/>
      <c r="N119" s="1053" t="n"/>
      <c r="O119" s="49">
        <f>SUM(O120)</f>
        <v/>
      </c>
      <c r="P119" s="3" t="n"/>
      <c r="Q119" s="1053" t="n"/>
      <c r="R119" s="49">
        <f>SUM(R120:R121)</f>
        <v/>
      </c>
      <c r="S119" s="3" t="n"/>
      <c r="T119" s="1053" t="n"/>
      <c r="U119" s="49">
        <f>SUM(U120:U121)</f>
        <v/>
      </c>
      <c r="V119" s="3" t="n"/>
      <c r="W119" s="1053" t="n"/>
      <c r="X119" s="49">
        <f>SUM(X120:X121)</f>
        <v/>
      </c>
      <c r="Y119" s="3" t="n"/>
      <c r="Z119" s="1053">
        <f>X119/(X$13)</f>
        <v/>
      </c>
      <c r="AA119" s="49">
        <f>SUM(AA120)</f>
        <v/>
      </c>
      <c r="AB119" s="3" t="n"/>
      <c r="AC119" s="1053">
        <f>AA119/(AA$13)</f>
        <v/>
      </c>
      <c r="AD119" s="49">
        <f>SUM(AD120)</f>
        <v/>
      </c>
      <c r="AE119" s="3" t="n"/>
      <c r="AF119" s="1053" t="n"/>
      <c r="AG119" s="49">
        <f>SUM(AG120)</f>
        <v/>
      </c>
      <c r="AH119" s="3" t="n"/>
      <c r="AI119" s="1053" t="n"/>
      <c r="AJ119" s="49">
        <f>SUM(AJ120)</f>
        <v/>
      </c>
      <c r="AK119" s="3" t="n"/>
      <c r="AL119" s="61" t="n"/>
      <c r="AM119" s="16">
        <f>C119+F119+I119+L119+O119+R119+U119+X119+AA119+AD119+AG119+AJ119</f>
        <v/>
      </c>
      <c r="AN119" s="3" t="n"/>
      <c r="AO119" s="1076" t="n"/>
    </row>
    <row r="120" ht="15" customHeight="1" s="985">
      <c r="A120" s="226" t="inlineStr">
        <is>
          <t xml:space="preserve">73500501            </t>
        </is>
      </c>
      <c r="B120" s="39" t="inlineStr">
        <is>
          <t>Instalaciones Electricas</t>
        </is>
      </c>
      <c r="C120" s="39" t="n"/>
      <c r="D120" s="69" t="n"/>
      <c r="E120" s="1077" t="n"/>
      <c r="F120" s="39" t="n"/>
      <c r="G120" s="69" t="n"/>
      <c r="H120" s="1077" t="n"/>
      <c r="I120" s="39" t="n"/>
      <c r="J120" s="69" t="n"/>
      <c r="K120" s="1077" t="n"/>
      <c r="L120" s="39" t="n"/>
      <c r="M120" s="69" t="n"/>
      <c r="N120" s="1077" t="n"/>
      <c r="O120" s="39" t="n"/>
      <c r="P120" s="69" t="n"/>
      <c r="Q120" s="1077" t="n"/>
      <c r="R120" s="39" t="n"/>
      <c r="S120" s="69" t="n"/>
      <c r="T120" s="1077" t="n"/>
      <c r="U120" s="39" t="n"/>
      <c r="V120" s="69" t="n"/>
      <c r="W120" s="1077" t="n"/>
      <c r="X120" s="39" t="n"/>
      <c r="Y120" s="69" t="n"/>
      <c r="Z120" s="1077" t="n"/>
      <c r="AA120" s="39" t="n"/>
      <c r="AB120" s="69" t="n"/>
      <c r="AC120" s="1077" t="n"/>
      <c r="AD120" s="39" t="n"/>
      <c r="AE120" s="69" t="n"/>
      <c r="AF120" s="1077" t="n"/>
      <c r="AG120" s="39" t="n"/>
      <c r="AH120" s="69" t="n"/>
      <c r="AI120" s="1077" t="n"/>
      <c r="AJ120" s="39" t="n"/>
      <c r="AK120" s="69" t="n"/>
      <c r="AL120" s="70" t="n"/>
      <c r="AM120" s="209">
        <f>C120+F120+I120+L120+O120+R120+U120+X120+AA120+AD120+AG120+AJ120</f>
        <v/>
      </c>
      <c r="AN120" s="69" t="n"/>
      <c r="AO120" s="1082" t="n"/>
    </row>
    <row r="121" ht="15" customHeight="1" s="985" thickBot="1">
      <c r="A121" s="226" t="inlineStr">
        <is>
          <t xml:space="preserve">73501501            </t>
        </is>
      </c>
      <c r="B121" s="301" t="inlineStr">
        <is>
          <t>Reparaciones Locativas</t>
        </is>
      </c>
      <c r="C121" s="71" t="n"/>
      <c r="D121" s="72" t="n"/>
      <c r="E121" s="1086" t="n"/>
      <c r="F121" s="71" t="n"/>
      <c r="G121" s="72" t="n"/>
      <c r="H121" s="1086" t="n"/>
      <c r="I121" s="71" t="n"/>
      <c r="J121" s="72" t="n"/>
      <c r="K121" s="1086" t="n"/>
      <c r="L121" s="71" t="n"/>
      <c r="M121" s="72" t="n"/>
      <c r="N121" s="1086" t="n"/>
      <c r="O121" s="71" t="n"/>
      <c r="P121" s="72" t="n"/>
      <c r="Q121" s="1086" t="n"/>
      <c r="R121" s="71" t="n"/>
      <c r="S121" s="72" t="n"/>
      <c r="T121" s="1086" t="n"/>
      <c r="U121" s="71" t="n"/>
      <c r="V121" s="72" t="n"/>
      <c r="W121" s="1086" t="n"/>
      <c r="X121" s="71" t="n"/>
      <c r="Y121" s="72" t="n"/>
      <c r="Z121" s="1086" t="n"/>
      <c r="AA121" s="71" t="n"/>
      <c r="AB121" s="72" t="n"/>
      <c r="AC121" s="1086" t="n"/>
      <c r="AD121" s="71" t="n"/>
      <c r="AE121" s="72" t="n"/>
      <c r="AF121" s="1086" t="n"/>
      <c r="AG121" s="71" t="n"/>
      <c r="AH121" s="72" t="n"/>
      <c r="AI121" s="1086" t="n"/>
      <c r="AJ121" s="71" t="n"/>
      <c r="AK121" s="72" t="n"/>
      <c r="AL121" s="73" t="n"/>
      <c r="AM121" s="301">
        <f>C121+F121+I121+L121+O121+R121+U121+X121+AA121+AD121+AG121+AJ121</f>
        <v/>
      </c>
      <c r="AN121" s="72" t="n"/>
      <c r="AO121" s="1087" t="n"/>
    </row>
    <row r="122" ht="15" customHeight="1" s="985" thickTop="1">
      <c r="B122" s="382" t="inlineStr">
        <is>
          <t>GASTOS DE VIAJE</t>
        </is>
      </c>
      <c r="C122" s="383">
        <f>SUM(C123:C125)</f>
        <v/>
      </c>
      <c r="D122" s="384" t="n"/>
      <c r="E122" s="1088" t="n"/>
      <c r="F122" s="383">
        <f>SUM(F123:F125)</f>
        <v/>
      </c>
      <c r="G122" s="384" t="n"/>
      <c r="H122" s="1088" t="n"/>
      <c r="I122" s="386">
        <f>SUM(I123:I125)</f>
        <v/>
      </c>
      <c r="J122" s="384" t="n"/>
      <c r="K122" s="1088" t="n"/>
      <c r="L122" s="383">
        <f>SUM(L123:L125)</f>
        <v/>
      </c>
      <c r="M122" s="384" t="n"/>
      <c r="N122" s="1088" t="n"/>
      <c r="O122" s="383">
        <f>SUM(O123:O125)</f>
        <v/>
      </c>
      <c r="P122" s="384" t="n"/>
      <c r="Q122" s="1088" t="n"/>
      <c r="R122" s="383">
        <f>SUM(R123:R125)</f>
        <v/>
      </c>
      <c r="S122" s="384" t="n"/>
      <c r="T122" s="1088" t="n"/>
      <c r="U122" s="383">
        <f>SUM(U123:U125)</f>
        <v/>
      </c>
      <c r="V122" s="384" t="n"/>
      <c r="W122" s="1088" t="n"/>
      <c r="X122" s="383">
        <f>SUM(X123:X125)</f>
        <v/>
      </c>
      <c r="Y122" s="384" t="n"/>
      <c r="Z122" s="1088">
        <f>X122/(X$13)</f>
        <v/>
      </c>
      <c r="AA122" s="383">
        <f>SUM(AA123:AA125)</f>
        <v/>
      </c>
      <c r="AB122" s="384" t="n"/>
      <c r="AC122" s="1088">
        <f>AA122/(AA$13)</f>
        <v/>
      </c>
      <c r="AD122" s="383" t="n"/>
      <c r="AE122" s="384" t="n"/>
      <c r="AF122" s="1088" t="n"/>
      <c r="AG122" s="383">
        <f>SUM(AG123:AG125)</f>
        <v/>
      </c>
      <c r="AH122" s="384" t="n"/>
      <c r="AI122" s="1088" t="n"/>
      <c r="AJ122" s="383">
        <f>SUM(AJ123:AJ125)</f>
        <v/>
      </c>
      <c r="AK122" s="384" t="n"/>
      <c r="AL122" s="387" t="n"/>
      <c r="AM122" s="382">
        <f>C122+F122+I122+L122+O122+R122+U122+X122+AA122+AD122+AG122+AJ122</f>
        <v/>
      </c>
      <c r="AN122" s="384" t="n"/>
      <c r="AO122" s="1089" t="n"/>
    </row>
    <row r="123" outlineLevel="1" ht="15" customHeight="1" s="985">
      <c r="A123" s="226" t="inlineStr">
        <is>
          <t xml:space="preserve">73550501            </t>
        </is>
      </c>
      <c r="B123" s="39" t="inlineStr">
        <is>
          <t>Alojamiento y Manutención</t>
        </is>
      </c>
      <c r="C123" s="39" t="n"/>
      <c r="D123" s="69" t="n"/>
      <c r="E123" s="1077" t="n"/>
      <c r="F123" s="39" t="n"/>
      <c r="G123" s="69" t="n"/>
      <c r="H123" s="1077" t="n"/>
      <c r="I123" s="39" t="n"/>
      <c r="J123" s="69" t="n"/>
      <c r="K123" s="1077" t="n"/>
      <c r="L123" s="39" t="n"/>
      <c r="M123" s="69" t="n"/>
      <c r="N123" s="1077" t="n"/>
      <c r="O123" s="39" t="n"/>
      <c r="P123" s="69" t="n"/>
      <c r="Q123" s="1077" t="n"/>
      <c r="R123" s="39" t="n"/>
      <c r="S123" s="69" t="n"/>
      <c r="T123" s="1077" t="n"/>
      <c r="U123" s="39" t="n"/>
      <c r="V123" s="69" t="n"/>
      <c r="W123" s="1077" t="n"/>
      <c r="X123" s="39" t="n"/>
      <c r="Y123" s="69" t="n"/>
      <c r="Z123" s="1077" t="n"/>
      <c r="AA123" s="39" t="n"/>
      <c r="AB123" s="69" t="n"/>
      <c r="AC123" s="1077" t="n"/>
      <c r="AD123" s="39" t="n"/>
      <c r="AE123" s="69" t="n"/>
      <c r="AF123" s="1077" t="n"/>
      <c r="AG123" s="39" t="n"/>
      <c r="AH123" s="69" t="n"/>
      <c r="AI123" s="1077" t="n"/>
      <c r="AJ123" s="39" t="n"/>
      <c r="AK123" s="69" t="n"/>
      <c r="AL123" s="70" t="n"/>
      <c r="AM123" s="209">
        <f>C123+F123+I123+L123+O123+R123+U123+X123+AA123+AD123+AG123+AJ123</f>
        <v/>
      </c>
      <c r="AN123" s="69" t="n"/>
      <c r="AO123" s="1082" t="n"/>
    </row>
    <row r="124" outlineLevel="1" ht="15" customHeight="1" s="985">
      <c r="A124" s="226" t="inlineStr">
        <is>
          <t xml:space="preserve">73551501            </t>
        </is>
      </c>
      <c r="B124" s="25" t="inlineStr">
        <is>
          <t>Pasajes Aereos</t>
        </is>
      </c>
      <c r="C124" s="25" t="n"/>
      <c r="D124" s="43" t="n"/>
      <c r="E124" s="1045" t="n"/>
      <c r="F124" s="25" t="n"/>
      <c r="G124" s="43" t="n"/>
      <c r="H124" s="1045" t="n"/>
      <c r="I124" s="25" t="n"/>
      <c r="J124" s="43" t="n"/>
      <c r="K124" s="1045" t="n"/>
      <c r="L124" s="25" t="n"/>
      <c r="M124" s="43" t="n"/>
      <c r="N124" s="1045" t="n"/>
      <c r="O124" s="25" t="n"/>
      <c r="P124" s="43" t="n"/>
      <c r="Q124" s="1045" t="n"/>
      <c r="R124" s="25" t="n"/>
      <c r="S124" s="43" t="n"/>
      <c r="T124" s="1045" t="n"/>
      <c r="U124" s="25" t="n"/>
      <c r="V124" s="43" t="n"/>
      <c r="W124" s="1045" t="n"/>
      <c r="X124" s="25" t="n"/>
      <c r="Y124" s="43" t="n"/>
      <c r="Z124" s="1045" t="n"/>
      <c r="AA124" s="25" t="n"/>
      <c r="AB124" s="43" t="n"/>
      <c r="AC124" s="1045" t="n"/>
      <c r="AD124" s="25" t="n"/>
      <c r="AE124" s="43" t="n"/>
      <c r="AF124" s="1045" t="n"/>
      <c r="AG124" s="25" t="n"/>
      <c r="AH124" s="43" t="n"/>
      <c r="AI124" s="1045" t="n"/>
      <c r="AJ124" s="25" t="n"/>
      <c r="AK124" s="43" t="n"/>
      <c r="AL124" s="57" t="n"/>
      <c r="AM124" s="205">
        <f>C124+F124+I124+L124+O124+R124+U124+X124+AA124+AD124+AG124+AJ124</f>
        <v/>
      </c>
      <c r="AN124" s="43" t="n"/>
      <c r="AO124" s="1046" t="n"/>
    </row>
    <row r="125" outlineLevel="1" ht="15" customHeight="1" s="985">
      <c r="A125" s="226" t="inlineStr">
        <is>
          <t xml:space="preserve">73552001            </t>
        </is>
      </c>
      <c r="B125" s="28" t="inlineStr">
        <is>
          <t>Pasajes Terrestres</t>
        </is>
      </c>
      <c r="C125" s="28" t="n"/>
      <c r="D125" s="45" t="n"/>
      <c r="E125" s="1073" t="n"/>
      <c r="F125" s="28" t="n"/>
      <c r="G125" s="45" t="n"/>
      <c r="H125" s="1073" t="n"/>
      <c r="I125" s="28" t="n"/>
      <c r="J125" s="45" t="n"/>
      <c r="K125" s="1073" t="n"/>
      <c r="L125" s="28" t="n"/>
      <c r="M125" s="45" t="n"/>
      <c r="N125" s="1073" t="n"/>
      <c r="O125" s="28" t="n"/>
      <c r="P125" s="45" t="n"/>
      <c r="Q125" s="1073" t="n"/>
      <c r="R125" s="28" t="n"/>
      <c r="S125" s="45" t="n"/>
      <c r="T125" s="1073" t="n"/>
      <c r="U125" s="28" t="n"/>
      <c r="V125" s="45" t="n"/>
      <c r="W125" s="1073" t="n"/>
      <c r="X125" s="28" t="n"/>
      <c r="Y125" s="45" t="n"/>
      <c r="Z125" s="1073" t="n"/>
      <c r="AA125" s="28" t="n"/>
      <c r="AB125" s="45" t="n"/>
      <c r="AC125" s="1073" t="n"/>
      <c r="AD125" s="28" t="n"/>
      <c r="AE125" s="45" t="n"/>
      <c r="AF125" s="1073" t="n"/>
      <c r="AG125" s="28" t="n"/>
      <c r="AH125" s="45" t="n"/>
      <c r="AI125" s="1073" t="n"/>
      <c r="AJ125" s="28" t="n"/>
      <c r="AK125" s="45" t="n"/>
      <c r="AL125" s="58" t="n"/>
      <c r="AM125" s="26">
        <f>C125+F125+I125+L125+O125+R125+U125+X125+AA125+AD125+AG125+AJ125</f>
        <v/>
      </c>
      <c r="AN125" s="45" t="n"/>
      <c r="AO125" s="1083" t="n"/>
    </row>
    <row r="126" ht="15" customHeight="1" s="985">
      <c r="B126" s="16" t="inlineStr">
        <is>
          <t>DIVERSOS</t>
        </is>
      </c>
      <c r="C126" s="49">
        <f>SUM(C127:C139)</f>
        <v/>
      </c>
      <c r="D126" s="3" t="n"/>
      <c r="E126" s="1053" t="n"/>
      <c r="F126" s="49">
        <f>SUM(F127:F139)</f>
        <v/>
      </c>
      <c r="G126" s="3" t="n"/>
      <c r="H126" s="1053" t="n"/>
      <c r="I126" s="90">
        <f>SUM(I127:I139)</f>
        <v/>
      </c>
      <c r="J126" s="3" t="n"/>
      <c r="K126" s="1053" t="n"/>
      <c r="L126" s="49">
        <f>SUM(L127:L139)</f>
        <v/>
      </c>
      <c r="M126" s="3" t="n"/>
      <c r="N126" s="1053" t="n"/>
      <c r="O126" s="49">
        <f>SUM(O127:O139)</f>
        <v/>
      </c>
      <c r="P126" s="3" t="n"/>
      <c r="Q126" s="1053" t="n"/>
      <c r="R126" s="49">
        <f>SUM(R127:R139)</f>
        <v/>
      </c>
      <c r="S126" s="3" t="n"/>
      <c r="T126" s="1053" t="n"/>
      <c r="U126" s="49">
        <f>SUM(U127:U139)</f>
        <v/>
      </c>
      <c r="V126" s="3" t="n"/>
      <c r="W126" s="1053" t="n"/>
      <c r="X126" s="49">
        <f>SUM(X127:X139)</f>
        <v/>
      </c>
      <c r="Y126" s="3" t="n"/>
      <c r="Z126" s="1053" t="n"/>
      <c r="AA126" s="49">
        <f>SUM(AA127:AA139)</f>
        <v/>
      </c>
      <c r="AB126" s="3" t="n"/>
      <c r="AC126" s="1053" t="n"/>
      <c r="AD126" s="49">
        <f>SUM(AD127:AD139)</f>
        <v/>
      </c>
      <c r="AE126" s="3" t="n"/>
      <c r="AF126" s="1053" t="n"/>
      <c r="AG126" s="49">
        <f>SUM(AG127:AG139)</f>
        <v/>
      </c>
      <c r="AH126" s="3" t="n"/>
      <c r="AI126" s="1053" t="n"/>
      <c r="AJ126" s="49">
        <f>SUM(AJ127:AJ139)</f>
        <v/>
      </c>
      <c r="AK126" s="3" t="n"/>
      <c r="AL126" s="61" t="n"/>
      <c r="AM126" s="16">
        <f>C126+F126+I126+L126+O126+R126+U126+X126+AA126+AD126+AG126+AJ126</f>
        <v/>
      </c>
      <c r="AN126" s="3" t="n"/>
      <c r="AO126" s="1076" t="n"/>
    </row>
    <row r="127" outlineLevel="1" ht="15" customHeight="1" s="985">
      <c r="A127" s="226" t="inlineStr">
        <is>
          <t xml:space="preserve">73951001            </t>
        </is>
      </c>
      <c r="B127" s="39" t="inlineStr">
        <is>
          <t>Libros, suscripciones, period</t>
        </is>
      </c>
      <c r="C127" s="39" t="n"/>
      <c r="D127" s="69" t="n"/>
      <c r="E127" s="1077" t="n"/>
      <c r="F127" s="39" t="n"/>
      <c r="G127" s="69" t="n"/>
      <c r="H127" s="1077" t="n"/>
      <c r="I127" s="39" t="n"/>
      <c r="J127" s="69" t="n"/>
      <c r="K127" s="1077" t="n"/>
      <c r="L127" s="39" t="n"/>
      <c r="M127" s="69" t="n"/>
      <c r="N127" s="1077" t="n"/>
      <c r="O127" s="39" t="n"/>
      <c r="P127" s="69" t="n"/>
      <c r="Q127" s="1077" t="n"/>
      <c r="R127" s="39" t="n"/>
      <c r="S127" s="69" t="n"/>
      <c r="T127" s="1077" t="n"/>
      <c r="U127" s="39" t="n"/>
      <c r="V127" s="69" t="n"/>
      <c r="W127" s="1077" t="n"/>
      <c r="X127" s="39" t="n"/>
      <c r="Y127" s="69" t="n"/>
      <c r="Z127" s="1077" t="n"/>
      <c r="AA127" s="39" t="n"/>
      <c r="AB127" s="69" t="n"/>
      <c r="AC127" s="1077" t="n"/>
      <c r="AD127" s="39" t="n"/>
      <c r="AE127" s="69" t="n"/>
      <c r="AF127" s="1077" t="n"/>
      <c r="AG127" s="39" t="n"/>
      <c r="AH127" s="69" t="n"/>
      <c r="AI127" s="1077" t="n"/>
      <c r="AJ127" s="39" t="n"/>
      <c r="AK127" s="69" t="n"/>
      <c r="AL127" s="70" t="n"/>
      <c r="AM127" s="209">
        <f>C127+F127+I127+L127+O127+R127+U127+X127+AA127+AD127+AG127+AJ127</f>
        <v/>
      </c>
      <c r="AN127" s="42" t="n"/>
      <c r="AO127" s="1090" t="n"/>
    </row>
    <row r="128" outlineLevel="1" ht="15" customHeight="1" s="985">
      <c r="A128" s="226" t="inlineStr">
        <is>
          <t xml:space="preserve">73952001            </t>
        </is>
      </c>
      <c r="B128" s="25" t="inlineStr">
        <is>
          <t>Gastos de Representacion y relaciones Pub</t>
        </is>
      </c>
      <c r="C128" s="25" t="n"/>
      <c r="D128" s="43" t="n"/>
      <c r="E128" s="1045" t="n"/>
      <c r="F128" s="25" t="n"/>
      <c r="G128" s="43" t="n"/>
      <c r="H128" s="1045" t="n"/>
      <c r="I128" s="25" t="n"/>
      <c r="J128" s="43" t="n"/>
      <c r="K128" s="1045" t="n"/>
      <c r="L128" s="25" t="n"/>
      <c r="M128" s="43" t="n"/>
      <c r="N128" s="1045" t="n"/>
      <c r="O128" s="25" t="n"/>
      <c r="P128" s="43" t="n"/>
      <c r="Q128" s="1045" t="n"/>
      <c r="R128" s="25" t="n"/>
      <c r="S128" s="43" t="n"/>
      <c r="T128" s="1045" t="n"/>
      <c r="U128" s="25" t="n"/>
      <c r="V128" s="43" t="n"/>
      <c r="W128" s="1045" t="n"/>
      <c r="X128" s="25" t="n"/>
      <c r="Y128" s="43" t="n"/>
      <c r="Z128" s="1045" t="n"/>
      <c r="AA128" s="25" t="n"/>
      <c r="AB128" s="43" t="n"/>
      <c r="AC128" s="1045" t="n"/>
      <c r="AD128" s="25" t="n"/>
      <c r="AE128" s="43" t="n"/>
      <c r="AF128" s="1045" t="n"/>
      <c r="AG128" s="25" t="n"/>
      <c r="AH128" s="43" t="n"/>
      <c r="AI128" s="1045" t="n"/>
      <c r="AJ128" s="25" t="n"/>
      <c r="AK128" s="43" t="n"/>
      <c r="AL128" s="57" t="n"/>
      <c r="AM128" s="205" t="n"/>
      <c r="AN128" s="43" t="n"/>
      <c r="AO128" s="1091" t="n"/>
    </row>
    <row r="129" outlineLevel="1" ht="15" customHeight="1" s="985">
      <c r="A129" s="226" t="inlineStr">
        <is>
          <t xml:space="preserve">73952501            </t>
        </is>
      </c>
      <c r="B129" s="25" t="inlineStr">
        <is>
          <t>Elementos de Aseo y Cafetería</t>
        </is>
      </c>
      <c r="C129" s="25" t="n"/>
      <c r="D129" s="43" t="n"/>
      <c r="E129" s="1045" t="n"/>
      <c r="F129" s="25" t="n"/>
      <c r="G129" s="43" t="n"/>
      <c r="H129" s="1045" t="n"/>
      <c r="I129" s="25" t="n"/>
      <c r="J129" s="43" t="n"/>
      <c r="K129" s="1045" t="n"/>
      <c r="L129" s="25" t="n"/>
      <c r="M129" s="43" t="n"/>
      <c r="N129" s="1045" t="n"/>
      <c r="O129" s="25" t="n"/>
      <c r="P129" s="43" t="n"/>
      <c r="Q129" s="1045" t="n"/>
      <c r="R129" s="25" t="n"/>
      <c r="S129" s="43" t="n"/>
      <c r="T129" s="1045" t="n"/>
      <c r="U129" s="25" t="n"/>
      <c r="V129" s="43" t="n"/>
      <c r="W129" s="1045" t="n"/>
      <c r="X129" s="25" t="n"/>
      <c r="Y129" s="43" t="n"/>
      <c r="Z129" s="1045" t="n"/>
      <c r="AA129" s="25" t="n"/>
      <c r="AB129" s="43" t="n"/>
      <c r="AC129" s="1045" t="n"/>
      <c r="AD129" s="25" t="n"/>
      <c r="AE129" s="43" t="n"/>
      <c r="AF129" s="1045" t="n"/>
      <c r="AG129" s="25" t="n"/>
      <c r="AH129" s="43" t="n"/>
      <c r="AI129" s="1045" t="n"/>
      <c r="AJ129" s="25" t="n"/>
      <c r="AK129" s="43" t="n"/>
      <c r="AL129" s="57" t="n"/>
      <c r="AM129" s="205">
        <f>C129+F129+I129+L129+O129+R129+U129+X129+AA129+AD129+AG129+AJ129</f>
        <v/>
      </c>
      <c r="AN129" s="43" t="n"/>
      <c r="AO129" s="1091" t="n"/>
    </row>
    <row r="130" outlineLevel="1" ht="15" customHeight="1" s="985">
      <c r="A130" s="226" t="inlineStr">
        <is>
          <t xml:space="preserve">73953001            </t>
        </is>
      </c>
      <c r="B130" s="25" t="inlineStr">
        <is>
          <t>Utiles, papelería y fotocopias</t>
        </is>
      </c>
      <c r="C130" s="25" t="n"/>
      <c r="D130" s="43" t="n"/>
      <c r="E130" s="1045" t="n"/>
      <c r="F130" s="25">
        <f>'[10]Hoja 1'!$C$677</f>
        <v/>
      </c>
      <c r="G130" s="43" t="n"/>
      <c r="H130" s="1045" t="n"/>
      <c r="I130" s="25" t="n"/>
      <c r="J130" s="43" t="n"/>
      <c r="K130" s="1045" t="n"/>
      <c r="L130" s="25" t="n"/>
      <c r="M130" s="43" t="n"/>
      <c r="N130" s="1045" t="n"/>
      <c r="O130" s="25" t="n"/>
      <c r="P130" s="43" t="n"/>
      <c r="Q130" s="1045" t="n"/>
      <c r="R130" s="25" t="n"/>
      <c r="S130" s="43" t="n"/>
      <c r="T130" s="1045" t="n"/>
      <c r="U130" s="25" t="n"/>
      <c r="V130" s="43" t="n"/>
      <c r="W130" s="1045" t="n"/>
      <c r="X130" s="25" t="n"/>
      <c r="Y130" s="43" t="n"/>
      <c r="Z130" s="1045" t="n"/>
      <c r="AA130" s="25" t="n"/>
      <c r="AB130" s="43" t="n"/>
      <c r="AC130" s="1045" t="n"/>
      <c r="AD130" s="25" t="n"/>
      <c r="AE130" s="43" t="n"/>
      <c r="AF130" s="1045" t="n"/>
      <c r="AG130" s="25" t="n"/>
      <c r="AH130" s="43" t="n"/>
      <c r="AI130" s="1045" t="n"/>
      <c r="AJ130" s="25" t="n"/>
      <c r="AK130" s="43" t="n"/>
      <c r="AL130" s="57" t="n"/>
      <c r="AM130" s="205">
        <f>C130+F130+I130+L130+O130+R130+U130+X130+AA130+AD130+AG130+AJ130</f>
        <v/>
      </c>
      <c r="AN130" s="43" t="n"/>
      <c r="AO130" s="1091" t="n"/>
      <c r="AP130" s="1099" t="n"/>
    </row>
    <row r="131" outlineLevel="1" ht="15" customHeight="1" s="985">
      <c r="A131" s="226" t="inlineStr">
        <is>
          <t xml:space="preserve">73953501            </t>
        </is>
      </c>
      <c r="B131" s="25" t="inlineStr">
        <is>
          <t>Combustibles y Lubricantes</t>
        </is>
      </c>
      <c r="C131" s="25" t="n"/>
      <c r="D131" s="43" t="n"/>
      <c r="E131" s="1045" t="n"/>
      <c r="F131" s="25" t="n"/>
      <c r="G131" s="43" t="n"/>
      <c r="H131" s="1045" t="n"/>
      <c r="I131" s="25" t="n"/>
      <c r="J131" s="43" t="n"/>
      <c r="K131" s="1045" t="n"/>
      <c r="L131" s="25" t="n"/>
      <c r="M131" s="43" t="n"/>
      <c r="N131" s="1045" t="n"/>
      <c r="O131" s="25" t="n"/>
      <c r="P131" s="43" t="n"/>
      <c r="Q131" s="1045" t="n"/>
      <c r="R131" s="25" t="n"/>
      <c r="S131" s="43" t="n"/>
      <c r="T131" s="1045" t="n"/>
      <c r="U131" s="25" t="n"/>
      <c r="V131" s="43" t="n"/>
      <c r="W131" s="1045" t="n"/>
      <c r="X131" s="25" t="n"/>
      <c r="Y131" s="43" t="n"/>
      <c r="Z131" s="1045" t="n"/>
      <c r="AA131" s="25" t="n"/>
      <c r="AB131" s="43" t="n"/>
      <c r="AC131" s="1045" t="n"/>
      <c r="AD131" s="25" t="n"/>
      <c r="AE131" s="43" t="n"/>
      <c r="AF131" s="1045" t="n"/>
      <c r="AG131" s="25" t="n"/>
      <c r="AH131" s="43" t="n"/>
      <c r="AI131" s="1045" t="n"/>
      <c r="AJ131" s="25" t="n"/>
      <c r="AK131" s="43" t="n"/>
      <c r="AL131" s="57" t="n"/>
      <c r="AM131" s="205">
        <f>C131+F131+I131+L131+O131+R131+U131+X131+AA131+AD131+AG131+AJ131</f>
        <v/>
      </c>
      <c r="AN131" s="43" t="n"/>
      <c r="AO131" s="1046" t="n"/>
      <c r="AP131" s="1099" t="n"/>
    </row>
    <row r="132" outlineLevel="1" ht="15" customHeight="1" s="985">
      <c r="A132" s="226" t="inlineStr">
        <is>
          <t xml:space="preserve">73954501            </t>
        </is>
      </c>
      <c r="B132" s="25" t="inlineStr">
        <is>
          <t>Buses y Taxis</t>
        </is>
      </c>
      <c r="C132" s="25" t="n"/>
      <c r="D132" s="43" t="n"/>
      <c r="E132" s="1045" t="n"/>
      <c r="F132" s="25" t="n"/>
      <c r="G132" s="43" t="n"/>
      <c r="H132" s="1045" t="n"/>
      <c r="I132" s="25" t="n"/>
      <c r="J132" s="43" t="n"/>
      <c r="K132" s="1045" t="n"/>
      <c r="L132" s="25" t="n"/>
      <c r="M132" s="43" t="n"/>
      <c r="N132" s="1045" t="n"/>
      <c r="O132" s="25" t="n"/>
      <c r="P132" s="43" t="n"/>
      <c r="Q132" s="1045" t="n"/>
      <c r="R132" s="25" t="n"/>
      <c r="S132" s="43" t="n"/>
      <c r="T132" s="1045" t="n"/>
      <c r="U132" s="25" t="n"/>
      <c r="V132" s="43" t="n"/>
      <c r="W132" s="1045" t="n"/>
      <c r="X132" s="25" t="n"/>
      <c r="Y132" s="43" t="n"/>
      <c r="Z132" s="1045" t="n"/>
      <c r="AA132" s="25" t="n"/>
      <c r="AB132" s="43" t="n"/>
      <c r="AC132" s="1045" t="n"/>
      <c r="AD132" s="25" t="n"/>
      <c r="AE132" s="43" t="n"/>
      <c r="AF132" s="1045" t="n"/>
      <c r="AG132" s="25" t="n"/>
      <c r="AH132" s="43" t="n"/>
      <c r="AI132" s="1045" t="n"/>
      <c r="AJ132" s="25" t="n"/>
      <c r="AK132" s="43" t="n"/>
      <c r="AL132" s="57" t="n"/>
      <c r="AM132" s="205">
        <f>C132+F132+I132+L132+O132+R132+U132+X132+AA132+AD132+AG132+AJ132</f>
        <v/>
      </c>
      <c r="AN132" s="43" t="n"/>
      <c r="AO132" s="1046" t="n"/>
    </row>
    <row r="133" outlineLevel="1" ht="15" customHeight="1" s="985">
      <c r="A133" s="226" t="inlineStr">
        <is>
          <t xml:space="preserve">73956001            </t>
        </is>
      </c>
      <c r="B133" s="25" t="inlineStr">
        <is>
          <t>Casino y Restaurante</t>
        </is>
      </c>
      <c r="C133" s="25" t="n"/>
      <c r="D133" s="43" t="n"/>
      <c r="E133" s="1045" t="n"/>
      <c r="F133" s="25" t="n"/>
      <c r="G133" s="43" t="n"/>
      <c r="H133" s="1045" t="n"/>
      <c r="I133" s="25" t="n"/>
      <c r="J133" s="43" t="n"/>
      <c r="K133" s="1045" t="n"/>
      <c r="L133" s="25" t="n"/>
      <c r="M133" s="43" t="n"/>
      <c r="N133" s="1045" t="n"/>
      <c r="O133" s="25" t="n"/>
      <c r="P133" s="43" t="n"/>
      <c r="Q133" s="1045" t="n"/>
      <c r="R133" s="25" t="n"/>
      <c r="S133" s="43" t="n"/>
      <c r="T133" s="1045" t="n"/>
      <c r="U133" s="25" t="n"/>
      <c r="V133" s="43" t="n"/>
      <c r="W133" s="1045" t="n"/>
      <c r="X133" s="25" t="n"/>
      <c r="Y133" s="43" t="n"/>
      <c r="Z133" s="1045" t="n"/>
      <c r="AA133" s="25" t="n"/>
      <c r="AB133" s="43" t="n"/>
      <c r="AC133" s="1045" t="n"/>
      <c r="AD133" s="25" t="n"/>
      <c r="AE133" s="43" t="n"/>
      <c r="AF133" s="1045" t="n"/>
      <c r="AG133" s="25" t="n"/>
      <c r="AH133" s="43" t="n"/>
      <c r="AI133" s="1045" t="n"/>
      <c r="AJ133" s="25" t="n"/>
      <c r="AK133" s="43" t="n"/>
      <c r="AL133" s="57" t="n"/>
      <c r="AM133" s="205">
        <f>C133+F133+I133+L133+O133+R133+U133+X133+AA133+AD133+AG133+AJ133</f>
        <v/>
      </c>
      <c r="AN133" s="43" t="n"/>
      <c r="AO133" s="1046" t="n"/>
      <c r="AQ133" s="1099" t="n"/>
      <c r="AR133" s="1099" t="n"/>
    </row>
    <row r="134" outlineLevel="1" ht="15" customHeight="1" s="985">
      <c r="A134" s="226" t="inlineStr">
        <is>
          <t xml:space="preserve">73956501            </t>
        </is>
      </c>
      <c r="B134" s="25" t="inlineStr">
        <is>
          <t xml:space="preserve">Parqueaderos                       </t>
        </is>
      </c>
      <c r="C134" s="25" t="n"/>
      <c r="D134" s="43" t="n"/>
      <c r="E134" s="1045" t="n"/>
      <c r="F134" s="25" t="n"/>
      <c r="G134" s="43" t="n"/>
      <c r="H134" s="1045" t="n"/>
      <c r="I134" s="25" t="n"/>
      <c r="J134" s="43" t="n"/>
      <c r="K134" s="1045" t="n"/>
      <c r="L134" s="25" t="n"/>
      <c r="M134" s="43" t="n"/>
      <c r="N134" s="1045" t="n"/>
      <c r="O134" s="25" t="n"/>
      <c r="P134" s="43" t="n"/>
      <c r="Q134" s="1045" t="n"/>
      <c r="R134" s="25" t="n"/>
      <c r="S134" s="43" t="n"/>
      <c r="T134" s="1045" t="n"/>
      <c r="U134" s="25" t="n"/>
      <c r="V134" s="43" t="n"/>
      <c r="W134" s="1045" t="n"/>
      <c r="X134" s="25" t="n"/>
      <c r="Y134" s="43" t="n"/>
      <c r="Z134" s="1045" t="n"/>
      <c r="AA134" s="25" t="n"/>
      <c r="AB134" s="43" t="n"/>
      <c r="AC134" s="1045" t="n"/>
      <c r="AD134" s="25" t="n"/>
      <c r="AE134" s="43" t="n"/>
      <c r="AF134" s="1045" t="n"/>
      <c r="AG134" s="25" t="n"/>
      <c r="AH134" s="43" t="n"/>
      <c r="AI134" s="1045" t="n"/>
      <c r="AJ134" s="25" t="n"/>
      <c r="AK134" s="43" t="n"/>
      <c r="AL134" s="57" t="n"/>
      <c r="AM134" s="205">
        <f>C134+F134+I134+L134+O134+R134+U134+X134+AA134+AD134+AG134+AJ134</f>
        <v/>
      </c>
      <c r="AN134" s="43" t="n"/>
      <c r="AO134" s="1046" t="n"/>
    </row>
    <row r="135" outlineLevel="1" ht="15" customHeight="1" s="985">
      <c r="A135" s="226" t="inlineStr">
        <is>
          <t xml:space="preserve">73956601            </t>
        </is>
      </c>
      <c r="B135" s="25" t="inlineStr">
        <is>
          <t>Compra equipos de Computo</t>
        </is>
      </c>
      <c r="C135" s="25" t="n"/>
      <c r="D135" s="43" t="n"/>
      <c r="E135" s="1045" t="n"/>
      <c r="F135" s="25" t="n"/>
      <c r="G135" s="43" t="n"/>
      <c r="H135" s="1045" t="n"/>
      <c r="I135" s="25" t="n"/>
      <c r="J135" s="43" t="n"/>
      <c r="K135" s="1045" t="n"/>
      <c r="L135" s="25" t="n"/>
      <c r="M135" s="43" t="n"/>
      <c r="N135" s="1045" t="n"/>
      <c r="O135" s="25" t="n"/>
      <c r="P135" s="43" t="n"/>
      <c r="Q135" s="1045" t="n"/>
      <c r="R135" s="25" t="n"/>
      <c r="S135" s="43" t="n"/>
      <c r="T135" s="1045" t="n"/>
      <c r="U135" s="25" t="n"/>
      <c r="V135" s="43" t="n"/>
      <c r="W135" s="1045" t="n"/>
      <c r="X135" s="25" t="n"/>
      <c r="Y135" s="43" t="n"/>
      <c r="Z135" s="1045" t="n"/>
      <c r="AA135" s="25" t="n"/>
      <c r="AB135" s="43" t="n"/>
      <c r="AC135" s="1045" t="n"/>
      <c r="AD135" s="25" t="n"/>
      <c r="AE135" s="43" t="n"/>
      <c r="AF135" s="1045" t="n"/>
      <c r="AG135" s="25" t="n"/>
      <c r="AH135" s="43" t="n"/>
      <c r="AI135" s="1045" t="n"/>
      <c r="AJ135" s="25" t="n"/>
      <c r="AK135" s="43" t="n"/>
      <c r="AL135" s="57" t="n"/>
      <c r="AM135" s="205">
        <f>C135+F135+I135+L135+O135+R135+U135+X135+AA135+AD135+AG135+AJ135</f>
        <v/>
      </c>
      <c r="AN135" s="43" t="n"/>
      <c r="AO135" s="1046" t="n"/>
    </row>
    <row r="136" outlineLevel="1" ht="15" customHeight="1" s="985">
      <c r="A136" s="226" t="inlineStr">
        <is>
          <t xml:space="preserve">73959504            </t>
        </is>
      </c>
      <c r="B136" s="25" t="inlineStr">
        <is>
          <t>Compra Equipos de Oficina</t>
        </is>
      </c>
      <c r="C136" s="25" t="n"/>
      <c r="D136" s="43" t="n"/>
      <c r="E136" s="1045" t="n"/>
      <c r="F136" s="25" t="n"/>
      <c r="G136" s="43" t="n"/>
      <c r="H136" s="1045" t="n"/>
      <c r="I136" s="25" t="n"/>
      <c r="J136" s="43" t="n"/>
      <c r="K136" s="1045" t="n"/>
      <c r="L136" s="25" t="n"/>
      <c r="M136" s="43" t="n"/>
      <c r="N136" s="1045" t="n"/>
      <c r="O136" s="25" t="n"/>
      <c r="P136" s="43" t="n"/>
      <c r="Q136" s="1045" t="n"/>
      <c r="R136" s="25" t="n"/>
      <c r="S136" s="43" t="n"/>
      <c r="T136" s="1045" t="n"/>
      <c r="U136" s="25" t="n"/>
      <c r="V136" s="43" t="n"/>
      <c r="W136" s="1045" t="n"/>
      <c r="X136" s="25" t="n"/>
      <c r="Y136" s="43" t="n"/>
      <c r="Z136" s="1045" t="n"/>
      <c r="AA136" s="25" t="n"/>
      <c r="AB136" s="43" t="n"/>
      <c r="AC136" s="1045" t="n"/>
      <c r="AD136" s="25" t="n"/>
      <c r="AE136" s="43" t="n"/>
      <c r="AF136" s="1045" t="n"/>
      <c r="AG136" s="25" t="n"/>
      <c r="AH136" s="43" t="n"/>
      <c r="AI136" s="1045" t="n"/>
      <c r="AJ136" s="25" t="n"/>
      <c r="AK136" s="43" t="n"/>
      <c r="AL136" s="57" t="n"/>
      <c r="AM136" s="205">
        <f>C136+F136+I136+L136+O136+R136+U136+X136+AA136+AD136+AG136+AJ136</f>
        <v/>
      </c>
      <c r="AN136" s="43" t="n"/>
      <c r="AO136" s="1046" t="n"/>
    </row>
    <row r="137" outlineLevel="1" ht="15" customHeight="1" s="985">
      <c r="B137" s="25" t="inlineStr">
        <is>
          <t>Compra Instrumentos</t>
        </is>
      </c>
      <c r="C137" s="25" t="n"/>
      <c r="D137" s="43" t="n"/>
      <c r="E137" s="1045" t="n"/>
      <c r="F137" s="25" t="n"/>
      <c r="G137" s="43" t="n"/>
      <c r="H137" s="1045" t="n"/>
      <c r="I137" s="25" t="n"/>
      <c r="J137" s="43" t="n"/>
      <c r="K137" s="1045" t="n"/>
      <c r="L137" s="25" t="n"/>
      <c r="M137" s="43" t="n"/>
      <c r="N137" s="1045" t="n"/>
      <c r="O137" s="25" t="n"/>
      <c r="P137" s="43" t="n"/>
      <c r="Q137" s="1045" t="n"/>
      <c r="R137" s="952" t="n"/>
      <c r="S137" s="43" t="n"/>
      <c r="T137" s="1045" t="n"/>
      <c r="U137" s="25" t="n"/>
      <c r="V137" s="43" t="n"/>
      <c r="W137" s="1045" t="n"/>
      <c r="X137" s="25" t="n"/>
      <c r="Y137" s="43" t="n"/>
      <c r="Z137" s="1045" t="n"/>
      <c r="AA137" s="25" t="n"/>
      <c r="AB137" s="43" t="n"/>
      <c r="AC137" s="1045" t="n"/>
      <c r="AD137" s="25" t="n"/>
      <c r="AE137" s="43" t="n"/>
      <c r="AF137" s="1045" t="n"/>
      <c r="AG137" s="25" t="n"/>
      <c r="AH137" s="43" t="n"/>
      <c r="AI137" s="1045" t="n"/>
      <c r="AJ137" s="25" t="n"/>
      <c r="AK137" s="43" t="n"/>
      <c r="AL137" s="57" t="n"/>
      <c r="AM137" s="205">
        <f>C137+F137+I137+L137+O137+R137+U137+X137+AA137+AD137+AG137+AJ137</f>
        <v/>
      </c>
      <c r="AN137" s="43" t="n"/>
      <c r="AO137" s="1046" t="n"/>
    </row>
    <row r="138" outlineLevel="1" ht="15" customHeight="1" s="985">
      <c r="B138" s="25" t="inlineStr">
        <is>
          <t>Herramienrtas y Articulos de ferreteria</t>
        </is>
      </c>
      <c r="C138" s="25" t="n"/>
      <c r="D138" s="43" t="n"/>
      <c r="E138" s="1045" t="n"/>
      <c r="F138" s="25" t="n"/>
      <c r="G138" s="43" t="n"/>
      <c r="H138" s="1045" t="n"/>
      <c r="I138" s="25" t="n"/>
      <c r="J138" s="43" t="n"/>
      <c r="K138" s="1045" t="n"/>
      <c r="L138" s="25" t="n"/>
      <c r="M138" s="43" t="n"/>
      <c r="N138" s="1045" t="n"/>
      <c r="O138" s="25" t="n"/>
      <c r="P138" s="43" t="n"/>
      <c r="Q138" s="1045" t="n"/>
      <c r="R138" s="25" t="n"/>
      <c r="S138" s="43" t="n"/>
      <c r="T138" s="1045" t="n"/>
      <c r="U138" s="25" t="n"/>
      <c r="V138" s="43" t="n"/>
      <c r="W138" s="1045" t="n"/>
      <c r="X138" s="25" t="n"/>
      <c r="Y138" s="43" t="n"/>
      <c r="Z138" s="1045" t="n"/>
      <c r="AA138" s="25" t="n"/>
      <c r="AB138" s="43" t="n"/>
      <c r="AC138" s="1045" t="n"/>
      <c r="AD138" s="25" t="n"/>
      <c r="AE138" s="43" t="n"/>
      <c r="AF138" s="1045" t="n"/>
      <c r="AG138" s="25" t="n"/>
      <c r="AH138" s="43" t="n"/>
      <c r="AI138" s="1045" t="n"/>
      <c r="AJ138" s="25" t="n"/>
      <c r="AK138" s="43" t="n"/>
      <c r="AL138" s="57" t="n"/>
      <c r="AM138" s="205">
        <f>C138+F138+I138+L138+O138+R138+U138+X138+AA138+AD138+AG138+AJ138</f>
        <v/>
      </c>
      <c r="AN138" s="43" t="n"/>
      <c r="AO138" s="1046" t="n"/>
    </row>
    <row r="139" outlineLevel="1" ht="15" customHeight="1" s="985" thickBot="1">
      <c r="A139" s="226" t="inlineStr">
        <is>
          <t xml:space="preserve">73959505            </t>
        </is>
      </c>
      <c r="B139" s="269" t="inlineStr">
        <is>
          <t>Reuniones fiesta y detalles</t>
        </is>
      </c>
      <c r="C139" s="269">
        <f>'[9]Hoja 1'!$C$741</f>
        <v/>
      </c>
      <c r="D139" s="214" t="n"/>
      <c r="E139" s="1079" t="n"/>
      <c r="F139" s="269" t="n"/>
      <c r="G139" s="214" t="n"/>
      <c r="H139" s="1079" t="n"/>
      <c r="I139" s="269" t="n"/>
      <c r="J139" s="214" t="n"/>
      <c r="K139" s="1079" t="n"/>
      <c r="L139" s="269" t="n"/>
      <c r="M139" s="214" t="n"/>
      <c r="N139" s="1079" t="n"/>
      <c r="O139" s="269" t="n"/>
      <c r="P139" s="214" t="n"/>
      <c r="Q139" s="1079" t="n"/>
      <c r="R139" s="269" t="n"/>
      <c r="S139" s="214" t="n"/>
      <c r="T139" s="1079" t="n"/>
      <c r="U139" s="269" t="n"/>
      <c r="V139" s="214" t="n"/>
      <c r="W139" s="1079" t="n"/>
      <c r="X139" s="269" t="n"/>
      <c r="Y139" s="214" t="n"/>
      <c r="Z139" s="1079" t="n"/>
      <c r="AA139" s="269" t="n"/>
      <c r="AB139" s="214" t="n"/>
      <c r="AC139" s="1079" t="n"/>
      <c r="AD139" s="269" t="n"/>
      <c r="AE139" s="214" t="n"/>
      <c r="AF139" s="1079" t="n"/>
      <c r="AG139" s="269" t="n"/>
      <c r="AH139" s="214" t="n"/>
      <c r="AI139" s="1079" t="n"/>
      <c r="AJ139" s="269" t="n"/>
      <c r="AK139" s="214" t="n"/>
      <c r="AL139" s="271" t="n"/>
      <c r="AM139" s="213">
        <f>C139+F139+I139+L139+O139+R139+U139+X139+AA139+AD139+AG139+AJ139</f>
        <v/>
      </c>
      <c r="AN139" s="214" t="n"/>
      <c r="AO139" s="1092" t="n"/>
    </row>
    <row r="140" ht="15" customHeight="1" s="985" thickBot="1" thickTop="1">
      <c r="C140" s="2" t="n"/>
      <c r="D140" s="2" t="n"/>
      <c r="E140" s="1067" t="n"/>
      <c r="F140" s="2" t="n"/>
      <c r="G140" s="2" t="n"/>
      <c r="H140" s="1067" t="n"/>
      <c r="I140" s="2" t="n"/>
      <c r="J140" s="2" t="n"/>
      <c r="K140" s="1067" t="n"/>
      <c r="L140" s="2" t="n"/>
      <c r="M140" s="2" t="n"/>
      <c r="N140" s="1067" t="n"/>
      <c r="O140" s="2" t="n"/>
      <c r="P140" s="2" t="n"/>
      <c r="Q140" s="1067" t="n"/>
      <c r="R140" s="2" t="n"/>
      <c r="S140" s="2" t="n"/>
      <c r="T140" s="1067" t="n"/>
      <c r="U140" s="2" t="n"/>
      <c r="V140" s="2" t="n"/>
      <c r="W140" s="1067" t="n"/>
      <c r="X140" s="2" t="n"/>
      <c r="Y140" s="2" t="n"/>
      <c r="Z140" s="1067" t="n"/>
      <c r="AA140" s="2" t="n"/>
      <c r="AB140" s="2" t="n"/>
      <c r="AC140" s="1067" t="n"/>
      <c r="AD140" s="2" t="n"/>
      <c r="AE140" s="2" t="n"/>
      <c r="AF140" s="1067" t="n"/>
      <c r="AG140" s="2" t="n"/>
      <c r="AH140" s="2" t="n"/>
      <c r="AI140" s="1067" t="n"/>
      <c r="AJ140" s="2" t="n"/>
      <c r="AK140" s="2" t="n"/>
      <c r="AL140" s="64" t="n"/>
      <c r="AM140" s="151" t="n"/>
      <c r="AN140" s="2" t="n"/>
      <c r="AO140" s="1067" t="n"/>
    </row>
    <row r="141" ht="15" customHeight="1" s="985" thickBot="1" thickTop="1">
      <c r="B141" s="526" t="inlineStr">
        <is>
          <t>TOTAL GASTOS</t>
        </is>
      </c>
      <c r="C141" s="494">
        <f>C44+C83</f>
        <v/>
      </c>
      <c r="D141" s="495" t="n"/>
      <c r="E141" s="1128" t="n"/>
      <c r="F141" s="494">
        <f>F44+F83</f>
        <v/>
      </c>
      <c r="G141" s="495" t="n"/>
      <c r="H141" s="1128" t="n"/>
      <c r="I141" s="494">
        <f>I44+I83</f>
        <v/>
      </c>
      <c r="J141" s="495" t="n"/>
      <c r="K141" s="1128" t="n"/>
      <c r="L141" s="494">
        <f>L44+L83</f>
        <v/>
      </c>
      <c r="M141" s="495" t="n"/>
      <c r="N141" s="1128" t="n"/>
      <c r="O141" s="494">
        <f>O44+O83</f>
        <v/>
      </c>
      <c r="P141" s="495" t="n"/>
      <c r="Q141" s="1128" t="n"/>
      <c r="R141" s="494">
        <f>R44+R83</f>
        <v/>
      </c>
      <c r="S141" s="495" t="n"/>
      <c r="T141" s="1128" t="n"/>
      <c r="U141" s="494">
        <f>U44+U83</f>
        <v/>
      </c>
      <c r="V141" s="495" t="n"/>
      <c r="W141" s="1128" t="n"/>
      <c r="X141" s="494">
        <f>X44+X83</f>
        <v/>
      </c>
      <c r="Y141" s="495" t="n"/>
      <c r="Z141" s="1128" t="n"/>
      <c r="AA141" s="494">
        <f>AA44+AA83</f>
        <v/>
      </c>
      <c r="AB141" s="495" t="n"/>
      <c r="AC141" s="1128" t="n"/>
      <c r="AD141" s="494">
        <f>AD44+AD83</f>
        <v/>
      </c>
      <c r="AE141" s="495" t="n"/>
      <c r="AF141" s="1128" t="n"/>
      <c r="AG141" s="494">
        <f>AG44+AG83</f>
        <v/>
      </c>
      <c r="AH141" s="495" t="n"/>
      <c r="AI141" s="1128" t="n"/>
      <c r="AJ141" s="494">
        <f>AJ44+AJ83</f>
        <v/>
      </c>
      <c r="AK141" s="495" t="n"/>
      <c r="AL141" s="509" t="n"/>
      <c r="AM141" s="585">
        <f>C141+F141+I141+L141+O141+R141+U141+X141+AA141+AD141+AG141+AJ141</f>
        <v/>
      </c>
      <c r="AN141" s="495" t="n"/>
      <c r="AO141" s="1129" t="n"/>
    </row>
    <row r="142" ht="15" customHeight="1" s="985" thickBot="1" thickTop="1">
      <c r="B142" s="193" t="n"/>
      <c r="C142" s="497">
        <f>IFERROR(C141/C13," ")</f>
        <v/>
      </c>
      <c r="D142" s="489" t="n"/>
      <c r="E142" s="1065" t="n"/>
      <c r="F142" s="497">
        <f>IFERROR(F141/F13," ")</f>
        <v/>
      </c>
      <c r="G142" s="489" t="n"/>
      <c r="H142" s="1065" t="n"/>
      <c r="I142" s="497">
        <f>IFERROR(I141/I13," ")</f>
        <v/>
      </c>
      <c r="J142" s="489" t="n"/>
      <c r="K142" s="1065" t="n"/>
      <c r="L142" s="497">
        <f>IFERROR(L141/L13," ")</f>
        <v/>
      </c>
      <c r="M142" s="489" t="n"/>
      <c r="N142" s="1065" t="n"/>
      <c r="O142" s="497">
        <f>IFERROR(O141/O13," ")</f>
        <v/>
      </c>
      <c r="P142" s="489" t="n"/>
      <c r="Q142" s="1065" t="n"/>
      <c r="R142" s="497">
        <f>IFERROR(R141/R13," ")</f>
        <v/>
      </c>
      <c r="S142" s="489" t="n"/>
      <c r="T142" s="1065" t="n"/>
      <c r="U142" s="497">
        <f>IFERROR(U141/U13," ")</f>
        <v/>
      </c>
      <c r="V142" s="489" t="n"/>
      <c r="W142" s="1065" t="n"/>
      <c r="X142" s="497">
        <f>IFERROR(X141/X13," ")</f>
        <v/>
      </c>
      <c r="Y142" s="489" t="n"/>
      <c r="Z142" s="1065" t="n"/>
      <c r="AA142" s="497">
        <f>IFERROR(AA141/AA13," ")</f>
        <v/>
      </c>
      <c r="AB142" s="489" t="n"/>
      <c r="AC142" s="1065" t="n"/>
      <c r="AD142" s="497">
        <f>IFERROR(AD141/AD13," ")</f>
        <v/>
      </c>
      <c r="AE142" s="489" t="n"/>
      <c r="AF142" s="1065" t="n"/>
      <c r="AG142" s="497">
        <f>IFERROR(AG141/AG13," ")</f>
        <v/>
      </c>
      <c r="AH142" s="489" t="n"/>
      <c r="AI142" s="1065" t="n"/>
      <c r="AJ142" s="497">
        <f>IFERROR(AJ141/AJ13," ")</f>
        <v/>
      </c>
      <c r="AK142" s="489" t="n"/>
      <c r="AL142" s="510" t="n"/>
      <c r="AM142" s="497">
        <f>IFERROR(AM141/AM13," ")</f>
        <v/>
      </c>
      <c r="AN142" s="489" t="n"/>
      <c r="AO142" s="1066" t="n"/>
    </row>
    <row r="143" ht="10.8" customHeight="1" s="985" thickTop="1"/>
    <row r="144">
      <c r="C144" s="613" t="n"/>
      <c r="F144" s="613" t="n"/>
      <c r="I144" s="613" t="n"/>
      <c r="L144" s="613" t="n"/>
      <c r="O144" s="613" t="n"/>
      <c r="R144" s="613" t="n"/>
      <c r="U144" s="613" t="n"/>
      <c r="X144" s="613" t="n"/>
      <c r="AA144" s="613" t="n"/>
      <c r="AD144" s="613" t="n"/>
      <c r="AG144" s="613" t="n"/>
      <c r="AJ144" s="613" t="n"/>
    </row>
    <row r="145">
      <c r="C145" s="613">
        <f>C141</f>
        <v/>
      </c>
      <c r="F145" s="613">
        <f>F141</f>
        <v/>
      </c>
      <c r="I145" s="613">
        <f>I141</f>
        <v/>
      </c>
      <c r="L145" s="613">
        <f>L141</f>
        <v/>
      </c>
      <c r="O145" s="613">
        <f>O141</f>
        <v/>
      </c>
      <c r="R145" s="613">
        <f>R141</f>
        <v/>
      </c>
      <c r="U145" s="613">
        <f>U141</f>
        <v/>
      </c>
      <c r="X145" s="613">
        <f>X141</f>
        <v/>
      </c>
      <c r="AA145" s="613">
        <f>AA141</f>
        <v/>
      </c>
      <c r="AD145" s="613">
        <f>AD141</f>
        <v/>
      </c>
      <c r="AG145" s="613">
        <f>AG141</f>
        <v/>
      </c>
      <c r="AJ145" s="613">
        <f>AJ141</f>
        <v/>
      </c>
    </row>
    <row r="146">
      <c r="C146" s="613">
        <f>'[9]Hoja 1'!$C$702-'[9]Hoja 1'!$C$738</f>
        <v/>
      </c>
      <c r="F146" s="613">
        <f>'[10]Hoja 1'!$C$642-'[10]Hoja 1'!$C$674</f>
        <v/>
      </c>
      <c r="I146" s="613" t="n">
        <v>21290472</v>
      </c>
      <c r="L146" s="613" t="n">
        <v>11834112.8</v>
      </c>
      <c r="O146" s="613" t="n">
        <v>42204201.3</v>
      </c>
      <c r="R146" s="613" t="n">
        <v>18032082.9</v>
      </c>
      <c r="U146" s="613" t="n">
        <v>18399775.92</v>
      </c>
      <c r="X146" s="613" t="n">
        <v>17628868.46</v>
      </c>
      <c r="AA146" s="613" t="n">
        <v>18247022.89</v>
      </c>
      <c r="AD146" s="613" t="n">
        <v>17289109.42</v>
      </c>
      <c r="AG146" s="613" t="n">
        <v>21006738.7</v>
      </c>
      <c r="AJ146" s="613" t="n">
        <v>26761957</v>
      </c>
    </row>
    <row r="147">
      <c r="C147" s="989">
        <f>C145-C146</f>
        <v/>
      </c>
      <c r="F147" s="989">
        <f>F145-F146</f>
        <v/>
      </c>
      <c r="I147" s="989">
        <f>I145-I146</f>
        <v/>
      </c>
      <c r="L147" s="989">
        <f>L145-L146</f>
        <v/>
      </c>
      <c r="O147" s="989">
        <f>O145-O146</f>
        <v/>
      </c>
      <c r="R147" s="989">
        <f>R145-R146</f>
        <v/>
      </c>
      <c r="U147" s="989">
        <f>U145-U146</f>
        <v/>
      </c>
      <c r="X147" s="989">
        <f>X145-X146</f>
        <v/>
      </c>
      <c r="AA147" s="989">
        <f>AA145-AA146</f>
        <v/>
      </c>
      <c r="AD147" s="989">
        <f>AD145-AD146</f>
        <v/>
      </c>
      <c r="AG147" s="989">
        <f>AG145-AG146</f>
        <v/>
      </c>
      <c r="AJ147" s="989">
        <f>AJ145-AJ146</f>
        <v/>
      </c>
    </row>
  </sheetData>
  <mergeCells count="1">
    <mergeCell ref="C2:AM2"/>
  </mergeCells>
  <hyperlinks>
    <hyperlink xmlns:r="http://schemas.openxmlformats.org/officeDocument/2006/relationships" ref="AM102" location="'PRESUPUESTO CONTRATO CALI  2020'!AL16" display="INFORMACION\PRESUPUESTO TECNICO 2020 - PROYECTADO TOTAL.xlsx - 'PRESUPUESTO CONTRATO CALI  2020'!AL16" r:id="rId1"/>
    <hyperlink xmlns:r="http://schemas.openxmlformats.org/officeDocument/2006/relationships" ref="AM103" location="'PRESUPUESTO CONTRATO CALI  2020'!AL7" display="INFORMACION\PRESUPUESTO TECNICO 2020 - PROYECTADO TOTAL.xlsx - 'PRESUPUESTO CONTRATO CALI  2020'!AL7" r:id="rId2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ARGOM</dc:creator>
  <dcterms:created xmlns:dcterms="http://purl.org/dc/terms/" xmlns:xsi="http://www.w3.org/2001/XMLSchema-instance" xsi:type="dcterms:W3CDTF">2011-05-25T20:46:56Z</dcterms:created>
  <dcterms:modified xmlns:dcterms="http://purl.org/dc/terms/" xmlns:xsi="http://www.w3.org/2001/XMLSchema-instance" xsi:type="dcterms:W3CDTF">2026-03-30T18:36:29Z</dcterms:modified>
  <cp:lastModifiedBy>diego lopez</cp:lastModifiedBy>
  <cp:lastPrinted>2025-03-07T14:18:05Z</cp:lastPrinted>
</cp:coreProperties>
</file>