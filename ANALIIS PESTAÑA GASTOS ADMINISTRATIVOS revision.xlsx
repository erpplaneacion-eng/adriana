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esktop\CHVS\adriana\"/>
    </mc:Choice>
  </mc:AlternateContent>
  <xr:revisionPtr revIDLastSave="0" documentId="13_ncr:1_{5174F1FA-5085-4792-B666-8F82EA31E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STOS ADMINISTRATIVOS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AUMENTO">'GASTOS ADMINISTRATIVOS '!#REF!</definedName>
    <definedName name="FACT">'[1]COMEDORES VALLE'!#REF!</definedName>
    <definedName name="INCREMENTO">'GASTOS ADMINISTRATIVOS '!#REF!</definedName>
    <definedName name="Total_Acqui">#REF!</definedName>
    <definedName name="Total_Bogotá">#REF!</definedName>
    <definedName name="Total_Par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D43" i="1"/>
  <c r="D128" i="1" l="1"/>
  <c r="D122" i="1"/>
  <c r="N119" i="1"/>
  <c r="M119" i="1"/>
  <c r="L119" i="1"/>
  <c r="K119" i="1"/>
  <c r="J119" i="1"/>
  <c r="I119" i="1"/>
  <c r="H119" i="1"/>
  <c r="G119" i="1"/>
  <c r="F119" i="1"/>
  <c r="E119" i="1"/>
  <c r="O118" i="1"/>
  <c r="D117" i="1"/>
  <c r="D116" i="1"/>
  <c r="O116" i="1" s="1"/>
  <c r="O115" i="1"/>
  <c r="D114" i="1"/>
  <c r="C114" i="1"/>
  <c r="O114" i="1" s="1"/>
  <c r="O113" i="1"/>
  <c r="O111" i="1"/>
  <c r="N109" i="1"/>
  <c r="M109" i="1"/>
  <c r="L109" i="1"/>
  <c r="K109" i="1"/>
  <c r="F109" i="1"/>
  <c r="E109" i="1"/>
  <c r="D108" i="1"/>
  <c r="C108" i="1"/>
  <c r="O108" i="1" s="1"/>
  <c r="C107" i="1"/>
  <c r="O107" i="1" s="1"/>
  <c r="C106" i="1"/>
  <c r="O106" i="1" s="1"/>
  <c r="O105" i="1"/>
  <c r="O104" i="1"/>
  <c r="O103" i="1"/>
  <c r="C102" i="1"/>
  <c r="O102" i="1" s="1"/>
  <c r="C101" i="1"/>
  <c r="C100" i="1"/>
  <c r="O100" i="1" s="1"/>
  <c r="C99" i="1"/>
  <c r="O99" i="1" s="1"/>
  <c r="N98" i="1"/>
  <c r="M98" i="1"/>
  <c r="L98" i="1"/>
  <c r="K98" i="1"/>
  <c r="J98" i="1"/>
  <c r="J109" i="1" s="1"/>
  <c r="I98" i="1"/>
  <c r="I109" i="1" s="1"/>
  <c r="H98" i="1"/>
  <c r="H109" i="1" s="1"/>
  <c r="G98" i="1"/>
  <c r="G109" i="1" s="1"/>
  <c r="F98" i="1"/>
  <c r="E98" i="1"/>
  <c r="D98" i="1"/>
  <c r="D109" i="1" s="1"/>
  <c r="C95" i="1"/>
  <c r="O95" i="1" s="1"/>
  <c r="C94" i="1"/>
  <c r="O94" i="1" s="1"/>
  <c r="D93" i="1"/>
  <c r="D90" i="1" s="1"/>
  <c r="C93" i="1"/>
  <c r="O92" i="1"/>
  <c r="O91" i="1"/>
  <c r="N90" i="1"/>
  <c r="M90" i="1"/>
  <c r="L90" i="1"/>
  <c r="K90" i="1"/>
  <c r="J90" i="1"/>
  <c r="I90" i="1"/>
  <c r="H90" i="1"/>
  <c r="G90" i="1"/>
  <c r="F90" i="1"/>
  <c r="E90" i="1"/>
  <c r="D89" i="1"/>
  <c r="C89" i="1"/>
  <c r="O89" i="1" s="1"/>
  <c r="C88" i="1"/>
  <c r="O88" i="1" s="1"/>
  <c r="O87" i="1"/>
  <c r="O86" i="1"/>
  <c r="C85" i="1"/>
  <c r="O85" i="1" s="1"/>
  <c r="C84" i="1"/>
  <c r="O84" i="1" s="1"/>
  <c r="C83" i="1"/>
  <c r="O83" i="1" s="1"/>
  <c r="C82" i="1"/>
  <c r="O82" i="1" s="1"/>
  <c r="O81" i="1"/>
  <c r="C81" i="1"/>
  <c r="C80" i="1"/>
  <c r="O80" i="1" s="1"/>
  <c r="C79" i="1"/>
  <c r="O79" i="1" s="1"/>
  <c r="C78" i="1"/>
  <c r="O78" i="1" s="1"/>
  <c r="D77" i="1"/>
  <c r="D66" i="1" s="1"/>
  <c r="C77" i="1"/>
  <c r="C76" i="1"/>
  <c r="O76" i="1" s="1"/>
  <c r="C75" i="1"/>
  <c r="O75" i="1" s="1"/>
  <c r="C74" i="1"/>
  <c r="O74" i="1" s="1"/>
  <c r="C73" i="1"/>
  <c r="O73" i="1" s="1"/>
  <c r="O72" i="1"/>
  <c r="O71" i="1"/>
  <c r="C70" i="1"/>
  <c r="O70" i="1" s="1"/>
  <c r="C69" i="1"/>
  <c r="O69" i="1" s="1"/>
  <c r="O68" i="1"/>
  <c r="C67" i="1"/>
  <c r="O67" i="1" s="1"/>
  <c r="N66" i="1"/>
  <c r="M66" i="1"/>
  <c r="L66" i="1"/>
  <c r="K66" i="1"/>
  <c r="J66" i="1"/>
  <c r="I66" i="1"/>
  <c r="H66" i="1"/>
  <c r="G66" i="1"/>
  <c r="F66" i="1"/>
  <c r="E66" i="1"/>
  <c r="O65" i="1"/>
  <c r="O62" i="1" s="1"/>
  <c r="O64" i="1"/>
  <c r="O63" i="1"/>
  <c r="N62" i="1"/>
  <c r="M62" i="1"/>
  <c r="L62" i="1"/>
  <c r="K62" i="1"/>
  <c r="J62" i="1"/>
  <c r="I62" i="1"/>
  <c r="H62" i="1"/>
  <c r="G62" i="1"/>
  <c r="F62" i="1"/>
  <c r="E62" i="1"/>
  <c r="D62" i="1"/>
  <c r="C62" i="1"/>
  <c r="O61" i="1"/>
  <c r="O59" i="1" s="1"/>
  <c r="O60" i="1"/>
  <c r="N59" i="1"/>
  <c r="M59" i="1"/>
  <c r="L59" i="1"/>
  <c r="K59" i="1"/>
  <c r="J59" i="1"/>
  <c r="I59" i="1"/>
  <c r="H59" i="1"/>
  <c r="G59" i="1"/>
  <c r="F59" i="1"/>
  <c r="E59" i="1"/>
  <c r="D59" i="1"/>
  <c r="C59" i="1"/>
  <c r="C58" i="1"/>
  <c r="O58" i="1" s="1"/>
  <c r="C57" i="1"/>
  <c r="O57" i="1" s="1"/>
  <c r="C56" i="1"/>
  <c r="O55" i="1"/>
  <c r="D54" i="1"/>
  <c r="D52" i="1" s="1"/>
  <c r="C53" i="1"/>
  <c r="O53" i="1" s="1"/>
  <c r="N52" i="1"/>
  <c r="M52" i="1"/>
  <c r="L52" i="1"/>
  <c r="K52" i="1"/>
  <c r="J52" i="1"/>
  <c r="I52" i="1"/>
  <c r="I96" i="1" s="1"/>
  <c r="H52" i="1"/>
  <c r="G52" i="1"/>
  <c r="F52" i="1"/>
  <c r="E52" i="1"/>
  <c r="C51" i="1"/>
  <c r="O51" i="1" s="1"/>
  <c r="O50" i="1"/>
  <c r="C49" i="1"/>
  <c r="D48" i="1"/>
  <c r="D46" i="1" s="1"/>
  <c r="C47" i="1"/>
  <c r="O47" i="1" s="1"/>
  <c r="N46" i="1"/>
  <c r="M46" i="1"/>
  <c r="L46" i="1"/>
  <c r="K46" i="1"/>
  <c r="J46" i="1"/>
  <c r="I46" i="1"/>
  <c r="H46" i="1"/>
  <c r="G46" i="1"/>
  <c r="F46" i="1"/>
  <c r="E46" i="1"/>
  <c r="C45" i="1"/>
  <c r="O45" i="1" s="1"/>
  <c r="O44" i="1"/>
  <c r="C43" i="1"/>
  <c r="O43" i="1" s="1"/>
  <c r="C42" i="1"/>
  <c r="O42" i="1" s="1"/>
  <c r="C41" i="1"/>
  <c r="O41" i="1" s="1"/>
  <c r="C40" i="1"/>
  <c r="O40" i="1" s="1"/>
  <c r="C39" i="1"/>
  <c r="O39" i="1" s="1"/>
  <c r="C38" i="1"/>
  <c r="O38" i="1" s="1"/>
  <c r="C37" i="1"/>
  <c r="O37" i="1" s="1"/>
  <c r="O36" i="1"/>
  <c r="O35" i="1"/>
  <c r="C34" i="1"/>
  <c r="O34" i="1" s="1"/>
  <c r="D33" i="1"/>
  <c r="D32" i="1" s="1"/>
  <c r="C33" i="1"/>
  <c r="N32" i="1"/>
  <c r="M32" i="1"/>
  <c r="L32" i="1"/>
  <c r="K32" i="1"/>
  <c r="J32" i="1"/>
  <c r="J96" i="1" s="1"/>
  <c r="I32" i="1"/>
  <c r="H32" i="1"/>
  <c r="H96" i="1" s="1"/>
  <c r="G32" i="1"/>
  <c r="F32" i="1"/>
  <c r="E32" i="1"/>
  <c r="D31" i="1"/>
  <c r="O31" i="1" s="1"/>
  <c r="O28" i="1" s="1"/>
  <c r="O30" i="1"/>
  <c r="O29" i="1"/>
  <c r="N28" i="1"/>
  <c r="M28" i="1"/>
  <c r="L28" i="1"/>
  <c r="K28" i="1"/>
  <c r="J28" i="1"/>
  <c r="I28" i="1"/>
  <c r="H28" i="1"/>
  <c r="G28" i="1"/>
  <c r="F28" i="1"/>
  <c r="E28" i="1"/>
  <c r="C28" i="1"/>
  <c r="O27" i="1"/>
  <c r="D26" i="1"/>
  <c r="O26" i="1" s="1"/>
  <c r="C25" i="1"/>
  <c r="O25" i="1" s="1"/>
  <c r="C24" i="1"/>
  <c r="O24" i="1" s="1"/>
  <c r="D23" i="1"/>
  <c r="C23" i="1"/>
  <c r="C22" i="1" s="1"/>
  <c r="N22" i="1"/>
  <c r="M22" i="1"/>
  <c r="L22" i="1"/>
  <c r="K22" i="1"/>
  <c r="J22" i="1"/>
  <c r="I22" i="1"/>
  <c r="H22" i="1"/>
  <c r="G22" i="1"/>
  <c r="F22" i="1"/>
  <c r="E22" i="1"/>
  <c r="O21" i="1"/>
  <c r="O20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C18" i="1"/>
  <c r="O18" i="1" s="1"/>
  <c r="O17" i="1"/>
  <c r="C16" i="1"/>
  <c r="O16" i="1" s="1"/>
  <c r="O15" i="1"/>
  <c r="C14" i="1"/>
  <c r="O14" i="1" s="1"/>
  <c r="O13" i="1" s="1"/>
  <c r="N13" i="1"/>
  <c r="M13" i="1"/>
  <c r="M96" i="1" s="1"/>
  <c r="L13" i="1"/>
  <c r="K13" i="1"/>
  <c r="J13" i="1"/>
  <c r="I13" i="1"/>
  <c r="H13" i="1"/>
  <c r="G13" i="1"/>
  <c r="F13" i="1"/>
  <c r="E13" i="1"/>
  <c r="D13" i="1"/>
  <c r="C13" i="1"/>
  <c r="O12" i="1"/>
  <c r="C11" i="1"/>
  <c r="O11" i="1" s="1"/>
  <c r="C10" i="1"/>
  <c r="O10" i="1" s="1"/>
  <c r="O9" i="1"/>
  <c r="C8" i="1"/>
  <c r="O8" i="1" s="1"/>
  <c r="D7" i="1"/>
  <c r="C7" i="1"/>
  <c r="C6" i="1"/>
  <c r="O6" i="1" s="1"/>
  <c r="N5" i="1"/>
  <c r="N96" i="1" s="1"/>
  <c r="M5" i="1"/>
  <c r="L5" i="1"/>
  <c r="L96" i="1" s="1"/>
  <c r="K5" i="1"/>
  <c r="K96" i="1" s="1"/>
  <c r="J5" i="1"/>
  <c r="I5" i="1"/>
  <c r="H5" i="1"/>
  <c r="G5" i="1"/>
  <c r="G96" i="1" s="1"/>
  <c r="F5" i="1"/>
  <c r="E5" i="1"/>
  <c r="O93" i="1" l="1"/>
  <c r="O90" i="1" s="1"/>
  <c r="F96" i="1"/>
  <c r="O23" i="1"/>
  <c r="O22" i="1" s="1"/>
  <c r="C46" i="1"/>
  <c r="O7" i="1"/>
  <c r="O5" i="1" s="1"/>
  <c r="D5" i="1"/>
  <c r="D119" i="1"/>
  <c r="C119" i="1"/>
  <c r="O48" i="1"/>
  <c r="C52" i="1"/>
  <c r="O77" i="1"/>
  <c r="O66" i="1" s="1"/>
  <c r="C98" i="1"/>
  <c r="C109" i="1" s="1"/>
  <c r="C32" i="1"/>
  <c r="E96" i="1"/>
  <c r="C66" i="1"/>
  <c r="C90" i="1"/>
  <c r="O33" i="1"/>
  <c r="O32" i="1" s="1"/>
  <c r="O54" i="1"/>
  <c r="O52" i="1" s="1"/>
  <c r="C5" i="1"/>
  <c r="O117" i="1"/>
  <c r="O49" i="1"/>
  <c r="O46" i="1" s="1"/>
  <c r="O101" i="1"/>
  <c r="O98" i="1" s="1"/>
  <c r="O109" i="1" s="1"/>
  <c r="D28" i="1"/>
  <c r="D22" i="1"/>
  <c r="O56" i="1"/>
  <c r="D96" i="1" l="1"/>
  <c r="D121" i="1"/>
  <c r="D123" i="1" s="1"/>
  <c r="D130" i="1" s="1"/>
  <c r="O119" i="1"/>
  <c r="C96" i="1"/>
  <c r="O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Adriana Becerra</author>
  </authors>
  <commentList>
    <comment ref="H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$15,481,270 personal pens
</t>
        </r>
      </text>
    </comment>
    <comment ref="C1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$2,397,200 Michael V
$6,273,000 Carlos O
</t>
        </r>
      </text>
    </comment>
    <comment ref="D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$1,230,000 Estudio puesto de trabajo
$596,000 Optica
</t>
        </r>
      </text>
    </comment>
    <comment ref="C1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 xml:space="preserve">$2,000,000 Jhdez
$1,037,680 Auditorias SST
</t>
        </r>
      </text>
    </comment>
    <comment ref="D1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$6,000,000 Entrenador
$2,000,000 JH
$1,788,000 Interprete
$589,680 Pag Web</t>
        </r>
      </text>
    </comment>
    <comment ref="C2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 xml:space="preserve">Pico y placa DTO
</t>
        </r>
      </text>
    </comment>
    <comment ref="C2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Arrend Bod $43,506,400
Admon: $1,205,957
Admon: $533,224
</t>
        </r>
      </text>
    </comment>
    <comment ref="D2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Arrend Bod $35,700,000
          $49,300,000
Admon: $1,205,957
Admon: $533,224
Arrend Motos $850,000</t>
        </r>
      </text>
    </comment>
    <comment ref="D2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 xml:space="preserve">WMS
</t>
        </r>
      </text>
    </comment>
    <comment ref="C3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 xml:space="preserve">Escolta
</t>
        </r>
      </text>
    </comment>
    <comment ref="D3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$1,307,000 Dig WMS
$2,500,000 Chef</t>
        </r>
      </text>
    </comment>
    <comment ref="C4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 xml:space="preserve">Transporte Almuerzos
</t>
        </r>
      </text>
    </comment>
    <comment ref="C4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 xml:space="preserve">$8,589,420 Factura anual Siesa
</t>
        </r>
      </text>
    </comment>
    <comment ref="C5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 xml:space="preserve">Mtto AA
Mtto Cuartos frios
</t>
        </r>
      </text>
    </comment>
    <comment ref="D5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 xml:space="preserve">Mtto Basculas + Cuarto Frio
</t>
        </r>
      </text>
    </comment>
    <comment ref="C5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 xml:space="preserve">Medidor PH y Cuchillos
</t>
        </r>
      </text>
    </comment>
    <comment ref="D5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 xml:space="preserve">Cert ONAC Balanza dig
</t>
        </r>
      </text>
    </comment>
    <comment ref="C5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 xml:space="preserve">Recarga de extintores
</t>
        </r>
      </text>
    </comment>
    <comment ref="C6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 xml:space="preserve">DGNET Premium
</t>
        </r>
      </text>
    </comment>
    <comment ref="D6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 xml:space="preserve">LEGIS
</t>
        </r>
      </text>
    </comment>
    <comment ref="C7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$3,949,000 Elementos cuarto de bienestar</t>
        </r>
      </text>
    </comment>
    <comment ref="C7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 xml:space="preserve">Estanteria
</t>
        </r>
      </text>
    </comment>
    <comment ref="D7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Mesas</t>
        </r>
      </text>
    </comment>
    <comment ref="C8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 xml:space="preserve">$12,544,460 Compra Equipos
$8,258,600 Impresoras Wms
</t>
        </r>
      </text>
    </comment>
    <comment ref="C9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 xml:space="preserve">Multa Vehiculo VCO 277
</t>
        </r>
      </text>
    </comment>
    <comment ref="B111" authorId="1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 xml:space="preserve">Junta Directiva
</t>
        </r>
      </text>
    </comment>
  </commentList>
</comments>
</file>

<file path=xl/sharedStrings.xml><?xml version="1.0" encoding="utf-8"?>
<sst xmlns="http://schemas.openxmlformats.org/spreadsheetml/2006/main" count="188" uniqueCount="183">
  <si>
    <t xml:space="preserve">CORPORACIÓN HACIA UN VALLE SOLIDARIO </t>
  </si>
  <si>
    <t>GASTOS ADMINISTRATIVOS 2026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</si>
  <si>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</si>
  <si>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</si>
  <si>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</si>
  <si>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</si>
  <si>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</si>
  <si>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</si>
  <si>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</si>
  <si>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</si>
  <si>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</si>
  <si>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</si>
  <si>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</si>
  <si>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</si>
  <si>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ACUMULADO</t>
  </si>
  <si>
    <t>GASTOS DE PERSONAL</t>
  </si>
  <si>
    <t>Salarios</t>
  </si>
  <si>
    <t>Personal Decreto 1860/21</t>
  </si>
  <si>
    <t>Dotacion y Suministro</t>
  </si>
  <si>
    <t>Bonificaciones</t>
  </si>
  <si>
    <t>Capacitacion</t>
  </si>
  <si>
    <t xml:space="preserve">51058401            </t>
  </si>
  <si>
    <t>Gastos Medicos</t>
  </si>
  <si>
    <t xml:space="preserve">53954002            </t>
  </si>
  <si>
    <t>Incapacidades</t>
  </si>
  <si>
    <t>HONORARIOS</t>
  </si>
  <si>
    <t xml:space="preserve">51101001            </t>
  </si>
  <si>
    <t>Revisoria Fiscal</t>
  </si>
  <si>
    <t>Avaluos</t>
  </si>
  <si>
    <t xml:space="preserve">51102001            </t>
  </si>
  <si>
    <t>Asesoria Juridica</t>
  </si>
  <si>
    <t xml:space="preserve">51103001            </t>
  </si>
  <si>
    <t>Asesoria Financiera</t>
  </si>
  <si>
    <t>Asesoría Técnica</t>
  </si>
  <si>
    <t>IMPUESTOS</t>
  </si>
  <si>
    <t>Predial</t>
  </si>
  <si>
    <t>Impuestos vehiculos</t>
  </si>
  <si>
    <t>ARRENDAMIENTOS</t>
  </si>
  <si>
    <t>51201001   - 51355001</t>
  </si>
  <si>
    <t>Construcciones y Edificaciones</t>
  </si>
  <si>
    <t xml:space="preserve">51201501 - 73201501 </t>
  </si>
  <si>
    <t>Maquinaria y Equipo</t>
  </si>
  <si>
    <t xml:space="preserve">51202001            </t>
  </si>
  <si>
    <t>Equipo de Oficina</t>
  </si>
  <si>
    <t>Equipo de Computacion y comunicaciones</t>
  </si>
  <si>
    <t>Flota y Equipo de Transporte</t>
  </si>
  <si>
    <t>SEGUROS</t>
  </si>
  <si>
    <t>Cumplimiento</t>
  </si>
  <si>
    <t>Responsabilidad Civil y Extracontractual</t>
  </si>
  <si>
    <t>OTROS - Funerarios</t>
  </si>
  <si>
    <t>SERVICIOS</t>
  </si>
  <si>
    <t>Aseo y Vigilancia</t>
  </si>
  <si>
    <t xml:space="preserve">51351001   -   51351004        </t>
  </si>
  <si>
    <t>Temporales</t>
  </si>
  <si>
    <t>Comunicaciones</t>
  </si>
  <si>
    <t xml:space="preserve">51351502            </t>
  </si>
  <si>
    <t>Laboratorio</t>
  </si>
  <si>
    <t xml:space="preserve">51351503            </t>
  </si>
  <si>
    <t>Fumigacion</t>
  </si>
  <si>
    <t xml:space="preserve">51352501            </t>
  </si>
  <si>
    <t>Acueducto y Alcantarillado</t>
  </si>
  <si>
    <t xml:space="preserve">51353001            </t>
  </si>
  <si>
    <t>Energía Electrica</t>
  </si>
  <si>
    <t xml:space="preserve">51353501            </t>
  </si>
  <si>
    <t>Telefono</t>
  </si>
  <si>
    <t xml:space="preserve">51353502            </t>
  </si>
  <si>
    <t>Internet</t>
  </si>
  <si>
    <t xml:space="preserve">51354001            </t>
  </si>
  <si>
    <t>Correo, Portes, telegramas</t>
  </si>
  <si>
    <t>51355001</t>
  </si>
  <si>
    <t>Transporte, fletes y acarreos</t>
  </si>
  <si>
    <t>Gas</t>
  </si>
  <si>
    <t xml:space="preserve">51356501            </t>
  </si>
  <si>
    <t>Servicio Web-Hosting-Nube- Licencias Siesa y planeacion</t>
  </si>
  <si>
    <t>GASTOS LEGALES</t>
  </si>
  <si>
    <t>Notariales</t>
  </si>
  <si>
    <t>Registro Mercantil y proponentes</t>
  </si>
  <si>
    <t>Tramites y Licencias</t>
  </si>
  <si>
    <t>Servicio de Registro BMC</t>
  </si>
  <si>
    <t xml:space="preserve">514095              </t>
  </si>
  <si>
    <t>Certificados Camara Comercio , proponentes y tradicion, JCC</t>
  </si>
  <si>
    <t>MANTENIMIENTO Y REPARACIONES</t>
  </si>
  <si>
    <t xml:space="preserve">51451001            </t>
  </si>
  <si>
    <t xml:space="preserve">51451501            </t>
  </si>
  <si>
    <t xml:space="preserve">51451001      -   51451501  </t>
  </si>
  <si>
    <t>Planta Plan Basico de Saneamiento</t>
  </si>
  <si>
    <t xml:space="preserve">51452501            </t>
  </si>
  <si>
    <t>Equipo de Computacion y Comunic</t>
  </si>
  <si>
    <t>Plan SST</t>
  </si>
  <si>
    <t>ADECUACIONES E INSTALACIONES</t>
  </si>
  <si>
    <t>Inversion infraestructura</t>
  </si>
  <si>
    <t>Reparaciones Locativas</t>
  </si>
  <si>
    <t>GASTOS DE VIAJE</t>
  </si>
  <si>
    <t xml:space="preserve">51550501            </t>
  </si>
  <si>
    <t>Alojamiento y Manutencion</t>
  </si>
  <si>
    <t xml:space="preserve">51551501            </t>
  </si>
  <si>
    <t>Pasajes Aereos</t>
  </si>
  <si>
    <t>Pasajes Terrestres</t>
  </si>
  <si>
    <t>DIVERSOS</t>
  </si>
  <si>
    <t xml:space="preserve">51951001            </t>
  </si>
  <si>
    <t>Libros, suscripciones, period</t>
  </si>
  <si>
    <t>Seguros Funerarios</t>
  </si>
  <si>
    <t xml:space="preserve">51952501            </t>
  </si>
  <si>
    <t>Elementos de Aseo y Cafeteria</t>
  </si>
  <si>
    <t xml:space="preserve">51953001            </t>
  </si>
  <si>
    <t>Papeleria</t>
  </si>
  <si>
    <t xml:space="preserve">51953002            </t>
  </si>
  <si>
    <t>Fotocopias</t>
  </si>
  <si>
    <t xml:space="preserve">51953501            </t>
  </si>
  <si>
    <t>Combustible y Lubricantes</t>
  </si>
  <si>
    <t>51954001   - '71100501</t>
  </si>
  <si>
    <t>Envases y Empaques</t>
  </si>
  <si>
    <t xml:space="preserve">51954501            </t>
  </si>
  <si>
    <t>Taxis y Buses</t>
  </si>
  <si>
    <t xml:space="preserve">51956001            </t>
  </si>
  <si>
    <t>Casino y Restaurante (Refrigerios)</t>
  </si>
  <si>
    <t xml:space="preserve">51956501            </t>
  </si>
  <si>
    <t>Parqueaderos</t>
  </si>
  <si>
    <t xml:space="preserve">51956601            </t>
  </si>
  <si>
    <t>Peajes</t>
  </si>
  <si>
    <t xml:space="preserve">51959501            </t>
  </si>
  <si>
    <t>Otros</t>
  </si>
  <si>
    <t xml:space="preserve">51959502            </t>
  </si>
  <si>
    <t>Compra Equipos de Oficina</t>
  </si>
  <si>
    <t xml:space="preserve">51959503            </t>
  </si>
  <si>
    <t>Compra Suministros</t>
  </si>
  <si>
    <t>Herramientas y articulos ferreteria</t>
  </si>
  <si>
    <t xml:space="preserve">51959512            </t>
  </si>
  <si>
    <t>Reuniones Fiestas y Detalles</t>
  </si>
  <si>
    <t xml:space="preserve">51959514            </t>
  </si>
  <si>
    <t>Equipos de Bodega</t>
  </si>
  <si>
    <t xml:space="preserve">51959515            </t>
  </si>
  <si>
    <t>Compra Equipos de computo y comunicación</t>
  </si>
  <si>
    <t xml:space="preserve">51959504            </t>
  </si>
  <si>
    <t>Cuota de Apoyo y Sostenimiento (SENA)</t>
  </si>
  <si>
    <t>Menaje - Basculas-Canastillas-Estibas</t>
  </si>
  <si>
    <t xml:space="preserve">51959518            </t>
  </si>
  <si>
    <t>Compra Mercado IVH</t>
  </si>
  <si>
    <t xml:space="preserve">51959517            </t>
  </si>
  <si>
    <t>Convenios medicos - EMI</t>
  </si>
  <si>
    <t>CASINO</t>
  </si>
  <si>
    <t>OTROS GASTOS DIVERSOS</t>
  </si>
  <si>
    <t>Demandas por Incumplimiento de Contrato</t>
  </si>
  <si>
    <t>Indemnizaciones</t>
  </si>
  <si>
    <t>Multas, Sanciones y Litigios</t>
  </si>
  <si>
    <t xml:space="preserve">51956002            </t>
  </si>
  <si>
    <t>Donaciones</t>
  </si>
  <si>
    <t xml:space="preserve">53954001            </t>
  </si>
  <si>
    <t>Ajuste al peso</t>
  </si>
  <si>
    <t>TOTAL ADMINISTRATIVOS</t>
  </si>
  <si>
    <t>FINANCIEROS</t>
  </si>
  <si>
    <t xml:space="preserve">530505              </t>
  </si>
  <si>
    <t>Gastos Bancarios</t>
  </si>
  <si>
    <t xml:space="preserve">530515              </t>
  </si>
  <si>
    <t>Comisiones</t>
  </si>
  <si>
    <t xml:space="preserve">53052001            </t>
  </si>
  <si>
    <t>Intereses Corrientes Obligaciones</t>
  </si>
  <si>
    <t xml:space="preserve">53052002            </t>
  </si>
  <si>
    <t>Intereses  Moratorios</t>
  </si>
  <si>
    <t>Intereses Sobregiro</t>
  </si>
  <si>
    <t xml:space="preserve">53052004            </t>
  </si>
  <si>
    <t>Intereses corrientes Leasing</t>
  </si>
  <si>
    <t xml:space="preserve">53059502            </t>
  </si>
  <si>
    <t>Seguro Credito Leasing</t>
  </si>
  <si>
    <t xml:space="preserve">51159502            </t>
  </si>
  <si>
    <t>Gravámen a Movimientos Financieros</t>
  </si>
  <si>
    <t xml:space="preserve">530595              </t>
  </si>
  <si>
    <t xml:space="preserve">Otros </t>
  </si>
  <si>
    <t>INTERESES SOCIOS</t>
  </si>
  <si>
    <t>TOTAL FINANCIEROS</t>
  </si>
  <si>
    <t>GASTOS DE PERSONAL DIRECTIVO</t>
  </si>
  <si>
    <t>GASTOS NO OPERACIONALES</t>
  </si>
  <si>
    <t>COSTO DE FACTURAS</t>
  </si>
  <si>
    <t>RECREARTE</t>
  </si>
  <si>
    <t>PROVISION 2025 - INDEMNIZACION DE PERSONAL</t>
  </si>
  <si>
    <t>(-) DESCUENTOS COMERCIALES</t>
  </si>
  <si>
    <t>(-) INGRESOS NO OPERACIONALES</t>
  </si>
  <si>
    <t>(-) INGRESOS INCAPACIDADES</t>
  </si>
  <si>
    <t>TOTAL GASTOS NO OPERACIONALES</t>
  </si>
  <si>
    <t>JUNTA</t>
  </si>
  <si>
    <t>el valor q falta para llegar a  268157495el total es producto de harcodeado de un valor en esa celda</t>
  </si>
  <si>
    <t>el valor q falta para llegar a el total es producto de un valor harcodeado 59862 de un valor en esa celda</t>
  </si>
  <si>
    <t>el valor q falta para llegar a el total es producto de un valor harcodeado 98250 de un valor en esa celda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</si>
</sst>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name val="Tahoma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sz val="8"/>
      <color theme="0"/>
      <name val="Tahoma"/>
      <family val="2"/>
    </font>
    <font>
      <sz val="9"/>
      <color theme="1"/>
      <name val="Tahoma"/>
      <family val="2"/>
    </font>
    <font>
      <b/>
      <sz val="7"/>
      <name val="Tahoma"/>
      <family val="2"/>
    </font>
    <font>
      <b/>
      <sz val="8"/>
      <color theme="0"/>
      <name val="Tahoma"/>
      <family val="2"/>
    </font>
    <font>
      <sz val="9"/>
      <name val="Tahoma"/>
      <family val="2"/>
    </font>
    <font>
      <u/>
      <sz val="11"/>
      <color theme="10"/>
      <name val="Calibri"/>
      <family val="2"/>
    </font>
    <font>
      <u/>
      <sz val="9"/>
      <color theme="10"/>
      <name val="Tahoma"/>
      <family val="2"/>
    </font>
    <font>
      <sz val="8"/>
      <color rgb="FF0070C0"/>
      <name val="Tahoma"/>
      <family val="2"/>
    </font>
    <font>
      <sz val="9"/>
      <color rgb="FFFF000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Tahoma"/>
      <family val="2"/>
    </font>
    <font>
      <u val="singleAccounting"/>
      <sz val="9"/>
      <color theme="10"/>
      <name val="Tahoma"/>
      <family val="2"/>
    </font>
    <font>
      <b/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0" fontId="10" fillId="0" borderId="0">
      <alignment vertical="top"/>
      <protection locked="0"/>
    </xf>
  </cellStyleXfs>
  <cellXfs count="120">
    <xf numFmtId="0" fontId="0" fillId="0" borderId="0" xfId="0"/>
    <xf numFmtId="4" fontId="5" fillId="2" borderId="0" xfId="0" applyNumberFormat="1" applyFont="1" applyFill="1" applyAlignment="1">
      <alignment horizontal="center"/>
    </xf>
    <xf numFmtId="0" fontId="6" fillId="2" borderId="0" xfId="0" applyFont="1" applyFill="1"/>
    <xf numFmtId="164" fontId="3" fillId="3" borderId="1" xfId="1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4" fontId="8" fillId="2" borderId="0" xfId="0" applyNumberFormat="1" applyFont="1" applyFill="1" applyAlignment="1">
      <alignment horizontal="center"/>
    </xf>
    <xf numFmtId="0" fontId="3" fillId="2" borderId="0" xfId="0" applyFont="1" applyFill="1"/>
    <xf numFmtId="164" fontId="9" fillId="0" borderId="4" xfId="1" applyNumberFormat="1" applyFont="1" applyBorder="1" applyAlignment="1">
      <alignment vertical="center"/>
    </xf>
    <xf numFmtId="164" fontId="6" fillId="0" borderId="5" xfId="1" applyNumberFormat="1" applyFont="1" applyBorder="1" applyAlignment="1">
      <alignment vertical="center"/>
    </xf>
    <xf numFmtId="4" fontId="5" fillId="2" borderId="0" xfId="2" applyNumberFormat="1" applyFont="1" applyFill="1" applyAlignment="1">
      <alignment horizontal="center"/>
    </xf>
    <xf numFmtId="164" fontId="9" fillId="0" borderId="6" xfId="1" applyNumberFormat="1" applyFont="1" applyBorder="1" applyAlignment="1">
      <alignment vertical="center"/>
    </xf>
    <xf numFmtId="164" fontId="6" fillId="0" borderId="7" xfId="1" applyNumberFormat="1" applyFont="1" applyBorder="1" applyAlignment="1">
      <alignment vertical="center"/>
    </xf>
    <xf numFmtId="164" fontId="11" fillId="0" borderId="6" xfId="3" applyNumberFormat="1" applyFont="1" applyBorder="1" applyAlignment="1" applyProtection="1">
      <alignment vertical="center"/>
    </xf>
    <xf numFmtId="164" fontId="9" fillId="0" borderId="8" xfId="1" applyNumberFormat="1" applyFont="1" applyBorder="1" applyAlignment="1">
      <alignment vertical="center"/>
    </xf>
    <xf numFmtId="4" fontId="12" fillId="2" borderId="0" xfId="2" applyNumberFormat="1" applyFont="1" applyFill="1" applyAlignment="1">
      <alignment horizontal="center"/>
    </xf>
    <xf numFmtId="164" fontId="6" fillId="0" borderId="4" xfId="1" applyNumberFormat="1" applyFont="1" applyBorder="1" applyAlignment="1">
      <alignment vertical="center"/>
    </xf>
    <xf numFmtId="164" fontId="6" fillId="0" borderId="6" xfId="1" applyNumberFormat="1" applyFont="1" applyBorder="1" applyAlignment="1">
      <alignment vertical="center"/>
    </xf>
    <xf numFmtId="164" fontId="6" fillId="0" borderId="9" xfId="1" applyNumberFormat="1" applyFont="1" applyBorder="1" applyAlignment="1">
      <alignment vertical="center"/>
    </xf>
    <xf numFmtId="164" fontId="3" fillId="2" borderId="1" xfId="1" applyNumberFormat="1" applyFont="1" applyFill="1" applyBorder="1" applyAlignment="1">
      <alignment vertical="center"/>
    </xf>
    <xf numFmtId="164" fontId="6" fillId="0" borderId="11" xfId="1" applyNumberFormat="1" applyFont="1" applyBorder="1" applyAlignment="1">
      <alignment vertical="center"/>
    </xf>
    <xf numFmtId="164" fontId="6" fillId="0" borderId="8" xfId="1" applyNumberFormat="1" applyFont="1" applyBorder="1" applyAlignment="1">
      <alignment vertical="center"/>
    </xf>
    <xf numFmtId="4" fontId="14" fillId="2" borderId="0" xfId="1" applyNumberFormat="1" applyFont="1" applyFill="1" applyAlignment="1">
      <alignment horizontal="center"/>
    </xf>
    <xf numFmtId="164" fontId="6" fillId="2" borderId="9" xfId="1" applyNumberFormat="1" applyFont="1" applyFill="1" applyBorder="1" applyAlignment="1">
      <alignment vertical="center"/>
    </xf>
    <xf numFmtId="164" fontId="6" fillId="2" borderId="5" xfId="1" applyNumberFormat="1" applyFont="1" applyFill="1" applyBorder="1" applyAlignment="1">
      <alignment vertical="center"/>
    </xf>
    <xf numFmtId="164" fontId="6" fillId="2" borderId="7" xfId="1" applyNumberFormat="1" applyFont="1" applyFill="1" applyBorder="1" applyAlignment="1">
      <alignment vertical="center"/>
    </xf>
    <xf numFmtId="4" fontId="5" fillId="0" borderId="0" xfId="2" applyNumberFormat="1" applyFont="1" applyAlignment="1">
      <alignment horizontal="center"/>
    </xf>
    <xf numFmtId="0" fontId="3" fillId="0" borderId="0" xfId="0" applyFont="1"/>
    <xf numFmtId="164" fontId="10" fillId="0" borderId="6" xfId="3" applyNumberFormat="1" applyBorder="1" applyAlignment="1" applyProtection="1">
      <alignment vertical="center"/>
    </xf>
    <xf numFmtId="164" fontId="3" fillId="0" borderId="16" xfId="1" applyNumberFormat="1" applyFont="1" applyBorder="1" applyAlignment="1">
      <alignment vertical="center"/>
    </xf>
    <xf numFmtId="164" fontId="6" fillId="0" borderId="16" xfId="1" applyNumberFormat="1" applyFont="1" applyBorder="1" applyAlignment="1">
      <alignment vertical="center"/>
    </xf>
    <xf numFmtId="164" fontId="6" fillId="0" borderId="17" xfId="1" applyNumberFormat="1" applyFont="1" applyBorder="1" applyAlignment="1">
      <alignment vertical="center"/>
    </xf>
    <xf numFmtId="164" fontId="6" fillId="0" borderId="14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164" fontId="10" fillId="0" borderId="4" xfId="3" applyNumberFormat="1" applyBorder="1" applyAlignment="1" applyProtection="1">
      <alignment vertical="center"/>
    </xf>
    <xf numFmtId="4" fontId="15" fillId="2" borderId="0" xfId="1" applyNumberFormat="1" applyFont="1" applyFill="1" applyAlignment="1">
      <alignment horizontal="center"/>
    </xf>
    <xf numFmtId="164" fontId="16" fillId="0" borderId="1" xfId="1" applyNumberFormat="1" applyFont="1" applyBorder="1" applyAlignment="1">
      <alignment vertical="center"/>
    </xf>
    <xf numFmtId="0" fontId="6" fillId="0" borderId="0" xfId="0" applyFont="1"/>
    <xf numFmtId="164" fontId="6" fillId="0" borderId="0" xfId="1" applyNumberFormat="1" applyFont="1"/>
    <xf numFmtId="164" fontId="3" fillId="0" borderId="6" xfId="1" applyNumberFormat="1" applyFont="1" applyBorder="1" applyAlignment="1">
      <alignment vertical="center"/>
    </xf>
    <xf numFmtId="164" fontId="9" fillId="0" borderId="18" xfId="1" applyNumberFormat="1" applyFont="1" applyBorder="1" applyAlignment="1">
      <alignment vertical="center"/>
    </xf>
    <xf numFmtId="164" fontId="17" fillId="0" borderId="6" xfId="3" applyNumberFormat="1" applyFont="1" applyBorder="1" applyAlignment="1" applyProtection="1">
      <alignment vertical="center"/>
    </xf>
    <xf numFmtId="164" fontId="6" fillId="0" borderId="18" xfId="1" applyNumberFormat="1" applyFont="1" applyBorder="1" applyAlignment="1">
      <alignment vertical="center"/>
    </xf>
    <xf numFmtId="164" fontId="11" fillId="0" borderId="18" xfId="3" applyNumberFormat="1" applyFont="1" applyBorder="1" applyAlignment="1" applyProtection="1">
      <alignment vertical="center"/>
    </xf>
    <xf numFmtId="164" fontId="6" fillId="0" borderId="18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/>
    </xf>
    <xf numFmtId="164" fontId="11" fillId="0" borderId="1" xfId="3" applyNumberFormat="1" applyFont="1" applyBorder="1" applyAlignment="1" applyProtection="1">
      <alignment vertical="center"/>
    </xf>
    <xf numFmtId="164" fontId="6" fillId="0" borderId="20" xfId="1" applyNumberFormat="1" applyFont="1" applyBorder="1" applyAlignment="1">
      <alignment vertical="center"/>
    </xf>
    <xf numFmtId="164" fontId="18" fillId="3" borderId="22" xfId="1" applyNumberFormat="1" applyFont="1" applyFill="1" applyBorder="1" applyAlignment="1">
      <alignment vertical="center"/>
    </xf>
    <xf numFmtId="164" fontId="6" fillId="0" borderId="23" xfId="1" applyNumberFormat="1" applyFont="1" applyBorder="1" applyAlignment="1">
      <alignment vertical="center"/>
    </xf>
    <xf numFmtId="164" fontId="9" fillId="0" borderId="23" xfId="1" applyNumberFormat="1" applyFont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164" fontId="16" fillId="0" borderId="6" xfId="1" applyNumberFormat="1" applyFont="1" applyBorder="1" applyAlignment="1">
      <alignment vertical="center"/>
    </xf>
    <xf numFmtId="164" fontId="3" fillId="0" borderId="22" xfId="1" applyNumberFormat="1" applyFont="1" applyBorder="1" applyAlignment="1">
      <alignment vertical="center"/>
    </xf>
    <xf numFmtId="164" fontId="6" fillId="2" borderId="0" xfId="1" applyNumberFormat="1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6" fillId="2" borderId="0" xfId="1" applyNumberFormat="1" applyFont="1" applyFill="1"/>
    <xf numFmtId="164" fontId="13" fillId="2" borderId="0" xfId="1" applyNumberFormat="1" applyFont="1" applyFill="1"/>
    <xf numFmtId="164" fontId="6" fillId="2" borderId="0" xfId="0" applyNumberFormat="1" applyFont="1" applyFill="1"/>
    <xf numFmtId="164" fontId="13" fillId="2" borderId="0" xfId="0" applyNumberFormat="1" applyFont="1" applyFill="1"/>
    <xf numFmtId="164" fontId="13" fillId="2" borderId="0" xfId="1" applyNumberFormat="1" applyFont="1" applyFill="1" applyAlignment="1">
      <alignment vertical="center"/>
    </xf>
    <xf numFmtId="164" fontId="13" fillId="2" borderId="0" xfId="1" applyNumberFormat="1" applyFont="1" applyFill="1" applyAlignment="1">
      <alignment horizontal="center" vertical="center"/>
    </xf>
    <xf numFmtId="165" fontId="6" fillId="2" borderId="0" xfId="2" applyNumberFormat="1" applyFont="1" applyFill="1"/>
    <xf numFmtId="164" fontId="13" fillId="2" borderId="0" xfId="1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/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64" fontId="9" fillId="0" borderId="11" xfId="1" applyNumberFormat="1" applyFont="1" applyBorder="1" applyAlignment="1">
      <alignment vertical="center"/>
    </xf>
    <xf numFmtId="164" fontId="13" fillId="0" borderId="11" xfId="1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21" xfId="0" applyFont="1" applyBorder="1" applyAlignment="1">
      <alignment vertical="center"/>
    </xf>
    <xf numFmtId="164" fontId="18" fillId="0" borderId="22" xfId="1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13" fillId="0" borderId="0" xfId="1" applyNumberFormat="1" applyFont="1"/>
    <xf numFmtId="164" fontId="9" fillId="4" borderId="4" xfId="1" applyNumberFormat="1" applyFont="1" applyFill="1" applyBorder="1" applyAlignment="1">
      <alignment vertical="center"/>
    </xf>
    <xf numFmtId="164" fontId="9" fillId="4" borderId="6" xfId="1" applyNumberFormat="1" applyFont="1" applyFill="1" applyBorder="1" applyAlignment="1">
      <alignment vertical="center"/>
    </xf>
    <xf numFmtId="164" fontId="9" fillId="5" borderId="6" xfId="1" applyNumberFormat="1" applyFont="1" applyFill="1" applyBorder="1" applyAlignment="1">
      <alignment vertical="center"/>
    </xf>
    <xf numFmtId="164" fontId="9" fillId="4" borderId="8" xfId="1" applyNumberFormat="1" applyFont="1" applyFill="1" applyBorder="1" applyAlignment="1">
      <alignment vertical="center"/>
    </xf>
    <xf numFmtId="164" fontId="6" fillId="4" borderId="4" xfId="1" applyNumberFormat="1" applyFont="1" applyFill="1" applyBorder="1" applyAlignment="1">
      <alignment vertical="center"/>
    </xf>
    <xf numFmtId="164" fontId="6" fillId="5" borderId="6" xfId="1" applyNumberFormat="1" applyFont="1" applyFill="1" applyBorder="1" applyAlignment="1">
      <alignment vertical="center"/>
    </xf>
    <xf numFmtId="164" fontId="3" fillId="4" borderId="1" xfId="1" applyNumberFormat="1" applyFont="1" applyFill="1" applyBorder="1" applyAlignment="1">
      <alignment vertical="center"/>
    </xf>
    <xf numFmtId="164" fontId="6" fillId="4" borderId="6" xfId="1" applyNumberFormat="1" applyFont="1" applyFill="1" applyBorder="1" applyAlignment="1">
      <alignment vertical="center"/>
    </xf>
    <xf numFmtId="164" fontId="6" fillId="4" borderId="8" xfId="1" applyNumberFormat="1" applyFont="1" applyFill="1" applyBorder="1" applyAlignment="1">
      <alignment vertical="center"/>
    </xf>
    <xf numFmtId="164" fontId="3" fillId="5" borderId="1" xfId="1" applyNumberFormat="1" applyFont="1" applyFill="1" applyBorder="1" applyAlignment="1">
      <alignment vertical="center"/>
    </xf>
    <xf numFmtId="164" fontId="6" fillId="5" borderId="8" xfId="1" applyNumberFormat="1" applyFont="1" applyFill="1" applyBorder="1" applyAlignment="1">
      <alignment vertical="center"/>
    </xf>
    <xf numFmtId="164" fontId="3" fillId="4" borderId="16" xfId="1" applyNumberFormat="1" applyFont="1" applyFill="1" applyBorder="1" applyAlignment="1">
      <alignment vertical="center"/>
    </xf>
    <xf numFmtId="164" fontId="6" fillId="4" borderId="14" xfId="1" applyNumberFormat="1" applyFont="1" applyFill="1" applyBorder="1" applyAlignment="1">
      <alignment vertical="center"/>
    </xf>
    <xf numFmtId="164" fontId="6" fillId="4" borderId="18" xfId="1" applyNumberFormat="1" applyFont="1" applyFill="1" applyBorder="1" applyAlignment="1">
      <alignment horizontal="center" vertical="center"/>
    </xf>
    <xf numFmtId="164" fontId="9" fillId="4" borderId="18" xfId="1" applyNumberFormat="1" applyFont="1" applyFill="1" applyBorder="1" applyAlignment="1">
      <alignment vertical="center"/>
    </xf>
    <xf numFmtId="164" fontId="18" fillId="5" borderId="22" xfId="1" applyNumberFormat="1" applyFont="1" applyFill="1" applyBorder="1" applyAlignment="1">
      <alignment vertical="center"/>
    </xf>
    <xf numFmtId="164" fontId="4" fillId="2" borderId="0" xfId="1" applyNumberFormat="1" applyFont="1" applyFill="1" applyAlignment="1">
      <alignment horizontal="center" vertical="center" wrapText="1"/>
    </xf>
    <xf numFmtId="164" fontId="6" fillId="2" borderId="0" xfId="1" applyNumberFormat="1" applyFont="1" applyFill="1"/>
    <xf numFmtId="164" fontId="6" fillId="2" borderId="0" xfId="0" applyNumberFormat="1" applyFont="1" applyFill="1"/>
    <xf numFmtId="43" fontId="3" fillId="0" borderId="0" xfId="1" applyFont="1" applyAlignment="1">
      <alignment horizontal="center" vertical="center" wrapText="1"/>
    </xf>
    <xf numFmtId="0" fontId="6" fillId="0" borderId="0" xfId="0" applyFont="1"/>
    <xf numFmtId="0" fontId="2" fillId="6" borderId="2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164" fontId="6" fillId="6" borderId="8" xfId="1" applyNumberFormat="1" applyFont="1" applyFill="1" applyBorder="1" applyAlignment="1">
      <alignment vertical="center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3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0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3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5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6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8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CHVS_FEB_2026.xls" TargetMode="External"/><Relationship Id="rId1" Type="http://schemas.openxmlformats.org/officeDocument/2006/relationships/externalLinkPath" Target="FEBRERO/ESTADO%20DE%20RESULTADOS_CHVS_FEB_2026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ALIM%20YUMBO_FEB_2026.xls" TargetMode="External"/><Relationship Id="rId1" Type="http://schemas.openxmlformats.org/officeDocument/2006/relationships/externalLinkPath" Target="FEBRERO/ESTADO%20DE%20RESULTADOS_UTALIM%20YUMBO_FEB_2026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%20ALIM%20BUGA%202026_2026.xls" TargetMode="External"/><Relationship Id="rId1" Type="http://schemas.openxmlformats.org/officeDocument/2006/relationships/externalLinkPath" Target="FEBRERO/ESTADO%20DE%20RESULTADOS_UT%20ALIM%20BUGA%202026_2026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CONS%20ALIM%20CALI%202026_2026.xls" TargetMode="External"/><Relationship Id="rId1" Type="http://schemas.openxmlformats.org/officeDocument/2006/relationships/externalLinkPath" Target="FEBRERO/ESTADO%20DE%20RESULTADOS_CONS%20ALIM%20CALI%202026_2026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355001_CHVS_FEB_2026.xls" TargetMode="External"/><Relationship Id="rId1" Type="http://schemas.openxmlformats.org/officeDocument/2006/relationships/externalLinkPath" Target="FEBRERO/51355001_CHVS_FEB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TOS ADMINISTRATIVOS "/>
      <sheetName val="GASTOS OPERATIVOS"/>
      <sheetName val="GASTOS VEHICULOS"/>
      <sheetName val="%DIST"/>
      <sheetName val="CASINO"/>
      <sheetName val="HUNGRIA"/>
      <sheetName val="CALI"/>
      <sheetName val="YUMBO"/>
      <sheetName val="BUGA"/>
      <sheetName val="IMDERTY"/>
      <sheetName val="COMEDORES CALI"/>
      <sheetName val="CTAS EN PPACION"/>
      <sheetName val="COMEDORES PALMIRA"/>
      <sheetName val="COMEDORES VALLE"/>
      <sheetName val="ADULTO MAYOR"/>
      <sheetName val="PYG TOTAL"/>
      <sheetName val="RECREARTE"/>
    </sheetNames>
    <sheetDataSet>
      <sheetData sheetId="0"/>
      <sheetData sheetId="1">
        <row r="17">
          <cell r="D17">
            <v>334817612.00999999</v>
          </cell>
        </row>
      </sheetData>
      <sheetData sheetId="2">
        <row r="25">
          <cell r="D25">
            <v>85111503</v>
          </cell>
        </row>
      </sheetData>
      <sheetData sheetId="3"/>
      <sheetData sheetId="4">
        <row r="144">
          <cell r="C144">
            <v>26472126.799999997</v>
          </cell>
          <cell r="F144">
            <v>29999600.399999999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41">
          <cell r="C141">
            <v>15474654</v>
          </cell>
          <cell r="F141">
            <v>-1777321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 refreshError="1">
        <row r="9">
          <cell r="I9">
            <v>135991784</v>
          </cell>
        </row>
        <row r="12">
          <cell r="I12">
            <v>19735184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 refreshError="1">
        <row r="9">
          <cell r="I9">
            <v>42456276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 refreshError="1">
        <row r="8">
          <cell r="D8">
            <v>13055991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7">
          <cell r="D7">
            <v>241842440</v>
          </cell>
        </row>
        <row r="10">
          <cell r="L10">
            <v>19090050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 refreshError="1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402">
          <cell r="C402">
            <v>95701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49000</v>
          </cell>
        </row>
        <row r="28">
          <cell r="E28">
            <v>514.78</v>
          </cell>
        </row>
        <row r="30">
          <cell r="C30">
            <v>606365627.59000003</v>
          </cell>
        </row>
        <row r="84">
          <cell r="C84">
            <v>37439181</v>
          </cell>
        </row>
        <row r="90">
          <cell r="C90">
            <v>8139600</v>
          </cell>
        </row>
        <row r="95">
          <cell r="C95">
            <v>8584300</v>
          </cell>
        </row>
        <row r="120">
          <cell r="C120">
            <v>7663600</v>
          </cell>
        </row>
        <row r="128">
          <cell r="C128">
            <v>2062464</v>
          </cell>
        </row>
        <row r="129">
          <cell r="C129">
            <v>370000</v>
          </cell>
        </row>
        <row r="152">
          <cell r="C152">
            <v>2470200</v>
          </cell>
        </row>
        <row r="183">
          <cell r="C183">
            <v>5000000</v>
          </cell>
        </row>
        <row r="199">
          <cell r="C199">
            <v>5410656.4100000001</v>
          </cell>
        </row>
        <row r="204">
          <cell r="C204">
            <v>64611540</v>
          </cell>
        </row>
        <row r="240">
          <cell r="C240">
            <v>1755335.6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  <sheetName val="Hoja 1 (2)"/>
    </sheetNames>
    <sheetDataSet>
      <sheetData sheetId="0">
        <row r="11">
          <cell r="G11">
            <v>404040</v>
          </cell>
        </row>
        <row r="16">
          <cell r="G16">
            <v>850000</v>
          </cell>
        </row>
        <row r="18">
          <cell r="G18">
            <v>49300000</v>
          </cell>
        </row>
        <row r="23">
          <cell r="G23">
            <v>4014671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15">
          <cell r="C15">
            <v>145591814</v>
          </cell>
        </row>
        <row r="70">
          <cell r="C70">
            <v>394000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17">
          <cell r="C17">
            <v>231151715</v>
          </cell>
        </row>
        <row r="109">
          <cell r="C109">
            <v>394000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23">
          <cell r="F23">
            <v>42350</v>
          </cell>
        </row>
        <row r="133">
          <cell r="D133">
            <v>394000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28490</v>
          </cell>
        </row>
        <row r="101">
          <cell r="C101">
            <v>95000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17">
          <cell r="C117">
            <v>5741346</v>
          </cell>
        </row>
        <row r="312">
          <cell r="C312">
            <v>100000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0">
          <cell r="E20">
            <v>538725</v>
          </cell>
        </row>
        <row r="92">
          <cell r="C92">
            <v>959180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9">
          <cell r="E19">
            <v>129800</v>
          </cell>
        </row>
        <row r="89">
          <cell r="C89">
            <v>959180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436700</v>
          </cell>
        </row>
        <row r="97">
          <cell r="C97">
            <v>959180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  <sheetName val="Hoja 1 (2)"/>
    </sheetNames>
    <sheetDataSet>
      <sheetData sheetId="0">
        <row r="11">
          <cell r="G11">
            <v>404040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INFO\PRESUPUESTO%20GASTOS%20FINANCIEROS_2021.xlsx" TargetMode="External"/><Relationship Id="rId1" Type="http://schemas.openxmlformats.org/officeDocument/2006/relationships/hyperlink" Target="INFO\PRESUPUESTO%20GASTOS%20FINANCIEROS_2021.xlsx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34"/>
  <sheetViews>
    <sheetView tabSelected="1" zoomScaleNormal="100" workbookViewId="0">
      <pane xSplit="3" ySplit="5" topLeftCell="D86" activePane="bottomRight" state="frozen"/>
      <selection pane="topRight" activeCell="D1" sqref="D1"/>
      <selection pane="bottomLeft" activeCell="A6" sqref="A6"/>
      <selection pane="bottomRight" activeCell="E97" sqref="E97"/>
    </sheetView>
  </sheetViews>
  <sheetFormatPr baseColWidth="10" defaultColWidth="11.44140625" defaultRowHeight="15" customHeight="1" x14ac:dyDescent="0.2"/>
  <cols>
    <col min="1" max="1" width="17.33203125" style="66" customWidth="1"/>
    <col min="2" max="2" width="50.33203125" style="39" customWidth="1"/>
    <col min="3" max="4" width="15.33203125" style="40" customWidth="1"/>
    <col min="5" max="5" width="75.77734375" style="58" bestFit="1" customWidth="1"/>
    <col min="6" max="7" width="15.33203125" style="58" customWidth="1"/>
    <col min="8" max="13" width="15.33203125" style="60" customWidth="1"/>
    <col min="14" max="14" width="16.6640625" style="60" customWidth="1"/>
    <col min="15" max="15" width="17.88671875" style="58" customWidth="1"/>
    <col min="16" max="16" width="6" style="1" customWidth="1"/>
    <col min="17" max="17" width="11.44140625" style="2" customWidth="1"/>
    <col min="18" max="16384" width="11.44140625" style="2"/>
  </cols>
  <sheetData>
    <row r="1" spans="1:16" ht="11.4" x14ac:dyDescent="0.2"/>
    <row r="2" spans="1:16" ht="14.25" customHeight="1" x14ac:dyDescent="0.2">
      <c r="B2" s="115" t="s">
        <v>0</v>
      </c>
      <c r="C2" s="112" t="s">
        <v>1</v>
      </c>
      <c r="D2" s="113"/>
      <c r="E2" s="113"/>
      <c r="F2" s="113"/>
      <c r="G2" s="113"/>
      <c r="H2" s="114"/>
      <c r="I2" s="114"/>
      <c r="J2" s="114"/>
      <c r="K2" s="114"/>
      <c r="L2" s="114"/>
      <c r="M2" s="114"/>
      <c r="N2" s="114"/>
      <c r="O2" s="113"/>
    </row>
    <row r="3" spans="1:16" ht="24" customHeight="1" x14ac:dyDescent="0.2">
      <c r="B3" s="116"/>
      <c r="C3" s="113"/>
      <c r="D3" s="113"/>
      <c r="E3" s="113"/>
      <c r="F3" s="113"/>
      <c r="G3" s="113"/>
      <c r="H3" s="114"/>
      <c r="I3" s="114"/>
      <c r="J3" s="114"/>
      <c r="K3" s="114"/>
      <c r="L3" s="114"/>
      <c r="M3" s="114"/>
      <c r="N3" s="114"/>
      <c r="O3" s="113"/>
    </row>
    <row r="4" spans="1:16" s="6" customFormat="1" ht="24.9" customHeight="1" x14ac:dyDescent="0.3">
      <c r="A4" s="67"/>
      <c r="B4" s="68"/>
      <c r="C4" s="69" t="s">
        <v>2</v>
      </c>
      <c r="D4" s="69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3" t="s">
        <v>14</v>
      </c>
      <c r="P4" s="5"/>
    </row>
    <row r="5" spans="1:16" s="9" customFormat="1" ht="15" customHeight="1" x14ac:dyDescent="0.2">
      <c r="A5" s="70"/>
      <c r="B5" s="71" t="s">
        <v>15</v>
      </c>
      <c r="C5" s="7">
        <f t="shared" ref="C5:O5" si="0">SUM(C6:C12)</f>
        <v>220746114</v>
      </c>
      <c r="D5" s="105">
        <f>SUM(D6:D12)</f>
        <v>268157495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7">
        <f t="shared" si="0"/>
        <v>0</v>
      </c>
      <c r="N5" s="7">
        <f t="shared" si="0"/>
        <v>0</v>
      </c>
      <c r="O5" s="7">
        <f t="shared" si="0"/>
        <v>488903609</v>
      </c>
      <c r="P5" s="8"/>
    </row>
    <row r="6" spans="1:16" ht="12.9" customHeight="1" x14ac:dyDescent="0.2">
      <c r="A6" s="72">
        <v>5105</v>
      </c>
      <c r="B6" s="73" t="s">
        <v>16</v>
      </c>
      <c r="C6" s="10">
        <f>'[2]Hoja 1'!$I$9-921014+'[3]Hoja 1'!$I$9+'[4]Hoja 1'!$D$8</f>
        <v>190583037</v>
      </c>
      <c r="D6" s="96">
        <v>228560891</v>
      </c>
      <c r="E6" s="10" t="s">
        <v>180</v>
      </c>
      <c r="F6" s="10"/>
      <c r="G6" s="10"/>
      <c r="H6" s="10"/>
      <c r="I6" s="10"/>
      <c r="J6" s="10"/>
      <c r="K6" s="10"/>
      <c r="L6" s="10"/>
      <c r="M6" s="10"/>
      <c r="N6" s="10"/>
      <c r="O6" s="11">
        <f t="shared" ref="O6:O12" si="1">+SUM(C6:N6)</f>
        <v>419143928</v>
      </c>
      <c r="P6" s="12"/>
    </row>
    <row r="7" spans="1:16" ht="12.9" customHeight="1" x14ac:dyDescent="0.2">
      <c r="A7" s="72"/>
      <c r="B7" s="74" t="s">
        <v>17</v>
      </c>
      <c r="C7" s="13">
        <f>'[2]Hoja 1'!$I$12</f>
        <v>19735184</v>
      </c>
      <c r="D7" s="97">
        <f>'[5]Hoja 1'!$L$10</f>
        <v>19090050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4">
        <f t="shared" si="1"/>
        <v>38825234</v>
      </c>
      <c r="P7" s="12"/>
    </row>
    <row r="8" spans="1:16" ht="12.9" customHeight="1" x14ac:dyDescent="0.2">
      <c r="A8" s="72">
        <v>51055101</v>
      </c>
      <c r="B8" s="74" t="s">
        <v>18</v>
      </c>
      <c r="C8" s="13">
        <f>'[6]Hoja 1'!$C$54-225638</f>
        <v>1661493</v>
      </c>
      <c r="D8" s="98">
        <v>6758341</v>
      </c>
      <c r="E8" s="10" t="s">
        <v>181</v>
      </c>
      <c r="F8" s="13"/>
      <c r="G8" s="13"/>
      <c r="H8" s="15"/>
      <c r="I8" s="13"/>
      <c r="J8" s="13"/>
      <c r="K8" s="13"/>
      <c r="L8" s="13"/>
      <c r="M8" s="13"/>
      <c r="N8" s="13"/>
      <c r="O8" s="14">
        <f t="shared" si="1"/>
        <v>8419834</v>
      </c>
      <c r="P8" s="12"/>
    </row>
    <row r="9" spans="1:16" ht="12.9" customHeight="1" x14ac:dyDescent="0.2">
      <c r="A9" s="75"/>
      <c r="B9" s="74" t="s">
        <v>19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>
        <f t="shared" si="1"/>
        <v>0</v>
      </c>
      <c r="P9" s="12"/>
    </row>
    <row r="10" spans="1:16" ht="12.9" customHeight="1" x14ac:dyDescent="0.2">
      <c r="A10" s="75">
        <v>51056301</v>
      </c>
      <c r="B10" s="74" t="s">
        <v>20</v>
      </c>
      <c r="C10" s="13">
        <f>'[6]Hoja 1'!$C$56</f>
        <v>8670200</v>
      </c>
      <c r="D10" s="97">
        <v>10288035</v>
      </c>
      <c r="E10" s="13"/>
      <c r="F10" s="13"/>
      <c r="G10" s="13"/>
      <c r="H10" s="13"/>
      <c r="I10" s="13"/>
      <c r="J10" s="13"/>
      <c r="K10" s="13"/>
      <c r="L10" s="13"/>
      <c r="M10" s="15"/>
      <c r="N10" s="13"/>
      <c r="O10" s="14">
        <f t="shared" si="1"/>
        <v>18958235</v>
      </c>
      <c r="P10" s="12"/>
    </row>
    <row r="11" spans="1:16" ht="12.9" customHeight="1" x14ac:dyDescent="0.2">
      <c r="A11" s="75" t="s">
        <v>21</v>
      </c>
      <c r="B11" s="74" t="s">
        <v>22</v>
      </c>
      <c r="C11" s="13">
        <f>'[6]Hoja 1'!$C$70</f>
        <v>96200</v>
      </c>
      <c r="D11" s="97">
        <v>1826000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>
        <f t="shared" si="1"/>
        <v>1922200</v>
      </c>
      <c r="P11" s="12"/>
    </row>
    <row r="12" spans="1:16" ht="12.9" customHeight="1" x14ac:dyDescent="0.2">
      <c r="A12" s="75" t="s">
        <v>23</v>
      </c>
      <c r="B12" s="74" t="s">
        <v>24</v>
      </c>
      <c r="C12" s="16"/>
      <c r="D12" s="99">
        <v>1634178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4">
        <f t="shared" si="1"/>
        <v>1634178</v>
      </c>
      <c r="P12" s="12"/>
    </row>
    <row r="13" spans="1:16" s="9" customFormat="1" ht="15" customHeight="1" x14ac:dyDescent="0.2">
      <c r="A13" s="70"/>
      <c r="B13" s="71" t="s">
        <v>25</v>
      </c>
      <c r="C13" s="7">
        <f t="shared" ref="C13:O13" si="2">SUM(C14:C18)</f>
        <v>12419448</v>
      </c>
      <c r="D13" s="102">
        <f t="shared" si="2"/>
        <v>3485680</v>
      </c>
      <c r="E13" s="7">
        <f t="shared" si="2"/>
        <v>0</v>
      </c>
      <c r="F13" s="7">
        <f t="shared" si="2"/>
        <v>0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0</v>
      </c>
      <c r="K13" s="7">
        <f t="shared" si="2"/>
        <v>0</v>
      </c>
      <c r="L13" s="7">
        <f t="shared" si="2"/>
        <v>0</v>
      </c>
      <c r="M13" s="7">
        <f t="shared" si="2"/>
        <v>0</v>
      </c>
      <c r="N13" s="7">
        <f t="shared" si="2"/>
        <v>0</v>
      </c>
      <c r="O13" s="7">
        <f t="shared" si="2"/>
        <v>15905128</v>
      </c>
      <c r="P13" s="17"/>
    </row>
    <row r="14" spans="1:16" s="9" customFormat="1" ht="12.9" customHeight="1" x14ac:dyDescent="0.2">
      <c r="A14" s="75" t="s">
        <v>26</v>
      </c>
      <c r="B14" s="74" t="s">
        <v>27</v>
      </c>
      <c r="C14" s="18">
        <f>'[6]Hoja 1'!$C$73</f>
        <v>2896000</v>
      </c>
      <c r="D14" s="100">
        <v>2896000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1">
        <f>+SUM(C14:N14)</f>
        <v>5792000</v>
      </c>
      <c r="P14" s="12"/>
    </row>
    <row r="15" spans="1:16" s="9" customFormat="1" ht="12.9" customHeight="1" x14ac:dyDescent="0.2">
      <c r="A15" s="75"/>
      <c r="B15" s="74" t="s">
        <v>28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4">
        <f>+SUM(C15:N15)</f>
        <v>0</v>
      </c>
      <c r="P15" s="12"/>
    </row>
    <row r="16" spans="1:16" ht="12.9" customHeight="1" x14ac:dyDescent="0.2">
      <c r="A16" s="75" t="s">
        <v>29</v>
      </c>
      <c r="B16" s="74" t="s">
        <v>30</v>
      </c>
      <c r="C16" s="19">
        <f>'[6]Hoja 1'!$C$75+'[7]Hoja 1'!$G$13</f>
        <v>6485768</v>
      </c>
      <c r="D16" s="103">
        <v>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4">
        <f>+SUM(C16:N16)</f>
        <v>6485768</v>
      </c>
      <c r="P16" s="12"/>
    </row>
    <row r="17" spans="1:16" ht="12.9" customHeight="1" x14ac:dyDescent="0.2">
      <c r="A17" s="75" t="s">
        <v>31</v>
      </c>
      <c r="B17" s="74" t="s">
        <v>32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4">
        <f>+SUM(C17:N17)</f>
        <v>0</v>
      </c>
      <c r="P17" s="12"/>
    </row>
    <row r="18" spans="1:16" ht="12.9" customHeight="1" x14ac:dyDescent="0.2">
      <c r="A18" s="75">
        <v>51103508</v>
      </c>
      <c r="B18" s="74" t="s">
        <v>33</v>
      </c>
      <c r="C18" s="19">
        <f>'[6]Hoja 1'!$C$77</f>
        <v>3037680</v>
      </c>
      <c r="D18" s="103">
        <v>589680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>
        <f>+SUM(C18:N18)</f>
        <v>3627360</v>
      </c>
      <c r="P18" s="12"/>
    </row>
    <row r="19" spans="1:16" s="9" customFormat="1" ht="15" customHeight="1" x14ac:dyDescent="0.2">
      <c r="A19" s="70"/>
      <c r="B19" s="71" t="s">
        <v>34</v>
      </c>
      <c r="C19" s="7">
        <f t="shared" ref="C19:O19" si="3">SUM(C20:C21)</f>
        <v>2676712</v>
      </c>
      <c r="D19" s="7">
        <f t="shared" si="3"/>
        <v>0</v>
      </c>
      <c r="E19" s="7">
        <f t="shared" si="3"/>
        <v>0</v>
      </c>
      <c r="F19" s="7">
        <f t="shared" si="3"/>
        <v>0</v>
      </c>
      <c r="G19" s="7">
        <f t="shared" si="3"/>
        <v>0</v>
      </c>
      <c r="H19" s="7">
        <f t="shared" si="3"/>
        <v>0</v>
      </c>
      <c r="I19" s="7">
        <f t="shared" si="3"/>
        <v>0</v>
      </c>
      <c r="J19" s="7">
        <f t="shared" si="3"/>
        <v>0</v>
      </c>
      <c r="K19" s="7">
        <f t="shared" si="3"/>
        <v>0</v>
      </c>
      <c r="L19" s="7">
        <f t="shared" si="3"/>
        <v>0</v>
      </c>
      <c r="M19" s="7">
        <f t="shared" si="3"/>
        <v>0</v>
      </c>
      <c r="N19" s="7">
        <f t="shared" si="3"/>
        <v>0</v>
      </c>
      <c r="O19" s="21">
        <f t="shared" si="3"/>
        <v>2676712</v>
      </c>
      <c r="P19" s="12"/>
    </row>
    <row r="20" spans="1:16" ht="12.9" customHeight="1" x14ac:dyDescent="0.2">
      <c r="A20" s="75"/>
      <c r="B20" s="76" t="s">
        <v>35</v>
      </c>
      <c r="C20" s="77"/>
      <c r="D20" s="78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>
        <f>+SUM(C20:N20)</f>
        <v>0</v>
      </c>
      <c r="P20" s="12"/>
    </row>
    <row r="21" spans="1:16" ht="12.9" customHeight="1" x14ac:dyDescent="0.2">
      <c r="A21" s="75"/>
      <c r="B21" s="79" t="s">
        <v>36</v>
      </c>
      <c r="C21" s="23">
        <v>2676712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>
        <f>+SUM(C21:N21)</f>
        <v>2676712</v>
      </c>
      <c r="P21" s="12"/>
    </row>
    <row r="22" spans="1:16" s="9" customFormat="1" ht="15" customHeight="1" x14ac:dyDescent="0.2">
      <c r="A22" s="70"/>
      <c r="B22" s="80" t="s">
        <v>37</v>
      </c>
      <c r="C22" s="7">
        <f t="shared" ref="C22:O22" si="4">SUM(C23:C27)</f>
        <v>94998312</v>
      </c>
      <c r="D22" s="102">
        <f t="shared" si="4"/>
        <v>109570912</v>
      </c>
      <c r="E22" s="7">
        <f t="shared" si="4"/>
        <v>0</v>
      </c>
      <c r="F22" s="7">
        <f t="shared" si="4"/>
        <v>0</v>
      </c>
      <c r="G22" s="7">
        <f t="shared" si="4"/>
        <v>0</v>
      </c>
      <c r="H22" s="7">
        <f t="shared" si="4"/>
        <v>0</v>
      </c>
      <c r="I22" s="7">
        <f t="shared" si="4"/>
        <v>0</v>
      </c>
      <c r="J22" s="7">
        <f t="shared" si="4"/>
        <v>0</v>
      </c>
      <c r="K22" s="7">
        <f t="shared" si="4"/>
        <v>0</v>
      </c>
      <c r="L22" s="7">
        <f t="shared" si="4"/>
        <v>0</v>
      </c>
      <c r="M22" s="7">
        <f t="shared" si="4"/>
        <v>0</v>
      </c>
      <c r="N22" s="7">
        <f t="shared" si="4"/>
        <v>0</v>
      </c>
      <c r="O22" s="21">
        <f t="shared" si="4"/>
        <v>204569224</v>
      </c>
      <c r="P22" s="17"/>
    </row>
    <row r="23" spans="1:16" s="9" customFormat="1" ht="12.9" customHeight="1" x14ac:dyDescent="0.2">
      <c r="A23" s="75" t="s">
        <v>38</v>
      </c>
      <c r="B23" s="74" t="s">
        <v>39</v>
      </c>
      <c r="C23" s="18">
        <f>'[6]Hoja 1'!$C$85+'[7]Hoja 1'!$G$15+'[7]Hoja 1'!$G$17</f>
        <v>82655581</v>
      </c>
      <c r="D23" s="100">
        <f>'[8]Hoja 1'!$C$84+'[9]Hoja 1'!$G$16+'[9]Hoja 1'!$G$18</f>
        <v>87589181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1">
        <f>+SUM(C23:N23)</f>
        <v>170244762</v>
      </c>
      <c r="P23" s="12"/>
    </row>
    <row r="24" spans="1:16" ht="12.9" customHeight="1" x14ac:dyDescent="0.2">
      <c r="A24" s="75" t="s">
        <v>40</v>
      </c>
      <c r="B24" s="74" t="s">
        <v>41</v>
      </c>
      <c r="C24" s="19">
        <f>'[6]Hoja 1'!$C$87</f>
        <v>9106621</v>
      </c>
      <c r="D24" s="103">
        <v>10606021</v>
      </c>
      <c r="E24" s="19"/>
      <c r="F24" s="19"/>
      <c r="G24" s="19"/>
      <c r="H24" s="19"/>
      <c r="I24" s="19"/>
      <c r="J24" s="19"/>
      <c r="K24" s="19"/>
      <c r="L24" s="19"/>
      <c r="M24" s="19"/>
      <c r="N24" s="15"/>
      <c r="O24" s="14">
        <f>+SUM(C24:N24)</f>
        <v>19712642</v>
      </c>
      <c r="P24" s="12"/>
    </row>
    <row r="25" spans="1:16" ht="12.9" customHeight="1" x14ac:dyDescent="0.2">
      <c r="A25" s="75" t="s">
        <v>42</v>
      </c>
      <c r="B25" s="74" t="s">
        <v>43</v>
      </c>
      <c r="C25" s="19">
        <f>'[6]Hoja 1'!$C$89</f>
        <v>3236110</v>
      </c>
      <c r="D25" s="103">
        <v>3236110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4">
        <f>+SUM(C25:N25)</f>
        <v>6472220</v>
      </c>
      <c r="P25" s="24"/>
    </row>
    <row r="26" spans="1:16" ht="12.9" customHeight="1" x14ac:dyDescent="0.2">
      <c r="A26" s="75"/>
      <c r="B26" s="74" t="s">
        <v>44</v>
      </c>
      <c r="C26" s="19"/>
      <c r="D26" s="103">
        <f>'[8]Hoja 1'!$C$90</f>
        <v>8139600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4">
        <f>+SUM(C26:N26)</f>
        <v>8139600</v>
      </c>
      <c r="P26" s="12"/>
    </row>
    <row r="27" spans="1:16" ht="12.9" customHeight="1" x14ac:dyDescent="0.2">
      <c r="A27" s="75"/>
      <c r="B27" s="74" t="s">
        <v>45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5">
        <f>+SUM(C27:N27)</f>
        <v>0</v>
      </c>
      <c r="P27" s="12"/>
    </row>
    <row r="28" spans="1:16" s="9" customFormat="1" ht="15" customHeight="1" x14ac:dyDescent="0.2">
      <c r="A28" s="70"/>
      <c r="B28" s="80" t="s">
        <v>46</v>
      </c>
      <c r="C28" s="7">
        <f t="shared" ref="C28:O28" si="5">SUM(C29:C31)</f>
        <v>0</v>
      </c>
      <c r="D28" s="102">
        <f t="shared" si="5"/>
        <v>8584300</v>
      </c>
      <c r="E28" s="7">
        <f t="shared" si="5"/>
        <v>0</v>
      </c>
      <c r="F28" s="7">
        <f t="shared" si="5"/>
        <v>0</v>
      </c>
      <c r="G28" s="7">
        <f t="shared" si="5"/>
        <v>0</v>
      </c>
      <c r="H28" s="7">
        <f t="shared" si="5"/>
        <v>0</v>
      </c>
      <c r="I28" s="7">
        <f t="shared" si="5"/>
        <v>0</v>
      </c>
      <c r="J28" s="7">
        <f t="shared" si="5"/>
        <v>0</v>
      </c>
      <c r="K28" s="7">
        <f t="shared" si="5"/>
        <v>0</v>
      </c>
      <c r="L28" s="7">
        <f t="shared" si="5"/>
        <v>0</v>
      </c>
      <c r="M28" s="7">
        <f t="shared" si="5"/>
        <v>0</v>
      </c>
      <c r="N28" s="7">
        <f t="shared" si="5"/>
        <v>0</v>
      </c>
      <c r="O28" s="21">
        <f t="shared" si="5"/>
        <v>8584300</v>
      </c>
      <c r="P28" s="12"/>
    </row>
    <row r="29" spans="1:16" ht="12.9" customHeight="1" x14ac:dyDescent="0.2">
      <c r="A29" s="75"/>
      <c r="B29" s="81" t="s">
        <v>47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6">
        <f>+SUM(C29:N29)</f>
        <v>0</v>
      </c>
      <c r="P29" s="12"/>
    </row>
    <row r="30" spans="1:16" ht="12.9" customHeight="1" x14ac:dyDescent="0.2">
      <c r="A30" s="75"/>
      <c r="B30" s="74" t="s">
        <v>48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7">
        <f>+SUM(C30:N30)</f>
        <v>0</v>
      </c>
      <c r="P30" s="12"/>
    </row>
    <row r="31" spans="1:16" ht="12.9" customHeight="1" x14ac:dyDescent="0.2">
      <c r="A31" s="75"/>
      <c r="B31" s="82" t="s">
        <v>49</v>
      </c>
      <c r="C31" s="23"/>
      <c r="D31" s="104">
        <f>'[8]Hoja 1'!$C$95</f>
        <v>8584300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5">
        <f>+SUM(C31:N31)</f>
        <v>8584300</v>
      </c>
      <c r="P31" s="12"/>
    </row>
    <row r="32" spans="1:16" s="9" customFormat="1" ht="15" customHeight="1" x14ac:dyDescent="0.2">
      <c r="A32" s="70"/>
      <c r="B32" s="71" t="s">
        <v>50</v>
      </c>
      <c r="C32" s="7">
        <f t="shared" ref="C32:O32" si="6">SUM(C33:C45)</f>
        <v>31751199</v>
      </c>
      <c r="D32" s="105">
        <f>SUM(D33:D45)</f>
        <v>29334183</v>
      </c>
      <c r="E32" s="7">
        <f t="shared" si="6"/>
        <v>0</v>
      </c>
      <c r="F32" s="7">
        <f t="shared" si="6"/>
        <v>0</v>
      </c>
      <c r="G32" s="7">
        <f t="shared" si="6"/>
        <v>0</v>
      </c>
      <c r="H32" s="7">
        <f t="shared" si="6"/>
        <v>0</v>
      </c>
      <c r="I32" s="7">
        <f t="shared" si="6"/>
        <v>0</v>
      </c>
      <c r="J32" s="7">
        <f t="shared" si="6"/>
        <v>0</v>
      </c>
      <c r="K32" s="7">
        <f t="shared" si="6"/>
        <v>0</v>
      </c>
      <c r="L32" s="7">
        <f t="shared" si="6"/>
        <v>0</v>
      </c>
      <c r="M32" s="7">
        <f t="shared" si="6"/>
        <v>0</v>
      </c>
      <c r="N32" s="7">
        <f t="shared" si="6"/>
        <v>0</v>
      </c>
      <c r="O32" s="21">
        <f t="shared" si="6"/>
        <v>61085382</v>
      </c>
      <c r="P32" s="12"/>
    </row>
    <row r="33" spans="1:80" s="9" customFormat="1" ht="12.9" customHeight="1" x14ac:dyDescent="0.2">
      <c r="A33" s="75"/>
      <c r="B33" s="74" t="s">
        <v>51</v>
      </c>
      <c r="C33" s="18">
        <f>'[7]Hoja 1'!$G$22</f>
        <v>3084632</v>
      </c>
      <c r="D33" s="100">
        <f>'[9]Hoja 1'!$G$23</f>
        <v>4014671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1">
        <f t="shared" ref="O33:O45" si="7">+SUM(C33:N33)</f>
        <v>7099303</v>
      </c>
      <c r="P33" s="24"/>
    </row>
    <row r="34" spans="1:80" s="29" customFormat="1" ht="12.9" customHeight="1" x14ac:dyDescent="0.2">
      <c r="A34" s="83" t="s">
        <v>52</v>
      </c>
      <c r="B34" s="74" t="s">
        <v>53</v>
      </c>
      <c r="C34" s="19">
        <f>'[6]Hoja 1'!$C$97</f>
        <v>2500000</v>
      </c>
      <c r="D34" s="103">
        <v>3807000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4">
        <f t="shared" si="7"/>
        <v>6307000</v>
      </c>
      <c r="P34" s="28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</row>
    <row r="35" spans="1:80" s="29" customFormat="1" ht="12.9" customHeight="1" x14ac:dyDescent="0.2">
      <c r="A35" s="75"/>
      <c r="B35" s="74" t="s">
        <v>54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30"/>
      <c r="O35" s="14">
        <f t="shared" si="7"/>
        <v>0</v>
      </c>
      <c r="P35" s="28"/>
      <c r="Q35" s="9"/>
      <c r="R35" s="9"/>
      <c r="S35" s="9"/>
      <c r="T35" s="9"/>
      <c r="U35" s="9"/>
      <c r="V35" s="9"/>
      <c r="W35" s="9"/>
      <c r="X35" s="9"/>
      <c r="Y35" s="9"/>
    </row>
    <row r="36" spans="1:80" ht="12.9" customHeight="1" x14ac:dyDescent="0.2">
      <c r="A36" s="75" t="s">
        <v>55</v>
      </c>
      <c r="B36" s="74" t="s">
        <v>56</v>
      </c>
      <c r="C36" s="19"/>
      <c r="D36" s="103">
        <v>789106</v>
      </c>
      <c r="E36" s="19"/>
      <c r="F36" s="19"/>
      <c r="G36" s="19"/>
      <c r="H36" s="19"/>
      <c r="I36" s="19"/>
      <c r="J36" s="19"/>
      <c r="K36" s="19"/>
      <c r="L36" s="19"/>
      <c r="M36" s="14"/>
      <c r="N36" s="15"/>
      <c r="O36" s="14">
        <f t="shared" si="7"/>
        <v>789106</v>
      </c>
      <c r="P36" s="12"/>
    </row>
    <row r="37" spans="1:80" ht="12.9" customHeight="1" x14ac:dyDescent="0.2">
      <c r="A37" s="75" t="s">
        <v>57</v>
      </c>
      <c r="B37" s="74" t="s">
        <v>58</v>
      </c>
      <c r="C37" s="19">
        <f>'[6]Hoja 1'!$C$99</f>
        <v>1261676</v>
      </c>
      <c r="D37" s="103">
        <v>1261676</v>
      </c>
      <c r="E37" s="19"/>
      <c r="F37" s="19"/>
      <c r="G37" s="19"/>
      <c r="H37" s="19"/>
      <c r="I37" s="19"/>
      <c r="J37" s="19"/>
      <c r="K37" s="19"/>
      <c r="L37" s="19"/>
      <c r="M37" s="19"/>
      <c r="N37" s="15"/>
      <c r="O37" s="14">
        <f t="shared" si="7"/>
        <v>2523352</v>
      </c>
      <c r="P37" s="12"/>
    </row>
    <row r="38" spans="1:80" ht="12.9" customHeight="1" x14ac:dyDescent="0.2">
      <c r="A38" s="75" t="s">
        <v>59</v>
      </c>
      <c r="B38" s="74" t="s">
        <v>60</v>
      </c>
      <c r="C38" s="19">
        <f>'[6]Hoja 1'!$C$101</f>
        <v>1110507</v>
      </c>
      <c r="D38" s="103">
        <v>735768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4">
        <f t="shared" si="7"/>
        <v>1846275</v>
      </c>
      <c r="P38" s="12"/>
    </row>
    <row r="39" spans="1:80" ht="12.9" customHeight="1" x14ac:dyDescent="0.2">
      <c r="A39" s="75" t="s">
        <v>61</v>
      </c>
      <c r="B39" s="74" t="s">
        <v>62</v>
      </c>
      <c r="C39" s="19">
        <f>'[6]Hoja 1'!$C$103</f>
        <v>2061530</v>
      </c>
      <c r="D39" s="103">
        <v>2472150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4">
        <f t="shared" si="7"/>
        <v>4533680</v>
      </c>
      <c r="P39" s="12"/>
    </row>
    <row r="40" spans="1:80" ht="12.9" customHeight="1" x14ac:dyDescent="0.2">
      <c r="A40" s="75" t="s">
        <v>63</v>
      </c>
      <c r="B40" s="74" t="s">
        <v>64</v>
      </c>
      <c r="C40" s="19">
        <f>'[6]Hoja 1'!C105</f>
        <v>5133313</v>
      </c>
      <c r="D40" s="101">
        <v>6615902</v>
      </c>
      <c r="E40" s="10" t="s">
        <v>182</v>
      </c>
      <c r="F40" s="19"/>
      <c r="G40" s="19"/>
      <c r="H40" s="19"/>
      <c r="I40" s="19"/>
      <c r="J40" s="19"/>
      <c r="K40" s="19"/>
      <c r="L40" s="19"/>
      <c r="M40" s="19"/>
      <c r="N40" s="19"/>
      <c r="O40" s="14">
        <f t="shared" si="7"/>
        <v>11749215</v>
      </c>
      <c r="P40" s="12"/>
    </row>
    <row r="41" spans="1:80" ht="12.9" customHeight="1" x14ac:dyDescent="0.2">
      <c r="A41" s="75" t="s">
        <v>65</v>
      </c>
      <c r="B41" s="74" t="s">
        <v>66</v>
      </c>
      <c r="C41" s="19">
        <f>'[6]Hoja 1'!C106</f>
        <v>477584</v>
      </c>
      <c r="D41" s="103">
        <v>477584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4">
        <f t="shared" si="7"/>
        <v>955168</v>
      </c>
      <c r="P41" s="12"/>
    </row>
    <row r="42" spans="1:80" ht="12.9" customHeight="1" x14ac:dyDescent="0.2">
      <c r="A42" s="75" t="s">
        <v>67</v>
      </c>
      <c r="B42" s="74" t="s">
        <v>68</v>
      </c>
      <c r="C42" s="19">
        <f>'[6]Hoja 1'!$C$108</f>
        <v>44800</v>
      </c>
      <c r="D42" s="103">
        <v>37400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4">
        <f t="shared" si="7"/>
        <v>82200</v>
      </c>
      <c r="P42" s="12"/>
    </row>
    <row r="43" spans="1:80" ht="12.9" customHeight="1" x14ac:dyDescent="0.2">
      <c r="A43" s="75" t="s">
        <v>69</v>
      </c>
      <c r="B43" s="74" t="s">
        <v>70</v>
      </c>
      <c r="C43" s="19">
        <f>'[7]Hoja 1'!$G$11</f>
        <v>318182</v>
      </c>
      <c r="D43" s="103">
        <f>'[18]Hoja 1'!$G$11</f>
        <v>404040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4">
        <f t="shared" si="7"/>
        <v>722222</v>
      </c>
      <c r="P43" s="12"/>
    </row>
    <row r="44" spans="1:80" ht="12.9" customHeight="1" x14ac:dyDescent="0.2">
      <c r="A44" s="75"/>
      <c r="B44" s="74" t="s">
        <v>71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4">
        <f t="shared" si="7"/>
        <v>0</v>
      </c>
      <c r="P44" s="12"/>
    </row>
    <row r="45" spans="1:80" ht="12.9" customHeight="1" x14ac:dyDescent="0.2">
      <c r="A45" s="117" t="s">
        <v>72</v>
      </c>
      <c r="B45" s="118" t="s">
        <v>73</v>
      </c>
      <c r="C45" s="119">
        <f>'[6]Hoja 1'!$C$112+'[10]Hoja 1'!$C$70+'[11]Hoja 1'!$C$109+'[12]Hoja 1'!$D$133+'[13]Hoja 1'!$C$101</f>
        <v>15758975</v>
      </c>
      <c r="D45" s="104">
        <f>'[14]Hoja 1'!$C$117+'[14]Hoja 1'!$C$312+'[15]Hoja 1'!$C$92+'[16]Hoja 1'!$C$89+'[17]Hoja 1'!$C$97</f>
        <v>8718886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14">
        <f t="shared" si="7"/>
        <v>24477861</v>
      </c>
      <c r="P45" s="12"/>
    </row>
    <row r="46" spans="1:80" s="9" customFormat="1" ht="15" customHeight="1" x14ac:dyDescent="0.2">
      <c r="A46" s="70"/>
      <c r="B46" s="80" t="s">
        <v>74</v>
      </c>
      <c r="C46" s="31">
        <f t="shared" ref="C46:O46" si="8">SUM(C47:C51)</f>
        <v>326152</v>
      </c>
      <c r="D46" s="107">
        <f t="shared" si="8"/>
        <v>7847000</v>
      </c>
      <c r="E46" s="31">
        <f t="shared" si="8"/>
        <v>0</v>
      </c>
      <c r="F46" s="31">
        <f t="shared" si="8"/>
        <v>0</v>
      </c>
      <c r="G46" s="31">
        <f t="shared" si="8"/>
        <v>0</v>
      </c>
      <c r="H46" s="31">
        <f t="shared" si="8"/>
        <v>0</v>
      </c>
      <c r="I46" s="31">
        <f t="shared" si="8"/>
        <v>0</v>
      </c>
      <c r="J46" s="31">
        <f t="shared" si="8"/>
        <v>0</v>
      </c>
      <c r="K46" s="31">
        <f t="shared" si="8"/>
        <v>0</v>
      </c>
      <c r="L46" s="31">
        <f t="shared" si="8"/>
        <v>0</v>
      </c>
      <c r="M46" s="31">
        <f t="shared" si="8"/>
        <v>0</v>
      </c>
      <c r="N46" s="31">
        <f t="shared" si="8"/>
        <v>0</v>
      </c>
      <c r="O46" s="31">
        <f t="shared" si="8"/>
        <v>8173152</v>
      </c>
      <c r="P46" s="12"/>
    </row>
    <row r="47" spans="1:80" ht="12.9" customHeight="1" x14ac:dyDescent="0.2">
      <c r="A47" s="75"/>
      <c r="B47" s="81" t="s">
        <v>75</v>
      </c>
      <c r="C47" s="18">
        <f>'[6]Hoja 1'!$C$115</f>
        <v>12852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32">
        <f>+SUM(C47:N47)</f>
        <v>12852</v>
      </c>
      <c r="P47" s="12"/>
    </row>
    <row r="48" spans="1:80" ht="12.9" customHeight="1" x14ac:dyDescent="0.2">
      <c r="A48" s="75"/>
      <c r="B48" s="84" t="s">
        <v>76</v>
      </c>
      <c r="C48" s="19"/>
      <c r="D48" s="103">
        <f>'[8]Hoja 1'!$C$120</f>
        <v>7663600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>
        <f>+SUM(C48:N48)</f>
        <v>7663600</v>
      </c>
      <c r="P48" s="12"/>
    </row>
    <row r="49" spans="1:25" ht="12.9" customHeight="1" x14ac:dyDescent="0.2">
      <c r="A49" s="75"/>
      <c r="B49" s="84" t="s">
        <v>77</v>
      </c>
      <c r="C49" s="19">
        <f>'[6]Hoja 1'!$C$117</f>
        <v>16800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>
        <f>+SUM(C49:N49)</f>
        <v>16800</v>
      </c>
      <c r="P49" s="12"/>
    </row>
    <row r="50" spans="1:25" ht="12.9" customHeight="1" x14ac:dyDescent="0.2">
      <c r="A50" s="75"/>
      <c r="B50" s="74" t="s">
        <v>78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19">
        <f>+SUM(C50:N50)</f>
        <v>0</v>
      </c>
      <c r="P50" s="12"/>
    </row>
    <row r="51" spans="1:25" ht="12.9" customHeight="1" x14ac:dyDescent="0.2">
      <c r="A51" s="75" t="s">
        <v>79</v>
      </c>
      <c r="B51" s="79" t="s">
        <v>80</v>
      </c>
      <c r="C51" s="34">
        <f>'[6]Hoja 1'!$C$118</f>
        <v>296500</v>
      </c>
      <c r="D51" s="108">
        <v>183400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5">
        <f>+SUM(C51:N51)</f>
        <v>479900</v>
      </c>
      <c r="P51" s="12"/>
    </row>
    <row r="52" spans="1:25" s="9" customFormat="1" ht="15" customHeight="1" x14ac:dyDescent="0.2">
      <c r="A52" s="70"/>
      <c r="B52" s="71" t="s">
        <v>81</v>
      </c>
      <c r="C52" s="7">
        <f t="shared" ref="C52:O52" si="9">SUM(C53:C58)</f>
        <v>9015375</v>
      </c>
      <c r="D52" s="7">
        <f t="shared" si="9"/>
        <v>6389638</v>
      </c>
      <c r="E52" s="7">
        <f t="shared" si="9"/>
        <v>0</v>
      </c>
      <c r="F52" s="7">
        <f t="shared" si="9"/>
        <v>0</v>
      </c>
      <c r="G52" s="7">
        <f t="shared" si="9"/>
        <v>0</v>
      </c>
      <c r="H52" s="7">
        <f t="shared" si="9"/>
        <v>0</v>
      </c>
      <c r="I52" s="7">
        <f t="shared" si="9"/>
        <v>0</v>
      </c>
      <c r="J52" s="7">
        <f t="shared" si="9"/>
        <v>0</v>
      </c>
      <c r="K52" s="7">
        <f t="shared" si="9"/>
        <v>0</v>
      </c>
      <c r="L52" s="7">
        <f t="shared" si="9"/>
        <v>0</v>
      </c>
      <c r="M52" s="7">
        <f t="shared" si="9"/>
        <v>0</v>
      </c>
      <c r="N52" s="7">
        <f t="shared" si="9"/>
        <v>0</v>
      </c>
      <c r="O52" s="7">
        <f t="shared" si="9"/>
        <v>15405013</v>
      </c>
      <c r="P52" s="12"/>
    </row>
    <row r="53" spans="1:25" ht="12.9" customHeight="1" x14ac:dyDescent="0.2">
      <c r="A53" s="75" t="s">
        <v>82</v>
      </c>
      <c r="B53" s="74" t="s">
        <v>39</v>
      </c>
      <c r="C53" s="18">
        <f>'[6]Hoja 1'!$C$123</f>
        <v>5372255</v>
      </c>
      <c r="D53" s="100">
        <v>1894710</v>
      </c>
      <c r="E53" s="18"/>
      <c r="F53" s="18"/>
      <c r="G53" s="18"/>
      <c r="H53" s="18"/>
      <c r="I53" s="18"/>
      <c r="J53" s="18"/>
      <c r="K53" s="18"/>
      <c r="L53" s="18"/>
      <c r="M53" s="18"/>
      <c r="N53" s="36"/>
      <c r="O53" s="19">
        <f t="shared" ref="O53:O58" si="10">+SUM(C53:N53)</f>
        <v>7266965</v>
      </c>
      <c r="P53" s="12"/>
    </row>
    <row r="54" spans="1:25" ht="12.9" customHeight="1" x14ac:dyDescent="0.2">
      <c r="A54" s="75" t="s">
        <v>83</v>
      </c>
      <c r="B54" s="74" t="s">
        <v>41</v>
      </c>
      <c r="C54" s="19"/>
      <c r="D54" s="103">
        <f>'[8]Hoja 1'!$C$128-318000+'[8]Hoja 1'!$C$129</f>
        <v>2114464</v>
      </c>
      <c r="E54" s="19"/>
      <c r="F54" s="19"/>
      <c r="G54" s="19"/>
      <c r="H54" s="19"/>
      <c r="I54" s="19"/>
      <c r="J54" s="19"/>
      <c r="K54" s="19"/>
      <c r="L54" s="19"/>
      <c r="M54" s="19"/>
      <c r="N54" s="15"/>
      <c r="O54" s="19">
        <f t="shared" si="10"/>
        <v>2114464</v>
      </c>
      <c r="P54" s="12"/>
    </row>
    <row r="55" spans="1:25" ht="12.9" customHeight="1" x14ac:dyDescent="0.2">
      <c r="A55" s="75"/>
      <c r="B55" s="74" t="s">
        <v>43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>
        <f t="shared" si="10"/>
        <v>0</v>
      </c>
      <c r="P55" s="12"/>
    </row>
    <row r="56" spans="1:25" ht="12.9" customHeight="1" x14ac:dyDescent="0.2">
      <c r="A56" s="75" t="s">
        <v>84</v>
      </c>
      <c r="B56" s="74" t="s">
        <v>85</v>
      </c>
      <c r="C56" s="19">
        <f>'[6]Hoja 1'!$C$158</f>
        <v>253040</v>
      </c>
      <c r="D56" s="103">
        <v>318000</v>
      </c>
      <c r="E56" s="19"/>
      <c r="F56" s="19"/>
      <c r="G56" s="19"/>
      <c r="H56" s="19"/>
      <c r="I56" s="19"/>
      <c r="J56" s="19"/>
      <c r="K56" s="19"/>
      <c r="L56" s="19"/>
      <c r="M56" s="19"/>
      <c r="N56" s="15"/>
      <c r="O56" s="19">
        <f t="shared" si="10"/>
        <v>571040</v>
      </c>
      <c r="P56" s="12"/>
    </row>
    <row r="57" spans="1:25" ht="12.9" customHeight="1" x14ac:dyDescent="0.2">
      <c r="A57" s="75" t="s">
        <v>86</v>
      </c>
      <c r="B57" s="74" t="s">
        <v>87</v>
      </c>
      <c r="C57" s="35">
        <f>'[6]Hoja 1'!$C$127</f>
        <v>3115080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19">
        <f t="shared" si="10"/>
        <v>3115080</v>
      </c>
      <c r="P57" s="37"/>
    </row>
    <row r="58" spans="1:25" ht="12.9" customHeight="1" x14ac:dyDescent="0.2">
      <c r="A58" s="75" t="s">
        <v>83</v>
      </c>
      <c r="B58" s="74" t="s">
        <v>88</v>
      </c>
      <c r="C58" s="23">
        <f>'[6]Hoja 1'!$C$125</f>
        <v>275000</v>
      </c>
      <c r="D58" s="106">
        <v>2062464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19">
        <f t="shared" si="10"/>
        <v>2337464</v>
      </c>
      <c r="P58" s="12"/>
    </row>
    <row r="59" spans="1:25" ht="15" customHeight="1" x14ac:dyDescent="0.2">
      <c r="A59" s="70"/>
      <c r="B59" s="71" t="s">
        <v>89</v>
      </c>
      <c r="C59" s="38">
        <f t="shared" ref="C59:O59" si="11">SUM(C60:C61)</f>
        <v>0</v>
      </c>
      <c r="D59" s="38">
        <f t="shared" si="11"/>
        <v>0</v>
      </c>
      <c r="E59" s="38">
        <f t="shared" si="11"/>
        <v>0</v>
      </c>
      <c r="F59" s="38">
        <f t="shared" si="11"/>
        <v>0</v>
      </c>
      <c r="G59" s="38">
        <f t="shared" si="11"/>
        <v>0</v>
      </c>
      <c r="H59" s="38">
        <f t="shared" si="11"/>
        <v>0</v>
      </c>
      <c r="I59" s="38">
        <f t="shared" si="11"/>
        <v>0</v>
      </c>
      <c r="J59" s="38">
        <f t="shared" si="11"/>
        <v>0</v>
      </c>
      <c r="K59" s="38">
        <f t="shared" si="11"/>
        <v>0</v>
      </c>
      <c r="L59" s="38">
        <f t="shared" si="11"/>
        <v>0</v>
      </c>
      <c r="M59" s="38">
        <f t="shared" si="11"/>
        <v>0</v>
      </c>
      <c r="N59" s="38">
        <f t="shared" si="11"/>
        <v>0</v>
      </c>
      <c r="O59" s="38">
        <f t="shared" si="11"/>
        <v>0</v>
      </c>
      <c r="P59" s="12"/>
    </row>
    <row r="60" spans="1:25" s="39" customFormat="1" ht="12.9" customHeight="1" x14ac:dyDescent="0.2">
      <c r="A60" s="75"/>
      <c r="B60" s="85" t="s">
        <v>90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9">
        <f>+SUM(C60:N60)</f>
        <v>0</v>
      </c>
      <c r="P60" s="28"/>
      <c r="Q60" s="2"/>
      <c r="R60" s="2"/>
      <c r="S60" s="2"/>
      <c r="T60" s="2"/>
      <c r="U60" s="2"/>
      <c r="V60" s="2"/>
      <c r="W60" s="2"/>
      <c r="X60" s="2"/>
      <c r="Y60" s="2"/>
    </row>
    <row r="61" spans="1:25" s="39" customFormat="1" ht="12.9" customHeight="1" x14ac:dyDescent="0.2">
      <c r="A61" s="75"/>
      <c r="B61" s="82" t="s">
        <v>91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9">
        <f>+SUM(C61:N61)</f>
        <v>0</v>
      </c>
      <c r="P61" s="28"/>
      <c r="Q61" s="2"/>
      <c r="R61" s="2"/>
      <c r="S61" s="2"/>
      <c r="T61" s="2"/>
      <c r="U61" s="2"/>
      <c r="V61" s="2"/>
      <c r="W61" s="2"/>
      <c r="X61" s="2"/>
      <c r="Y61" s="2"/>
    </row>
    <row r="62" spans="1:25" s="9" customFormat="1" ht="15" customHeight="1" x14ac:dyDescent="0.2">
      <c r="A62" s="70"/>
      <c r="B62" s="80" t="s">
        <v>92</v>
      </c>
      <c r="C62" s="7">
        <f t="shared" ref="C62:O62" si="12">SUM(C63:C65)</f>
        <v>0</v>
      </c>
      <c r="D62" s="7">
        <f t="shared" si="12"/>
        <v>0</v>
      </c>
      <c r="E62" s="7">
        <f t="shared" si="12"/>
        <v>0</v>
      </c>
      <c r="F62" s="7">
        <f t="shared" si="12"/>
        <v>0</v>
      </c>
      <c r="G62" s="7">
        <f t="shared" si="12"/>
        <v>0</v>
      </c>
      <c r="H62" s="7">
        <f t="shared" si="12"/>
        <v>0</v>
      </c>
      <c r="I62" s="7">
        <f t="shared" si="12"/>
        <v>0</v>
      </c>
      <c r="J62" s="7">
        <f t="shared" si="12"/>
        <v>0</v>
      </c>
      <c r="K62" s="7">
        <f t="shared" si="12"/>
        <v>0</v>
      </c>
      <c r="L62" s="7">
        <f t="shared" si="12"/>
        <v>0</v>
      </c>
      <c r="M62" s="7">
        <f t="shared" si="12"/>
        <v>0</v>
      </c>
      <c r="N62" s="7">
        <f t="shared" si="12"/>
        <v>0</v>
      </c>
      <c r="O62" s="7">
        <f t="shared" si="12"/>
        <v>0</v>
      </c>
      <c r="P62" s="12"/>
    </row>
    <row r="63" spans="1:25" ht="12.9" customHeight="1" x14ac:dyDescent="0.2">
      <c r="A63" s="75" t="s">
        <v>93</v>
      </c>
      <c r="B63" s="81" t="s">
        <v>94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1">
        <f>+SUM(C63:N63)</f>
        <v>0</v>
      </c>
      <c r="P63" s="12"/>
    </row>
    <row r="64" spans="1:25" ht="12.9" customHeight="1" x14ac:dyDescent="0.2">
      <c r="A64" s="75" t="s">
        <v>95</v>
      </c>
      <c r="B64" s="84" t="s">
        <v>96</v>
      </c>
      <c r="C64" s="19"/>
      <c r="D64" s="19"/>
      <c r="E64" s="40"/>
      <c r="F64" s="19"/>
      <c r="G64" s="19"/>
      <c r="H64" s="19"/>
      <c r="I64" s="19"/>
      <c r="J64" s="19"/>
      <c r="K64" s="19"/>
      <c r="L64" s="19"/>
      <c r="M64" s="19"/>
      <c r="N64" s="19"/>
      <c r="O64" s="14">
        <f>+SUM(C64:N64)</f>
        <v>0</v>
      </c>
      <c r="P64" s="12"/>
    </row>
    <row r="65" spans="1:82" ht="12.9" customHeight="1" x14ac:dyDescent="0.2">
      <c r="A65" s="75"/>
      <c r="B65" s="82" t="s">
        <v>97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0"/>
      <c r="N65" s="20"/>
      <c r="O65" s="20">
        <f>+SUM(C65:N65)</f>
        <v>0</v>
      </c>
      <c r="P65" s="12"/>
    </row>
    <row r="66" spans="1:82" s="9" customFormat="1" ht="15" customHeight="1" x14ac:dyDescent="0.2">
      <c r="A66" s="70"/>
      <c r="B66" s="80" t="s">
        <v>98</v>
      </c>
      <c r="C66" s="7">
        <f t="shared" ref="C66:O66" si="13">SUM(C67:C88)</f>
        <v>57576577.850000001</v>
      </c>
      <c r="D66" s="105">
        <f>SUM(D67:D88)</f>
        <v>89311710.680000007</v>
      </c>
      <c r="E66" s="7">
        <f t="shared" si="13"/>
        <v>0</v>
      </c>
      <c r="F66" s="7">
        <f t="shared" si="13"/>
        <v>0</v>
      </c>
      <c r="G66" s="7">
        <f t="shared" si="13"/>
        <v>0</v>
      </c>
      <c r="H66" s="7">
        <f t="shared" si="13"/>
        <v>0</v>
      </c>
      <c r="I66" s="7">
        <f t="shared" si="13"/>
        <v>0</v>
      </c>
      <c r="J66" s="7">
        <f t="shared" si="13"/>
        <v>0</v>
      </c>
      <c r="K66" s="7">
        <f t="shared" si="13"/>
        <v>0</v>
      </c>
      <c r="L66" s="7">
        <f t="shared" si="13"/>
        <v>0</v>
      </c>
      <c r="M66" s="7">
        <f t="shared" si="13"/>
        <v>0</v>
      </c>
      <c r="N66" s="7">
        <f t="shared" si="13"/>
        <v>0</v>
      </c>
      <c r="O66" s="7">
        <f t="shared" si="13"/>
        <v>146888288.53</v>
      </c>
      <c r="P66" s="12"/>
    </row>
    <row r="67" spans="1:82" s="9" customFormat="1" ht="12.9" customHeight="1" x14ac:dyDescent="0.2">
      <c r="A67" s="75" t="s">
        <v>99</v>
      </c>
      <c r="B67" s="81" t="s">
        <v>100</v>
      </c>
      <c r="C67" s="18">
        <f>'[6]Hoja 1'!$C$133</f>
        <v>5120451</v>
      </c>
      <c r="D67" s="100">
        <v>1900000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9">
        <f t="shared" ref="O67:O89" si="14">+SUM(C67:N67)</f>
        <v>7020451</v>
      </c>
      <c r="P67" s="12"/>
    </row>
    <row r="68" spans="1:82" s="9" customFormat="1" ht="12.9" customHeight="1" x14ac:dyDescent="0.2">
      <c r="A68" s="75"/>
      <c r="B68" s="84" t="s">
        <v>101</v>
      </c>
      <c r="C68" s="19"/>
      <c r="D68" s="19"/>
      <c r="E68" s="19"/>
      <c r="F68" s="19"/>
      <c r="G68" s="41"/>
      <c r="H68" s="19"/>
      <c r="I68" s="19"/>
      <c r="J68" s="19"/>
      <c r="K68" s="19"/>
      <c r="L68" s="19"/>
      <c r="M68" s="19"/>
      <c r="N68" s="19"/>
      <c r="O68" s="19">
        <f t="shared" si="14"/>
        <v>0</v>
      </c>
      <c r="P68" s="12"/>
    </row>
    <row r="69" spans="1:82" ht="12.9" customHeight="1" x14ac:dyDescent="0.2">
      <c r="A69" s="75" t="s">
        <v>102</v>
      </c>
      <c r="B69" s="84" t="s">
        <v>103</v>
      </c>
      <c r="C69" s="13">
        <f>'[6]Hoja 1'!$C$135</f>
        <v>3232020.85</v>
      </c>
      <c r="D69" s="97">
        <v>90000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9">
        <f t="shared" si="14"/>
        <v>3322020.85</v>
      </c>
      <c r="P69" s="37"/>
    </row>
    <row r="70" spans="1:82" s="39" customFormat="1" ht="12.9" customHeight="1" x14ac:dyDescent="0.2">
      <c r="A70" s="75" t="s">
        <v>104</v>
      </c>
      <c r="B70" s="84" t="s">
        <v>105</v>
      </c>
      <c r="C70" s="13">
        <f>'[6]Hoja 1'!$C$137+'[6]Hoja 1'!$C$402</f>
        <v>1128406</v>
      </c>
      <c r="D70" s="97">
        <v>15441534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9">
        <f t="shared" si="14"/>
        <v>16569940</v>
      </c>
      <c r="P70" s="1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</row>
    <row r="71" spans="1:82" s="39" customFormat="1" ht="12.9" customHeight="1" x14ac:dyDescent="0.2">
      <c r="A71" s="75" t="s">
        <v>106</v>
      </c>
      <c r="B71" s="84" t="s">
        <v>107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9">
        <f t="shared" si="14"/>
        <v>0</v>
      </c>
      <c r="P71" s="1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</row>
    <row r="72" spans="1:82" ht="12.9" customHeight="1" x14ac:dyDescent="0.2">
      <c r="A72" s="75" t="s">
        <v>108</v>
      </c>
      <c r="B72" s="84" t="s">
        <v>109</v>
      </c>
      <c r="C72" s="13">
        <v>964175</v>
      </c>
      <c r="D72" s="97">
        <v>1186883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9">
        <f t="shared" si="14"/>
        <v>2151058</v>
      </c>
      <c r="P72" s="12"/>
    </row>
    <row r="73" spans="1:82" ht="12.9" customHeight="1" x14ac:dyDescent="0.2">
      <c r="A73" s="75" t="s">
        <v>110</v>
      </c>
      <c r="B73" s="84" t="s">
        <v>111</v>
      </c>
      <c r="C73" s="13">
        <f>'[6]Hoja 1'!$C$141</f>
        <v>1213800</v>
      </c>
      <c r="D73" s="97">
        <v>1273497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9">
        <f t="shared" si="14"/>
        <v>2487297</v>
      </c>
      <c r="P73" s="12"/>
    </row>
    <row r="74" spans="1:82" ht="12.9" customHeight="1" x14ac:dyDescent="0.2">
      <c r="A74" s="75" t="s">
        <v>112</v>
      </c>
      <c r="B74" s="84" t="s">
        <v>113</v>
      </c>
      <c r="C74" s="13">
        <f>'[6]Hoja 1'!$C$143</f>
        <v>485159</v>
      </c>
      <c r="D74" s="97">
        <v>679316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9">
        <f t="shared" si="14"/>
        <v>1164475</v>
      </c>
      <c r="P74" s="12"/>
    </row>
    <row r="75" spans="1:82" ht="12.9" customHeight="1" x14ac:dyDescent="0.2">
      <c r="A75" s="75" t="s">
        <v>114</v>
      </c>
      <c r="B75" s="84" t="s">
        <v>115</v>
      </c>
      <c r="C75" s="13">
        <f>'[6]Hoja 1'!$C$145</f>
        <v>882585</v>
      </c>
      <c r="D75" s="98">
        <v>2294194.6800000002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9">
        <f t="shared" si="14"/>
        <v>3176779.68</v>
      </c>
      <c r="P75" s="12"/>
    </row>
    <row r="76" spans="1:82" ht="12.9" customHeight="1" x14ac:dyDescent="0.2">
      <c r="A76" s="75" t="s">
        <v>116</v>
      </c>
      <c r="B76" s="84" t="s">
        <v>117</v>
      </c>
      <c r="C76" s="13">
        <f>'[6]Hoja 1'!$C$148</f>
        <v>33900</v>
      </c>
      <c r="D76" s="97">
        <v>27100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9">
        <f t="shared" si="14"/>
        <v>61000</v>
      </c>
      <c r="P76" s="12"/>
    </row>
    <row r="77" spans="1:82" ht="12.9" customHeight="1" x14ac:dyDescent="0.2">
      <c r="A77" s="75" t="s">
        <v>118</v>
      </c>
      <c r="B77" s="84" t="s">
        <v>119</v>
      </c>
      <c r="C77" s="13">
        <f>'[6]Hoja 1'!$C$150</f>
        <v>1927200</v>
      </c>
      <c r="D77" s="97">
        <f>'[8]Hoja 1'!$C$152</f>
        <v>2470200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9">
        <f t="shared" si="14"/>
        <v>4397400</v>
      </c>
      <c r="P77" s="12"/>
    </row>
    <row r="78" spans="1:82" s="39" customFormat="1" ht="12.9" customHeight="1" x14ac:dyDescent="0.2">
      <c r="A78" s="75" t="s">
        <v>120</v>
      </c>
      <c r="B78" s="84" t="s">
        <v>121</v>
      </c>
      <c r="C78" s="42">
        <f>'[6]Hoja 1'!$C$152</f>
        <v>5349907</v>
      </c>
      <c r="D78" s="103">
        <v>508300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>
        <f t="shared" si="14"/>
        <v>5858207</v>
      </c>
      <c r="P78" s="1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</row>
    <row r="79" spans="1:82" ht="13.5" customHeight="1" x14ac:dyDescent="0.2">
      <c r="A79" s="75" t="s">
        <v>122</v>
      </c>
      <c r="B79" s="84" t="s">
        <v>123</v>
      </c>
      <c r="C79" s="19">
        <f>'[6]Hoja 1'!$C$153</f>
        <v>3927000</v>
      </c>
      <c r="D79" s="103">
        <v>319799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>
        <f t="shared" si="14"/>
        <v>4246799</v>
      </c>
      <c r="P79" s="12"/>
    </row>
    <row r="80" spans="1:82" ht="12.9" customHeight="1" x14ac:dyDescent="0.2">
      <c r="A80" s="75" t="s">
        <v>124</v>
      </c>
      <c r="B80" s="84" t="s">
        <v>125</v>
      </c>
      <c r="C80" s="19">
        <f>'[6]Hoja 1'!$C$154</f>
        <v>800000</v>
      </c>
      <c r="D80" s="103">
        <v>800000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>
        <f t="shared" si="14"/>
        <v>1600000</v>
      </c>
      <c r="P80" s="12"/>
    </row>
    <row r="81" spans="1:80" ht="12.9" customHeight="1" x14ac:dyDescent="0.2">
      <c r="A81" s="75">
        <v>51959510</v>
      </c>
      <c r="B81" s="84" t="s">
        <v>126</v>
      </c>
      <c r="C81" s="19">
        <f>'[6]Hoja 1'!$C$156</f>
        <v>2178708</v>
      </c>
      <c r="D81" s="103">
        <v>4623150</v>
      </c>
      <c r="E81" s="19"/>
      <c r="F81" s="19"/>
      <c r="G81" s="19"/>
      <c r="H81" s="19"/>
      <c r="I81" s="19"/>
      <c r="J81" s="19"/>
      <c r="K81" s="19"/>
      <c r="L81" s="19"/>
      <c r="M81" s="19"/>
      <c r="N81" s="43"/>
      <c r="O81" s="19">
        <f t="shared" si="14"/>
        <v>6801858</v>
      </c>
      <c r="P81" s="12"/>
    </row>
    <row r="82" spans="1:80" s="39" customFormat="1" ht="12.9" customHeight="1" x14ac:dyDescent="0.2">
      <c r="A82" s="75" t="s">
        <v>127</v>
      </c>
      <c r="B82" s="84" t="s">
        <v>128</v>
      </c>
      <c r="C82" s="19">
        <f>'[6]Hoja 1'!$C$157</f>
        <v>2519100</v>
      </c>
      <c r="D82" s="103">
        <v>10566388</v>
      </c>
      <c r="E82" s="19"/>
      <c r="F82" s="19"/>
      <c r="G82" s="19"/>
      <c r="H82" s="19"/>
      <c r="I82" s="19"/>
      <c r="J82" s="19"/>
      <c r="K82" s="19"/>
      <c r="L82" s="19"/>
      <c r="M82" s="44"/>
      <c r="N82" s="45"/>
      <c r="O82" s="19">
        <f t="shared" si="14"/>
        <v>13085488</v>
      </c>
      <c r="P82" s="28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</row>
    <row r="83" spans="1:80" ht="12.9" customHeight="1" x14ac:dyDescent="0.2">
      <c r="A83" s="75" t="s">
        <v>129</v>
      </c>
      <c r="B83" s="84" t="s">
        <v>130</v>
      </c>
      <c r="C83" s="46">
        <f>'[6]Hoja 1'!$C$159</f>
        <v>342720</v>
      </c>
      <c r="D83" s="109">
        <v>5834000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19">
        <f t="shared" si="14"/>
        <v>6176720</v>
      </c>
      <c r="P83" s="12"/>
    </row>
    <row r="84" spans="1:80" ht="12.9" customHeight="1" x14ac:dyDescent="0.2">
      <c r="A84" s="75" t="s">
        <v>131</v>
      </c>
      <c r="B84" s="84" t="s">
        <v>132</v>
      </c>
      <c r="C84" s="19">
        <f>'[6]Hoja 1'!$C$160</f>
        <v>22363060</v>
      </c>
      <c r="D84" s="103">
        <v>34962540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>
        <f t="shared" si="14"/>
        <v>57325600</v>
      </c>
      <c r="P84" s="12"/>
    </row>
    <row r="85" spans="1:80" ht="12.9" customHeight="1" x14ac:dyDescent="0.2">
      <c r="A85" s="75" t="s">
        <v>133</v>
      </c>
      <c r="B85" s="84" t="s">
        <v>134</v>
      </c>
      <c r="C85" s="13">
        <f>'[6]Hoja 1'!$C$155</f>
        <v>4464808</v>
      </c>
      <c r="D85" s="97">
        <v>3939537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9">
        <f t="shared" si="14"/>
        <v>8404345</v>
      </c>
      <c r="P85" s="12"/>
    </row>
    <row r="86" spans="1:80" ht="12.9" customHeight="1" x14ac:dyDescent="0.2">
      <c r="A86" s="75"/>
      <c r="B86" s="86" t="s">
        <v>135</v>
      </c>
      <c r="C86" s="42"/>
      <c r="D86" s="42"/>
      <c r="E86" s="42"/>
      <c r="F86" s="42"/>
      <c r="G86" s="42"/>
      <c r="H86" s="42"/>
      <c r="I86" s="42"/>
      <c r="J86" s="45"/>
      <c r="K86" s="42"/>
      <c r="L86" s="42"/>
      <c r="M86" s="42"/>
      <c r="N86" s="42"/>
      <c r="O86" s="44">
        <f t="shared" si="14"/>
        <v>0</v>
      </c>
      <c r="P86" s="12"/>
    </row>
    <row r="87" spans="1:80" ht="12.9" customHeight="1" x14ac:dyDescent="0.2">
      <c r="A87" s="87" t="s">
        <v>136</v>
      </c>
      <c r="B87" s="86" t="s">
        <v>137</v>
      </c>
      <c r="C87" s="42"/>
      <c r="D87" s="110">
        <v>1751694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4">
        <f t="shared" si="14"/>
        <v>1751694</v>
      </c>
      <c r="P87" s="12"/>
    </row>
    <row r="88" spans="1:80" ht="12.9" customHeight="1" x14ac:dyDescent="0.2">
      <c r="A88" s="66" t="s">
        <v>138</v>
      </c>
      <c r="B88" s="82" t="s">
        <v>139</v>
      </c>
      <c r="C88" s="16">
        <f>'[6]Hoja 1'!$C$161</f>
        <v>643578</v>
      </c>
      <c r="D88" s="99">
        <v>643578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23">
        <f t="shared" si="14"/>
        <v>1287156</v>
      </c>
      <c r="P88" s="24"/>
    </row>
    <row r="89" spans="1:80" ht="12.9" customHeight="1" x14ac:dyDescent="0.2">
      <c r="A89" s="75"/>
      <c r="B89" s="80" t="s">
        <v>140</v>
      </c>
      <c r="C89" s="7">
        <f>[1]CASINO!$C$144</f>
        <v>26472126.799999997</v>
      </c>
      <c r="D89" s="102">
        <f>[1]CASINO!$F$144</f>
        <v>29999600.399999999</v>
      </c>
      <c r="E89" s="47"/>
      <c r="F89" s="47"/>
      <c r="G89" s="47"/>
      <c r="H89" s="47"/>
      <c r="I89" s="47"/>
      <c r="J89" s="47"/>
      <c r="K89" s="47"/>
      <c r="L89" s="47"/>
      <c r="M89" s="47"/>
      <c r="N89" s="48"/>
      <c r="O89" s="23">
        <f t="shared" si="14"/>
        <v>56471727.199999996</v>
      </c>
      <c r="P89" s="12"/>
    </row>
    <row r="90" spans="1:80" ht="12.9" customHeight="1" x14ac:dyDescent="0.2">
      <c r="A90" s="75"/>
      <c r="B90" s="80" t="s">
        <v>141</v>
      </c>
      <c r="C90" s="7">
        <f t="shared" ref="C90:O90" si="15">SUM(C91:C95)</f>
        <v>8229146.4000000004</v>
      </c>
      <c r="D90" s="102">
        <f t="shared" si="15"/>
        <v>14270218.619999999</v>
      </c>
      <c r="E90" s="7">
        <f t="shared" si="15"/>
        <v>0</v>
      </c>
      <c r="F90" s="7">
        <f t="shared" si="15"/>
        <v>0</v>
      </c>
      <c r="G90" s="7">
        <f t="shared" si="15"/>
        <v>0</v>
      </c>
      <c r="H90" s="7">
        <f t="shared" si="15"/>
        <v>0</v>
      </c>
      <c r="I90" s="7">
        <f t="shared" si="15"/>
        <v>0</v>
      </c>
      <c r="J90" s="7">
        <f t="shared" si="15"/>
        <v>0</v>
      </c>
      <c r="K90" s="7">
        <f t="shared" si="15"/>
        <v>0</v>
      </c>
      <c r="L90" s="7">
        <f t="shared" si="15"/>
        <v>0</v>
      </c>
      <c r="M90" s="7">
        <f t="shared" si="15"/>
        <v>0</v>
      </c>
      <c r="N90" s="7">
        <f t="shared" si="15"/>
        <v>0</v>
      </c>
      <c r="O90" s="7">
        <f t="shared" si="15"/>
        <v>22499365.02</v>
      </c>
      <c r="P90" s="12"/>
    </row>
    <row r="91" spans="1:80" s="39" customFormat="1" ht="12.9" customHeight="1" x14ac:dyDescent="0.2">
      <c r="A91" s="75"/>
      <c r="B91" s="81" t="s">
        <v>142</v>
      </c>
      <c r="C91" s="18"/>
      <c r="D91" s="100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1">
        <f>+SUM(C91:N91)</f>
        <v>0</v>
      </c>
      <c r="P91" s="28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</row>
    <row r="92" spans="1:80" s="39" customFormat="1" ht="12.9" customHeight="1" x14ac:dyDescent="0.2">
      <c r="A92" s="75"/>
      <c r="B92" s="84" t="s">
        <v>143</v>
      </c>
      <c r="C92" s="19"/>
      <c r="D92" s="103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4">
        <f>+SUM(C92:N92)</f>
        <v>0</v>
      </c>
      <c r="P92" s="28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</row>
    <row r="93" spans="1:80" ht="12.9" customHeight="1" x14ac:dyDescent="0.2">
      <c r="A93" s="75"/>
      <c r="B93" s="84" t="s">
        <v>144</v>
      </c>
      <c r="C93" s="19">
        <f>'[6]Hoja 1'!$C$180</f>
        <v>929031</v>
      </c>
      <c r="D93" s="103">
        <f>'[8]Hoja 1'!$C$183</f>
        <v>5000000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>
        <f>+SUM(C93:N93)</f>
        <v>5929031</v>
      </c>
      <c r="P93" s="12"/>
    </row>
    <row r="94" spans="1:80" ht="12.9" customHeight="1" x14ac:dyDescent="0.2">
      <c r="A94" s="75" t="s">
        <v>145</v>
      </c>
      <c r="B94" s="84" t="s">
        <v>146</v>
      </c>
      <c r="C94" s="19">
        <f>'[6]Hoja 1'!$C$146</f>
        <v>7300083.1900000004</v>
      </c>
      <c r="D94" s="103">
        <v>9270040.6699999999</v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49">
        <f>+SUM(C94:N94)</f>
        <v>16570123.859999999</v>
      </c>
      <c r="P94" s="12"/>
    </row>
    <row r="95" spans="1:80" ht="12.9" customHeight="1" x14ac:dyDescent="0.2">
      <c r="A95" s="75" t="s">
        <v>147</v>
      </c>
      <c r="B95" s="82" t="s">
        <v>148</v>
      </c>
      <c r="C95" s="23">
        <f>'[6]Hoja 1'!$C$182</f>
        <v>32.21</v>
      </c>
      <c r="D95" s="106">
        <v>177.95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0">
        <f>+SUM(C95:N95)</f>
        <v>210.16</v>
      </c>
      <c r="P95" s="12"/>
    </row>
    <row r="96" spans="1:80" ht="15" customHeight="1" x14ac:dyDescent="0.2">
      <c r="A96" s="70"/>
      <c r="B96" s="88" t="s">
        <v>149</v>
      </c>
      <c r="C96" s="89">
        <f t="shared" ref="C96:O96" si="16">C5+C13+C19+C22+C28+C32+C46+C52+C59+C62+C66+C89+C90</f>
        <v>464211163.05000001</v>
      </c>
      <c r="D96" s="111">
        <f>D5+D13+D19+D22+D28+D32+D46+D52+D59+D62+D66+D89+D90</f>
        <v>566950737.70000005</v>
      </c>
      <c r="E96" s="50">
        <f t="shared" si="16"/>
        <v>0</v>
      </c>
      <c r="F96" s="50">
        <f t="shared" si="16"/>
        <v>0</v>
      </c>
      <c r="G96" s="50">
        <f t="shared" si="16"/>
        <v>0</v>
      </c>
      <c r="H96" s="50">
        <f t="shared" si="16"/>
        <v>0</v>
      </c>
      <c r="I96" s="50">
        <f t="shared" si="16"/>
        <v>0</v>
      </c>
      <c r="J96" s="50">
        <f t="shared" si="16"/>
        <v>0</v>
      </c>
      <c r="K96" s="50">
        <f t="shared" si="16"/>
        <v>0</v>
      </c>
      <c r="L96" s="50">
        <f t="shared" si="16"/>
        <v>0</v>
      </c>
      <c r="M96" s="50">
        <f t="shared" si="16"/>
        <v>0</v>
      </c>
      <c r="N96" s="50">
        <f t="shared" si="16"/>
        <v>0</v>
      </c>
      <c r="O96" s="50">
        <f t="shared" si="16"/>
        <v>1031161900.75</v>
      </c>
      <c r="P96" s="12"/>
    </row>
    <row r="97" spans="1:16" ht="15" customHeight="1" x14ac:dyDescent="0.2">
      <c r="A97" s="67"/>
      <c r="B97" s="90"/>
      <c r="C97" s="51"/>
      <c r="D97" s="51"/>
      <c r="E97" s="51"/>
      <c r="F97" s="52"/>
      <c r="G97" s="51"/>
      <c r="H97" s="51"/>
      <c r="I97" s="51"/>
      <c r="J97" s="51"/>
      <c r="K97" s="51"/>
      <c r="L97" s="51"/>
      <c r="M97" s="51"/>
      <c r="N97" s="51"/>
      <c r="O97" s="51"/>
      <c r="P97" s="12"/>
    </row>
    <row r="98" spans="1:16" s="9" customFormat="1" ht="15" customHeight="1" x14ac:dyDescent="0.2">
      <c r="A98" s="91"/>
      <c r="B98" s="80" t="s">
        <v>150</v>
      </c>
      <c r="C98" s="7">
        <f t="shared" ref="C98:O98" si="17">SUM(C99:C107)</f>
        <v>19158553.5</v>
      </c>
      <c r="D98" s="7">
        <f t="shared" si="17"/>
        <v>33396664.289999999</v>
      </c>
      <c r="E98" s="53">
        <f t="shared" si="17"/>
        <v>0</v>
      </c>
      <c r="F98" s="53">
        <f t="shared" si="17"/>
        <v>0</v>
      </c>
      <c r="G98" s="53">
        <f t="shared" si="17"/>
        <v>0</v>
      </c>
      <c r="H98" s="53">
        <f t="shared" si="17"/>
        <v>0</v>
      </c>
      <c r="I98" s="53">
        <f t="shared" si="17"/>
        <v>0</v>
      </c>
      <c r="J98" s="53">
        <f t="shared" si="17"/>
        <v>0</v>
      </c>
      <c r="K98" s="53">
        <f t="shared" si="17"/>
        <v>0</v>
      </c>
      <c r="L98" s="53">
        <f t="shared" si="17"/>
        <v>0</v>
      </c>
      <c r="M98" s="53">
        <f t="shared" si="17"/>
        <v>0</v>
      </c>
      <c r="N98" s="53">
        <f t="shared" si="17"/>
        <v>0</v>
      </c>
      <c r="O98" s="53">
        <f t="shared" si="17"/>
        <v>52555217.790000007</v>
      </c>
      <c r="P98" s="12"/>
    </row>
    <row r="99" spans="1:16" ht="12.9" customHeight="1" x14ac:dyDescent="0.2">
      <c r="A99" s="67" t="s">
        <v>151</v>
      </c>
      <c r="B99" s="81" t="s">
        <v>152</v>
      </c>
      <c r="C99" s="10">
        <f>'[6]Hoja 1'!$C$164</f>
        <v>489046.66</v>
      </c>
      <c r="D99" s="96">
        <v>721868.2</v>
      </c>
      <c r="E99" s="10"/>
      <c r="F99" s="18"/>
      <c r="G99" s="18"/>
      <c r="H99" s="18"/>
      <c r="I99" s="18"/>
      <c r="J99" s="18"/>
      <c r="K99" s="18"/>
      <c r="L99" s="18"/>
      <c r="M99" s="11"/>
      <c r="N99" s="11"/>
      <c r="O99" s="11">
        <f t="shared" ref="O99:O108" si="18">+SUM(C99:N99)</f>
        <v>1210914.8599999999</v>
      </c>
      <c r="P99" s="12"/>
    </row>
    <row r="100" spans="1:16" ht="12.9" customHeight="1" x14ac:dyDescent="0.2">
      <c r="A100" s="67" t="s">
        <v>153</v>
      </c>
      <c r="B100" s="84" t="s">
        <v>154</v>
      </c>
      <c r="C100" s="13">
        <f>'[6]Hoja 1'!$C$167</f>
        <v>1697707.56</v>
      </c>
      <c r="D100" s="97">
        <v>2541356.16</v>
      </c>
      <c r="E100" s="13"/>
      <c r="F100" s="19"/>
      <c r="G100" s="19"/>
      <c r="H100" s="19"/>
      <c r="I100" s="19"/>
      <c r="J100" s="19"/>
      <c r="K100" s="19"/>
      <c r="L100" s="19"/>
      <c r="M100" s="14"/>
      <c r="N100" s="14"/>
      <c r="O100" s="14">
        <f t="shared" si="18"/>
        <v>4239063.7200000007</v>
      </c>
      <c r="P100" s="12"/>
    </row>
    <row r="101" spans="1:16" ht="12.9" customHeight="1" x14ac:dyDescent="0.2">
      <c r="A101" s="67" t="s">
        <v>155</v>
      </c>
      <c r="B101" s="92" t="s">
        <v>156</v>
      </c>
      <c r="C101" s="13">
        <f>'[6]Hoja 1'!$C$172</f>
        <v>6444863.9500000002</v>
      </c>
      <c r="D101" s="97">
        <v>2367762.52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4">
        <f t="shared" si="18"/>
        <v>8812626.4700000007</v>
      </c>
      <c r="P101" s="12"/>
    </row>
    <row r="102" spans="1:16" ht="12.9" customHeight="1" x14ac:dyDescent="0.2">
      <c r="A102" s="67" t="s">
        <v>157</v>
      </c>
      <c r="B102" s="92" t="s">
        <v>158</v>
      </c>
      <c r="C102" s="13">
        <f>'[6]Hoja 1'!$C$173</f>
        <v>84553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4"/>
      <c r="N102" s="14"/>
      <c r="O102" s="14">
        <f t="shared" si="18"/>
        <v>84553</v>
      </c>
      <c r="P102" s="12"/>
    </row>
    <row r="103" spans="1:16" ht="12.9" customHeight="1" x14ac:dyDescent="0.2">
      <c r="A103" s="67"/>
      <c r="B103" s="92" t="s">
        <v>159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4"/>
      <c r="N103" s="14"/>
      <c r="O103" s="14">
        <f t="shared" si="18"/>
        <v>0</v>
      </c>
      <c r="P103" s="12"/>
    </row>
    <row r="104" spans="1:16" ht="12.9" customHeight="1" x14ac:dyDescent="0.2">
      <c r="A104" s="67" t="s">
        <v>160</v>
      </c>
      <c r="B104" s="92" t="s">
        <v>161</v>
      </c>
      <c r="C104" s="13"/>
      <c r="D104" s="97">
        <v>3769285</v>
      </c>
      <c r="E104" s="13"/>
      <c r="F104" s="13"/>
      <c r="G104" s="13"/>
      <c r="H104" s="13"/>
      <c r="I104" s="13"/>
      <c r="J104" s="13"/>
      <c r="K104" s="13"/>
      <c r="L104" s="13"/>
      <c r="M104" s="14"/>
      <c r="N104" s="14"/>
      <c r="O104" s="14">
        <f t="shared" si="18"/>
        <v>3769285</v>
      </c>
      <c r="P104" s="12"/>
    </row>
    <row r="105" spans="1:16" ht="12.9" customHeight="1" x14ac:dyDescent="0.2">
      <c r="A105" s="67" t="s">
        <v>162</v>
      </c>
      <c r="B105" s="92" t="s">
        <v>163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4"/>
      <c r="N105" s="14"/>
      <c r="O105" s="14">
        <f t="shared" si="18"/>
        <v>0</v>
      </c>
      <c r="P105" s="12"/>
    </row>
    <row r="106" spans="1:16" ht="12.9" customHeight="1" x14ac:dyDescent="0.2">
      <c r="A106" s="67" t="s">
        <v>164</v>
      </c>
      <c r="B106" s="84" t="s">
        <v>165</v>
      </c>
      <c r="C106" s="13">
        <f>'[6]Hoja 1'!$C$82+'[6]Hoja 1'!$C$175</f>
        <v>10375136.550000001</v>
      </c>
      <c r="D106" s="98">
        <v>23996392.41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4">
        <f t="shared" si="18"/>
        <v>34371528.960000001</v>
      </c>
      <c r="P106" s="12"/>
    </row>
    <row r="107" spans="1:16" ht="12.9" customHeight="1" x14ac:dyDescent="0.2">
      <c r="A107" s="67" t="s">
        <v>166</v>
      </c>
      <c r="B107" s="82" t="s">
        <v>167</v>
      </c>
      <c r="C107" s="16">
        <f>'[6]Hoja 1'!$C$177</f>
        <v>67245.78</v>
      </c>
      <c r="D107" s="16"/>
      <c r="E107" s="16"/>
      <c r="F107" s="23"/>
      <c r="G107" s="23"/>
      <c r="H107" s="23"/>
      <c r="I107" s="23"/>
      <c r="J107" s="23"/>
      <c r="K107" s="23"/>
      <c r="L107" s="23"/>
      <c r="M107" s="20"/>
      <c r="N107" s="20"/>
      <c r="O107" s="20">
        <f t="shared" si="18"/>
        <v>67245.78</v>
      </c>
      <c r="P107" s="12"/>
    </row>
    <row r="108" spans="1:16" ht="12.9" customHeight="1" x14ac:dyDescent="0.2">
      <c r="A108" s="67"/>
      <c r="B108" s="71" t="s">
        <v>168</v>
      </c>
      <c r="C108" s="7">
        <f>96313193+10045491</f>
        <v>106358684</v>
      </c>
      <c r="D108" s="102">
        <f>99151187+9611660</f>
        <v>108762847</v>
      </c>
      <c r="E108" s="7"/>
      <c r="F108" s="7"/>
      <c r="G108" s="7"/>
      <c r="H108" s="7"/>
      <c r="I108" s="7"/>
      <c r="J108" s="7"/>
      <c r="K108" s="7"/>
      <c r="L108" s="7"/>
      <c r="M108" s="54"/>
      <c r="N108" s="7"/>
      <c r="O108" s="55">
        <f t="shared" si="18"/>
        <v>215121531</v>
      </c>
      <c r="P108" s="12"/>
    </row>
    <row r="109" spans="1:16" s="9" customFormat="1" ht="15" customHeight="1" x14ac:dyDescent="0.2">
      <c r="A109" s="67"/>
      <c r="B109" s="80" t="s">
        <v>169</v>
      </c>
      <c r="C109" s="7">
        <f t="shared" ref="C109:O109" si="19">C98+C108</f>
        <v>125517237.5</v>
      </c>
      <c r="D109" s="105">
        <f t="shared" si="19"/>
        <v>142159511.28999999</v>
      </c>
      <c r="E109" s="53">
        <f t="shared" si="19"/>
        <v>0</v>
      </c>
      <c r="F109" s="53">
        <f t="shared" si="19"/>
        <v>0</v>
      </c>
      <c r="G109" s="53">
        <f t="shared" si="19"/>
        <v>0</v>
      </c>
      <c r="H109" s="53">
        <f t="shared" si="19"/>
        <v>0</v>
      </c>
      <c r="I109" s="53">
        <f t="shared" si="19"/>
        <v>0</v>
      </c>
      <c r="J109" s="53">
        <f t="shared" si="19"/>
        <v>0</v>
      </c>
      <c r="K109" s="53">
        <f t="shared" si="19"/>
        <v>0</v>
      </c>
      <c r="L109" s="53">
        <f t="shared" si="19"/>
        <v>0</v>
      </c>
      <c r="M109" s="53">
        <f t="shared" si="19"/>
        <v>0</v>
      </c>
      <c r="N109" s="53">
        <f t="shared" si="19"/>
        <v>0</v>
      </c>
      <c r="O109" s="53">
        <f t="shared" si="19"/>
        <v>267676748.79000002</v>
      </c>
      <c r="P109" s="12"/>
    </row>
    <row r="110" spans="1:16" ht="15" customHeight="1" x14ac:dyDescent="0.2">
      <c r="A110" s="67"/>
      <c r="B110" s="93"/>
      <c r="C110" s="94"/>
      <c r="D110" s="94"/>
      <c r="E110" s="56"/>
      <c r="F110" s="56"/>
      <c r="G110" s="56"/>
      <c r="H110" s="57"/>
      <c r="I110" s="57"/>
      <c r="J110" s="57"/>
      <c r="K110" s="57"/>
      <c r="L110" s="57"/>
      <c r="M110" s="57"/>
      <c r="N110" s="57"/>
      <c r="O110" s="56"/>
    </row>
    <row r="111" spans="1:16" s="9" customFormat="1" ht="15" hidden="1" customHeight="1" x14ac:dyDescent="0.2">
      <c r="A111" s="67"/>
      <c r="B111" s="80" t="s">
        <v>170</v>
      </c>
      <c r="C111" s="7"/>
      <c r="D111" s="7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>
        <f>+SUM(C111:N111)</f>
        <v>0</v>
      </c>
      <c r="P111" s="8"/>
    </row>
    <row r="112" spans="1:16" ht="15" customHeight="1" x14ac:dyDescent="0.2">
      <c r="B112" s="80" t="s">
        <v>171</v>
      </c>
      <c r="C112" s="7"/>
      <c r="D112" s="7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</row>
    <row r="113" spans="2:15" ht="15" customHeight="1" x14ac:dyDescent="0.2">
      <c r="B113" s="81" t="s">
        <v>172</v>
      </c>
      <c r="C113" s="10">
        <v>15396000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1">
        <f t="shared" ref="O113:O119" si="20">+SUM(C113:N113)</f>
        <v>15396000</v>
      </c>
    </row>
    <row r="114" spans="2:15" ht="15" customHeight="1" x14ac:dyDescent="0.2">
      <c r="B114" s="84" t="s">
        <v>173</v>
      </c>
      <c r="C114" s="13">
        <f>[1]RECREARTE!$C$141</f>
        <v>15474654</v>
      </c>
      <c r="D114" s="13">
        <f>[1]RECREARTE!$F$141</f>
        <v>-1777321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4">
        <f t="shared" si="20"/>
        <v>13697333</v>
      </c>
    </row>
    <row r="115" spans="2:15" ht="15" customHeight="1" x14ac:dyDescent="0.2">
      <c r="B115" s="92" t="s">
        <v>174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4">
        <f t="shared" si="20"/>
        <v>0</v>
      </c>
    </row>
    <row r="116" spans="2:15" ht="15" customHeight="1" x14ac:dyDescent="0.2">
      <c r="B116" s="92" t="s">
        <v>175</v>
      </c>
      <c r="C116" s="13"/>
      <c r="D116" s="13">
        <f>'[8]Hoja 1'!$E$23</f>
        <v>49000</v>
      </c>
      <c r="E116" s="13"/>
      <c r="F116" s="13"/>
      <c r="G116" s="13"/>
      <c r="H116" s="13"/>
      <c r="I116" s="13"/>
      <c r="J116" s="13"/>
      <c r="K116" s="13"/>
      <c r="L116" s="13"/>
      <c r="M116" s="14"/>
      <c r="N116" s="14"/>
      <c r="O116" s="14">
        <f t="shared" si="20"/>
        <v>49000</v>
      </c>
    </row>
    <row r="117" spans="2:15" ht="15" customHeight="1" x14ac:dyDescent="0.2">
      <c r="B117" s="92" t="s">
        <v>176</v>
      </c>
      <c r="C117" s="13"/>
      <c r="D117" s="13">
        <f>'[8]Hoja 1'!$E$28</f>
        <v>514.78</v>
      </c>
      <c r="E117" s="13"/>
      <c r="F117" s="13"/>
      <c r="G117" s="13"/>
      <c r="H117" s="13"/>
      <c r="I117" s="13"/>
      <c r="J117" s="13"/>
      <c r="K117" s="13"/>
      <c r="L117" s="13"/>
      <c r="M117" s="14"/>
      <c r="N117" s="14"/>
      <c r="O117" s="14">
        <f t="shared" si="20"/>
        <v>514.78</v>
      </c>
    </row>
    <row r="118" spans="2:15" ht="15" customHeight="1" x14ac:dyDescent="0.2">
      <c r="B118" s="92" t="s">
        <v>177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4"/>
      <c r="N118" s="14"/>
      <c r="O118" s="14">
        <f t="shared" si="20"/>
        <v>0</v>
      </c>
    </row>
    <row r="119" spans="2:15" ht="15" customHeight="1" x14ac:dyDescent="0.2">
      <c r="B119" s="80" t="s">
        <v>178</v>
      </c>
      <c r="C119" s="7">
        <f t="shared" ref="C119:N119" si="21">SUM(C113:C115)-SUM(C116:C118)</f>
        <v>30870654</v>
      </c>
      <c r="D119" s="7">
        <f t="shared" si="21"/>
        <v>-1826835.78</v>
      </c>
      <c r="E119" s="53">
        <f t="shared" si="21"/>
        <v>0</v>
      </c>
      <c r="F119" s="53">
        <f t="shared" si="21"/>
        <v>0</v>
      </c>
      <c r="G119" s="53">
        <f t="shared" si="21"/>
        <v>0</v>
      </c>
      <c r="H119" s="53">
        <f t="shared" si="21"/>
        <v>0</v>
      </c>
      <c r="I119" s="53">
        <f t="shared" si="21"/>
        <v>0</v>
      </c>
      <c r="J119" s="53">
        <f t="shared" si="21"/>
        <v>0</v>
      </c>
      <c r="K119" s="53">
        <f t="shared" si="21"/>
        <v>0</v>
      </c>
      <c r="L119" s="53">
        <f t="shared" si="21"/>
        <v>0</v>
      </c>
      <c r="M119" s="53">
        <f t="shared" si="21"/>
        <v>0</v>
      </c>
      <c r="N119" s="53">
        <f t="shared" si="21"/>
        <v>0</v>
      </c>
      <c r="O119" s="53">
        <f t="shared" si="20"/>
        <v>29043818.219999999</v>
      </c>
    </row>
    <row r="120" spans="2:15" ht="15" customHeight="1" x14ac:dyDescent="0.2">
      <c r="D120" s="95"/>
      <c r="L120" s="61"/>
      <c r="M120" s="61"/>
      <c r="N120" s="61"/>
      <c r="O120" s="62"/>
    </row>
    <row r="121" spans="2:15" ht="15" customHeight="1" x14ac:dyDescent="0.2">
      <c r="C121" s="95"/>
      <c r="D121" s="95">
        <f>D96+D109+'[1]GASTOS OPERATIVOS'!D17+'[1]GASTOS VEHICULOS'!D25</f>
        <v>1129039364</v>
      </c>
      <c r="J121" s="61"/>
      <c r="M121" s="61"/>
      <c r="O121" s="63"/>
    </row>
    <row r="122" spans="2:15" ht="15" customHeight="1" x14ac:dyDescent="0.2">
      <c r="C122" s="95"/>
      <c r="D122" s="95">
        <f>'[8]Hoja 1'!$C$30+'[8]Hoja 1'!$C$199+'[8]Hoja 1'!$C$204+'[8]Hoja 1'!$C$240</f>
        <v>678143159.60000002</v>
      </c>
    </row>
    <row r="123" spans="2:15" ht="15" customHeight="1" x14ac:dyDescent="0.2">
      <c r="C123" s="95"/>
      <c r="D123" s="40">
        <f>D121-D122</f>
        <v>450896204.39999998</v>
      </c>
      <c r="O123" s="64"/>
    </row>
    <row r="124" spans="2:15" ht="11.4" x14ac:dyDescent="0.2"/>
    <row r="125" spans="2:15" ht="15" customHeight="1" x14ac:dyDescent="0.2">
      <c r="E125" s="59"/>
      <c r="F125" s="59"/>
      <c r="G125" s="59"/>
      <c r="I125" s="61"/>
      <c r="J125" s="61"/>
      <c r="L125" s="61"/>
      <c r="M125" s="61"/>
      <c r="O125" s="63"/>
    </row>
    <row r="126" spans="2:15" ht="15" customHeight="1" x14ac:dyDescent="0.2">
      <c r="D126" s="95">
        <v>-55134543</v>
      </c>
      <c r="E126" s="59"/>
      <c r="F126" s="59"/>
      <c r="G126" s="59"/>
      <c r="J126" s="2"/>
      <c r="K126" s="61"/>
      <c r="L126" s="61"/>
      <c r="M126" s="61"/>
      <c r="O126" s="63" t="s">
        <v>179</v>
      </c>
    </row>
    <row r="127" spans="2:15" ht="15" customHeight="1" x14ac:dyDescent="0.2">
      <c r="D127" s="95">
        <v>-4115810</v>
      </c>
      <c r="F127" s="59"/>
      <c r="G127" s="59"/>
      <c r="J127" s="2"/>
      <c r="K127" s="61"/>
      <c r="L127" s="61"/>
      <c r="M127" s="61"/>
      <c r="O127" s="63" t="s">
        <v>140</v>
      </c>
    </row>
    <row r="128" spans="2:15" ht="15" customHeight="1" x14ac:dyDescent="0.2">
      <c r="D128" s="40">
        <f>SUM(D126:D127)</f>
        <v>-59250353</v>
      </c>
      <c r="F128" s="59"/>
      <c r="G128" s="59"/>
      <c r="J128" s="2"/>
      <c r="K128" s="61"/>
      <c r="L128" s="61"/>
      <c r="M128" s="61"/>
      <c r="O128" s="63"/>
    </row>
    <row r="129" spans="4:15" ht="15" customHeight="1" x14ac:dyDescent="0.2">
      <c r="F129" s="59"/>
      <c r="G129" s="59"/>
      <c r="J129" s="2"/>
      <c r="K129" s="61"/>
      <c r="L129" s="61"/>
      <c r="M129" s="61"/>
      <c r="O129" s="63"/>
    </row>
    <row r="130" spans="4:15" ht="15" customHeight="1" x14ac:dyDescent="0.2">
      <c r="D130" s="40">
        <f>D128-D123</f>
        <v>-510146557.39999998</v>
      </c>
      <c r="F130" s="59"/>
      <c r="G130" s="59"/>
      <c r="J130" s="2"/>
      <c r="K130" s="61"/>
      <c r="L130" s="61"/>
      <c r="M130" s="61"/>
      <c r="O130" s="63"/>
    </row>
    <row r="131" spans="4:15" ht="15" customHeight="1" x14ac:dyDescent="0.2">
      <c r="F131" s="59"/>
      <c r="G131" s="59"/>
      <c r="J131" s="2"/>
      <c r="K131" s="61"/>
      <c r="L131" s="61"/>
      <c r="O131" s="59"/>
    </row>
    <row r="132" spans="4:15" ht="15" customHeight="1" x14ac:dyDescent="0.2">
      <c r="G132" s="59"/>
      <c r="J132" s="61"/>
      <c r="K132" s="61"/>
      <c r="L132" s="61"/>
      <c r="O132" s="65"/>
    </row>
    <row r="133" spans="4:15" ht="15" customHeight="1" x14ac:dyDescent="0.2">
      <c r="J133" s="61"/>
      <c r="K133" s="2"/>
      <c r="L133" s="61"/>
      <c r="M133" s="61"/>
      <c r="O133" s="63"/>
    </row>
    <row r="134" spans="4:15" ht="15" customHeight="1" x14ac:dyDescent="0.2">
      <c r="J134" s="61"/>
      <c r="M134" s="61"/>
      <c r="O134" s="63"/>
    </row>
    <row r="135" spans="4:15" ht="15" customHeight="1" x14ac:dyDescent="0.2">
      <c r="J135" s="61"/>
      <c r="M135" s="61"/>
      <c r="O135" s="63"/>
    </row>
    <row r="136" spans="4:15" ht="15" customHeight="1" x14ac:dyDescent="0.2">
      <c r="J136" s="61"/>
      <c r="M136" s="61"/>
      <c r="O136" s="63"/>
    </row>
    <row r="137" spans="4:15" ht="15" customHeight="1" x14ac:dyDescent="0.2">
      <c r="J137" s="61"/>
      <c r="M137" s="61"/>
    </row>
    <row r="138" spans="4:15" ht="15" customHeight="1" x14ac:dyDescent="0.2">
      <c r="M138" s="61"/>
    </row>
    <row r="139" spans="4:15" ht="15" customHeight="1" x14ac:dyDescent="0.2">
      <c r="M139" s="61"/>
    </row>
    <row r="140" spans="4:15" ht="15" customHeight="1" x14ac:dyDescent="0.2">
      <c r="M140" s="61"/>
    </row>
    <row r="141" spans="4:15" ht="15" customHeight="1" x14ac:dyDescent="0.2">
      <c r="M141" s="61"/>
    </row>
    <row r="142" spans="4:15" ht="15" customHeight="1" x14ac:dyDescent="0.2">
      <c r="M142" s="61"/>
    </row>
    <row r="143" spans="4:15" ht="15" customHeight="1" x14ac:dyDescent="0.2">
      <c r="M143" s="61"/>
    </row>
    <row r="144" spans="4:15" ht="15" customHeight="1" x14ac:dyDescent="0.2">
      <c r="M144" s="61"/>
    </row>
    <row r="145" spans="13:13" ht="15" customHeight="1" x14ac:dyDescent="0.2">
      <c r="M145" s="61"/>
    </row>
    <row r="146" spans="13:13" ht="15" customHeight="1" x14ac:dyDescent="0.2">
      <c r="M146" s="61"/>
    </row>
    <row r="147" spans="13:13" ht="15" customHeight="1" x14ac:dyDescent="0.2">
      <c r="M147" s="61"/>
    </row>
    <row r="148" spans="13:13" ht="15" customHeight="1" x14ac:dyDescent="0.2">
      <c r="M148" s="61"/>
    </row>
    <row r="149" spans="13:13" ht="15" customHeight="1" x14ac:dyDescent="0.2">
      <c r="M149" s="61"/>
    </row>
    <row r="150" spans="13:13" ht="15" customHeight="1" x14ac:dyDescent="0.2">
      <c r="M150" s="61"/>
    </row>
    <row r="151" spans="13:13" ht="15" customHeight="1" x14ac:dyDescent="0.2">
      <c r="M151" s="61"/>
    </row>
    <row r="152" spans="13:13" ht="15" customHeight="1" x14ac:dyDescent="0.2">
      <c r="M152" s="61"/>
    </row>
    <row r="153" spans="13:13" ht="15" customHeight="1" x14ac:dyDescent="0.2">
      <c r="M153" s="61"/>
    </row>
    <row r="154" spans="13:13" ht="15" customHeight="1" x14ac:dyDescent="0.2">
      <c r="M154" s="61"/>
    </row>
    <row r="155" spans="13:13" ht="15" customHeight="1" x14ac:dyDescent="0.2">
      <c r="M155" s="61"/>
    </row>
    <row r="156" spans="13:13" ht="15" customHeight="1" x14ac:dyDescent="0.2">
      <c r="M156" s="61"/>
    </row>
    <row r="157" spans="13:13" ht="15" customHeight="1" x14ac:dyDescent="0.2">
      <c r="M157" s="61"/>
    </row>
    <row r="158" spans="13:13" ht="15" customHeight="1" x14ac:dyDescent="0.2">
      <c r="M158" s="61"/>
    </row>
    <row r="159" spans="13:13" ht="15" customHeight="1" x14ac:dyDescent="0.2">
      <c r="M159" s="61"/>
    </row>
    <row r="160" spans="13:13" ht="15" customHeight="1" x14ac:dyDescent="0.2">
      <c r="M160" s="61"/>
    </row>
    <row r="161" spans="13:13" ht="15" customHeight="1" x14ac:dyDescent="0.2">
      <c r="M161" s="61"/>
    </row>
    <row r="162" spans="13:13" ht="15" customHeight="1" x14ac:dyDescent="0.2">
      <c r="M162" s="61"/>
    </row>
    <row r="163" spans="13:13" ht="15" customHeight="1" x14ac:dyDescent="0.2">
      <c r="M163" s="61"/>
    </row>
    <row r="164" spans="13:13" ht="15" customHeight="1" x14ac:dyDescent="0.2">
      <c r="M164" s="61"/>
    </row>
    <row r="165" spans="13:13" ht="15" customHeight="1" x14ac:dyDescent="0.2">
      <c r="M165" s="61"/>
    </row>
    <row r="166" spans="13:13" ht="15" customHeight="1" x14ac:dyDescent="0.2">
      <c r="M166" s="61"/>
    </row>
    <row r="167" spans="13:13" ht="15" customHeight="1" x14ac:dyDescent="0.2">
      <c r="M167" s="61"/>
    </row>
    <row r="168" spans="13:13" ht="15" customHeight="1" x14ac:dyDescent="0.2">
      <c r="M168" s="61"/>
    </row>
    <row r="169" spans="13:13" ht="15" customHeight="1" x14ac:dyDescent="0.2">
      <c r="M169" s="61"/>
    </row>
    <row r="170" spans="13:13" ht="15" customHeight="1" x14ac:dyDescent="0.2">
      <c r="M170" s="61"/>
    </row>
    <row r="171" spans="13:13" ht="15" customHeight="1" x14ac:dyDescent="0.2">
      <c r="M171" s="61"/>
    </row>
    <row r="172" spans="13:13" ht="15" customHeight="1" x14ac:dyDescent="0.2">
      <c r="M172" s="61"/>
    </row>
    <row r="173" spans="13:13" ht="15" customHeight="1" x14ac:dyDescent="0.2">
      <c r="M173" s="61"/>
    </row>
    <row r="174" spans="13:13" ht="15" customHeight="1" x14ac:dyDescent="0.2">
      <c r="M174" s="61"/>
    </row>
    <row r="175" spans="13:13" ht="15" customHeight="1" x14ac:dyDescent="0.2">
      <c r="M175" s="61"/>
    </row>
    <row r="176" spans="13:13" ht="15" customHeight="1" x14ac:dyDescent="0.2">
      <c r="M176" s="61"/>
    </row>
    <row r="177" spans="13:13" ht="15" customHeight="1" x14ac:dyDescent="0.2">
      <c r="M177" s="61"/>
    </row>
    <row r="178" spans="13:13" ht="15" customHeight="1" x14ac:dyDescent="0.2">
      <c r="M178" s="61"/>
    </row>
    <row r="179" spans="13:13" ht="15" customHeight="1" x14ac:dyDescent="0.2">
      <c r="M179" s="61"/>
    </row>
    <row r="180" spans="13:13" ht="15" customHeight="1" x14ac:dyDescent="0.2">
      <c r="M180" s="61"/>
    </row>
    <row r="181" spans="13:13" ht="15" customHeight="1" x14ac:dyDescent="0.2">
      <c r="M181" s="61"/>
    </row>
    <row r="182" spans="13:13" ht="15" customHeight="1" x14ac:dyDescent="0.2">
      <c r="M182" s="61"/>
    </row>
    <row r="183" spans="13:13" ht="15" customHeight="1" x14ac:dyDescent="0.2">
      <c r="M183" s="61"/>
    </row>
    <row r="184" spans="13:13" ht="15" customHeight="1" x14ac:dyDescent="0.2">
      <c r="M184" s="61"/>
    </row>
    <row r="185" spans="13:13" ht="15" customHeight="1" x14ac:dyDescent="0.2">
      <c r="M185" s="61"/>
    </row>
    <row r="186" spans="13:13" ht="15" customHeight="1" x14ac:dyDescent="0.2">
      <c r="M186" s="61"/>
    </row>
    <row r="187" spans="13:13" ht="15" customHeight="1" x14ac:dyDescent="0.2">
      <c r="M187" s="61"/>
    </row>
    <row r="188" spans="13:13" ht="15" customHeight="1" x14ac:dyDescent="0.2">
      <c r="M188" s="61"/>
    </row>
    <row r="189" spans="13:13" ht="15" customHeight="1" x14ac:dyDescent="0.2">
      <c r="M189" s="61"/>
    </row>
    <row r="190" spans="13:13" ht="15" customHeight="1" x14ac:dyDescent="0.2">
      <c r="M190" s="61"/>
    </row>
    <row r="191" spans="13:13" ht="15" customHeight="1" x14ac:dyDescent="0.2">
      <c r="M191" s="61"/>
    </row>
    <row r="192" spans="13:13" ht="15" customHeight="1" x14ac:dyDescent="0.2">
      <c r="M192" s="61"/>
    </row>
    <row r="193" spans="13:13" ht="15" customHeight="1" x14ac:dyDescent="0.2">
      <c r="M193" s="61"/>
    </row>
    <row r="194" spans="13:13" ht="15" customHeight="1" x14ac:dyDescent="0.2">
      <c r="M194" s="61"/>
    </row>
    <row r="195" spans="13:13" ht="15" customHeight="1" x14ac:dyDescent="0.2">
      <c r="M195" s="61"/>
    </row>
    <row r="196" spans="13:13" ht="15" customHeight="1" x14ac:dyDescent="0.2">
      <c r="M196" s="61"/>
    </row>
    <row r="197" spans="13:13" ht="15" customHeight="1" x14ac:dyDescent="0.2">
      <c r="M197" s="61"/>
    </row>
    <row r="198" spans="13:13" ht="15" customHeight="1" x14ac:dyDescent="0.2">
      <c r="M198" s="61"/>
    </row>
    <row r="199" spans="13:13" ht="15" customHeight="1" x14ac:dyDescent="0.2">
      <c r="M199" s="61"/>
    </row>
    <row r="200" spans="13:13" ht="15" customHeight="1" x14ac:dyDescent="0.2">
      <c r="M200" s="61"/>
    </row>
    <row r="201" spans="13:13" ht="15" customHeight="1" x14ac:dyDescent="0.2">
      <c r="M201" s="61"/>
    </row>
    <row r="202" spans="13:13" ht="15" customHeight="1" x14ac:dyDescent="0.2">
      <c r="M202" s="61"/>
    </row>
    <row r="203" spans="13:13" ht="15" customHeight="1" x14ac:dyDescent="0.2">
      <c r="M203" s="61"/>
    </row>
    <row r="204" spans="13:13" ht="15" customHeight="1" x14ac:dyDescent="0.2">
      <c r="M204" s="61"/>
    </row>
    <row r="205" spans="13:13" ht="15" customHeight="1" x14ac:dyDescent="0.2">
      <c r="M205" s="61"/>
    </row>
    <row r="206" spans="13:13" ht="15" customHeight="1" x14ac:dyDescent="0.2">
      <c r="M206" s="61"/>
    </row>
    <row r="207" spans="13:13" ht="15" customHeight="1" x14ac:dyDescent="0.2">
      <c r="M207" s="61"/>
    </row>
    <row r="208" spans="13:13" ht="15" customHeight="1" x14ac:dyDescent="0.2">
      <c r="M208" s="61"/>
    </row>
    <row r="209" spans="13:13" ht="15" customHeight="1" x14ac:dyDescent="0.2">
      <c r="M209" s="61"/>
    </row>
    <row r="210" spans="13:13" ht="15" customHeight="1" x14ac:dyDescent="0.2">
      <c r="M210" s="61"/>
    </row>
    <row r="211" spans="13:13" ht="15" customHeight="1" x14ac:dyDescent="0.2">
      <c r="M211" s="61"/>
    </row>
    <row r="212" spans="13:13" ht="15" customHeight="1" x14ac:dyDescent="0.2">
      <c r="M212" s="61"/>
    </row>
    <row r="213" spans="13:13" ht="15" customHeight="1" x14ac:dyDescent="0.2">
      <c r="M213" s="61"/>
    </row>
    <row r="214" spans="13:13" ht="15" customHeight="1" x14ac:dyDescent="0.2">
      <c r="M214" s="61"/>
    </row>
    <row r="215" spans="13:13" ht="15" customHeight="1" x14ac:dyDescent="0.2">
      <c r="M215" s="61"/>
    </row>
    <row r="216" spans="13:13" ht="15" customHeight="1" x14ac:dyDescent="0.2">
      <c r="M216" s="61"/>
    </row>
    <row r="217" spans="13:13" ht="15" customHeight="1" x14ac:dyDescent="0.2">
      <c r="M217" s="61"/>
    </row>
    <row r="218" spans="13:13" ht="15" customHeight="1" x14ac:dyDescent="0.2">
      <c r="M218" s="61"/>
    </row>
    <row r="219" spans="13:13" ht="15" customHeight="1" x14ac:dyDescent="0.2">
      <c r="M219" s="61"/>
    </row>
    <row r="220" spans="13:13" ht="15" customHeight="1" x14ac:dyDescent="0.2">
      <c r="M220" s="61"/>
    </row>
    <row r="221" spans="13:13" ht="15" customHeight="1" x14ac:dyDescent="0.2">
      <c r="M221" s="61"/>
    </row>
    <row r="222" spans="13:13" ht="15" customHeight="1" x14ac:dyDescent="0.2">
      <c r="M222" s="61"/>
    </row>
    <row r="223" spans="13:13" ht="15" customHeight="1" x14ac:dyDescent="0.2">
      <c r="M223" s="61"/>
    </row>
    <row r="224" spans="13:13" ht="15" customHeight="1" x14ac:dyDescent="0.2">
      <c r="M224" s="61"/>
    </row>
    <row r="225" spans="13:13" ht="15" customHeight="1" x14ac:dyDescent="0.2">
      <c r="M225" s="61"/>
    </row>
    <row r="226" spans="13:13" ht="15" customHeight="1" x14ac:dyDescent="0.2">
      <c r="M226" s="61"/>
    </row>
    <row r="227" spans="13:13" ht="15" customHeight="1" x14ac:dyDescent="0.2">
      <c r="M227" s="61"/>
    </row>
    <row r="228" spans="13:13" ht="15" customHeight="1" x14ac:dyDescent="0.2">
      <c r="M228" s="61"/>
    </row>
    <row r="229" spans="13:13" ht="15" customHeight="1" x14ac:dyDescent="0.2">
      <c r="M229" s="61"/>
    </row>
    <row r="230" spans="13:13" ht="15" customHeight="1" x14ac:dyDescent="0.2">
      <c r="M230" s="61"/>
    </row>
    <row r="231" spans="13:13" ht="15" customHeight="1" x14ac:dyDescent="0.2">
      <c r="M231" s="61"/>
    </row>
    <row r="232" spans="13:13" ht="15" customHeight="1" x14ac:dyDescent="0.2">
      <c r="M232" s="61"/>
    </row>
    <row r="233" spans="13:13" ht="15" customHeight="1" x14ac:dyDescent="0.2">
      <c r="M233" s="61"/>
    </row>
    <row r="234" spans="13:13" ht="15" customHeight="1" x14ac:dyDescent="0.2">
      <c r="M234" s="61"/>
    </row>
  </sheetData>
  <mergeCells count="2">
    <mergeCell ref="C2:O3"/>
    <mergeCell ref="B2:B3"/>
  </mergeCells>
  <hyperlinks>
    <hyperlink ref="B98" r:id="rId1" location="Hoja1!B34" xr:uid="{00000000-0004-0000-0000-000000000000}"/>
    <hyperlink ref="B112" r:id="rId2" location="Hoja1!B34" display="FINANCIEROS" xr:uid="{00000000-0004-0000-0000-000001000000}"/>
  </hyperlinks>
  <pageMargins left="0.7" right="0.7" top="0.75" bottom="0.75" header="0.3" footer="0.3"/>
  <pageSetup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ADMINISTRATIVOS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lopez</dc:creator>
  <cp:lastModifiedBy>diego lopez</cp:lastModifiedBy>
  <dcterms:created xsi:type="dcterms:W3CDTF">2026-03-17T16:05:50Z</dcterms:created>
  <dcterms:modified xsi:type="dcterms:W3CDTF">2026-03-24T21:32:05Z</dcterms:modified>
</cp:coreProperties>
</file>