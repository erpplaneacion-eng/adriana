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1" activeTab="2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2">'GASTOS ADMINISTRATIVOS'!#REF!</definedName>
    <definedName name="FACT" localSheetId="12">'COMEDORES VALLE'!#REF!</definedName>
    <definedName name="INCREMENTO" localSheetId="12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248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119" applyAlignment="1" pivotButton="0" quotePrefix="0" xfId="2">
      <alignment horizontal="center"/>
    </xf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164" fontId="10" fillId="10" borderId="134" applyAlignment="1" pivotButton="0" quotePrefix="0" xfId="2">
      <alignment horizontal="center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73" fontId="10" fillId="0" borderId="0" pivotButton="0" quotePrefix="0" xfId="2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19" fillId="0" borderId="95" pivotButton="0" quotePrefix="0" xfId="1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35" fillId="2" borderId="0" applyAlignment="1" pivotButton="0" quotePrefix="0" xfId="2">
      <alignment horizontal="center" vertical="center" wrapText="1"/>
    </xf>
    <xf numFmtId="164" fontId="12" fillId="2" borderId="0" applyAlignment="1" pivotButton="0" quotePrefix="0" xfId="2">
      <alignment horizont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2026-03-30</t>
      </text>
    </comment>
    <comment ref="F11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2026-03-30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2026-03-30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2026-03-30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2026-03-30</t>
      </text>
    </comment>
    <comment ref="F26" authorId="0" shapeId="0">
      <text>
        <t>Archivo: 5105_CHVS_ABR_2026.xls
  Codigos: 99 GENERAL
  Celdas:  J18
  Valor:   $241,842,440
------------------------------
Total: $241,842,440
Generado: 2026-03-30</t>
      </text>
    </comment>
    <comment ref="E27" authorId="0" shapeId="0">
      <text>
        <t>Archivo: 5105_CHVS_MAR_2026.xls
  Codigos: 99 GENERAL
  Celdas:  J18
  Valor:   $241,842,440
------------------------------
Total: $241,842,440
Generado: 2026-03-30</t>
      </text>
    </comment>
    <comment ref="F27" authorId="0" shapeId="0">
      <text>
        <t>Archivo: 5105_CHVS_ABR_2026.xls
  Codigos: 99 GENERAL
  Celdas:  J18
  Valor:   $241,842,440
------------------------------
Total: $241,842,440
Generado: 2026-03-30</t>
      </text>
    </comment>
    <comment ref="E29" authorId="0" shapeId="0">
      <text>
        <t>Archivo: 5105_CHVS_MAR_2026.xls
  Codigos: 99 GENERAL
  Celdas:  J18
  Valor:   $241,842,440
------------------------------
Total: $241,842,440
Generado: 2026-03-30</t>
      </text>
    </comment>
    <comment ref="F29" authorId="0" shapeId="0">
      <text>
        <t>Archivo: 5105_CHVS_ABR_2026.xls
  Codigos: 99 GENERAL
  Celdas:  J18
  Valor:   $241,842,440
------------------------------
Total: $241,842,440
Generado: 2026-03-30</t>
      </text>
    </comment>
    <comment ref="E30" authorId="0" shapeId="0">
      <text>
        <t>Archivo: 5105_CHVS_MAR_2026.xls
  Codigos: 99 GENERAL
  Celdas:  J18
  Valor:   $241,842,440
------------------------------
Total: $241,842,440
Generado: 2026-03-30</t>
      </text>
    </comment>
    <comment ref="F30" authorId="0" shapeId="0">
      <text>
        <t>Archivo: 5105_CHVS_ABR_2026.xls
  Codigos: 99 GENERAL
  Celdas:  J18
  Valor:   $241,842,440
------------------------------
Total: $241,842,440
Generado: 2026-03-30</t>
      </text>
    </comment>
    <comment ref="E31" authorId="0" shapeId="0">
      <text>
        <t>Archivo: 5105_CHVS_MAR_2026.xls
  Codigos: 99 GENERAL
  Celdas:  J18
  Valor:   $241,842,440
------------------------------
Total: $241,842,440
Generado: 2026-03-30</t>
      </text>
    </comment>
    <comment ref="F31" authorId="0" shapeId="0">
      <text>
        <t>Archivo: 5105_CHVS_ABR_2026.xls
  Codigos: 99 GENERAL
  Celdas:  J18
  Valor:   $241,842,440
------------------------------
Total: $241,842,440
Generado: 2026-03-30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2026-03-30</t>
      </text>
    </comment>
    <comment ref="F33" authorId="0" shapeId="0">
      <text>
        <t>Archivo: 5105_CHVS_ABR_2026.xls
  Codigos: 99 GENERAL
  Celdas:  J18
  Valor:   $241,842,440
------------------------------
Total: $241,842,440
Generado: 2026-03-30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2026-03-30</t>
      </text>
    </comment>
    <comment ref="F34" authorId="0" shapeId="0">
      <text>
        <t>Archivo: 5105_CHVS_ABR_2026.xls
  Codigos: 99 GENERAL
  Celdas:  J18
  Valor:   $241,842,440
------------------------------
Total: $241,842,440
Generado: 2026-03-30</t>
      </text>
    </comment>
    <comment ref="E35" authorId="0" shapeId="0">
      <text>
        <t>Archivo: 5105_CHVS_MAR_2026.xls
  Codigos: 99 GENERAL
  Celdas:  J18
  Valor:   $241,842,440
------------------------------
Total: $241,842,440
Generado: 2026-03-30</t>
      </text>
    </comment>
    <comment ref="F35" authorId="0" shapeId="0">
      <text>
        <t>Archivo: 5105_CHVS_ABR_2026.xls
  Codigos: 99 GENERAL
  Celdas:  J18
  Valor:   $241,842,440
------------------------------
Total: $241,842,440
Generado: 2026-03-30</t>
      </text>
    </comment>
    <comment ref="E36" authorId="0" shapeId="0">
      <text>
        <t>Archivo: 5105_CHVS_MAR_2026.xls
  Codigos: 99 GENERAL
  Celdas:  J18
  Valor:   $241,842,440
------------------------------
Total: $241,842,440
Generado: 2026-03-30</t>
      </text>
    </comment>
    <comment ref="F36" authorId="0" shapeId="0">
      <text>
        <t>Archivo: 5105_CHVS_ABR_2026.xls
  Codigos: 99 GENERAL
  Celdas:  J18
  Valor:   $241,842,440
------------------------------
Total: $241,842,440
Generado: 2026-03-30</t>
      </text>
    </comment>
    <comment ref="E37" authorId="0" shapeId="0">
      <text>
        <t>Archivo: 5105_CHVS_MAR_2026.xls
  Codigos: 99 GENERAL
  Celdas:  J18
  Valor:   $241,842,440
------------------------------
Total: $241,842,440
Generado: 2026-03-30</t>
      </text>
    </comment>
    <comment ref="F37" authorId="0" shapeId="0">
      <text>
        <t>Archivo: 5105_CHVS_ABR_2026.xls
  Codigos: 99 GENERAL
  Celdas:  J18
  Valor:   $241,842,440
------------------------------
Total: $241,842,440
Generado: 2026-03-30</t>
      </text>
    </comment>
    <comment ref="E38" authorId="0" shapeId="0">
      <text>
        <t>Archivo: 5105_CHVS_MAR_2026.xls
  Codigos: 99 GENERAL
  Celdas:  J18
  Valor:   $241,842,440
------------------------------
Total: $241,842,440
Generado: 2026-03-30</t>
      </text>
    </comment>
    <comment ref="F38" authorId="0" shapeId="0">
      <text>
        <t>Archivo: 5105_CHVS_ABR_2026.xls
  Codigos: 99 GENERAL
  Celdas:  J18
  Valor:   $241,842,440
------------------------------
Total: $241,842,440
Generado: 2026-03-30</t>
      </text>
    </comment>
    <comment ref="E39" authorId="0" shapeId="0">
      <text>
        <t>Archivo: 5105_CHVS_MAR_2026.xls
  Codigos: 99 GENERAL
  Celdas:  J18
  Valor:   $241,842,440
------------------------------
Total: $241,842,440
Generado: 2026-03-30</t>
      </text>
    </comment>
    <comment ref="F39" authorId="0" shapeId="0">
      <text>
        <t>Archivo: 5105_CHVS_ABR_2026.xls
  Codigos: 99 GENERAL
  Celdas:  J18
  Valor:   $241,842,440
------------------------------
Total: $241,842,440
Generado: 2026-03-30</t>
      </text>
    </comment>
    <comment ref="E40" authorId="0" shapeId="0">
      <text>
        <t>Archivo: 5105_CHVS_MAR_2026.xls
  Codigos: 99 GENERAL
  Celdas:  J18
  Valor:   $241,842,440
------------------------------
Total: $241,842,440
Generado: 2026-03-30</t>
      </text>
    </comment>
    <comment ref="F40" authorId="0" shapeId="0">
      <text>
        <t>Archivo: 5105_CHVS_ABR_2026.xls
  Codigos: 99 GENERAL
  Celdas:  J18
  Valor:   $241,842,440
------------------------------
Total: $241,842,440
Generado: 2026-03-30</t>
      </text>
    </comment>
    <comment ref="E41" authorId="0" shapeId="0">
      <text>
        <t>Archivo: 5105_CHVS_MAR_2026.xls
  Codigos: 99 GENERAL
  Celdas:  J18
  Valor:   $241,842,440
------------------------------
Total: $241,842,440
Generado: 2026-03-30</t>
      </text>
    </comment>
    <comment ref="F41" authorId="0" shapeId="0">
      <text>
        <t>Archivo: 5105_CHVS_ABR_2026.xls
  Codigos: 99 GENERAL
  Celdas:  J18
  Valor:   $241,842,440
------------------------------
Total: $241,842,440
Generado: 2026-03-30</t>
      </text>
    </comment>
    <comment ref="E42" authorId="0" shapeId="0">
      <text>
        <t>Archivo: 5105_CHVS_MAR_2026.xls
  Codigos: 99 GENERAL
  Celdas:  J18
  Valor:   $241,842,440
------------------------------
Total: $241,842,440
Generado: 2026-03-30</t>
      </text>
    </comment>
    <comment ref="F42" authorId="0" shapeId="0">
      <text>
        <t>Archivo: 5105_CHVS_ABR_2026.xls
  Codigos: 99 GENERAL
  Celdas:  J18
  Valor:   $241,842,440
------------------------------
Total: $241,842,440
Generado: 2026-03-30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2026-03-30</t>
      </text>
    </comment>
    <comment ref="F43" authorId="0" shapeId="0">
      <text>
        <t>Archivo: 5105_CHVS_ABR_2026.xls
  Codigos: 99 GENERAL
  Celdas:  J18
  Valor:   $241,842,440
------------------------------
Total: $241,842,440
Generado: 2026-03-30</t>
      </text>
    </comment>
    <comment ref="E44" authorId="0" shapeId="0">
      <text>
        <t>Archivo: 5105_CHVS_MAR_2026.xls
  Codigos: 99 GENERAL
  Celdas:  J18
  Valor:   $241,842,440
------------------------------
Total: $241,842,440
Generado: 2026-03-30</t>
      </text>
    </comment>
    <comment ref="F44" authorId="0" shapeId="0">
      <text>
        <t>Archivo: 5105_CHVS_ABR_2026.xls
  Codigos: 99 GENERAL
  Celdas:  J18
  Valor:   $241,842,440
------------------------------
Total: $241,842,440
Generado: 2026-03-30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2026-03-30</t>
      </text>
    </comment>
    <comment ref="F45" authorId="0" shapeId="0">
      <text>
        <t>Archivo: 5105_CHVS_ABR_2026.xls
  Codigos: 99 GENERAL
  Celdas:  J18
  Valor:   $241,842,440
------------------------------
Total: $241,842,440
Generado: 2026-03-30</t>
      </text>
    </comment>
    <comment ref="E47" authorId="0" shapeId="0">
      <text>
        <t>Archivo: 5105_CHVS_MAR_2026.xls
  Codigos: 99 GENERAL
  Celdas:  J18
  Valor:   $241,842,440
------------------------------
Total: $241,842,440
Generado: 2026-03-30</t>
      </text>
    </comment>
    <comment ref="F47" authorId="0" shapeId="0">
      <text>
        <t>Archivo: 5105_CHVS_ABR_2026.xls
  Codigos: 99 GENERAL
  Celdas:  J18
  Valor:   $241,842,440
------------------------------
Total: $241,842,440
Generado: 2026-03-30</t>
      </text>
    </comment>
    <comment ref="E48" authorId="0" shapeId="0">
      <text>
        <t>Archivo: 5105_CHVS_MAR_2026.xls
  Codigos: 99 GENERAL
  Celdas:  J18
  Valor:   $241,842,440
------------------------------
Total: $241,842,440
Generado: 2026-03-30</t>
      </text>
    </comment>
    <comment ref="F48" authorId="0" shapeId="0">
      <text>
        <t>Archivo: 5105_CHVS_ABR_2026.xls
  Codigos: 99 GENERAL
  Celdas:  J18
  Valor:   $241,842,440
------------------------------
Total: $241,842,440
Generado: 2026-03-30</t>
      </text>
    </comment>
    <comment ref="E49" authorId="0" shapeId="0">
      <text>
        <t>Archivo: 5105_CHVS_MAR_2026.xls
  Codigos: 99 GENERAL
  Celdas:  J18
  Valor:   $241,842,440
------------------------------
Total: $241,842,440
Generado: 2026-03-30</t>
      </text>
    </comment>
    <comment ref="F49" authorId="0" shapeId="0">
      <text>
        <t>Archivo: 5105_CHVS_ABR_2026.xls
  Codigos: 99 GENERAL
  Celdas:  J18
  Valor:   $241,842,440
------------------------------
Total: $241,842,440
Generado: 2026-03-30</t>
      </text>
    </comment>
    <comment ref="E50" authorId="0" shapeId="0">
      <text>
        <t>Archivo: 5105_CHVS_MAR_2026.xls
  Codigos: 99 GENERAL
  Celdas:  J18
  Valor:   $241,842,440
------------------------------
Total: $241,842,440
Generado: 2026-03-30</t>
      </text>
    </comment>
    <comment ref="F50" authorId="0" shapeId="0">
      <text>
        <t>Archivo: 5105_CHVS_ABR_2026.xls
  Codigos: 99 GENERAL
  Celdas:  J18
  Valor:   $241,842,440
------------------------------
Total: $241,842,440
Generado: 2026-03-30</t>
      </text>
    </comment>
    <comment ref="E51" authorId="0" shapeId="0">
      <text>
        <t>Archivo: 5105_CHVS_MAR_2026.xls
  Codigos: 99 GENERAL
  Celdas:  J18
  Valor:   $241,842,440
------------------------------
Total: $241,842,440
Generado: 2026-03-30</t>
      </text>
    </comment>
    <comment ref="F51" authorId="0" shapeId="0">
      <text>
        <t>Archivo: 5105_CHVS_ABR_2026.xls
  Codigos: 99 GENERAL
  Celdas:  J18
  Valor:   $241,842,440
------------------------------
Total: $241,842,440
Generado: 2026-03-30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2026-03-30</t>
      </text>
    </comment>
    <comment ref="F53" authorId="0" shapeId="0">
      <text>
        <t>Archivo: 5105_CHVS_ABR_2026.xls
  Codigos: 99 GENERAL
  Celdas:  J18
  Valor:   $241,842,440
------------------------------
Total: $241,842,440
Generado: 2026-03-30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2026-03-30</t>
      </text>
    </comment>
    <comment ref="F54" authorId="0" shapeId="0">
      <text>
        <t>Archivo: 5105_CHVS_ABR_2026.xls
  Codigos: 99 GENERAL
  Celdas:  J18
  Valor:   $241,842,440
------------------------------
Total: $241,842,440
Generado: 2026-03-30</t>
      </text>
    </comment>
    <comment ref="E55" authorId="0" shapeId="0">
      <text>
        <t>Archivo: 5105_CHVS_MAR_2026.xls
  Codigos: 99 GENERAL
  Celdas:  J18
  Valor:   $241,842,440
------------------------------
Total: $241,842,440
Generado: 2026-03-30</t>
      </text>
    </comment>
    <comment ref="F55" authorId="0" shapeId="0">
      <text>
        <t>Archivo: 5105_CHVS_ABR_2026.xls
  Codigos: 99 GENERAL
  Celdas:  J18
  Valor:   $241,842,440
------------------------------
Total: $241,842,440
Generado: 2026-03-30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2026-03-30</t>
      </text>
    </comment>
    <comment ref="F56" authorId="0" shapeId="0">
      <text>
        <t>Archivo: 5105_CHVS_ABR_2026.xls
  Codigos: 99 GENERAL
  Celdas:  J18
  Valor:   $241,842,440
------------------------------
Total: $241,842,440
Generado: 2026-03-30</t>
      </text>
    </comment>
    <comment ref="E57" authorId="0" shapeId="0">
      <text>
        <t>Archivo: 5105_CHVS_MAR_2026.xls
  Codigos: 99 GENERAL
  Celdas:  J18
  Valor:   $241,842,440
------------------------------
Total: $241,842,440
Generado: 2026-03-30</t>
      </text>
    </comment>
    <comment ref="F57" authorId="0" shapeId="0">
      <text>
        <t>Archivo: 5105_CHVS_ABR_2026.xls
  Codigos: 99 GENERAL
  Celdas:  J18
  Valor:   $241,842,440
------------------------------
Total: $241,842,440
Generado: 2026-03-30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2026-03-30</t>
      </text>
    </comment>
    <comment ref="F58" authorId="0" shapeId="0">
      <text>
        <t>Archivo: 5105_CHVS_ABR_2026.xls
  Codigos: 99 GENERAL
  Celdas:  J18
  Valor:   $241,842,440
------------------------------
Total: $241,842,440
Generado: 2026-03-30</t>
      </text>
    </comment>
    <comment ref="E60" authorId="0" shapeId="0">
      <text>
        <t>Archivo: 5105_CHVS_MAR_2026.xls
  Codigos: 99 GENERAL
  Celdas:  J18
  Valor:   $241,842,440
------------------------------
Total: $241,842,440
Generado: 2026-03-30</t>
      </text>
    </comment>
    <comment ref="F60" authorId="0" shapeId="0">
      <text>
        <t>Archivo: 5105_CHVS_ABR_2026.xls
  Codigos: 99 GENERAL
  Celdas:  J18
  Valor:   $241,842,440
------------------------------
Total: $241,842,440
Generado: 2026-03-30</t>
      </text>
    </comment>
    <comment ref="E61" authorId="0" shapeId="0">
      <text>
        <t>Archivo: 5105_CHVS_MAR_2026.xls
  Codigos: 99 GENERAL
  Celdas:  J18
  Valor:   $241,842,440
------------------------------
Total: $241,842,440
Generado: 2026-03-30</t>
      </text>
    </comment>
    <comment ref="F61" authorId="0" shapeId="0">
      <text>
        <t>Archivo: 5105_CHVS_ABR_2026.xls
  Codigos: 99 GENERAL
  Celdas:  J18
  Valor:   $241,842,440
------------------------------
Total: $241,842,440
Generado: 2026-03-30</t>
      </text>
    </comment>
    <comment ref="E63" authorId="0" shapeId="0">
      <text>
        <t>Archivo: 5105_CHVS_MAR_2026.xls
  Codigos: 99 GENERAL
  Celdas:  J18
  Valor:   $241,842,440
------------------------------
Total: $241,842,440
Generado: 2026-03-30</t>
      </text>
    </comment>
    <comment ref="F63" authorId="0" shapeId="0">
      <text>
        <t>Archivo: 5105_CHVS_ABR_2026.xls
  Codigos: 99 GENERAL
  Celdas:  J18
  Valor:   $241,842,440
------------------------------
Total: $241,842,440
Generado: 2026-03-30</t>
      </text>
    </comment>
    <comment ref="E64" authorId="0" shapeId="0">
      <text>
        <t>Archivo: 5105_CHVS_MAR_2026.xls
  Codigos: 99 GENERAL
  Celdas:  J18
  Valor:   $241,842,440
------------------------------
Total: $241,842,440
Generado: 2026-03-30</t>
      </text>
    </comment>
    <comment ref="F64" authorId="0" shapeId="0">
      <text>
        <t>Archivo: 5105_CHVS_ABR_2026.xls
  Codigos: 99 GENERAL
  Celdas:  J18
  Valor:   $241,842,440
------------------------------
Total: $241,842,440
Generado: 2026-03-30</t>
      </text>
    </comment>
    <comment ref="E65" authorId="0" shapeId="0">
      <text>
        <t>Archivo: 5105_CHVS_MAR_2026.xls
  Codigos: 99 GENERAL
  Celdas:  J18
  Valor:   $241,842,440
------------------------------
Total: $241,842,440
Generado: 2026-03-30</t>
      </text>
    </comment>
    <comment ref="F65" authorId="0" shapeId="0">
      <text>
        <t>Archivo: 5105_CHVS_ABR_2026.xls
  Codigos: 99 GENERAL
  Celdas:  J18
  Valor:   $241,842,440
------------------------------
Total: $241,842,440
Generado: 2026-03-30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2026-03-30</t>
      </text>
    </comment>
    <comment ref="F67" authorId="0" shapeId="0">
      <text>
        <t>Archivo: 5105_CHVS_ABR_2026.xls
  Codigos: 99 GENERAL
  Celdas:  J18
  Valor:   $241,842,440
------------------------------
Total: $241,842,440
Generado: 2026-03-30</t>
      </text>
    </comment>
    <comment ref="E68" authorId="0" shapeId="0">
      <text>
        <t>Archivo: 5105_CHVS_MAR_2026.xls
  Codigos: 99 GENERAL
  Celdas:  J18
  Valor:   $241,842,440
------------------------------
Total: $241,842,440
Generado: 2026-03-30</t>
      </text>
    </comment>
    <comment ref="F68" authorId="0" shapeId="0">
      <text>
        <t>Archivo: 5105_CHVS_ABR_2026.xls
  Codigos: 99 GENERAL
  Celdas:  J18
  Valor:   $241,842,440
------------------------------
Total: $241,842,440
Generado: 2026-03-30</t>
      </text>
    </comment>
    <comment ref="E69" authorId="0" shapeId="0">
      <text>
        <t>Archivo: 5105_CHVS_MAR_2026.xls
  Codigos: 99 GENERAL
  Celdas:  J18
  Valor:   $241,842,440
------------------------------
Total: $241,842,440
Generado: 2026-03-30</t>
      </text>
    </comment>
    <comment ref="F69" authorId="0" shapeId="0">
      <text>
        <t>Archivo: 5105_CHVS_ABR_2026.xls
  Codigos: 99 GENERAL
  Celdas:  J18
  Valor:   $241,842,440
------------------------------
Total: $241,842,440
Generado: 2026-03-30</t>
      </text>
    </comment>
    <comment ref="E70" authorId="0" shapeId="0">
      <text>
        <t>Archivo: 5105_CHVS_MAR_2026.xls
  Codigos: 99 GENERAL
  Celdas:  J18
  Valor:   $241,842,440
------------------------------
Total: $241,842,440
Generado: 2026-03-30</t>
      </text>
    </comment>
    <comment ref="F70" authorId="0" shapeId="0">
      <text>
        <t>Archivo: 5105_CHVS_ABR_2026.xls
  Codigos: 99 GENERAL
  Celdas:  J18
  Valor:   $241,842,440
------------------------------
Total: $241,842,440
Generado: 2026-03-30</t>
      </text>
    </comment>
    <comment ref="E71" authorId="0" shapeId="0">
      <text>
        <t>Archivo: 5105_CHVS_MAR_2026.xls
  Codigos: 99 GENERAL
  Celdas:  J18
  Valor:   $241,842,440
------------------------------
Total: $241,842,440
Generado: 2026-03-30</t>
      </text>
    </comment>
    <comment ref="F71" authorId="0" shapeId="0">
      <text>
        <t>Archivo: 5105_CHVS_ABR_2026.xls
  Codigos: 99 GENERAL
  Celdas:  J18
  Valor:   $241,842,440
------------------------------
Total: $241,842,440
Generado: 2026-03-30</t>
      </text>
    </comment>
    <comment ref="E72" authorId="0" shapeId="0">
      <text>
        <t>Archivo: 5105_CHVS_MAR_2026.xls
  Codigos: 99 GENERAL
  Celdas:  J18
  Valor:   $241,842,440
------------------------------
Total: $241,842,440
Generado: 2026-03-30</t>
      </text>
    </comment>
    <comment ref="F72" authorId="0" shapeId="0">
      <text>
        <t>Archivo: 5105_CHVS_ABR_2026.xls
  Codigos: 99 GENERAL
  Celdas:  J18
  Valor:   $241,842,440
------------------------------
Total: $241,842,440
Generado: 2026-03-30</t>
      </text>
    </comment>
    <comment ref="E73" authorId="0" shapeId="0">
      <text>
        <t>Archivo: 5105_CHVS_MAR_2026.xls
  Codigos: 99 GENERAL
  Celdas:  J18
  Valor:   $241,842,440
------------------------------
Total: $241,842,440
Generado: 2026-03-30</t>
      </text>
    </comment>
    <comment ref="F73" authorId="0" shapeId="0">
      <text>
        <t>Archivo: 5105_CHVS_ABR_2026.xls
  Codigos: 99 GENERAL
  Celdas:  J18
  Valor:   $241,842,440
------------------------------
Total: $241,842,440
Generado: 2026-03-30</t>
      </text>
    </comment>
    <comment ref="E74" authorId="0" shapeId="0">
      <text>
        <t>Archivo: 5105_CHVS_MAR_2026.xls
  Codigos: 99 GENERAL
  Celdas:  J18
  Valor:   $241,842,440
------------------------------
Total: $241,842,440
Generado: 2026-03-30</t>
      </text>
    </comment>
    <comment ref="F74" authorId="0" shapeId="0">
      <text>
        <t>Archivo: 5105_CHVS_ABR_2026.xls
  Codigos: 99 GENERAL
  Celdas:  J18
  Valor:   $241,842,440
------------------------------
Total: $241,842,440
Generado: 2026-03-30</t>
      </text>
    </comment>
    <comment ref="E75" authorId="0" shapeId="0">
      <text>
        <t>Archivo: 5105_CHVS_MAR_2026.xls
  Codigos: 99 GENERAL
  Celdas:  J18
  Valor:   $241,842,440
------------------------------
Total: $241,842,440
Generado: 2026-03-30</t>
      </text>
    </comment>
    <comment ref="F75" authorId="0" shapeId="0">
      <text>
        <t>Archivo: 5105_CHVS_ABR_2026.xls
  Codigos: 99 GENERAL
  Celdas:  J18
  Valor:   $241,842,440
------------------------------
Total: $241,842,440
Generado: 2026-03-30</t>
      </text>
    </comment>
    <comment ref="E76" authorId="0" shapeId="0">
      <text>
        <t>Archivo: 5105_CHVS_MAR_2026.xls
  Codigos: 99 GENERAL
  Celdas:  J18
  Valor:   $241,842,440
------------------------------
Total: $241,842,440
Generado: 2026-03-30</t>
      </text>
    </comment>
    <comment ref="F76" authorId="0" shapeId="0">
      <text>
        <t>Archivo: 5105_CHVS_ABR_2026.xls
  Codigos: 99 GENERAL
  Celdas:  J18
  Valor:   $241,842,440
------------------------------
Total: $241,842,440
Generado: 2026-03-30</t>
      </text>
    </comment>
    <comment ref="E77" authorId="0" shapeId="0">
      <text>
        <t>Archivo: 5105_CHVS_MAR_2026.xls
  Codigos: 99 GENERAL
  Celdas:  J18
  Valor:   $241,842,440
------------------------------
Total: $241,842,440
Generado: 2026-03-30</t>
      </text>
    </comment>
    <comment ref="F77" authorId="0" shapeId="0">
      <text>
        <t>Archivo: 5105_CHVS_ABR_2026.xls
  Codigos: 99 GENERAL
  Celdas:  J18
  Valor:   $241,842,440
------------------------------
Total: $241,842,440
Generado: 2026-03-30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2026-03-30</t>
      </text>
    </comment>
    <comment ref="F78" authorId="0" shapeId="0">
      <text>
        <t>Archivo: 5105_CHVS_ABR_2026.xls
  Codigos: 99 GENERAL
  Celdas:  J18
  Valor:   $241,842,440
------------------------------
Total: $241,842,440
Generado: 2026-03-30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2026-03-30</t>
      </text>
    </comment>
    <comment ref="F79" authorId="0" shapeId="0">
      <text>
        <t>Archivo: 5105_CHVS_ABR_2026.xls
  Codigos: 99 GENERAL
  Celdas:  J18
  Valor:   $241,842,440
------------------------------
Total: $241,842,440
Generado: 2026-03-30</t>
      </text>
    </comment>
    <comment ref="E80" authorId="0" shapeId="0">
      <text>
        <t>Archivo: 5105_CHVS_MAR_2026.xls
  Codigos: 99 GENERAL
  Celdas:  J18
  Valor:   $241,842,440
------------------------------
Total: $241,842,440
Generado: 2026-03-30</t>
      </text>
    </comment>
    <comment ref="F80" authorId="0" shapeId="0">
      <text>
        <t>Archivo: 5105_CHVS_ABR_2026.xls
  Codigos: 99 GENERAL
  Celdas:  J18
  Valor:   $241,842,440
------------------------------
Total: $241,842,440
Generado: 2026-03-30</t>
      </text>
    </comment>
    <comment ref="E81" authorId="0" shapeId="0">
      <text>
        <t>Archivo: 5105_CHVS_MAR_2026.xls
  Codigos: 99 GENERAL
  Celdas:  J18
  Valor:   $241,842,440
------------------------------
Total: $241,842,440
Generado: 2026-03-30</t>
      </text>
    </comment>
    <comment ref="F81" authorId="0" shapeId="0">
      <text>
        <t>Archivo: 5105_CHVS_ABR_2026.xls
  Codigos: 99 GENERAL
  Celdas:  J18
  Valor:   $241,842,440
------------------------------
Total: $241,842,440
Generado: 2026-03-30</t>
      </text>
    </comment>
    <comment ref="E82" authorId="0" shapeId="0">
      <text>
        <t>Archivo: 5105_CHVS_MAR_2026.xls
  Codigos: 99 GENERAL
  Celdas:  J18
  Valor:   $241,842,440
------------------------------
Total: $241,842,440
Generado: 2026-03-30</t>
      </text>
    </comment>
    <comment ref="F82" authorId="0" shapeId="0">
      <text>
        <t>Archivo: 5105_CHVS_ABR_2026.xls
  Codigos: 99 GENERAL
  Celdas:  J18
  Valor:   $241,842,440
------------------------------
Total: $241,842,440
Generado: 2026-03-30</t>
      </text>
    </comment>
    <comment ref="E83" authorId="0" shapeId="0">
      <text>
        <t>Archivo: 5105_CHVS_MAR_2026.xls
  Codigos: 99 GENERAL
  Celdas:  J18
  Valor:   $241,842,440
------------------------------
Total: $241,842,440
Generado: 2026-03-30</t>
      </text>
    </comment>
    <comment ref="F83" authorId="0" shapeId="0">
      <text>
        <t>Archivo: 5105_CHVS_ABR_2026.xls
  Codigos: 99 GENERAL
  Celdas:  J18
  Valor:   $241,842,440
------------------------------
Total: $241,842,440
Generado: 2026-03-30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2026-03-30</t>
      </text>
    </comment>
    <comment ref="F84" authorId="0" shapeId="0">
      <text>
        <t>Archivo: 5105_CHVS_ABR_2026.xls
  Codigos: 99 GENERAL
  Celdas:  J18
  Valor:   $241,842,440
------------------------------
Total: $241,842,440
Generado: 2026-03-30</t>
      </text>
    </comment>
    <comment ref="E85" authorId="0" shapeId="0">
      <text>
        <t>Archivo: 5105_CHVS_MAR_2026.xls
  Codigos: 99 GENERAL
  Celdas:  J18
  Valor:   $241,842,440
------------------------------
Total: $241,842,440
Generado: 2026-03-30</t>
      </text>
    </comment>
    <comment ref="F85" authorId="0" shapeId="0">
      <text>
        <t>Archivo: 5105_CHVS_ABR_2026.xls
  Codigos: 99 GENERAL
  Celdas:  J18
  Valor:   $241,842,440
------------------------------
Total: $241,842,440
Generado: 2026-03-30</t>
      </text>
    </comment>
    <comment ref="E86" authorId="0" shapeId="0">
      <text>
        <t>Archivo: 5105_CHVS_MAR_2026.xls
  Codigos: 99 GENERAL
  Celdas:  J18
  Valor:   $241,842,440
------------------------------
Total: $241,842,440
Generado: 2026-03-30</t>
      </text>
    </comment>
    <comment ref="F86" authorId="0" shapeId="0">
      <text>
        <t>Archivo: 5105_CHVS_ABR_2026.xls
  Codigos: 99 GENERAL
  Celdas:  J18
  Valor:   $241,842,440
------------------------------
Total: $241,842,440
Generado: 2026-03-30</t>
      </text>
    </comment>
    <comment ref="E87" authorId="0" shapeId="0">
      <text>
        <t>Archivo: 5105_CHVS_MAR_2026.xls
  Codigos: 99 GENERAL
  Celdas:  J18
  Valor:   $241,842,440
------------------------------
Total: $241,842,440
Generado: 2026-03-30</t>
      </text>
    </comment>
    <comment ref="F87" authorId="0" shapeId="0">
      <text>
        <t>Archivo: 5105_CHVS_ABR_2026.xls
  Codigos: 99 GENERAL
  Celdas:  J18
  Valor:   $241,842,440
------------------------------
Total: $241,842,440
Generado: 2026-03-30</t>
      </text>
    </comment>
    <comment ref="E88" authorId="0" shapeId="0">
      <text>
        <t>Archivo: 5105_CHVS_MAR_2026.xls
  Codigos: 99 GENERAL
  Celdas:  J18
  Valor:   $241,842,440
------------------------------
Total: $241,842,440
Generado: 2026-03-30</t>
      </text>
    </comment>
    <comment ref="F88" authorId="0" shapeId="0">
      <text>
        <t>Archivo: 5105_CHVS_ABR_2026.xls
  Codigos: 99 GENERAL
  Celdas:  J18
  Valor:   $241,842,440
------------------------------
Total: $241,842,440
Generado: 2026-03-30</t>
      </text>
    </comment>
    <comment ref="E91" authorId="0" shapeId="0">
      <text>
        <t>Archivo: 5105_CHVS_MAR_2026.xls
  Codigos: 99 GENERAL
  Celdas:  J18
  Valor:   $241,842,440
------------------------------
Total: $241,842,440
Generado: 2026-03-30</t>
      </text>
    </comment>
    <comment ref="F91" authorId="0" shapeId="0">
      <text>
        <t>Archivo: 5105_CHVS_ABR_2026.xls
  Codigos: 99 GENERAL
  Celdas:  J18
  Valor:   $241,842,440
------------------------------
Total: $241,842,440
Generado: 2026-03-30</t>
      </text>
    </comment>
    <comment ref="E92" authorId="0" shapeId="0">
      <text>
        <t>Archivo: 5105_CHVS_MAR_2026.xls
  Codigos: 99 GENERAL
  Celdas:  J18
  Valor:   $241,842,440
------------------------------
Total: $241,842,440
Generado: 2026-03-30</t>
      </text>
    </comment>
    <comment ref="F92" authorId="0" shapeId="0">
      <text>
        <t>Archivo: 5105_CHVS_ABR_2026.xls
  Codigos: 99 GENERAL
  Celdas:  J18
  Valor:   $241,842,440
------------------------------
Total: $241,842,440
Generado: 2026-03-30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2026-03-30</t>
      </text>
    </comment>
    <comment ref="F93" authorId="0" shapeId="0">
      <text>
        <t>Archivo: 5105_CHVS_ABR_2026.xls
  Codigos: 99 GENERAL
  Celdas:  J18
  Valor:   $241,842,440
------------------------------
Total: $241,842,440
Generado: 2026-03-30</t>
      </text>
    </comment>
    <comment ref="E94" authorId="0" shapeId="0">
      <text>
        <t>Archivo: 5105_CHVS_MAR_2026.xls
  Codigos: 99 GENERAL
  Celdas:  J18
  Valor:   $241,842,440
------------------------------
Total: $241,842,440
Generado: 2026-03-30</t>
      </text>
    </comment>
    <comment ref="F94" authorId="0" shapeId="0">
      <text>
        <t>Archivo: 5105_CHVS_ABR_2026.xls
  Codigos: 99 GENERAL
  Celdas:  J18
  Valor:   $241,842,440
------------------------------
Total: $241,842,440
Generado: 2026-03-30</t>
      </text>
    </comment>
    <comment ref="E95" authorId="0" shapeId="0">
      <text>
        <t>Archivo: 5105_CHVS_MAR_2026.xls
  Codigos: 99 GENERAL
  Celdas:  J18
  Valor:   $241,842,440
------------------------------
Total: $241,842,440
Generado: 2026-03-30</t>
      </text>
    </comment>
    <comment ref="F95" authorId="0" shapeId="0">
      <text>
        <t>Archivo: 5105_CHVS_ABR_2026.xls
  Codigos: 99 GENERAL
  Celdas:  J18
  Valor:   $241,842,440
------------------------------
Total: $241,842,440
Generado: 2026-03-30</t>
      </text>
    </comment>
    <comment ref="E99" authorId="0" shapeId="0">
      <text>
        <t>Archivo: 5105_CHVS_MAR_2026.xls
  Codigos: 99 GENERAL
  Celdas:  J18
  Valor:   $241,842,440
------------------------------
Total: $241,842,440
Generado: 2026-03-30</t>
      </text>
    </comment>
    <comment ref="F99" authorId="0" shapeId="0">
      <text>
        <t>Archivo: 5105_CHVS_ABR_2026.xls
  Codigos: 99 GENERAL
  Celdas:  J18
  Valor:   $241,842,440
------------------------------
Total: $241,842,440
Generado: 2026-03-30</t>
      </text>
    </comment>
    <comment ref="E100" authorId="0" shapeId="0">
      <text>
        <t>Archivo: 5105_CHVS_MAR_2026.xls
  Codigos: 99 GENERAL
  Celdas:  J18
  Valor:   $241,842,440
------------------------------
Total: $241,842,440
Generado: 2026-03-30</t>
      </text>
    </comment>
    <comment ref="F100" authorId="0" shapeId="0">
      <text>
        <t>Archivo: 5105_CHVS_ABR_2026.xls
  Codigos: 99 GENERAL
  Celdas:  J18
  Valor:   $241,842,440
------------------------------
Total: $241,842,440
Generado: 2026-03-30</t>
      </text>
    </comment>
    <comment ref="E101" authorId="0" shapeId="0">
      <text>
        <t>Archivo: 5105_CHVS_MAR_2026.xls
  Codigos: 99 GENERAL
  Celdas:  J18
  Valor:   $241,842,440
------------------------------
Total: $241,842,440
Generado: 2026-03-30</t>
      </text>
    </comment>
    <comment ref="F101" authorId="0" shapeId="0">
      <text>
        <t>Archivo: 5105_CHVS_ABR_2026.xls
  Codigos: 99 GENERAL
  Celdas:  J18
  Valor:   $241,842,440
------------------------------
Total: $241,842,440
Generado: 2026-03-30</t>
      </text>
    </comment>
    <comment ref="E102" authorId="0" shapeId="0">
      <text>
        <t>Archivo: 5105_CHVS_MAR_2026.xls
  Codigos: 99 GENERAL
  Celdas:  J18
  Valor:   $241,842,440
------------------------------
Total: $241,842,440
Generado: 2026-03-30</t>
      </text>
    </comment>
    <comment ref="F102" authorId="0" shapeId="0">
      <text>
        <t>Archivo: 5105_CHVS_ABR_2026.xls
  Codigos: 99 GENERAL
  Celdas:  J18
  Valor:   $241,842,440
------------------------------
Total: $241,842,440
Generado: 2026-03-30</t>
      </text>
    </comment>
    <comment ref="E103" authorId="0" shapeId="0">
      <text>
        <t>Archivo: 5105_CHVS_MAR_2026.xls
  Codigos: 99 GENERAL
  Celdas:  J18
  Valor:   $241,842,440
------------------------------
Total: $241,842,440
Generado: 2026-03-30</t>
      </text>
    </comment>
    <comment ref="F103" authorId="0" shapeId="0">
      <text>
        <t>Archivo: 5105_CHVS_ABR_2026.xls
  Codigos: 99 GENERAL
  Celdas:  J18
  Valor:   $241,842,440
------------------------------
Total: $241,842,440
Generado: 2026-03-30</t>
      </text>
    </comment>
    <comment ref="E104" authorId="0" shapeId="0">
      <text>
        <t>Archivo: 5105_CHVS_MAR_2026.xls
  Codigos: 99 GENERAL
  Celdas:  J18
  Valor:   $241,842,440
------------------------------
Total: $241,842,440
Generado: 2026-03-30</t>
      </text>
    </comment>
    <comment ref="F104" authorId="0" shapeId="0">
      <text>
        <t>Archivo: 5105_CHVS_ABR_2026.xls
  Codigos: 99 GENERAL
  Celdas:  J18
  Valor:   $241,842,440
------------------------------
Total: $241,842,440
Generado: 2026-03-30</t>
      </text>
    </comment>
    <comment ref="E105" authorId="0" shapeId="0">
      <text>
        <t>Archivo: 5105_CHVS_MAR_2026.xls
  Codigos: 99 GENERAL
  Celdas:  J18
  Valor:   $241,842,440
------------------------------
Total: $241,842,440
Generado: 2026-03-30</t>
      </text>
    </comment>
    <comment ref="F105" authorId="0" shapeId="0">
      <text>
        <t>Archivo: 5105_CHVS_ABR_2026.xls
  Codigos: 99 GENERAL
  Celdas:  J18
  Valor:   $241,842,440
------------------------------
Total: $241,842,440
Generado: 2026-03-30</t>
      </text>
    </comment>
    <comment ref="E106" authorId="0" shapeId="0">
      <text>
        <t>Archivo: 5105_CHVS_MAR_2026.xls
  Codigos: 99 GENERAL
  Celdas:  J18
  Valor:   $241,842,440
------------------------------
Total: $241,842,440
Generado: 2026-03-30</t>
      </text>
    </comment>
    <comment ref="F106" authorId="0" shapeId="0">
      <text>
        <t>Archivo: 5105_CHVS_ABR_2026.xls
  Codigos: 99 GENERAL
  Celdas:  J18
  Valor:   $241,842,440
------------------------------
Total: $241,842,440
Generado: 2026-03-30</t>
      </text>
    </comment>
    <comment ref="E107" authorId="0" shapeId="0">
      <text>
        <t>Archivo: 5105_CHVS_MAR_2026.xls
  Codigos: 99 GENERAL
  Celdas:  J18
  Valor:   $241,842,440
------------------------------
Total: $241,842,440
Generado: 2026-03-30</t>
      </text>
    </comment>
    <comment ref="F107" authorId="0" shapeId="0">
      <text>
        <t>Archivo: 5105_CHVS_ABR_2026.xls
  Codigos: 99 GENERAL
  Celdas:  J18
  Valor:   $241,842,440
------------------------------
Total: $241,842,440
Generado: 2026-03-30</t>
      </text>
    </comment>
    <comment ref="E108" authorId="0" shapeId="0">
      <text>
        <t>Archivo: 5105_CHVS_MAR_2026.xls
  Codigos: 99 GENERAL
  Celdas:  J18
  Valor:   $241,842,440
------------------------------
Total: $241,842,440
Generado: 2026-03-30</t>
      </text>
    </comment>
    <comment ref="F108" authorId="0" shapeId="0">
      <text>
        <t>Archivo: 5105_CHVS_ABR_2026.xls
  Codigos: 99 GENERAL
  Celdas:  J18
  Valor:   $241,842,440
------------------------------
Total: $241,842,440
Generado: 2026-03-30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2026-03-30</t>
      </text>
    </comment>
    <comment ref="F111" authorId="0" shapeId="0">
      <text>
        <t>Archivo: 5105_CHVS_ABR_2026.xls
  Codigos: 99 GENERAL
  Celdas:  J18
  Valor:   $241,842,440
------------------------------
Total: $241,842,440
Generado: 2026-03-30</t>
      </text>
    </comment>
    <comment ref="E112" authorId="0" shapeId="0">
      <text>
        <t>Archivo: 5105_CHVS_MAR_2026.xls
  Codigos: 99 GENERAL
  Celdas:  J18
  Valor:   $241,842,440
------------------------------
Total: $241,842,440
Generado: 2026-03-30</t>
      </text>
    </comment>
    <comment ref="F112" authorId="0" shapeId="0">
      <text>
        <t>Archivo: 5105_CHVS_ABR_2026.xls
  Codigos: 99 GENERAL
  Celdas:  J18
  Valor:   $241,842,440
------------------------------
Total: $241,842,440
Generado: 2026-03-30</t>
      </text>
    </comment>
    <comment ref="E113" authorId="0" shapeId="0">
      <text>
        <t>Archivo: 5105_CHVS_MAR_2026.xls
  Codigos: 99 GENERAL
  Celdas:  J18
  Valor:   $241,842,440
------------------------------
Total: $241,842,440
Generado: 2026-03-30</t>
      </text>
    </comment>
    <comment ref="F113" authorId="0" shapeId="0">
      <text>
        <t>Archivo: 5105_CHVS_ABR_2026.xls
  Codigos: 99 GENERAL
  Celdas:  J18
  Valor:   $241,842,440
------------------------------
Total: $241,842,440
Generado: 2026-03-30</t>
      </text>
    </comment>
    <comment ref="E115" authorId="0" shapeId="0">
      <text>
        <t>Archivo: 5105_CHVS_MAR_2026.xls
  Codigos: 99 GENERAL
  Celdas:  J18
  Valor:   $241,842,440
------------------------------
Total: $241,842,440
Generado: 2026-03-30</t>
      </text>
    </comment>
    <comment ref="F115" authorId="0" shapeId="0">
      <text>
        <t>Archivo: 5105_CHVS_ABR_2026.xls
  Codigos: 99 GENERAL
  Celdas:  J18
  Valor:   $241,842,440
------------------------------
Total: $241,842,440
Generado: 2026-03-30</t>
      </text>
    </comment>
    <comment ref="E116" authorId="0" shapeId="0">
      <text>
        <t>Archivo: 5105_CHVS_MAR_2026.xls
  Codigos: 99 GENERAL
  Celdas:  J18
  Valor:   $241,842,440
------------------------------
Total: $241,842,440
Generado: 2026-03-30</t>
      </text>
    </comment>
    <comment ref="F116" authorId="0" shapeId="0">
      <text>
        <t>Archivo: 5105_CHVS_ABR_2026.xls
  Codigos: 99 GENERAL
  Celdas:  J18
  Valor:   $241,842,440
------------------------------
Total: $241,842,440
Generado: 2026-03-30</t>
      </text>
    </comment>
    <comment ref="E117" authorId="0" shapeId="0">
      <text>
        <t>Archivo: 5105_CHVS_MAR_2026.xls
  Codigos: 99 GENERAL
  Celdas:  J18
  Valor:   $241,842,440
------------------------------
Total: $241,842,440
Generado: 2026-03-30</t>
      </text>
    </comment>
    <comment ref="F117" authorId="0" shapeId="0">
      <text>
        <t>Archivo: 5105_CHVS_ABR_2026.xls
  Codigos: 99 GENERAL
  Celdas:  J18
  Valor:   $241,842,440
------------------------------
Total: $241,842,440
Generado: 2026-03-30</t>
      </text>
    </comment>
    <comment ref="E118" authorId="0" shapeId="0">
      <text>
        <t>Archivo: 5105_CHVS_MAR_2026.xls
  Codigos: 99 GENERAL
  Celdas:  J18
  Valor:   $241,842,440
------------------------------
Total: $241,842,440
Generado: 2026-03-30</t>
      </text>
    </comment>
    <comment ref="F118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1" authorId="0" shapeId="0">
      <text>
        <t>Archivo: 5105_CHVS_MAR_2026.xls
  Codigos: 010201           CONTABILIDAD
  Celdas:  J22
  Valor:   $23,734,730
------------------------------
Total: $23,734,730
Generado: 2026-03-30</t>
      </text>
    </comment>
    <comment ref="F11" authorId="0" shapeId="0">
      <text>
        <t>Archivo: 5105_CHVS_ABR_2026.xls
  Codigos: 010201           CONTABILIDAD
  Celdas:  J22
  Valor:   $23,734,730
------------------------------
Total: $23,734,730
Generado: 2026-03-30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B18" authorId="2" shapeId="0">
      <text>
        <t xml:space="preserve">Vehiculos JCVD
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2026-03-30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Op fija: + $1  -&gt; subtotal $241,842,441
------------------------------
Total: $241,842,441
Generado: 2026-03-30</t>
      </text>
    </comment>
    <comment ref="L16" authorId="0" shapeId="0">
      <text>
        <t>Archivo: 5105_CHVS_ABR_2026.xls
  Codigos: 99 GENERAL
  Celdas:  J18
  Valor:   $241,842,440
Op fija: + $1  -&gt; subtotal $241,842,441
------------------------------
Total: $241,842,441
Generado: 2026-03-30</t>
      </text>
    </comment>
    <comment ref="I58" authorId="0" shapeId="0">
      <text>
        <t>Archivo: 5105_CHVS_MAR_2026.xls
  Codigos: 99 GENERAL
  Celdas:  J18
  Valor:   $241,842,440
Op fija: + $1  -&gt; subtotal $241,842,441
------------------------------
Total: $241,842,441
Generado: 2026-03-30</t>
      </text>
    </comment>
    <comment ref="L58" authorId="0" shapeId="0">
      <text>
        <t>Archivo: 5105_CHVS_ABR_2026.xls
  Codigos: 99 GENERAL
  Celdas:  J18
  Valor:   $241,842,440
Op fija: + $1  -&gt; subtotal $241,842,441
------------------------------
Total: $241,842,441
Generado: 2026-03-30</t>
      </text>
    </comment>
    <comment ref="I62" authorId="0" shapeId="0">
      <text>
        <t>Archivo: 5105_CHVS_MAR_2026.xls
  Codigos: 99 GENERAL
  Celdas:  J18
  Valor:   $241,842,440
------------------------------
Total: $241,842,440
Generado: 2026-03-30</t>
      </text>
    </comment>
    <comment ref="L62" authorId="0" shapeId="0">
      <text>
        <t>Archivo: 5105_CHVS_ABR_2026.xls
  Codigos: 99 GENERAL
  Celdas:  J18
  Valor:   $241,842,440
------------------------------
Total: $241,842,440
Generado: 2026-03-30</t>
      </text>
    </comment>
    <comment ref="I63" authorId="0" shapeId="0">
      <text>
        <t>Archivo: 5105_CHVS_MAR_2026.xls
  Codigos: 99 GENERAL
  Celdas:  J18
  Valor:   $241,842,440
------------------------------
Total: $241,842,440
Generado: 2026-03-30</t>
      </text>
    </comment>
    <comment ref="L63" authorId="0" shapeId="0">
      <text>
        <t>Archivo: 5105_CHVS_ABR_2026.xls
  Codigos: 99 GENERAL
  Celdas:  J18
  Valor:   $241,842,440
------------------------------
Total: $241,842,440
Generado: 2026-03-30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2026-03-30</t>
      </text>
    </comment>
    <comment ref="L76" authorId="0" shapeId="0">
      <text>
        <t>Archivo: 5105_CHVS_ABR_2026.xls
  Codigos: 99 GENERAL
  Celdas:  J18
  Valor:   $241,842,440
------------------------------
Total: $241,842,440
Generado: 2026-03-30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2026-03-30</t>
      </text>
    </comment>
    <comment ref="L77" authorId="0" shapeId="0">
      <text>
        <t>Archivo: 5105_CHVS_ABR_2026.xls
  Codigos: 99 GENERAL
  Celdas:  J18
  Valor:   $241,842,440
------------------------------
Total: $241,842,440
Generado: 2026-03-30</t>
      </text>
    </comment>
    <comment ref="I79" authorId="0" shapeId="0">
      <text>
        <t>Archivo: 5105_CHVS_MAR_2026.xls
  Codigos: 99 GENERAL
  Celdas:  J18
  Valor:   $241,842,440
------------------------------
Total: $241,842,440
Generado: 2026-03-30</t>
      </text>
    </comment>
    <comment ref="L79" authorId="0" shapeId="0">
      <text>
        <t>Archivo: 5105_CHVS_ABR_2026.xls
  Codigos: 99 GENERAL
  Celdas:  J18
  Valor:   $241,842,440
------------------------------
Total: $241,842,440
Generado: 2026-03-30</t>
      </text>
    </comment>
    <comment ref="I85" authorId="0" shapeId="0">
      <text>
        <t>Archivo: 5105_CHVS_MAR_2026.xls
  Codigos: 99 GENERAL
  Celdas:  J18
  Valor:   $241,842,440
------------------------------
Total: $241,842,440
Generado: 2026-03-30</t>
      </text>
    </comment>
    <comment ref="L85" authorId="0" shapeId="0">
      <text>
        <t>Archivo: 5105_CHVS_ABR_2026.xls
  Codigos: 99 GENERAL
  Celdas:  J18
  Valor:   $241,842,440
------------------------------
Total: $241,842,440
Generado: 2026-03-30</t>
      </text>
    </comment>
    <comment ref="I86" authorId="0" shapeId="0">
      <text>
        <t>Archivo: 5105_CHVS_MAR_2026.xls
  Codigos: 99 GENERAL
  Celdas:  J18
  Valor:   $241,842,440
------------------------------
Total: $241,842,440
Generado: 2026-03-30</t>
      </text>
    </comment>
    <comment ref="L86" authorId="0" shapeId="0">
      <text>
        <t>Archivo: 5105_CHVS_ABR_2026.xls
  Codigos: 99 GENERAL
  Celdas:  J18
  Valor:   $241,842,440
------------------------------
Total: $241,842,440
Generado: 2026-03-30</t>
      </text>
    </comment>
    <comment ref="I87" authorId="0" shapeId="0">
      <text>
        <t>Archivo: 5105_CHVS_MAR_2026.xls
  Codigos: 99 GENERAL
  Celdas:  J18
  Valor:   $241,842,440
------------------------------
Total: $241,842,440
Generado: 2026-03-30</t>
      </text>
    </comment>
    <comment ref="L87" authorId="0" shapeId="0">
      <text>
        <t>Archivo: 5105_CHVS_ABR_2026.xls
  Codigos: 99 GENERAL
  Celdas:  J18
  Valor:   $241,842,440
------------------------------
Total: $241,842,440
Generado: 2026-03-30</t>
      </text>
    </comment>
    <comment ref="I89" authorId="0" shapeId="0">
      <text>
        <t>Archivo: 5105_CHVS_MAR_2026.xls
  Codigos: 99 GENERAL
  Celdas:  J18
  Valor:   $241,842,440
------------------------------
Total: $241,842,440
Generado: 2026-03-30</t>
      </text>
    </comment>
    <comment ref="L89" authorId="0" shapeId="0">
      <text>
        <t>Archivo: 5105_CHVS_ABR_2026.xls
  Codigos: 99 GENERAL
  Celdas:  J18
  Valor:   $241,842,440
------------------------------
Total: $241,842,440
Generado: 2026-03-30</t>
      </text>
    </comment>
    <comment ref="I90" authorId="0" shapeId="0">
      <text>
        <t>Archivo: 5105_CHVS_MAR_2026.xls
  Codigos: 99 GENERAL
  Celdas:  J18
  Valor:   $241,842,440
------------------------------
Total: $241,842,440
Generado: 2026-03-30</t>
      </text>
    </comment>
    <comment ref="L90" authorId="0" shapeId="0">
      <text>
        <t>Archivo: 5105_CHVS_ABR_2026.xls
  Codigos: 99 GENERAL
  Celdas:  J18
  Valor:   $241,842,440
------------------------------
Total: $241,842,440
Generado: 2026-03-30</t>
      </text>
    </comment>
    <comment ref="I92" authorId="0" shapeId="0">
      <text>
        <t>Archivo: 5105_CHVS_MAR_2026.xls
  Codigos: 99 GENERAL
  Celdas:  J18
  Valor:   $241,842,440
Archivo: 5105_CHVS_MAR_2026.xls
  Codigos: 010301           TALENTO HUMANO
  Celdas:  J24
  Valor:   $35,002,114
Archivo: 5105_CHVS_MAR_2026.xls
  Codigos: 010303           CASINO EMPLEADOS
  Celdas:  J26
  Valor:   $4,115,810
Archivo: 5105_CHVS_MAR_2026.xls
  Codigos: 010401           PLANEACION
  Celdas:  J28
  Valor:   $5,705,110
------------------------------
Total: $286,665,474
Generado: 2026-03-30</t>
      </text>
    </comment>
    <comment ref="L92" authorId="0" shapeId="0">
      <text>
        <t>Archivo: 5105_CHVS_ABR_2026.xls
  Codigos: 99 GENERAL
  Celdas:  J18
  Valor:   $241,842,440
Archivo: 5105_CHVS_ABR_2026.xls
  Codigos: 010301           TALENTO HUMANO
  Celdas:  J24
  Valor:   $35,002,114
Archivo: 5105_CHVS_ABR_2026.xls
  Codigos: 010303           CASINO EMPLEADOS
  Celdas:  J26
  Valor:   $4,115,810
Archivo: 5105_CHVS_ABR_2026.xls
  Codigos: 010401           PLANEACION
  Celdas:  J28
  Valor:   $5,705,110
------------------------------
Total: $286,665,474
Generado: 2026-03-30</t>
      </text>
    </comment>
    <comment ref="I93" authorId="0" shapeId="0">
      <text>
        <t>Archivo: 5105_CHVS_MAR_2026.xls
  Codigos: 99 GENERAL
  Celdas:  J18
  Valor:   $241,842,440
Archivo: 5105_CHVS_MAR_2026.xls
  Codigos: 010303           CASINO EMPLEADOS
  Celdas:  J26
  Valor:   $4,115,810
------------------------------
Total: $245,958,250
Generado: 2026-03-30</t>
      </text>
    </comment>
    <comment ref="L93" authorId="0" shapeId="0">
      <text>
        <t>Archivo: 5105_CHVS_ABR_2026.xls
  Codigos: 99 GENERAL
  Celdas:  J18
  Valor:   $241,842,440
Archivo: 5105_CHVS_ABR_2026.xls
  Codigos: 010303           CASINO EMPLEADOS
  Celdas:  J26
  Valor:   $4,115,810
------------------------------
Total: $245,958,250
Generado: 2026-03-30</t>
      </text>
    </comment>
    <comment ref="I96" authorId="0" shapeId="0">
      <text>
        <t>Archivo: 5105_CHVS_MAR_2026.xls
  Codigos: 99 GENERAL
  Celdas:  J18
  Valor:   $241,842,440
------------------------------
Total: $241,842,440
Generado: 2026-03-30</t>
      </text>
    </comment>
    <comment ref="L96" authorId="0" shapeId="0">
      <text>
        <t>Archivo: 5105_CHVS_ABR_2026.xls
  Codigos: 99 GENERAL
  Celdas:  J18
  Valor:   $241,842,440
------------------------------
Total: $241,842,440
Generado: 2026-03-30</t>
      </text>
    </comment>
    <comment ref="I97" authorId="0" shapeId="0">
      <text>
        <t>Archivo: 5105_CHVS_MAR_2026.xls
  Codigos: 99 GENERAL
  Celdas:  J18
  Valor:   $241,842,440
------------------------------
Total: $241,842,440
Generado: 2026-03-30</t>
      </text>
    </comment>
    <comment ref="L97" authorId="0" shapeId="0">
      <text>
        <t>Archivo: 5105_CHVS_ABR_2026.xls
  Codigos: 99 GENERAL
  Celdas:  J18
  Valor:   $241,842,440
------------------------------
Total: $241,842,440
Generado: 2026-03-30</t>
      </text>
    </comment>
    <comment ref="I99" authorId="0" shapeId="0">
      <text>
        <t>Archivo: 5105_CHVS_MAR_2026.xls
  Codigos: 99 GENERAL
  Celdas:  J18
  Valor:   $241,842,440
------------------------------
Total: $241,842,440
Generado: 2026-03-30</t>
      </text>
    </comment>
    <comment ref="L99" authorId="0" shapeId="0">
      <text>
        <t>Archivo: 5105_CHVS_ABR_2026.xls
  Codigos: 99 GENERAL
  Celdas:  J18
  Valor:   $241,842,440
------------------------------
Total: $241,842,440
Generado: 2026-03-30</t>
      </text>
    </comment>
    <comment ref="I100" authorId="0" shapeId="0">
      <text>
        <t>Archivo: 5105_CHVS_MAR_2026.xls
  Codigos: 99 GENERAL
  Celdas:  J18
  Valor:   $241,842,440
------------------------------
Total: $241,842,440
Generado: 2026-03-30</t>
      </text>
    </comment>
    <comment ref="L100" authorId="0" shapeId="0">
      <text>
        <t>Archivo: 5105_CHVS_ABR_2026.xls
  Codigos: 99 GENERAL
  Celdas:  J18
  Valor:   $241,842,440
------------------------------
Total: $241,842,440
Generado: 2026-03-30</t>
      </text>
    </comment>
    <comment ref="I101" authorId="0" shapeId="0">
      <text>
        <t>Archivo: 5105_CHVS_MAR_2026.xls
  Codigos: 99 GENERAL
  Celdas:  J18
  Valor:   $241,842,440
------------------------------
Total: $241,842,440
Generado: 2026-03-30</t>
      </text>
    </comment>
    <comment ref="L101" authorId="0" shapeId="0">
      <text>
        <t>Archivo: 5105_CHVS_ABR_2026.xls
  Codigos: 99 GENERAL
  Celdas:  J18
  Valor:   $241,842,440
------------------------------
Total: $241,842,440
Generado: 2026-03-30</t>
      </text>
    </comment>
    <comment ref="I102" authorId="0" shapeId="0">
      <text>
        <t>Archivo: 5105_CHVS_MAR_2026.xls
  Codigos: 99 GENERAL
  Celdas:  J18
  Valor:   $241,842,440
------------------------------
Total: $241,842,440
Generado: 2026-03-30</t>
      </text>
    </comment>
    <comment ref="L102" authorId="0" shapeId="0">
      <text>
        <t>Archivo: 5105_CHVS_ABR_2026.xls
  Codigos: 99 GENERAL
  Celdas:  J18
  Valor:   $241,842,440
------------------------------
Total: $241,842,440
Generado: 2026-03-30</t>
      </text>
    </comment>
    <comment ref="I103" authorId="0" shapeId="0">
      <text>
        <t>Archivo: 5105_CHVS_MAR_2026.xls
  Codigos: 99 GENERAL
  Celdas:  J18
  Valor:   $241,842,440
------------------------------
Total: $241,842,440
Generado: 2026-03-30</t>
      </text>
    </comment>
    <comment ref="L103" authorId="0" shapeId="0">
      <text>
        <t>Archivo: 5105_CHVS_ABR_2026.xls
  Codigos: 99 GENERAL
  Celdas:  J18
  Valor:   $241,842,440
------------------------------
Total: $241,842,440
Generado: 2026-03-30</t>
      </text>
    </comment>
    <comment ref="I104" authorId="0" shapeId="0">
      <text>
        <t>Archivo: 5105_CHVS_MAR_2026.xls
  Codigos: 99 GENERAL
  Celdas:  J18
  Valor:   $241,842,440
------------------------------
Total: $241,842,440
Generado: 2026-03-30</t>
      </text>
    </comment>
    <comment ref="L104" authorId="0" shapeId="0">
      <text>
        <t>Archivo: 5105_CHVS_ABR_2026.xls
  Codigos: 99 GENERAL
  Celdas:  J18
  Valor:   $241,842,440
------------------------------
Total: $241,842,440
Generado: 2026-03-30</t>
      </text>
    </comment>
    <comment ref="I105" authorId="0" shapeId="0">
      <text>
        <t>Archivo: 5105_CHVS_MAR_2026.xls
  Codigos: 99 GENERAL
  Celdas:  J18
  Valor:   $241,842,440
------------------------------
Total: $241,842,440
Generado: 2026-03-30</t>
      </text>
    </comment>
    <comment ref="L105" authorId="0" shapeId="0">
      <text>
        <t>Archivo: 5105_CHVS_ABR_2026.xls
  Codigos: 99 GENERAL
  Celdas:  J18
  Valor:   $241,842,440
------------------------------
Total: $241,842,440
Generado: 2026-03-30</t>
      </text>
    </comment>
    <comment ref="I106" authorId="0" shapeId="0">
      <text>
        <t>Archivo: 5105_CHVS_MAR_2026.xls
  Codigos: 99 GENERAL
  Celdas:  J18
  Valor:   $241,842,440
------------------------------
Total: $241,842,440
Generado: 2026-03-30</t>
      </text>
    </comment>
    <comment ref="L106" authorId="0" shapeId="0">
      <text>
        <t>Archivo: 5105_CHVS_ABR_2026.xls
  Codigos: 99 GENERAL
  Celdas:  J18
  Valor:   $241,842,440
------------------------------
Total: $241,842,440
Generado: 2026-03-30</t>
      </text>
    </comment>
    <comment ref="I107" authorId="0" shapeId="0">
      <text>
        <t>Archivo: 5105_CHVS_MAR_2026.xls
  Codigos: 99 GENERAL
  Celdas:  J18
  Valor:   $241,842,440
------------------------------
Total: $241,842,440
Generado: 2026-03-30</t>
      </text>
    </comment>
    <comment ref="L107" authorId="0" shapeId="0">
      <text>
        <t>Archivo: 5105_CHVS_ABR_2026.xls
  Codigos: 99 GENERAL
  Celdas:  J18
  Valor:   $241,842,440
------------------------------
Total: $241,842,440
Generado: 2026-03-30</t>
      </text>
    </comment>
    <comment ref="I109" authorId="0" shapeId="0">
      <text>
        <t>Archivo: 5105_CHVS_MAR_2026.xls
  Codigos: 99 GENERAL
  Celdas:  J18
  Valor:   $241,842,440
------------------------------
Total: $241,842,440
Generado: 2026-03-30</t>
      </text>
    </comment>
    <comment ref="L109" authorId="0" shapeId="0">
      <text>
        <t>Archivo: 5105_CHVS_ABR_2026.xls
  Codigos: 99 GENERAL
  Celdas:  J18
  Valor:   $241,842,440
------------------------------
Total: $241,842,440
Generado: 2026-03-30</t>
      </text>
    </comment>
    <comment ref="I110" authorId="0" shapeId="0">
      <text>
        <t>Archivo: 5105_CHVS_MAR_2026.xls
  Codigos: 99 GENERAL
  Celdas:  J18
  Valor:   $241,842,440
------------------------------
Total: $241,842,440
Generado: 2026-03-30</t>
      </text>
    </comment>
    <comment ref="L110" authorId="0" shapeId="0">
      <text>
        <t>Archivo: 5105_CHVS_ABR_2026.xls
  Codigos: 99 GENERAL
  Celdas:  J18
  Valor:   $241,842,440
------------------------------
Total: $241,842,440
Generado: 2026-03-30</t>
      </text>
    </comment>
    <comment ref="I111" authorId="0" shapeId="0">
      <text>
        <t>Archivo: 5105_CHVS_MAR_2026.xls
  Codigos: 99 GENERAL
  Celdas:  J18
  Valor:   $241,842,440
------------------------------
Total: $241,842,440
Generado: 2026-03-30</t>
      </text>
    </comment>
    <comment ref="L111" authorId="0" shapeId="0">
      <text>
        <t>Archivo: 5105_CHVS_ABR_2026.xls
  Codigos: 99 GENERAL
  Celdas:  J18
  Valor:   $241,842,440
------------------------------
Total: $241,842,440
Generado: 2026-03-30</t>
      </text>
    </comment>
    <comment ref="I112" authorId="0" shapeId="0">
      <text>
        <t>Archivo: 5105_CHVS_MAR_2026.xls
  Codigos: 99 GENERAL
  Celdas:  J18
  Valor:   $241,842,440
------------------------------
Total: $241,842,440
Generado: 2026-03-30</t>
      </text>
    </comment>
    <comment ref="L112" authorId="0" shapeId="0">
      <text>
        <t>Archivo: 5105_CHVS_ABR_2026.xls
  Codigos: 99 GENERAL
  Celdas:  J18
  Valor:   $241,842,440
------------------------------
Total: $241,842,440
Generado: 2026-03-30</t>
      </text>
    </comment>
    <comment ref="I114" authorId="0" shapeId="0">
      <text>
        <t>Archivo: 5105_CHVS_MAR_2026.xls
  Codigos: 99 GENERAL
  Celdas:  J18
  Valor:   $241,842,440
Archivo: 5105_CHVS_MAR_2026.xls
  Codigos: 010301           TALENTO HUMANO
  Celdas:  J24
  Valor:   $35,002,114
Archivo: 5105_CHVS_MAR_2026.xls
  Codigos: 010303           CASINO EMPLEADOS
  Celdas:  J26
  Valor:   $4,115,810
Archivo: 5105_CHVS_MAR_2026.xls
  Codigos: 010401           PLANEACION
  Celdas:  J28
  Valor:   $5,705,110
------------------------------
Total: $286,665,474
Generado: 2026-03-30</t>
      </text>
    </comment>
    <comment ref="L114" authorId="0" shapeId="0">
      <text>
        <t>Archivo: 5105_CHVS_ABR_2026.xls
  Codigos: 99 GENERAL
  Celdas:  J18
  Valor:   $241,842,440
Archivo: 5105_CHVS_ABR_2026.xls
  Codigos: 010301           TALENTO HUMANO
  Celdas:  J24
  Valor:   $35,002,114
Archivo: 5105_CHVS_ABR_2026.xls
  Codigos: 010303           CASINO EMPLEADOS
  Celdas:  J26
  Valor:   $4,115,810
Archivo: 5105_CHVS_ABR_2026.xls
  Codigos: 010401           PLANEACION
  Celdas:  J28
  Valor:   $5,705,110
------------------------------
Total: $286,665,474
Generado: 2026-03-30</t>
      </text>
    </comment>
    <comment ref="I115" authorId="0" shapeId="0">
      <text>
        <t>Archivo: 5105_CHVS_MAR_2026.xls
  Codigos: 99 GENERAL
  Celdas:  J18
  Valor:   $241,842,440
Archivo: 5105_CHVS_MAR_2026.xls
  Codigos: 010303           CASINO EMPLEADOS
  Celdas:  J26
  Valor:   $4,115,810
------------------------------
Total: $245,958,250
Generado: 2026-03-30</t>
      </text>
    </comment>
    <comment ref="L115" authorId="0" shapeId="0">
      <text>
        <t>Archivo: 5105_CHVS_ABR_2026.xls
  Codigos: 99 GENERAL
  Celdas:  J18
  Valor:   $241,842,440
Archivo: 5105_CHVS_ABR_2026.xls
  Codigos: 010303           CASINO EMPLEADOS
  Celdas:  J26
  Valor:   $4,115,810
------------------------------
Total: $245,958,250
Generado: 2026-03-30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16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17" authorId="0" shapeId="0">
      <text>
        <t>Archivo: 5105_CHVS_MAR_2026.xls
  Codigos: 99 GENERAL
  Celdas:  J18
  Valor:   $241,842,440
Archivo: 5105_CHVS_MAR_2026.xls
  Codigos: 010303           CASINO EMPLEADOS
  Celdas:  J26
  Valor:   $4,115,810
Archivo: 5105_CHVS_MAR_2026.xls
  Codigos: 010401           PLANEACION
  Celdas:  J28
  Valor:   $5,705,110
Archivo: 5105_CHVS_MAR_2026.xls
  Codigos: 010403           JURIDICA
  Celdas:  J30
  Valor:   $8,594,020
------------------------------
Total: $260,257,380
Generado: 2026-03-30</t>
      </text>
    </comment>
    <comment ref="L117" authorId="0" shapeId="0">
      <text>
        <t>Archivo: 5105_CHVS_ABR_2026.xls
  Codigos: 99 GENERAL
  Celdas:  J18
  Valor:   $241,842,440
Archivo: 5105_CHVS_ABR_2026.xls
  Codigos: 010303           CASINO EMPLEADOS
  Celdas:  J26
  Valor:   $4,115,810
Archivo: 5105_CHVS_ABR_2026.xls
  Codigos: 010401           PLANEACION
  Celdas:  J28
  Valor:   $5,705,110
Archivo: 5105_CHVS_ABR_2026.xls
  Codigos: 010403           JURIDICA
  Celdas:  J30
  Valor:   $8,594,020
------------------------------
Total: $260,257,380
Generado: 2026-03-30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18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20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1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1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3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5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25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27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27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28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8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9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29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30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30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31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31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32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2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3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3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4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3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35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5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6" authorId="0" shapeId="0">
      <text>
        <t>Archivo: 5105_CHVS_MAR_2026.xls
  Codigos: 020199           APRENDICES LOGIST
  Celdas:  J34
  Valor:   $228,100
------------------------------
Total: $228,100
Generado: 2026-03-30</t>
      </text>
    </comment>
    <comment ref="L136" authorId="0" shapeId="0">
      <text>
        <t>Archivo: 5105_CHVS_ABR_2026.xls
  Codigos: 020199           APRENDICES LOGIST
  Celdas:  J34
  Valor:   $228,100
------------------------------
Total: $228,100
Generado: 2026-03-30</t>
      </text>
    </comment>
    <comment ref="I137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7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8" authorId="0" shapeId="0">
      <text>
        <t>Archivo: 5105_CHVS_MAR_2026.xls
  Codigos: 020199           APRENDICES LOGIST
  Celdas:  J34
  Valor:   $228,100
------------------------------
Total: $228,100
Generado: 2026-03-30</t>
      </text>
    </comment>
    <comment ref="L138" authorId="0" shapeId="0">
      <text>
        <t>Archivo: 5105_CHVS_ABR_2026.xls
  Codigos: 020199           APRENDICES LOGIST
  Celdas:  J34
  Valor:   $228,100
------------------------------
Total: $228,100
Generado: 2026-03-30</t>
      </text>
    </comment>
    <comment ref="I142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42" authorId="0" shapeId="0">
      <text>
        <t>Archivo: 5105_CHVS_ABR_2026.xls
  Codigos: 010411           COMUNICACIONES
  Celdas:  J32
  Valor:   $6,422,662
------------------------------
Total: $6,422,662
Generado: 2026-03-30</t>
      </text>
    </comment>
  </commentList>
</comments>
</file>

<file path=xl/comments/comment5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ENERO 26
</t>
      </text>
    </comment>
    <comment ref="C90" authorId="0" shapeId="0">
      <text>
        <t>$900,000 dic</t>
      </text>
    </comment>
    <comment ref="C97" authorId="0" shapeId="0">
      <text>
        <t xml:space="preserve">$21,002,713 dic
</t>
      </text>
    </comment>
    <comment ref="F119" authorId="0" shapeId="0">
      <text>
        <t xml:space="preserve">Mtto Basculas
</t>
      </text>
    </comment>
    <comment ref="B126" authorId="0" shapeId="0">
      <text>
        <t xml:space="preserve">Visita a Proveedores
</t>
      </text>
    </comment>
    <comment ref="B142" authorId="0" shapeId="0">
      <text>
        <t xml:space="preserve">Botiquin
</t>
      </text>
    </comment>
  </commentList>
</comments>
</file>

<file path=xl/comments/comment6.xml><?xml version="1.0" encoding="utf-8"?>
<comments xmlns="http://schemas.openxmlformats.org/spreadsheetml/2006/main">
  <authors>
    <author>USER</author>
    <author>ADRIANA</author>
  </authors>
  <commentList>
    <comment ref="C3" authorId="0" shapeId="0">
      <text>
        <t xml:space="preserve">Inicia 27 de enero
</t>
      </text>
    </comment>
    <comment ref="AD52" authorId="1" shapeId="0">
      <text>
        <t xml:space="preserve">$2,934,400 la locura
</t>
      </text>
    </comment>
    <comment ref="C101" authorId="0" shapeId="0">
      <text>
        <t xml:space="preserve">Natalia Ledesma
</t>
      </text>
    </comment>
  </commentList>
</comments>
</file>

<file path=xl/comments/comment7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Inicia 20 de enero
</t>
      </text>
    </comment>
    <comment ref="C97" authorId="0" shapeId="0">
      <text>
        <t xml:space="preserve">$1,853,955 DIC
</t>
      </text>
    </comment>
    <comment ref="C113" authorId="0" shapeId="0">
      <text>
        <t xml:space="preserve">$167,200 DIC
</t>
      </text>
    </comment>
  </commentList>
</comments>
</file>

<file path=xl/comments/comment8.xml><?xml version="1.0" encoding="utf-8"?>
<comments xmlns="http://schemas.openxmlformats.org/spreadsheetml/2006/main">
  <authors>
    <author>USER</author>
  </authors>
  <commentList>
    <comment ref="C47" authorId="0" shapeId="0">
      <text>
        <t xml:space="preserve">$26,928,489 salidas de enero que cargaron en febrero.
***Descontar en febrero
</t>
      </text>
    </comment>
  </commentList>
</comments>
</file>

<file path=xl/comments/comment9.xml><?xml version="1.0" encoding="utf-8"?>
<comments xmlns="http://schemas.openxmlformats.org/spreadsheetml/2006/main">
  <authors>
    <author>ADRIANA</author>
    <author>USER</author>
  </authors>
  <commentList>
    <comment ref="I13" authorId="0" shapeId="0">
      <text>
        <t xml:space="preserve">$2,436,174,720
</t>
      </text>
    </comment>
    <comment ref="O114" authorId="1" shapeId="0">
      <text>
        <t xml:space="preserve">Serv de mtto estructura + compra de materiales
</t>
      </text>
    </comment>
    <comment ref="R135" authorId="1" shapeId="0">
      <text>
        <t>Electrodomesticos</t>
      </text>
    </comment>
    <comment ref="C139" authorId="1" shapeId="0">
      <text>
        <t>Donacion Morral de CTTO (Caminos creativos)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986" min="1" max="1"/>
    <col width="15.6640625" customWidth="1" style="986" min="2" max="2"/>
    <col width="7" customWidth="1" style="986" min="3" max="3"/>
    <col width="15.6640625" customWidth="1" style="986" min="4" max="4"/>
    <col width="10.5546875" customWidth="1" style="986" min="5" max="5"/>
    <col width="15.6640625" customWidth="1" style="986" min="6" max="6"/>
    <col width="9.44140625" customWidth="1" style="986" min="7" max="7"/>
    <col width="15.6640625" customWidth="1" style="986" min="8" max="8"/>
    <col width="8.109375" customWidth="1" style="986" min="9" max="9"/>
    <col width="15.6640625" customWidth="1" style="986" min="10" max="10"/>
    <col width="8.6640625" customWidth="1" style="986" min="11" max="11"/>
    <col width="15.6640625" customWidth="1" style="986" min="12" max="12"/>
    <col width="9.44140625" customWidth="1" style="986" min="13" max="13"/>
    <col width="15.6640625" customWidth="1" style="986" min="14" max="14"/>
    <col width="8.6640625" customWidth="1" style="986" min="15" max="15"/>
    <col width="15.6640625" customWidth="1" style="986" min="16" max="16"/>
    <col width="8.6640625" customWidth="1" style="986" min="17" max="17"/>
    <col width="15.6640625" customWidth="1" style="986" min="18" max="18"/>
    <col width="8.6640625" customWidth="1" style="986" min="19" max="19"/>
    <col width="15.6640625" customWidth="1" style="986" min="20" max="20"/>
    <col width="8.6640625" customWidth="1" style="986" min="21" max="21"/>
    <col width="15.6640625" customWidth="1" style="986" min="22" max="22"/>
    <col width="8.6640625" customWidth="1" style="986" min="23" max="23"/>
    <col width="15.6640625" customWidth="1" style="986" min="24" max="24"/>
    <col width="8.6640625" customWidth="1" style="986" min="25" max="25"/>
    <col width="17" bestFit="1" customWidth="1" style="986" min="26" max="26"/>
  </cols>
  <sheetData>
    <row r="1" ht="20.25" customHeight="1" s="986">
      <c r="A1" s="985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986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986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986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986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986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986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986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986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986">
      <c r="A11" s="390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986">
      <c r="A12" s="390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986">
      <c r="A13" s="390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986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50" t="n"/>
      <c r="I16" s="449" t="n"/>
      <c r="J16" s="1001" t="n"/>
    </row>
    <row r="17" ht="15.6" customHeight="1" s="986">
      <c r="A17" s="364" t="inlineStr">
        <is>
          <t>DISTRIBUCION FLETES INTERNOS</t>
        </is>
      </c>
    </row>
    <row r="19" ht="20.1" customHeight="1" s="986">
      <c r="A19" s="120" t="n"/>
      <c r="B19" s="359" t="inlineStr">
        <is>
          <t>ENE</t>
        </is>
      </c>
      <c r="C19" s="359" t="n"/>
      <c r="D19" s="359" t="inlineStr">
        <is>
          <t>FEB</t>
        </is>
      </c>
      <c r="E19" s="359" t="n"/>
      <c r="F19" s="359" t="inlineStr">
        <is>
          <t>MAR</t>
        </is>
      </c>
      <c r="G19" s="359" t="n"/>
      <c r="H19" s="360" t="inlineStr">
        <is>
          <t>ABR</t>
        </is>
      </c>
      <c r="I19" s="359" t="n"/>
      <c r="J19" s="360" t="inlineStr">
        <is>
          <t>MAY</t>
        </is>
      </c>
      <c r="K19" s="359" t="n"/>
      <c r="L19" s="360" t="inlineStr">
        <is>
          <t>JUN</t>
        </is>
      </c>
      <c r="M19" s="359" t="n"/>
      <c r="N19" s="360" t="inlineStr">
        <is>
          <t>JUL</t>
        </is>
      </c>
      <c r="O19" s="359" t="n"/>
      <c r="P19" s="360" t="inlineStr">
        <is>
          <t>AGO</t>
        </is>
      </c>
      <c r="Q19" s="359" t="n"/>
      <c r="R19" s="360" t="inlineStr">
        <is>
          <t>SEP</t>
        </is>
      </c>
      <c r="S19" s="359" t="n"/>
      <c r="T19" s="360" t="inlineStr">
        <is>
          <t>OCT</t>
        </is>
      </c>
      <c r="U19" s="359" t="n"/>
      <c r="V19" s="360" t="inlineStr">
        <is>
          <t>NOV</t>
        </is>
      </c>
      <c r="W19" s="359" t="n"/>
      <c r="X19" s="360" t="inlineStr">
        <is>
          <t>DIC</t>
        </is>
      </c>
      <c r="Y19" s="359" t="n"/>
    </row>
    <row r="20" ht="20.1" customHeight="1" s="986">
      <c r="A20" s="359" t="inlineStr">
        <is>
          <t>CALI</t>
        </is>
      </c>
      <c r="B20" s="1002" t="n">
        <v>0.22</v>
      </c>
      <c r="C20" s="121" t="n"/>
      <c r="D20" s="1002" t="n">
        <v>0.6850000000000001</v>
      </c>
      <c r="E20" s="121" t="n"/>
      <c r="F20" s="1002" t="n">
        <v>0.64</v>
      </c>
      <c r="G20" s="123" t="n"/>
      <c r="H20" s="1002" t="n">
        <v>0.5649999999999999</v>
      </c>
      <c r="I20" s="121" t="n"/>
      <c r="J20" s="362" t="n">
        <v>0.47</v>
      </c>
      <c r="K20" s="121" t="n"/>
      <c r="L20" s="362" t="n">
        <v>0.6</v>
      </c>
      <c r="M20" s="121" t="n"/>
      <c r="N20" s="1002" t="n">
        <v>0.23</v>
      </c>
      <c r="O20" s="121" t="n"/>
      <c r="P20" s="1002" t="n">
        <v>0.495</v>
      </c>
      <c r="Q20" s="1003" t="n"/>
      <c r="R20" s="1002" t="n">
        <v>0.53</v>
      </c>
      <c r="S20" s="121" t="n"/>
      <c r="T20" s="1002" t="n">
        <v>0.38</v>
      </c>
      <c r="U20" s="121" t="n"/>
      <c r="V20" s="1002" t="n">
        <v>0.52</v>
      </c>
      <c r="W20" s="121" t="n"/>
      <c r="X20" s="362" t="n"/>
      <c r="Y20" s="121" t="n"/>
      <c r="AA20" s="362" t="n">
        <v>0.2</v>
      </c>
    </row>
    <row r="21" ht="20.1" customHeight="1" s="986">
      <c r="A21" s="359" t="inlineStr">
        <is>
          <t>YUMBO</t>
        </is>
      </c>
      <c r="B21" s="1002" t="n">
        <v>0.075</v>
      </c>
      <c r="C21" s="121" t="n"/>
      <c r="D21" s="1002" t="n">
        <v>0.2</v>
      </c>
      <c r="E21" s="121" t="n"/>
      <c r="F21" s="1002" t="n">
        <v>0.18</v>
      </c>
      <c r="G21" s="123" t="n"/>
      <c r="H21" s="1002" t="n">
        <v>0.19</v>
      </c>
      <c r="I21" s="121" t="n"/>
      <c r="J21" s="362" t="n">
        <v>0.19</v>
      </c>
      <c r="K21" s="121" t="n"/>
      <c r="L21" s="362" t="n">
        <v>0.09</v>
      </c>
      <c r="M21" s="121" t="n"/>
      <c r="N21" s="1002" t="n">
        <v>0.13</v>
      </c>
      <c r="O21" s="121" t="n"/>
      <c r="P21" s="1002" t="n">
        <v>0.175</v>
      </c>
      <c r="Q21" s="1003" t="n"/>
      <c r="R21" s="1002" t="n">
        <v>0.16</v>
      </c>
      <c r="S21" s="121" t="n"/>
      <c r="T21" s="1002" t="n">
        <v>0.12</v>
      </c>
      <c r="U21" s="121" t="n"/>
      <c r="V21" s="1002" t="n">
        <v>0.2</v>
      </c>
      <c r="W21" s="121" t="n"/>
      <c r="X21" s="362" t="n"/>
      <c r="Y21" s="121" t="n"/>
      <c r="AA21" s="362" t="n"/>
    </row>
    <row r="22" ht="20.1" customHeight="1" s="986">
      <c r="A22" s="359" t="inlineStr">
        <is>
          <t>GOBERNACION</t>
        </is>
      </c>
      <c r="B22" s="362" t="n"/>
      <c r="C22" s="121" t="n"/>
      <c r="D22" s="1002" t="n"/>
      <c r="E22" s="121" t="n"/>
      <c r="F22" s="1002" t="n"/>
      <c r="G22" s="123" t="n"/>
      <c r="H22" s="1002" t="n"/>
      <c r="I22" s="121" t="n"/>
      <c r="J22" s="1002" t="n"/>
      <c r="K22" s="121" t="n"/>
      <c r="L22" s="1002" t="n"/>
      <c r="M22" s="121" t="n"/>
      <c r="N22" s="362" t="n"/>
      <c r="O22" s="121" t="n"/>
      <c r="P22" s="1002" t="n"/>
      <c r="Q22" s="397" t="n"/>
      <c r="R22" s="1002" t="n"/>
      <c r="S22" s="121" t="n"/>
      <c r="T22" s="1002" t="n"/>
      <c r="U22" s="121" t="n"/>
      <c r="V22" s="1002" t="n"/>
      <c r="W22" s="121" t="n"/>
      <c r="X22" s="362" t="n"/>
      <c r="Y22" s="121" t="n"/>
      <c r="AA22" s="362" t="n"/>
    </row>
    <row r="23" ht="20.1" customHeight="1" s="986">
      <c r="A23" s="359" t="inlineStr">
        <is>
          <t>BUGA</t>
        </is>
      </c>
      <c r="B23" s="362" t="n">
        <v>0.015</v>
      </c>
      <c r="C23" s="121" t="n"/>
      <c r="D23" s="1002" t="n">
        <v>0.02</v>
      </c>
      <c r="E23" s="121" t="n"/>
      <c r="F23" s="1002" t="n">
        <v>0.02</v>
      </c>
      <c r="G23" s="123" t="n"/>
      <c r="H23" s="1002" t="n">
        <v>0.035</v>
      </c>
      <c r="I23" s="121" t="n"/>
      <c r="J23" s="362" t="n">
        <v>0.04</v>
      </c>
      <c r="K23" s="121" t="n"/>
      <c r="L23" s="362" t="n">
        <v>0.02</v>
      </c>
      <c r="M23" s="121" t="n"/>
      <c r="N23" s="362" t="n">
        <v>0.01</v>
      </c>
      <c r="O23" s="121" t="n"/>
      <c r="P23" s="1002" t="n">
        <v>0.015</v>
      </c>
      <c r="Q23" s="121" t="n"/>
      <c r="R23" s="1002" t="n">
        <v>0.01</v>
      </c>
      <c r="S23" s="121" t="n"/>
      <c r="T23" s="1002" t="n">
        <v>0.02</v>
      </c>
      <c r="U23" s="121" t="n"/>
      <c r="V23" s="1002" t="n">
        <v>0.01</v>
      </c>
      <c r="W23" s="121" t="n"/>
      <c r="X23" s="362" t="n"/>
      <c r="Y23" s="121" t="n"/>
      <c r="AA23" s="362" t="n">
        <v>0.15</v>
      </c>
    </row>
    <row r="24" ht="20.1" customHeight="1" s="986">
      <c r="A24" s="359" t="inlineStr">
        <is>
          <t>HUNGRIA</t>
        </is>
      </c>
      <c r="B24" s="362" t="n"/>
      <c r="C24" s="121" t="n"/>
      <c r="D24" s="1002" t="n"/>
      <c r="E24" s="121" t="n"/>
      <c r="F24" s="1002" t="n"/>
      <c r="G24" s="123" t="n"/>
      <c r="H24" s="1002" t="n"/>
      <c r="I24" s="121" t="n"/>
      <c r="J24" s="362" t="n"/>
      <c r="K24" s="121" t="n"/>
      <c r="L24" s="362" t="n"/>
      <c r="M24" s="121" t="n"/>
      <c r="N24" s="362" t="n"/>
      <c r="O24" s="121" t="n"/>
      <c r="P24" s="1002" t="n"/>
      <c r="Q24" s="397" t="n"/>
      <c r="R24" s="1002" t="n"/>
      <c r="S24" s="121" t="n"/>
      <c r="T24" s="1002" t="n"/>
      <c r="U24" s="121" t="n"/>
      <c r="V24" s="1002" t="n"/>
      <c r="W24" s="121" t="n"/>
      <c r="X24" s="362" t="n"/>
      <c r="Y24" s="121" t="n"/>
      <c r="AA24" s="362" t="n">
        <v>0.55</v>
      </c>
    </row>
    <row r="25" ht="20.1" customHeight="1" s="986">
      <c r="A25" s="359" t="inlineStr">
        <is>
          <t>COMEDORES CALI</t>
        </is>
      </c>
      <c r="B25" s="362" t="n">
        <v>0.67</v>
      </c>
      <c r="C25" s="121" t="n"/>
      <c r="D25" s="1002" t="n">
        <v>0.08500000000000001</v>
      </c>
      <c r="E25" s="121" t="n"/>
      <c r="F25" s="1002" t="n">
        <v>0.16</v>
      </c>
      <c r="G25" s="123" t="n"/>
      <c r="H25" s="1002" t="n">
        <v>0.175</v>
      </c>
      <c r="I25" s="121" t="n"/>
      <c r="J25" s="362" t="n">
        <v>0.1</v>
      </c>
      <c r="K25" s="121" t="n"/>
      <c r="L25" s="362" t="n">
        <v>0.09</v>
      </c>
      <c r="M25" s="121" t="n"/>
      <c r="N25" s="362" t="n">
        <v>0.32</v>
      </c>
      <c r="O25" s="121" t="n"/>
      <c r="P25" s="1002" t="n">
        <v>0.115</v>
      </c>
      <c r="Q25" s="1003" t="n"/>
      <c r="R25" s="1002" t="n">
        <v>0.13</v>
      </c>
      <c r="S25" s="121" t="n"/>
      <c r="T25" s="1002" t="n">
        <v>0.21</v>
      </c>
      <c r="U25" s="121" t="n"/>
      <c r="V25" s="1002" t="n">
        <v>0.09</v>
      </c>
      <c r="W25" s="121" t="n"/>
      <c r="X25" s="362" t="n">
        <v>0.89</v>
      </c>
      <c r="Y25" s="121" t="n"/>
      <c r="AA25" s="362" t="n"/>
    </row>
    <row r="26" ht="20.1" customHeight="1" s="986">
      <c r="A26" s="359" t="inlineStr">
        <is>
          <t>COMEDORES GOB</t>
        </is>
      </c>
      <c r="B26" s="362" t="n"/>
      <c r="C26" s="121" t="n"/>
      <c r="D26" s="1002" t="n"/>
      <c r="E26" s="121" t="n"/>
      <c r="F26" s="1002" t="n"/>
      <c r="G26" s="123" t="n"/>
      <c r="H26" s="1002" t="n"/>
      <c r="I26" s="121" t="n"/>
      <c r="J26" s="1002" t="n">
        <v>0.17</v>
      </c>
      <c r="K26" s="121" t="n"/>
      <c r="L26" s="1002" t="n">
        <v>0.15</v>
      </c>
      <c r="M26" s="121" t="n"/>
      <c r="N26" s="362" t="n">
        <v>0.25</v>
      </c>
      <c r="O26" s="121" t="n"/>
      <c r="P26" s="1002" t="n">
        <v>0.15</v>
      </c>
      <c r="Q26" s="1003" t="n"/>
      <c r="R26" s="1002" t="n">
        <v>0.13</v>
      </c>
      <c r="S26" s="121" t="n"/>
      <c r="T26" s="1002" t="n">
        <v>0.15</v>
      </c>
      <c r="U26" s="121" t="n"/>
      <c r="V26" s="1002" t="n">
        <v>0.15</v>
      </c>
      <c r="W26" s="121" t="n"/>
      <c r="X26" s="362" t="n"/>
      <c r="Y26" s="121" t="n"/>
      <c r="AA26" s="362" t="n">
        <v>0.04</v>
      </c>
    </row>
    <row r="27" ht="20.1" customHeight="1" s="986">
      <c r="A27" s="359" t="inlineStr">
        <is>
          <t>COMEDORES PALMIRA</t>
        </is>
      </c>
      <c r="B27" s="362" t="n">
        <v>0.02</v>
      </c>
      <c r="C27" s="121" t="n"/>
      <c r="D27" s="1002" t="n">
        <v>0.01</v>
      </c>
      <c r="E27" s="121" t="n"/>
      <c r="F27" s="1002" t="n"/>
      <c r="G27" s="123" t="n"/>
      <c r="H27" s="362" t="n"/>
      <c r="I27" s="121" t="n"/>
      <c r="J27" s="1002" t="n"/>
      <c r="K27" s="121" t="n"/>
      <c r="L27" s="1002" t="n"/>
      <c r="M27" s="121" t="n"/>
      <c r="N27" s="362" t="n">
        <v>0.01</v>
      </c>
      <c r="O27" s="121" t="n"/>
      <c r="P27" s="1002" t="n">
        <v>0.005</v>
      </c>
      <c r="Q27" s="1003" t="n"/>
      <c r="R27" s="1002" t="n">
        <v>0.03</v>
      </c>
      <c r="S27" s="121" t="n"/>
      <c r="T27" s="1002" t="n">
        <v>0.04</v>
      </c>
      <c r="U27" s="121" t="n"/>
      <c r="V27" s="1002" t="n">
        <v>0.03</v>
      </c>
      <c r="W27" s="121" t="n"/>
      <c r="X27" s="362" t="n">
        <v>0.11</v>
      </c>
      <c r="Y27" s="121" t="n"/>
      <c r="AA27" s="362" t="n"/>
    </row>
    <row r="28" ht="20.1" customHeight="1" s="986">
      <c r="A28" s="359" t="inlineStr">
        <is>
          <t>ADULTO MAYOR</t>
        </is>
      </c>
      <c r="B28" s="362" t="n"/>
      <c r="C28" s="121" t="n"/>
      <c r="D28" s="1002" t="n"/>
      <c r="E28" s="121" t="n"/>
      <c r="F28" s="1002" t="n"/>
      <c r="G28" s="123" t="n"/>
      <c r="H28" s="1002" t="n">
        <v>0.035</v>
      </c>
      <c r="I28" s="121" t="n"/>
      <c r="J28" s="362" t="n">
        <v>0.03</v>
      </c>
      <c r="K28" s="121" t="n"/>
      <c r="L28" s="362" t="n">
        <v>0.05</v>
      </c>
      <c r="M28" s="121" t="n"/>
      <c r="N28" s="362" t="n">
        <v>0.05</v>
      </c>
      <c r="O28" s="121" t="n"/>
      <c r="P28" s="1002" t="n">
        <v>0.045</v>
      </c>
      <c r="Q28" s="1003" t="n"/>
      <c r="R28" s="1002" t="n">
        <v>0.01</v>
      </c>
      <c r="S28" s="121" t="n"/>
      <c r="T28" s="362" t="n">
        <v>0.08</v>
      </c>
      <c r="U28" s="121" t="n"/>
      <c r="V28" s="1002" t="n"/>
      <c r="W28" s="121" t="n"/>
      <c r="X28" s="362" t="n"/>
      <c r="Y28" s="121" t="n"/>
      <c r="AA28" s="362" t="n"/>
    </row>
    <row r="29" ht="20.1" customHeight="1" s="986">
      <c r="A29" s="359" t="inlineStr">
        <is>
          <t>IMDERTY</t>
        </is>
      </c>
      <c r="B29" s="362" t="n"/>
      <c r="C29" s="121" t="n"/>
      <c r="D29" s="1002" t="n"/>
      <c r="E29" s="121" t="n"/>
      <c r="F29" s="1002" t="n"/>
      <c r="G29" s="123" t="n"/>
      <c r="H29" s="362" t="n"/>
      <c r="I29" s="121" t="n"/>
      <c r="J29" s="362" t="n"/>
      <c r="K29" s="121" t="n"/>
      <c r="L29" s="1002" t="n"/>
      <c r="M29" s="121" t="n"/>
      <c r="N29" s="1002" t="n"/>
      <c r="O29" s="121" t="n"/>
      <c r="P29" s="362" t="n"/>
      <c r="Q29" s="1003" t="n"/>
      <c r="R29" s="1002" t="n"/>
      <c r="S29" s="121" t="n"/>
      <c r="T29" s="1002" t="n"/>
      <c r="U29" s="121" t="n"/>
      <c r="V29" s="362" t="n"/>
      <c r="W29" s="121" t="n"/>
      <c r="X29" s="362" t="n"/>
      <c r="Y29" s="121" t="n"/>
      <c r="AA29" s="362" t="n"/>
    </row>
    <row r="30" ht="20.1" customHeight="1" s="986">
      <c r="B30" s="363">
        <f>SUM(B20:B29)</f>
        <v/>
      </c>
      <c r="C30" s="361" t="n"/>
      <c r="D30" s="1004">
        <f>SUM(D20:D29)</f>
        <v/>
      </c>
      <c r="E30" s="361" t="n"/>
      <c r="F30" s="363">
        <f>SUM(F20:F29)</f>
        <v/>
      </c>
      <c r="G30" s="361" t="n"/>
      <c r="H30" s="1004">
        <f>SUM(H20:H29)</f>
        <v/>
      </c>
      <c r="I30" s="361" t="n"/>
      <c r="J30" s="1004">
        <f>SUM(J20:J29)</f>
        <v/>
      </c>
      <c r="K30" s="361" t="n"/>
      <c r="L30" s="363">
        <f>SUM(L20:L29)</f>
        <v/>
      </c>
      <c r="M30" s="361" t="n"/>
      <c r="N30" s="1004">
        <f>SUM(N20:N29)</f>
        <v/>
      </c>
      <c r="O30" s="361" t="n"/>
      <c r="P30" s="1004">
        <f>SUM(P20:P29)</f>
        <v/>
      </c>
      <c r="Q30" s="361" t="n"/>
      <c r="R30" s="363">
        <f>SUM(R20:R29)</f>
        <v/>
      </c>
      <c r="S30" s="361" t="n"/>
      <c r="T30" s="363">
        <f>SUM(T20:T29)</f>
        <v/>
      </c>
      <c r="U30" s="361" t="n"/>
      <c r="V30" s="363">
        <f>SUM(V20:V29)</f>
        <v/>
      </c>
      <c r="W30" s="361" t="n"/>
      <c r="X30" s="363">
        <f>SUM(X20:X29)</f>
        <v/>
      </c>
      <c r="Y30" s="361" t="n"/>
    </row>
    <row r="31">
      <c r="S31" s="398" t="n"/>
    </row>
    <row r="33" ht="15.6" customHeight="1" s="986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986">
      <c r="A35" s="120" t="n"/>
      <c r="B35" s="372" t="inlineStr">
        <is>
          <t>ENE</t>
        </is>
      </c>
      <c r="C35" s="372" t="n"/>
      <c r="D35" s="372" t="inlineStr">
        <is>
          <t>FEB</t>
        </is>
      </c>
      <c r="E35" s="372" t="n"/>
      <c r="F35" s="372" t="inlineStr">
        <is>
          <t>MAR</t>
        </is>
      </c>
      <c r="G35" s="372" t="n"/>
      <c r="H35" s="127" t="inlineStr">
        <is>
          <t>ABR</t>
        </is>
      </c>
      <c r="I35" s="372" t="n"/>
      <c r="J35" s="127" t="inlineStr">
        <is>
          <t>MAY</t>
        </is>
      </c>
      <c r="K35" s="372" t="n"/>
      <c r="L35" s="127" t="inlineStr">
        <is>
          <t>JUN</t>
        </is>
      </c>
      <c r="M35" s="372" t="n"/>
      <c r="N35" s="127" t="inlineStr">
        <is>
          <t>JUL</t>
        </is>
      </c>
      <c r="O35" s="372" t="n"/>
      <c r="P35" s="127" t="inlineStr">
        <is>
          <t>AGO</t>
        </is>
      </c>
      <c r="Q35" s="372" t="n"/>
      <c r="R35" s="127" t="inlineStr">
        <is>
          <t>SEP</t>
        </is>
      </c>
      <c r="S35" s="372" t="n"/>
      <c r="T35" s="127" t="inlineStr">
        <is>
          <t>OCT</t>
        </is>
      </c>
      <c r="U35" s="372" t="n"/>
      <c r="V35" s="127" t="inlineStr">
        <is>
          <t>NOV</t>
        </is>
      </c>
      <c r="W35" s="372" t="n"/>
      <c r="X35" s="127" t="inlineStr">
        <is>
          <t>DIC</t>
        </is>
      </c>
      <c r="Y35" s="372" t="n"/>
    </row>
    <row r="36" ht="20.1" customHeight="1" s="986">
      <c r="A36" s="372" t="inlineStr">
        <is>
          <t>CALI</t>
        </is>
      </c>
      <c r="B36" s="362">
        <f>C52</f>
        <v/>
      </c>
      <c r="C36" s="121" t="n"/>
      <c r="D36" s="362">
        <f>E52</f>
        <v/>
      </c>
      <c r="E36" s="121" t="n"/>
      <c r="F36" s="362">
        <f>G52</f>
        <v/>
      </c>
      <c r="G36" s="123" t="n"/>
      <c r="H36" s="362">
        <f>I52</f>
        <v/>
      </c>
      <c r="I36" s="121" t="n"/>
      <c r="J36" s="362">
        <f>K52</f>
        <v/>
      </c>
      <c r="K36" s="121" t="n"/>
      <c r="L36" s="362">
        <f>M52</f>
        <v/>
      </c>
      <c r="M36" s="121" t="n"/>
      <c r="N36" s="362">
        <f>O52</f>
        <v/>
      </c>
      <c r="O36" s="121" t="n"/>
      <c r="P36" s="362">
        <f>Q52</f>
        <v/>
      </c>
      <c r="Q36" s="121" t="n"/>
      <c r="R36" s="362">
        <f>S52</f>
        <v/>
      </c>
      <c r="S36" s="121" t="n"/>
      <c r="T36" s="362">
        <f>U52</f>
        <v/>
      </c>
      <c r="U36" s="121" t="n"/>
      <c r="V36" s="362">
        <f>W52</f>
        <v/>
      </c>
      <c r="W36" s="121" t="n"/>
      <c r="X36" s="362">
        <f>Y52</f>
        <v/>
      </c>
      <c r="Y36" s="121" t="n"/>
      <c r="Z36" s="423" t="n"/>
    </row>
    <row r="37" ht="20.1" customHeight="1" s="986">
      <c r="A37" s="372" t="inlineStr">
        <is>
          <t>YUMBO</t>
        </is>
      </c>
      <c r="B37" s="362">
        <f>C53</f>
        <v/>
      </c>
      <c r="C37" s="121" t="n"/>
      <c r="D37" s="362">
        <f>E53</f>
        <v/>
      </c>
      <c r="E37" s="121" t="n"/>
      <c r="F37" s="362">
        <f>G53</f>
        <v/>
      </c>
      <c r="G37" s="123" t="n"/>
      <c r="H37" s="362">
        <f>I53</f>
        <v/>
      </c>
      <c r="I37" s="121" t="n"/>
      <c r="J37" s="362">
        <f>K53</f>
        <v/>
      </c>
      <c r="K37" s="121" t="n"/>
      <c r="L37" s="362">
        <f>M53</f>
        <v/>
      </c>
      <c r="M37" s="121" t="n"/>
      <c r="N37" s="362">
        <f>O53</f>
        <v/>
      </c>
      <c r="O37" s="121" t="n"/>
      <c r="P37" s="362">
        <f>Q53</f>
        <v/>
      </c>
      <c r="Q37" s="121" t="n"/>
      <c r="R37" s="362">
        <f>S53</f>
        <v/>
      </c>
      <c r="S37" s="121" t="n"/>
      <c r="T37" s="362">
        <f>U53</f>
        <v/>
      </c>
      <c r="U37" s="121" t="n"/>
      <c r="V37" s="362">
        <f>W53</f>
        <v/>
      </c>
      <c r="W37" s="121" t="n"/>
      <c r="X37" s="362">
        <f>Y53</f>
        <v/>
      </c>
      <c r="Y37" s="121" t="n"/>
      <c r="Z37" s="423" t="n"/>
    </row>
    <row r="38" ht="20.1" customHeight="1" s="986">
      <c r="A38" s="372" t="inlineStr">
        <is>
          <t>GOBERNACION</t>
        </is>
      </c>
      <c r="B38" s="362">
        <f>C54</f>
        <v/>
      </c>
      <c r="C38" s="121" t="n"/>
      <c r="D38" s="362">
        <f>E54</f>
        <v/>
      </c>
      <c r="E38" s="121" t="n"/>
      <c r="F38" s="362">
        <f>G54</f>
        <v/>
      </c>
      <c r="G38" s="123" t="n"/>
      <c r="H38" s="362">
        <f>I54</f>
        <v/>
      </c>
      <c r="I38" s="121" t="n"/>
      <c r="J38" s="362">
        <f>K54</f>
        <v/>
      </c>
      <c r="K38" s="121" t="n"/>
      <c r="L38" s="362">
        <f>M54</f>
        <v/>
      </c>
      <c r="M38" s="121" t="n"/>
      <c r="N38" s="362">
        <f>O54</f>
        <v/>
      </c>
      <c r="O38" s="121" t="n"/>
      <c r="P38" s="362">
        <f>Q54</f>
        <v/>
      </c>
      <c r="Q38" s="121" t="n"/>
      <c r="R38" s="362">
        <f>S54</f>
        <v/>
      </c>
      <c r="S38" s="121" t="n"/>
      <c r="T38" s="362">
        <f>U54</f>
        <v/>
      </c>
      <c r="U38" s="121" t="n"/>
      <c r="V38" s="362">
        <f>W54</f>
        <v/>
      </c>
      <c r="W38" s="121" t="n"/>
      <c r="X38" s="362">
        <f>Y54</f>
        <v/>
      </c>
      <c r="Y38" s="121" t="n"/>
      <c r="Z38" s="423" t="n"/>
    </row>
    <row r="39" ht="20.1" customHeight="1" s="986">
      <c r="A39" s="372" t="inlineStr">
        <is>
          <t>BUGA</t>
        </is>
      </c>
      <c r="B39" s="362">
        <f>C55</f>
        <v/>
      </c>
      <c r="C39" s="121" t="n"/>
      <c r="D39" s="362">
        <f>E55</f>
        <v/>
      </c>
      <c r="E39" s="121" t="n"/>
      <c r="F39" s="362">
        <f>G55</f>
        <v/>
      </c>
      <c r="G39" s="123" t="n"/>
      <c r="H39" s="362">
        <f>I55</f>
        <v/>
      </c>
      <c r="I39" s="121" t="n"/>
      <c r="J39" s="362">
        <f>K55</f>
        <v/>
      </c>
      <c r="K39" s="121" t="n"/>
      <c r="L39" s="362">
        <f>M55</f>
        <v/>
      </c>
      <c r="M39" s="121" t="n"/>
      <c r="N39" s="362">
        <f>O55</f>
        <v/>
      </c>
      <c r="O39" s="121" t="n"/>
      <c r="P39" s="362">
        <f>Q55</f>
        <v/>
      </c>
      <c r="Q39" s="121" t="n"/>
      <c r="R39" s="362">
        <f>S55</f>
        <v/>
      </c>
      <c r="S39" s="121" t="n"/>
      <c r="T39" s="362">
        <f>U55</f>
        <v/>
      </c>
      <c r="U39" s="121" t="n"/>
      <c r="V39" s="362">
        <f>W55</f>
        <v/>
      </c>
      <c r="W39" s="121" t="n"/>
      <c r="X39" s="362">
        <f>Y55</f>
        <v/>
      </c>
      <c r="Y39" s="121" t="n"/>
      <c r="Z39" s="423" t="n"/>
    </row>
    <row r="40" ht="20.1" customHeight="1" s="986">
      <c r="A40" s="372" t="inlineStr">
        <is>
          <t>HUNGRIA</t>
        </is>
      </c>
      <c r="B40" s="362">
        <f>C56</f>
        <v/>
      </c>
      <c r="C40" s="121" t="n"/>
      <c r="D40" s="362">
        <f>E56</f>
        <v/>
      </c>
      <c r="E40" s="121" t="n"/>
      <c r="F40" s="362">
        <f>G56</f>
        <v/>
      </c>
      <c r="G40" s="123" t="n"/>
      <c r="H40" s="362">
        <f>I56</f>
        <v/>
      </c>
      <c r="I40" s="121" t="n"/>
      <c r="J40" s="362">
        <f>K56</f>
        <v/>
      </c>
      <c r="K40" s="121" t="n"/>
      <c r="L40" s="362">
        <f>M56</f>
        <v/>
      </c>
      <c r="M40" s="121" t="n"/>
      <c r="N40" s="362">
        <f>O56</f>
        <v/>
      </c>
      <c r="O40" s="121" t="n"/>
      <c r="P40" s="362">
        <f>Q56</f>
        <v/>
      </c>
      <c r="Q40" s="121" t="n"/>
      <c r="R40" s="362">
        <f>S56</f>
        <v/>
      </c>
      <c r="S40" s="121" t="n"/>
      <c r="T40" s="362">
        <f>U56</f>
        <v/>
      </c>
      <c r="U40" s="121" t="n"/>
      <c r="V40" s="362">
        <f>W56</f>
        <v/>
      </c>
      <c r="W40" s="121" t="n"/>
      <c r="X40" s="362">
        <f>Y56</f>
        <v/>
      </c>
      <c r="Y40" s="121" t="n"/>
      <c r="Z40" s="423" t="n"/>
    </row>
    <row r="41" ht="20.1" customHeight="1" s="986">
      <c r="A41" s="375" t="inlineStr">
        <is>
          <t>COMEDORES CALI</t>
        </is>
      </c>
      <c r="B41" s="362">
        <f>C57-B45</f>
        <v/>
      </c>
      <c r="C41" s="121" t="n"/>
      <c r="D41" s="362">
        <f>E57-D45</f>
        <v/>
      </c>
      <c r="E41" s="121" t="n"/>
      <c r="F41" s="362">
        <f>G57-F45</f>
        <v/>
      </c>
      <c r="G41" s="123" t="n"/>
      <c r="H41" s="362">
        <f>I57-H45</f>
        <v/>
      </c>
      <c r="I41" s="121" t="n"/>
      <c r="J41" s="362">
        <f>K57-J45</f>
        <v/>
      </c>
      <c r="K41" s="121" t="n"/>
      <c r="L41" s="362">
        <f>M57-L45</f>
        <v/>
      </c>
      <c r="M41" s="121" t="n"/>
      <c r="N41" s="362">
        <f>O57-N45</f>
        <v/>
      </c>
      <c r="O41" s="121" t="n"/>
      <c r="P41" s="362">
        <f>Q57-P45</f>
        <v/>
      </c>
      <c r="Q41" s="121" t="n"/>
      <c r="R41" s="362">
        <f>S57-R45</f>
        <v/>
      </c>
      <c r="S41" s="121" t="n"/>
      <c r="T41" s="362">
        <f>U57-T45</f>
        <v/>
      </c>
      <c r="U41" s="121" t="n"/>
      <c r="V41" s="362">
        <f>W57-V45</f>
        <v/>
      </c>
      <c r="W41" s="121" t="n"/>
      <c r="X41" s="362">
        <f>Y57-X45</f>
        <v/>
      </c>
      <c r="Y41" s="121" t="n"/>
      <c r="Z41" s="423" t="n"/>
    </row>
    <row r="42" ht="20.1" customHeight="1" s="986">
      <c r="A42" s="372" t="inlineStr">
        <is>
          <t>COMEDORES GOB</t>
        </is>
      </c>
      <c r="B42" s="362">
        <f>C58</f>
        <v/>
      </c>
      <c r="C42" s="121" t="n"/>
      <c r="D42" s="362">
        <f>E58</f>
        <v/>
      </c>
      <c r="E42" s="121" t="n"/>
      <c r="F42" s="362">
        <f>G58</f>
        <v/>
      </c>
      <c r="G42" s="123" t="n"/>
      <c r="H42" s="362">
        <f>I58</f>
        <v/>
      </c>
      <c r="I42" s="121" t="n"/>
      <c r="J42" s="362">
        <f>K58</f>
        <v/>
      </c>
      <c r="K42" s="121" t="n"/>
      <c r="L42" s="362">
        <f>M58</f>
        <v/>
      </c>
      <c r="M42" s="121" t="n"/>
      <c r="N42" s="362">
        <f>O58</f>
        <v/>
      </c>
      <c r="O42" s="121" t="n"/>
      <c r="P42" s="362">
        <f>Q58</f>
        <v/>
      </c>
      <c r="Q42" s="121" t="n"/>
      <c r="R42" s="362">
        <f>S58</f>
        <v/>
      </c>
      <c r="S42" s="121" t="n"/>
      <c r="T42" s="362">
        <f>U58</f>
        <v/>
      </c>
      <c r="U42" s="121" t="n"/>
      <c r="V42" s="362">
        <f>W58</f>
        <v/>
      </c>
      <c r="W42" s="121" t="n"/>
      <c r="X42" s="362">
        <f>Y58</f>
        <v/>
      </c>
      <c r="Y42" s="121" t="n"/>
    </row>
    <row r="43" ht="20.1" customHeight="1" s="986">
      <c r="A43" s="375" t="inlineStr">
        <is>
          <t>COMEDORES PALMIRA</t>
        </is>
      </c>
      <c r="B43" s="362">
        <f>C59</f>
        <v/>
      </c>
      <c r="C43" s="121" t="n"/>
      <c r="D43" s="362">
        <f>E59</f>
        <v/>
      </c>
      <c r="E43" s="121" t="n"/>
      <c r="F43" s="362">
        <f>G59</f>
        <v/>
      </c>
      <c r="G43" s="123" t="n"/>
      <c r="H43" s="362">
        <f>I59</f>
        <v/>
      </c>
      <c r="I43" s="121" t="n"/>
      <c r="J43" s="362">
        <f>K59</f>
        <v/>
      </c>
      <c r="K43" s="121" t="n"/>
      <c r="L43" s="362">
        <f>M59</f>
        <v/>
      </c>
      <c r="M43" s="121" t="n"/>
      <c r="N43" s="362">
        <f>O59</f>
        <v/>
      </c>
      <c r="O43" s="121" t="n"/>
      <c r="P43" s="362">
        <f>Q59</f>
        <v/>
      </c>
      <c r="Q43" s="121" t="n"/>
      <c r="R43" s="362">
        <f>S59</f>
        <v/>
      </c>
      <c r="S43" s="121" t="n"/>
      <c r="T43" s="362">
        <f>U59</f>
        <v/>
      </c>
      <c r="U43" s="121" t="n"/>
      <c r="V43" s="362">
        <f>W59</f>
        <v/>
      </c>
      <c r="W43" s="121" t="n"/>
      <c r="X43" s="362">
        <f>Y59</f>
        <v/>
      </c>
      <c r="Y43" s="121" t="n"/>
    </row>
    <row r="44" ht="20.1" customHeight="1" s="986">
      <c r="A44" s="375" t="inlineStr">
        <is>
          <t>ADULTO MAYOR</t>
        </is>
      </c>
      <c r="B44" s="362">
        <f>C60</f>
        <v/>
      </c>
      <c r="C44" s="121" t="n"/>
      <c r="D44" s="362">
        <f>E60</f>
        <v/>
      </c>
      <c r="E44" s="121" t="n"/>
      <c r="F44" s="362">
        <f>G60</f>
        <v/>
      </c>
      <c r="G44" s="123" t="n"/>
      <c r="H44" s="362">
        <f>I60</f>
        <v/>
      </c>
      <c r="I44" s="121" t="n"/>
      <c r="J44" s="362">
        <f>K60</f>
        <v/>
      </c>
      <c r="K44" s="121" t="n"/>
      <c r="L44" s="362">
        <f>M60</f>
        <v/>
      </c>
      <c r="M44" s="121" t="n"/>
      <c r="N44" s="362">
        <f>O60</f>
        <v/>
      </c>
      <c r="O44" s="121" t="n"/>
      <c r="P44" s="362">
        <f>Q60</f>
        <v/>
      </c>
      <c r="Q44" s="121" t="n"/>
      <c r="R44" s="362">
        <f>S60</f>
        <v/>
      </c>
      <c r="S44" s="121" t="n"/>
      <c r="T44" s="362">
        <f>U60</f>
        <v/>
      </c>
      <c r="U44" s="121" t="n"/>
      <c r="V44" s="362">
        <f>W60</f>
        <v/>
      </c>
      <c r="W44" s="121" t="n"/>
      <c r="X44" s="362">
        <f>Y60</f>
        <v/>
      </c>
      <c r="Y44" s="121" t="n"/>
    </row>
    <row r="45" ht="20.1" customHeight="1" s="986">
      <c r="A45" s="401" t="inlineStr">
        <is>
          <t>CTAS PPACION</t>
        </is>
      </c>
      <c r="B45" s="362" t="n">
        <v>0.01</v>
      </c>
      <c r="C45" s="121" t="n"/>
      <c r="D45" s="362" t="n">
        <v>0.01</v>
      </c>
      <c r="E45" s="121" t="n"/>
      <c r="F45" s="362" t="n">
        <v>0.01</v>
      </c>
      <c r="G45" s="123" t="n"/>
      <c r="H45" s="362" t="n">
        <v>0.01</v>
      </c>
      <c r="I45" s="121" t="n"/>
      <c r="J45" s="362" t="n">
        <v>0.01</v>
      </c>
      <c r="K45" s="121" t="n"/>
      <c r="L45" s="362" t="n">
        <v>0.01</v>
      </c>
      <c r="M45" s="121" t="n"/>
      <c r="N45" s="362" t="n">
        <v>0.01</v>
      </c>
      <c r="O45" s="121" t="n"/>
      <c r="P45" s="362" t="n">
        <v>0.01</v>
      </c>
      <c r="Q45" s="121" t="n"/>
      <c r="R45" s="362" t="n">
        <v>0.01</v>
      </c>
      <c r="S45" s="121" t="n"/>
      <c r="T45" s="362" t="n">
        <v>0.01</v>
      </c>
      <c r="U45" s="121" t="n"/>
      <c r="V45" s="362" t="n">
        <v>0.01</v>
      </c>
      <c r="W45" s="121" t="n"/>
      <c r="X45" s="362" t="n">
        <v>0.01</v>
      </c>
      <c r="Y45" s="121" t="n"/>
    </row>
    <row r="46" ht="20.1" customHeight="1" s="986">
      <c r="B46" s="373">
        <f>SUM(B36:B45)</f>
        <v/>
      </c>
      <c r="C46" s="374" t="n"/>
      <c r="D46" s="373">
        <f>SUM(D36:D45)</f>
        <v/>
      </c>
      <c r="E46" s="374" t="n"/>
      <c r="F46" s="373">
        <f>SUM(F36:F45)</f>
        <v/>
      </c>
      <c r="G46" s="374" t="n"/>
      <c r="H46" s="373">
        <f>SUM(H36:H45)</f>
        <v/>
      </c>
      <c r="I46" s="374" t="n"/>
      <c r="J46" s="373">
        <f>SUM(J36:J45)</f>
        <v/>
      </c>
      <c r="K46" s="374" t="n"/>
      <c r="L46" s="373">
        <f>SUM(L36:L45)</f>
        <v/>
      </c>
      <c r="M46" s="374" t="n"/>
      <c r="N46" s="373">
        <f>SUM(N36:N45)</f>
        <v/>
      </c>
      <c r="O46" s="373" t="n"/>
      <c r="P46" s="373">
        <f>SUM(P36:P45)</f>
        <v/>
      </c>
      <c r="Q46" s="373" t="n"/>
      <c r="R46" s="373">
        <f>SUM(R36:R45)</f>
        <v/>
      </c>
      <c r="S46" s="373" t="n"/>
      <c r="T46" s="373">
        <f>SUM(T36:T45)</f>
        <v/>
      </c>
      <c r="U46" s="373" t="n"/>
      <c r="V46" s="373">
        <f>SUM(V36:V45)</f>
        <v/>
      </c>
      <c r="W46" s="373" t="n"/>
      <c r="X46" s="373">
        <f>SUM(X36:X45)</f>
        <v/>
      </c>
      <c r="Y46" s="374" t="n"/>
    </row>
    <row r="49" ht="15.6" customHeight="1" s="986">
      <c r="A49" s="985" t="inlineStr">
        <is>
          <t>DISTRIBUCION GASTOS FINANCIEROS</t>
        </is>
      </c>
    </row>
    <row r="51" ht="20.1" customHeight="1" s="986">
      <c r="A51" s="120" t="n"/>
      <c r="B51" s="369" t="inlineStr">
        <is>
          <t>ENE</t>
        </is>
      </c>
      <c r="C51" s="369" t="inlineStr">
        <is>
          <t>%</t>
        </is>
      </c>
      <c r="D51" s="369" t="inlineStr">
        <is>
          <t>FEB</t>
        </is>
      </c>
      <c r="E51" s="369" t="inlineStr">
        <is>
          <t>%</t>
        </is>
      </c>
      <c r="F51" s="369" t="inlineStr">
        <is>
          <t>MAR</t>
        </is>
      </c>
      <c r="G51" s="369" t="inlineStr">
        <is>
          <t>%</t>
        </is>
      </c>
      <c r="H51" s="370" t="inlineStr">
        <is>
          <t>ABR</t>
        </is>
      </c>
      <c r="I51" s="369" t="inlineStr">
        <is>
          <t>%</t>
        </is>
      </c>
      <c r="J51" s="370" t="inlineStr">
        <is>
          <t>MAY</t>
        </is>
      </c>
      <c r="K51" s="369" t="inlineStr">
        <is>
          <t>%</t>
        </is>
      </c>
      <c r="L51" s="370" t="inlineStr">
        <is>
          <t>JUN</t>
        </is>
      </c>
      <c r="M51" s="369" t="inlineStr">
        <is>
          <t>%</t>
        </is>
      </c>
      <c r="N51" s="370" t="inlineStr">
        <is>
          <t>JUL</t>
        </is>
      </c>
      <c r="O51" s="369" t="inlineStr">
        <is>
          <t>%</t>
        </is>
      </c>
      <c r="P51" s="370" t="inlineStr">
        <is>
          <t>AGO</t>
        </is>
      </c>
      <c r="Q51" s="369" t="inlineStr">
        <is>
          <t>%</t>
        </is>
      </c>
      <c r="R51" s="370" t="inlineStr">
        <is>
          <t>SEP</t>
        </is>
      </c>
      <c r="S51" s="369" t="inlineStr">
        <is>
          <t>%</t>
        </is>
      </c>
      <c r="T51" s="370" t="inlineStr">
        <is>
          <t>OCT</t>
        </is>
      </c>
      <c r="U51" s="369" t="inlineStr">
        <is>
          <t>%</t>
        </is>
      </c>
      <c r="V51" s="370" t="inlineStr">
        <is>
          <t>NOV</t>
        </is>
      </c>
      <c r="W51" s="369" t="inlineStr">
        <is>
          <t>%</t>
        </is>
      </c>
      <c r="X51" s="370" t="inlineStr">
        <is>
          <t>DIC</t>
        </is>
      </c>
      <c r="Y51" s="369" t="inlineStr">
        <is>
          <t>%</t>
        </is>
      </c>
    </row>
    <row r="52" ht="20.1" customHeight="1" s="986">
      <c r="A52" s="369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05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8" t="n"/>
      <c r="AA52" s="1006" t="n"/>
    </row>
    <row r="53" ht="20.1" customHeight="1" s="986">
      <c r="A53" s="369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05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8" t="n"/>
      <c r="AA53" s="1006" t="n"/>
    </row>
    <row r="54" ht="20.1" customHeight="1" s="986">
      <c r="A54" s="369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05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8" t="n"/>
      <c r="AA54" s="1006" t="n"/>
    </row>
    <row r="55" ht="20.1" customHeight="1" s="986">
      <c r="A55" s="369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05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8" t="n"/>
      <c r="AA55" s="1006" t="n"/>
    </row>
    <row r="56" ht="20.1" customHeight="1" s="986">
      <c r="A56" s="370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8" t="n"/>
      <c r="AA56" s="1006" t="n"/>
    </row>
    <row r="57" ht="20.1" customHeight="1" s="986">
      <c r="A57" s="370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8" t="n"/>
      <c r="AA57" s="1006" t="n"/>
    </row>
    <row r="58" ht="20.1" customHeight="1" s="986">
      <c r="A58" s="371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8" t="n"/>
      <c r="AA58" s="1006" t="n"/>
    </row>
    <row r="59" ht="20.1" customHeight="1" s="986">
      <c r="A59" s="392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8" t="n"/>
      <c r="AA59" s="1006" t="n"/>
    </row>
    <row r="60" ht="20.1" customHeight="1" s="986">
      <c r="A60" s="392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8" t="n"/>
      <c r="AA60" s="1006" t="n"/>
    </row>
    <row r="61" ht="20.1" customHeight="1" s="986">
      <c r="A61" s="392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8" t="n"/>
      <c r="AA61" s="1006" t="n"/>
    </row>
    <row r="62" ht="20.1" customHeight="1" s="986">
      <c r="B62" s="376">
        <f>SUM(B52:B61)</f>
        <v/>
      </c>
      <c r="C62" s="377">
        <f>SUM(C52:C61)</f>
        <v/>
      </c>
      <c r="D62" s="376">
        <f>SUM(D52:D61)</f>
        <v/>
      </c>
      <c r="E62" s="377">
        <f>SUM(E52:E61)</f>
        <v/>
      </c>
      <c r="F62" s="376">
        <f>SUM(F52:F61)</f>
        <v/>
      </c>
      <c r="G62" s="377">
        <f>SUM(G52:G61)</f>
        <v/>
      </c>
      <c r="H62" s="376">
        <f>SUM(H52:H61)</f>
        <v/>
      </c>
      <c r="I62" s="377">
        <f>SUM(I52:I61)</f>
        <v/>
      </c>
      <c r="J62" s="376">
        <f>SUM(J52:J61)</f>
        <v/>
      </c>
      <c r="K62" s="377">
        <f>SUM(K52:K61)</f>
        <v/>
      </c>
      <c r="L62" s="376">
        <f>SUM(L52:L61)</f>
        <v/>
      </c>
      <c r="M62" s="377">
        <f>SUM(M52:M61)</f>
        <v/>
      </c>
      <c r="N62" s="376">
        <f>SUM(N52:N61)</f>
        <v/>
      </c>
      <c r="O62" s="377">
        <f>SUM(O52:O61)</f>
        <v/>
      </c>
      <c r="P62" s="376">
        <f>SUM(P52:P61)</f>
        <v/>
      </c>
      <c r="Q62" s="377">
        <f>SUM(Q52:Q61)</f>
        <v/>
      </c>
      <c r="R62" s="376">
        <f>SUM(R52:R61)</f>
        <v/>
      </c>
      <c r="S62" s="377">
        <f>SUM(S52:S61)</f>
        <v/>
      </c>
      <c r="T62" s="376">
        <f>SUM(T52:T61)</f>
        <v/>
      </c>
      <c r="U62" s="377">
        <f>SUM(U52:U61)</f>
        <v/>
      </c>
      <c r="V62" s="376">
        <f>SUM(V52:V61)</f>
        <v/>
      </c>
      <c r="W62" s="377">
        <f>SUM(W52:W61)</f>
        <v/>
      </c>
      <c r="X62" s="376">
        <f>SUM(X52:X61)</f>
        <v/>
      </c>
      <c r="Y62" s="377">
        <f>SUM(Y52:Y61)</f>
        <v/>
      </c>
      <c r="Z62" s="798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zoomScaleNormal="100" workbookViewId="0">
      <pane xSplit="3" ySplit="5" topLeftCell="D82" activePane="bottomRight" state="frozen"/>
      <selection pane="topRight" activeCell="D1" sqref="D1"/>
      <selection pane="bottomLeft" activeCell="A6" sqref="A6"/>
      <selection pane="bottomRight" activeCell="G95" sqref="G95"/>
    </sheetView>
  </sheetViews>
  <sheetFormatPr baseColWidth="10" defaultColWidth="11.44140625" defaultRowHeight="15" customHeight="1"/>
  <cols>
    <col width="6" customWidth="1" style="776" min="1" max="1"/>
    <col width="50.33203125" customWidth="1" style="990" min="2" max="2"/>
    <col width="15.33203125" customWidth="1" style="987" min="3" max="4"/>
    <col width="18" bestFit="1" customWidth="1" style="987" min="5" max="5"/>
    <col width="15.33203125" customWidth="1" style="987" min="6" max="7"/>
    <col width="15.33203125" customWidth="1" style="988" min="8" max="13"/>
    <col width="16.6640625" customWidth="1" style="988" min="14" max="14"/>
    <col width="17.88671875" customWidth="1" style="987" min="15" max="15"/>
    <col width="6" customWidth="1" style="768" min="16" max="16"/>
    <col width="11.44140625" customWidth="1" style="990" min="17" max="27"/>
    <col width="11.44140625" customWidth="1" style="990" min="28" max="16384"/>
  </cols>
  <sheetData>
    <row r="1" ht="11.4" customHeight="1" s="986"/>
    <row r="2" ht="14.25" customHeight="1" s="986">
      <c r="B2" s="1007" t="inlineStr">
        <is>
          <t xml:space="preserve">CORPORACIÓN HACIA UN VALLE SOLIDARIO </t>
        </is>
      </c>
      <c r="C2" s="983" t="inlineStr">
        <is>
          <t>GASTOS ADMINISTRATIVOS 2026</t>
        </is>
      </c>
    </row>
    <row r="3" ht="24" customHeight="1" s="986"/>
    <row r="4" ht="24.9" customFormat="1" customHeight="1" s="109">
      <c r="A4" s="777" t="n"/>
      <c r="B4" s="516" t="n"/>
      <c r="C4" s="477" t="inlineStr">
        <is>
          <t>ENE</t>
        </is>
      </c>
      <c r="D4" s="477" t="inlineStr">
        <is>
          <t>FEB</t>
        </is>
      </c>
      <c r="E4" s="477" t="inlineStr">
        <is>
          <t>MAR</t>
        </is>
      </c>
      <c r="F4" s="477" t="inlineStr">
        <is>
          <t>ABR</t>
        </is>
      </c>
      <c r="G4" s="477" t="inlineStr">
        <is>
          <t>MAY</t>
        </is>
      </c>
      <c r="H4" s="477" t="inlineStr">
        <is>
          <t>JUN</t>
        </is>
      </c>
      <c r="I4" s="610" t="inlineStr">
        <is>
          <t>JUL</t>
        </is>
      </c>
      <c r="J4" s="610" t="inlineStr">
        <is>
          <t>AGO</t>
        </is>
      </c>
      <c r="K4" s="610" t="inlineStr">
        <is>
          <t>SEP</t>
        </is>
      </c>
      <c r="L4" s="610" t="inlineStr">
        <is>
          <t>OCT</t>
        </is>
      </c>
      <c r="M4" s="610" t="inlineStr">
        <is>
          <t>NOV</t>
        </is>
      </c>
      <c r="N4" s="610" t="inlineStr">
        <is>
          <t>DIC</t>
        </is>
      </c>
      <c r="O4" s="477" t="inlineStr">
        <is>
          <t>ACUMULADO</t>
        </is>
      </c>
      <c r="P4" s="769" t="n"/>
    </row>
    <row r="5" ht="15" customFormat="1" customHeight="1" s="116">
      <c r="A5" s="778" t="n"/>
      <c r="B5" s="157" t="inlineStr">
        <is>
          <t>GASTOS DE PERSONAL</t>
        </is>
      </c>
      <c r="C5" s="111">
        <f>SUM(C6:C12)</f>
        <v/>
      </c>
      <c r="D5" s="973">
        <f>SUM(D6:D12)</f>
        <v/>
      </c>
      <c r="E5" s="111">
        <f>SUM(E6:E12)</f>
        <v/>
      </c>
      <c r="F5" s="111" t="n"/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70" t="n"/>
    </row>
    <row r="6" ht="12.9" customHeight="1" s="986">
      <c r="A6" s="779" t="inlineStr">
        <is>
          <t xml:space="preserve">5105                </t>
        </is>
      </c>
      <c r="B6" s="472" t="inlineStr">
        <is>
          <t>Salarios</t>
        </is>
      </c>
      <c r="C6" s="169">
        <f>'[21]Hoja 1'!$I$9-921014+'[22]Hoja 1'!$I$9+'[23]Hoja 1'!$D$8</f>
        <v/>
      </c>
      <c r="D6" s="169">
        <f>'[24]Hoja 1'!$L$8-6457629+'[25]Hoja 1'!$I$9+'[26]Hoja 1'!$D$8+'[27]Hoja 1'!$D$10+'[28]Hoja 1'!$I$9</f>
        <v/>
      </c>
      <c r="E6" s="169" t="n">
        <v>241842440</v>
      </c>
      <c r="F6" s="169" t="n">
        <v>241842440</v>
      </c>
      <c r="G6" s="169" t="n"/>
      <c r="H6" s="169" t="n"/>
      <c r="I6" s="169" t="n"/>
      <c r="J6" s="169" t="n"/>
      <c r="K6" s="169" t="n"/>
      <c r="L6" s="169" t="n"/>
      <c r="M6" s="169" t="n"/>
      <c r="N6" s="169" t="n"/>
      <c r="O6" s="434">
        <f>+SUM(C6:N6)</f>
        <v/>
      </c>
      <c r="P6" s="771" t="n"/>
    </row>
    <row r="7" ht="12.9" customHeight="1" s="986">
      <c r="A7" s="779" t="n"/>
      <c r="B7" s="173" t="inlineStr">
        <is>
          <t>Personal Decreto 1860/21</t>
        </is>
      </c>
      <c r="C7" s="171">
        <f>'[21]Hoja 1'!$I$12</f>
        <v/>
      </c>
      <c r="D7" s="171">
        <f>'[24]Hoja 1'!$L$10</f>
        <v/>
      </c>
      <c r="E7" s="171" t="n">
        <v>241842440</v>
      </c>
      <c r="F7" s="171" t="n">
        <v>241842440</v>
      </c>
      <c r="G7" s="171" t="n"/>
      <c r="H7" s="171" t="n"/>
      <c r="I7" s="171" t="n"/>
      <c r="J7" s="171" t="n"/>
      <c r="K7" s="171" t="n"/>
      <c r="L7" s="171" t="n"/>
      <c r="M7" s="171" t="n"/>
      <c r="N7" s="171" t="n"/>
      <c r="O7" s="404">
        <f>+SUM(C7:N7)</f>
        <v/>
      </c>
      <c r="P7" s="771" t="n"/>
    </row>
    <row r="8" ht="12.9" customHeight="1" s="986">
      <c r="A8" s="779" t="inlineStr">
        <is>
          <t xml:space="preserve">51055101            </t>
        </is>
      </c>
      <c r="B8" s="173" t="inlineStr">
        <is>
          <t>Dotacion y Suministro</t>
        </is>
      </c>
      <c r="C8" s="171">
        <f>'[17]Hoja 1'!$C$54-225638</f>
        <v/>
      </c>
      <c r="D8" s="171">
        <f>'[20]Hoja 1'!$C$54-59862</f>
        <v/>
      </c>
      <c r="E8" s="171" t="n">
        <v>241842440</v>
      </c>
      <c r="F8" s="171" t="n">
        <v>241842440</v>
      </c>
      <c r="G8" s="171" t="n"/>
      <c r="H8" s="929" t="n"/>
      <c r="I8" s="171" t="n"/>
      <c r="J8" s="171" t="n"/>
      <c r="K8" s="171" t="n"/>
      <c r="L8" s="171" t="n"/>
      <c r="M8" s="171" t="n"/>
      <c r="N8" s="171" t="n"/>
      <c r="O8" s="404">
        <f>+SUM(C8:N8)</f>
        <v/>
      </c>
      <c r="P8" s="771" t="n"/>
    </row>
    <row r="9" ht="12.9" customHeight="1" s="986">
      <c r="A9" s="780" t="n"/>
      <c r="B9" s="173" t="inlineStr">
        <is>
          <t>Bonificaciones</t>
        </is>
      </c>
      <c r="C9" s="171" t="n"/>
      <c r="D9" s="171" t="n"/>
      <c r="E9" s="171" t="n">
        <v>241842440</v>
      </c>
      <c r="F9" s="171" t="n">
        <v>241842440</v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404">
        <f>+SUM(C9:N9)</f>
        <v/>
      </c>
      <c r="P9" s="771" t="n"/>
    </row>
    <row r="10" ht="12.9" customHeight="1" s="986">
      <c r="A10" s="780" t="inlineStr">
        <is>
          <t xml:space="preserve">51056301            </t>
        </is>
      </c>
      <c r="B10" s="649" t="inlineStr">
        <is>
          <t>Capacitacion</t>
        </is>
      </c>
      <c r="C10" s="171">
        <f>'[17]Hoja 1'!$C$56</f>
        <v/>
      </c>
      <c r="D10" s="171">
        <f>'[20]Hoja 1'!$C$56</f>
        <v/>
      </c>
      <c r="E10" s="171" t="n">
        <v>241842440</v>
      </c>
      <c r="F10" s="171" t="n">
        <v>241842440</v>
      </c>
      <c r="G10" s="171" t="n"/>
      <c r="H10" s="171" t="n"/>
      <c r="I10" s="171" t="n"/>
      <c r="J10" s="171" t="n"/>
      <c r="K10" s="171" t="n"/>
      <c r="L10" s="171" t="n"/>
      <c r="M10" s="929" t="n"/>
      <c r="N10" s="171" t="n"/>
      <c r="O10" s="404">
        <f>+SUM(C10:N10)</f>
        <v/>
      </c>
      <c r="P10" s="771" t="n"/>
    </row>
    <row r="11" ht="12.9" customHeight="1" s="986">
      <c r="A11" s="780" t="inlineStr">
        <is>
          <t xml:space="preserve">51058401            </t>
        </is>
      </c>
      <c r="B11" s="173" t="inlineStr">
        <is>
          <t>Gastos Medicos</t>
        </is>
      </c>
      <c r="C11" s="171">
        <f>'[17]Hoja 1'!$C$70</f>
        <v/>
      </c>
      <c r="D11" s="171">
        <f>'[20]Hoja 1'!$C$70</f>
        <v/>
      </c>
      <c r="E11" s="171" t="n">
        <v>241842440</v>
      </c>
      <c r="F11" s="171" t="n">
        <v>241842440</v>
      </c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4">
        <f>+SUM(C11:N11)</f>
        <v/>
      </c>
      <c r="P11" s="771" t="n"/>
    </row>
    <row r="12" ht="12.9" customHeight="1" s="986">
      <c r="A12" s="780" t="inlineStr">
        <is>
          <t xml:space="preserve">53954002            </t>
        </is>
      </c>
      <c r="B12" s="173" t="inlineStr">
        <is>
          <t>Incapacidades</t>
        </is>
      </c>
      <c r="C12" s="921" t="n"/>
      <c r="D12" s="921">
        <f>'[29]Hoja 1'!$C$27</f>
        <v/>
      </c>
      <c r="E12" s="921" t="n">
        <v>241842440</v>
      </c>
      <c r="F12" s="921" t="n">
        <v>241842440</v>
      </c>
      <c r="G12" s="921" t="n"/>
      <c r="H12" s="921" t="n"/>
      <c r="I12" s="921" t="n"/>
      <c r="J12" s="921" t="n"/>
      <c r="K12" s="921" t="n"/>
      <c r="L12" s="921" t="n"/>
      <c r="M12" s="921" t="n"/>
      <c r="N12" s="921" t="n"/>
      <c r="O12" s="404">
        <f>+SUM(C12:N12)</f>
        <v/>
      </c>
      <c r="P12" s="771" t="n"/>
    </row>
    <row r="13" ht="15" customFormat="1" customHeight="1" s="116">
      <c r="A13" s="778" t="n"/>
      <c r="B13" s="157" t="inlineStr">
        <is>
          <t>HONORARIOS</t>
        </is>
      </c>
      <c r="C13" s="111">
        <f>SUM(C14:C18)</f>
        <v/>
      </c>
      <c r="D13" s="973">
        <f>SUM(D14:D18)</f>
        <v/>
      </c>
      <c r="E13" s="111">
        <f>SUM(E14:E18)</f>
        <v/>
      </c>
      <c r="F13" s="111" t="n"/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72" t="n"/>
    </row>
    <row r="14" ht="12.9" customFormat="1" customHeight="1" s="116">
      <c r="A14" s="780" t="inlineStr">
        <is>
          <t xml:space="preserve">51101001            </t>
        </is>
      </c>
      <c r="B14" s="173" t="inlineStr">
        <is>
          <t>Revisoria Fiscal</t>
        </is>
      </c>
      <c r="C14" s="405">
        <f>'[17]Hoja 1'!$C$73</f>
        <v/>
      </c>
      <c r="D14" s="405">
        <f>'[20]Hoja 1'!$C$73</f>
        <v/>
      </c>
      <c r="E14" s="405" t="n">
        <v>241842440</v>
      </c>
      <c r="F14" s="405" t="n">
        <v>241842440</v>
      </c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34">
        <f>+SUM(C14:N14)</f>
        <v/>
      </c>
      <c r="P14" s="771" t="n"/>
    </row>
    <row r="15" ht="12.9" customFormat="1" customHeight="1" s="116">
      <c r="A15" s="780" t="n"/>
      <c r="B15" s="173" t="inlineStr">
        <is>
          <t>Avaluos</t>
        </is>
      </c>
      <c r="C15" s="170" t="n"/>
      <c r="D15" s="170" t="n"/>
      <c r="E15" s="170" t="n">
        <v>241842440</v>
      </c>
      <c r="F15" s="170" t="n">
        <v>241842440</v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4">
        <f>+SUM(C15:N15)</f>
        <v/>
      </c>
      <c r="P15" s="771" t="n"/>
    </row>
    <row r="16" ht="12.9" customHeight="1" s="986">
      <c r="A16" s="780" t="inlineStr">
        <is>
          <t xml:space="preserve">51102001            </t>
        </is>
      </c>
      <c r="B16" s="173" t="inlineStr">
        <is>
          <t>Asesoria Juridica</t>
        </is>
      </c>
      <c r="C16" s="170">
        <f>'[17]Hoja 1'!$C$75+'[30]Hoja 1'!$G$13</f>
        <v/>
      </c>
      <c r="D16" s="170">
        <f>'[20]Hoja 1'!$C$75+'[31]Hoja 1'!$G$14</f>
        <v/>
      </c>
      <c r="E16" s="170" t="n">
        <v>241842440</v>
      </c>
      <c r="F16" s="170" t="n">
        <v>241842440</v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4">
        <f>+SUM(C16:N16)</f>
        <v/>
      </c>
      <c r="P16" s="771" t="n"/>
    </row>
    <row r="17" ht="12.9" customHeight="1" s="986">
      <c r="A17" s="780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>
        <v>241842440</v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4">
        <f>+SUM(C17:N17)</f>
        <v/>
      </c>
      <c r="P17" s="771" t="n"/>
    </row>
    <row r="18" ht="12.9" customHeight="1" s="986">
      <c r="A18" s="780" t="inlineStr">
        <is>
          <t xml:space="preserve">51103508            </t>
        </is>
      </c>
      <c r="B18" s="173" t="inlineStr">
        <is>
          <t>Asesoría Técnica</t>
        </is>
      </c>
      <c r="C18" s="170">
        <f>'[17]Hoja 1'!$C$77</f>
        <v/>
      </c>
      <c r="D18" s="170">
        <f>'[20]Hoja 1'!$C$76</f>
        <v/>
      </c>
      <c r="E18" s="170" t="n">
        <v>241842440</v>
      </c>
      <c r="F18" s="170" t="n">
        <v>241842440</v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9">
        <f>+SUM(C18:N18)</f>
        <v/>
      </c>
      <c r="P18" s="771" t="n"/>
    </row>
    <row r="19" ht="15" customFormat="1" customHeight="1" s="116">
      <c r="A19" s="778" t="n"/>
      <c r="B19" s="157" t="inlineStr">
        <is>
          <t>IMPUESTOS</t>
        </is>
      </c>
      <c r="C19" s="111">
        <f>SUM(C20:C21)</f>
        <v/>
      </c>
      <c r="D19" s="973">
        <f>SUM(D20:D21)</f>
        <v/>
      </c>
      <c r="E19" s="111">
        <f>SUM(E20:E21)</f>
        <v/>
      </c>
      <c r="F19" s="111" t="n"/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71" t="n"/>
    </row>
    <row r="20" ht="12.9" customHeight="1" s="986">
      <c r="A20" s="780" t="n"/>
      <c r="B20" s="156" t="inlineStr">
        <is>
          <t>Predial</t>
        </is>
      </c>
      <c r="C20" s="922" t="n"/>
      <c r="D20" s="923" t="n"/>
      <c r="E20" s="424" t="n">
        <v>241842440</v>
      </c>
      <c r="F20" s="424" t="n">
        <v>241842440</v>
      </c>
      <c r="G20" s="424" t="n"/>
      <c r="H20" s="424" t="n"/>
      <c r="I20" s="424" t="n"/>
      <c r="J20" s="424" t="n"/>
      <c r="K20" s="424" t="n"/>
      <c r="L20" s="424" t="n"/>
      <c r="M20" s="424" t="n"/>
      <c r="N20" s="424" t="n"/>
      <c r="O20" s="424">
        <f>+SUM(C20:N20)</f>
        <v/>
      </c>
      <c r="P20" s="771" t="n"/>
    </row>
    <row r="21" ht="12.9" customHeight="1" s="986">
      <c r="A21" s="780" t="n"/>
      <c r="B21" s="175" t="inlineStr">
        <is>
          <t>Impuestos vehiculos</t>
        </is>
      </c>
      <c r="C21" s="406" t="n">
        <v>2676712</v>
      </c>
      <c r="D21" s="406" t="n"/>
      <c r="E21" s="406" t="n">
        <v>241842440</v>
      </c>
      <c r="F21" s="406" t="n">
        <v>241842440</v>
      </c>
      <c r="G21" s="406" t="n"/>
      <c r="H21" s="406" t="n"/>
      <c r="I21" s="406" t="n"/>
      <c r="J21" s="406" t="n"/>
      <c r="K21" s="406" t="n"/>
      <c r="L21" s="406" t="n"/>
      <c r="M21" s="406" t="n"/>
      <c r="N21" s="406" t="n"/>
      <c r="O21" s="406">
        <f>+SUM(C21:N21)</f>
        <v/>
      </c>
      <c r="P21" s="771" t="n"/>
    </row>
    <row r="22" ht="15" customFormat="1" customHeight="1" s="116">
      <c r="A22" s="778" t="n"/>
      <c r="B22" s="110" t="inlineStr">
        <is>
          <t>ARRENDAMIENTOS</t>
        </is>
      </c>
      <c r="C22" s="111">
        <f>SUM(C23:C27)</f>
        <v/>
      </c>
      <c r="D22" s="973">
        <f>SUM(D23:D27)</f>
        <v/>
      </c>
      <c r="E22" s="111">
        <f>SUM(E23:E27)</f>
        <v/>
      </c>
      <c r="F22" s="111" t="n"/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72" t="n"/>
    </row>
    <row r="23" ht="12.9" customFormat="1" customHeight="1" s="116">
      <c r="A23" s="780" t="inlineStr">
        <is>
          <t>51201001   - 51355001</t>
        </is>
      </c>
      <c r="B23" s="173" t="inlineStr">
        <is>
          <t>Construcciones y Edificaciones</t>
        </is>
      </c>
      <c r="C23" s="405">
        <f>'[17]Hoja 1'!$C$85+'[30]Hoja 1'!$G$15+'[30]Hoja 1'!$G$17</f>
        <v/>
      </c>
      <c r="D23" s="405">
        <f>'[20]Hoja 1'!$C$84+'[31]Hoja 1'!$G$16+'[31]Hoja 1'!$G$18</f>
        <v/>
      </c>
      <c r="E23" s="405" t="n">
        <v>241842440</v>
      </c>
      <c r="F23" s="405" t="n">
        <v>241842440</v>
      </c>
      <c r="G23" s="405" t="n"/>
      <c r="H23" s="405" t="n"/>
      <c r="I23" s="405" t="n"/>
      <c r="J23" s="405" t="n"/>
      <c r="K23" s="405" t="n"/>
      <c r="L23" s="405" t="n"/>
      <c r="M23" s="405" t="n"/>
      <c r="N23" s="405" t="n"/>
      <c r="O23" s="434">
        <f>+SUM(C23:N23)</f>
        <v/>
      </c>
      <c r="P23" s="771" t="n"/>
    </row>
    <row r="24" ht="12.9" customHeight="1" s="986">
      <c r="A24" s="780" t="inlineStr">
        <is>
          <t xml:space="preserve">51201501 - 73201501 </t>
        </is>
      </c>
      <c r="B24" s="173" t="inlineStr">
        <is>
          <t>Maquinaria y Equipo</t>
        </is>
      </c>
      <c r="C24" s="170">
        <f>'[17]Hoja 1'!$C$87</f>
        <v/>
      </c>
      <c r="D24" s="170">
        <f>'[20]Hoja 1'!$C$86</f>
        <v/>
      </c>
      <c r="E24" s="170" t="n">
        <v>241842440</v>
      </c>
      <c r="F24" s="170" t="n">
        <v>241842440</v>
      </c>
      <c r="G24" s="170" t="n"/>
      <c r="H24" s="170" t="n"/>
      <c r="I24" s="170" t="n"/>
      <c r="J24" s="170" t="n"/>
      <c r="K24" s="170" t="n"/>
      <c r="L24" s="170" t="n"/>
      <c r="M24" s="170" t="n"/>
      <c r="N24" s="929" t="n"/>
      <c r="O24" s="404">
        <f>+SUM(C24:N24)</f>
        <v/>
      </c>
      <c r="P24" s="771" t="n"/>
    </row>
    <row r="25" ht="12.9" customHeight="1" s="986">
      <c r="A25" s="780" t="inlineStr">
        <is>
          <t xml:space="preserve">51202001            </t>
        </is>
      </c>
      <c r="B25" s="173" t="inlineStr">
        <is>
          <t>Equipo de Oficina</t>
        </is>
      </c>
      <c r="C25" s="170">
        <f>'[17]Hoja 1'!$C$89</f>
        <v/>
      </c>
      <c r="D25" s="170">
        <f>'[20]Hoja 1'!$C$88</f>
        <v/>
      </c>
      <c r="E25" s="170" t="n">
        <v>241842440</v>
      </c>
      <c r="F25" s="170" t="n">
        <v>241842440</v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4">
        <f>+SUM(C25:N25)</f>
        <v/>
      </c>
      <c r="P25" s="773" t="n"/>
    </row>
    <row r="26" ht="12.9" customHeight="1" s="986">
      <c r="A26" s="780" t="n"/>
      <c r="B26" s="173" t="inlineStr">
        <is>
          <t>Equipo de Computacion y comunicaciones</t>
        </is>
      </c>
      <c r="C26" s="170" t="n"/>
      <c r="D26" s="170">
        <f>'[20]Hoja 1'!$C$90</f>
        <v/>
      </c>
      <c r="E26" s="170" t="n">
        <v>241842440</v>
      </c>
      <c r="F26" s="170" t="n">
        <v>241842440</v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4">
        <f>+SUM(C26:N26)</f>
        <v/>
      </c>
      <c r="P26" s="771" t="n"/>
    </row>
    <row r="27" ht="12.9" customHeight="1" s="986">
      <c r="A27" s="780" t="n"/>
      <c r="B27" s="173" t="inlineStr">
        <is>
          <t>Flota y Equipo de Transporte</t>
        </is>
      </c>
      <c r="C27" s="406" t="n"/>
      <c r="D27" s="406" t="n"/>
      <c r="E27" s="406" t="n">
        <v>241842440</v>
      </c>
      <c r="F27" s="406" t="n">
        <v>241842440</v>
      </c>
      <c r="G27" s="406" t="n"/>
      <c r="H27" s="406" t="n"/>
      <c r="I27" s="406" t="n"/>
      <c r="J27" s="406" t="n"/>
      <c r="K27" s="406" t="n"/>
      <c r="L27" s="406" t="n"/>
      <c r="M27" s="406" t="n"/>
      <c r="N27" s="406" t="n"/>
      <c r="O27" s="161">
        <f>+SUM(C27:N27)</f>
        <v/>
      </c>
      <c r="P27" s="771" t="n"/>
    </row>
    <row r="28" ht="15" customFormat="1" customHeight="1" s="116">
      <c r="A28" s="778" t="n"/>
      <c r="B28" s="110" t="inlineStr">
        <is>
          <t>SEGUROS</t>
        </is>
      </c>
      <c r="C28" s="111">
        <f>SUM(C29:C31)</f>
        <v/>
      </c>
      <c r="D28" s="973">
        <f>SUM(D29:D31)</f>
        <v/>
      </c>
      <c r="E28" s="111">
        <f>SUM(E29:E31)</f>
        <v/>
      </c>
      <c r="F28" s="111" t="n"/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71" t="n"/>
    </row>
    <row r="29" ht="12.9" customHeight="1" s="986">
      <c r="A29" s="780" t="n"/>
      <c r="B29" s="172" t="inlineStr">
        <is>
          <t>Cumplimiento</t>
        </is>
      </c>
      <c r="C29" s="405" t="n"/>
      <c r="D29" s="405" t="n"/>
      <c r="E29" s="405" t="n">
        <v>241842440</v>
      </c>
      <c r="F29" s="405" t="n">
        <v>241842440</v>
      </c>
      <c r="G29" s="405" t="n"/>
      <c r="H29" s="405" t="n"/>
      <c r="I29" s="405" t="n"/>
      <c r="J29" s="405" t="n"/>
      <c r="K29" s="405" t="n"/>
      <c r="L29" s="405" t="n"/>
      <c r="M29" s="405" t="n"/>
      <c r="N29" s="405" t="n"/>
      <c r="O29" s="159">
        <f>+SUM(C29:N29)</f>
        <v/>
      </c>
      <c r="P29" s="771" t="n"/>
    </row>
    <row r="30" ht="12.9" customHeight="1" s="986">
      <c r="A30" s="780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>
        <v>241842440</v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71" t="n"/>
    </row>
    <row r="31" ht="12.9" customHeight="1" s="986">
      <c r="A31" s="780" t="n"/>
      <c r="B31" s="174" t="inlineStr">
        <is>
          <t>OTROS - Funerarios</t>
        </is>
      </c>
      <c r="C31" s="406" t="n"/>
      <c r="D31" s="968">
        <f>'[20]Hoja 1'!$C$95</f>
        <v/>
      </c>
      <c r="E31" s="406" t="n">
        <v>241842440</v>
      </c>
      <c r="F31" s="406" t="n">
        <v>241842440</v>
      </c>
      <c r="G31" s="406" t="n"/>
      <c r="H31" s="406" t="n"/>
      <c r="I31" s="406" t="n"/>
      <c r="J31" s="406" t="n"/>
      <c r="K31" s="406" t="n"/>
      <c r="L31" s="406" t="n"/>
      <c r="M31" s="406" t="n"/>
      <c r="N31" s="406" t="n"/>
      <c r="O31" s="161">
        <f>+SUM(C31:N31)</f>
        <v/>
      </c>
      <c r="P31" s="771" t="n"/>
    </row>
    <row r="32" ht="15" customFormat="1" customHeight="1" s="116">
      <c r="A32" s="778" t="n"/>
      <c r="B32" s="157" t="inlineStr">
        <is>
          <t>SERVICIOS</t>
        </is>
      </c>
      <c r="C32" s="111">
        <f>SUM(C33:C45)</f>
        <v/>
      </c>
      <c r="D32" s="973">
        <f>SUM(D33:D45)</f>
        <v/>
      </c>
      <c r="E32" s="111">
        <f>SUM(E33:E45)</f>
        <v/>
      </c>
      <c r="F32" s="111" t="n"/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71" t="n"/>
    </row>
    <row r="33" ht="12.9" customFormat="1" customHeight="1" s="116">
      <c r="A33" s="780" t="n"/>
      <c r="B33" s="173" t="inlineStr">
        <is>
          <t>Aseo y Vigilancia</t>
        </is>
      </c>
      <c r="C33" s="405">
        <f>'[30]Hoja 1'!$G$22</f>
        <v/>
      </c>
      <c r="D33" s="405">
        <f>'[31]Hoja 1'!$G$23</f>
        <v/>
      </c>
      <c r="E33" s="405" t="n">
        <v>241842440</v>
      </c>
      <c r="F33" s="405" t="n">
        <v>241842440</v>
      </c>
      <c r="G33" s="405" t="n"/>
      <c r="H33" s="405" t="n"/>
      <c r="I33" s="405" t="n"/>
      <c r="J33" s="405" t="n"/>
      <c r="K33" s="405" t="n"/>
      <c r="L33" s="405" t="n"/>
      <c r="M33" s="405" t="n"/>
      <c r="N33" s="405" t="n"/>
      <c r="O33" s="434">
        <f>+SUM(C33:N33)</f>
        <v/>
      </c>
      <c r="P33" s="773" t="n"/>
    </row>
    <row r="34" ht="12.9" customFormat="1" customHeight="1" s="805">
      <c r="A34" s="804" t="inlineStr">
        <is>
          <t xml:space="preserve">51351001   -   51351004        </t>
        </is>
      </c>
      <c r="B34" s="649" t="inlineStr">
        <is>
          <t>Temporales</t>
        </is>
      </c>
      <c r="C34" s="170">
        <f>'[17]Hoja 1'!$C$97</f>
        <v/>
      </c>
      <c r="D34" s="170">
        <f>'[20]Hoja 1'!$C$99</f>
        <v/>
      </c>
      <c r="E34" s="170" t="n">
        <v>241842440</v>
      </c>
      <c r="F34" s="170" t="n">
        <v>241842440</v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4">
        <f>+SUM(C34:N34)</f>
        <v/>
      </c>
      <c r="P34" s="775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5">
      <c r="A35" s="803" t="n"/>
      <c r="B35" s="649" t="inlineStr">
        <is>
          <t>Comunicaciones</t>
        </is>
      </c>
      <c r="C35" s="170" t="n"/>
      <c r="D35" s="170" t="n"/>
      <c r="E35" s="170" t="n">
        <v>241842440</v>
      </c>
      <c r="F35" s="170" t="n">
        <v>241842440</v>
      </c>
      <c r="G35" s="170" t="n"/>
      <c r="H35" s="170" t="n"/>
      <c r="I35" s="170" t="n"/>
      <c r="J35" s="170" t="n"/>
      <c r="K35" s="170" t="n"/>
      <c r="L35" s="170" t="n"/>
      <c r="M35" s="170" t="n"/>
      <c r="N35" s="942" t="n"/>
      <c r="O35" s="404">
        <f>+SUM(C35:N35)</f>
        <v/>
      </c>
      <c r="P35" s="775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986">
      <c r="A36" s="780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'[20]Hoja 1'!C103</f>
        <v/>
      </c>
      <c r="E36" s="170" t="n">
        <v>241842440</v>
      </c>
      <c r="F36" s="170" t="n">
        <v>241842440</v>
      </c>
      <c r="G36" s="170" t="n"/>
      <c r="H36" s="170" t="n"/>
      <c r="I36" s="170" t="n"/>
      <c r="J36" s="170" t="n"/>
      <c r="K36" s="170" t="n"/>
      <c r="L36" s="170" t="n"/>
      <c r="M36" s="404" t="n"/>
      <c r="N36" s="929" t="n"/>
      <c r="O36" s="404">
        <f>+SUM(C36:N36)</f>
        <v/>
      </c>
      <c r="P36" s="771" t="n"/>
    </row>
    <row r="37" ht="12.9" customHeight="1" s="986">
      <c r="A37" s="780" t="inlineStr">
        <is>
          <t xml:space="preserve">51351503            </t>
        </is>
      </c>
      <c r="B37" s="173" t="inlineStr">
        <is>
          <t>Fumigacion</t>
        </is>
      </c>
      <c r="C37" s="170">
        <f>'[17]Hoja 1'!$C$99</f>
        <v/>
      </c>
      <c r="D37" s="170">
        <f>'[20]Hoja 1'!C104</f>
        <v/>
      </c>
      <c r="E37" s="170" t="n">
        <v>241842440</v>
      </c>
      <c r="F37" s="170" t="n">
        <v>241842440</v>
      </c>
      <c r="G37" s="170" t="n"/>
      <c r="H37" s="170" t="n"/>
      <c r="I37" s="170" t="n"/>
      <c r="J37" s="170" t="n"/>
      <c r="K37" s="170" t="n"/>
      <c r="L37" s="170" t="n"/>
      <c r="M37" s="170" t="n"/>
      <c r="N37" s="929" t="n"/>
      <c r="O37" s="404">
        <f>+SUM(C37:N37)</f>
        <v/>
      </c>
      <c r="P37" s="771" t="n"/>
    </row>
    <row r="38" ht="12.9" customHeight="1" s="986">
      <c r="A38" s="780" t="inlineStr">
        <is>
          <t xml:space="preserve">51352501            </t>
        </is>
      </c>
      <c r="B38" s="173" t="inlineStr">
        <is>
          <t>Acueducto y Alcantarillado</t>
        </is>
      </c>
      <c r="C38" s="170">
        <f>'[17]Hoja 1'!$C$101</f>
        <v/>
      </c>
      <c r="D38" s="170">
        <f>'[20]Hoja 1'!$C$106</f>
        <v/>
      </c>
      <c r="E38" s="170" t="n">
        <v>241842440</v>
      </c>
      <c r="F38" s="170" t="n">
        <v>241842440</v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4">
        <f>+SUM(C38:N38)</f>
        <v/>
      </c>
      <c r="P38" s="771" t="n"/>
    </row>
    <row r="39" ht="12.9" customHeight="1" s="986">
      <c r="A39" s="780" t="inlineStr">
        <is>
          <t xml:space="preserve">51353001            </t>
        </is>
      </c>
      <c r="B39" s="649" t="inlineStr">
        <is>
          <t>Energía Electrica</t>
        </is>
      </c>
      <c r="C39" s="170">
        <f>'[17]Hoja 1'!$C$103</f>
        <v/>
      </c>
      <c r="D39" s="170">
        <f>'[20]Hoja 1'!$C$108</f>
        <v/>
      </c>
      <c r="E39" s="170" t="n">
        <v>241842440</v>
      </c>
      <c r="F39" s="170" t="n">
        <v>241842440</v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4">
        <f>+SUM(C39:N39)</f>
        <v/>
      </c>
      <c r="P39" s="771" t="n"/>
    </row>
    <row r="40" ht="12.9" customHeight="1" s="986">
      <c r="A40" s="780" t="inlineStr">
        <is>
          <t xml:space="preserve">51353501            </t>
        </is>
      </c>
      <c r="B40" s="649" t="inlineStr">
        <is>
          <t>Telefono</t>
        </is>
      </c>
      <c r="C40" s="170">
        <f>'[17]Hoja 1'!C105</f>
        <v/>
      </c>
      <c r="D40" s="170">
        <f>'[20]Hoja 1'!C110-98250</f>
        <v/>
      </c>
      <c r="E40" s="170" t="n">
        <v>241842440</v>
      </c>
      <c r="F40" s="170" t="n">
        <v>241842440</v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4">
        <f>+SUM(C40:N40)</f>
        <v/>
      </c>
      <c r="P40" s="771" t="n"/>
    </row>
    <row r="41" ht="12.9" customHeight="1" s="986">
      <c r="A41" s="780" t="inlineStr">
        <is>
          <t xml:space="preserve">51353502            </t>
        </is>
      </c>
      <c r="B41" s="173" t="inlineStr">
        <is>
          <t>Internet</t>
        </is>
      </c>
      <c r="C41" s="170">
        <f>'[17]Hoja 1'!C106</f>
        <v/>
      </c>
      <c r="D41" s="170">
        <f>'[20]Hoja 1'!C111</f>
        <v/>
      </c>
      <c r="E41" s="170" t="n">
        <v>241842440</v>
      </c>
      <c r="F41" s="170" t="n">
        <v>241842440</v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4">
        <f>+SUM(C41:N41)</f>
        <v/>
      </c>
      <c r="P41" s="771" t="n"/>
    </row>
    <row r="42" ht="12.9" customHeight="1" s="986">
      <c r="A42" s="780" t="inlineStr">
        <is>
          <t xml:space="preserve">51354001            </t>
        </is>
      </c>
      <c r="B42" s="173" t="inlineStr">
        <is>
          <t>Correo, Portes, telegramas</t>
        </is>
      </c>
      <c r="C42" s="170">
        <f>'[17]Hoja 1'!$C$108</f>
        <v/>
      </c>
      <c r="D42" s="170">
        <f>'[20]Hoja 1'!$C$113</f>
        <v/>
      </c>
      <c r="E42" s="170" t="n">
        <v>241842440</v>
      </c>
      <c r="F42" s="170" t="n">
        <v>241842440</v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4">
        <f>+SUM(C42:N42)</f>
        <v/>
      </c>
      <c r="P42" s="771" t="n"/>
    </row>
    <row r="43" ht="12.9" customHeight="1" s="986">
      <c r="A43" s="780" t="inlineStr">
        <is>
          <t>51355001</t>
        </is>
      </c>
      <c r="B43" s="649" t="inlineStr">
        <is>
          <t>Transporte, fletes y acarreos</t>
        </is>
      </c>
      <c r="C43" s="170">
        <f>'[30]Hoja 1'!$G$11</f>
        <v/>
      </c>
      <c r="D43" s="170">
        <f>'[31]Hoja 1'!$G$11</f>
        <v/>
      </c>
      <c r="E43" s="170" t="n">
        <v>241842440</v>
      </c>
      <c r="F43" s="170" t="n">
        <v>241842440</v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4">
        <f>+SUM(C43:N43)</f>
        <v/>
      </c>
      <c r="P43" s="771" t="n"/>
    </row>
    <row r="44" ht="12.9" customHeight="1" s="986">
      <c r="A44" s="780" t="n"/>
      <c r="B44" s="649" t="inlineStr">
        <is>
          <t>Gas</t>
        </is>
      </c>
      <c r="C44" s="170" t="n"/>
      <c r="D44" s="170" t="n"/>
      <c r="E44" s="170" t="n">
        <v>241842440</v>
      </c>
      <c r="F44" s="170" t="n">
        <v>241842440</v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4">
        <f>+SUM(C44:N44)</f>
        <v/>
      </c>
      <c r="P44" s="771" t="n"/>
    </row>
    <row r="45" ht="12.9" customHeight="1" s="986">
      <c r="A45" s="780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6">
        <f>'[17]Hoja 1'!$C$112+'[32]Hoja 1'!$C$70+'[33]Hoja 1'!$C$109+'[34]Hoja 1'!$D$133+'[35]Hoja 1'!$C$101</f>
        <v/>
      </c>
      <c r="D45" s="406">
        <f>'[20]Hoja 1'!$C$117+'[20]Hoja 1'!$C$312+'[18]Hoja 1'!$C$92+'[36]Hoja 1'!$C$89+'[19]Hoja 1'!$C$97</f>
        <v/>
      </c>
      <c r="E45" s="406" t="n">
        <v>241842440</v>
      </c>
      <c r="F45" s="406" t="n">
        <v>241842440</v>
      </c>
      <c r="G45" s="406" t="n"/>
      <c r="H45" s="406" t="n"/>
      <c r="I45" s="406" t="n"/>
      <c r="J45" s="406" t="n"/>
      <c r="K45" s="406" t="n"/>
      <c r="L45" s="406" t="n"/>
      <c r="M45" s="406" t="n"/>
      <c r="N45" s="406" t="n"/>
      <c r="O45" s="404">
        <f>+SUM(C45:N45)</f>
        <v/>
      </c>
      <c r="P45" s="771" t="n"/>
    </row>
    <row r="46" ht="15" customFormat="1" customHeight="1" s="116">
      <c r="A46" s="778" t="n"/>
      <c r="B46" s="110" t="inlineStr">
        <is>
          <t>GASTOS LEGALES</t>
        </is>
      </c>
      <c r="C46" s="407">
        <f>SUM(C47:C51)</f>
        <v/>
      </c>
      <c r="D46" s="974">
        <f>SUM(D47:D51)</f>
        <v/>
      </c>
      <c r="E46" s="407">
        <f>SUM(E47:E51)</f>
        <v/>
      </c>
      <c r="F46" s="407" t="n"/>
      <c r="G46" s="407">
        <f>SUM(G47:G51)</f>
        <v/>
      </c>
      <c r="H46" s="407">
        <f>SUM(H47:H51)</f>
        <v/>
      </c>
      <c r="I46" s="407">
        <f>SUM(I47:I51)</f>
        <v/>
      </c>
      <c r="J46" s="407">
        <f>SUM(J47:J51)</f>
        <v/>
      </c>
      <c r="K46" s="407">
        <f>SUM(K47:K51)</f>
        <v/>
      </c>
      <c r="L46" s="407">
        <f>SUM(L47:L51)</f>
        <v/>
      </c>
      <c r="M46" s="407">
        <f>SUM(M47:M51)</f>
        <v/>
      </c>
      <c r="N46" s="407">
        <f>SUM(N47:N51)</f>
        <v/>
      </c>
      <c r="O46" s="407">
        <f>SUM(O47:O51)</f>
        <v/>
      </c>
      <c r="P46" s="771" t="n"/>
    </row>
    <row r="47" ht="12.9" customHeight="1" s="986">
      <c r="A47" s="780" t="n"/>
      <c r="B47" s="172" t="inlineStr">
        <is>
          <t>Notariales</t>
        </is>
      </c>
      <c r="C47" s="405">
        <f>'[17]Hoja 1'!$C$115</f>
        <v/>
      </c>
      <c r="D47" s="405" t="n"/>
      <c r="E47" s="405" t="n">
        <v>241842440</v>
      </c>
      <c r="F47" s="405" t="n">
        <v>241842440</v>
      </c>
      <c r="G47" s="405" t="n"/>
      <c r="H47" s="405" t="n"/>
      <c r="I47" s="405" t="n"/>
      <c r="J47" s="405" t="n"/>
      <c r="K47" s="405" t="n"/>
      <c r="L47" s="405" t="n"/>
      <c r="M47" s="405" t="n"/>
      <c r="N47" s="405" t="n"/>
      <c r="O47" s="435">
        <f>+SUM(C47:N47)</f>
        <v/>
      </c>
      <c r="P47" s="771" t="n"/>
    </row>
    <row r="48" ht="12.9" customHeight="1" s="986">
      <c r="A48" s="780" t="n"/>
      <c r="B48" s="178" t="inlineStr">
        <is>
          <t>Registro Mercantil y proponentes</t>
        </is>
      </c>
      <c r="C48" s="170" t="n"/>
      <c r="D48" s="170">
        <f>'[20]Hoja 1'!$C$120</f>
        <v/>
      </c>
      <c r="E48" s="170" t="n">
        <v>241842440</v>
      </c>
      <c r="F48" s="170" t="n">
        <v>241842440</v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71" t="n"/>
    </row>
    <row r="49" ht="12.9" customHeight="1" s="986">
      <c r="A49" s="780" t="n"/>
      <c r="B49" s="178" t="inlineStr">
        <is>
          <t>Tramites y Licencias</t>
        </is>
      </c>
      <c r="C49" s="170">
        <f>'[17]Hoja 1'!$C$117</f>
        <v/>
      </c>
      <c r="D49" s="170" t="n"/>
      <c r="E49" s="170" t="n">
        <v>241842440</v>
      </c>
      <c r="F49" s="170" t="n">
        <v>241842440</v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71" t="n"/>
    </row>
    <row r="50" ht="12.9" customHeight="1" s="986">
      <c r="A50" s="780" t="n"/>
      <c r="B50" s="173" t="inlineStr">
        <is>
          <t>Servicio de Registro BMC</t>
        </is>
      </c>
      <c r="C50" s="924" t="n"/>
      <c r="D50" s="924" t="n"/>
      <c r="E50" s="924" t="n">
        <v>241842440</v>
      </c>
      <c r="F50" s="924" t="n">
        <v>241842440</v>
      </c>
      <c r="G50" s="924" t="n"/>
      <c r="H50" s="924" t="n"/>
      <c r="I50" s="924" t="n"/>
      <c r="J50" s="924" t="n"/>
      <c r="K50" s="924" t="n"/>
      <c r="L50" s="924" t="n"/>
      <c r="M50" s="924" t="n"/>
      <c r="N50" s="924" t="n"/>
      <c r="O50" s="170">
        <f>+SUM(C50:N50)</f>
        <v/>
      </c>
      <c r="P50" s="771" t="n"/>
    </row>
    <row r="51" ht="12.9" customHeight="1" s="986">
      <c r="A51" s="780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7">
        <f>'[17]Hoja 1'!$C$118</f>
        <v/>
      </c>
      <c r="D51" s="907">
        <f>'[20]Hoja 1'!$C$121</f>
        <v/>
      </c>
      <c r="E51" s="907" t="n">
        <v>241842440</v>
      </c>
      <c r="F51" s="907" t="n">
        <v>241842440</v>
      </c>
      <c r="G51" s="907" t="n"/>
      <c r="H51" s="907" t="n"/>
      <c r="I51" s="907" t="n"/>
      <c r="J51" s="907" t="n"/>
      <c r="K51" s="907" t="n"/>
      <c r="L51" s="907" t="n"/>
      <c r="M51" s="907" t="n"/>
      <c r="N51" s="907" t="n"/>
      <c r="O51" s="436">
        <f>+SUM(C51:N51)</f>
        <v/>
      </c>
      <c r="P51" s="771" t="n"/>
    </row>
    <row r="52" ht="15" customFormat="1" customHeight="1" s="116">
      <c r="A52" s="778" t="n"/>
      <c r="B52" s="157" t="inlineStr">
        <is>
          <t>MANTENIMIENTO Y REPARACIONES</t>
        </is>
      </c>
      <c r="C52" s="111">
        <f>SUM(C53:C58)</f>
        <v/>
      </c>
      <c r="D52" s="973">
        <f>SUM(D53:D58)</f>
        <v/>
      </c>
      <c r="E52" s="111">
        <f>SUM(E53:E58)</f>
        <v/>
      </c>
      <c r="F52" s="111" t="n"/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71" t="n"/>
    </row>
    <row r="53" ht="12.9" customHeight="1" s="986">
      <c r="A53" s="780" t="inlineStr">
        <is>
          <t xml:space="preserve">51451001            </t>
        </is>
      </c>
      <c r="B53" s="173" t="inlineStr">
        <is>
          <t>Construcciones y Edificaciones</t>
        </is>
      </c>
      <c r="C53" s="405">
        <f>'[17]Hoja 1'!$C$123</f>
        <v/>
      </c>
      <c r="D53" s="405">
        <f>'[20]Hoja 1'!$C$126</f>
        <v/>
      </c>
      <c r="E53" s="405" t="n">
        <v>241842440</v>
      </c>
      <c r="F53" s="405" t="n">
        <v>241842440</v>
      </c>
      <c r="G53" s="405" t="n"/>
      <c r="H53" s="405" t="n"/>
      <c r="I53" s="405" t="n"/>
      <c r="J53" s="405" t="n"/>
      <c r="K53" s="405" t="n"/>
      <c r="L53" s="405" t="n"/>
      <c r="M53" s="405" t="n"/>
      <c r="N53" s="930" t="n"/>
      <c r="O53" s="170">
        <f>+SUM(C53:N53)</f>
        <v/>
      </c>
      <c r="P53" s="771" t="n"/>
    </row>
    <row r="54" ht="12.9" customHeight="1" s="986">
      <c r="A54" s="780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'[20]Hoja 1'!$C$128-318000+'[20]Hoja 1'!$C$129</f>
        <v/>
      </c>
      <c r="E54" s="981" t="n">
        <v>241842440</v>
      </c>
      <c r="F54" s="170" t="n">
        <v>241842440</v>
      </c>
      <c r="G54" s="170" t="n"/>
      <c r="H54" s="170" t="n"/>
      <c r="I54" s="170" t="n"/>
      <c r="J54" s="170" t="n"/>
      <c r="K54" s="170" t="n"/>
      <c r="L54" s="170" t="n"/>
      <c r="M54" s="170" t="n"/>
      <c r="N54" s="929" t="n"/>
      <c r="O54" s="170">
        <f>+SUM(C54:N54)</f>
        <v/>
      </c>
      <c r="P54" s="771" t="n"/>
    </row>
    <row r="55" ht="12.9" customHeight="1" s="986">
      <c r="A55" s="780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>
        <v>241842440</v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71" t="n"/>
    </row>
    <row r="56" ht="12.9" customHeight="1" s="986">
      <c r="A56" s="780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'[17]Hoja 1'!$C$158</f>
        <v/>
      </c>
      <c r="D56" s="170" t="n">
        <v>318000</v>
      </c>
      <c r="E56" s="170" t="n">
        <v>241842440</v>
      </c>
      <c r="F56" s="170" t="n">
        <v>241842440</v>
      </c>
      <c r="G56" s="170" t="n"/>
      <c r="H56" s="170" t="n"/>
      <c r="I56" s="170" t="n"/>
      <c r="J56" s="170" t="n"/>
      <c r="K56" s="170" t="n"/>
      <c r="L56" s="170" t="n"/>
      <c r="M56" s="170" t="n"/>
      <c r="N56" s="929" t="n"/>
      <c r="O56" s="170">
        <f>+SUM(C56:N56)</f>
        <v/>
      </c>
      <c r="P56" s="771" t="n"/>
    </row>
    <row r="57" ht="12.9" customHeight="1" s="986">
      <c r="A57" s="780" t="inlineStr">
        <is>
          <t xml:space="preserve">51452501            </t>
        </is>
      </c>
      <c r="B57" s="173" t="inlineStr">
        <is>
          <t>Equipo de Computacion y Comunic</t>
        </is>
      </c>
      <c r="C57" s="436">
        <f>'[17]Hoja 1'!$C$127</f>
        <v/>
      </c>
      <c r="D57" s="436" t="n"/>
      <c r="E57" s="436" t="n">
        <v>241842440</v>
      </c>
      <c r="F57" s="436" t="n">
        <v>241842440</v>
      </c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170">
        <f>+SUM(C57:N57)</f>
        <v/>
      </c>
      <c r="P57" s="774" t="n"/>
    </row>
    <row r="58" ht="12.9" customHeight="1" s="986">
      <c r="A58" s="780" t="inlineStr">
        <is>
          <t xml:space="preserve">51451501            </t>
        </is>
      </c>
      <c r="B58" s="173" t="inlineStr">
        <is>
          <t>Plan SST</t>
        </is>
      </c>
      <c r="C58" s="406">
        <f>'[17]Hoja 1'!$C$125</f>
        <v/>
      </c>
      <c r="D58" s="406" t="n"/>
      <c r="E58" s="982" t="n">
        <v>241842440</v>
      </c>
      <c r="F58" s="406" t="n">
        <v>241842440</v>
      </c>
      <c r="G58" s="406" t="n"/>
      <c r="H58" s="406" t="n"/>
      <c r="I58" s="406" t="n"/>
      <c r="J58" s="406" t="n"/>
      <c r="K58" s="406" t="n"/>
      <c r="L58" s="406" t="n"/>
      <c r="M58" s="406" t="n"/>
      <c r="N58" s="406" t="n"/>
      <c r="O58" s="170">
        <f>+SUM(C58:N58)</f>
        <v/>
      </c>
      <c r="P58" s="771" t="n"/>
    </row>
    <row r="59" ht="15" customHeight="1" s="986">
      <c r="A59" s="778" t="n"/>
      <c r="B59" s="925" t="inlineStr">
        <is>
          <t>ADECUACIONES E INSTALACIONES</t>
        </is>
      </c>
      <c r="C59" s="408">
        <f>SUM(C60:C61)</f>
        <v/>
      </c>
      <c r="D59" s="975">
        <f>SUM(D60:D61)</f>
        <v/>
      </c>
      <c r="E59" s="408">
        <f>SUM(E60:E61)</f>
        <v/>
      </c>
      <c r="F59" s="408" t="n"/>
      <c r="G59" s="408">
        <f>SUM(G60:G61)</f>
        <v/>
      </c>
      <c r="H59" s="408">
        <f>SUM(H60:H61)</f>
        <v/>
      </c>
      <c r="I59" s="408">
        <f>SUM(I60:I61)</f>
        <v/>
      </c>
      <c r="J59" s="408">
        <f>SUM(J60:J61)</f>
        <v/>
      </c>
      <c r="K59" s="408">
        <f>SUM(K60:K61)</f>
        <v/>
      </c>
      <c r="L59" s="408">
        <f>SUM(L60:L61)</f>
        <v/>
      </c>
      <c r="M59" s="408">
        <f>SUM(M60:M61)</f>
        <v/>
      </c>
      <c r="N59" s="408">
        <f>SUM(N60:N61)</f>
        <v/>
      </c>
      <c r="O59" s="408">
        <f>SUM(O60:O61)</f>
        <v/>
      </c>
      <c r="P59" s="771" t="n"/>
    </row>
    <row r="60" ht="12.9" customFormat="1" customHeight="1" s="143">
      <c r="A60" s="803" t="n"/>
      <c r="B60" s="943" t="inlineStr">
        <is>
          <t>Inversion infraestructura</t>
        </is>
      </c>
      <c r="C60" s="169" t="n"/>
      <c r="D60" s="169" t="n"/>
      <c r="E60" s="169" t="n">
        <v>241842440</v>
      </c>
      <c r="F60" s="169" t="n">
        <v>241842440</v>
      </c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5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</row>
    <row r="61" ht="12.9" customFormat="1" customHeight="1" s="143">
      <c r="A61" s="803" t="n"/>
      <c r="B61" s="177" t="inlineStr">
        <is>
          <t>Reparaciones Locativas</t>
        </is>
      </c>
      <c r="C61" s="921" t="n"/>
      <c r="D61" s="921" t="n"/>
      <c r="E61" s="921" t="n">
        <v>241842440</v>
      </c>
      <c r="F61" s="921" t="n">
        <v>241842440</v>
      </c>
      <c r="G61" s="921" t="n"/>
      <c r="H61" s="921" t="n"/>
      <c r="I61" s="921" t="n"/>
      <c r="J61" s="921" t="n"/>
      <c r="K61" s="921" t="n"/>
      <c r="L61" s="921" t="n"/>
      <c r="M61" s="921" t="n"/>
      <c r="N61" s="921" t="n"/>
      <c r="O61" s="170">
        <f>+SUM(C61:N61)</f>
        <v/>
      </c>
      <c r="P61" s="775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</row>
    <row r="62" ht="15" customFormat="1" customHeight="1" s="116">
      <c r="A62" s="778" t="n"/>
      <c r="B62" s="110" t="inlineStr">
        <is>
          <t>GASTOS DE VIAJE</t>
        </is>
      </c>
      <c r="C62" s="111">
        <f>SUM(C63:C65)</f>
        <v/>
      </c>
      <c r="D62" s="973">
        <f>SUM(D63:D65)</f>
        <v/>
      </c>
      <c r="E62" s="111">
        <f>SUM(E63:E65)</f>
        <v/>
      </c>
      <c r="F62" s="111" t="n"/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71" t="n"/>
    </row>
    <row r="63" ht="12.9" customHeight="1" s="986">
      <c r="A63" s="780" t="inlineStr">
        <is>
          <t xml:space="preserve">51550501            </t>
        </is>
      </c>
      <c r="B63" s="172" t="inlineStr">
        <is>
          <t>Alojamiento y Manutencion</t>
        </is>
      </c>
      <c r="C63" s="405" t="n"/>
      <c r="D63" s="405" t="n"/>
      <c r="E63" s="405" t="n">
        <v>241842440</v>
      </c>
      <c r="F63" s="405" t="n">
        <v>241842440</v>
      </c>
      <c r="G63" s="405" t="n"/>
      <c r="H63" s="405" t="n"/>
      <c r="I63" s="405" t="n"/>
      <c r="J63" s="405" t="n"/>
      <c r="K63" s="405" t="n"/>
      <c r="L63" s="405" t="n"/>
      <c r="M63" s="405" t="n"/>
      <c r="N63" s="405" t="n"/>
      <c r="O63" s="434">
        <f>+SUM(C63:N63)</f>
        <v/>
      </c>
      <c r="P63" s="771" t="n"/>
    </row>
    <row r="64" ht="12.9" customHeight="1" s="986">
      <c r="A64" s="780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6" t="n">
        <v>241842440</v>
      </c>
      <c r="F64" s="170" t="n">
        <v>241842440</v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4">
        <f>+SUM(C64:N64)</f>
        <v/>
      </c>
      <c r="P64" s="771" t="n"/>
    </row>
    <row r="65" ht="12.9" customHeight="1" s="986">
      <c r="A65" s="780" t="n"/>
      <c r="B65" s="174" t="inlineStr">
        <is>
          <t>Pasajes Terrestres</t>
        </is>
      </c>
      <c r="C65" s="406" t="n"/>
      <c r="D65" s="406" t="n"/>
      <c r="E65" s="406" t="n">
        <v>241842440</v>
      </c>
      <c r="F65" s="406" t="n">
        <v>241842440</v>
      </c>
      <c r="G65" s="406" t="n"/>
      <c r="H65" s="406" t="n"/>
      <c r="I65" s="406" t="n"/>
      <c r="J65" s="406" t="n"/>
      <c r="K65" s="406" t="n"/>
      <c r="L65" s="406" t="n"/>
      <c r="M65" s="409" t="n"/>
      <c r="N65" s="409" t="n"/>
      <c r="O65" s="409">
        <f>+SUM(C65:N65)</f>
        <v/>
      </c>
      <c r="P65" s="771" t="n"/>
    </row>
    <row r="66" ht="15" customFormat="1" customHeight="1" s="116">
      <c r="A66" s="778" t="n"/>
      <c r="B66" s="742" t="inlineStr">
        <is>
          <t>DIVERSOS</t>
        </is>
      </c>
      <c r="C66" s="111">
        <f>SUM(C67:C88)</f>
        <v/>
      </c>
      <c r="D66" s="973">
        <f>SUM(D67:D88)</f>
        <v/>
      </c>
      <c r="E66" s="111">
        <f>SUM(E67:E88)</f>
        <v/>
      </c>
      <c r="F66" s="111" t="n"/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71" t="n"/>
    </row>
    <row r="67" ht="12.9" customFormat="1" customHeight="1" s="116">
      <c r="A67" s="780" t="inlineStr">
        <is>
          <t xml:space="preserve">51951001            </t>
        </is>
      </c>
      <c r="B67" s="172" t="inlineStr">
        <is>
          <t>Libros, suscripciones, period</t>
        </is>
      </c>
      <c r="C67" s="405">
        <f>'[17]Hoja 1'!$C$133</f>
        <v/>
      </c>
      <c r="D67" s="405">
        <f>'[20]Hoja 1'!$C$135</f>
        <v/>
      </c>
      <c r="E67" s="405" t="n">
        <v>241842440</v>
      </c>
      <c r="F67" s="405" t="n">
        <v>241842440</v>
      </c>
      <c r="G67" s="405" t="n"/>
      <c r="H67" s="405" t="n"/>
      <c r="I67" s="405" t="n"/>
      <c r="J67" s="405" t="n"/>
      <c r="K67" s="405" t="n"/>
      <c r="L67" s="405" t="n"/>
      <c r="M67" s="405" t="n"/>
      <c r="N67" s="405" t="n"/>
      <c r="O67" s="170">
        <f>+SUM(C67:N67)</f>
        <v/>
      </c>
      <c r="P67" s="771" t="n"/>
    </row>
    <row r="68" ht="12.9" customFormat="1" customHeight="1" s="116">
      <c r="A68" s="780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>
        <v>241842440</v>
      </c>
      <c r="G68" s="927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71" t="n"/>
    </row>
    <row r="69" ht="12.9" customHeight="1" s="986">
      <c r="A69" s="780" t="inlineStr">
        <is>
          <t xml:space="preserve">51952501            </t>
        </is>
      </c>
      <c r="B69" s="178" t="inlineStr">
        <is>
          <t>Elementos de Aseo y Cafeteria</t>
        </is>
      </c>
      <c r="C69" s="171">
        <f>'[17]Hoja 1'!$C$135</f>
        <v/>
      </c>
      <c r="D69" s="171">
        <f>'[20]Hoja 1'!$C$137</f>
        <v/>
      </c>
      <c r="E69" s="171" t="n">
        <v>241842440</v>
      </c>
      <c r="F69" s="171" t="n">
        <v>241842440</v>
      </c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4" t="n"/>
    </row>
    <row r="70" ht="12.9" customFormat="1" customHeight="1" s="143">
      <c r="A70" s="780" t="inlineStr">
        <is>
          <t xml:space="preserve">51953001            </t>
        </is>
      </c>
      <c r="B70" s="178" t="inlineStr">
        <is>
          <t>Papeleria</t>
        </is>
      </c>
      <c r="C70" s="171">
        <f>'[17]Hoja 1'!$C$137+'[17]Hoja 1'!$C$402</f>
        <v/>
      </c>
      <c r="D70" s="171">
        <f>'[20]Hoja 1'!$C$139</f>
        <v/>
      </c>
      <c r="E70" s="171" t="n">
        <v>241842440</v>
      </c>
      <c r="F70" s="171" t="n">
        <v>241842440</v>
      </c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71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</row>
    <row r="71" ht="12.9" customFormat="1" customHeight="1" s="143">
      <c r="A71" s="780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>
        <v>241842440</v>
      </c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71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</row>
    <row r="72" ht="12.9" customHeight="1" s="986">
      <c r="A72" s="780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>
        <v>241842440</v>
      </c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71" t="n"/>
    </row>
    <row r="73" ht="12.9" customHeight="1" s="986">
      <c r="A73" s="780" t="inlineStr">
        <is>
          <t>51954001   - '71100501</t>
        </is>
      </c>
      <c r="B73" s="178" t="inlineStr">
        <is>
          <t>Envases y Empaques</t>
        </is>
      </c>
      <c r="C73" s="171">
        <f>'[17]Hoja 1'!$C$141</f>
        <v/>
      </c>
      <c r="D73" s="171">
        <f>'[20]Hoja 1'!$C$143</f>
        <v/>
      </c>
      <c r="E73" s="171" t="n">
        <v>241842440</v>
      </c>
      <c r="F73" s="171" t="n">
        <v>241842440</v>
      </c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71" t="n"/>
    </row>
    <row r="74" ht="12.9" customHeight="1" s="986">
      <c r="A74" s="780" t="inlineStr">
        <is>
          <t xml:space="preserve">51954501            </t>
        </is>
      </c>
      <c r="B74" s="178" t="inlineStr">
        <is>
          <t>Taxis y Buses</t>
        </is>
      </c>
      <c r="C74" s="171">
        <f>'[17]Hoja 1'!$C$143</f>
        <v/>
      </c>
      <c r="D74" s="171">
        <f>'[20]Hoja 1'!$C$145</f>
        <v/>
      </c>
      <c r="E74" s="171" t="n">
        <v>241842440</v>
      </c>
      <c r="F74" s="171" t="n">
        <v>241842440</v>
      </c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71" t="n"/>
    </row>
    <row r="75" ht="12.9" customHeight="1" s="986">
      <c r="A75" s="780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'[17]Hoja 1'!$C$145</f>
        <v/>
      </c>
      <c r="D75" s="171">
        <f>'[20]Hoja 1'!$C$147</f>
        <v/>
      </c>
      <c r="E75" s="171" t="n">
        <v>241842440</v>
      </c>
      <c r="F75" s="171" t="n">
        <v>241842440</v>
      </c>
      <c r="G75" s="171" t="n"/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71" t="n"/>
    </row>
    <row r="76" ht="12.9" customHeight="1" s="986">
      <c r="A76" s="780" t="inlineStr">
        <is>
          <t xml:space="preserve">51956501            </t>
        </is>
      </c>
      <c r="B76" s="178" t="inlineStr">
        <is>
          <t>Parqueaderos</t>
        </is>
      </c>
      <c r="C76" s="171">
        <f>'[17]Hoja 1'!$C$148</f>
        <v/>
      </c>
      <c r="D76" s="171">
        <f>'[20]Hoja 1'!$C$150</f>
        <v/>
      </c>
      <c r="E76" s="171" t="n">
        <v>241842440</v>
      </c>
      <c r="F76" s="171" t="n">
        <v>241842440</v>
      </c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71" t="n"/>
    </row>
    <row r="77" ht="12.9" customHeight="1" s="986">
      <c r="A77" s="780" t="inlineStr">
        <is>
          <t xml:space="preserve">51956601            </t>
        </is>
      </c>
      <c r="B77" s="178" t="inlineStr">
        <is>
          <t>Peajes</t>
        </is>
      </c>
      <c r="C77" s="171">
        <f>'[17]Hoja 1'!$C$150</f>
        <v/>
      </c>
      <c r="D77" s="171">
        <f>'[20]Hoja 1'!$C$152</f>
        <v/>
      </c>
      <c r="E77" s="171" t="n">
        <v>241842440</v>
      </c>
      <c r="F77" s="171" t="n">
        <v>241842440</v>
      </c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71" t="n"/>
    </row>
    <row r="78" ht="12.9" customFormat="1" customHeight="1" s="143">
      <c r="A78" s="780" t="inlineStr">
        <is>
          <t xml:space="preserve">51959501            </t>
        </is>
      </c>
      <c r="B78" s="176" t="inlineStr">
        <is>
          <t>Otros</t>
        </is>
      </c>
      <c r="C78" s="928">
        <f>'[17]Hoja 1'!$C$152</f>
        <v/>
      </c>
      <c r="D78" s="170">
        <f>'[20]Hoja 1'!$C$154</f>
        <v/>
      </c>
      <c r="E78" s="170" t="n">
        <v>241842440</v>
      </c>
      <c r="F78" s="170" t="n">
        <v>241842440</v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71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</row>
    <row r="79" ht="13.5" customHeight="1" s="986">
      <c r="A79" s="780" t="inlineStr">
        <is>
          <t xml:space="preserve">51959502            </t>
        </is>
      </c>
      <c r="B79" s="176" t="inlineStr">
        <is>
          <t>Compra Equipos de Oficina</t>
        </is>
      </c>
      <c r="C79" s="170">
        <f>'[17]Hoja 1'!$C$153</f>
        <v/>
      </c>
      <c r="D79" s="170">
        <f>'[20]Hoja 1'!$C$155</f>
        <v/>
      </c>
      <c r="E79" s="170" t="n">
        <v>241842440</v>
      </c>
      <c r="F79" s="170" t="n">
        <v>241842440</v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71" t="n"/>
    </row>
    <row r="80" ht="12.9" customHeight="1" s="986">
      <c r="A80" s="780" t="inlineStr">
        <is>
          <t xml:space="preserve">51959503            </t>
        </is>
      </c>
      <c r="B80" s="178" t="inlineStr">
        <is>
          <t>Compra Suministros</t>
        </is>
      </c>
      <c r="C80" s="170">
        <f>'[17]Hoja 1'!$C$154</f>
        <v/>
      </c>
      <c r="D80" s="170">
        <f>'[20]Hoja 1'!$C$156</f>
        <v/>
      </c>
      <c r="E80" s="170" t="n">
        <v>241842440</v>
      </c>
      <c r="F80" s="170" t="n">
        <v>241842440</v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71" t="n"/>
    </row>
    <row r="81" ht="12.9" customHeight="1" s="986">
      <c r="A81" s="780" t="n">
        <v>51959510</v>
      </c>
      <c r="B81" s="178" t="inlineStr">
        <is>
          <t>Herramientas y articulos ferreteria</t>
        </is>
      </c>
      <c r="C81" s="170">
        <f>'[17]Hoja 1'!$C$156</f>
        <v/>
      </c>
      <c r="D81" s="170">
        <f>'[20]Hoja 1'!$C$159</f>
        <v/>
      </c>
      <c r="E81" s="170" t="n">
        <v>241842440</v>
      </c>
      <c r="F81" s="170" t="n">
        <v>241842440</v>
      </c>
      <c r="G81" s="170" t="n"/>
      <c r="H81" s="170" t="n"/>
      <c r="I81" s="170" t="n"/>
      <c r="J81" s="170" t="n"/>
      <c r="K81" s="170" t="n"/>
      <c r="L81" s="170" t="n"/>
      <c r="M81" s="170" t="n"/>
      <c r="N81" s="931" t="n"/>
      <c r="O81" s="170">
        <f>+SUM(C81:N81)</f>
        <v/>
      </c>
      <c r="P81" s="771" t="n"/>
    </row>
    <row r="82" ht="12.9" customFormat="1" customHeight="1" s="143">
      <c r="A82" s="803" t="inlineStr">
        <is>
          <t xml:space="preserve">51959512            </t>
        </is>
      </c>
      <c r="B82" s="176" t="inlineStr">
        <is>
          <t>Reuniones Fiestas y Detalles</t>
        </is>
      </c>
      <c r="C82" s="170">
        <f>'[17]Hoja 1'!$C$157</f>
        <v/>
      </c>
      <c r="D82" s="170">
        <f>'[20]Hoja 1'!$C$160</f>
        <v/>
      </c>
      <c r="E82" s="170" t="n">
        <v>241842440</v>
      </c>
      <c r="F82" s="170" t="n">
        <v>241842440</v>
      </c>
      <c r="G82" s="170" t="n"/>
      <c r="H82" s="170" t="n"/>
      <c r="I82" s="170" t="n"/>
      <c r="J82" s="170" t="n"/>
      <c r="K82" s="170" t="n"/>
      <c r="L82" s="170" t="n"/>
      <c r="M82" s="437" t="n"/>
      <c r="N82" s="910" t="n"/>
      <c r="O82" s="170">
        <f>+SUM(C82:N82)</f>
        <v/>
      </c>
      <c r="P82" s="775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</row>
    <row r="83" ht="12.9" customHeight="1" s="986">
      <c r="A83" s="780" t="inlineStr">
        <is>
          <t xml:space="preserve">51959514            </t>
        </is>
      </c>
      <c r="B83" s="178" t="inlineStr">
        <is>
          <t>Equipos de Bodega</t>
        </is>
      </c>
      <c r="C83" s="393">
        <f>'[17]Hoja 1'!$C$159</f>
        <v/>
      </c>
      <c r="D83" s="393">
        <f>'[20]Hoja 1'!$C$161</f>
        <v/>
      </c>
      <c r="E83" s="393" t="n">
        <v>241842440</v>
      </c>
      <c r="F83" s="393" t="n">
        <v>241842440</v>
      </c>
      <c r="G83" s="393" t="n"/>
      <c r="H83" s="393" t="n"/>
      <c r="I83" s="393" t="n"/>
      <c r="J83" s="393" t="n"/>
      <c r="K83" s="393" t="n"/>
      <c r="L83" s="393" t="n"/>
      <c r="M83" s="393" t="n"/>
      <c r="N83" s="393" t="n"/>
      <c r="O83" s="170">
        <f>+SUM(C83:N83)</f>
        <v/>
      </c>
      <c r="P83" s="771" t="n"/>
    </row>
    <row r="84" ht="12.9" customHeight="1" s="986">
      <c r="A84" s="780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'[17]Hoja 1'!$C$160</f>
        <v/>
      </c>
      <c r="D84" s="170">
        <f>'[20]Hoja 1'!$C$162</f>
        <v/>
      </c>
      <c r="E84" s="170" t="n">
        <v>241842440</v>
      </c>
      <c r="F84" s="170" t="n">
        <v>241842440</v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71" t="n"/>
    </row>
    <row r="85" ht="12.9" customHeight="1" s="986">
      <c r="A85" s="780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'[17]Hoja 1'!$C$155</f>
        <v/>
      </c>
      <c r="D85" s="171">
        <f>'[20]Hoja 1'!$C$157</f>
        <v/>
      </c>
      <c r="E85" s="171" t="n">
        <v>241842440</v>
      </c>
      <c r="F85" s="171" t="n">
        <v>241842440</v>
      </c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71" t="n"/>
    </row>
    <row r="86" ht="12.9" customHeight="1" s="986">
      <c r="A86" s="780" t="n"/>
      <c r="B86" s="713" t="inlineStr">
        <is>
          <t>Menaje - Basculas-Canastillas-Estibas</t>
        </is>
      </c>
      <c r="C86" s="928" t="n"/>
      <c r="D86" s="928" t="n"/>
      <c r="E86" s="928" t="n">
        <v>241842440</v>
      </c>
      <c r="F86" s="928" t="n">
        <v>241842440</v>
      </c>
      <c r="G86" s="928" t="n"/>
      <c r="H86" s="928" t="n"/>
      <c r="I86" s="928" t="n"/>
      <c r="J86" s="910" t="n"/>
      <c r="K86" s="928" t="n"/>
      <c r="L86" s="928" t="n"/>
      <c r="M86" s="928" t="n"/>
      <c r="N86" s="928" t="n"/>
      <c r="O86" s="437">
        <f>+SUM(C86:N86)</f>
        <v/>
      </c>
      <c r="P86" s="771" t="n"/>
    </row>
    <row r="87" ht="12.9" customHeight="1" s="986">
      <c r="A87" s="781" t="inlineStr">
        <is>
          <t xml:space="preserve">51959518            </t>
        </is>
      </c>
      <c r="B87" s="713" t="inlineStr">
        <is>
          <t>Compra Mercado IVH</t>
        </is>
      </c>
      <c r="C87" s="928" t="n"/>
      <c r="D87" s="928">
        <f>'[20]Hoja 1'!$C$164</f>
        <v/>
      </c>
      <c r="E87" s="928" t="n">
        <v>241842440</v>
      </c>
      <c r="F87" s="928" t="n">
        <v>241842440</v>
      </c>
      <c r="G87" s="928" t="n"/>
      <c r="H87" s="928" t="n"/>
      <c r="I87" s="928" t="n"/>
      <c r="J87" s="928" t="n"/>
      <c r="K87" s="928" t="n"/>
      <c r="L87" s="928" t="n"/>
      <c r="M87" s="928" t="n"/>
      <c r="N87" s="928" t="n"/>
      <c r="O87" s="437">
        <f>+SUM(C87:N87)</f>
        <v/>
      </c>
      <c r="P87" s="771" t="n"/>
    </row>
    <row r="88" ht="12.9" customHeight="1" s="986">
      <c r="A88" s="776" t="inlineStr">
        <is>
          <t xml:space="preserve">51959517            </t>
        </is>
      </c>
      <c r="B88" s="177" t="inlineStr">
        <is>
          <t>Convenios medicos - EMI</t>
        </is>
      </c>
      <c r="C88" s="921">
        <f>'[17]Hoja 1'!$C$161</f>
        <v/>
      </c>
      <c r="D88" s="921">
        <f>'[20]Hoja 1'!$C$163</f>
        <v/>
      </c>
      <c r="E88" s="921" t="n">
        <v>241842440</v>
      </c>
      <c r="F88" s="921" t="n">
        <v>241842440</v>
      </c>
      <c r="G88" s="921" t="n"/>
      <c r="H88" s="921" t="n"/>
      <c r="I88" s="921" t="n"/>
      <c r="J88" s="921" t="n"/>
      <c r="K88" s="921" t="n"/>
      <c r="L88" s="921" t="n"/>
      <c r="M88" s="921" t="n"/>
      <c r="N88" s="921" t="n"/>
      <c r="O88" s="406">
        <f>+SUM(C88:N88)</f>
        <v/>
      </c>
      <c r="P88" s="773" t="n"/>
    </row>
    <row r="89" ht="12.9" customHeight="1" s="986">
      <c r="A89" s="780" t="n"/>
      <c r="B89" s="742" t="inlineStr">
        <is>
          <t>CASINO</t>
        </is>
      </c>
      <c r="C89" s="111">
        <f>CASINO!$C$144</f>
        <v/>
      </c>
      <c r="D89" s="973">
        <f>CASINO!$F$144</f>
        <v/>
      </c>
      <c r="E89" s="980" t="n"/>
      <c r="F89" s="903" t="n"/>
      <c r="G89" s="903" t="n"/>
      <c r="H89" s="903" t="n"/>
      <c r="I89" s="903" t="n"/>
      <c r="J89" s="903" t="n"/>
      <c r="K89" s="903" t="n"/>
      <c r="L89" s="903" t="n"/>
      <c r="M89" s="903" t="n"/>
      <c r="N89" s="953" t="n"/>
      <c r="O89" s="406">
        <f>+SUM(C89:N89)</f>
        <v/>
      </c>
      <c r="P89" s="771" t="n"/>
    </row>
    <row r="90" ht="12.9" customHeight="1" s="986">
      <c r="A90" s="780" t="n"/>
      <c r="B90" s="110" t="inlineStr">
        <is>
          <t>OTROS GASTOS DIVERSOS</t>
        </is>
      </c>
      <c r="C90" s="111">
        <f>SUM(C91:C95)</f>
        <v/>
      </c>
      <c r="D90" s="973">
        <f>SUM(D91:D95)</f>
        <v/>
      </c>
      <c r="E90" s="111">
        <f>SUM(E91:E95)</f>
        <v/>
      </c>
      <c r="F90" s="111" t="n"/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71" t="n"/>
    </row>
    <row r="91" ht="12.9" customFormat="1" customHeight="1" s="143">
      <c r="A91" s="780" t="n"/>
      <c r="B91" s="179" t="inlineStr">
        <is>
          <t>Demandas por Incumplimiento de Contrato</t>
        </is>
      </c>
      <c r="C91" s="405" t="n"/>
      <c r="D91" s="405" t="n"/>
      <c r="E91" s="405" t="n">
        <v>241842440</v>
      </c>
      <c r="F91" s="405" t="n">
        <v>241842440</v>
      </c>
      <c r="G91" s="405" t="n"/>
      <c r="H91" s="405" t="n"/>
      <c r="I91" s="405" t="n"/>
      <c r="J91" s="405" t="n"/>
      <c r="K91" s="405" t="n"/>
      <c r="L91" s="405" t="n"/>
      <c r="M91" s="405" t="n"/>
      <c r="N91" s="405" t="n"/>
      <c r="O91" s="434">
        <f>+SUM(C91:N91)</f>
        <v/>
      </c>
      <c r="P91" s="775" t="n"/>
      <c r="Q91" s="990" t="n"/>
      <c r="R91" s="990" t="n"/>
      <c r="S91" s="990" t="n"/>
      <c r="T91" s="990" t="n"/>
      <c r="U91" s="990" t="n"/>
      <c r="V91" s="990" t="n"/>
      <c r="W91" s="990" t="n"/>
      <c r="X91" s="990" t="n"/>
      <c r="Y91" s="990" t="n"/>
      <c r="Z91" s="990" t="n"/>
      <c r="AA91" s="990" t="n"/>
      <c r="AB91" s="990" t="n"/>
      <c r="AC91" s="990" t="n"/>
      <c r="AD91" s="990" t="n"/>
      <c r="AE91" s="990" t="n"/>
      <c r="AF91" s="990" t="n"/>
      <c r="AG91" s="990" t="n"/>
      <c r="AH91" s="990" t="n"/>
      <c r="AI91" s="990" t="n"/>
      <c r="AJ91" s="990" t="n"/>
      <c r="AK91" s="990" t="n"/>
      <c r="AL91" s="990" t="n"/>
      <c r="AM91" s="990" t="n"/>
      <c r="AN91" s="990" t="n"/>
      <c r="AO91" s="990" t="n"/>
      <c r="AP91" s="990" t="n"/>
      <c r="AQ91" s="990" t="n"/>
      <c r="AR91" s="990" t="n"/>
      <c r="AS91" s="990" t="n"/>
      <c r="AT91" s="990" t="n"/>
      <c r="AU91" s="990" t="n"/>
      <c r="AV91" s="990" t="n"/>
      <c r="AW91" s="990" t="n"/>
      <c r="AX91" s="990" t="n"/>
      <c r="AY91" s="990" t="n"/>
      <c r="AZ91" s="990" t="n"/>
      <c r="BA91" s="990" t="n"/>
      <c r="BB91" s="990" t="n"/>
      <c r="BC91" s="990" t="n"/>
      <c r="BD91" s="990" t="n"/>
      <c r="BE91" s="990" t="n"/>
      <c r="BF91" s="990" t="n"/>
      <c r="BG91" s="990" t="n"/>
      <c r="BH91" s="990" t="n"/>
      <c r="BI91" s="990" t="n"/>
      <c r="BJ91" s="990" t="n"/>
      <c r="BK91" s="990" t="n"/>
      <c r="BL91" s="990" t="n"/>
      <c r="BM91" s="990" t="n"/>
      <c r="BN91" s="990" t="n"/>
      <c r="BO91" s="990" t="n"/>
      <c r="BP91" s="990" t="n"/>
      <c r="BQ91" s="990" t="n"/>
      <c r="BR91" s="990" t="n"/>
      <c r="BS91" s="990" t="n"/>
      <c r="BT91" s="990" t="n"/>
      <c r="BU91" s="990" t="n"/>
      <c r="BV91" s="990" t="n"/>
      <c r="BW91" s="990" t="n"/>
      <c r="BX91" s="990" t="n"/>
      <c r="BY91" s="990" t="n"/>
      <c r="BZ91" s="990" t="n"/>
      <c r="CA91" s="990" t="n"/>
      <c r="CB91" s="990" t="n"/>
    </row>
    <row r="92" ht="12.9" customFormat="1" customHeight="1" s="143">
      <c r="A92" s="780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>
        <v>241842440</v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4">
        <f>+SUM(C92:N92)</f>
        <v/>
      </c>
      <c r="P92" s="775" t="n"/>
      <c r="Q92" s="990" t="n"/>
      <c r="R92" s="990" t="n"/>
      <c r="S92" s="990" t="n"/>
      <c r="T92" s="990" t="n"/>
      <c r="U92" s="990" t="n"/>
      <c r="V92" s="990" t="n"/>
      <c r="W92" s="990" t="n"/>
      <c r="X92" s="990" t="n"/>
      <c r="Y92" s="990" t="n"/>
      <c r="Z92" s="990" t="n"/>
      <c r="AA92" s="990" t="n"/>
      <c r="AB92" s="990" t="n"/>
      <c r="AC92" s="990" t="n"/>
      <c r="AD92" s="990" t="n"/>
      <c r="AE92" s="990" t="n"/>
      <c r="AF92" s="990" t="n"/>
      <c r="AG92" s="990" t="n"/>
      <c r="AH92" s="990" t="n"/>
      <c r="AI92" s="990" t="n"/>
      <c r="AJ92" s="990" t="n"/>
      <c r="AK92" s="990" t="n"/>
      <c r="AL92" s="990" t="n"/>
      <c r="AM92" s="990" t="n"/>
      <c r="AN92" s="990" t="n"/>
      <c r="AO92" s="990" t="n"/>
      <c r="AP92" s="990" t="n"/>
      <c r="AQ92" s="990" t="n"/>
      <c r="AR92" s="990" t="n"/>
      <c r="AS92" s="990" t="n"/>
      <c r="AT92" s="990" t="n"/>
      <c r="AU92" s="990" t="n"/>
      <c r="AV92" s="990" t="n"/>
      <c r="AW92" s="990" t="n"/>
      <c r="AX92" s="990" t="n"/>
      <c r="AY92" s="990" t="n"/>
      <c r="AZ92" s="990" t="n"/>
      <c r="BA92" s="990" t="n"/>
      <c r="BB92" s="990" t="n"/>
      <c r="BC92" s="990" t="n"/>
      <c r="BD92" s="990" t="n"/>
      <c r="BE92" s="990" t="n"/>
      <c r="BF92" s="990" t="n"/>
      <c r="BG92" s="990" t="n"/>
      <c r="BH92" s="990" t="n"/>
      <c r="BI92" s="990" t="n"/>
      <c r="BJ92" s="990" t="n"/>
      <c r="BK92" s="990" t="n"/>
      <c r="BL92" s="990" t="n"/>
      <c r="BM92" s="990" t="n"/>
      <c r="BN92" s="990" t="n"/>
      <c r="BO92" s="990" t="n"/>
      <c r="BP92" s="990" t="n"/>
      <c r="BQ92" s="990" t="n"/>
      <c r="BR92" s="990" t="n"/>
      <c r="BS92" s="990" t="n"/>
      <c r="BT92" s="990" t="n"/>
      <c r="BU92" s="990" t="n"/>
      <c r="BV92" s="990" t="n"/>
      <c r="BW92" s="990" t="n"/>
      <c r="BX92" s="990" t="n"/>
      <c r="BY92" s="990" t="n"/>
      <c r="BZ92" s="990" t="n"/>
      <c r="CA92" s="990" t="n"/>
      <c r="CB92" s="990" t="n"/>
    </row>
    <row r="93" ht="12.9" customHeight="1" s="986">
      <c r="A93" s="780" t="n"/>
      <c r="B93" s="176" t="inlineStr">
        <is>
          <t>Multas, Sanciones y Litigios</t>
        </is>
      </c>
      <c r="C93" s="170">
        <f>'[17]Hoja 1'!$C$180</f>
        <v/>
      </c>
      <c r="D93" s="170">
        <f>'[20]Hoja 1'!$C$183</f>
        <v/>
      </c>
      <c r="E93" s="170" t="n">
        <v>241842440</v>
      </c>
      <c r="F93" s="170" t="n">
        <v>241842440</v>
      </c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71" t="n"/>
    </row>
    <row r="94" ht="12.9" customHeight="1" s="986">
      <c r="A94" s="780" t="inlineStr">
        <is>
          <t xml:space="preserve">51956002            </t>
        </is>
      </c>
      <c r="B94" s="178" t="inlineStr">
        <is>
          <t>Donaciones</t>
        </is>
      </c>
      <c r="C94" s="170">
        <f>'[17]Hoja 1'!$C$146</f>
        <v/>
      </c>
      <c r="D94" s="170">
        <f>'[20]Hoja 1'!$C$148</f>
        <v/>
      </c>
      <c r="E94" s="170" t="n">
        <v>241842440</v>
      </c>
      <c r="F94" s="170" t="n">
        <v>241842440</v>
      </c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8">
        <f>+SUM(C94:N94)</f>
        <v/>
      </c>
      <c r="P94" s="771" t="n"/>
    </row>
    <row r="95" ht="12.9" customHeight="1" s="986">
      <c r="A95" s="780" t="inlineStr">
        <is>
          <t xml:space="preserve">53954001            </t>
        </is>
      </c>
      <c r="B95" s="174" t="inlineStr">
        <is>
          <t>Ajuste al peso</t>
        </is>
      </c>
      <c r="C95" s="406">
        <f>'[17]Hoja 1'!$C$182</f>
        <v/>
      </c>
      <c r="D95" s="406">
        <f>'[20]Hoja 1'!$C$186</f>
        <v/>
      </c>
      <c r="E95" s="406" t="n">
        <v>241842440</v>
      </c>
      <c r="F95" s="406" t="n">
        <v>241842440</v>
      </c>
      <c r="G95" s="406" t="n"/>
      <c r="H95" s="406" t="n"/>
      <c r="I95" s="406" t="n"/>
      <c r="J95" s="406" t="n"/>
      <c r="K95" s="406" t="n"/>
      <c r="L95" s="406" t="n"/>
      <c r="M95" s="406" t="n"/>
      <c r="N95" s="406" t="n"/>
      <c r="O95" s="409">
        <f>+SUM(C95:N95)</f>
        <v/>
      </c>
      <c r="P95" s="771" t="n"/>
    </row>
    <row r="96" ht="15" customHeight="1" s="986">
      <c r="A96" s="778" t="n"/>
      <c r="B96" s="517" t="inlineStr">
        <is>
          <t>TOTAL ADMINISTRATIVOS</t>
        </is>
      </c>
      <c r="C96" s="504">
        <f>C5+C13+C19+C22+C28+C32+C46+C52+C59+C62+C66+C89+C90</f>
        <v/>
      </c>
      <c r="D96" s="976">
        <f>D5+D13+D19+D22+D28+D32+D46+D52+D59+D62+D66+D89+D90</f>
        <v/>
      </c>
      <c r="E96" s="504">
        <f>E5+E13+E19+E22+E28+E32+E46+E52+E59+E62+E66+E89+E90</f>
        <v/>
      </c>
      <c r="F96" s="504" t="n"/>
      <c r="G96" s="504">
        <f>G5+G13+G19+G22+G28+G32+G46+G52+G59+G62+G66+G89+G90</f>
        <v/>
      </c>
      <c r="H96" s="504">
        <f>H5+H13+H19+H22+H28+H32+H46+H52+H59+H62+H66+H89+H90</f>
        <v/>
      </c>
      <c r="I96" s="504">
        <f>I5+I13+I19+I22+I28+I32+I46+I52+I59+I62+I66+I89+I90</f>
        <v/>
      </c>
      <c r="J96" s="504">
        <f>J5+J13+J19+J22+J28+J32+J46+J52+J59+J62+J66+J89+J90</f>
        <v/>
      </c>
      <c r="K96" s="504">
        <f>K5+K13+K19+K22+K28+K32+K46+K52+K59+K62+K66+K89+K90</f>
        <v/>
      </c>
      <c r="L96" s="504">
        <f>L5+L13+L19+L22+L28+L32+L46+L52+L59+L62+L66+L89+L90</f>
        <v/>
      </c>
      <c r="M96" s="504">
        <f>M5+M13+M19+M22+M28+M32+M46+M52+M59+M62+M66+M89+M90</f>
        <v/>
      </c>
      <c r="N96" s="504">
        <f>N5+N13+N19+N22+N28+N32+N46+N52+N59+N62+N66+N89+N90</f>
        <v/>
      </c>
      <c r="O96" s="504">
        <f>O5+O13+O19+O22+O28+O32+O46+O52+O59+O62+O66+O89+O90</f>
        <v/>
      </c>
      <c r="P96" s="771" t="n"/>
    </row>
    <row r="97" ht="15" customHeight="1" s="986">
      <c r="A97" s="777" t="n"/>
      <c r="B97" s="378" t="n"/>
      <c r="C97" s="379" t="n"/>
      <c r="D97" s="379" t="n"/>
      <c r="E97" s="379" t="n"/>
      <c r="F97" s="380" t="n"/>
      <c r="G97" s="379" t="n"/>
      <c r="H97" s="379" t="n"/>
      <c r="I97" s="379" t="n"/>
      <c r="J97" s="379" t="n"/>
      <c r="K97" s="379" t="n"/>
      <c r="L97" s="379" t="n"/>
      <c r="M97" s="379" t="n"/>
      <c r="N97" s="379" t="n"/>
      <c r="O97" s="379" t="n"/>
      <c r="P97" s="771" t="n"/>
    </row>
    <row r="98" ht="15" customFormat="1" customHeight="1" s="116">
      <c r="A98" s="782" t="n"/>
      <c r="B98" s="518" t="inlineStr">
        <is>
          <t>FINANCIEROS</t>
        </is>
      </c>
      <c r="C98" s="503">
        <f>SUM(C99:C107)</f>
        <v/>
      </c>
      <c r="D98" s="973">
        <f>SUM(D99:D107)</f>
        <v/>
      </c>
      <c r="E98" s="503">
        <f>SUM(E99:E107)</f>
        <v/>
      </c>
      <c r="F98" s="503" t="n"/>
      <c r="G98" s="503">
        <f>SUM(G99:G107)</f>
        <v/>
      </c>
      <c r="H98" s="503">
        <f>SUM(H99:H107)</f>
        <v/>
      </c>
      <c r="I98" s="503">
        <f>SUM(I99:I107)</f>
        <v/>
      </c>
      <c r="J98" s="503">
        <f>SUM(J99:J107)</f>
        <v/>
      </c>
      <c r="K98" s="503">
        <f>SUM(K99:K107)</f>
        <v/>
      </c>
      <c r="L98" s="503">
        <f>SUM(L99:L107)</f>
        <v/>
      </c>
      <c r="M98" s="503">
        <f>SUM(M99:M107)</f>
        <v/>
      </c>
      <c r="N98" s="503">
        <f>SUM(N99:N107)</f>
        <v/>
      </c>
      <c r="O98" s="503">
        <f>SUM(O99:O107)</f>
        <v/>
      </c>
      <c r="P98" s="771" t="n"/>
    </row>
    <row r="99" ht="12.9" customHeight="1" s="986">
      <c r="A99" s="777" t="inlineStr">
        <is>
          <t xml:space="preserve">530505              </t>
        </is>
      </c>
      <c r="B99" s="179" t="inlineStr">
        <is>
          <t>Gastos Bancarios</t>
        </is>
      </c>
      <c r="C99" s="169">
        <f>'[17]Hoja 1'!$C$164</f>
        <v/>
      </c>
      <c r="D99" s="169">
        <f>'[20]Hoja 1'!$C$167</f>
        <v/>
      </c>
      <c r="E99" s="169" t="n">
        <v>241842440</v>
      </c>
      <c r="F99" s="405" t="n">
        <v>241842440</v>
      </c>
      <c r="G99" s="405" t="n"/>
      <c r="H99" s="405" t="n"/>
      <c r="I99" s="405" t="n"/>
      <c r="J99" s="405" t="n"/>
      <c r="K99" s="405" t="n"/>
      <c r="L99" s="405" t="n"/>
      <c r="M99" s="434" t="n"/>
      <c r="N99" s="434" t="n"/>
      <c r="O99" s="434">
        <f>+SUM(C99:N99)</f>
        <v/>
      </c>
      <c r="P99" s="771" t="n"/>
    </row>
    <row r="100" ht="12.9" customHeight="1" s="986">
      <c r="A100" s="777" t="inlineStr">
        <is>
          <t xml:space="preserve">530515              </t>
        </is>
      </c>
      <c r="B100" s="176" t="inlineStr">
        <is>
          <t>Comisiones</t>
        </is>
      </c>
      <c r="C100" s="171">
        <f>'[17]Hoja 1'!$C$167</f>
        <v/>
      </c>
      <c r="D100" s="171">
        <f>'[20]Hoja 1'!$C$170</f>
        <v/>
      </c>
      <c r="E100" s="171" t="n">
        <v>241842440</v>
      </c>
      <c r="F100" s="170" t="n">
        <v>241842440</v>
      </c>
      <c r="G100" s="170" t="n"/>
      <c r="H100" s="170" t="n"/>
      <c r="I100" s="170" t="n"/>
      <c r="J100" s="170" t="n"/>
      <c r="K100" s="170" t="n"/>
      <c r="L100" s="170" t="n"/>
      <c r="M100" s="404" t="n"/>
      <c r="N100" s="404" t="n"/>
      <c r="O100" s="404">
        <f>+SUM(C100:N100)</f>
        <v/>
      </c>
      <c r="P100" s="771" t="n"/>
    </row>
    <row r="101" ht="12.9" customHeight="1" s="986">
      <c r="A101" s="777" t="inlineStr">
        <is>
          <t xml:space="preserve">53052001            </t>
        </is>
      </c>
      <c r="B101" s="946" t="inlineStr">
        <is>
          <t>Intereses Corrientes Obligaciones</t>
        </is>
      </c>
      <c r="C101" s="171">
        <f>'[17]Hoja 1'!$C$172</f>
        <v/>
      </c>
      <c r="D101" s="171">
        <f>'[20]Hoja 1'!$C$175</f>
        <v/>
      </c>
      <c r="E101" s="171" t="n">
        <v>241842440</v>
      </c>
      <c r="F101" s="171" t="n">
        <v>241842440</v>
      </c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4">
        <f>+SUM(C101:N101)</f>
        <v/>
      </c>
      <c r="P101" s="771" t="n"/>
    </row>
    <row r="102" ht="12.9" customHeight="1" s="986">
      <c r="A102" s="777" t="inlineStr">
        <is>
          <t xml:space="preserve">53052002            </t>
        </is>
      </c>
      <c r="B102" s="946" t="inlineStr">
        <is>
          <t>Intereses  Moratorios</t>
        </is>
      </c>
      <c r="C102" s="171">
        <f>'[17]Hoja 1'!$C$173</f>
        <v/>
      </c>
      <c r="D102" s="171" t="n"/>
      <c r="E102" s="171" t="n">
        <v>241842440</v>
      </c>
      <c r="F102" s="171" t="n">
        <v>241842440</v>
      </c>
      <c r="G102" s="171" t="n"/>
      <c r="H102" s="171" t="n"/>
      <c r="I102" s="171" t="n"/>
      <c r="J102" s="171" t="n"/>
      <c r="K102" s="171" t="n"/>
      <c r="L102" s="171" t="n"/>
      <c r="M102" s="404" t="n"/>
      <c r="N102" s="404" t="n"/>
      <c r="O102" s="404">
        <f>+SUM(C102:N102)</f>
        <v/>
      </c>
      <c r="P102" s="771" t="n"/>
    </row>
    <row r="103" ht="12.9" customHeight="1" s="986">
      <c r="A103" s="777" t="n"/>
      <c r="B103" s="946" t="inlineStr">
        <is>
          <t>Intereses Sobregiro</t>
        </is>
      </c>
      <c r="C103" s="171" t="n"/>
      <c r="D103" s="171" t="n"/>
      <c r="E103" s="171" t="n">
        <v>241842440</v>
      </c>
      <c r="F103" s="171" t="n">
        <v>241842440</v>
      </c>
      <c r="G103" s="171" t="n"/>
      <c r="H103" s="171" t="n"/>
      <c r="I103" s="171" t="n"/>
      <c r="J103" s="171" t="n"/>
      <c r="K103" s="171" t="n"/>
      <c r="L103" s="171" t="n"/>
      <c r="M103" s="404" t="n"/>
      <c r="N103" s="404" t="n"/>
      <c r="O103" s="404">
        <f>+SUM(C103:N103)</f>
        <v/>
      </c>
      <c r="P103" s="771" t="n"/>
    </row>
    <row r="104" ht="12.9" customHeight="1" s="986">
      <c r="A104" s="777" t="inlineStr">
        <is>
          <t xml:space="preserve">53052004            </t>
        </is>
      </c>
      <c r="B104" s="946" t="inlineStr">
        <is>
          <t>Intereses corrientes Leasing</t>
        </is>
      </c>
      <c r="C104" s="171" t="n"/>
      <c r="D104" s="171">
        <f>'[20]Hoja 1'!$C$176</f>
        <v/>
      </c>
      <c r="E104" s="171" t="n">
        <v>241842440</v>
      </c>
      <c r="F104" s="171" t="n">
        <v>241842440</v>
      </c>
      <c r="G104" s="171" t="n"/>
      <c r="H104" s="171" t="n"/>
      <c r="I104" s="171" t="n"/>
      <c r="J104" s="171" t="n"/>
      <c r="K104" s="171" t="n"/>
      <c r="L104" s="171" t="n"/>
      <c r="M104" s="404" t="n"/>
      <c r="N104" s="404" t="n"/>
      <c r="O104" s="404">
        <f>+SUM(C104:N104)</f>
        <v/>
      </c>
      <c r="P104" s="771" t="n"/>
    </row>
    <row r="105" ht="12.9" customHeight="1" s="986">
      <c r="A105" s="777" t="inlineStr">
        <is>
          <t xml:space="preserve">53059502            </t>
        </is>
      </c>
      <c r="B105" s="946" t="inlineStr">
        <is>
          <t>Seguro Credito Leasing</t>
        </is>
      </c>
      <c r="C105" s="171" t="n"/>
      <c r="D105" s="171" t="n"/>
      <c r="E105" s="171" t="n">
        <v>241842440</v>
      </c>
      <c r="F105" s="171" t="n">
        <v>241842440</v>
      </c>
      <c r="G105" s="171" t="n"/>
      <c r="H105" s="171" t="n"/>
      <c r="I105" s="171" t="n"/>
      <c r="J105" s="171" t="n"/>
      <c r="K105" s="171" t="n"/>
      <c r="L105" s="171" t="n"/>
      <c r="M105" s="404" t="n"/>
      <c r="N105" s="404" t="n"/>
      <c r="O105" s="404">
        <f>+SUM(C105:N105)</f>
        <v/>
      </c>
      <c r="P105" s="771" t="n"/>
    </row>
    <row r="106" ht="12.9" customHeight="1" s="986">
      <c r="A106" s="777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'[17]Hoja 1'!$C$82+'[17]Hoja 1'!$C$175</f>
        <v/>
      </c>
      <c r="D106" s="171">
        <f>'[20]Hoja 1'!$C$81+'[20]Hoja 1'!$C$180</f>
        <v/>
      </c>
      <c r="E106" s="171" t="n">
        <v>241842440</v>
      </c>
      <c r="F106" s="171" t="n">
        <v>241842440</v>
      </c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4">
        <f>+SUM(C106:N106)</f>
        <v/>
      </c>
      <c r="P106" s="771" t="n"/>
    </row>
    <row r="107" ht="12.9" customHeight="1" s="986">
      <c r="A107" s="777" t="inlineStr">
        <is>
          <t xml:space="preserve">530595              </t>
        </is>
      </c>
      <c r="B107" s="177" t="inlineStr">
        <is>
          <t xml:space="preserve">Otros </t>
        </is>
      </c>
      <c r="C107" s="921">
        <f>'[17]Hoja 1'!$C$177</f>
        <v/>
      </c>
      <c r="D107" s="921" t="n"/>
      <c r="E107" s="921" t="n">
        <v>241842440</v>
      </c>
      <c r="F107" s="406" t="n">
        <v>241842440</v>
      </c>
      <c r="G107" s="406" t="n"/>
      <c r="H107" s="406" t="n"/>
      <c r="I107" s="406" t="n"/>
      <c r="J107" s="406" t="n"/>
      <c r="K107" s="406" t="n"/>
      <c r="L107" s="406" t="n"/>
      <c r="M107" s="409" t="n"/>
      <c r="N107" s="409" t="n"/>
      <c r="O107" s="409">
        <f>+SUM(C107:N107)</f>
        <v/>
      </c>
      <c r="P107" s="771" t="n"/>
    </row>
    <row r="108" ht="12.9" customHeight="1" s="986">
      <c r="A108" s="777" t="n"/>
      <c r="B108" s="925" t="inlineStr">
        <is>
          <t>INTERESES SOCIOS</t>
        </is>
      </c>
      <c r="C108" s="111">
        <f>96313193+10045491</f>
        <v/>
      </c>
      <c r="D108" s="973">
        <f>99151187+9611660</f>
        <v/>
      </c>
      <c r="E108" s="973" t="n">
        <v>241842440</v>
      </c>
      <c r="F108" s="111" t="n">
        <v>241842440</v>
      </c>
      <c r="G108" s="111" t="n"/>
      <c r="H108" s="111" t="n"/>
      <c r="I108" s="111" t="n"/>
      <c r="J108" s="111" t="n"/>
      <c r="K108" s="111" t="n"/>
      <c r="L108" s="111" t="n"/>
      <c r="M108" s="947" t="n"/>
      <c r="N108" s="111" t="n"/>
      <c r="O108" s="410">
        <f>+SUM(C108:N108)</f>
        <v/>
      </c>
      <c r="P108" s="771" t="n"/>
    </row>
    <row r="109" ht="15" customFormat="1" customHeight="1" s="116">
      <c r="A109" s="777" t="n"/>
      <c r="B109" s="518" t="inlineStr">
        <is>
          <t>TOTAL FINANCIEROS</t>
        </is>
      </c>
      <c r="C109" s="503">
        <f>C98+C108</f>
        <v/>
      </c>
      <c r="D109" s="973">
        <f>D98+D108</f>
        <v/>
      </c>
      <c r="E109" s="503">
        <f>E98+E108</f>
        <v/>
      </c>
      <c r="F109" s="503" t="n"/>
      <c r="G109" s="503">
        <f>G98+G108</f>
        <v/>
      </c>
      <c r="H109" s="503">
        <f>H98+H108</f>
        <v/>
      </c>
      <c r="I109" s="503">
        <f>I98+I108</f>
        <v/>
      </c>
      <c r="J109" s="503">
        <f>J98+J108</f>
        <v/>
      </c>
      <c r="K109" s="503">
        <f>K98+K108</f>
        <v/>
      </c>
      <c r="L109" s="503">
        <f>L98+L108</f>
        <v/>
      </c>
      <c r="M109" s="503">
        <f>M98+M108</f>
        <v/>
      </c>
      <c r="N109" s="503">
        <f>N98+N108</f>
        <v/>
      </c>
      <c r="O109" s="503">
        <f>O98+O108</f>
        <v/>
      </c>
      <c r="P109" s="771" t="n"/>
    </row>
    <row r="110" ht="15" customHeight="1" s="986">
      <c r="A110" s="777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7" t="n"/>
      <c r="B111" s="518" t="inlineStr">
        <is>
          <t>GASTOS DE PERSONAL DIRECTIVO</t>
        </is>
      </c>
      <c r="C111" s="503" t="n"/>
      <c r="D111" s="503" t="n"/>
      <c r="E111" s="503" t="n">
        <v>241842440</v>
      </c>
      <c r="F111" s="503" t="n">
        <v>241842440</v>
      </c>
      <c r="G111" s="503" t="n"/>
      <c r="H111" s="503" t="n"/>
      <c r="I111" s="503" t="n"/>
      <c r="J111" s="503" t="n"/>
      <c r="K111" s="503" t="n"/>
      <c r="L111" s="503" t="n"/>
      <c r="M111" s="503" t="n"/>
      <c r="N111" s="503" t="n"/>
      <c r="O111" s="503">
        <f>+SUM(C111:N111)</f>
        <v/>
      </c>
      <c r="P111" s="770" t="n"/>
    </row>
    <row r="112" ht="15" customHeight="1" s="986">
      <c r="B112" s="518" t="inlineStr">
        <is>
          <t>GASTOS NO OPERACIONALES</t>
        </is>
      </c>
      <c r="C112" s="503" t="n"/>
      <c r="D112" s="503" t="n"/>
      <c r="E112" s="503" t="n">
        <v>241842440</v>
      </c>
      <c r="F112" s="503" t="n">
        <v>241842440</v>
      </c>
      <c r="G112" s="503" t="n"/>
      <c r="H112" s="503" t="n"/>
      <c r="I112" s="503" t="n"/>
      <c r="J112" s="503" t="n"/>
      <c r="K112" s="503" t="n"/>
      <c r="L112" s="503" t="n"/>
      <c r="M112" s="503" t="n"/>
      <c r="N112" s="503" t="n"/>
      <c r="O112" s="503" t="n"/>
    </row>
    <row r="113" ht="15" customHeight="1" s="986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>
        <v>241842440</v>
      </c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4">
        <f>+SUM(C113:N113)</f>
        <v/>
      </c>
    </row>
    <row r="114" ht="15" customHeight="1" s="986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9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4">
        <f>+SUM(C114:N114)</f>
        <v/>
      </c>
    </row>
    <row r="115" ht="15" customHeight="1" s="986">
      <c r="B115" s="946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>
        <v>241842440</v>
      </c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4">
        <f>+SUM(C115:N115)</f>
        <v/>
      </c>
    </row>
    <row r="116" ht="15" customHeight="1" s="986">
      <c r="B116" s="946" t="inlineStr">
        <is>
          <t>(-) DESCUENTOS COMERCIALES</t>
        </is>
      </c>
      <c r="C116" s="171" t="n"/>
      <c r="D116" s="171">
        <f>'[20]Hoja 1'!$E$23</f>
        <v/>
      </c>
      <c r="E116" s="171" t="n">
        <v>241842440</v>
      </c>
      <c r="F116" s="171" t="n">
        <v>241842440</v>
      </c>
      <c r="G116" s="171" t="n"/>
      <c r="H116" s="171" t="n"/>
      <c r="I116" s="171" t="n"/>
      <c r="J116" s="171" t="n"/>
      <c r="K116" s="171" t="n"/>
      <c r="L116" s="171" t="n"/>
      <c r="M116" s="404" t="n"/>
      <c r="N116" s="404" t="n"/>
      <c r="O116" s="404">
        <f>+SUM(C116:N116)</f>
        <v/>
      </c>
    </row>
    <row r="117" ht="15" customHeight="1" s="986">
      <c r="B117" s="946" t="inlineStr">
        <is>
          <t>(-) INGRESOS NO OPERACIONALES</t>
        </is>
      </c>
      <c r="C117" s="171" t="n"/>
      <c r="D117" s="171">
        <f>'[20]Hoja 1'!$E$28</f>
        <v/>
      </c>
      <c r="E117" s="171" t="n">
        <v>241842440</v>
      </c>
      <c r="F117" s="171" t="n">
        <v>241842440</v>
      </c>
      <c r="G117" s="171" t="n"/>
      <c r="H117" s="171" t="n"/>
      <c r="I117" s="171" t="n"/>
      <c r="J117" s="171" t="n"/>
      <c r="K117" s="171" t="n"/>
      <c r="L117" s="171" t="n"/>
      <c r="M117" s="404" t="n"/>
      <c r="N117" s="404" t="n"/>
      <c r="O117" s="404">
        <f>+SUM(C117:N117)</f>
        <v/>
      </c>
    </row>
    <row r="118" ht="15" customHeight="1" s="986">
      <c r="B118" s="946" t="inlineStr">
        <is>
          <t>(-) INGRESOS INCAPACIDADES</t>
        </is>
      </c>
      <c r="C118" s="171" t="n"/>
      <c r="D118" s="171" t="n"/>
      <c r="E118" s="171" t="n">
        <v>241842440</v>
      </c>
      <c r="F118" s="171" t="n">
        <v>241842440</v>
      </c>
      <c r="G118" s="171" t="n"/>
      <c r="H118" s="171" t="n"/>
      <c r="I118" s="171" t="n"/>
      <c r="J118" s="171" t="n"/>
      <c r="K118" s="171" t="n"/>
      <c r="L118" s="171" t="n"/>
      <c r="M118" s="404" t="n"/>
      <c r="N118" s="404" t="n"/>
      <c r="O118" s="404">
        <f>+SUM(C118:N118)</f>
        <v/>
      </c>
    </row>
    <row r="119" ht="15" customHeight="1" s="986">
      <c r="B119" s="518" t="inlineStr">
        <is>
          <t>TOTAL GASTOS NO OPERACIONALES</t>
        </is>
      </c>
      <c r="C119" s="503">
        <f>SUM(C113:C115)-SUM(C116:C118)</f>
        <v/>
      </c>
      <c r="D119" s="973">
        <f>SUM(D113:D115)-SUM(D116:D118)</f>
        <v/>
      </c>
      <c r="E119" s="503">
        <f>SUM(E113:E115)-SUM(E116:E118)</f>
        <v/>
      </c>
      <c r="F119" s="503" t="n"/>
      <c r="G119" s="503">
        <f>SUM(G113:G115)-SUM(G116:G118)</f>
        <v/>
      </c>
      <c r="H119" s="503">
        <f>SUM(H113:H115)-SUM(H116:H118)</f>
        <v/>
      </c>
      <c r="I119" s="503">
        <f>SUM(I113:I115)-SUM(I116:I118)</f>
        <v/>
      </c>
      <c r="J119" s="503">
        <f>SUM(J113:J115)-SUM(J116:J118)</f>
        <v/>
      </c>
      <c r="K119" s="503">
        <f>SUM(K113:K115)-SUM(K116:K118)</f>
        <v/>
      </c>
      <c r="L119" s="503">
        <f>SUM(L113:L115)-SUM(L116:L118)</f>
        <v/>
      </c>
      <c r="M119" s="503">
        <f>SUM(M113:M115)-SUM(M116:M118)</f>
        <v/>
      </c>
      <c r="N119" s="503">
        <f>SUM(N113:N115)-SUM(N116:N118)</f>
        <v/>
      </c>
      <c r="O119" s="503">
        <f>+SUM(C119:N119)</f>
        <v/>
      </c>
    </row>
    <row r="120" ht="15" customHeight="1" s="986">
      <c r="D120" s="814" t="n"/>
      <c r="L120" s="619" t="n"/>
      <c r="M120" s="619" t="n"/>
      <c r="N120" s="619" t="n"/>
      <c r="O120" s="753" t="n"/>
    </row>
    <row r="121" ht="15" customHeight="1" s="986">
      <c r="C121" s="814" t="n"/>
      <c r="D121" s="814">
        <f>D96+D109+'GASTOS OPERATIVOS'!D17+'GASTOS VEHICULOS'!D25</f>
        <v/>
      </c>
      <c r="J121" s="619" t="n"/>
      <c r="M121" s="619" t="n"/>
      <c r="O121" s="828" t="n"/>
    </row>
    <row r="122" ht="15" customHeight="1" s="986">
      <c r="C122" s="814" t="n"/>
      <c r="D122" s="814">
        <f>'[20]Hoja 1'!$C$30+'[20]Hoja 1'!$C$199+'[20]Hoja 1'!$C$204+'[20]Hoja 1'!$C$240</f>
        <v/>
      </c>
    </row>
    <row r="123" ht="15" customHeight="1" s="986">
      <c r="C123" s="814" t="n"/>
      <c r="D123" s="987">
        <f>D121-D122</f>
        <v/>
      </c>
      <c r="O123" s="1008" t="n"/>
    </row>
    <row r="124" ht="11.4" customHeight="1" s="986"/>
    <row r="125" ht="15" customHeight="1" s="986">
      <c r="E125" s="814" t="n"/>
      <c r="F125" s="814" t="n"/>
      <c r="G125" s="814" t="n"/>
      <c r="I125" s="619" t="n"/>
      <c r="J125" s="619" t="n"/>
      <c r="L125" s="619" t="n"/>
      <c r="M125" s="619" t="n"/>
      <c r="O125" s="828" t="n"/>
    </row>
    <row r="126" ht="15" customHeight="1" s="986">
      <c r="D126" s="814" t="n">
        <v>-55134543</v>
      </c>
      <c r="E126" s="814" t="n"/>
      <c r="F126" s="814" t="n"/>
      <c r="G126" s="814" t="n"/>
      <c r="J126" s="990" t="n"/>
      <c r="K126" s="619" t="n"/>
      <c r="L126" s="619" t="n"/>
      <c r="M126" s="619" t="n"/>
      <c r="O126" s="828" t="inlineStr">
        <is>
          <t>JUNTA</t>
        </is>
      </c>
    </row>
    <row r="127" ht="15" customHeight="1" s="986">
      <c r="D127" s="814" t="n">
        <v>-4115810</v>
      </c>
      <c r="F127" s="814" t="n"/>
      <c r="G127" s="814" t="n"/>
      <c r="J127" s="990" t="n"/>
      <c r="K127" s="619" t="n"/>
      <c r="L127" s="619" t="n"/>
      <c r="M127" s="619" t="n"/>
      <c r="O127" s="828" t="inlineStr">
        <is>
          <t>CASINO</t>
        </is>
      </c>
    </row>
    <row r="128" ht="15" customHeight="1" s="986">
      <c r="D128" s="987">
        <f>SUM(D126:D127)</f>
        <v/>
      </c>
      <c r="F128" s="814" t="n"/>
      <c r="G128" s="814" t="n"/>
      <c r="J128" s="990" t="n"/>
      <c r="K128" s="619" t="n"/>
      <c r="L128" s="619" t="n"/>
      <c r="M128" s="619" t="n"/>
      <c r="O128" s="828" t="n"/>
    </row>
    <row r="129" ht="15" customHeight="1" s="986">
      <c r="F129" s="814" t="n"/>
      <c r="G129" s="814" t="n"/>
      <c r="J129" s="990" t="n"/>
      <c r="K129" s="619" t="n"/>
      <c r="L129" s="619" t="n"/>
      <c r="M129" s="619" t="n"/>
      <c r="O129" s="828" t="n"/>
    </row>
    <row r="130" ht="15" customHeight="1" s="986">
      <c r="D130" s="987">
        <f>D128-D123</f>
        <v/>
      </c>
      <c r="F130" s="814" t="n"/>
      <c r="G130" s="814" t="n"/>
      <c r="J130" s="990" t="n"/>
      <c r="K130" s="619" t="n"/>
      <c r="L130" s="619" t="n"/>
      <c r="M130" s="619" t="n"/>
      <c r="O130" s="828" t="n"/>
    </row>
    <row r="131" ht="15" customHeight="1" s="986">
      <c r="F131" s="814" t="n"/>
      <c r="G131" s="814" t="n"/>
      <c r="J131" s="990" t="n"/>
      <c r="K131" s="619" t="n"/>
      <c r="L131" s="619" t="n"/>
      <c r="O131" s="814" t="n"/>
    </row>
    <row r="132" ht="15" customHeight="1" s="986">
      <c r="G132" s="814" t="n"/>
      <c r="J132" s="619" t="n"/>
      <c r="K132" s="619" t="n"/>
      <c r="L132" s="619" t="n"/>
      <c r="O132" s="881" t="n"/>
    </row>
    <row r="133" ht="15" customHeight="1" s="986">
      <c r="J133" s="619" t="n"/>
      <c r="K133" s="990" t="n"/>
      <c r="L133" s="619" t="n"/>
      <c r="M133" s="619" t="n"/>
      <c r="O133" s="828" t="n"/>
    </row>
    <row r="134" ht="15" customHeight="1" s="986">
      <c r="J134" s="619" t="n"/>
      <c r="M134" s="619" t="n"/>
      <c r="O134" s="828" t="n"/>
    </row>
    <row r="135" ht="15" customHeight="1" s="986">
      <c r="J135" s="619" t="n"/>
      <c r="M135" s="619" t="n"/>
      <c r="O135" s="828" t="n"/>
    </row>
    <row r="136" ht="15" customHeight="1" s="986">
      <c r="J136" s="619" t="n"/>
      <c r="M136" s="619" t="n"/>
      <c r="O136" s="828" t="n"/>
    </row>
    <row r="137" ht="15" customHeight="1" s="986">
      <c r="J137" s="619" t="n"/>
      <c r="M137" s="619" t="n"/>
    </row>
    <row r="138" ht="15" customHeight="1" s="986">
      <c r="M138" s="619" t="n"/>
    </row>
    <row r="139" ht="15" customHeight="1" s="986">
      <c r="M139" s="619" t="n"/>
    </row>
    <row r="140" ht="15" customHeight="1" s="986">
      <c r="M140" s="619" t="n"/>
    </row>
    <row r="141" ht="15" customHeight="1" s="986">
      <c r="M141" s="619" t="n"/>
    </row>
    <row r="142" ht="15" customHeight="1" s="986">
      <c r="M142" s="619" t="n"/>
    </row>
    <row r="143" ht="15" customHeight="1" s="986">
      <c r="M143" s="619" t="n"/>
    </row>
    <row r="144" ht="15" customHeight="1" s="986">
      <c r="M144" s="619" t="n"/>
    </row>
    <row r="145" ht="15" customHeight="1" s="986">
      <c r="M145" s="619" t="n"/>
    </row>
    <row r="146" ht="15" customHeight="1" s="986">
      <c r="M146" s="619" t="n"/>
    </row>
    <row r="147" ht="15" customHeight="1" s="986">
      <c r="M147" s="619" t="n"/>
    </row>
    <row r="148" ht="15" customHeight="1" s="986">
      <c r="M148" s="619" t="n"/>
    </row>
    <row r="149" ht="15" customHeight="1" s="986">
      <c r="M149" s="619" t="n"/>
    </row>
    <row r="150" ht="15" customHeight="1" s="986">
      <c r="M150" s="619" t="n"/>
    </row>
    <row r="151" ht="15" customHeight="1" s="986">
      <c r="M151" s="619" t="n"/>
    </row>
    <row r="152" ht="15" customHeight="1" s="986">
      <c r="M152" s="619" t="n"/>
    </row>
    <row r="153" ht="15" customHeight="1" s="986">
      <c r="M153" s="619" t="n"/>
    </row>
    <row r="154" ht="15" customHeight="1" s="986">
      <c r="M154" s="619" t="n"/>
    </row>
    <row r="155" ht="15" customHeight="1" s="986">
      <c r="M155" s="619" t="n"/>
    </row>
    <row r="156" ht="15" customHeight="1" s="986">
      <c r="M156" s="619" t="n"/>
    </row>
    <row r="157" ht="15" customHeight="1" s="986">
      <c r="M157" s="619" t="n"/>
    </row>
    <row r="158" ht="15" customHeight="1" s="986">
      <c r="M158" s="619" t="n"/>
    </row>
    <row r="159" ht="15" customHeight="1" s="986">
      <c r="M159" s="619" t="n"/>
    </row>
    <row r="160" ht="15" customHeight="1" s="986">
      <c r="M160" s="619" t="n"/>
    </row>
    <row r="161" ht="15" customHeight="1" s="986">
      <c r="M161" s="619" t="n"/>
    </row>
    <row r="162" ht="15" customHeight="1" s="986">
      <c r="M162" s="619" t="n"/>
    </row>
    <row r="163" ht="15" customHeight="1" s="986">
      <c r="M163" s="619" t="n"/>
    </row>
    <row r="164" ht="15" customHeight="1" s="986">
      <c r="M164" s="619" t="n"/>
    </row>
    <row r="165" ht="15" customHeight="1" s="986">
      <c r="M165" s="619" t="n"/>
    </row>
    <row r="166" ht="15" customHeight="1" s="986">
      <c r="M166" s="619" t="n"/>
    </row>
    <row r="167" ht="15" customHeight="1" s="986">
      <c r="M167" s="619" t="n"/>
    </row>
    <row r="168" ht="15" customHeight="1" s="986">
      <c r="M168" s="619" t="n"/>
    </row>
    <row r="169" ht="15" customHeight="1" s="986">
      <c r="M169" s="619" t="n"/>
    </row>
    <row r="170" ht="15" customHeight="1" s="986">
      <c r="M170" s="619" t="n"/>
    </row>
    <row r="171" ht="15" customHeight="1" s="986">
      <c r="M171" s="619" t="n"/>
    </row>
    <row r="172" ht="15" customHeight="1" s="986">
      <c r="M172" s="619" t="n"/>
    </row>
    <row r="173" ht="15" customHeight="1" s="986">
      <c r="M173" s="619" t="n"/>
    </row>
    <row r="174" ht="15" customHeight="1" s="986">
      <c r="M174" s="619" t="n"/>
    </row>
    <row r="175" ht="15" customHeight="1" s="986">
      <c r="M175" s="619" t="n"/>
    </row>
    <row r="176" ht="15" customHeight="1" s="986">
      <c r="M176" s="619" t="n"/>
    </row>
    <row r="177" ht="15" customHeight="1" s="986">
      <c r="M177" s="619" t="n"/>
    </row>
    <row r="178" ht="15" customHeight="1" s="986">
      <c r="M178" s="619" t="n"/>
    </row>
    <row r="179" ht="15" customHeight="1" s="986">
      <c r="M179" s="619" t="n"/>
    </row>
    <row r="180" ht="15" customHeight="1" s="986">
      <c r="M180" s="619" t="n"/>
    </row>
    <row r="181" ht="15" customHeight="1" s="986">
      <c r="M181" s="619" t="n"/>
    </row>
    <row r="182" ht="15" customHeight="1" s="986">
      <c r="M182" s="619" t="n"/>
    </row>
    <row r="183" ht="15" customHeight="1" s="986">
      <c r="M183" s="619" t="n"/>
    </row>
    <row r="184" ht="15" customHeight="1" s="986">
      <c r="M184" s="619" t="n"/>
    </row>
    <row r="185" ht="15" customHeight="1" s="986">
      <c r="M185" s="619" t="n"/>
    </row>
    <row r="186" ht="15" customHeight="1" s="986">
      <c r="M186" s="619" t="n"/>
    </row>
    <row r="187" ht="15" customHeight="1" s="986">
      <c r="M187" s="619" t="n"/>
    </row>
    <row r="188" ht="15" customHeight="1" s="986">
      <c r="M188" s="619" t="n"/>
    </row>
    <row r="189" ht="15" customHeight="1" s="986">
      <c r="M189" s="619" t="n"/>
    </row>
    <row r="190" ht="15" customHeight="1" s="986">
      <c r="M190" s="619" t="n"/>
    </row>
    <row r="191" ht="15" customHeight="1" s="986">
      <c r="M191" s="619" t="n"/>
    </row>
    <row r="192" ht="15" customHeight="1" s="986">
      <c r="M192" s="619" t="n"/>
    </row>
    <row r="193" ht="15" customHeight="1" s="986">
      <c r="M193" s="619" t="n"/>
    </row>
    <row r="194" ht="15" customHeight="1" s="986">
      <c r="M194" s="619" t="n"/>
    </row>
    <row r="195" ht="15" customHeight="1" s="986">
      <c r="M195" s="619" t="n"/>
    </row>
    <row r="196" ht="15" customHeight="1" s="986">
      <c r="M196" s="619" t="n"/>
    </row>
    <row r="197" ht="15" customHeight="1" s="986">
      <c r="M197" s="619" t="n"/>
    </row>
    <row r="198" ht="15" customHeight="1" s="986">
      <c r="M198" s="619" t="n"/>
    </row>
    <row r="199" ht="15" customHeight="1" s="986">
      <c r="M199" s="619" t="n"/>
    </row>
    <row r="200" ht="15" customHeight="1" s="986">
      <c r="M200" s="619" t="n"/>
    </row>
    <row r="201" ht="15" customHeight="1" s="986">
      <c r="M201" s="619" t="n"/>
    </row>
    <row r="202" ht="15" customHeight="1" s="986">
      <c r="M202" s="619" t="n"/>
    </row>
    <row r="203" ht="15" customHeight="1" s="986">
      <c r="M203" s="619" t="n"/>
    </row>
    <row r="204" ht="15" customHeight="1" s="986">
      <c r="M204" s="619" t="n"/>
    </row>
    <row r="205" ht="15" customHeight="1" s="986">
      <c r="M205" s="619" t="n"/>
    </row>
    <row r="206" ht="15" customHeight="1" s="986">
      <c r="M206" s="619" t="n"/>
    </row>
    <row r="207" ht="15" customHeight="1" s="986">
      <c r="M207" s="619" t="n"/>
    </row>
    <row r="208" ht="15" customHeight="1" s="986">
      <c r="M208" s="619" t="n"/>
    </row>
    <row r="209" ht="15" customHeight="1" s="986">
      <c r="M209" s="619" t="n"/>
    </row>
    <row r="210" ht="15" customHeight="1" s="986">
      <c r="M210" s="619" t="n"/>
    </row>
    <row r="211" ht="15" customHeight="1" s="986">
      <c r="M211" s="619" t="n"/>
    </row>
    <row r="212" ht="15" customHeight="1" s="986">
      <c r="M212" s="619" t="n"/>
    </row>
    <row r="213" ht="15" customHeight="1" s="986">
      <c r="M213" s="619" t="n"/>
    </row>
    <row r="214" ht="15" customHeight="1" s="986">
      <c r="M214" s="619" t="n"/>
    </row>
    <row r="215" ht="15" customHeight="1" s="986">
      <c r="M215" s="619" t="n"/>
    </row>
    <row r="216" ht="15" customHeight="1" s="986">
      <c r="M216" s="619" t="n"/>
    </row>
    <row r="217" ht="15" customHeight="1" s="986">
      <c r="M217" s="619" t="n"/>
    </row>
    <row r="218" ht="15" customHeight="1" s="986">
      <c r="M218" s="619" t="n"/>
    </row>
    <row r="219" ht="15" customHeight="1" s="986">
      <c r="M219" s="619" t="n"/>
    </row>
    <row r="220" ht="15" customHeight="1" s="986">
      <c r="M220" s="619" t="n"/>
    </row>
    <row r="221" ht="15" customHeight="1" s="986">
      <c r="M221" s="619" t="n"/>
    </row>
    <row r="222" ht="15" customHeight="1" s="986">
      <c r="M222" s="619" t="n"/>
    </row>
    <row r="223" ht="15" customHeight="1" s="986">
      <c r="M223" s="619" t="n"/>
    </row>
    <row r="224" ht="15" customHeight="1" s="986">
      <c r="M224" s="619" t="n"/>
    </row>
    <row r="225" ht="15" customHeight="1" s="986">
      <c r="M225" s="619" t="n"/>
    </row>
    <row r="226" ht="15" customHeight="1" s="986">
      <c r="M226" s="619" t="n"/>
    </row>
    <row r="227" ht="15" customHeight="1" s="986">
      <c r="M227" s="619" t="n"/>
    </row>
    <row r="228" ht="15" customHeight="1" s="986">
      <c r="M228" s="619" t="n"/>
    </row>
    <row r="229" ht="15" customHeight="1" s="986">
      <c r="M229" s="619" t="n"/>
    </row>
    <row r="230" ht="15" customHeight="1" s="986">
      <c r="M230" s="619" t="n"/>
    </row>
    <row r="231" ht="15" customHeight="1" s="986">
      <c r="M231" s="619" t="n"/>
    </row>
    <row r="232" ht="15" customHeight="1" s="986">
      <c r="M232" s="619" t="n"/>
    </row>
    <row r="233" ht="15" customHeight="1" s="986">
      <c r="M233" s="619" t="n"/>
    </row>
    <row r="234" ht="15" customHeight="1" s="986">
      <c r="M234" s="619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tabSelected="1"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E5" sqref="E5:F16"/>
    </sheetView>
  </sheetViews>
  <sheetFormatPr baseColWidth="10" defaultColWidth="11.44140625" defaultRowHeight="11.4"/>
  <cols>
    <col width="10.33203125" customWidth="1" style="187" min="1" max="1"/>
    <col width="34.5546875" bestFit="1" customWidth="1" style="1009" min="2" max="2"/>
    <col width="14.44140625" customWidth="1" style="984" min="3" max="4"/>
    <col width="15.33203125" bestFit="1" customWidth="1" style="984" min="5" max="5"/>
    <col width="14.44140625" customWidth="1" style="984" min="6" max="14"/>
    <col width="16.33203125" bestFit="1" customWidth="1" style="984" min="15" max="15"/>
    <col width="5.33203125" customWidth="1" style="990" min="16" max="16"/>
    <col width="11.44140625" customWidth="1" style="990" min="17" max="27"/>
    <col width="11.44140625" customWidth="1" style="990" min="28" max="16384"/>
  </cols>
  <sheetData>
    <row r="1"/>
    <row r="2" ht="33" customHeight="1" s="986">
      <c r="B2" s="1007" t="inlineStr">
        <is>
          <t xml:space="preserve">CORPORACIÓN HACIA UN VALLE SOLIDARIO </t>
        </is>
      </c>
      <c r="C2" s="983" t="n">
        <v>242070540</v>
      </c>
    </row>
    <row r="3">
      <c r="B3" s="1007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986">
      <c r="B4" s="1010" t="n"/>
      <c r="C4" s="477" t="inlineStr">
        <is>
          <t>ENE</t>
        </is>
      </c>
      <c r="D4" s="477" t="inlineStr">
        <is>
          <t>FEB</t>
        </is>
      </c>
      <c r="E4" s="477" t="inlineStr">
        <is>
          <t>MAR</t>
        </is>
      </c>
      <c r="F4" s="477" t="inlineStr">
        <is>
          <t>ABR</t>
        </is>
      </c>
      <c r="G4" s="477" t="inlineStr">
        <is>
          <t>MAY</t>
        </is>
      </c>
      <c r="H4" s="477" t="inlineStr">
        <is>
          <t>JUN</t>
        </is>
      </c>
      <c r="I4" s="610" t="inlineStr">
        <is>
          <t>JUL</t>
        </is>
      </c>
      <c r="J4" s="610" t="inlineStr">
        <is>
          <t>AGO</t>
        </is>
      </c>
      <c r="K4" s="610" t="inlineStr">
        <is>
          <t>SEP</t>
        </is>
      </c>
      <c r="L4" s="610" t="inlineStr">
        <is>
          <t>OCT</t>
        </is>
      </c>
      <c r="M4" s="610" t="inlineStr">
        <is>
          <t>NOV</t>
        </is>
      </c>
      <c r="N4" s="610" t="inlineStr">
        <is>
          <t>DIC</t>
        </is>
      </c>
      <c r="O4" s="477" t="inlineStr">
        <is>
          <t>ACUMULADO</t>
        </is>
      </c>
    </row>
    <row r="5" ht="15" customHeight="1" s="986">
      <c r="B5" s="1011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986">
      <c r="A6" s="189" t="inlineStr">
        <is>
          <t xml:space="preserve">7205                </t>
        </is>
      </c>
      <c r="B6" s="176" t="inlineStr">
        <is>
          <t>Salarios</t>
        </is>
      </c>
      <c r="C6" s="460">
        <f>'[1]Hoja 1'!$I$8-C9+'[2]Hoja 1'!$I$9+'[3]Hoja 1'!$D$9+'[4]Hoja 1'!$D$9+'[5]Hoja 1'!$C$91+'[6]Hoja 1'!$D$9+'[7]Hoja 1'!$E$9+'[8]Hoja 1'!$E$10</f>
        <v/>
      </c>
      <c r="D6" s="460">
        <f>'[9]Hoja 1'!$I$8+'[10]Hoja 1'!$I$8-D9+'[11]Hoja 1'!$I$9+'[12]Hoja 1'!$D$9+'[13]Hoja 1'!$D$9+'[14]Hoja 1'!$D$9+'[15]Hoja 1'!$I$9</f>
        <v/>
      </c>
      <c r="E6" s="460" t="n">
        <v>241842440</v>
      </c>
      <c r="F6" s="403" t="n">
        <v>241842440</v>
      </c>
      <c r="G6" s="403" t="n"/>
      <c r="H6" s="403" t="n"/>
      <c r="I6" s="403" t="n"/>
      <c r="J6" s="403" t="n"/>
      <c r="K6" s="403" t="n"/>
      <c r="L6" s="403" t="n"/>
      <c r="M6" s="403" t="n"/>
      <c r="N6" s="403" t="n"/>
      <c r="O6" s="460">
        <f>SUM(C6:N6)</f>
        <v/>
      </c>
    </row>
    <row r="7" ht="12.9" customHeight="1" s="986">
      <c r="A7" s="189" t="n"/>
      <c r="B7" s="176" t="inlineStr">
        <is>
          <t>Casos Especiales</t>
        </is>
      </c>
      <c r="C7" s="461">
        <f>'[1]Hoja 1'!$I$9+'[3]Hoja 1'!$D$10</f>
        <v/>
      </c>
      <c r="D7" s="461">
        <f>'[9]Hoja 1'!$I$9+'[9]Hoja 1'!$D$32+'[12]Hoja 1'!$D$10+'[16]Hoja 1'!$D$10</f>
        <v/>
      </c>
      <c r="E7" s="461" t="n">
        <v>241842440</v>
      </c>
      <c r="F7" s="461" t="n">
        <v>241842440</v>
      </c>
      <c r="G7" s="461" t="n"/>
      <c r="H7" s="461" t="n"/>
      <c r="I7" s="461" t="n"/>
      <c r="J7" s="461" t="n"/>
      <c r="K7" s="461" t="n"/>
      <c r="L7" s="461" t="n"/>
      <c r="M7" s="461" t="n"/>
      <c r="N7" s="461" t="n"/>
      <c r="O7" s="393">
        <f>SUM(C7:N7)</f>
        <v/>
      </c>
    </row>
    <row r="8" ht="12.9" customHeight="1" s="986">
      <c r="A8" s="189" t="n"/>
      <c r="B8" s="176" t="inlineStr">
        <is>
          <t>Incapacidades Especiales</t>
        </is>
      </c>
      <c r="C8" s="461" t="n"/>
      <c r="D8" s="919" t="n"/>
      <c r="E8" s="461" t="n">
        <v>241842440</v>
      </c>
      <c r="F8" s="461" t="n">
        <v>241842440</v>
      </c>
      <c r="G8" s="461" t="n"/>
      <c r="H8" s="461" t="n"/>
      <c r="I8" s="461" t="n"/>
      <c r="J8" s="461" t="n"/>
      <c r="K8" s="461" t="n"/>
      <c r="L8" s="461" t="n"/>
      <c r="M8" s="461" t="n"/>
      <c r="N8" s="461" t="n"/>
      <c r="O8" s="461">
        <f>SUM(C8:N8)</f>
        <v/>
      </c>
    </row>
    <row r="9" ht="12.9" customHeight="1" s="986">
      <c r="A9" s="189" t="inlineStr">
        <is>
          <t xml:space="preserve">72055101            </t>
        </is>
      </c>
      <c r="B9" s="176" t="inlineStr">
        <is>
          <t>Dotacion y Suministro</t>
        </is>
      </c>
      <c r="C9" s="461">
        <f>'[17]Hoja 1'!$C$218</f>
        <v/>
      </c>
      <c r="D9" s="461">
        <f>'[18]Hoja 1'!$C$76+'[19]Hoja 1'!$C$81-152082</f>
        <v/>
      </c>
      <c r="E9" s="461" t="n">
        <v>241842440</v>
      </c>
      <c r="F9" s="461" t="n">
        <v>241842440</v>
      </c>
      <c r="G9" s="461" t="n"/>
      <c r="H9" s="461" t="n"/>
      <c r="I9" s="461" t="n"/>
      <c r="J9" s="461" t="n"/>
      <c r="K9" s="461" t="n"/>
      <c r="L9" s="461" t="n"/>
      <c r="M9" s="461" t="n"/>
      <c r="N9" s="461" t="n"/>
      <c r="O9" s="461">
        <f>SUM(C9:N9)</f>
        <v/>
      </c>
    </row>
    <row r="10" ht="12.9" customHeight="1" s="986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5">
        <f>'[20]Hoja 1'!$C$239</f>
        <v/>
      </c>
      <c r="E10" s="393" t="n">
        <v>241842440</v>
      </c>
      <c r="F10" s="393" t="n">
        <v>241842440</v>
      </c>
      <c r="G10" s="393" t="n"/>
      <c r="H10" s="393" t="n"/>
      <c r="I10" s="393" t="n"/>
      <c r="J10" s="393" t="n"/>
      <c r="K10" s="393" t="n"/>
      <c r="L10" s="393" t="n"/>
      <c r="M10" s="393" t="n"/>
      <c r="N10" s="393" t="n"/>
      <c r="O10" s="425">
        <f>SUM(C10:N10)</f>
        <v/>
      </c>
    </row>
    <row r="11" ht="15" customHeight="1" s="986">
      <c r="A11" s="189" t="n"/>
      <c r="B11" s="157" t="inlineStr">
        <is>
          <t>CUOTA DE APOYO Y SOSTENIMIENTO</t>
        </is>
      </c>
      <c r="C11" s="167" t="n"/>
      <c r="D11" s="167" t="n"/>
      <c r="E11" s="167" t="n">
        <v>23734730</v>
      </c>
      <c r="F11" s="167" t="n">
        <v>23734730</v>
      </c>
      <c r="G11" s="167" t="n"/>
      <c r="H11" s="167" t="n"/>
      <c r="I11" s="167" t="n"/>
      <c r="J11" s="167" t="n"/>
      <c r="K11" s="167" t="n">
        <v>0</v>
      </c>
      <c r="L11" s="167" t="n"/>
      <c r="M11" s="167" t="n"/>
      <c r="N11" s="167" t="n"/>
      <c r="O11" s="167" t="n"/>
    </row>
    <row r="12" ht="15" customHeight="1" s="986">
      <c r="A12" s="189" t="n"/>
      <c r="B12" s="168" t="inlineStr">
        <is>
          <t>DIVERSOS</t>
        </is>
      </c>
      <c r="C12" s="905">
        <f>SUM(C13:C16)</f>
        <v/>
      </c>
      <c r="D12" s="905">
        <f>SUM(D13:D16)</f>
        <v/>
      </c>
      <c r="E12" s="905">
        <f>SUM(E13:E16)</f>
        <v/>
      </c>
      <c r="F12" s="905">
        <f>SUM(F13:F16)</f>
        <v/>
      </c>
      <c r="G12" s="905">
        <f>SUM(G13:G16)</f>
        <v/>
      </c>
      <c r="H12" s="905">
        <f>SUM(H13:H16)</f>
        <v/>
      </c>
      <c r="I12" s="905">
        <f>SUM(I13:I16)</f>
        <v/>
      </c>
      <c r="J12" s="905">
        <f>SUM(J13:J16)</f>
        <v/>
      </c>
      <c r="K12" s="905">
        <f>SUM(K13:K16)</f>
        <v/>
      </c>
      <c r="L12" s="905">
        <f>SUM(L13:L16)</f>
        <v/>
      </c>
      <c r="M12" s="905">
        <f>SUM(M13:M16)</f>
        <v/>
      </c>
      <c r="N12" s="905">
        <f>SUM(N13:N16)</f>
        <v/>
      </c>
      <c r="O12" s="180">
        <f>SUM(O13:O16)</f>
        <v/>
      </c>
    </row>
    <row r="13" ht="12.9" customHeight="1" s="986">
      <c r="A13" s="189" t="inlineStr">
        <is>
          <t xml:space="preserve">71101001  - 73952501 </t>
        </is>
      </c>
      <c r="B13" s="178" t="inlineStr">
        <is>
          <t>Aseo</t>
        </is>
      </c>
      <c r="C13" s="920">
        <f>'[17]Hoja 1'!$C$196+'[17]Hoja 1'!$C$234</f>
        <v/>
      </c>
      <c r="D13" s="920">
        <f>'[20]Hoja 1'!$C$201+'[20]Hoja 1'!$C$243</f>
        <v/>
      </c>
      <c r="E13" s="920" t="n">
        <v>241842440</v>
      </c>
      <c r="F13" s="920" t="n">
        <v>241842440</v>
      </c>
      <c r="G13" s="920" t="n"/>
      <c r="H13" s="920" t="n"/>
      <c r="I13" s="920" t="n"/>
      <c r="J13" s="920" t="n"/>
      <c r="K13" s="920" t="n"/>
      <c r="L13" s="920" t="n"/>
      <c r="M13" s="920" t="n"/>
      <c r="N13" s="920" t="n"/>
      <c r="O13" s="425">
        <f>SUM(C13:N13)</f>
        <v/>
      </c>
    </row>
    <row r="14" ht="12.9" customHeight="1" s="986">
      <c r="A14" s="189" t="inlineStr">
        <is>
          <t xml:space="preserve">73959504            </t>
        </is>
      </c>
      <c r="B14" s="178" t="inlineStr">
        <is>
          <t>Averias</t>
        </is>
      </c>
      <c r="C14" s="425">
        <f>'[17]Hoja 1'!$C$236</f>
        <v/>
      </c>
      <c r="D14" s="425">
        <f>'[20]Hoja 1'!$C$245</f>
        <v/>
      </c>
      <c r="E14" s="425" t="n">
        <v>241842440</v>
      </c>
      <c r="F14" s="425" t="n">
        <v>241842440</v>
      </c>
      <c r="G14" s="425" t="n"/>
      <c r="H14" s="425" t="n"/>
      <c r="I14" s="425" t="n"/>
      <c r="J14" s="425" t="n"/>
      <c r="K14" s="425" t="n"/>
      <c r="L14" s="425" t="n"/>
      <c r="M14" s="425" t="n"/>
      <c r="N14" s="425" t="n"/>
      <c r="O14" s="425">
        <f>SUM(C14:N14)</f>
        <v/>
      </c>
    </row>
    <row r="15" ht="12.9" customHeight="1" s="986">
      <c r="A15" s="189" t="n"/>
      <c r="B15" s="178" t="inlineStr">
        <is>
          <t>Equipos de Bodega</t>
        </is>
      </c>
      <c r="C15" s="393" t="n"/>
      <c r="D15" s="393" t="n"/>
      <c r="E15" s="393" t="n">
        <v>241842440</v>
      </c>
      <c r="F15" s="393" t="n">
        <v>241842440</v>
      </c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>
        <f>SUM(C15:N15)</f>
        <v/>
      </c>
    </row>
    <row r="16" ht="12.9" customHeight="1" s="986">
      <c r="A16" s="189" t="inlineStr">
        <is>
          <t xml:space="preserve">51959509  -  71102001  </t>
        </is>
      </c>
      <c r="B16" s="178" t="inlineStr">
        <is>
          <t>Bioseguridad + EPP</t>
        </is>
      </c>
      <c r="C16" s="426">
        <f>'[17]Hoja 1'!$C$198</f>
        <v/>
      </c>
      <c r="D16" s="426">
        <f>'[20]Hoja 1'!$C$158+'[20]Hoja 1'!$C$203</f>
        <v/>
      </c>
      <c r="E16" s="426" t="n">
        <v>241842440</v>
      </c>
      <c r="F16" s="426" t="n">
        <v>241842440</v>
      </c>
      <c r="G16" s="426" t="n"/>
      <c r="H16" s="426" t="n"/>
      <c r="I16" s="426" t="n"/>
      <c r="J16" s="426" t="n"/>
      <c r="K16" s="426" t="n"/>
      <c r="L16" s="426" t="n"/>
      <c r="M16" s="426" t="n"/>
      <c r="N16" s="426" t="n"/>
      <c r="O16" s="393">
        <f>SUM(C16:N16)</f>
        <v/>
      </c>
    </row>
    <row r="17" ht="15" customHeight="1" s="986">
      <c r="A17" s="189" t="n"/>
      <c r="B17" s="1012" t="inlineStr">
        <is>
          <t>TOTAL GASTOS</t>
        </is>
      </c>
      <c r="C17" s="477">
        <f>C5+C11+C12</f>
        <v/>
      </c>
      <c r="D17" s="477">
        <f>D5+D11+D12</f>
        <v/>
      </c>
      <c r="E17" s="477">
        <f>E5+E11+E12</f>
        <v/>
      </c>
      <c r="F17" s="477">
        <f>F5+F11+F12</f>
        <v/>
      </c>
      <c r="G17" s="477">
        <f>G5+G11+G12</f>
        <v/>
      </c>
      <c r="H17" s="477">
        <f>H5+H11+H12</f>
        <v/>
      </c>
      <c r="I17" s="477">
        <f>I5+I11+I12</f>
        <v/>
      </c>
      <c r="J17" s="477">
        <f>J5+J11+J12</f>
        <v/>
      </c>
      <c r="K17" s="477">
        <f>K5+K11+K12</f>
        <v/>
      </c>
      <c r="L17" s="477">
        <f>L5+L11+L12</f>
        <v/>
      </c>
      <c r="M17" s="477">
        <f>M5+M11+M12</f>
        <v/>
      </c>
      <c r="N17" s="477">
        <f>N5+N11+N12</f>
        <v/>
      </c>
      <c r="O17" s="477">
        <f>O5+O11+O12</f>
        <v/>
      </c>
    </row>
    <row r="18"/>
    <row r="19"/>
    <row r="20" hidden="1" s="986">
      <c r="C20" s="984" t="n">
        <v>83159889</v>
      </c>
      <c r="D20" s="984" t="n">
        <v>148056842</v>
      </c>
      <c r="E20" s="984" t="n">
        <v>166932975</v>
      </c>
      <c r="F20" s="984" t="n">
        <v>194850261</v>
      </c>
      <c r="G20" s="984" t="n">
        <v>219335066</v>
      </c>
      <c r="I20" s="984" t="n">
        <v>177744901</v>
      </c>
      <c r="J20" s="984" t="n">
        <v>217896905</v>
      </c>
      <c r="K20" s="984" t="n">
        <v>262294276</v>
      </c>
      <c r="L20" s="984" t="n">
        <v>262819240</v>
      </c>
      <c r="M20" s="984" t="n">
        <v>251102591</v>
      </c>
      <c r="N20" s="984" t="n">
        <v>223519101</v>
      </c>
      <c r="O20" s="984">
        <f>SUM(C20:N20)</f>
        <v/>
      </c>
    </row>
    <row r="21" hidden="1" s="986">
      <c r="C21" s="984">
        <f>C6-C20</f>
        <v/>
      </c>
      <c r="D21" s="984">
        <f>D6-D20</f>
        <v/>
      </c>
      <c r="E21" s="984">
        <f>E6-E20</f>
        <v/>
      </c>
      <c r="F21" s="984">
        <f>F6-F20</f>
        <v/>
      </c>
      <c r="G21" s="984">
        <f>G6-G20</f>
        <v/>
      </c>
      <c r="I21" s="984">
        <f>I6-I20</f>
        <v/>
      </c>
      <c r="J21" s="984">
        <f>J6-J20</f>
        <v/>
      </c>
      <c r="K21" s="984">
        <f>K6-K20</f>
        <v/>
      </c>
      <c r="L21" s="984">
        <f>L6-L20</f>
        <v/>
      </c>
      <c r="M21" s="984">
        <f>M6-M20</f>
        <v/>
      </c>
      <c r="N21" s="984">
        <f>N6-N20</f>
        <v/>
      </c>
      <c r="O21" s="984">
        <f>SUM(C21:N21)</f>
        <v/>
      </c>
    </row>
    <row r="22" hidden="1" s="986">
      <c r="C22" s="790">
        <f>C21/C20</f>
        <v/>
      </c>
      <c r="D22" s="790">
        <f>D21/D20</f>
        <v/>
      </c>
      <c r="E22" s="790">
        <f>E21/E20</f>
        <v/>
      </c>
      <c r="F22" s="790">
        <f>F21/F20</f>
        <v/>
      </c>
      <c r="G22" s="790">
        <f>G21/G20</f>
        <v/>
      </c>
      <c r="H22" s="790" t="n"/>
      <c r="I22" s="790">
        <f>I21/I20</f>
        <v/>
      </c>
      <c r="J22" s="790">
        <f>J21/J20</f>
        <v/>
      </c>
      <c r="K22" s="790">
        <f>K21/K20</f>
        <v/>
      </c>
      <c r="L22" s="790">
        <f>L21/L20</f>
        <v/>
      </c>
      <c r="M22" s="790">
        <f>M21/M20</f>
        <v/>
      </c>
      <c r="N22" s="790">
        <f>N21/N20</f>
        <v/>
      </c>
      <c r="O22" s="790">
        <f>O21/O20</f>
        <v/>
      </c>
    </row>
    <row r="23" hidden="1" s="986"/>
    <row r="24" hidden="1" s="986"/>
    <row r="25" hidden="1" s="986">
      <c r="K25" s="984">
        <f>K20-J20</f>
        <v/>
      </c>
      <c r="L25" s="984" t="inlineStr">
        <is>
          <t>dif ago y sep 2024</t>
        </is>
      </c>
    </row>
    <row r="26" hidden="1" s="986"/>
    <row r="27" hidden="1" s="986">
      <c r="K27" s="984">
        <f>K25*8</f>
        <v/>
      </c>
      <c r="L27" s="984" t="inlineStr">
        <is>
          <t>dif * 8 meses</t>
        </is>
      </c>
    </row>
    <row r="28" hidden="1" s="986">
      <c r="K28" s="984">
        <f>K27+O20</f>
        <v/>
      </c>
      <c r="L28" s="984" t="inlineStr">
        <is>
          <t>2024+dif</t>
        </is>
      </c>
    </row>
    <row r="29" hidden="1" s="986">
      <c r="K29" s="984">
        <f>K28*11%</f>
        <v/>
      </c>
      <c r="L29" s="984" t="inlineStr">
        <is>
          <t>incremento 11%</t>
        </is>
      </c>
    </row>
    <row r="30" hidden="1" s="986">
      <c r="K30" s="984">
        <f>K28+K29</f>
        <v/>
      </c>
      <c r="L30" s="984" t="inlineStr">
        <is>
          <t>incr + 2024</t>
        </is>
      </c>
    </row>
    <row r="31" hidden="1" s="986">
      <c r="K31" s="984" t="n">
        <v>535655289</v>
      </c>
      <c r="L31" s="984" t="inlineStr">
        <is>
          <t>17 personas</t>
        </is>
      </c>
    </row>
    <row r="32" hidden="1" s="986">
      <c r="K32" s="791">
        <f>K30+K31</f>
        <v/>
      </c>
      <c r="L32" s="984" t="inlineStr">
        <is>
          <t>17 p +inc +2024</t>
        </is>
      </c>
    </row>
    <row r="33" hidden="1" s="986">
      <c r="K33" s="984">
        <f>O6-K32</f>
        <v/>
      </c>
      <c r="L33" s="984" t="inlineStr">
        <is>
          <t>dif 2024 vs ppto</t>
        </is>
      </c>
    </row>
    <row r="34" hidden="1" s="986">
      <c r="K34" s="984">
        <f>8%*K6*12</f>
        <v/>
      </c>
      <c r="L34" s="790" t="inlineStr">
        <is>
          <t>bonificacion 2025</t>
        </is>
      </c>
    </row>
    <row r="35" hidden="1" s="986">
      <c r="K35" s="984">
        <f>K33-K34</f>
        <v/>
      </c>
      <c r="L35" s="984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984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E20" sqref="E20"/>
    </sheetView>
  </sheetViews>
  <sheetFormatPr baseColWidth="10" defaultColWidth="11.44140625" defaultRowHeight="11.4"/>
  <cols>
    <col width="9" customWidth="1" style="187" min="1" max="1"/>
    <col width="37.6640625" customWidth="1" style="990" min="2" max="2"/>
    <col width="15.5546875" customWidth="1" style="988" min="3" max="3"/>
    <col width="14.109375" customWidth="1" style="988" min="4" max="4"/>
    <col width="13.33203125" customWidth="1" style="988" min="5" max="5"/>
    <col width="13.88671875" customWidth="1" style="988" min="6" max="10"/>
    <col width="14.33203125" customWidth="1" style="988" min="11" max="11"/>
    <col width="13.88671875" customWidth="1" style="988" min="12" max="12"/>
    <col width="13.6640625" customWidth="1" style="988" min="13" max="13"/>
    <col width="13.88671875" customWidth="1" style="988" min="14" max="14"/>
    <col width="16.109375" customWidth="1" style="988" min="15" max="15"/>
    <col width="7.5546875" customWidth="1" style="990" min="16" max="16"/>
    <col width="11.44140625" customWidth="1" style="990" min="17" max="27"/>
    <col width="11.44140625" customWidth="1" style="990" min="28" max="16384"/>
  </cols>
  <sheetData>
    <row r="1">
      <c r="B1" s="1009" t="n"/>
      <c r="C1" s="984" t="n"/>
      <c r="D1" s="984" t="n"/>
      <c r="E1" s="984" t="n"/>
      <c r="F1" s="984" t="n"/>
      <c r="G1" s="984" t="n"/>
      <c r="H1" s="984" t="n"/>
      <c r="I1" s="984" t="n"/>
      <c r="J1" s="984" t="n"/>
      <c r="K1" s="984" t="n"/>
      <c r="L1" s="984" t="n"/>
      <c r="M1" s="984" t="n"/>
      <c r="N1" s="984" t="n"/>
      <c r="O1" s="984" t="n"/>
    </row>
    <row r="2" ht="30" customHeight="1" s="986">
      <c r="B2" s="1007" t="inlineStr">
        <is>
          <t xml:space="preserve">CORPORACIÓN HACIA UN VALLE SOLIDARIO </t>
        </is>
      </c>
      <c r="C2" s="983" t="inlineStr">
        <is>
          <t>PRESUPUESTO GASTOS VEHICULOS 2026</t>
        </is>
      </c>
    </row>
    <row r="3">
      <c r="B3" s="1007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986">
      <c r="B4" s="1013" t="n"/>
      <c r="C4" s="477" t="inlineStr">
        <is>
          <t>ENE</t>
        </is>
      </c>
      <c r="D4" s="477" t="inlineStr">
        <is>
          <t>FEB</t>
        </is>
      </c>
      <c r="E4" s="477" t="inlineStr">
        <is>
          <t>MAR</t>
        </is>
      </c>
      <c r="F4" s="477" t="inlineStr">
        <is>
          <t>ABR</t>
        </is>
      </c>
      <c r="G4" s="477" t="inlineStr">
        <is>
          <t>MAY</t>
        </is>
      </c>
      <c r="H4" s="477" t="inlineStr">
        <is>
          <t>JUN</t>
        </is>
      </c>
      <c r="I4" s="610" t="inlineStr">
        <is>
          <t>JUL</t>
        </is>
      </c>
      <c r="J4" s="610" t="inlineStr">
        <is>
          <t>AGO</t>
        </is>
      </c>
      <c r="K4" s="610" t="inlineStr">
        <is>
          <t>SEP</t>
        </is>
      </c>
      <c r="L4" s="610" t="inlineStr">
        <is>
          <t>OCT</t>
        </is>
      </c>
      <c r="M4" s="610" t="inlineStr">
        <is>
          <t>NOV</t>
        </is>
      </c>
      <c r="N4" s="610" t="inlineStr">
        <is>
          <t>DIC</t>
        </is>
      </c>
      <c r="O4" s="477" t="inlineStr">
        <is>
          <t>ACUMULADO</t>
        </is>
      </c>
    </row>
    <row r="5" ht="15" customHeight="1" s="986">
      <c r="A5" s="188" t="n"/>
      <c r="B5" s="1011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986">
      <c r="A6" s="189" t="inlineStr">
        <is>
          <t>7205</t>
        </is>
      </c>
      <c r="B6" s="1014" t="inlineStr">
        <is>
          <t>Salarios</t>
        </is>
      </c>
      <c r="C6" s="424">
        <f>'[2]Hoja 1'!$I$10+'[7]Hoja 1'!$E$10</f>
        <v/>
      </c>
      <c r="D6" s="424">
        <f>'[10]Hoja 1'!$I$9+'[11]Hoja 1'!$I$10+'[15]Hoja 1'!$I$10-D7</f>
        <v/>
      </c>
      <c r="E6" s="424" t="n"/>
      <c r="F6" s="435" t="n"/>
      <c r="G6" s="435" t="n"/>
      <c r="H6" s="435" t="n"/>
      <c r="I6" s="435" t="n"/>
      <c r="J6" s="435" t="n"/>
      <c r="K6" s="435" t="n"/>
      <c r="L6" s="435" t="n"/>
      <c r="M6" s="435" t="n"/>
      <c r="N6" s="909" t="n"/>
      <c r="O6" s="460">
        <f>SUM(C6:N6)</f>
        <v/>
      </c>
    </row>
    <row r="7" ht="12.9" customHeight="1" s="986">
      <c r="A7" s="189" t="n">
        <v>72055101</v>
      </c>
      <c r="B7" s="1015" t="inlineStr">
        <is>
          <t>Dotacion</t>
        </is>
      </c>
      <c r="C7" s="437" t="n"/>
      <c r="D7" s="437" t="n">
        <v>152082</v>
      </c>
      <c r="E7" s="437" t="n"/>
      <c r="F7" s="437" t="n"/>
      <c r="G7" s="437" t="n"/>
      <c r="H7" s="437" t="n"/>
      <c r="I7" s="437" t="n"/>
      <c r="J7" s="910" t="n"/>
      <c r="K7" s="437" t="n"/>
      <c r="L7" s="437" t="n"/>
      <c r="M7" s="437" t="n"/>
      <c r="N7" s="437" t="n"/>
      <c r="O7" s="393">
        <f>SUM(C7:N7)</f>
        <v/>
      </c>
    </row>
    <row r="8" ht="12.9" customHeight="1" s="986">
      <c r="A8" s="189" t="n"/>
      <c r="B8" s="1016" t="inlineStr">
        <is>
          <t>Gastos Medicos</t>
        </is>
      </c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  <c r="L8" s="406" t="n"/>
      <c r="M8" s="406" t="n"/>
      <c r="N8" s="406" t="n"/>
      <c r="O8" s="426">
        <f>SUM(C8:N8)</f>
        <v/>
      </c>
    </row>
    <row r="9" ht="15" customFormat="1" customHeight="1" s="1017">
      <c r="A9" s="1018" t="n"/>
      <c r="B9" s="1019" t="inlineStr">
        <is>
          <t>IMPUESTOS</t>
        </is>
      </c>
      <c r="C9" s="111">
        <f>SUM(C10)</f>
        <v/>
      </c>
      <c r="D9" s="111">
        <f>SUM(D10)</f>
        <v/>
      </c>
      <c r="E9" s="111" t="n"/>
      <c r="F9" s="111" t="n"/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17">
      <c r="A10" s="1018" t="n"/>
      <c r="B10" s="1020" t="inlineStr">
        <is>
          <t>Impuestos Vehiculo</t>
        </is>
      </c>
      <c r="C10" s="903">
        <f>'[17]Hoja 1'!$C$80-2676712</f>
        <v/>
      </c>
      <c r="D10" s="903" t="n"/>
      <c r="E10" s="903" t="n">
        <v>241842440</v>
      </c>
      <c r="F10" s="903" t="n">
        <v>241842440</v>
      </c>
      <c r="G10" s="903" t="n"/>
      <c r="H10" s="903" t="n"/>
      <c r="I10" s="903" t="n"/>
      <c r="J10" s="903" t="n"/>
      <c r="K10" s="903" t="n"/>
      <c r="L10" s="903" t="n"/>
      <c r="M10" s="903" t="n"/>
      <c r="N10" s="903" t="n"/>
      <c r="O10" s="352">
        <f>SUM(C10:N10)</f>
        <v/>
      </c>
    </row>
    <row r="11" ht="15" customFormat="1" customHeight="1" s="1009">
      <c r="A11" s="1018" t="n"/>
      <c r="B11" s="1019" t="inlineStr">
        <is>
          <t>SEGUROS</t>
        </is>
      </c>
      <c r="C11" s="167">
        <f>SUM(C12:C14)</f>
        <v/>
      </c>
      <c r="D11" s="167">
        <f>SUM(D12:D14)</f>
        <v/>
      </c>
      <c r="E11" s="167" t="n"/>
      <c r="F11" s="167" t="n"/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986">
      <c r="A12" s="187" t="inlineStr">
        <is>
          <t xml:space="preserve">51303501            </t>
        </is>
      </c>
      <c r="B12" s="1014" t="inlineStr">
        <is>
          <t>Sustraccion y Hurto</t>
        </is>
      </c>
      <c r="C12" s="904" t="n"/>
      <c r="D12" s="904" t="n"/>
      <c r="E12" s="904" t="n">
        <v>241842440</v>
      </c>
      <c r="F12" s="904" t="n">
        <v>241842440</v>
      </c>
      <c r="G12" s="904" t="n"/>
      <c r="H12" s="904" t="n"/>
      <c r="I12" s="904" t="n"/>
      <c r="J12" s="904" t="n"/>
      <c r="K12" s="904" t="n"/>
      <c r="L12" s="904" t="n"/>
      <c r="M12" s="904" t="n"/>
      <c r="N12" s="904" t="n"/>
      <c r="O12" s="460">
        <f>SUM(C12:N12)</f>
        <v/>
      </c>
    </row>
    <row r="13" ht="12.9" customHeight="1" s="986">
      <c r="A13" s="187" t="inlineStr">
        <is>
          <t xml:space="preserve">51304001            </t>
        </is>
      </c>
      <c r="B13" s="1014" t="inlineStr">
        <is>
          <t>Flota y Equipo de Transporte</t>
        </is>
      </c>
      <c r="C13" s="404" t="n"/>
      <c r="D13" s="404">
        <f>'[20]Hoja 1'!$C$93</f>
        <v/>
      </c>
      <c r="E13" s="404" t="n">
        <v>241842440</v>
      </c>
      <c r="F13" s="404" t="n">
        <v>241842440</v>
      </c>
      <c r="G13" s="404" t="n"/>
      <c r="H13" s="404" t="n"/>
      <c r="I13" s="404" t="n"/>
      <c r="J13" s="404" t="n"/>
      <c r="K13" s="404" t="n"/>
      <c r="L13" s="404" t="n"/>
      <c r="M13" s="404" t="n"/>
      <c r="N13" s="404" t="n"/>
      <c r="O13" s="461">
        <f>SUM(C13:N13)</f>
        <v/>
      </c>
    </row>
    <row r="14" ht="12.9" customFormat="1" customHeight="1" s="1017">
      <c r="A14" s="1018" t="n"/>
      <c r="B14" s="1016" t="inlineStr">
        <is>
          <t>Obligatorio Accidente de transito</t>
        </is>
      </c>
      <c r="C14" s="406">
        <f>'[17]Hoja 1'!$C$92</f>
        <v/>
      </c>
      <c r="D14" s="406" t="n"/>
      <c r="E14" s="406" t="n">
        <v>241842440</v>
      </c>
      <c r="F14" s="406" t="n">
        <v>241842440</v>
      </c>
      <c r="G14" s="406" t="n"/>
      <c r="H14" s="406" t="n"/>
      <c r="I14" s="406" t="n"/>
      <c r="J14" s="406" t="n"/>
      <c r="K14" s="406" t="n"/>
      <c r="L14" s="406" t="n"/>
      <c r="M14" s="406" t="n"/>
      <c r="N14" s="406" t="n"/>
      <c r="O14" s="462">
        <f>SUM(C14:N14)</f>
        <v/>
      </c>
    </row>
    <row r="15" ht="12.9" customFormat="1" customHeight="1" s="1017">
      <c r="A15" s="1018" t="n"/>
      <c r="B15" s="1021" t="inlineStr">
        <is>
          <t>SERVICIOS</t>
        </is>
      </c>
      <c r="C15" s="410">
        <f>SUM(C16:C18)</f>
        <v/>
      </c>
      <c r="D15" s="410">
        <f>SUM(D16:D18)</f>
        <v/>
      </c>
      <c r="E15" s="410" t="n"/>
      <c r="F15" s="410" t="n"/>
      <c r="G15" s="410">
        <f>SUM(G16:G18)</f>
        <v/>
      </c>
      <c r="H15" s="410">
        <f>SUM(H16:H18)</f>
        <v/>
      </c>
      <c r="I15" s="410">
        <f>SUM(I16:I18)</f>
        <v/>
      </c>
      <c r="J15" s="410">
        <f>SUM(J16:J18)</f>
        <v/>
      </c>
      <c r="K15" s="410">
        <f>SUM(K16:K18)</f>
        <v/>
      </c>
      <c r="L15" s="410">
        <f>SUM(L16:L18)</f>
        <v/>
      </c>
      <c r="M15" s="410">
        <f>SUM(M16:M18)</f>
        <v/>
      </c>
      <c r="N15" s="410">
        <f>SUM(N16:N18)</f>
        <v/>
      </c>
      <c r="O15" s="410">
        <f>SUM(O16:O18)</f>
        <v/>
      </c>
    </row>
    <row r="16" ht="12.9" customFormat="1" customHeight="1" s="1017">
      <c r="A16" s="1018" t="inlineStr">
        <is>
          <t xml:space="preserve">51350502            </t>
        </is>
      </c>
      <c r="B16" s="1022" t="inlineStr">
        <is>
          <t>Monitoreo</t>
        </is>
      </c>
      <c r="C16" s="424">
        <f>'[17]Hoja 1'!$C$95</f>
        <v/>
      </c>
      <c r="D16" s="424">
        <f>'[20]Hoja 1'!$C$98</f>
        <v/>
      </c>
      <c r="E16" s="424" t="n">
        <v>241842440</v>
      </c>
      <c r="F16" s="424" t="n">
        <v>241842440</v>
      </c>
      <c r="G16" s="424" t="n"/>
      <c r="H16" s="424" t="n"/>
      <c r="I16" s="424" t="n"/>
      <c r="J16" s="424" t="n"/>
      <c r="K16" s="424" t="n"/>
      <c r="L16" s="424" t="n"/>
      <c r="M16" s="424" t="n"/>
      <c r="N16" s="424" t="n"/>
      <c r="O16" s="424">
        <f>SUM(C16:N16)</f>
        <v/>
      </c>
      <c r="P16" s="1023" t="n"/>
    </row>
    <row r="17" ht="12.9" customFormat="1" customHeight="1" s="1017">
      <c r="A17" s="1018" t="n"/>
      <c r="B17" s="1024" t="inlineStr">
        <is>
          <t>Seguridad</t>
        </is>
      </c>
      <c r="C17" s="424">
        <f>'[30]Hoja 1'!$G$26</f>
        <v/>
      </c>
      <c r="D17" s="424">
        <f>'[31]Hoja 1'!$G$26</f>
        <v/>
      </c>
      <c r="E17" s="424" t="n">
        <v>241842440</v>
      </c>
      <c r="F17" s="424" t="n">
        <v>241842440</v>
      </c>
      <c r="G17" s="424" t="n"/>
      <c r="H17" s="424" t="n"/>
      <c r="I17" s="424" t="n"/>
      <c r="J17" s="424" t="n"/>
      <c r="K17" s="424" t="n"/>
      <c r="L17" s="424" t="n"/>
      <c r="M17" s="424" t="n"/>
      <c r="N17" s="424" t="n"/>
      <c r="O17" s="424">
        <f>SUM(C17:N17)</f>
        <v/>
      </c>
      <c r="P17" s="1023" t="n"/>
    </row>
    <row r="18" ht="12.9" customFormat="1" customHeight="1" s="1017">
      <c r="A18" s="806" t="n">
        <v>51355001</v>
      </c>
      <c r="B18" s="1016" t="inlineStr">
        <is>
          <t>Transporte, fletes y acarreos</t>
        </is>
      </c>
      <c r="C18" s="406">
        <f>'[30]Hoja 1'!$G$29</f>
        <v/>
      </c>
      <c r="D18" s="406">
        <f>'[31]Hoja 1'!$G$29</f>
        <v/>
      </c>
      <c r="E18" s="406" t="n"/>
      <c r="F18" s="406" t="n"/>
      <c r="G18" s="406" t="n"/>
      <c r="H18" s="406" t="n"/>
      <c r="I18" s="406" t="n"/>
      <c r="J18" s="406" t="n"/>
      <c r="K18" s="406" t="n"/>
      <c r="L18" s="406" t="n"/>
      <c r="M18" s="406" t="n"/>
      <c r="N18" s="406" t="n"/>
      <c r="O18" s="426">
        <f>SUM(C18:N18)</f>
        <v/>
      </c>
      <c r="P18" s="1025" t="n"/>
    </row>
    <row r="19" ht="12.9" customFormat="1" customHeight="1" s="1017">
      <c r="A19" s="1026" t="n"/>
      <c r="B19" s="1021" t="inlineStr">
        <is>
          <t>MANTENIMIENTO Y REPARACIONES</t>
        </is>
      </c>
      <c r="C19" s="905">
        <f>SUM(C20:C21)</f>
        <v/>
      </c>
      <c r="D19" s="905">
        <f>SUM(D20:D21)</f>
        <v/>
      </c>
      <c r="E19" s="905" t="n"/>
      <c r="F19" s="905" t="n"/>
      <c r="G19" s="905">
        <f>SUM(G20:G21)</f>
        <v/>
      </c>
      <c r="H19" s="905">
        <f>SUM(H20:H21)</f>
        <v/>
      </c>
      <c r="I19" s="905">
        <f>SUM(I20:I21)</f>
        <v/>
      </c>
      <c r="J19" s="905">
        <f>SUM(J20:J21)</f>
        <v/>
      </c>
      <c r="K19" s="905">
        <f>SUM(K20:K21)</f>
        <v/>
      </c>
      <c r="L19" s="905">
        <f>SUM(L20:L21)</f>
        <v/>
      </c>
      <c r="M19" s="905">
        <f>SUM(M20:M21)</f>
        <v/>
      </c>
      <c r="N19" s="905">
        <f>SUM(N20:N21)</f>
        <v/>
      </c>
      <c r="O19" s="167">
        <f>SUM(O20:O21)</f>
        <v/>
      </c>
    </row>
    <row r="20" ht="12.9" customFormat="1" customHeight="1" s="1009">
      <c r="A20" s="1027" t="inlineStr">
        <is>
          <t xml:space="preserve">51454001            </t>
        </is>
      </c>
      <c r="B20" s="1014" t="inlineStr">
        <is>
          <t>Mtto Preventivo</t>
        </is>
      </c>
      <c r="C20" s="906" t="n">
        <v>3549011</v>
      </c>
      <c r="D20" s="906">
        <f>'[20]Hoja 1'!C131</f>
        <v/>
      </c>
      <c r="E20" s="906" t="n">
        <v>241842440</v>
      </c>
      <c r="F20" s="906" t="n">
        <v>241842440</v>
      </c>
      <c r="G20" s="906" t="n"/>
      <c r="H20" s="906" t="n"/>
      <c r="I20" s="906" t="n"/>
      <c r="J20" s="906" t="n"/>
      <c r="K20" s="906" t="n"/>
      <c r="L20" s="906" t="n"/>
      <c r="M20" s="906" t="n"/>
      <c r="N20" s="906" t="n"/>
      <c r="O20" s="403">
        <f>SUM(C20:N20)</f>
        <v/>
      </c>
    </row>
    <row r="21" ht="12.9" customFormat="1" customHeight="1" s="1009">
      <c r="A21" s="1027" t="inlineStr">
        <is>
          <t xml:space="preserve">51454002            </t>
        </is>
      </c>
      <c r="B21" s="1016" t="inlineStr">
        <is>
          <t>Mtto Correctivo</t>
        </is>
      </c>
      <c r="C21" s="907" t="n">
        <v>2232440</v>
      </c>
      <c r="D21" s="907">
        <f>'[20]Hoja 1'!C132</f>
        <v/>
      </c>
      <c r="E21" s="907" t="n">
        <v>241842440</v>
      </c>
      <c r="F21" s="907" t="n">
        <v>241842440</v>
      </c>
      <c r="G21" s="907" t="n"/>
      <c r="H21" s="907" t="n"/>
      <c r="I21" s="907" t="n"/>
      <c r="J21" s="907" t="n"/>
      <c r="K21" s="907" t="n"/>
      <c r="L21" s="907" t="n"/>
      <c r="M21" s="907" t="n"/>
      <c r="N21" s="907" t="n"/>
      <c r="O21" s="462">
        <f>SUM(C21:N21)</f>
        <v/>
      </c>
    </row>
    <row r="22" ht="12.9" customFormat="1" customHeight="1" s="1009">
      <c r="A22" s="1027" t="n"/>
      <c r="B22" s="1021" t="inlineStr">
        <is>
          <t>DIVERSOS</t>
        </is>
      </c>
      <c r="C22" s="111">
        <f>SUM(C23:C24)</f>
        <v/>
      </c>
      <c r="D22" s="111">
        <f>SUM(D23:D24)</f>
        <v/>
      </c>
      <c r="E22" s="111" t="n"/>
      <c r="F22" s="111" t="n"/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28">
      <c r="A23" s="1029" t="inlineStr">
        <is>
          <t xml:space="preserve">51953501            </t>
        </is>
      </c>
      <c r="B23" s="1030" t="inlineStr">
        <is>
          <t xml:space="preserve">Combustible </t>
        </is>
      </c>
      <c r="C23" s="171">
        <f>'[17]Hoja 1'!$C$139-964175</f>
        <v/>
      </c>
      <c r="D23" s="424">
        <f>'[20]Hoja 1'!$C$141-1186883</f>
        <v/>
      </c>
      <c r="E23" s="171" t="n"/>
      <c r="F23" s="424" t="n"/>
      <c r="G23" s="424" t="n"/>
      <c r="H23" s="424" t="n"/>
      <c r="I23" s="424" t="n"/>
      <c r="J23" s="424" t="n"/>
      <c r="K23" s="424" t="n"/>
      <c r="L23" s="424" t="n"/>
      <c r="M23" s="424" t="n"/>
      <c r="N23" s="424" t="n"/>
      <c r="O23" s="463">
        <f>SUM(C23:N23)</f>
        <v/>
      </c>
      <c r="Q23" s="1009" t="n"/>
      <c r="R23" s="1009" t="n"/>
      <c r="S23" s="1009" t="n"/>
      <c r="T23" s="1009" t="n"/>
      <c r="U23" s="1009" t="n"/>
      <c r="V23" s="1009" t="n"/>
      <c r="W23" s="1009" t="n"/>
      <c r="X23" s="1009" t="n"/>
      <c r="Y23" s="1009" t="n"/>
    </row>
    <row r="24" ht="12.9" customFormat="1" customHeight="1" s="1009">
      <c r="A24" s="1027" t="n"/>
      <c r="B24" s="1031" t="inlineStr">
        <is>
          <t>Compra Equipo de Transporte</t>
        </is>
      </c>
      <c r="C24" s="406" t="n">
        <v>8904646</v>
      </c>
      <c r="D24" s="406" t="n">
        <v>8972985</v>
      </c>
      <c r="E24" s="406" t="n">
        <v>241842440</v>
      </c>
      <c r="F24" s="406" t="n">
        <v>241842440</v>
      </c>
      <c r="G24" s="406" t="n"/>
      <c r="H24" s="406" t="n"/>
      <c r="I24" s="406" t="n"/>
      <c r="J24" s="406" t="n"/>
      <c r="K24" s="406" t="n"/>
      <c r="L24" s="406" t="n"/>
      <c r="M24" s="406" t="n"/>
      <c r="N24" s="406" t="n"/>
      <c r="O24" s="426">
        <f>SUM(C24:N24)</f>
        <v/>
      </c>
    </row>
    <row r="25" ht="15" customHeight="1" s="986">
      <c r="B25" s="1032" t="inlineStr">
        <is>
          <t>GASTOS TOTALES</t>
        </is>
      </c>
      <c r="C25" s="478">
        <f>C5+C9+C11+C15+C19+C22</f>
        <v/>
      </c>
      <c r="D25" s="478">
        <f>D5+D9+D11+D15+D19+D22</f>
        <v/>
      </c>
      <c r="E25" s="478" t="n">
        <v>241842440</v>
      </c>
      <c r="F25" s="478" t="n">
        <v>241842440</v>
      </c>
      <c r="G25" s="478">
        <f>G5+G9+G11+G15+G19+G22</f>
        <v/>
      </c>
      <c r="H25" s="478">
        <f>H5+H9+H11+H15+H19+H22</f>
        <v/>
      </c>
      <c r="I25" s="478">
        <f>I5+I9+I11+I15+I19+I22</f>
        <v/>
      </c>
      <c r="J25" s="478">
        <f>J5+J9+J11+J15+J19+J22</f>
        <v/>
      </c>
      <c r="K25" s="478">
        <f>K5+K9+K11+K15+K19+K22</f>
        <v/>
      </c>
      <c r="L25" s="478">
        <f>L5+L9+L11+L15+L19+L22</f>
        <v/>
      </c>
      <c r="M25" s="478">
        <f>M5+M9+M11+M15+M19+M22</f>
        <v/>
      </c>
      <c r="N25" s="478">
        <f>N5+N9+N11+N15+N19+N22</f>
        <v/>
      </c>
      <c r="O25" s="478">
        <f>O5+O9+O11+O15+O19+O22</f>
        <v/>
      </c>
    </row>
    <row r="26"/>
    <row r="27">
      <c r="K27" s="459" t="n"/>
      <c r="O27" s="182" t="n"/>
    </row>
    <row r="28"/>
    <row r="29"/>
    <row r="30">
      <c r="D30" s="619" t="n"/>
      <c r="E30" s="619" t="n"/>
      <c r="F30" s="619" t="n"/>
      <c r="G30" s="619" t="n"/>
      <c r="H30" s="619" t="n"/>
      <c r="I30" s="619" t="n"/>
      <c r="J30" s="619" t="n"/>
      <c r="K30" s="619" t="n"/>
      <c r="L30" s="619" t="n"/>
      <c r="M30" s="619" t="n"/>
      <c r="N30" s="619" t="n"/>
      <c r="O30" s="619" t="n"/>
    </row>
    <row r="31">
      <c r="D31" s="619" t="n"/>
      <c r="E31" s="619" t="n"/>
      <c r="F31" s="619" t="n"/>
      <c r="G31" s="619" t="n"/>
      <c r="H31" s="619" t="n"/>
      <c r="I31" s="619" t="n"/>
      <c r="J31" s="619" t="n"/>
      <c r="K31" s="619" t="n"/>
      <c r="L31" s="619" t="n"/>
      <c r="M31" s="619" t="n"/>
      <c r="N31" s="619" t="n"/>
      <c r="O31" s="619" t="n"/>
    </row>
    <row r="32">
      <c r="D32" s="619" t="n"/>
      <c r="O32" s="619" t="n"/>
    </row>
    <row r="33"/>
    <row r="34"/>
    <row r="35">
      <c r="K35" s="988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40" activePane="bottomRight" state="frozen"/>
      <selection activeCell="C17" sqref="C17"/>
      <selection pane="topRight" activeCell="C17" sqref="C17"/>
      <selection pane="bottomLeft" activeCell="C17" sqref="C17"/>
      <selection pane="bottomRight" activeCell="F145" sqref="F145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7.88671875" customWidth="1" style="993" min="39" max="39"/>
    <col width="11.33203125" customWidth="1" style="993" min="40" max="40"/>
    <col width="8.6640625" customWidth="1" style="1033" min="41" max="41"/>
    <col width="6.6640625" customWidth="1" style="2" min="42" max="42"/>
    <col width="17.5546875" customWidth="1" style="2" min="43" max="43"/>
    <col width="11.44140625" customWidth="1" style="2" min="44" max="54"/>
    <col width="11.44140625" customWidth="1" style="2" min="55" max="16384"/>
  </cols>
  <sheetData>
    <row r="1"/>
    <row r="2" ht="14.4" customHeight="1" s="986" thickBot="1">
      <c r="B2" s="236" t="inlineStr">
        <is>
          <t xml:space="preserve">CORPORACIÓN HACIA UN VALLE SOLIDARIO </t>
        </is>
      </c>
      <c r="C2" s="991" t="inlineStr">
        <is>
          <t>PYG CASINO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6" customHeight="1" s="986" thickBot="1" thickTop="1">
      <c r="B3" s="523" t="inlineStr">
        <is>
          <t xml:space="preserve">DIAS DE ATENCIÓN </t>
        </is>
      </c>
      <c r="C3" s="479" t="n"/>
      <c r="D3" s="480" t="n"/>
      <c r="E3" s="1035" t="n"/>
      <c r="F3" s="479" t="n">
        <v>20</v>
      </c>
      <c r="G3" s="480" t="n"/>
      <c r="H3" s="1035" t="n"/>
      <c r="I3" s="479" t="n">
        <v>20</v>
      </c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3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217" t="n"/>
      <c r="AR4" s="1039" t="n"/>
      <c r="AS4" s="1040" t="n"/>
      <c r="AT4" s="220" t="n"/>
      <c r="AU4" s="224" t="n"/>
    </row>
    <row r="5" ht="15" customFormat="1" customHeight="1" s="223" thickTop="1">
      <c r="A5" s="744" t="n"/>
      <c r="B5" s="258" t="inlineStr">
        <is>
          <t>Cupos</t>
        </is>
      </c>
      <c r="C5" s="259">
        <f>C$3*$AR$7*$AT$4</f>
        <v/>
      </c>
      <c r="D5" s="89" t="n"/>
      <c r="E5" s="1041" t="n"/>
      <c r="F5" s="259" t="n"/>
      <c r="G5" s="89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 t="n"/>
      <c r="AQ5" s="467" t="inlineStr">
        <is>
          <t>ALMUERZO</t>
        </is>
      </c>
      <c r="AR5" s="1043" t="n"/>
      <c r="AS5" s="1044" t="n"/>
      <c r="AT5" s="221" t="n"/>
      <c r="AU5" s="224" t="n"/>
    </row>
    <row r="6" ht="15" customFormat="1" customHeight="1" s="223">
      <c r="A6" s="744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 t="n"/>
      <c r="AQ6" s="468" t="inlineStr">
        <is>
          <t>DESAYUNO</t>
        </is>
      </c>
      <c r="AR6" s="996" t="n"/>
      <c r="AS6" s="996" t="n"/>
      <c r="AT6" s="222" t="n"/>
      <c r="AU6" s="224" t="n"/>
    </row>
    <row r="7" ht="15" customFormat="1" customHeight="1" s="223">
      <c r="A7" s="744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4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38" t="n"/>
      <c r="AR8" s="254" t="n"/>
    </row>
    <row r="9" ht="15" customFormat="1" customHeight="1" s="223">
      <c r="A9" s="744" t="n"/>
      <c r="B9" s="14" t="n"/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38" t="n"/>
      <c r="AR9" s="239" t="n"/>
      <c r="AS9" s="239" t="n"/>
    </row>
    <row r="10" ht="15" customFormat="1" customHeight="1" s="223">
      <c r="A10" s="744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744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744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6">
      <c r="A13" s="744" t="n"/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6">
      <c r="A14" s="744" t="n"/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6">
      <c r="A15" s="744" t="n"/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49">
        <f>SUM(U16:U22)</f>
        <v/>
      </c>
      <c r="V15" s="3" t="n"/>
      <c r="W15" s="1053" t="n"/>
      <c r="X15" s="49">
        <f>SUM(X16:X22)</f>
        <v/>
      </c>
      <c r="Y15" s="3" t="n"/>
      <c r="Z15" s="1053" t="n"/>
      <c r="AA15" s="49">
        <f>SUM(AA16:AA22)</f>
        <v/>
      </c>
      <c r="AB15" s="399" t="n"/>
      <c r="AC15" s="1054" t="n"/>
      <c r="AD15" s="49">
        <f>SUM(AD16:AD22)</f>
        <v/>
      </c>
      <c r="AE15" s="399" t="n"/>
      <c r="AF15" s="1054" t="n"/>
      <c r="AG15" s="49">
        <f>SUM(AG16:AG22)</f>
        <v/>
      </c>
      <c r="AH15" s="3" t="n"/>
      <c r="AI15" s="1053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 t="n"/>
    </row>
    <row r="16" ht="15" customHeight="1" s="986">
      <c r="A16" s="744" t="inlineStr">
        <is>
          <t xml:space="preserve">42959502            </t>
        </is>
      </c>
      <c r="B16" s="262" t="n"/>
      <c r="C16" s="103">
        <f>'[17]Hoja 1'!$E$24+'[17]Hoja 1'!$E$327+'[17]Hoja 1'!$E$540+'[17]Hoja 1'!$E$604+'[17]Hoja 1'!$E$643+'[37]Hoja 1'!$E$21+'[37]Hoja 1'!$E$107+'[37]Hoja 1'!$E$144+'[37]Hoja 1'!$E$181+'[37]Hoja 1'!$E$253+'[38]Hoja 1'!$E$21+'[5]Hoja 1'!$E$23+'[39]Hoja 1'!$E$23+'[34]Hoja 1'!$F$23+'[35]Hoja 1'!$E$24</f>
        <v/>
      </c>
      <c r="D16" s="79" t="n"/>
      <c r="E16" s="1055" t="n"/>
      <c r="F16" s="103">
        <f>'[20]Hoja 1'!$E$26+'[20]Hoja 1'!$E$321+'[20]Hoja 1'!$E$503+'[20]Hoja 1'!$E$575+'[18]Hoja 1'!$E$20+'[18]Hoja 1'!$E$101+'[18]Hoja 1'!$E$142+'[29]Hoja 1'!$E$21+'[40]Hoja 1'!$E$21+'[36]Hoja 1'!$E$19+'[36]Hoja 1'!$E$98+'[41]Hoja 1'!$E$23+'[42]Hoja 1'!$E$27+'[19]Hoja 1'!$E$23+'[19]Hoja 1'!$E$106+'[19]Hoja 1'!$E$147</f>
        <v/>
      </c>
      <c r="G16" s="79" t="n"/>
      <c r="H16" s="1055" t="n"/>
      <c r="I16" s="103" t="n">
        <v>241842441</v>
      </c>
      <c r="J16" s="79" t="n"/>
      <c r="K16" s="1055" t="n"/>
      <c r="L16" s="103" t="n">
        <v>241842441</v>
      </c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 t="n"/>
    </row>
    <row r="17" ht="15" customHeight="1" s="986">
      <c r="A17" s="744" t="n"/>
      <c r="B17" s="104" t="n"/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46" t="n"/>
    </row>
    <row r="18" ht="15" customHeight="1" s="986">
      <c r="A18" s="744" t="n"/>
      <c r="B18" s="104" t="n"/>
      <c r="C18" s="25" t="n"/>
      <c r="D18" s="43" t="n"/>
      <c r="E18" s="1045" t="n"/>
      <c r="F18" s="25" t="n"/>
      <c r="G18" s="43" t="n"/>
      <c r="H18" s="1045" t="n"/>
      <c r="I18" s="25">
        <f>I7*$AR$6</f>
        <v/>
      </c>
      <c r="J18" s="43" t="n"/>
      <c r="K18" s="1045" t="n"/>
      <c r="L18" s="25">
        <f>L7*$AR$6</f>
        <v/>
      </c>
      <c r="M18" s="43" t="n"/>
      <c r="N18" s="1045" t="n"/>
      <c r="O18" s="25">
        <f>O7*$AR$6</f>
        <v/>
      </c>
      <c r="P18" s="43" t="n"/>
      <c r="Q18" s="1045" t="n"/>
      <c r="R18" s="25">
        <f>R7*$AR$6</f>
        <v/>
      </c>
      <c r="S18" s="43" t="n"/>
      <c r="T18" s="1045" t="n"/>
      <c r="U18" s="25">
        <f>U7*$AR$6</f>
        <v/>
      </c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6">
      <c r="A19" s="744" t="n"/>
      <c r="B19" s="104" t="inlineStr">
        <is>
          <t>NOVEDADES</t>
        </is>
      </c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12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6">
      <c r="A20" s="744" t="n"/>
      <c r="B20" s="263" t="n"/>
      <c r="C20" s="75" t="n"/>
      <c r="D20" s="43" t="n"/>
      <c r="E20" s="1045" t="n"/>
      <c r="F20" s="7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6">
      <c r="A21" s="744" t="n"/>
      <c r="B21" s="30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6">
      <c r="A22" s="744" t="n"/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outlineLevel="1" ht="15" customHeight="1" s="986">
      <c r="A23" s="744" t="n"/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 t="n"/>
      <c r="AE23" s="3" t="n"/>
      <c r="AF23" s="1053" t="n"/>
      <c r="AG23" s="49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outlineLevel="1" ht="15" customHeight="1" s="986">
      <c r="A24" s="744" t="n"/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SUM(X25:X27)</f>
        <v/>
      </c>
      <c r="Y24" s="3" t="n"/>
      <c r="Z24" s="1053" t="n"/>
      <c r="AA24" s="49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49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outlineLevel="1" ht="15" customHeight="1" s="986">
      <c r="A25" s="744" t="n"/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outlineLevel="1" ht="15" customHeight="1" s="986">
      <c r="A26" s="744" t="n"/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outlineLevel="1" ht="15" customHeight="1" s="986">
      <c r="A27" s="744" t="n"/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ht="15" customHeight="1" s="986">
      <c r="A28" s="744" t="n"/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6">
      <c r="A29" s="744" t="n"/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49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49">
        <f>SUM(X30:X35)</f>
        <v/>
      </c>
      <c r="Y29" s="3" t="n"/>
      <c r="Z29" s="1053">
        <f>X29/X13</f>
        <v/>
      </c>
      <c r="AA29" s="49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49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Height="1" s="986">
      <c r="A30" s="744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outlineLevel="1" ht="15" customHeight="1" s="986">
      <c r="A31" s="744" t="n"/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outlineLevel="1" ht="15" customHeight="1" s="986">
      <c r="A32" s="744" t="n"/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outlineLevel="1" ht="15" customHeight="1" s="986">
      <c r="A33" s="744" t="n"/>
      <c r="B33" s="105" t="n"/>
      <c r="C33" s="2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outlineLevel="1" ht="15" customHeight="1" s="986">
      <c r="A34" s="744" t="n"/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outlineLevel="1" ht="15" customHeight="1" s="986">
      <c r="A35" s="744" t="n"/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outlineLevel="1" ht="15" customHeight="1" s="986">
      <c r="A36" s="744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outlineLevel="1" ht="15" customHeight="1" s="986">
      <c r="A37" s="744" t="n"/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outlineLevel="1" ht="15" customHeight="1" s="986">
      <c r="A38" s="744" t="n"/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outlineLevel="1" ht="15" customHeight="1" s="986">
      <c r="A39" s="744" t="n"/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outlineLevel="1" ht="15" customHeight="1" s="986">
      <c r="A40" s="744" t="n"/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outlineLevel="1" ht="15" customHeight="1" s="986">
      <c r="A41" s="744" t="n"/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t="15" customHeight="1" s="986" thickBot="1">
      <c r="A42" s="744" t="n"/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A43" s="744" t="n"/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8" t="n"/>
      <c r="AA43" s="2" t="n"/>
      <c r="AB43" s="2" t="n"/>
      <c r="AC43" s="1068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6" thickTop="1">
      <c r="A44" s="744" t="n"/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 t="n"/>
      <c r="I44" s="491">
        <f>+I45+I60+I78</f>
        <v/>
      </c>
      <c r="J44" s="492" t="n"/>
      <c r="K44" s="1069" t="n"/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 t="n"/>
      <c r="R44" s="491">
        <f>+R45+R60+R78</f>
        <v/>
      </c>
      <c r="S44" s="492" t="n"/>
      <c r="T44" s="1069" t="n"/>
      <c r="U44" s="491">
        <f>+U45+U60+U78</f>
        <v/>
      </c>
      <c r="V44" s="492" t="n"/>
      <c r="W44" s="1069" t="n"/>
      <c r="X44" s="491">
        <f>+X45+X60+X78</f>
        <v/>
      </c>
      <c r="Y44" s="492" t="n"/>
      <c r="Z44" s="1069" t="n"/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 t="n"/>
      <c r="AG44" s="491">
        <f>+AG45+AG60+AG78</f>
        <v/>
      </c>
      <c r="AH44" s="492" t="n"/>
      <c r="AI44" s="1069" t="n"/>
      <c r="AJ44" s="491">
        <f>+AJ45+AJ60+AJ78</f>
        <v/>
      </c>
      <c r="AK44" s="492" t="n"/>
      <c r="AL44" s="511" t="n"/>
      <c r="AM44" s="583">
        <f>C44+F44+I44+L44+O44+R44+U44+X44+AA44+AD44+AG44+AJ44</f>
        <v/>
      </c>
      <c r="AN44" s="492" t="n"/>
      <c r="AO44" s="1070" t="n"/>
    </row>
    <row r="45" ht="15" customHeight="1" s="986">
      <c r="A45" s="744" t="n"/>
      <c r="B45" s="16" t="inlineStr">
        <is>
          <t>COSTOS INDUSTRIALIZADOS</t>
        </is>
      </c>
      <c r="C45" s="49" t="n"/>
      <c r="D45" s="3" t="n"/>
      <c r="E45" s="1053" t="n"/>
      <c r="F45" s="49" t="n"/>
      <c r="G45" s="3" t="n"/>
      <c r="H45" s="1053" t="n"/>
      <c r="I45" s="49" t="n"/>
      <c r="J45" s="3" t="n"/>
      <c r="K45" s="1053" t="n"/>
      <c r="L45" s="49" t="n"/>
      <c r="M45" s="3" t="n"/>
      <c r="N45" s="1053" t="n"/>
      <c r="O45" s="49" t="n"/>
      <c r="P45" s="3" t="n"/>
      <c r="Q45" s="1053" t="n"/>
      <c r="R45" s="49" t="n"/>
      <c r="S45" s="3" t="n"/>
      <c r="T45" s="1053" t="n"/>
      <c r="U45" s="49" t="n"/>
      <c r="V45" s="3" t="n"/>
      <c r="W45" s="1053" t="n"/>
      <c r="X45" s="49" t="n"/>
      <c r="Y45" s="3" t="n"/>
      <c r="Z45" s="1053" t="n"/>
      <c r="AA45" s="49" t="n"/>
      <c r="AB45" s="3" t="n"/>
      <c r="AC45" s="1053" t="n"/>
      <c r="AD45" s="49" t="n"/>
      <c r="AE45" s="3" t="n"/>
      <c r="AF45" s="1053" t="n"/>
      <c r="AG45" s="49" t="n"/>
      <c r="AH45" s="3" t="n"/>
      <c r="AI45" s="1053" t="n"/>
      <c r="AJ45" s="49" t="n"/>
      <c r="AK45" s="3" t="n"/>
      <c r="AL45" s="61" t="n"/>
      <c r="AM45" s="16">
        <f>C45+F45+I45+L45+O45+R45+U45+X45+AA45+AD45+AG45+AJ45</f>
        <v/>
      </c>
      <c r="AN45" s="3" t="n"/>
      <c r="AO45" s="1054">
        <f>AM45/AM$13</f>
        <v/>
      </c>
    </row>
    <row r="46" ht="15" customHeight="1" s="986">
      <c r="A46" s="744" t="n"/>
      <c r="B46" s="36" t="inlineStr">
        <is>
          <t>INSUMOS</t>
        </is>
      </c>
      <c r="C46" s="37" t="n"/>
      <c r="D46" s="67" t="n"/>
      <c r="E46" s="1071" t="n"/>
      <c r="F46" s="37" t="n"/>
      <c r="G46" s="67" t="n"/>
      <c r="H46" s="1071" t="n"/>
      <c r="I46" s="37" t="n"/>
      <c r="J46" s="67" t="n"/>
      <c r="K46" s="1071" t="n"/>
      <c r="L46" s="37" t="n"/>
      <c r="M46" s="67" t="n"/>
      <c r="N46" s="1071" t="n"/>
      <c r="O46" s="37" t="n"/>
      <c r="P46" s="67" t="n"/>
      <c r="Q46" s="1071" t="n"/>
      <c r="R46" s="37" t="n"/>
      <c r="S46" s="67" t="n"/>
      <c r="T46" s="1071" t="n"/>
      <c r="U46" s="37" t="n"/>
      <c r="V46" s="67" t="n"/>
      <c r="W46" s="1071" t="n"/>
      <c r="X46" s="37" t="n"/>
      <c r="Y46" s="67" t="n"/>
      <c r="Z46" s="1071" t="n"/>
      <c r="AA46" s="37" t="n"/>
      <c r="AB46" s="67" t="n"/>
      <c r="AC46" s="1071" t="n"/>
      <c r="AD46" s="37" t="n"/>
      <c r="AE46" s="67" t="n"/>
      <c r="AF46" s="1071" t="n"/>
      <c r="AG46" s="37" t="n"/>
      <c r="AH46" s="67" t="n"/>
      <c r="AI46" s="1071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6">
      <c r="A47" s="744" t="n"/>
      <c r="B47" s="97" t="n"/>
      <c r="C47" s="76" t="n"/>
      <c r="D47" s="42" t="n"/>
      <c r="E47" s="1057" t="n"/>
      <c r="F47" s="76" t="n"/>
      <c r="G47" s="42" t="n"/>
      <c r="H47" s="1057" t="n"/>
      <c r="I47" s="76" t="n"/>
      <c r="J47" s="42" t="n"/>
      <c r="K47" s="1057" t="n"/>
      <c r="L47" s="76" t="n"/>
      <c r="M47" s="42" t="n"/>
      <c r="N47" s="1057" t="n"/>
      <c r="O47" s="76" t="n"/>
      <c r="P47" s="42" t="n"/>
      <c r="Q47" s="1057" t="n"/>
      <c r="R47" s="76" t="n"/>
      <c r="S47" s="42" t="n"/>
      <c r="T47" s="1057" t="n"/>
      <c r="U47" s="76" t="n"/>
      <c r="V47" s="42" t="n"/>
      <c r="W47" s="1057" t="n"/>
      <c r="X47" s="76" t="n"/>
      <c r="Y47" s="42" t="n"/>
      <c r="Z47" s="1057" t="n"/>
      <c r="AA47" s="76" t="n"/>
      <c r="AB47" s="42" t="n"/>
      <c r="AC47" s="1057" t="n"/>
      <c r="AD47" s="76" t="n"/>
      <c r="AE47" s="42" t="n"/>
      <c r="AF47" s="1057" t="n"/>
      <c r="AG47" s="76" t="n"/>
      <c r="AH47" s="42" t="n"/>
      <c r="AI47" s="1057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058">
        <f>AM47/AM$16</f>
        <v/>
      </c>
    </row>
    <row r="48" ht="15" customHeight="1" s="986">
      <c r="A48" s="744" t="n"/>
      <c r="B48" s="25" t="n"/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57" t="n"/>
      <c r="AM48" s="205">
        <f>C48+F48+I48+L48+O48+R48+U48+X48+AA48+AD48+AG48+AJ48</f>
        <v/>
      </c>
      <c r="AN48" s="43" t="n"/>
      <c r="AO48" s="1046" t="n"/>
    </row>
    <row r="49" ht="15" customHeight="1" s="986">
      <c r="A49" s="744" t="n"/>
      <c r="B49" s="25" t="n"/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t="15" customHeight="1" s="986">
      <c r="A50" s="744" t="n"/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t="15" customHeight="1" s="986">
      <c r="A51" s="744" t="n"/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t="15" customHeight="1" s="986">
      <c r="A52" s="744" t="n"/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t="15" customHeight="1" s="986">
      <c r="A53" s="744" t="n"/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t="15" customHeight="1" s="986">
      <c r="A54" s="744" t="n"/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t="15" customHeight="1" s="986">
      <c r="A55" s="744" t="n"/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t="15" customHeight="1" s="986">
      <c r="A56" s="744" t="n"/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t="15" customHeight="1" s="986">
      <c r="A57" s="744" t="n"/>
      <c r="B57" s="36" t="n"/>
      <c r="C57" s="37" t="n"/>
      <c r="D57" s="67" t="n"/>
      <c r="E57" s="1071" t="n"/>
      <c r="F57" s="37" t="n"/>
      <c r="G57" s="67" t="n"/>
      <c r="H57" s="1071" t="n"/>
      <c r="I57" s="37" t="n"/>
      <c r="J57" s="67" t="n"/>
      <c r="K57" s="1071" t="n"/>
      <c r="L57" s="37" t="n"/>
      <c r="M57" s="67" t="n"/>
      <c r="N57" s="1071" t="n"/>
      <c r="O57" s="37" t="n"/>
      <c r="P57" s="67" t="n"/>
      <c r="Q57" s="1071" t="n"/>
      <c r="R57" s="37" t="n"/>
      <c r="S57" s="67" t="n"/>
      <c r="T57" s="1071" t="n"/>
      <c r="U57" s="37" t="n"/>
      <c r="V57" s="67" t="n"/>
      <c r="W57" s="1071" t="n"/>
      <c r="X57" s="37" t="n"/>
      <c r="Y57" s="67" t="n"/>
      <c r="Z57" s="1071" t="n"/>
      <c r="AA57" s="37" t="n"/>
      <c r="AB57" s="67" t="n"/>
      <c r="AC57" s="1071" t="n"/>
      <c r="AD57" s="37" t="n"/>
      <c r="AE57" s="67" t="n"/>
      <c r="AF57" s="1071" t="n"/>
      <c r="AG57" s="37" t="n"/>
      <c r="AH57" s="67" t="n"/>
      <c r="AI57" s="1071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072" t="n"/>
    </row>
    <row r="58" ht="15" customHeight="1" s="986">
      <c r="A58" s="744" t="n"/>
      <c r="B58" s="36" t="inlineStr">
        <is>
          <t>Flete Industrializados PROPIOS</t>
        </is>
      </c>
      <c r="C58" s="37" t="n"/>
      <c r="D58" s="67" t="n"/>
      <c r="E58" s="1071" t="n"/>
      <c r="F58" s="37" t="n"/>
      <c r="G58" s="67" t="n"/>
      <c r="H58" s="1071" t="n"/>
      <c r="I58" s="37" t="n">
        <v>241842441</v>
      </c>
      <c r="J58" s="67" t="n"/>
      <c r="K58" s="1071" t="n"/>
      <c r="L58" s="37" t="n">
        <v>241842441</v>
      </c>
      <c r="M58" s="67" t="n"/>
      <c r="N58" s="1071" t="n"/>
      <c r="O58" s="37" t="n"/>
      <c r="P58" s="67" t="n"/>
      <c r="Q58" s="1071" t="n"/>
      <c r="R58" s="37" t="n"/>
      <c r="S58" s="67" t="n"/>
      <c r="T58" s="1071" t="n"/>
      <c r="U58" s="37" t="n"/>
      <c r="V58" s="67" t="n"/>
      <c r="W58" s="1071" t="n"/>
      <c r="X58" s="37" t="n"/>
      <c r="Y58" s="67" t="n"/>
      <c r="Z58" s="1071" t="n"/>
      <c r="AA58" s="37" t="n"/>
      <c r="AB58" s="67" t="n"/>
      <c r="AC58" s="1071" t="n"/>
      <c r="AD58" s="37" t="n"/>
      <c r="AE58" s="67" t="n"/>
      <c r="AF58" s="1071" t="n"/>
      <c r="AG58" s="37" t="n"/>
      <c r="AH58" s="67" t="n"/>
      <c r="AI58" s="1071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072">
        <f>AM58/AM$16</f>
        <v/>
      </c>
    </row>
    <row r="59" ht="15" customFormat="1" customHeight="1" s="108">
      <c r="A59" s="744" t="n"/>
      <c r="B59" s="36" t="inlineStr">
        <is>
          <t>Flete Industrializados TERCEROS</t>
        </is>
      </c>
      <c r="C59" s="37" t="n"/>
      <c r="D59" s="45" t="n"/>
      <c r="E59" s="1073" t="n"/>
      <c r="F59" s="37" t="n"/>
      <c r="G59" s="45" t="n"/>
      <c r="H59" s="1073" t="n"/>
      <c r="I59" s="37" t="n"/>
      <c r="J59" s="45" t="n"/>
      <c r="K59" s="1073" t="n"/>
      <c r="L59" s="37" t="n"/>
      <c r="M59" s="45" t="n"/>
      <c r="N59" s="1073" t="n"/>
      <c r="O59" s="37" t="n"/>
      <c r="P59" s="45" t="n"/>
      <c r="Q59" s="1073" t="n"/>
      <c r="R59" s="37" t="n"/>
      <c r="S59" s="45" t="n"/>
      <c r="T59" s="1073" t="n"/>
      <c r="U59" s="37" t="n"/>
      <c r="V59" s="45" t="n"/>
      <c r="W59" s="1073" t="n"/>
      <c r="X59" s="37" t="n"/>
      <c r="Y59" s="45" t="n"/>
      <c r="Z59" s="1073" t="n"/>
      <c r="AA59" s="37" t="n"/>
      <c r="AB59" s="45" t="n"/>
      <c r="AC59" s="1073" t="n"/>
      <c r="AD59" s="37" t="n"/>
      <c r="AE59" s="45" t="n"/>
      <c r="AF59" s="1073" t="n"/>
      <c r="AG59" s="37" t="n"/>
      <c r="AH59" s="45" t="n"/>
      <c r="AI59" s="1073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074">
        <f>AM59/(AM16)</f>
        <v/>
      </c>
    </row>
    <row r="60" ht="15" customHeight="1" s="986">
      <c r="A60" s="744" t="n"/>
      <c r="B60" s="16" t="inlineStr">
        <is>
          <t>COSTOS ALMUERZO</t>
        </is>
      </c>
      <c r="C60" s="49">
        <f>+C61+C73+C74+C75+C76+C77</f>
        <v/>
      </c>
      <c r="D60" s="3" t="n"/>
      <c r="E60" s="1053" t="n"/>
      <c r="F60" s="49">
        <f>+F61+F73+F74+F75+F76+F77</f>
        <v/>
      </c>
      <c r="G60" s="3" t="n"/>
      <c r="H60" s="1053" t="n"/>
      <c r="I60" s="49">
        <f>+I61+I73+I74+I75+I76+I77</f>
        <v/>
      </c>
      <c r="J60" s="3" t="n"/>
      <c r="K60" s="1053" t="n"/>
      <c r="L60" s="49">
        <f>+L61+L73+L74+L75+L76+L77</f>
        <v/>
      </c>
      <c r="M60" s="3" t="n"/>
      <c r="N60" s="1053" t="n"/>
      <c r="O60" s="49">
        <f>+O61+O73+O74+O75+O76+O77</f>
        <v/>
      </c>
      <c r="P60" s="3" t="n"/>
      <c r="Q60" s="1053" t="n"/>
      <c r="R60" s="49">
        <f>+R61+R73+R74+R75+R76+R77</f>
        <v/>
      </c>
      <c r="S60" s="3" t="n"/>
      <c r="T60" s="1053" t="n"/>
      <c r="U60" s="49">
        <f>+U61+U73+U74+U75+U76+U77</f>
        <v/>
      </c>
      <c r="V60" s="3" t="n"/>
      <c r="W60" s="1053" t="n"/>
      <c r="X60" s="49">
        <f>+X61+X73+X74+X75+X76+X77</f>
        <v/>
      </c>
      <c r="Y60" s="3" t="n"/>
      <c r="Z60" s="1053" t="n"/>
      <c r="AA60" s="49">
        <f>+AA61+AA73+AA74+AA75+AA76+AA77</f>
        <v/>
      </c>
      <c r="AB60" s="3" t="n"/>
      <c r="AC60" s="1053" t="n"/>
      <c r="AD60" s="49">
        <f>+AD61+AD73+AD74+AD75+AD76+AD77</f>
        <v/>
      </c>
      <c r="AE60" s="3" t="n"/>
      <c r="AF60" s="1053" t="n"/>
      <c r="AG60" s="49">
        <f>+AG61+AG73+AG74+AG75+AG76+AG77</f>
        <v/>
      </c>
      <c r="AH60" s="3" t="n"/>
      <c r="AI60" s="1053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t="15" customHeight="1" s="986">
      <c r="A61" s="744" t="n"/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SUM(F62:F71)+F72</f>
        <v/>
      </c>
      <c r="G61" s="67" t="n"/>
      <c r="H61" s="1071" t="n"/>
      <c r="I61" s="37">
        <f>SUM(I62:I71)+I72</f>
        <v/>
      </c>
      <c r="J61" s="67" t="n"/>
      <c r="K61" s="1071" t="n"/>
      <c r="L61" s="37">
        <f>SUM(L62:L71)+L72</f>
        <v/>
      </c>
      <c r="M61" s="67" t="n"/>
      <c r="N61" s="1071" t="n"/>
      <c r="O61" s="37">
        <f>SUM(O62:O71)+O72</f>
        <v/>
      </c>
      <c r="P61" s="67" t="n"/>
      <c r="Q61" s="1071" t="n"/>
      <c r="R61" s="37">
        <f>SUM(R62:R71)+R72</f>
        <v/>
      </c>
      <c r="S61" s="67" t="n"/>
      <c r="T61" s="1071" t="n"/>
      <c r="U61" s="37">
        <f>SUM(U62:U71)+U72</f>
        <v/>
      </c>
      <c r="V61" s="67" t="n"/>
      <c r="W61" s="1071" t="n"/>
      <c r="X61" s="37">
        <f>SUM(X62:X71)+X72</f>
        <v/>
      </c>
      <c r="Y61" s="67" t="n"/>
      <c r="Z61" s="1071" t="n"/>
      <c r="AA61" s="37">
        <f>SUM(AA62:AA71)+AA72</f>
        <v/>
      </c>
      <c r="AB61" s="67" t="n"/>
      <c r="AC61" s="1071" t="n"/>
      <c r="AD61" s="37">
        <f>SUM(AD62:AD71)+AD72</f>
        <v/>
      </c>
      <c r="AE61" s="67" t="n"/>
      <c r="AF61" s="1071" t="n"/>
      <c r="AG61" s="37">
        <f>SUM(AG62:AG71)+AG72</f>
        <v/>
      </c>
      <c r="AH61" s="67" t="n"/>
      <c r="AI61" s="1071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t="15" customHeight="1" s="986">
      <c r="A62" s="749" t="n">
        <v>51956001</v>
      </c>
      <c r="B62" s="100" t="inlineStr">
        <is>
          <t>Desayuno y Almuerzo</t>
        </is>
      </c>
      <c r="C62" s="304">
        <f>'[17]Hoja 1'!$C$245</f>
        <v/>
      </c>
      <c r="D62" s="79" t="n"/>
      <c r="E62" s="1055" t="n"/>
      <c r="F62" s="266">
        <f>'[20]Hoja 1'!$C$254</f>
        <v/>
      </c>
      <c r="G62" s="79" t="n"/>
      <c r="H62" s="1055" t="n"/>
      <c r="I62" s="78" t="n">
        <v>241842440</v>
      </c>
      <c r="J62" s="79" t="n"/>
      <c r="K62" s="1055" t="n"/>
      <c r="L62" s="78" t="n">
        <v>241842440</v>
      </c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56" t="n"/>
    </row>
    <row r="63" ht="15" customHeight="1" s="986">
      <c r="A63" s="749" t="inlineStr">
        <is>
          <t>7105</t>
        </is>
      </c>
      <c r="B63" s="101" t="n"/>
      <c r="C63" s="25">
        <f>'[17]Hoja 1'!$C$251</f>
        <v/>
      </c>
      <c r="D63" s="43" t="n"/>
      <c r="E63" s="1045" t="n"/>
      <c r="F63" s="25">
        <f>'[20]Hoja 1'!$C$260</f>
        <v/>
      </c>
      <c r="G63" s="43" t="n"/>
      <c r="H63" s="1045" t="n"/>
      <c r="I63" s="25" t="n">
        <v>241842440</v>
      </c>
      <c r="J63" s="43" t="n"/>
      <c r="K63" s="1045" t="n"/>
      <c r="L63" s="25" t="n">
        <v>241842440</v>
      </c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46" t="n"/>
    </row>
    <row r="64" ht="15" customHeight="1" s="986">
      <c r="A64" s="744" t="n"/>
      <c r="B64" s="284" t="n"/>
      <c r="C64" s="466" t="n"/>
      <c r="D64" s="43" t="n"/>
      <c r="E64" s="1045" t="n"/>
      <c r="F64" s="466" t="n"/>
      <c r="G64" s="43" t="n"/>
      <c r="H64" s="1045" t="n"/>
      <c r="I64" s="389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46" t="n"/>
    </row>
    <row r="65" ht="15" customHeight="1" s="986">
      <c r="A65" s="744" t="n"/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t="15" customHeight="1" s="986">
      <c r="A66" s="744" t="n"/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t="15" customHeight="1" s="986">
      <c r="A67" s="744" t="n"/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 t="n"/>
      <c r="AO67" s="1046" t="n"/>
    </row>
    <row r="68" ht="15" customHeight="1" s="986">
      <c r="A68" s="744" t="n"/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t="15" customHeight="1" s="986">
      <c r="A69" s="744" t="n"/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t="15" customHeight="1" s="986">
      <c r="A70" s="744" t="n"/>
      <c r="B70" s="285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t="15" customHeight="1" s="986">
      <c r="A71" s="744" t="n"/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6">
      <c r="A72" s="744" t="n"/>
      <c r="B72" s="46" t="inlineStr">
        <is>
          <t>Transporte Materia Prima - Cavasa</t>
        </is>
      </c>
      <c r="C72" s="37" t="n"/>
      <c r="D72" s="67" t="n"/>
      <c r="E72" s="1071" t="n"/>
      <c r="F72" s="37" t="n"/>
      <c r="G72" s="67" t="n"/>
      <c r="H72" s="1071" t="n"/>
      <c r="I72" s="37" t="n"/>
      <c r="J72" s="67" t="n"/>
      <c r="K72" s="1071" t="n"/>
      <c r="L72" s="37" t="n"/>
      <c r="M72" s="67" t="n"/>
      <c r="N72" s="1071" t="n"/>
      <c r="O72" s="37" t="n"/>
      <c r="P72" s="67" t="n"/>
      <c r="Q72" s="1071" t="n"/>
      <c r="R72" s="37" t="n"/>
      <c r="S72" s="67" t="n"/>
      <c r="T72" s="1071" t="n"/>
      <c r="U72" s="37" t="n"/>
      <c r="V72" s="67" t="n"/>
      <c r="W72" s="1071" t="n"/>
      <c r="X72" s="37" t="n"/>
      <c r="Y72" s="67" t="n"/>
      <c r="Z72" s="1071" t="n"/>
      <c r="AA72" s="37" t="n"/>
      <c r="AB72" s="67" t="n"/>
      <c r="AC72" s="1071" t="n"/>
      <c r="AD72" s="37" t="n"/>
      <c r="AE72" s="67" t="n"/>
      <c r="AF72" s="1071" t="n"/>
      <c r="AG72" s="37" t="n"/>
      <c r="AH72" s="67" t="n"/>
      <c r="AI72" s="1071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072">
        <f>AM72/(AM17+AM18)</f>
        <v/>
      </c>
    </row>
    <row r="73" ht="15" customHeight="1" s="986">
      <c r="A73" s="744" t="n"/>
      <c r="B73" s="36" t="inlineStr">
        <is>
          <t>Flete Preparados PROPIOS</t>
        </is>
      </c>
      <c r="C73" s="37" t="n"/>
      <c r="D73" s="67" t="n"/>
      <c r="E73" s="1071" t="n"/>
      <c r="F73" s="37" t="n"/>
      <c r="G73" s="67" t="n"/>
      <c r="H73" s="1071" t="n"/>
      <c r="I73" s="37" t="n"/>
      <c r="J73" s="67" t="n"/>
      <c r="K73" s="1071" t="n"/>
      <c r="L73" s="37" t="n"/>
      <c r="M73" s="67" t="n"/>
      <c r="N73" s="1071" t="n"/>
      <c r="O73" s="37" t="n"/>
      <c r="P73" s="67" t="n"/>
      <c r="Q73" s="1071" t="n"/>
      <c r="R73" s="37" t="n"/>
      <c r="S73" s="67" t="n"/>
      <c r="T73" s="1071" t="n"/>
      <c r="U73" s="37" t="n"/>
      <c r="V73" s="67" t="n"/>
      <c r="W73" s="1071" t="n"/>
      <c r="X73" s="37" t="n"/>
      <c r="Y73" s="67" t="n"/>
      <c r="Z73" s="1071" t="n"/>
      <c r="AA73" s="37" t="n"/>
      <c r="AB73" s="67" t="n"/>
      <c r="AC73" s="1071" t="n"/>
      <c r="AD73" s="37" t="n"/>
      <c r="AE73" s="67" t="n"/>
      <c r="AF73" s="1071" t="n"/>
      <c r="AG73" s="37" t="n"/>
      <c r="AH73" s="67" t="n"/>
      <c r="AI73" s="1071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075">
        <f>AM73/(AM17+AM18)</f>
        <v/>
      </c>
    </row>
    <row r="74" ht="15" customHeight="1" s="986">
      <c r="A74" s="744" t="n"/>
      <c r="B74" s="36" t="inlineStr">
        <is>
          <t>Flete Preparados TERCEROS</t>
        </is>
      </c>
      <c r="C74" s="37" t="n"/>
      <c r="D74" s="67" t="n"/>
      <c r="E74" s="1071" t="n"/>
      <c r="F74" s="37" t="n"/>
      <c r="G74" s="67" t="n"/>
      <c r="H74" s="1071" t="n"/>
      <c r="I74" s="37" t="n"/>
      <c r="J74" s="67" t="n"/>
      <c r="K74" s="1071" t="n"/>
      <c r="L74" s="37" t="n"/>
      <c r="M74" s="67" t="n"/>
      <c r="N74" s="1071" t="n"/>
      <c r="O74" s="37" t="n"/>
      <c r="P74" s="67" t="n"/>
      <c r="Q74" s="1071" t="n"/>
      <c r="R74" s="37" t="n"/>
      <c r="S74" s="67" t="n"/>
      <c r="T74" s="1071" t="n"/>
      <c r="U74" s="37" t="n"/>
      <c r="V74" s="67" t="n"/>
      <c r="W74" s="1071" t="n"/>
      <c r="X74" s="37" t="n"/>
      <c r="Y74" s="67" t="n"/>
      <c r="Z74" s="1071" t="n"/>
      <c r="AA74" s="37" t="n"/>
      <c r="AB74" s="67" t="n"/>
      <c r="AC74" s="1071" t="n"/>
      <c r="AD74" s="37" t="n"/>
      <c r="AE74" s="67" t="n"/>
      <c r="AF74" s="1071" t="n"/>
      <c r="AG74" s="37" t="n"/>
      <c r="AH74" s="67" t="n"/>
      <c r="AI74" s="1071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075">
        <f>AM74/(AM17+AM18)</f>
        <v/>
      </c>
    </row>
    <row r="75" ht="15" customHeight="1" s="986">
      <c r="A75" s="744" t="n"/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 t="n"/>
    </row>
    <row r="76" ht="15" customHeight="1" s="986">
      <c r="A76" s="744" t="n"/>
      <c r="B76" s="36" t="inlineStr">
        <is>
          <t>Menaje</t>
        </is>
      </c>
      <c r="C76" s="211">
        <f>'[17]Hoja 1'!$C$256</f>
        <v/>
      </c>
      <c r="D76" s="67" t="n"/>
      <c r="E76" s="1071" t="n"/>
      <c r="F76" s="211">
        <f>'[20]Hoja 1'!$C$265</f>
        <v/>
      </c>
      <c r="G76" s="67" t="n"/>
      <c r="H76" s="1071" t="n"/>
      <c r="I76" s="211" t="n">
        <v>241842440</v>
      </c>
      <c r="J76" s="67" t="n"/>
      <c r="K76" s="1071" t="n"/>
      <c r="L76" s="37" t="n">
        <v>241842440</v>
      </c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t="15" customHeight="1" s="986">
      <c r="A77" s="744" t="inlineStr">
        <is>
          <t xml:space="preserve">73355501            </t>
        </is>
      </c>
      <c r="B77" s="66" t="inlineStr">
        <is>
          <t>Servicio de Gas</t>
        </is>
      </c>
      <c r="C77" s="28">
        <f>'[17]Hoja 1'!$C$260</f>
        <v/>
      </c>
      <c r="D77" s="45" t="n"/>
      <c r="E77" s="1071" t="n"/>
      <c r="F77" s="28">
        <f>'[20]Hoja 1'!$C$269</f>
        <v/>
      </c>
      <c r="G77" s="45" t="n"/>
      <c r="H77" s="1071" t="n"/>
      <c r="I77" s="28" t="n">
        <v>241842440</v>
      </c>
      <c r="J77" s="45" t="n"/>
      <c r="K77" s="1071" t="n"/>
      <c r="L77" s="28" t="n">
        <v>241842440</v>
      </c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t="15" customHeight="1" s="986">
      <c r="A78" s="744" t="n"/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 t="n"/>
      <c r="I78" s="49">
        <f>SUM(I79:I81)</f>
        <v/>
      </c>
      <c r="J78" s="3" t="n"/>
      <c r="K78" s="1053" t="n"/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 t="n"/>
      <c r="U78" s="49">
        <f>SUM(U79:U81)</f>
        <v/>
      </c>
      <c r="V78" s="3" t="n"/>
      <c r="W78" s="1053" t="n"/>
      <c r="X78" s="93">
        <f>SUM(X79:X81)</f>
        <v/>
      </c>
      <c r="Y78" s="3" t="n"/>
      <c r="Z78" s="1053" t="n"/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 t="n"/>
      <c r="AG78" s="49">
        <f>SUM(AG79:AG81)</f>
        <v/>
      </c>
      <c r="AH78" s="3" t="n"/>
      <c r="AI78" s="1053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</row>
    <row r="79" ht="15" customHeight="1" s="986">
      <c r="A79" s="744" t="n"/>
      <c r="B79" s="353" t="inlineStr">
        <is>
          <t>Manipuladoras</t>
        </is>
      </c>
      <c r="C79" s="266">
        <f>'[21]Hoja 1'!$I$11-C86+'[22]Hoja 1'!$I$10+'[43]Hoja 1'!$D$9</f>
        <v/>
      </c>
      <c r="D79" s="69" t="n"/>
      <c r="E79" s="1077" t="n"/>
      <c r="F79" s="266">
        <f>'[24]Hoja 1'!$I$10-F86+'[25]Hoja 1'!$I$10+'[28]Hoja 1'!$I$10</f>
        <v/>
      </c>
      <c r="G79" s="69" t="n"/>
      <c r="H79" s="1077" t="n"/>
      <c r="I79" s="266" t="n">
        <v>241842440</v>
      </c>
      <c r="J79" s="69" t="n"/>
      <c r="K79" s="1077" t="n"/>
      <c r="L79" s="266" t="n">
        <v>241842440</v>
      </c>
      <c r="M79" s="69" t="n"/>
      <c r="N79" s="1077" t="n"/>
      <c r="O79" s="266" t="n"/>
      <c r="P79" s="69" t="n"/>
      <c r="Q79" s="1077" t="n"/>
      <c r="R79" s="266" t="n"/>
      <c r="S79" s="69" t="n"/>
      <c r="T79" s="1077" t="n"/>
      <c r="U79" s="266" t="n"/>
      <c r="V79" s="69" t="n"/>
      <c r="W79" s="1077" t="n"/>
      <c r="X79" s="266" t="n"/>
      <c r="Y79" s="69" t="n"/>
      <c r="Z79" s="1077" t="n"/>
      <c r="AA79" s="266" t="n"/>
      <c r="AB79" s="69" t="n"/>
      <c r="AC79" s="1077" t="n"/>
      <c r="AD79" s="266" t="n"/>
      <c r="AE79" s="69" t="n"/>
      <c r="AF79" s="1077" t="n"/>
      <c r="AG79" s="266" t="n"/>
      <c r="AH79" s="69" t="n"/>
      <c r="AI79" s="1077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078">
        <f>AM79/(AM$13)</f>
        <v/>
      </c>
      <c r="AP79" s="1068" t="n"/>
    </row>
    <row r="80" ht="15" customHeight="1" s="986">
      <c r="A80" s="744" t="n"/>
      <c r="B80" s="25" t="n"/>
      <c r="C80" s="25" t="n"/>
      <c r="D80" s="43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</row>
    <row r="81" ht="15" customHeight="1" s="986" thickBot="1">
      <c r="A81" s="744" t="n"/>
      <c r="B81" s="98" t="n"/>
      <c r="C81" s="269" t="n"/>
      <c r="D81" s="214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A82" s="744" t="n"/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347" t="n"/>
      <c r="AN82" s="2" t="n"/>
      <c r="AO82" s="1067" t="n"/>
    </row>
    <row r="83" ht="15" customHeight="1" s="986" thickTop="1">
      <c r="A83" s="744" t="n"/>
      <c r="B83" s="527" t="inlineStr">
        <is>
          <t>OTROS COSTOS Y GASTOS INDIRECTOS</t>
        </is>
      </c>
      <c r="C83" s="491">
        <f>+C84+C88+C91+C95+C98+C108+C113+C119+C122+C126</f>
        <v/>
      </c>
      <c r="D83" s="492" t="n"/>
      <c r="E83" s="1069" t="n"/>
      <c r="F83" s="491">
        <f>+F84+F88+F91+F95+F98+F108+F113+F119+F122+F126</f>
        <v/>
      </c>
      <c r="G83" s="492" t="n"/>
      <c r="H83" s="1069">
        <f>F83/(F$13)</f>
        <v/>
      </c>
      <c r="I83" s="491">
        <f>+I84+I88+I91+I95+I98+I108+I113+I119+I122+I126</f>
        <v/>
      </c>
      <c r="J83" s="492" t="n"/>
      <c r="K83" s="1069">
        <f>I83/(I$13)</f>
        <v/>
      </c>
      <c r="L83" s="491">
        <f>+L84+L88+L91+L95+L98+L108+L113+L119+L122+L126</f>
        <v/>
      </c>
      <c r="M83" s="492" t="n"/>
      <c r="N83" s="1069">
        <f>L83/(L$13)</f>
        <v/>
      </c>
      <c r="O83" s="491">
        <f>+O84+O88+O91+O95+O98+O108+O113+O119+O122+O126</f>
        <v/>
      </c>
      <c r="P83" s="492" t="n"/>
      <c r="Q83" s="1069" t="n"/>
      <c r="R83" s="491">
        <f>+R84+R88+R91+R95+R98+R108+R113+R119+R122+R126</f>
        <v/>
      </c>
      <c r="S83" s="492" t="n"/>
      <c r="T83" s="1069" t="n"/>
      <c r="U83" s="491">
        <f>+U84+U88+U91+U95+U98+U108+U113+U119+U122+U126</f>
        <v/>
      </c>
      <c r="V83" s="492" t="n"/>
      <c r="W83" s="1069">
        <f>U83/(U$13)</f>
        <v/>
      </c>
      <c r="X83" s="491">
        <f>+X84+X88+X91+X95+X98+X108+X113+X119+X122+X126</f>
        <v/>
      </c>
      <c r="Y83" s="492" t="n"/>
      <c r="Z83" s="1069">
        <f>X83/(X$13)</f>
        <v/>
      </c>
      <c r="AA83" s="491">
        <f>+AA84+AA88+AA91+AA95+AA98+AA108+AA113+AA119+AA122+AA126</f>
        <v/>
      </c>
      <c r="AB83" s="492" t="n"/>
      <c r="AC83" s="1069">
        <f>AA83/(AA$13)</f>
        <v/>
      </c>
      <c r="AD83" s="491">
        <f>+AD84+AD88+AD91+AD95+AD98+AD108+AD113+AD119+AD122+AD126</f>
        <v/>
      </c>
      <c r="AE83" s="492" t="n"/>
      <c r="AF83" s="1069">
        <f>AD83/(AD$13)</f>
        <v/>
      </c>
      <c r="AG83" s="491">
        <f>+AG84+AG88+AG91+AG95+AG98+AG108+AG113+AG119+AG122+AG126</f>
        <v/>
      </c>
      <c r="AH83" s="492" t="n"/>
      <c r="AI83" s="1069">
        <f>AG83/(AG$13)</f>
        <v/>
      </c>
      <c r="AJ83" s="491">
        <f>+AJ84+AJ88+AJ91+AJ95+AJ98+AJ108+AJ113+AJ119+AJ122+AJ126</f>
        <v/>
      </c>
      <c r="AK83" s="492" t="n"/>
      <c r="AL83" s="511" t="n"/>
      <c r="AM83" s="491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A84" s="744" t="n"/>
      <c r="B84" s="16" t="inlineStr">
        <is>
          <t>COSTOS DE PERSONAL</t>
        </is>
      </c>
      <c r="C84" s="49">
        <f>SUM(C85:C87)</f>
        <v/>
      </c>
      <c r="D84" s="3" t="n"/>
      <c r="E84" s="1053" t="n"/>
      <c r="F84" s="49">
        <f>SUM(F85:F87)</f>
        <v/>
      </c>
      <c r="G84" s="3" t="n"/>
      <c r="H84" s="1053">
        <f>F84/(F$13)</f>
        <v/>
      </c>
      <c r="I84" s="49">
        <f>SUM(I85:I87)</f>
        <v/>
      </c>
      <c r="J84" s="3" t="n"/>
      <c r="K84" s="1053">
        <f>I84/(I$13)</f>
        <v/>
      </c>
      <c r="L84" s="49">
        <f>SUM(L85:L87)</f>
        <v/>
      </c>
      <c r="M84" s="3" t="n"/>
      <c r="N84" s="1053">
        <f>L84/(L$13)</f>
        <v/>
      </c>
      <c r="O84" s="49">
        <f>SUM(O85:O87)</f>
        <v/>
      </c>
      <c r="P84" s="3" t="n"/>
      <c r="Q84" s="1053" t="n"/>
      <c r="R84" s="49">
        <f>SUM(R85:R87)</f>
        <v/>
      </c>
      <c r="S84" s="3" t="n"/>
      <c r="T84" s="1053" t="n"/>
      <c r="U84" s="49">
        <f>SUM(U85:U87)</f>
        <v/>
      </c>
      <c r="V84" s="3" t="n"/>
      <c r="W84" s="1053">
        <f>U84/(U$13)</f>
        <v/>
      </c>
      <c r="X84" s="49">
        <f>SUM(X85:X87)</f>
        <v/>
      </c>
      <c r="Y84" s="3" t="n"/>
      <c r="Z84" s="1053">
        <f>X84/(X$13)</f>
        <v/>
      </c>
      <c r="AA84" s="49">
        <f>SUM(AA85:AA87)</f>
        <v/>
      </c>
      <c r="AB84" s="3" t="n"/>
      <c r="AC84" s="1053">
        <f>AA84/(AA$13)</f>
        <v/>
      </c>
      <c r="AD84" s="49">
        <f>SUM(AD85:AD87)</f>
        <v/>
      </c>
      <c r="AE84" s="3" t="n"/>
      <c r="AF84" s="1053">
        <f>AD84/(AD$13)</f>
        <v/>
      </c>
      <c r="AG84" s="49">
        <f>SUM(AG85:AG87)</f>
        <v/>
      </c>
      <c r="AH84" s="3" t="n"/>
      <c r="AI84" s="1053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A85" s="744" t="n"/>
      <c r="B85" s="39" t="inlineStr">
        <is>
          <t>Costos Indirectos de Personal</t>
        </is>
      </c>
      <c r="C85" s="39" t="n"/>
      <c r="D85" s="69" t="n"/>
      <c r="E85" s="1077" t="n"/>
      <c r="F85" s="39" t="n"/>
      <c r="G85" s="69" t="n"/>
      <c r="H85" s="1077" t="n"/>
      <c r="I85" s="39" t="n">
        <v>241842440</v>
      </c>
      <c r="J85" s="69" t="n"/>
      <c r="K85" s="1077" t="n"/>
      <c r="L85" s="39" t="n">
        <v>241842440</v>
      </c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</row>
    <row r="86" ht="15" customHeight="1" s="986">
      <c r="A86" s="744" t="n"/>
      <c r="B86" s="25" t="inlineStr">
        <is>
          <t>Dotación y Suministros</t>
        </is>
      </c>
      <c r="C86" s="25" t="n">
        <v>225638</v>
      </c>
      <c r="D86" s="43" t="n"/>
      <c r="E86" s="1045" t="n"/>
      <c r="F86" s="25" t="n">
        <v>59862</v>
      </c>
      <c r="G86" s="43" t="n"/>
      <c r="H86" s="1045" t="n"/>
      <c r="I86" s="25" t="n">
        <v>241842440</v>
      </c>
      <c r="J86" s="43" t="n"/>
      <c r="K86" s="1045" t="n"/>
      <c r="L86" s="25" t="n">
        <v>241842440</v>
      </c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46" t="n"/>
    </row>
    <row r="87" ht="15" customHeight="1" s="986">
      <c r="A87" s="744" t="n"/>
      <c r="B87" s="97" t="inlineStr">
        <is>
          <t>Gastos Medicos</t>
        </is>
      </c>
      <c r="C87" s="22" t="n"/>
      <c r="D87" s="42" t="n"/>
      <c r="E87" s="1057" t="n"/>
      <c r="F87" s="22" t="n"/>
      <c r="G87" s="42" t="n"/>
      <c r="H87" s="1057" t="n"/>
      <c r="I87" s="22" t="n">
        <v>241842440</v>
      </c>
      <c r="J87" s="42" t="n"/>
      <c r="K87" s="1057" t="n"/>
      <c r="L87" s="22" t="n">
        <v>241842440</v>
      </c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058" t="n"/>
    </row>
    <row r="88" ht="15" customHeight="1" s="986">
      <c r="A88" s="744" t="n"/>
      <c r="B88" s="16" t="inlineStr">
        <is>
          <t>HONORARIOS</t>
        </is>
      </c>
      <c r="C88" s="90">
        <f>SUM(C89:C90)</f>
        <v/>
      </c>
      <c r="D88" s="3" t="n"/>
      <c r="E88" s="1053" t="n"/>
      <c r="F88" s="90">
        <f>SUM(F89:F90)</f>
        <v/>
      </c>
      <c r="G88" s="3" t="n"/>
      <c r="H88" s="1053">
        <f>F88/(F$13)</f>
        <v/>
      </c>
      <c r="I88" s="90">
        <f>SUM(I89:I90)</f>
        <v/>
      </c>
      <c r="J88" s="3" t="n"/>
      <c r="K88" s="1053">
        <f>I88/(I$13)</f>
        <v/>
      </c>
      <c r="L88" s="49">
        <f>SUM(L89:L90)</f>
        <v/>
      </c>
      <c r="M88" s="3" t="n"/>
      <c r="N88" s="1053">
        <f>L88/(L$13)</f>
        <v/>
      </c>
      <c r="O88" s="49">
        <f>SUM(O89:O90)</f>
        <v/>
      </c>
      <c r="P88" s="3" t="n"/>
      <c r="Q88" s="1053" t="n"/>
      <c r="R88" s="49">
        <f>SUM(R89:R90)</f>
        <v/>
      </c>
      <c r="S88" s="3" t="n"/>
      <c r="T88" s="1053" t="n"/>
      <c r="U88" s="49">
        <f>SUM(U89:U90)</f>
        <v/>
      </c>
      <c r="V88" s="3" t="n"/>
      <c r="W88" s="1053">
        <f>U88/(U$13)</f>
        <v/>
      </c>
      <c r="X88" s="49">
        <f>SUM(X89:X90)</f>
        <v/>
      </c>
      <c r="Y88" s="3" t="n"/>
      <c r="Z88" s="1053">
        <f>X88/(X$13)</f>
        <v/>
      </c>
      <c r="AA88" s="49">
        <f>SUM(AA89:AA90)</f>
        <v/>
      </c>
      <c r="AB88" s="3" t="n"/>
      <c r="AC88" s="1053">
        <f>AA88/(AA$13)</f>
        <v/>
      </c>
      <c r="AD88" s="49">
        <f>SUM(AD89:AD90)</f>
        <v/>
      </c>
      <c r="AE88" s="3" t="n"/>
      <c r="AF88" s="1053">
        <f>AD88/(AD$13)</f>
        <v/>
      </c>
      <c r="AG88" s="49">
        <f>SUM(AG89:AG90)</f>
        <v/>
      </c>
      <c r="AH88" s="3" t="n"/>
      <c r="AI88" s="1053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076">
        <f>AM88/(AM$13)</f>
        <v/>
      </c>
    </row>
    <row r="89" outlineLevel="1" ht="15" customHeight="1" s="986">
      <c r="A89" s="744" t="n"/>
      <c r="B89" s="39" t="inlineStr">
        <is>
          <t>Asesoría Juridica</t>
        </is>
      </c>
      <c r="C89" s="39" t="n"/>
      <c r="D89" s="69" t="n"/>
      <c r="E89" s="1077" t="n"/>
      <c r="F89" s="39" t="n"/>
      <c r="G89" s="69" t="n"/>
      <c r="H89" s="1077" t="n"/>
      <c r="I89" s="39" t="n">
        <v>241842440</v>
      </c>
      <c r="J89" s="69" t="n"/>
      <c r="K89" s="1077" t="n"/>
      <c r="L89" s="39" t="n">
        <v>241842440</v>
      </c>
      <c r="M89" s="69" t="n"/>
      <c r="N89" s="1077" t="n"/>
      <c r="O89" s="39" t="n"/>
      <c r="P89" s="69" t="n"/>
      <c r="Q89" s="1077" t="n"/>
      <c r="R89" s="39" t="n"/>
      <c r="S89" s="69" t="n"/>
      <c r="T89" s="1077" t="n"/>
      <c r="U89" s="39" t="n"/>
      <c r="V89" s="69" t="n"/>
      <c r="W89" s="1077" t="n"/>
      <c r="X89" s="39" t="n"/>
      <c r="Y89" s="69" t="n"/>
      <c r="Z89" s="1077" t="n"/>
      <c r="AA89" s="39" t="n"/>
      <c r="AB89" s="69" t="n"/>
      <c r="AC89" s="1077" t="n"/>
      <c r="AD89" s="39" t="n"/>
      <c r="AE89" s="69" t="n"/>
      <c r="AF89" s="1077" t="n"/>
      <c r="AG89" s="39" t="n"/>
      <c r="AH89" s="69" t="n"/>
      <c r="AI89" s="1077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082" t="n"/>
    </row>
    <row r="90" outlineLevel="1" ht="15" customHeight="1" s="986">
      <c r="A90" s="744" t="n"/>
      <c r="B90" s="83" t="inlineStr">
        <is>
          <t>Asesoría Tecnica</t>
        </is>
      </c>
      <c r="C90" s="83" t="n"/>
      <c r="D90" s="84" t="n"/>
      <c r="E90" s="1047" t="n"/>
      <c r="F90" s="83" t="n"/>
      <c r="G90" s="84" t="n"/>
      <c r="H90" s="1047" t="n"/>
      <c r="I90" s="83" t="n">
        <v>241842440</v>
      </c>
      <c r="J90" s="84" t="n"/>
      <c r="K90" s="1047" t="n"/>
      <c r="L90" s="83" t="n">
        <v>241842440</v>
      </c>
      <c r="M90" s="84" t="n"/>
      <c r="N90" s="1047" t="n"/>
      <c r="O90" s="83" t="n"/>
      <c r="P90" s="84" t="n"/>
      <c r="Q90" s="1047" t="n"/>
      <c r="R90" s="83" t="n"/>
      <c r="S90" s="84" t="n"/>
      <c r="T90" s="1047" t="n"/>
      <c r="U90" s="83" t="n"/>
      <c r="V90" s="84" t="n"/>
      <c r="W90" s="1047" t="n"/>
      <c r="X90" s="83" t="n"/>
      <c r="Y90" s="84" t="n"/>
      <c r="Z90" s="1047" t="n"/>
      <c r="AA90" s="83" t="n"/>
      <c r="AB90" s="84" t="n"/>
      <c r="AC90" s="1047" t="n"/>
      <c r="AD90" s="83" t="n"/>
      <c r="AE90" s="84" t="n"/>
      <c r="AF90" s="1047" t="n"/>
      <c r="AG90" s="83" t="n"/>
      <c r="AH90" s="84" t="n"/>
      <c r="AI90" s="1047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48" t="n"/>
    </row>
    <row r="91" ht="15" customHeight="1" s="986">
      <c r="A91" s="744" t="n"/>
      <c r="B91" s="16" t="inlineStr">
        <is>
          <t>ARRENDAMIENTOS</t>
        </is>
      </c>
      <c r="C91" s="90">
        <f>SUM(C92:C94)</f>
        <v/>
      </c>
      <c r="D91" s="3" t="n"/>
      <c r="E91" s="1053" t="n"/>
      <c r="F91" s="90">
        <f>SUM(F92:F94)</f>
        <v/>
      </c>
      <c r="G91" s="3" t="n"/>
      <c r="H91" s="1053">
        <f>F91/(F$13)</f>
        <v/>
      </c>
      <c r="I91" s="90">
        <f>SUM(I92:I94)</f>
        <v/>
      </c>
      <c r="J91" s="3" t="n"/>
      <c r="K91" s="1053">
        <f>I91/(I$13)</f>
        <v/>
      </c>
      <c r="L91" s="49">
        <f>SUM(L92:L94)</f>
        <v/>
      </c>
      <c r="M91" s="3" t="n"/>
      <c r="N91" s="1053">
        <f>L91/(L$13)</f>
        <v/>
      </c>
      <c r="O91" s="49">
        <f>SUM(O92:O94)</f>
        <v/>
      </c>
      <c r="P91" s="3" t="n"/>
      <c r="Q91" s="1053" t="n"/>
      <c r="R91" s="49">
        <f>SUM(R92:R94)</f>
        <v/>
      </c>
      <c r="S91" s="3" t="n"/>
      <c r="T91" s="1053" t="n"/>
      <c r="U91" s="49">
        <f>SUM(U92:U94)</f>
        <v/>
      </c>
      <c r="V91" s="3" t="n"/>
      <c r="W91" s="1053">
        <f>U91/(U$13)</f>
        <v/>
      </c>
      <c r="X91" s="49">
        <f>SUM(X92:X94)</f>
        <v/>
      </c>
      <c r="Y91" s="3" t="n"/>
      <c r="Z91" s="1053">
        <f>X91/(X$13)</f>
        <v/>
      </c>
      <c r="AA91" s="49">
        <f>SUM(AA92:AA94)</f>
        <v/>
      </c>
      <c r="AB91" s="3" t="n"/>
      <c r="AC91" s="1053">
        <f>AA91/(AA$13)</f>
        <v/>
      </c>
      <c r="AD91" s="49">
        <f>SUM(AD92:AD94)</f>
        <v/>
      </c>
      <c r="AE91" s="3" t="n"/>
      <c r="AF91" s="1053">
        <f>AD91/(AD$13)</f>
        <v/>
      </c>
      <c r="AG91" s="49">
        <f>SUM(AG92:AG94)</f>
        <v/>
      </c>
      <c r="AH91" s="3" t="n"/>
      <c r="AI91" s="1053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076">
        <f>AM91/(AM$13)</f>
        <v/>
      </c>
    </row>
    <row r="92" outlineLevel="1" ht="15" customHeight="1" s="986">
      <c r="A92" s="744" t="n"/>
      <c r="B92" s="39" t="inlineStr">
        <is>
          <t>Construcciones y Edificaciones</t>
        </is>
      </c>
      <c r="C92" s="39" t="n"/>
      <c r="D92" s="69" t="n"/>
      <c r="E92" s="1077" t="n"/>
      <c r="F92" s="39" t="n"/>
      <c r="G92" s="69" t="n"/>
      <c r="H92" s="1077" t="n"/>
      <c r="I92" s="39" t="n">
        <v>286665474</v>
      </c>
      <c r="J92" s="69" t="n"/>
      <c r="K92" s="1077" t="n"/>
      <c r="L92" s="39" t="n">
        <v>286665474</v>
      </c>
      <c r="M92" s="69" t="n"/>
      <c r="N92" s="1077" t="n"/>
      <c r="O92" s="39" t="n"/>
      <c r="P92" s="69" t="n"/>
      <c r="Q92" s="1077" t="n"/>
      <c r="R92" s="39" t="n"/>
      <c r="S92" s="69" t="n"/>
      <c r="T92" s="1077" t="n"/>
      <c r="U92" s="39" t="n"/>
      <c r="V92" s="69" t="n"/>
      <c r="W92" s="1077" t="n"/>
      <c r="X92" s="39" t="n"/>
      <c r="Y92" s="69" t="n"/>
      <c r="Z92" s="1077" t="n"/>
      <c r="AA92" s="39" t="n"/>
      <c r="AB92" s="69" t="n"/>
      <c r="AC92" s="1077" t="n"/>
      <c r="AD92" s="39" t="n"/>
      <c r="AE92" s="69" t="n"/>
      <c r="AF92" s="1077" t="n"/>
      <c r="AG92" s="39" t="n"/>
      <c r="AH92" s="69" t="n"/>
      <c r="AI92" s="1077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082" t="n"/>
    </row>
    <row r="93" outlineLevel="1" ht="15" customHeight="1" s="986">
      <c r="A93" s="744" t="n"/>
      <c r="B93" s="25" t="inlineStr">
        <is>
          <t>Maquinaria y Equipo</t>
        </is>
      </c>
      <c r="C93" s="25" t="n"/>
      <c r="D93" s="43" t="n"/>
      <c r="E93" s="1045" t="n"/>
      <c r="F93" s="25" t="n"/>
      <c r="G93" s="43" t="n"/>
      <c r="H93" s="1045" t="n"/>
      <c r="I93" s="25" t="n">
        <v>245958250</v>
      </c>
      <c r="J93" s="43" t="n"/>
      <c r="K93" s="1045" t="n"/>
      <c r="L93" s="25" t="n">
        <v>245958250</v>
      </c>
      <c r="M93" s="43" t="n"/>
      <c r="N93" s="1045" t="n"/>
      <c r="O93" s="25" t="n"/>
      <c r="P93" s="43" t="n"/>
      <c r="Q93" s="1045" t="n"/>
      <c r="R93" s="25" t="n"/>
      <c r="S93" s="43" t="n"/>
      <c r="T93" s="1045" t="n"/>
      <c r="U93" s="25" t="n"/>
      <c r="V93" s="43" t="n"/>
      <c r="W93" s="1045" t="n"/>
      <c r="X93" s="25" t="n"/>
      <c r="Y93" s="43" t="n"/>
      <c r="Z93" s="1045" t="n"/>
      <c r="AA93" s="25" t="n"/>
      <c r="AB93" s="43" t="n"/>
      <c r="AC93" s="1045" t="n"/>
      <c r="AD93" s="25" t="n"/>
      <c r="AE93" s="43" t="n"/>
      <c r="AF93" s="1045" t="n"/>
      <c r="AG93" s="25" t="n"/>
      <c r="AH93" s="43" t="n"/>
      <c r="AI93" s="1045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46" t="n"/>
    </row>
    <row r="94" outlineLevel="1" ht="15" customHeight="1" s="986">
      <c r="A94" s="744" t="n"/>
      <c r="B94" s="28" t="inlineStr">
        <is>
          <t>Equipo de Oficina</t>
        </is>
      </c>
      <c r="C94" s="28" t="n"/>
      <c r="D94" s="45" t="n"/>
      <c r="E94" s="1073" t="n"/>
      <c r="F94" s="28" t="n"/>
      <c r="G94" s="45" t="n"/>
      <c r="H94" s="1073" t="n"/>
      <c r="I94" s="28" t="n"/>
      <c r="J94" s="45" t="n"/>
      <c r="K94" s="1073" t="n"/>
      <c r="L94" s="28" t="n"/>
      <c r="M94" s="45" t="n"/>
      <c r="N94" s="1073" t="n"/>
      <c r="O94" s="28" t="n"/>
      <c r="P94" s="45" t="n"/>
      <c r="Q94" s="1073" t="n"/>
      <c r="R94" s="28" t="n"/>
      <c r="S94" s="45" t="n"/>
      <c r="T94" s="1073" t="n"/>
      <c r="U94" s="28" t="n"/>
      <c r="V94" s="45" t="n"/>
      <c r="W94" s="1073" t="n"/>
      <c r="X94" s="28" t="n"/>
      <c r="Y94" s="45" t="n"/>
      <c r="Z94" s="1073" t="n"/>
      <c r="AA94" s="28" t="n"/>
      <c r="AB94" s="45" t="n"/>
      <c r="AC94" s="1073" t="n"/>
      <c r="AD94" s="28" t="n"/>
      <c r="AE94" s="45" t="n"/>
      <c r="AF94" s="1073" t="n"/>
      <c r="AG94" s="28" t="n"/>
      <c r="AH94" s="45" t="n"/>
      <c r="AI94" s="1073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083" t="n"/>
    </row>
    <row r="95" ht="15" customHeight="1" s="986">
      <c r="A95" s="744" t="n"/>
      <c r="B95" s="106" t="inlineStr">
        <is>
          <t>SEGUROS</t>
        </is>
      </c>
      <c r="C95" s="90">
        <f>SUM(C96:C97)</f>
        <v/>
      </c>
      <c r="D95" s="3" t="n"/>
      <c r="E95" s="1053" t="n"/>
      <c r="F95" s="90">
        <f>SUM(F96:F97)</f>
        <v/>
      </c>
      <c r="G95" s="3" t="n"/>
      <c r="H95" s="1053">
        <f>F95/(F$13)</f>
        <v/>
      </c>
      <c r="I95" s="90">
        <f>SUM(I96:I97)</f>
        <v/>
      </c>
      <c r="J95" s="3" t="n"/>
      <c r="K95" s="1053">
        <f>I95/(I$13)</f>
        <v/>
      </c>
      <c r="L95" s="49">
        <f>SUM(L96:L97)</f>
        <v/>
      </c>
      <c r="M95" s="3" t="n"/>
      <c r="N95" s="1053">
        <f>L95/(L$13)</f>
        <v/>
      </c>
      <c r="O95" s="49">
        <f>SUM(O96:O97)</f>
        <v/>
      </c>
      <c r="P95" s="3" t="n"/>
      <c r="Q95" s="1053" t="n"/>
      <c r="R95" s="49">
        <f>SUM(R96:R97)</f>
        <v/>
      </c>
      <c r="S95" s="3" t="n"/>
      <c r="T95" s="1053" t="n"/>
      <c r="U95" s="49">
        <f>SUM(U96:U97)</f>
        <v/>
      </c>
      <c r="V95" s="3" t="n"/>
      <c r="W95" s="1053">
        <f>U95/(U$13)</f>
        <v/>
      </c>
      <c r="X95" s="49">
        <f>SUM(X96:X97)</f>
        <v/>
      </c>
      <c r="Y95" s="3" t="n"/>
      <c r="Z95" s="1053">
        <f>X95/(X$13)</f>
        <v/>
      </c>
      <c r="AA95" s="49">
        <f>SUM(AA96:AA97)</f>
        <v/>
      </c>
      <c r="AB95" s="3" t="n"/>
      <c r="AC95" s="1053">
        <f>AA95/(AA$13)</f>
        <v/>
      </c>
      <c r="AD95" s="49">
        <f>SUM(AD96:AD97)</f>
        <v/>
      </c>
      <c r="AE95" s="3" t="n"/>
      <c r="AF95" s="1053">
        <f>AD95/(AD$13)</f>
        <v/>
      </c>
      <c r="AG95" s="49">
        <f>SUM(AG96:AG97)</f>
        <v/>
      </c>
      <c r="AH95" s="3" t="n"/>
      <c r="AI95" s="1053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076">
        <f>AM95/(AM$13)</f>
        <v/>
      </c>
    </row>
    <row r="96" outlineLevel="1" ht="15" customFormat="1" customHeight="1" s="108">
      <c r="A96" s="744" t="n"/>
      <c r="B96" s="39" t="inlineStr">
        <is>
          <t xml:space="preserve">Cumplimiento </t>
        </is>
      </c>
      <c r="C96" s="39" t="n"/>
      <c r="D96" s="69" t="n"/>
      <c r="E96" s="1077" t="n"/>
      <c r="F96" s="39" t="n"/>
      <c r="G96" s="69" t="n"/>
      <c r="H96" s="1077" t="n"/>
      <c r="I96" s="39" t="n">
        <v>241842440</v>
      </c>
      <c r="J96" s="69" t="n"/>
      <c r="K96" s="1077" t="n"/>
      <c r="L96" s="39" t="n">
        <v>241842440</v>
      </c>
      <c r="M96" s="69" t="n"/>
      <c r="N96" s="1077" t="n"/>
      <c r="O96" s="39" t="n"/>
      <c r="P96" s="69" t="n"/>
      <c r="Q96" s="1077" t="n"/>
      <c r="R96" s="39" t="n"/>
      <c r="S96" s="69" t="n"/>
      <c r="T96" s="1077" t="n"/>
      <c r="U96" s="39" t="n"/>
      <c r="V96" s="69" t="n"/>
      <c r="W96" s="1077" t="n"/>
      <c r="X96" s="39" t="n"/>
      <c r="Y96" s="69" t="n"/>
      <c r="Z96" s="1077" t="n"/>
      <c r="AA96" s="39" t="n"/>
      <c r="AB96" s="69" t="n"/>
      <c r="AC96" s="1077" t="n"/>
      <c r="AD96" s="39" t="n"/>
      <c r="AE96" s="69" t="n"/>
      <c r="AF96" s="1077" t="n"/>
      <c r="AG96" s="39" t="n"/>
      <c r="AH96" s="69" t="n"/>
      <c r="AI96" s="1077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082" t="n"/>
    </row>
    <row r="97" outlineLevel="1" ht="15" customFormat="1" customHeight="1" s="108">
      <c r="A97" s="744" t="n"/>
      <c r="B97" s="275" t="inlineStr">
        <is>
          <t>Respomsabilidad Civil Y Extracontractual</t>
        </is>
      </c>
      <c r="C97" s="275" t="n"/>
      <c r="D97" s="276" t="n"/>
      <c r="E97" s="1084" t="n"/>
      <c r="F97" s="275" t="n"/>
      <c r="G97" s="276" t="n"/>
      <c r="H97" s="1084" t="n"/>
      <c r="I97" s="275" t="n">
        <v>241842440</v>
      </c>
      <c r="J97" s="276" t="n"/>
      <c r="K97" s="1084" t="n"/>
      <c r="L97" s="275" t="n">
        <v>241842440</v>
      </c>
      <c r="M97" s="276" t="n"/>
      <c r="N97" s="1084" t="n"/>
      <c r="O97" s="275" t="n"/>
      <c r="P97" s="276" t="n"/>
      <c r="Q97" s="1084" t="n"/>
      <c r="R97" s="275" t="n"/>
      <c r="S97" s="276" t="n"/>
      <c r="T97" s="1084" t="n"/>
      <c r="U97" s="275" t="n"/>
      <c r="V97" s="276" t="n"/>
      <c r="W97" s="1084" t="n"/>
      <c r="X97" s="275" t="n"/>
      <c r="Y97" s="276" t="n"/>
      <c r="Z97" s="1084" t="n"/>
      <c r="AA97" s="275" t="n"/>
      <c r="AB97" s="276" t="n"/>
      <c r="AC97" s="1084" t="n"/>
      <c r="AD97" s="275" t="n"/>
      <c r="AE97" s="276" t="n"/>
      <c r="AF97" s="1084" t="n"/>
      <c r="AG97" s="275" t="n"/>
      <c r="AH97" s="276" t="n"/>
      <c r="AI97" s="1084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085" t="n"/>
    </row>
    <row r="98" ht="15" customHeight="1" s="986">
      <c r="A98" s="744" t="n"/>
      <c r="B98" s="16" t="inlineStr">
        <is>
          <t>SERVICIOS</t>
        </is>
      </c>
      <c r="C98" s="90">
        <f>SUM(C99:C107)</f>
        <v/>
      </c>
      <c r="D98" s="3" t="n"/>
      <c r="E98" s="1053" t="n"/>
      <c r="F98" s="90">
        <f>SUM(F99:F107)</f>
        <v/>
      </c>
      <c r="G98" s="3" t="n"/>
      <c r="H98" s="1053">
        <f>F98/(F$13)</f>
        <v/>
      </c>
      <c r="I98" s="90">
        <f>SUM(I99:I105)</f>
        <v/>
      </c>
      <c r="J98" s="3" t="n"/>
      <c r="K98" s="1053">
        <f>I98/(I$13)</f>
        <v/>
      </c>
      <c r="L98" s="49">
        <f>SUM(L99:L107)</f>
        <v/>
      </c>
      <c r="M98" s="3" t="n"/>
      <c r="N98" s="1053">
        <f>L98/(L$13)</f>
        <v/>
      </c>
      <c r="O98" s="49">
        <f>SUM(O99:O107)</f>
        <v/>
      </c>
      <c r="P98" s="3" t="n"/>
      <c r="Q98" s="1053" t="n"/>
      <c r="R98" s="49">
        <f>SUM(R99:R107)</f>
        <v/>
      </c>
      <c r="S98" s="3" t="n"/>
      <c r="T98" s="1053" t="n"/>
      <c r="U98" s="49">
        <f>SUM(U99:U107)</f>
        <v/>
      </c>
      <c r="V98" s="3" t="n"/>
      <c r="W98" s="1053">
        <f>U98/(U$13)</f>
        <v/>
      </c>
      <c r="X98" s="49">
        <f>SUM(X99:X107)</f>
        <v/>
      </c>
      <c r="Y98" s="3" t="n"/>
      <c r="Z98" s="1053">
        <f>X98/(X$13)</f>
        <v/>
      </c>
      <c r="AA98" s="49">
        <f>SUM(AA99:AA107)</f>
        <v/>
      </c>
      <c r="AB98" s="3" t="n"/>
      <c r="AC98" s="1053">
        <f>AA98/(AA$13)</f>
        <v/>
      </c>
      <c r="AD98" s="49">
        <f>SUM(AD99:AD107)</f>
        <v/>
      </c>
      <c r="AE98" s="3" t="n"/>
      <c r="AF98" s="1053">
        <f>AD98/(AD$13)</f>
        <v/>
      </c>
      <c r="AG98" s="49">
        <f>SUM(AG99:AG107)</f>
        <v/>
      </c>
      <c r="AH98" s="3" t="n"/>
      <c r="AI98" s="1053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076">
        <f>AM98/(AM$13)</f>
        <v/>
      </c>
    </row>
    <row r="99" outlineLevel="1" ht="15" customHeight="1" s="986">
      <c r="A99" s="744" t="n"/>
      <c r="B99" s="39" t="inlineStr">
        <is>
          <t>Aseo y Vigilancia</t>
        </is>
      </c>
      <c r="C99" s="39" t="n"/>
      <c r="D99" s="69" t="n"/>
      <c r="E99" s="1077" t="n"/>
      <c r="F99" s="39" t="n"/>
      <c r="G99" s="69" t="n"/>
      <c r="H99" s="1077" t="n"/>
      <c r="I99" s="39" t="n">
        <v>241842440</v>
      </c>
      <c r="J99" s="69" t="n"/>
      <c r="K99" s="1077" t="n"/>
      <c r="L99" s="39" t="n">
        <v>241842440</v>
      </c>
      <c r="M99" s="69" t="n"/>
      <c r="N99" s="1077" t="n"/>
      <c r="O99" s="39" t="n"/>
      <c r="P99" s="69" t="n"/>
      <c r="Q99" s="1077" t="n"/>
      <c r="R99" s="39" t="n"/>
      <c r="S99" s="69" t="n"/>
      <c r="T99" s="1077" t="n"/>
      <c r="U99" s="39" t="n"/>
      <c r="V99" s="69" t="n"/>
      <c r="W99" s="1077" t="n"/>
      <c r="X99" s="39" t="n"/>
      <c r="Y99" s="69" t="n"/>
      <c r="Z99" s="1077" t="n"/>
      <c r="AA99" s="39" t="n"/>
      <c r="AB99" s="69" t="n"/>
      <c r="AC99" s="1077" t="n"/>
      <c r="AD99" s="39" t="n"/>
      <c r="AE99" s="69" t="n"/>
      <c r="AF99" s="1077" t="n"/>
      <c r="AG99" s="39" t="n"/>
      <c r="AH99" s="69" t="n"/>
      <c r="AI99" s="1077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082" t="n"/>
    </row>
    <row r="100" outlineLevel="1" ht="15" customHeight="1" s="986">
      <c r="A100" s="744" t="n"/>
      <c r="B100" s="25" t="inlineStr">
        <is>
          <t>Temporales</t>
        </is>
      </c>
      <c r="C100" s="25" t="n"/>
      <c r="D100" s="43" t="n"/>
      <c r="E100" s="1045" t="n"/>
      <c r="F100" s="25" t="n"/>
      <c r="G100" s="43" t="n"/>
      <c r="H100" s="1045" t="n"/>
      <c r="I100" s="25" t="n">
        <v>241842440</v>
      </c>
      <c r="J100" s="43" t="n"/>
      <c r="K100" s="1045" t="n"/>
      <c r="L100" s="25" t="n">
        <v>241842440</v>
      </c>
      <c r="M100" s="43" t="n"/>
      <c r="N100" s="1045" t="n"/>
      <c r="O100" s="25" t="n"/>
      <c r="P100" s="43" t="n"/>
      <c r="Q100" s="1045" t="n"/>
      <c r="R100" s="25" t="n"/>
      <c r="S100" s="43" t="n"/>
      <c r="T100" s="1045" t="n"/>
      <c r="U100" s="25" t="n"/>
      <c r="V100" s="43" t="n"/>
      <c r="W100" s="1045" t="n"/>
      <c r="X100" s="25" t="n"/>
      <c r="Y100" s="43" t="n"/>
      <c r="Z100" s="1045" t="n"/>
      <c r="AA100" s="25" t="n"/>
      <c r="AB100" s="43" t="n"/>
      <c r="AC100" s="1045" t="n"/>
      <c r="AD100" s="25" t="n"/>
      <c r="AE100" s="43" t="n"/>
      <c r="AF100" s="1045" t="n"/>
      <c r="AG100" s="25" t="n"/>
      <c r="AH100" s="43" t="n"/>
      <c r="AI100" s="1045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46" t="n"/>
    </row>
    <row r="101" outlineLevel="1" ht="15" customHeight="1" s="986">
      <c r="A101" s="744" t="n"/>
      <c r="B101" s="25" t="inlineStr">
        <is>
          <t>Mensajeria</t>
        </is>
      </c>
      <c r="C101" s="25" t="n"/>
      <c r="D101" s="43" t="n"/>
      <c r="E101" s="1045" t="n"/>
      <c r="F101" s="25" t="n"/>
      <c r="G101" s="43" t="n"/>
      <c r="H101" s="1045" t="n"/>
      <c r="I101" s="25" t="n">
        <v>241842440</v>
      </c>
      <c r="J101" s="43" t="n"/>
      <c r="K101" s="1045" t="n"/>
      <c r="L101" s="25" t="n">
        <v>241842440</v>
      </c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A102" s="744" t="n"/>
      <c r="B102" s="25" t="inlineStr">
        <is>
          <t>Laboratorio</t>
        </is>
      </c>
      <c r="C102" s="25" t="n"/>
      <c r="D102" s="43" t="n"/>
      <c r="E102" s="1045" t="n"/>
      <c r="F102" s="25" t="n"/>
      <c r="G102" s="43" t="n"/>
      <c r="H102" s="1045" t="n"/>
      <c r="I102" s="25" t="n">
        <v>241842440</v>
      </c>
      <c r="J102" s="43" t="n"/>
      <c r="K102" s="1045" t="n"/>
      <c r="L102" s="25" t="n">
        <v>241842440</v>
      </c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A103" s="744" t="n"/>
      <c r="B103" s="25" t="inlineStr">
        <is>
          <t>Fumigacion</t>
        </is>
      </c>
      <c r="C103" s="25" t="n"/>
      <c r="D103" s="43" t="n"/>
      <c r="E103" s="1045" t="n"/>
      <c r="F103" s="25" t="n"/>
      <c r="G103" s="43" t="n"/>
      <c r="H103" s="1045" t="n"/>
      <c r="I103" s="25" t="n">
        <v>241842440</v>
      </c>
      <c r="J103" s="43" t="n"/>
      <c r="K103" s="1045" t="n"/>
      <c r="L103" s="25" t="n">
        <v>241842440</v>
      </c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A104" s="744" t="n"/>
      <c r="B104" s="25" t="inlineStr">
        <is>
          <t>Acueducto y Alcantarillado</t>
        </is>
      </c>
      <c r="C104" s="25" t="n"/>
      <c r="D104" s="43" t="n"/>
      <c r="E104" s="1045" t="n"/>
      <c r="F104" s="25" t="n"/>
      <c r="G104" s="43" t="n"/>
      <c r="H104" s="1045" t="n"/>
      <c r="I104" s="25" t="n">
        <v>241842440</v>
      </c>
      <c r="J104" s="43" t="n"/>
      <c r="K104" s="1045" t="n"/>
      <c r="L104" s="25" t="n">
        <v>241842440</v>
      </c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A105" s="744" t="n"/>
      <c r="B105" s="25" t="inlineStr">
        <is>
          <t>Energia</t>
        </is>
      </c>
      <c r="C105" s="25" t="n"/>
      <c r="D105" s="43" t="n"/>
      <c r="E105" s="1045" t="n"/>
      <c r="F105" s="25" t="n"/>
      <c r="G105" s="43" t="n"/>
      <c r="H105" s="1045" t="n"/>
      <c r="I105" s="25" t="n">
        <v>241842440</v>
      </c>
      <c r="J105" s="43" t="n"/>
      <c r="K105" s="1045" t="n"/>
      <c r="L105" s="274" t="n">
        <v>241842440</v>
      </c>
      <c r="M105" s="43" t="n"/>
      <c r="N105" s="1045" t="n"/>
      <c r="O105" s="274" t="n"/>
      <c r="P105" s="43" t="n"/>
      <c r="Q105" s="1045" t="n"/>
      <c r="R105" s="274" t="n"/>
      <c r="S105" s="43" t="n"/>
      <c r="T105" s="1045" t="n"/>
      <c r="U105" s="274" t="n"/>
      <c r="V105" s="43" t="n"/>
      <c r="W105" s="1045" t="n"/>
      <c r="X105" s="274" t="n"/>
      <c r="Y105" s="43" t="n"/>
      <c r="Z105" s="1045" t="n"/>
      <c r="AA105" s="274" t="n"/>
      <c r="AB105" s="43" t="n"/>
      <c r="AC105" s="1045" t="n"/>
      <c r="AD105" s="282" t="n"/>
      <c r="AE105" s="43" t="n"/>
      <c r="AF105" s="1045" t="n"/>
      <c r="AG105" s="283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A106" s="744" t="n"/>
      <c r="B106" s="205" t="inlineStr">
        <is>
          <t>Telefono e Internet</t>
        </is>
      </c>
      <c r="C106" s="25" t="n"/>
      <c r="D106" s="43" t="n"/>
      <c r="E106" s="1045" t="n"/>
      <c r="F106" s="25" t="n"/>
      <c r="G106" s="43" t="n"/>
      <c r="H106" s="1045" t="n"/>
      <c r="I106" s="25" t="n">
        <v>241842440</v>
      </c>
      <c r="J106" s="43" t="n"/>
      <c r="K106" s="1045" t="n"/>
      <c r="L106" s="274" t="n">
        <v>241842440</v>
      </c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A107" s="744" t="n"/>
      <c r="B107" s="97" t="inlineStr">
        <is>
          <t>Correo, porte y telegramas</t>
        </is>
      </c>
      <c r="C107" s="108" t="n"/>
      <c r="D107" s="42" t="n"/>
      <c r="E107" s="1057" t="n"/>
      <c r="F107" s="108" t="n"/>
      <c r="G107" s="42" t="n"/>
      <c r="H107" s="1057" t="n"/>
      <c r="I107" s="108" t="n">
        <v>241842440</v>
      </c>
      <c r="J107" s="42" t="n"/>
      <c r="K107" s="1057" t="n"/>
      <c r="L107" s="2" t="n">
        <v>241842440</v>
      </c>
      <c r="M107" s="42" t="n"/>
      <c r="N107" s="1057" t="n"/>
      <c r="O107" s="2" t="n"/>
      <c r="P107" s="42" t="n"/>
      <c r="Q107" s="1057" t="n"/>
      <c r="R107" s="2" t="n"/>
      <c r="S107" s="42" t="n"/>
      <c r="T107" s="1057" t="n"/>
      <c r="U107" s="2" t="n"/>
      <c r="V107" s="42" t="n"/>
      <c r="W107" s="1057" t="n"/>
      <c r="X107" s="2" t="n"/>
      <c r="Y107" s="42" t="n"/>
      <c r="Z107" s="1057" t="n"/>
      <c r="AA107" s="2" t="n"/>
      <c r="AB107" s="42" t="n"/>
      <c r="AC107" s="1057" t="n"/>
      <c r="AD107" s="2" t="n"/>
      <c r="AE107" s="42" t="n"/>
      <c r="AF107" s="1057" t="n"/>
      <c r="AG107" s="28" t="n"/>
      <c r="AH107" s="42" t="n"/>
      <c r="AI107" s="1057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058" t="n"/>
    </row>
    <row r="108" ht="15" customHeight="1" s="986">
      <c r="A108" s="744" t="n"/>
      <c r="B108" s="16" t="inlineStr">
        <is>
          <t>GASTOS LEGALES</t>
        </is>
      </c>
      <c r="C108" s="90">
        <f>SUM(C109:C112)</f>
        <v/>
      </c>
      <c r="D108" s="3" t="n"/>
      <c r="E108" s="1053" t="n"/>
      <c r="F108" s="90">
        <f>SUM(F109:F112)</f>
        <v/>
      </c>
      <c r="G108" s="3" t="n"/>
      <c r="H108" s="1053">
        <f>F108/(F$13)</f>
        <v/>
      </c>
      <c r="I108" s="90">
        <f>SUM(I109:I112)</f>
        <v/>
      </c>
      <c r="J108" s="3" t="n"/>
      <c r="K108" s="1053">
        <f>I108/(I$13)</f>
        <v/>
      </c>
      <c r="L108" s="49">
        <f>SUM(L109:L112)</f>
        <v/>
      </c>
      <c r="M108" s="3" t="n"/>
      <c r="N108" s="1053">
        <f>L108/(L$13)</f>
        <v/>
      </c>
      <c r="O108" s="49">
        <f>SUM(O109:O112)</f>
        <v/>
      </c>
      <c r="P108" s="3" t="n"/>
      <c r="Q108" s="1053" t="n"/>
      <c r="R108" s="49">
        <f>SUM(R109:R112)</f>
        <v/>
      </c>
      <c r="S108" s="3" t="n"/>
      <c r="T108" s="1053" t="n"/>
      <c r="U108" s="49">
        <f>SUM(U109:U112)</f>
        <v/>
      </c>
      <c r="V108" s="3" t="n"/>
      <c r="W108" s="1053">
        <f>U108/(U$13)</f>
        <v/>
      </c>
      <c r="X108" s="49">
        <f>SUM(X109:X112)</f>
        <v/>
      </c>
      <c r="Y108" s="3" t="n"/>
      <c r="Z108" s="1053">
        <f>X108/(X$13)</f>
        <v/>
      </c>
      <c r="AA108" s="49">
        <f>SUM(AA109:AA112)</f>
        <v/>
      </c>
      <c r="AB108" s="3" t="n"/>
      <c r="AC108" s="1053">
        <f>AA108/(AA$13)</f>
        <v/>
      </c>
      <c r="AD108" s="49">
        <f>SUM(AD109:AD112)</f>
        <v/>
      </c>
      <c r="AE108" s="3" t="n"/>
      <c r="AF108" s="1053">
        <f>AD108/(AD$13)</f>
        <v/>
      </c>
      <c r="AG108" s="49">
        <f>SUM(AG109:AG112)</f>
        <v/>
      </c>
      <c r="AH108" s="3" t="n"/>
      <c r="AI108" s="1053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076">
        <f>AM108/(AM$13)</f>
        <v/>
      </c>
    </row>
    <row r="109" outlineLevel="1" ht="15" customHeight="1" s="986">
      <c r="A109" s="744" t="n"/>
      <c r="B109" s="39" t="inlineStr">
        <is>
          <t>Notariales</t>
        </is>
      </c>
      <c r="C109" s="39" t="n"/>
      <c r="D109" s="69" t="n"/>
      <c r="E109" s="1077" t="n"/>
      <c r="F109" s="39" t="n"/>
      <c r="G109" s="69" t="n"/>
      <c r="H109" s="1077" t="n"/>
      <c r="I109" s="39" t="n">
        <v>241842440</v>
      </c>
      <c r="J109" s="69" t="n"/>
      <c r="K109" s="1077" t="n"/>
      <c r="L109" s="39" t="n">
        <v>241842440</v>
      </c>
      <c r="M109" s="69" t="n"/>
      <c r="N109" s="1077" t="n"/>
      <c r="O109" s="39" t="n"/>
      <c r="P109" s="69" t="n"/>
      <c r="Q109" s="1077" t="n"/>
      <c r="R109" s="39" t="n"/>
      <c r="S109" s="69" t="n"/>
      <c r="T109" s="1077" t="n"/>
      <c r="U109" s="39" t="n"/>
      <c r="V109" s="69" t="n"/>
      <c r="W109" s="1077" t="n"/>
      <c r="X109" s="39" t="n"/>
      <c r="Y109" s="69" t="n"/>
      <c r="Z109" s="1077" t="n"/>
      <c r="AA109" s="39" t="n"/>
      <c r="AB109" s="69" t="n"/>
      <c r="AC109" s="1077" t="n"/>
      <c r="AD109" s="39" t="n"/>
      <c r="AE109" s="69" t="n"/>
      <c r="AF109" s="1077" t="n"/>
      <c r="AG109" s="39" t="n"/>
      <c r="AH109" s="69" t="n"/>
      <c r="AI109" s="1077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082" t="n"/>
    </row>
    <row r="110" outlineLevel="1" ht="15" customHeight="1" s="986">
      <c r="A110" s="744" t="n"/>
      <c r="B110" s="25" t="inlineStr">
        <is>
          <t>Registro Mercantil</t>
        </is>
      </c>
      <c r="C110" s="25" t="n"/>
      <c r="D110" s="43" t="n"/>
      <c r="E110" s="1045" t="n"/>
      <c r="F110" s="25" t="n"/>
      <c r="G110" s="43" t="n"/>
      <c r="H110" s="1045" t="n"/>
      <c r="I110" s="25" t="n">
        <v>241842440</v>
      </c>
      <c r="J110" s="43" t="n"/>
      <c r="K110" s="1045" t="n"/>
      <c r="L110" s="25" t="n">
        <v>241842440</v>
      </c>
      <c r="M110" s="43" t="n"/>
      <c r="N110" s="1045" t="n"/>
      <c r="O110" s="25" t="n"/>
      <c r="P110" s="43" t="n"/>
      <c r="Q110" s="1045" t="n"/>
      <c r="R110" s="25" t="n"/>
      <c r="S110" s="43" t="n"/>
      <c r="T110" s="1045" t="n"/>
      <c r="U110" s="25" t="n"/>
      <c r="V110" s="43" t="n"/>
      <c r="W110" s="1045" t="n"/>
      <c r="X110" s="25" t="n"/>
      <c r="Y110" s="43" t="n"/>
      <c r="Z110" s="1045" t="n"/>
      <c r="AA110" s="25" t="n"/>
      <c r="AB110" s="43" t="n"/>
      <c r="AC110" s="1045" t="n"/>
      <c r="AD110" s="25" t="n"/>
      <c r="AE110" s="43" t="n"/>
      <c r="AF110" s="1045" t="n"/>
      <c r="AG110" s="25" t="n"/>
      <c r="AH110" s="43" t="n"/>
      <c r="AI110" s="1045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46" t="n"/>
    </row>
    <row r="111" outlineLevel="1" ht="15" customHeight="1" s="986">
      <c r="A111" s="744" t="n"/>
      <c r="B111" s="25" t="inlineStr">
        <is>
          <t>Trámites y Licencias</t>
        </is>
      </c>
      <c r="C111" s="25" t="n"/>
      <c r="D111" s="43" t="n"/>
      <c r="E111" s="1045" t="n"/>
      <c r="F111" s="25" t="n"/>
      <c r="G111" s="43" t="n"/>
      <c r="H111" s="1045" t="n"/>
      <c r="I111" s="25" t="n">
        <v>241842440</v>
      </c>
      <c r="J111" s="43" t="n"/>
      <c r="K111" s="1045" t="n"/>
      <c r="L111" s="25" t="n">
        <v>241842440</v>
      </c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A112" s="744" t="n"/>
      <c r="B112" s="28" t="inlineStr">
        <is>
          <t xml:space="preserve">Certificados Camara Comercio        </t>
        </is>
      </c>
      <c r="C112" s="28" t="n"/>
      <c r="D112" s="45" t="n"/>
      <c r="E112" s="1073" t="n"/>
      <c r="F112" s="28" t="n"/>
      <c r="G112" s="45" t="n"/>
      <c r="H112" s="1073" t="n"/>
      <c r="I112" s="28" t="n">
        <v>241842440</v>
      </c>
      <c r="J112" s="45" t="n"/>
      <c r="K112" s="1073" t="n"/>
      <c r="L112" s="28" t="n">
        <v>241842440</v>
      </c>
      <c r="M112" s="45" t="n"/>
      <c r="N112" s="1073" t="n"/>
      <c r="O112" s="28" t="n"/>
      <c r="P112" s="45" t="n"/>
      <c r="Q112" s="1073" t="n"/>
      <c r="R112" s="28" t="n"/>
      <c r="S112" s="45" t="n"/>
      <c r="T112" s="1073" t="n"/>
      <c r="U112" s="28" t="n"/>
      <c r="V112" s="45" t="n"/>
      <c r="W112" s="1073" t="n"/>
      <c r="X112" s="28" t="n"/>
      <c r="Y112" s="45" t="n"/>
      <c r="Z112" s="1073" t="n"/>
      <c r="AA112" s="28" t="n"/>
      <c r="AB112" s="45" t="n"/>
      <c r="AC112" s="1073" t="n"/>
      <c r="AD112" s="28" t="n"/>
      <c r="AE112" s="45" t="n"/>
      <c r="AF112" s="1073" t="n"/>
      <c r="AG112" s="28" t="n"/>
      <c r="AH112" s="45" t="n"/>
      <c r="AI112" s="1073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083" t="n"/>
    </row>
    <row r="113" ht="15" customHeight="1" s="986">
      <c r="A113" s="744" t="n"/>
      <c r="B113" s="16" t="inlineStr">
        <is>
          <t xml:space="preserve">MANTENIMIENTO Y REPARACIONES  </t>
        </is>
      </c>
      <c r="C113" s="90">
        <f>SUM(C114:C118)</f>
        <v/>
      </c>
      <c r="D113" s="3" t="n"/>
      <c r="E113" s="1053" t="n"/>
      <c r="F113" s="90">
        <f>SUM(F114:F118)</f>
        <v/>
      </c>
      <c r="G113" s="3" t="n"/>
      <c r="H113" s="1053">
        <f>F113/(F$13)</f>
        <v/>
      </c>
      <c r="I113" s="90">
        <f>SUM(I114:I118)</f>
        <v/>
      </c>
      <c r="J113" s="3" t="n"/>
      <c r="K113" s="1053">
        <f>I113/(I$13)</f>
        <v/>
      </c>
      <c r="L113" s="49">
        <f>SUM(L114:L118)</f>
        <v/>
      </c>
      <c r="M113" s="3" t="n"/>
      <c r="N113" s="1053">
        <f>L113/(L$13)</f>
        <v/>
      </c>
      <c r="O113" s="49">
        <f>SUM(O114:O115)</f>
        <v/>
      </c>
      <c r="P113" s="3" t="n"/>
      <c r="Q113" s="1053" t="n"/>
      <c r="R113" s="49">
        <f>SUM(R114:R118)</f>
        <v/>
      </c>
      <c r="S113" s="3" t="n"/>
      <c r="T113" s="1053" t="n"/>
      <c r="U113" s="49">
        <f>SUM(U114:U118)</f>
        <v/>
      </c>
      <c r="V113" s="3" t="n"/>
      <c r="W113" s="1053">
        <f>U113/(U$13)</f>
        <v/>
      </c>
      <c r="X113" s="49">
        <f>SUM(X114:X115)</f>
        <v/>
      </c>
      <c r="Y113" s="3" t="n"/>
      <c r="Z113" s="1053">
        <f>X113/(X$13)</f>
        <v/>
      </c>
      <c r="AA113" s="49">
        <f>SUM(AA114:AA118)</f>
        <v/>
      </c>
      <c r="AB113" s="3" t="n"/>
      <c r="AC113" s="1053">
        <f>AA113/(AA$13)</f>
        <v/>
      </c>
      <c r="AD113" s="49">
        <f>SUM(AD114:AD118)</f>
        <v/>
      </c>
      <c r="AE113" s="3" t="n"/>
      <c r="AF113" s="1053">
        <f>AD113/(AD$13)</f>
        <v/>
      </c>
      <c r="AG113" s="49">
        <f>SUM(AG114:AG118)</f>
        <v/>
      </c>
      <c r="AH113" s="3" t="n"/>
      <c r="AI113" s="1053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076">
        <f>AM113/(AM$13)</f>
        <v/>
      </c>
    </row>
    <row r="114" outlineLevel="1" ht="15" customHeight="1" s="986">
      <c r="A114" s="744" t="n"/>
      <c r="B114" s="39" t="inlineStr">
        <is>
          <t xml:space="preserve">Construcciones y Edificaciones          </t>
        </is>
      </c>
      <c r="C114" s="39" t="n"/>
      <c r="D114" s="69" t="n"/>
      <c r="E114" s="1077" t="n"/>
      <c r="F114" s="39" t="n"/>
      <c r="G114" s="69" t="n"/>
      <c r="H114" s="1077" t="n"/>
      <c r="I114" s="39" t="n">
        <v>286665474</v>
      </c>
      <c r="J114" s="69" t="n"/>
      <c r="K114" s="1077" t="n"/>
      <c r="L114" s="39" t="n">
        <v>286665474</v>
      </c>
      <c r="M114" s="69" t="n"/>
      <c r="N114" s="1077" t="n"/>
      <c r="O114" s="39" t="n"/>
      <c r="P114" s="69" t="n"/>
      <c r="Q114" s="1077" t="n"/>
      <c r="R114" s="39" t="n"/>
      <c r="S114" s="69" t="n"/>
      <c r="T114" s="1077" t="n"/>
      <c r="U114" s="39" t="n"/>
      <c r="V114" s="69" t="n"/>
      <c r="W114" s="1077" t="n"/>
      <c r="X114" s="39" t="n"/>
      <c r="Y114" s="69" t="n"/>
      <c r="Z114" s="1077" t="n"/>
      <c r="AA114" s="39" t="n"/>
      <c r="AB114" s="69" t="n"/>
      <c r="AC114" s="1077" t="n"/>
      <c r="AD114" s="39" t="n"/>
      <c r="AE114" s="69" t="n"/>
      <c r="AF114" s="1077" t="n"/>
      <c r="AG114" s="39" t="n"/>
      <c r="AH114" s="69" t="n"/>
      <c r="AI114" s="1077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082" t="n"/>
    </row>
    <row r="115" outlineLevel="1" ht="15" customHeight="1" s="986">
      <c r="A115" s="744" t="n"/>
      <c r="B115" s="25" t="inlineStr">
        <is>
          <t xml:space="preserve">Maquinaria y Equipo                     </t>
        </is>
      </c>
      <c r="C115" s="91" t="n"/>
      <c r="D115" s="43" t="n"/>
      <c r="E115" s="1045" t="n"/>
      <c r="F115" s="25" t="n"/>
      <c r="G115" s="43" t="n"/>
      <c r="H115" s="1045" t="n"/>
      <c r="I115" s="25" t="n">
        <v>245958250</v>
      </c>
      <c r="J115" s="43" t="n"/>
      <c r="K115" s="1045" t="n"/>
      <c r="L115" s="25" t="n">
        <v>245958250</v>
      </c>
      <c r="M115" s="43" t="n"/>
      <c r="N115" s="1045" t="n"/>
      <c r="O115" s="25" t="n"/>
      <c r="P115" s="43" t="n"/>
      <c r="Q115" s="1045" t="n"/>
      <c r="R115" s="25" t="n"/>
      <c r="S115" s="43" t="n"/>
      <c r="T115" s="1045" t="n"/>
      <c r="U115" s="25" t="n"/>
      <c r="V115" s="43" t="n"/>
      <c r="W115" s="1045" t="n"/>
      <c r="X115" s="25" t="n"/>
      <c r="Y115" s="43" t="n"/>
      <c r="Z115" s="1045" t="n"/>
      <c r="AA115" s="25" t="n"/>
      <c r="AB115" s="43" t="n"/>
      <c r="AC115" s="1045" t="n"/>
      <c r="AD115" s="25" t="n"/>
      <c r="AE115" s="43" t="n"/>
      <c r="AF115" s="1045" t="n"/>
      <c r="AG115" s="25" t="n"/>
      <c r="AH115" s="43" t="n"/>
      <c r="AI115" s="1045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46" t="n"/>
    </row>
    <row r="116" outlineLevel="1" ht="15" customHeight="1" s="986">
      <c r="A116" s="744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45" t="n"/>
      <c r="F116" s="25" t="n"/>
      <c r="G116" s="43" t="n"/>
      <c r="H116" s="1045" t="n"/>
      <c r="I116" s="205" t="n">
        <v>5705110</v>
      </c>
      <c r="J116" s="43" t="n"/>
      <c r="K116" s="1045" t="n"/>
      <c r="L116" s="25" t="n">
        <v>5705110</v>
      </c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A117" s="744" t="n"/>
      <c r="B117" s="205" t="inlineStr">
        <is>
          <t xml:space="preserve">Equipo de Oficina                       </t>
        </is>
      </c>
      <c r="C117" s="25" t="n"/>
      <c r="D117" s="43" t="n"/>
      <c r="E117" s="1045" t="n"/>
      <c r="F117" s="25" t="n"/>
      <c r="G117" s="43" t="n"/>
      <c r="H117" s="1045" t="n"/>
      <c r="I117" s="25" t="n">
        <v>260257380</v>
      </c>
      <c r="J117" s="43" t="n"/>
      <c r="K117" s="1045" t="n"/>
      <c r="L117" s="25" t="n">
        <v>260257380</v>
      </c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 thickBot="1">
      <c r="A118" s="744" t="n"/>
      <c r="B118" s="301" t="inlineStr">
        <is>
          <t xml:space="preserve">Acueductos, planta y redes              </t>
        </is>
      </c>
      <c r="C118" s="71" t="n"/>
      <c r="D118" s="72" t="n"/>
      <c r="E118" s="1086" t="n"/>
      <c r="F118" s="71" t="n"/>
      <c r="G118" s="72" t="n"/>
      <c r="H118" s="1086" t="n"/>
      <c r="I118" s="71" t="n">
        <v>6422662</v>
      </c>
      <c r="J118" s="72" t="n"/>
      <c r="K118" s="1086" t="n"/>
      <c r="L118" s="71" t="n">
        <v>6422662</v>
      </c>
      <c r="M118" s="72" t="n"/>
      <c r="N118" s="1086" t="n"/>
      <c r="O118" s="71" t="n"/>
      <c r="P118" s="72" t="n"/>
      <c r="Q118" s="1086" t="n"/>
      <c r="R118" s="71" t="n"/>
      <c r="S118" s="72" t="n"/>
      <c r="T118" s="1086" t="n"/>
      <c r="U118" s="71" t="n"/>
      <c r="V118" s="72" t="n"/>
      <c r="W118" s="1086" t="n"/>
      <c r="X118" s="71" t="n"/>
      <c r="Y118" s="72" t="n"/>
      <c r="Z118" s="1086" t="n"/>
      <c r="AA118" s="71" t="n"/>
      <c r="AB118" s="72" t="n"/>
      <c r="AC118" s="1086" t="n"/>
      <c r="AD118" s="71" t="n"/>
      <c r="AE118" s="72" t="n"/>
      <c r="AF118" s="1086" t="n"/>
      <c r="AG118" s="71" t="n"/>
      <c r="AH118" s="72" t="n"/>
      <c r="AI118" s="1086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087" t="n"/>
    </row>
    <row r="119" ht="15" customHeight="1" s="986" thickTop="1">
      <c r="A119" s="744" t="n"/>
      <c r="B119" s="382" t="inlineStr">
        <is>
          <t>ADECUACIONES E INSTALACIONES</t>
        </is>
      </c>
      <c r="C119" s="386">
        <f>SUM(C120:C121)</f>
        <v/>
      </c>
      <c r="D119" s="384" t="n"/>
      <c r="E119" s="1088" t="n"/>
      <c r="F119" s="386">
        <f>SUM(F120)</f>
        <v/>
      </c>
      <c r="G119" s="384" t="n"/>
      <c r="H119" s="1088">
        <f>F119/(F$13)</f>
        <v/>
      </c>
      <c r="I119" s="386">
        <f>SUM(I120)</f>
        <v/>
      </c>
      <c r="J119" s="384" t="n"/>
      <c r="K119" s="1088">
        <f>I119/(I$13)</f>
        <v/>
      </c>
      <c r="L119" s="383">
        <f>SUM(L120)</f>
        <v/>
      </c>
      <c r="M119" s="384" t="n"/>
      <c r="N119" s="1088">
        <f>L119/(L$13)</f>
        <v/>
      </c>
      <c r="O119" s="383">
        <f>SUM(O120)</f>
        <v/>
      </c>
      <c r="P119" s="384" t="n"/>
      <c r="Q119" s="1088" t="n"/>
      <c r="R119" s="383">
        <f>SUM(R120:R121)</f>
        <v/>
      </c>
      <c r="S119" s="384" t="n"/>
      <c r="T119" s="1088" t="n"/>
      <c r="U119" s="383">
        <f>SUM(U120:U121)</f>
        <v/>
      </c>
      <c r="V119" s="384" t="n"/>
      <c r="W119" s="1088">
        <f>U119/(U$13)</f>
        <v/>
      </c>
      <c r="X119" s="383">
        <f>SUM(X120:X121)</f>
        <v/>
      </c>
      <c r="Y119" s="384" t="n"/>
      <c r="Z119" s="1088">
        <f>X119/(X$13)</f>
        <v/>
      </c>
      <c r="AA119" s="383">
        <f>SUM(AA120)</f>
        <v/>
      </c>
      <c r="AB119" s="384" t="n"/>
      <c r="AC119" s="1088">
        <f>AA119/(AA$13)</f>
        <v/>
      </c>
      <c r="AD119" s="383">
        <f>SUM(AD120)</f>
        <v/>
      </c>
      <c r="AE119" s="384" t="n"/>
      <c r="AF119" s="1088">
        <f>AD119/(AD$13)</f>
        <v/>
      </c>
      <c r="AG119" s="383">
        <f>SUM(AG120)</f>
        <v/>
      </c>
      <c r="AH119" s="384" t="n"/>
      <c r="AI119" s="1088">
        <f>AG119/(AG$13)</f>
        <v/>
      </c>
      <c r="AJ119" s="383">
        <f>SUM(AJ120)</f>
        <v/>
      </c>
      <c r="AK119" s="384" t="n"/>
      <c r="AL119" s="387" t="n"/>
      <c r="AM119" s="382">
        <f>C119+F119+I119+L119+O119+R119+U119+X119+AA119+AD119+AG119+AJ119</f>
        <v/>
      </c>
      <c r="AN119" s="384" t="n"/>
      <c r="AO119" s="1089">
        <f>AM119/(AM$13)</f>
        <v/>
      </c>
    </row>
    <row r="120" ht="15" customHeight="1" s="986">
      <c r="A120" s="744" t="n"/>
      <c r="B120" s="39" t="inlineStr">
        <is>
          <t>Instalaciones Electricas</t>
        </is>
      </c>
      <c r="C120" s="39" t="n"/>
      <c r="D120" s="69" t="n"/>
      <c r="E120" s="1077" t="n"/>
      <c r="F120" s="39" t="n"/>
      <c r="G120" s="69" t="n"/>
      <c r="H120" s="1077" t="n"/>
      <c r="I120" s="39" t="n">
        <v>6422662</v>
      </c>
      <c r="J120" s="69" t="n"/>
      <c r="K120" s="1077" t="n"/>
      <c r="L120" s="39" t="n">
        <v>6422662</v>
      </c>
      <c r="M120" s="69" t="n"/>
      <c r="N120" s="1077" t="n"/>
      <c r="O120" s="39" t="n"/>
      <c r="P120" s="69" t="n"/>
      <c r="Q120" s="1077" t="n"/>
      <c r="R120" s="39" t="n"/>
      <c r="S120" s="69" t="n"/>
      <c r="T120" s="1077" t="n"/>
      <c r="U120" s="39" t="n"/>
      <c r="V120" s="69" t="n"/>
      <c r="W120" s="1077" t="n"/>
      <c r="X120" s="39" t="n"/>
      <c r="Y120" s="69" t="n"/>
      <c r="Z120" s="1077" t="n"/>
      <c r="AA120" s="39" t="n"/>
      <c r="AB120" s="69" t="n"/>
      <c r="AC120" s="1077" t="n"/>
      <c r="AD120" s="39" t="n"/>
      <c r="AE120" s="69" t="n"/>
      <c r="AF120" s="1077" t="n"/>
      <c r="AG120" s="39" t="n"/>
      <c r="AH120" s="69" t="n"/>
      <c r="AI120" s="1077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082" t="n"/>
    </row>
    <row r="121" ht="15" customHeight="1" s="986">
      <c r="A121" s="744" t="n"/>
      <c r="B121" s="284" t="inlineStr">
        <is>
          <t>Reparaciones Locativas</t>
        </is>
      </c>
      <c r="C121" s="91" t="n"/>
      <c r="D121" s="92" t="n"/>
      <c r="E121" s="1063" t="n"/>
      <c r="F121" s="91" t="n"/>
      <c r="G121" s="92" t="n"/>
      <c r="H121" s="1063" t="n"/>
      <c r="I121" s="91" t="n">
        <v>8594020</v>
      </c>
      <c r="J121" s="92" t="n"/>
      <c r="K121" s="1063" t="n"/>
      <c r="L121" s="91" t="n">
        <v>8594020</v>
      </c>
      <c r="M121" s="92" t="n"/>
      <c r="N121" s="1063" t="n"/>
      <c r="O121" s="91" t="n"/>
      <c r="P121" s="92" t="n"/>
      <c r="Q121" s="1063" t="n"/>
      <c r="R121" s="91" t="n"/>
      <c r="S121" s="92" t="n"/>
      <c r="T121" s="1063" t="n"/>
      <c r="U121" s="91" t="n"/>
      <c r="V121" s="92" t="n"/>
      <c r="W121" s="1063" t="n"/>
      <c r="X121" s="91" t="n"/>
      <c r="Y121" s="92" t="n"/>
      <c r="Z121" s="1063" t="n"/>
      <c r="AA121" s="91" t="n"/>
      <c r="AB121" s="92" t="n"/>
      <c r="AC121" s="1063" t="n"/>
      <c r="AD121" s="91" t="n"/>
      <c r="AE121" s="92" t="n"/>
      <c r="AF121" s="1063" t="n"/>
      <c r="AG121" s="91" t="n"/>
      <c r="AH121" s="92" t="n"/>
      <c r="AI121" s="1063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064" t="n"/>
    </row>
    <row r="122" ht="15" customHeight="1" s="986">
      <c r="A122" s="744" t="n"/>
      <c r="B122" s="16" t="inlineStr">
        <is>
          <t>GASTOS DE VIAJE</t>
        </is>
      </c>
      <c r="C122" s="90">
        <f>SUM(C123:C125)</f>
        <v/>
      </c>
      <c r="D122" s="3" t="n"/>
      <c r="E122" s="1053" t="n"/>
      <c r="F122" s="90">
        <f>SUM(F123:F125)</f>
        <v/>
      </c>
      <c r="G122" s="3" t="n"/>
      <c r="H122" s="1053">
        <f>F122/(F$13)</f>
        <v/>
      </c>
      <c r="I122" s="90">
        <f>SUM(I123:I125)</f>
        <v/>
      </c>
      <c r="J122" s="3" t="n"/>
      <c r="K122" s="1053">
        <f>I122/(I$13)</f>
        <v/>
      </c>
      <c r="L122" s="49">
        <f>SUM(L123:L125)</f>
        <v/>
      </c>
      <c r="M122" s="3" t="n"/>
      <c r="N122" s="1053">
        <f>L122/(L$13)</f>
        <v/>
      </c>
      <c r="O122" s="49">
        <f>SUM(O123:O125)</f>
        <v/>
      </c>
      <c r="P122" s="3" t="n"/>
      <c r="Q122" s="1053" t="n"/>
      <c r="R122" s="49">
        <f>SUM(R123:R125)</f>
        <v/>
      </c>
      <c r="S122" s="3" t="n"/>
      <c r="T122" s="1053" t="n"/>
      <c r="U122" s="49">
        <f>SUM(U123:U125)</f>
        <v/>
      </c>
      <c r="V122" s="3" t="n"/>
      <c r="W122" s="1053">
        <f>U122/(U$13)</f>
        <v/>
      </c>
      <c r="X122" s="49">
        <f>SUM(X123:X125)</f>
        <v/>
      </c>
      <c r="Y122" s="3" t="n"/>
      <c r="Z122" s="1053">
        <f>X122/(X$13)</f>
        <v/>
      </c>
      <c r="AA122" s="49">
        <f>SUM(AA123:AA125)</f>
        <v/>
      </c>
      <c r="AB122" s="3" t="n"/>
      <c r="AC122" s="1053">
        <f>AA122/(AA$13)</f>
        <v/>
      </c>
      <c r="AD122" s="49" t="n"/>
      <c r="AE122" s="3" t="n"/>
      <c r="AF122" s="1053">
        <f>AD122/(AD$13)</f>
        <v/>
      </c>
      <c r="AG122" s="49">
        <f>SUM(AG123:AG125)</f>
        <v/>
      </c>
      <c r="AH122" s="3" t="n"/>
      <c r="AI122" s="1053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076">
        <f>AM122/(AM$13)</f>
        <v/>
      </c>
    </row>
    <row r="123" outlineLevel="1" ht="15" customHeight="1" s="986">
      <c r="A123" s="744" t="n"/>
      <c r="B123" s="39" t="inlineStr">
        <is>
          <t>Alojamiento y Manutención</t>
        </is>
      </c>
      <c r="C123" s="39" t="n"/>
      <c r="D123" s="69" t="n"/>
      <c r="E123" s="1077" t="n"/>
      <c r="F123" s="39" t="n"/>
      <c r="G123" s="69" t="n"/>
      <c r="H123" s="1077" t="n"/>
      <c r="I123" s="39" t="n">
        <v>8594020</v>
      </c>
      <c r="J123" s="69" t="n"/>
      <c r="K123" s="1077" t="n"/>
      <c r="L123" s="39" t="n">
        <v>8594020</v>
      </c>
      <c r="M123" s="69" t="n"/>
      <c r="N123" s="1077" t="n"/>
      <c r="O123" s="39" t="n"/>
      <c r="P123" s="69" t="n"/>
      <c r="Q123" s="1077" t="n"/>
      <c r="R123" s="39" t="n"/>
      <c r="S123" s="69" t="n"/>
      <c r="T123" s="1077" t="n"/>
      <c r="U123" s="39" t="n"/>
      <c r="V123" s="69" t="n"/>
      <c r="W123" s="1077" t="n"/>
      <c r="X123" s="39" t="n"/>
      <c r="Y123" s="69" t="n"/>
      <c r="Z123" s="1077" t="n"/>
      <c r="AA123" s="39" t="n"/>
      <c r="AB123" s="69" t="n"/>
      <c r="AC123" s="1077" t="n"/>
      <c r="AD123" s="39" t="n"/>
      <c r="AE123" s="69" t="n"/>
      <c r="AF123" s="1077" t="n"/>
      <c r="AG123" s="39" t="n"/>
      <c r="AH123" s="69" t="n"/>
      <c r="AI123" s="1077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082" t="n"/>
    </row>
    <row r="124" outlineLevel="1" ht="15" customHeight="1" s="986">
      <c r="A124" s="744" t="n"/>
      <c r="B124" s="25" t="inlineStr">
        <is>
          <t>Pasajes Aereos</t>
        </is>
      </c>
      <c r="C124" s="25" t="n"/>
      <c r="D124" s="43" t="n"/>
      <c r="E124" s="1045" t="n"/>
      <c r="F124" s="25" t="n"/>
      <c r="G124" s="43" t="n"/>
      <c r="H124" s="1045" t="n"/>
      <c r="I124" s="25" t="n">
        <v>8594020</v>
      </c>
      <c r="J124" s="43" t="n"/>
      <c r="K124" s="1045" t="n"/>
      <c r="L124" s="25" t="n">
        <v>8594020</v>
      </c>
      <c r="M124" s="43" t="n"/>
      <c r="N124" s="1045" t="n"/>
      <c r="O124" s="25" t="n"/>
      <c r="P124" s="43" t="n"/>
      <c r="Q124" s="1045" t="n"/>
      <c r="R124" s="25" t="n"/>
      <c r="S124" s="43" t="n"/>
      <c r="T124" s="1045" t="n"/>
      <c r="U124" s="25" t="n"/>
      <c r="V124" s="43" t="n"/>
      <c r="W124" s="1045" t="n"/>
      <c r="X124" s="25" t="n"/>
      <c r="Y124" s="43" t="n"/>
      <c r="Z124" s="1045" t="n"/>
      <c r="AA124" s="25" t="n"/>
      <c r="AB124" s="43" t="n"/>
      <c r="AC124" s="1045" t="n"/>
      <c r="AD124" s="25" t="n"/>
      <c r="AE124" s="43" t="n"/>
      <c r="AF124" s="1045" t="n"/>
      <c r="AG124" s="25" t="n"/>
      <c r="AH124" s="43" t="n"/>
      <c r="AI124" s="1045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46" t="n"/>
    </row>
    <row r="125" outlineLevel="1" ht="15" customHeight="1" s="986">
      <c r="A125" s="744" t="n"/>
      <c r="B125" s="28" t="inlineStr">
        <is>
          <t>Pasajes Terrestres</t>
        </is>
      </c>
      <c r="C125" s="28" t="n"/>
      <c r="D125" s="45" t="n"/>
      <c r="E125" s="1073" t="n"/>
      <c r="F125" s="28" t="n"/>
      <c r="G125" s="45" t="n"/>
      <c r="H125" s="1073" t="n"/>
      <c r="I125" s="28" t="n">
        <v>5705110</v>
      </c>
      <c r="J125" s="45" t="n"/>
      <c r="K125" s="1073" t="n"/>
      <c r="L125" s="28" t="n">
        <v>5705110</v>
      </c>
      <c r="M125" s="45" t="n"/>
      <c r="N125" s="1073" t="n"/>
      <c r="O125" s="28" t="n"/>
      <c r="P125" s="45" t="n"/>
      <c r="Q125" s="1073" t="n"/>
      <c r="R125" s="28" t="n"/>
      <c r="S125" s="45" t="n"/>
      <c r="T125" s="1073" t="n"/>
      <c r="U125" s="28" t="n"/>
      <c r="V125" s="45" t="n"/>
      <c r="W125" s="1073" t="n"/>
      <c r="X125" s="28" t="n"/>
      <c r="Y125" s="45" t="n"/>
      <c r="Z125" s="1073" t="n"/>
      <c r="AA125" s="28" t="n"/>
      <c r="AB125" s="45" t="n"/>
      <c r="AC125" s="1073" t="n"/>
      <c r="AD125" s="28" t="n"/>
      <c r="AE125" s="45" t="n"/>
      <c r="AF125" s="1073" t="n"/>
      <c r="AG125" s="28" t="n"/>
      <c r="AH125" s="45" t="n"/>
      <c r="AI125" s="1073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083" t="n"/>
    </row>
    <row r="126" ht="15" customHeight="1" s="986">
      <c r="A126" s="744" t="n"/>
      <c r="B126" s="16" t="inlineStr">
        <is>
          <t>DIVERSOS</t>
        </is>
      </c>
      <c r="C126" s="90">
        <f>SUM(C127:C138)</f>
        <v/>
      </c>
      <c r="D126" s="3" t="n"/>
      <c r="E126" s="1053" t="n"/>
      <c r="F126" s="90">
        <f>SUM(F127:F138)</f>
        <v/>
      </c>
      <c r="G126" s="3" t="n"/>
      <c r="H126" s="1053">
        <f>F126/(F$13)</f>
        <v/>
      </c>
      <c r="I126" s="90">
        <f>SUM(I127:I138)</f>
        <v/>
      </c>
      <c r="J126" s="3" t="n"/>
      <c r="K126" s="1053">
        <f>I126/(I$13)</f>
        <v/>
      </c>
      <c r="L126" s="49">
        <f>SUM(L127:L138)</f>
        <v/>
      </c>
      <c r="M126" s="3" t="n"/>
      <c r="N126" s="1053">
        <f>L126/(L$13)</f>
        <v/>
      </c>
      <c r="O126" s="49">
        <f>SUM(O127:O138)</f>
        <v/>
      </c>
      <c r="P126" s="3" t="n"/>
      <c r="Q126" s="1053" t="n"/>
      <c r="R126" s="49">
        <f>SUM(R127:R138)</f>
        <v/>
      </c>
      <c r="S126" s="3" t="n"/>
      <c r="T126" s="1053" t="n"/>
      <c r="U126" s="49">
        <f>SUM(U127:U138)</f>
        <v/>
      </c>
      <c r="V126" s="3" t="n"/>
      <c r="W126" s="1053">
        <f>U126/(U$13)</f>
        <v/>
      </c>
      <c r="X126" s="49">
        <f>SUM(X127:X138)</f>
        <v/>
      </c>
      <c r="Y126" s="3" t="n"/>
      <c r="Z126" s="1053">
        <f>X126/(X$13)</f>
        <v/>
      </c>
      <c r="AA126" s="49">
        <f>SUM(AA127:AA138)</f>
        <v/>
      </c>
      <c r="AB126" s="3" t="n"/>
      <c r="AC126" s="1053">
        <f>AA126/(AA$13)</f>
        <v/>
      </c>
      <c r="AD126" s="49">
        <f>SUM(AD127:AD138)</f>
        <v/>
      </c>
      <c r="AE126" s="3" t="n"/>
      <c r="AF126" s="1053">
        <f>AD126/(AD$13)</f>
        <v/>
      </c>
      <c r="AG126" s="49">
        <f>SUM(AG127:AG138)</f>
        <v/>
      </c>
      <c r="AH126" s="3" t="n"/>
      <c r="AI126" s="1053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076">
        <f>AM126/(AM$13)</f>
        <v/>
      </c>
    </row>
    <row r="127" outlineLevel="1" ht="15" customHeight="1" s="986">
      <c r="A127" s="744" t="n"/>
      <c r="B127" s="39" t="inlineStr">
        <is>
          <t>Libros, suscripciones, period</t>
        </is>
      </c>
      <c r="C127" s="39" t="n"/>
      <c r="D127" s="69" t="n"/>
      <c r="E127" s="1077" t="n"/>
      <c r="F127" s="39" t="n"/>
      <c r="G127" s="69" t="n"/>
      <c r="H127" s="1077" t="n"/>
      <c r="I127" s="39" t="n">
        <v>5705110</v>
      </c>
      <c r="J127" s="69" t="n"/>
      <c r="K127" s="1077" t="n"/>
      <c r="L127" s="39" t="n">
        <v>5705110</v>
      </c>
      <c r="M127" s="69" t="n"/>
      <c r="N127" s="1077" t="n"/>
      <c r="O127" s="39" t="n"/>
      <c r="P127" s="69" t="n"/>
      <c r="Q127" s="1077" t="n"/>
      <c r="R127" s="39" t="n"/>
      <c r="S127" s="69" t="n"/>
      <c r="T127" s="1077" t="n"/>
      <c r="U127" s="39" t="n"/>
      <c r="V127" s="69" t="n"/>
      <c r="W127" s="1077" t="n"/>
      <c r="X127" s="39" t="n"/>
      <c r="Y127" s="69" t="n"/>
      <c r="Z127" s="1077" t="n"/>
      <c r="AA127" s="39" t="n"/>
      <c r="AB127" s="69" t="n"/>
      <c r="AC127" s="1077" t="n"/>
      <c r="AD127" s="39" t="n"/>
      <c r="AE127" s="69" t="n"/>
      <c r="AF127" s="1077" t="n"/>
      <c r="AG127" s="39" t="n"/>
      <c r="AH127" s="69" t="n"/>
      <c r="AI127" s="1077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090" t="n"/>
    </row>
    <row r="128" outlineLevel="1" ht="15" customHeight="1" s="986">
      <c r="A128" s="744" t="n"/>
      <c r="B128" s="25" t="inlineStr">
        <is>
          <t>Gastos de Representacion y relaciones Pub</t>
        </is>
      </c>
      <c r="C128" s="25" t="n"/>
      <c r="D128" s="43" t="n"/>
      <c r="E128" s="1045" t="n"/>
      <c r="F128" s="25" t="n"/>
      <c r="G128" s="43" t="n"/>
      <c r="H128" s="1045" t="n"/>
      <c r="I128" s="25" t="n">
        <v>8594020</v>
      </c>
      <c r="J128" s="43" t="n"/>
      <c r="K128" s="1045" t="n"/>
      <c r="L128" s="25" t="n">
        <v>8594020</v>
      </c>
      <c r="M128" s="43" t="n"/>
      <c r="N128" s="1045" t="n"/>
      <c r="O128" s="25" t="n"/>
      <c r="P128" s="43" t="n"/>
      <c r="Q128" s="1045" t="n"/>
      <c r="R128" s="25" t="n"/>
      <c r="S128" s="43" t="n"/>
      <c r="T128" s="1045" t="n"/>
      <c r="U128" s="25" t="n"/>
      <c r="V128" s="43" t="n"/>
      <c r="W128" s="1045" t="n"/>
      <c r="X128" s="25" t="n"/>
      <c r="Y128" s="43" t="n"/>
      <c r="Z128" s="1045" t="n"/>
      <c r="AA128" s="25" t="n"/>
      <c r="AB128" s="43" t="n"/>
      <c r="AC128" s="1045" t="n"/>
      <c r="AD128" s="25" t="n"/>
      <c r="AE128" s="43" t="n"/>
      <c r="AF128" s="1045" t="n"/>
      <c r="AG128" s="25" t="n"/>
      <c r="AH128" s="43" t="n"/>
      <c r="AI128" s="1045" t="n"/>
      <c r="AJ128" s="25" t="n"/>
      <c r="AK128" s="43" t="n"/>
      <c r="AL128" s="57" t="n"/>
      <c r="AM128" s="205" t="n"/>
      <c r="AN128" s="43" t="n"/>
      <c r="AO128" s="1091" t="n"/>
    </row>
    <row r="129" outlineLevel="1" ht="15" customHeight="1" s="986">
      <c r="A129" s="744" t="n"/>
      <c r="B129" s="25" t="inlineStr">
        <is>
          <t>Elementos de Aseo y Cafetería</t>
        </is>
      </c>
      <c r="C129" s="25">
        <f>'[17]Hoja 1'!$C$254+'[17]Hoja 1'!$C$263</f>
        <v/>
      </c>
      <c r="D129" s="43" t="n"/>
      <c r="E129" s="1045" t="n"/>
      <c r="F129" s="25">
        <f>'[20]Hoja 1'!$C$263+'[20]Hoja 1'!$C$272</f>
        <v/>
      </c>
      <c r="G129" s="43" t="n"/>
      <c r="H129" s="1045" t="n"/>
      <c r="I129" s="25" t="n">
        <v>5705110</v>
      </c>
      <c r="J129" s="43" t="n"/>
      <c r="K129" s="1045" t="n"/>
      <c r="L129" s="25" t="n">
        <v>5705110</v>
      </c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6">
      <c r="A130" s="744" t="n"/>
      <c r="B130" s="25" t="inlineStr">
        <is>
          <t>Utiles, papelería y fotocopias</t>
        </is>
      </c>
      <c r="C130" s="25" t="n"/>
      <c r="D130" s="43" t="n"/>
      <c r="E130" s="1045" t="n"/>
      <c r="F130" s="25" t="n"/>
      <c r="G130" s="43" t="n"/>
      <c r="H130" s="1045" t="n"/>
      <c r="I130" s="25" t="n">
        <v>5705110</v>
      </c>
      <c r="J130" s="43" t="n"/>
      <c r="K130" s="1045" t="n"/>
      <c r="L130" s="25" t="n">
        <v>5705110</v>
      </c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</row>
    <row r="131" outlineLevel="1" ht="15" customHeight="1" s="986">
      <c r="A131" s="744" t="n"/>
      <c r="B131" s="25" t="inlineStr">
        <is>
          <t>Combustibles y Lubricantes</t>
        </is>
      </c>
      <c r="C131" s="25" t="n"/>
      <c r="D131" s="43" t="n"/>
      <c r="E131" s="1045" t="n"/>
      <c r="F131" s="25" t="n"/>
      <c r="G131" s="43" t="n"/>
      <c r="H131" s="1045" t="n"/>
      <c r="I131" s="25" t="n">
        <v>8594020</v>
      </c>
      <c r="J131" s="43" t="n"/>
      <c r="K131" s="1045" t="n"/>
      <c r="L131" s="25" t="n">
        <v>8594020</v>
      </c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46" t="n"/>
    </row>
    <row r="132" outlineLevel="1" ht="15" customHeight="1" s="986">
      <c r="A132" s="744" t="n"/>
      <c r="B132" s="25" t="inlineStr">
        <is>
          <t>Buses y Taxis</t>
        </is>
      </c>
      <c r="C132" s="25" t="n"/>
      <c r="D132" s="43" t="n"/>
      <c r="E132" s="1045" t="n"/>
      <c r="F132" s="25" t="n"/>
      <c r="G132" s="43" t="n"/>
      <c r="H132" s="1045" t="n"/>
      <c r="I132" s="25" t="n">
        <v>6422662</v>
      </c>
      <c r="J132" s="43" t="n"/>
      <c r="K132" s="1045" t="n"/>
      <c r="L132" s="25" t="n">
        <v>6422662</v>
      </c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744" t="n"/>
      <c r="B133" s="25" t="inlineStr">
        <is>
          <t>Casino y Restaurante</t>
        </is>
      </c>
      <c r="C133" s="25">
        <f>'[17]Hoja 1'!$C$265</f>
        <v/>
      </c>
      <c r="D133" s="43" t="n"/>
      <c r="E133" s="1045" t="n"/>
      <c r="F133" s="25">
        <f>'[20]Hoja 1'!$C$274</f>
        <v/>
      </c>
      <c r="G133" s="43" t="n"/>
      <c r="H133" s="1045" t="n"/>
      <c r="I133" s="25" t="n">
        <v>6422662</v>
      </c>
      <c r="J133" s="43" t="n"/>
      <c r="K133" s="1045" t="n"/>
      <c r="L133" s="25" t="n">
        <v>6422662</v>
      </c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744" t="n"/>
      <c r="B134" s="25" t="inlineStr">
        <is>
          <t xml:space="preserve">Parqueaderos                       </t>
        </is>
      </c>
      <c r="C134" s="25" t="n"/>
      <c r="D134" s="43" t="n"/>
      <c r="E134" s="1045" t="n"/>
      <c r="F134" s="25" t="n"/>
      <c r="G134" s="43" t="n"/>
      <c r="H134" s="1045" t="n"/>
      <c r="I134" s="25" t="n">
        <v>8594020</v>
      </c>
      <c r="J134" s="43" t="n"/>
      <c r="K134" s="1045" t="n"/>
      <c r="L134" s="25" t="n">
        <v>8594020</v>
      </c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A135" s="744" t="n"/>
      <c r="B135" s="25" t="inlineStr">
        <is>
          <t>Peajes</t>
        </is>
      </c>
      <c r="C135" s="25" t="n"/>
      <c r="D135" s="43" t="n"/>
      <c r="E135" s="1045" t="n"/>
      <c r="F135" s="25" t="n"/>
      <c r="G135" s="43" t="n"/>
      <c r="H135" s="1045" t="n"/>
      <c r="I135" s="25" t="n">
        <v>6422662</v>
      </c>
      <c r="J135" s="43" t="n"/>
      <c r="K135" s="1045" t="n"/>
      <c r="L135" s="25" t="n">
        <v>6422662</v>
      </c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A136" s="744" t="n"/>
      <c r="B136" s="25" t="inlineStr">
        <is>
          <t>Averias</t>
        </is>
      </c>
      <c r="C136" s="25" t="n"/>
      <c r="D136" s="43" t="n"/>
      <c r="E136" s="1045" t="n"/>
      <c r="F136" s="25" t="n"/>
      <c r="G136" s="43" t="n"/>
      <c r="H136" s="1045" t="n"/>
      <c r="I136" s="25" t="n">
        <v>228100</v>
      </c>
      <c r="J136" s="43" t="n"/>
      <c r="K136" s="1045" t="n"/>
      <c r="L136" s="25" t="n">
        <v>228100</v>
      </c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A137" s="744" t="n"/>
      <c r="B137" s="25" t="inlineStr">
        <is>
          <t>Compra Equipos de Oficina</t>
        </is>
      </c>
      <c r="C137" s="25" t="n"/>
      <c r="D137" s="43" t="n"/>
      <c r="E137" s="1045" t="n"/>
      <c r="F137" s="25" t="n"/>
      <c r="G137" s="43" t="n"/>
      <c r="H137" s="1045" t="n"/>
      <c r="I137" s="25" t="n">
        <v>6422662</v>
      </c>
      <c r="J137" s="43" t="n"/>
      <c r="K137" s="1045" t="n"/>
      <c r="L137" s="25" t="n">
        <v>6422662</v>
      </c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 thickBot="1">
      <c r="A138" s="744" t="n"/>
      <c r="B138" s="269" t="inlineStr">
        <is>
          <t>Otros</t>
        </is>
      </c>
      <c r="C138" s="269" t="n"/>
      <c r="D138" s="214" t="n"/>
      <c r="E138" s="1079" t="n"/>
      <c r="F138" s="269" t="n"/>
      <c r="G138" s="214" t="n"/>
      <c r="H138" s="1079" t="n"/>
      <c r="I138" s="269" t="n">
        <v>228100</v>
      </c>
      <c r="J138" s="214" t="n"/>
      <c r="K138" s="1079" t="n"/>
      <c r="L138" s="269" t="n">
        <v>228100</v>
      </c>
      <c r="M138" s="214" t="n"/>
      <c r="N138" s="1079" t="n"/>
      <c r="O138" s="269" t="n"/>
      <c r="P138" s="214" t="n"/>
      <c r="Q138" s="1079" t="n"/>
      <c r="R138" s="269" t="n"/>
      <c r="S138" s="214" t="n"/>
      <c r="T138" s="1079" t="n"/>
      <c r="U138" s="269" t="n"/>
      <c r="V138" s="214" t="n"/>
      <c r="W138" s="1079" t="n"/>
      <c r="X138" s="269" t="n"/>
      <c r="Y138" s="214" t="n"/>
      <c r="Z138" s="1079" t="n"/>
      <c r="AA138" s="269" t="n"/>
      <c r="AB138" s="214" t="n"/>
      <c r="AC138" s="1079" t="n"/>
      <c r="AD138" s="269" t="n"/>
      <c r="AE138" s="214" t="n"/>
      <c r="AF138" s="1079" t="n"/>
      <c r="AG138" s="269" t="n"/>
      <c r="AH138" s="214" t="n"/>
      <c r="AI138" s="1079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092" t="n"/>
    </row>
    <row r="139" ht="15" customHeight="1" s="986" thickBot="1" thickTop="1">
      <c r="A139" s="744" t="n"/>
      <c r="C139" s="2" t="n"/>
      <c r="D139" s="2" t="n"/>
      <c r="E139" s="1067" t="n"/>
      <c r="F139" s="2" t="n"/>
      <c r="G139" s="2" t="n"/>
      <c r="H139" s="1067" t="n"/>
      <c r="I139" s="2" t="n"/>
      <c r="J139" s="2" t="n"/>
      <c r="K139" s="1067" t="n"/>
      <c r="L139" s="2" t="n"/>
      <c r="M139" s="2" t="n"/>
      <c r="N139" s="1067" t="n"/>
      <c r="O139" s="2" t="n"/>
      <c r="P139" s="2" t="n"/>
      <c r="Q139" s="1067" t="n"/>
      <c r="R139" s="2" t="n"/>
      <c r="S139" s="2" t="n"/>
      <c r="T139" s="1067" t="n"/>
      <c r="U139" s="2" t="n"/>
      <c r="V139" s="2" t="n"/>
      <c r="W139" s="1067" t="n"/>
      <c r="X139" s="2" t="n"/>
      <c r="Y139" s="2" t="n"/>
      <c r="Z139" s="1067" t="n"/>
      <c r="AA139" s="2" t="n"/>
      <c r="AB139" s="2" t="n"/>
      <c r="AC139" s="1067" t="n"/>
      <c r="AD139" s="2" t="n"/>
      <c r="AE139" s="2" t="n"/>
      <c r="AF139" s="1067" t="n"/>
      <c r="AG139" s="2" t="n"/>
      <c r="AH139" s="2" t="n"/>
      <c r="AI139" s="1067" t="n"/>
      <c r="AJ139" s="2" t="n"/>
      <c r="AK139" s="2" t="n"/>
      <c r="AL139" s="64" t="n"/>
      <c r="AM139" s="151" t="n"/>
      <c r="AN139" s="2" t="n"/>
      <c r="AO139" s="1067" t="n"/>
    </row>
    <row r="140" ht="15" customHeight="1" s="986" thickBot="1" thickTop="1">
      <c r="A140" s="744" t="n"/>
      <c r="B140" s="526" t="inlineStr">
        <is>
          <t>TOTAL COSTO</t>
        </is>
      </c>
      <c r="C140" s="498">
        <f>C44+C83-C42</f>
        <v/>
      </c>
      <c r="D140" s="499" t="n"/>
      <c r="E140" s="1093" t="n"/>
      <c r="F140" s="498">
        <f>F44+F83-F42</f>
        <v/>
      </c>
      <c r="G140" s="499" t="n"/>
      <c r="H140" s="1093" t="n"/>
      <c r="I140" s="498">
        <f>I44+I83-I42</f>
        <v/>
      </c>
      <c r="J140" s="499" t="n"/>
      <c r="K140" s="1093" t="n"/>
      <c r="L140" s="498">
        <f>L44+L83-L42</f>
        <v/>
      </c>
      <c r="M140" s="499" t="n"/>
      <c r="N140" s="1093" t="n"/>
      <c r="O140" s="498">
        <f>O44+O83-O42</f>
        <v/>
      </c>
      <c r="P140" s="499" t="n"/>
      <c r="Q140" s="1093" t="n"/>
      <c r="R140" s="498">
        <f>R44+R83-R42</f>
        <v/>
      </c>
      <c r="S140" s="499" t="n"/>
      <c r="T140" s="1093" t="n"/>
      <c r="U140" s="498">
        <f>U44+U83-U42</f>
        <v/>
      </c>
      <c r="V140" s="499" t="n"/>
      <c r="W140" s="1093" t="n"/>
      <c r="X140" s="498">
        <f>X44+X83-X42</f>
        <v/>
      </c>
      <c r="Y140" s="499" t="n"/>
      <c r="Z140" s="1093" t="n"/>
      <c r="AA140" s="498">
        <f>AA44+AA83-AA42</f>
        <v/>
      </c>
      <c r="AB140" s="499" t="n"/>
      <c r="AC140" s="1093" t="n"/>
      <c r="AD140" s="498">
        <f>AD44+AD83-AD42</f>
        <v/>
      </c>
      <c r="AE140" s="499" t="n"/>
      <c r="AF140" s="1093" t="n"/>
      <c r="AG140" s="498">
        <f>AG44+AG83-AG42</f>
        <v/>
      </c>
      <c r="AH140" s="499" t="n"/>
      <c r="AI140" s="1093" t="n"/>
      <c r="AJ140" s="498">
        <f>AJ44+AJ83-AJ42</f>
        <v/>
      </c>
      <c r="AK140" s="499" t="n"/>
      <c r="AL140" s="512" t="n"/>
      <c r="AM140" s="587">
        <f>C140+F140+I140+L140+O140+R140+U140+X140+AA140+AD140+AG140+AJ140</f>
        <v/>
      </c>
      <c r="AN140" s="499" t="n"/>
      <c r="AO140" s="1094" t="n"/>
    </row>
    <row r="141" ht="15" customFormat="1" customHeight="1" s="108" thickBot="1" thickTop="1">
      <c r="A141" s="744" t="n"/>
      <c r="B141" s="355" t="n"/>
      <c r="C141" s="356" t="n"/>
      <c r="D141" s="356" t="n"/>
      <c r="E141" s="1095" t="n"/>
      <c r="F141" s="356" t="n"/>
      <c r="G141" s="356" t="n"/>
      <c r="H141" s="1095" t="n"/>
      <c r="I141" s="356" t="n"/>
      <c r="J141" s="356" t="n"/>
      <c r="K141" s="1095" t="n"/>
      <c r="L141" s="356" t="n"/>
      <c r="M141" s="356" t="n"/>
      <c r="N141" s="1095" t="n"/>
      <c r="O141" s="356" t="n"/>
      <c r="P141" s="356" t="n"/>
      <c r="Q141" s="1095" t="n"/>
      <c r="R141" s="356" t="n"/>
      <c r="S141" s="356" t="n"/>
      <c r="T141" s="1095" t="n"/>
      <c r="U141" s="356" t="n"/>
      <c r="V141" s="356" t="n"/>
      <c r="W141" s="1095" t="n"/>
      <c r="X141" s="356" t="n"/>
      <c r="Y141" s="356" t="n"/>
      <c r="Z141" s="1095" t="n"/>
      <c r="AA141" s="356" t="n"/>
      <c r="AB141" s="356" t="n"/>
      <c r="AC141" s="1095" t="n"/>
      <c r="AD141" s="356" t="n"/>
      <c r="AE141" s="356" t="n"/>
      <c r="AF141" s="1095" t="n"/>
      <c r="AG141" s="356" t="n"/>
      <c r="AH141" s="356" t="n"/>
      <c r="AI141" s="1095" t="n"/>
      <c r="AJ141" s="356" t="n"/>
      <c r="AK141" s="356" t="n"/>
      <c r="AL141" s="358" t="n"/>
      <c r="AM141" s="356" t="n"/>
      <c r="AN141" s="356" t="n"/>
      <c r="AO141" s="1095" t="n"/>
    </row>
    <row r="142" ht="15" customHeight="1" s="986" thickBot="1" thickTop="1">
      <c r="A142" s="744" t="inlineStr">
        <is>
          <t xml:space="preserve">73959504            </t>
        </is>
      </c>
      <c r="B142" s="531" t="inlineStr">
        <is>
          <t>(-) APROVECHAMIENTO</t>
        </is>
      </c>
      <c r="C142" s="532">
        <f>'[17]Hoja 1'!$C$267</f>
        <v/>
      </c>
      <c r="D142" s="533" t="n"/>
      <c r="E142" s="534" t="n"/>
      <c r="F142" s="532">
        <f>'[20]Hoja 1'!$C$276</f>
        <v/>
      </c>
      <c r="G142" s="533" t="n"/>
      <c r="H142" s="534" t="n"/>
      <c r="I142" s="532" t="n">
        <v>6422662</v>
      </c>
      <c r="J142" s="533" t="n"/>
      <c r="K142" s="534" t="n"/>
      <c r="L142" s="532" t="n">
        <v>6422662</v>
      </c>
      <c r="M142" s="533" t="n"/>
      <c r="N142" s="534" t="n"/>
      <c r="O142" s="532" t="n"/>
      <c r="P142" s="533" t="n"/>
      <c r="Q142" s="534" t="n"/>
      <c r="R142" s="532" t="n"/>
      <c r="S142" s="533" t="n"/>
      <c r="T142" s="534" t="n"/>
      <c r="U142" s="532" t="n"/>
      <c r="V142" s="533" t="n"/>
      <c r="W142" s="534" t="n"/>
      <c r="X142" s="532" t="n"/>
      <c r="Y142" s="533" t="n"/>
      <c r="Z142" s="534" t="n"/>
      <c r="AA142" s="532" t="n"/>
      <c r="AB142" s="533" t="n"/>
      <c r="AC142" s="534" t="n"/>
      <c r="AD142" s="532" t="n"/>
      <c r="AE142" s="533" t="n"/>
      <c r="AF142" s="534" t="n"/>
      <c r="AG142" s="532" t="n"/>
      <c r="AH142" s="533" t="n"/>
      <c r="AI142" s="534" t="n"/>
      <c r="AJ142" s="532" t="n"/>
      <c r="AK142" s="533" t="n"/>
      <c r="AL142" s="534" t="n"/>
      <c r="AM142" s="532">
        <f>C142+F142+I142+L142+O142+R142+U142+X142+AA142+AD142+AG142+AJ142</f>
        <v/>
      </c>
      <c r="AN142" s="533" t="n"/>
      <c r="AO142" s="611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45" t="n"/>
      <c r="AN143" s="145" t="n"/>
      <c r="AO143" s="1067" t="n"/>
    </row>
    <row r="144" ht="15" customHeight="1" s="986" thickBot="1" thickTop="1">
      <c r="B144" s="531" t="inlineStr">
        <is>
          <t>COSTO NETO</t>
        </is>
      </c>
      <c r="C144" s="532">
        <f>C140-C142</f>
        <v/>
      </c>
      <c r="D144" s="533" t="n"/>
      <c r="E144" s="534" t="n"/>
      <c r="F144" s="532">
        <f>F140-F142</f>
        <v/>
      </c>
      <c r="G144" s="533" t="n"/>
      <c r="H144" s="534" t="n"/>
      <c r="I144" s="532">
        <f>I140-I142</f>
        <v/>
      </c>
      <c r="J144" s="535" t="n"/>
      <c r="K144" s="536" t="n"/>
      <c r="L144" s="532">
        <f>L140-L142</f>
        <v/>
      </c>
      <c r="M144" s="533" t="n"/>
      <c r="N144" s="534" t="n"/>
      <c r="O144" s="532">
        <f>O140-O142</f>
        <v/>
      </c>
      <c r="P144" s="533" t="n"/>
      <c r="Q144" s="534" t="n"/>
      <c r="R144" s="532">
        <f>R140-R142</f>
        <v/>
      </c>
      <c r="S144" s="533" t="n"/>
      <c r="T144" s="534" t="n"/>
      <c r="U144" s="532">
        <f>U140-U142</f>
        <v/>
      </c>
      <c r="V144" s="533" t="n"/>
      <c r="W144" s="534" t="n"/>
      <c r="X144" s="532">
        <f>X140-X142</f>
        <v/>
      </c>
      <c r="Y144" s="533" t="n"/>
      <c r="Z144" s="534" t="n"/>
      <c r="AA144" s="532">
        <f>AA140-AA142</f>
        <v/>
      </c>
      <c r="AB144" s="533" t="n"/>
      <c r="AC144" s="534" t="n"/>
      <c r="AD144" s="532">
        <f>AD140-AD142</f>
        <v/>
      </c>
      <c r="AE144" s="533" t="n"/>
      <c r="AF144" s="534" t="n"/>
      <c r="AG144" s="532">
        <f>AG140-AG142</f>
        <v/>
      </c>
      <c r="AH144" s="533" t="n"/>
      <c r="AI144" s="534" t="n"/>
      <c r="AJ144" s="532">
        <f>AJ140-AJ142</f>
        <v/>
      </c>
      <c r="AK144" s="533" t="n"/>
      <c r="AL144" s="534" t="n"/>
      <c r="AM144" s="532">
        <f>AM140-AM142</f>
        <v/>
      </c>
      <c r="AN144" s="533" t="n"/>
      <c r="AO144" s="611" t="n"/>
    </row>
    <row r="145" ht="10.8" customHeight="1" s="986" thickTop="1"/>
    <row r="146">
      <c r="C146" s="473" t="n"/>
      <c r="F146" s="473" t="n"/>
      <c r="I146" s="547" t="n"/>
      <c r="L146" s="547" t="n"/>
    </row>
    <row r="147">
      <c r="C147" s="473" t="n"/>
      <c r="F147" s="473" t="n"/>
      <c r="I147" s="473">
        <f>I44+I83</f>
        <v/>
      </c>
      <c r="L147" s="473">
        <f>L44+L83+L142</f>
        <v/>
      </c>
      <c r="O147" s="473">
        <f>O44+O83+O142</f>
        <v/>
      </c>
      <c r="R147" s="473" t="n">
        <v>19662191.12</v>
      </c>
      <c r="U147" s="473" t="n">
        <v>28089824.81</v>
      </c>
      <c r="X147" s="473" t="n">
        <v>31306311.14</v>
      </c>
      <c r="AA147" s="473" t="n">
        <v>27551073.46</v>
      </c>
      <c r="AD147" s="473" t="n">
        <v>34584039</v>
      </c>
      <c r="AG147" s="473" t="n">
        <v>22674070.13</v>
      </c>
      <c r="AJ147" s="473" t="n">
        <v>20130035.96</v>
      </c>
    </row>
    <row r="148">
      <c r="C148" s="473" t="n"/>
      <c r="F148" s="473" t="n"/>
      <c r="I148" s="473" t="n">
        <v>62618199.48999999</v>
      </c>
      <c r="L148" s="473" t="n">
        <v>24767616.65</v>
      </c>
      <c r="O148" s="473" t="n"/>
      <c r="R148" s="473">
        <f>R44+R83+R142</f>
        <v/>
      </c>
      <c r="U148" s="473">
        <f>U44+U83+U142</f>
        <v/>
      </c>
      <c r="X148" s="473">
        <f>X44+X83+X142</f>
        <v/>
      </c>
      <c r="AA148" s="473">
        <f>AA44+AA83+AA142</f>
        <v/>
      </c>
      <c r="AD148" s="473">
        <f>AD44+AD83+AD142</f>
        <v/>
      </c>
      <c r="AG148" s="473">
        <f>AG44+AG83+AG142</f>
        <v/>
      </c>
      <c r="AJ148" s="473">
        <f>AJ44+AJ83+AJ142</f>
        <v/>
      </c>
    </row>
    <row r="149">
      <c r="I149" s="993">
        <f>I147-I148</f>
        <v/>
      </c>
      <c r="L149" s="993">
        <f>L147-L148</f>
        <v/>
      </c>
      <c r="O149" s="993">
        <f>O147-O148</f>
        <v/>
      </c>
      <c r="R149" s="993">
        <f>R147-R148</f>
        <v/>
      </c>
      <c r="U149" s="993">
        <f>U147-U148</f>
        <v/>
      </c>
      <c r="X149" s="993">
        <f>X147-X148</f>
        <v/>
      </c>
      <c r="AA149" s="993">
        <f>AA147-AA148</f>
        <v/>
      </c>
      <c r="AC149" s="993" t="n"/>
      <c r="AD149" s="993">
        <f>AD147-AD148</f>
        <v/>
      </c>
      <c r="AG149" s="993">
        <f>AG147-AG148</f>
        <v/>
      </c>
      <c r="AJ149" s="993">
        <f>AJ147-AJ148</f>
        <v/>
      </c>
    </row>
    <row r="150">
      <c r="AD150" s="993" t="n">
        <v>-3329832</v>
      </c>
      <c r="AE150" s="993" t="inlineStr">
        <is>
          <t>manip + gas chvs</t>
        </is>
      </c>
    </row>
    <row r="151"/>
    <row r="152"/>
    <row r="153"/>
    <row r="154"/>
    <row r="155"/>
    <row r="156">
      <c r="C156" s="792">
        <f>C13/C144</f>
        <v/>
      </c>
      <c r="D156" s="792" t="n"/>
      <c r="E156" s="792" t="n"/>
      <c r="F156" s="792">
        <f>F13/F144</f>
        <v/>
      </c>
      <c r="G156" s="792" t="n"/>
      <c r="H156" s="792" t="n"/>
      <c r="I156" s="792">
        <f>I13/I144</f>
        <v/>
      </c>
      <c r="J156" s="792" t="n"/>
      <c r="K156" s="792" t="n"/>
      <c r="L156" s="792">
        <f>L13/L144</f>
        <v/>
      </c>
      <c r="M156" s="792" t="n"/>
      <c r="N156" s="792" t="n"/>
      <c r="O156" s="792" t="n"/>
      <c r="P156" s="792" t="n"/>
      <c r="Q156" s="792" t="n"/>
      <c r="R156" s="792">
        <f>R13/R144</f>
        <v/>
      </c>
      <c r="S156" s="792" t="n"/>
      <c r="T156" s="792" t="n"/>
      <c r="U156" s="792" t="n"/>
      <c r="V156" s="792" t="n"/>
      <c r="W156" s="792" t="n"/>
      <c r="X156" s="792" t="n"/>
      <c r="Y156" s="792" t="n"/>
      <c r="Z156" s="792" t="n"/>
      <c r="AA156" s="792" t="n"/>
      <c r="AB156" s="792" t="n"/>
      <c r="AC156" s="792" t="n"/>
      <c r="AD156" s="792" t="n"/>
      <c r="AE156" s="792" t="n"/>
      <c r="AF156" s="792" t="n"/>
      <c r="AG156" s="792" t="n"/>
      <c r="AH156" s="792" t="n"/>
      <c r="AI156" s="792" t="n"/>
      <c r="AJ156" s="792" t="n"/>
      <c r="AK156" s="792" t="n"/>
      <c r="AL156" s="792" t="n"/>
      <c r="AM156" s="792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993">
        <f>(32*3)+22+31+17</f>
        <v/>
      </c>
      <c r="N197" s="1033" t="inlineStr">
        <is>
          <t>Bolsos</t>
        </is>
      </c>
    </row>
    <row r="198">
      <c r="M198" s="993">
        <f>20*3</f>
        <v/>
      </c>
      <c r="N198" s="1033" t="inlineStr">
        <is>
          <t>perrada</t>
        </is>
      </c>
    </row>
    <row r="199">
      <c r="M199" s="993" t="n">
        <v>8</v>
      </c>
      <c r="N199" s="1033" t="inlineStr">
        <is>
          <t>devuelta</t>
        </is>
      </c>
    </row>
    <row r="200">
      <c r="M200" s="993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7"/>
    <col width="8.6640625" customWidth="1" style="1033" min="38" max="38"/>
    <col width="15.6640625" customWidth="1" style="993" min="39" max="39"/>
    <col width="8.6640625" customWidth="1" style="993" min="40" max="40"/>
    <col width="8.6640625" customWidth="1" style="1033" min="41" max="41"/>
    <col width="7.44140625" customWidth="1" style="2" min="42" max="42"/>
    <col width="15.33203125" customWidth="1" style="993" min="43" max="43"/>
    <col width="7.33203125" customWidth="1" style="993" min="44" max="44"/>
    <col width="7.33203125" customWidth="1" style="2" min="45" max="45"/>
    <col width="11.44140625" customWidth="1" style="2" min="46" max="56"/>
    <col width="11.44140625" customWidth="1" style="2" min="57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PRESUPUESTO  SANTA ISABEL DE HUNGRIA 2024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614" t="n"/>
      <c r="AO2" s="1096" t="n"/>
      <c r="AQ2" s="2" t="n"/>
      <c r="AR2" s="2" t="n"/>
    </row>
    <row r="3" ht="21.75" customHeight="1" s="986" thickBot="1" thickTop="1">
      <c r="B3" s="523" t="inlineStr">
        <is>
          <t xml:space="preserve">DIAS DE ATENCIÓN </t>
        </is>
      </c>
      <c r="C3" s="479" t="n"/>
      <c r="D3" s="480" t="n"/>
      <c r="E3" s="1035" t="n"/>
      <c r="F3" s="479" t="n"/>
      <c r="G3" s="480" t="n"/>
      <c r="H3" s="1035" t="n"/>
      <c r="I3" s="479" t="n">
        <v>18</v>
      </c>
      <c r="J3" s="480" t="n"/>
      <c r="K3" s="1035" t="n"/>
      <c r="L3" s="479" t="n">
        <v>15</v>
      </c>
      <c r="M3" s="480" t="n"/>
      <c r="N3" s="1035" t="n"/>
      <c r="O3" s="479" t="n">
        <v>21</v>
      </c>
      <c r="P3" s="480" t="n"/>
      <c r="Q3" s="1035" t="n"/>
      <c r="R3" s="479" t="n">
        <v>20</v>
      </c>
      <c r="S3" s="480" t="n"/>
      <c r="T3" s="1035" t="n"/>
      <c r="U3" s="479" t="n">
        <v>6</v>
      </c>
      <c r="V3" s="480" t="n"/>
      <c r="W3" s="1035" t="n"/>
      <c r="X3" s="479" t="n">
        <v>21</v>
      </c>
      <c r="Y3" s="480" t="n"/>
      <c r="Z3" s="1035" t="n"/>
      <c r="AA3" s="479" t="n">
        <v>21</v>
      </c>
      <c r="AB3" s="480" t="n"/>
      <c r="AC3" s="1035" t="n"/>
      <c r="AD3" s="479" t="n">
        <v>16</v>
      </c>
      <c r="AE3" s="480" t="n"/>
      <c r="AF3" s="1035" t="n"/>
      <c r="AG3" s="479" t="n">
        <v>20</v>
      </c>
      <c r="AH3" s="480" t="n"/>
      <c r="AI3" s="1035" t="n"/>
      <c r="AJ3" s="479" t="n"/>
      <c r="AK3" s="480" t="n"/>
      <c r="AL3" s="1035" t="n"/>
      <c r="AM3" s="573">
        <f>SUM(I3:AL3)</f>
        <v/>
      </c>
      <c r="AN3" s="574" t="n"/>
      <c r="AO3" s="1036" t="n"/>
      <c r="AQ3" s="623" t="n"/>
      <c r="AR3" s="623" t="n"/>
      <c r="AS3" s="623" t="n"/>
    </row>
    <row r="4" ht="24.75" customFormat="1" customHeight="1" s="215" thickBot="1" thickTop="1">
      <c r="A4" s="227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748" t="inlineStr">
        <is>
          <t>REAL 2024</t>
        </is>
      </c>
      <c r="AR4" s="624" t="n"/>
      <c r="AS4" s="624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41" t="n"/>
      <c r="F5" s="257" t="n"/>
      <c r="G5" s="89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1041" t="n"/>
      <c r="AM5" s="261">
        <f>C5+F5+I5+L5+O5+R5+U5+X5+AA5+AD5+AG5+AJ5</f>
        <v/>
      </c>
      <c r="AN5" s="89" t="n"/>
      <c r="AO5" s="1042" t="n"/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89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1045" t="n"/>
      <c r="AM6" s="205">
        <f>C6+F6+I6+L6+O6+R6+U6+X6+AA6+AD6+AG6+AJ6</f>
        <v/>
      </c>
      <c r="AN6" s="43" t="n"/>
      <c r="AO6" s="1046" t="n"/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89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1045" t="n"/>
      <c r="AM7" s="205">
        <f>C7+F7+I7+L7+O7+R7+U7+X7+AA7+AD7+AG7+AJ7</f>
        <v/>
      </c>
      <c r="AN7" s="43" t="n"/>
      <c r="AO7" s="1046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45" t="n"/>
      <c r="F8" s="25" t="n"/>
      <c r="G8" s="43" t="n"/>
      <c r="H8" s="1045" t="n"/>
      <c r="I8" s="25" t="n"/>
      <c r="J8" s="43" t="n"/>
      <c r="K8" s="1045" t="n"/>
      <c r="L8" s="25" t="n"/>
      <c r="M8" s="43" t="n"/>
      <c r="N8" s="1045" t="n"/>
      <c r="O8" s="25" t="n"/>
      <c r="P8" s="43" t="n"/>
      <c r="Q8" s="1045" t="n"/>
      <c r="R8" s="25" t="n"/>
      <c r="S8" s="43" t="n"/>
      <c r="T8" s="1045" t="n"/>
      <c r="U8" s="25" t="n"/>
      <c r="V8" s="43" t="n"/>
      <c r="W8" s="1045" t="n"/>
      <c r="X8" s="25" t="n"/>
      <c r="Y8" s="43" t="n"/>
      <c r="Z8" s="1045" t="n"/>
      <c r="AA8" s="25" t="n"/>
      <c r="AB8" s="43" t="n"/>
      <c r="AC8" s="1045" t="n"/>
      <c r="AD8" s="25" t="n"/>
      <c r="AE8" s="43" t="n"/>
      <c r="AF8" s="1045" t="n"/>
      <c r="AG8" s="25" t="n"/>
      <c r="AH8" s="43" t="n"/>
      <c r="AI8" s="1045" t="n"/>
      <c r="AJ8" s="74" t="n"/>
      <c r="AK8" s="43" t="n"/>
      <c r="AL8" s="1045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1045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1045" t="n"/>
      <c r="AM10" s="205" t="n"/>
      <c r="AN10" s="43" t="n"/>
      <c r="AO10" s="1046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1047" t="n"/>
      <c r="AM11" s="206" t="n"/>
      <c r="AN11" s="84" t="n"/>
      <c r="AO11" s="1048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104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 t="n"/>
      <c r="AK13" s="486" t="n"/>
      <c r="AL13" s="1051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 t="n"/>
      <c r="AK14" s="3" t="n"/>
      <c r="AL14" s="1053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</row>
    <row r="15" ht="15" customHeight="1" s="986">
      <c r="B15" s="16" t="inlineStr">
        <is>
          <t>INDUSTRIAS MANUFACTURERAS</t>
        </is>
      </c>
      <c r="C15" s="49">
        <f>C16+C17+C18+C19+C20</f>
        <v/>
      </c>
      <c r="D15" s="3" t="n"/>
      <c r="E15" s="1053" t="n"/>
      <c r="F15" s="49">
        <f>F16+F17+F18+F19+F20</f>
        <v/>
      </c>
      <c r="G15" s="3" t="n"/>
      <c r="H15" s="1053">
        <f>F15/F15</f>
        <v/>
      </c>
      <c r="I15" s="49">
        <f>I16+I17+I18+I19+I20</f>
        <v/>
      </c>
      <c r="J15" s="3" t="n"/>
      <c r="K15" s="1053">
        <f>I15/I15</f>
        <v/>
      </c>
      <c r="L15" s="49">
        <f>L16+L17+L18+L19+L20</f>
        <v/>
      </c>
      <c r="M15" s="3" t="n"/>
      <c r="N15" s="1053">
        <f>L15/L15</f>
        <v/>
      </c>
      <c r="O15" s="49">
        <f>O16+O17+O18+O19+O20</f>
        <v/>
      </c>
      <c r="P15" s="3" t="n"/>
      <c r="Q15" s="1053">
        <f>O15/O15</f>
        <v/>
      </c>
      <c r="R15" s="49">
        <f>R16+R17+R18+R19+R20</f>
        <v/>
      </c>
      <c r="S15" s="3" t="n"/>
      <c r="T15" s="1053">
        <f>R15/R15</f>
        <v/>
      </c>
      <c r="U15" s="49">
        <f>U16+U17+U18+U19+U20</f>
        <v/>
      </c>
      <c r="V15" s="3" t="n"/>
      <c r="W15" s="1053" t="n"/>
      <c r="X15" s="49">
        <f>X16+X17+X18+X19+X20</f>
        <v/>
      </c>
      <c r="Y15" s="3" t="n"/>
      <c r="Z15" s="1053">
        <f>X15/X15</f>
        <v/>
      </c>
      <c r="AA15" s="49">
        <f>AA16+AA17+AA18+AA19+AA20</f>
        <v/>
      </c>
      <c r="AB15" s="3" t="n"/>
      <c r="AC15" s="1053" t="n"/>
      <c r="AD15" s="49">
        <f>AD16+AD17+AD18+AD19+AD20</f>
        <v/>
      </c>
      <c r="AE15" s="96" t="n"/>
      <c r="AF15" s="1053" t="n"/>
      <c r="AG15" s="49">
        <f>AG16+AG17+AG18+AG19+AG20</f>
        <v/>
      </c>
      <c r="AH15" s="3" t="n"/>
      <c r="AI15" s="1053" t="n"/>
      <c r="AJ15" s="49" t="n"/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</row>
    <row r="16" ht="15" customHeight="1" s="986">
      <c r="B16" s="258" t="inlineStr">
        <is>
          <t>COMPLEMENTO INDUSTRIALIZADO (Fac)</t>
        </is>
      </c>
      <c r="C16" s="103" t="n"/>
      <c r="D16" s="79" t="n"/>
      <c r="E16" s="1055" t="n"/>
      <c r="F16" s="103" t="n"/>
      <c r="G16" s="79">
        <f>F16/F5</f>
        <v/>
      </c>
      <c r="H16" s="1055" t="n"/>
      <c r="I16" s="103" t="n"/>
      <c r="J16" s="79">
        <f>I16/I5</f>
        <v/>
      </c>
      <c r="K16" s="1055" t="n"/>
      <c r="L16" s="103" t="n"/>
      <c r="M16" s="79">
        <f>L16/L5</f>
        <v/>
      </c>
      <c r="N16" s="1055" t="n"/>
      <c r="O16" s="103" t="n"/>
      <c r="P16" s="79" t="n"/>
      <c r="Q16" s="1055" t="n"/>
      <c r="R16" s="103" t="n"/>
      <c r="S16" s="1097">
        <f>R16/R5</f>
        <v/>
      </c>
      <c r="T16" s="1055" t="n"/>
      <c r="U16" s="103" t="n"/>
      <c r="V16" s="79" t="n"/>
      <c r="W16" s="1055" t="n"/>
      <c r="X16" s="103" t="n"/>
      <c r="Y16" s="79">
        <f>X16/X5</f>
        <v/>
      </c>
      <c r="Z16" s="1055" t="n"/>
      <c r="AA16" s="103" t="n"/>
      <c r="AB16" s="79">
        <f>AA16/AA5</f>
        <v/>
      </c>
      <c r="AC16" s="1055" t="n"/>
      <c r="AD16" s="103" t="n"/>
      <c r="AE16" s="79">
        <f>AD16/AD5</f>
        <v/>
      </c>
      <c r="AF16" s="1055" t="n"/>
      <c r="AG16" s="103" t="n"/>
      <c r="AH16" s="79">
        <f>AG16/AG5</f>
        <v/>
      </c>
      <c r="AI16" s="1055" t="n"/>
      <c r="AJ16" s="103" t="n"/>
      <c r="AK16" s="79" t="n"/>
      <c r="AL16" s="1055" t="n"/>
      <c r="AM16" s="212">
        <f>C16+F16+I16+L16+O16+R16+U16+X16+AA16+AD16+AG16+AJ16</f>
        <v/>
      </c>
      <c r="AN16" s="79" t="n"/>
      <c r="AO16" s="1056">
        <f>AM16/AM$13</f>
        <v/>
      </c>
      <c r="AQ16" s="81" t="n"/>
      <c r="AR16" s="81">
        <f>AQ16/AQ5</f>
        <v/>
      </c>
      <c r="AS16" s="81" t="n"/>
    </row>
    <row r="17" ht="15" customHeight="1" s="986">
      <c r="B17" s="258" t="n"/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1045" t="n"/>
      <c r="AM17" s="205">
        <f>C17+F17+I17+L17+O17+R17+U17+X17+AA17+AD17+AG17+AJ17</f>
        <v/>
      </c>
      <c r="AN17" s="43" t="n"/>
      <c r="AO17" s="1046" t="n"/>
      <c r="AQ17" s="24" t="n"/>
      <c r="AR17" s="24" t="n"/>
      <c r="AS17" s="24" t="n"/>
    </row>
    <row r="18" ht="15" customHeight="1" s="986">
      <c r="B18" s="258" t="n"/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1045" t="n"/>
      <c r="AM18" s="205">
        <f>C18+F18+I18+L18+O18+R18+U18+X18+AA18+AD18+AG18+AJ18</f>
        <v/>
      </c>
      <c r="AN18" s="43" t="n"/>
      <c r="AO18" s="1046" t="n"/>
      <c r="AQ18" s="24" t="n"/>
      <c r="AR18" s="24" t="n"/>
      <c r="AS18" s="24" t="n"/>
    </row>
    <row r="19" ht="15" customHeight="1" s="986">
      <c r="B19" s="258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1045" t="n"/>
      <c r="AM19" s="205">
        <f>C19+F19+I19+L19+O19+R19+U19+X19+AA19+AD19+AG19+AJ19</f>
        <v/>
      </c>
      <c r="AN19" s="43" t="n"/>
      <c r="AO19" s="1046" t="n"/>
      <c r="AQ19" s="24" t="n"/>
      <c r="AR19" s="43" t="n"/>
      <c r="AS19" s="24" t="n"/>
    </row>
    <row r="20" ht="15" customHeight="1" s="986">
      <c r="B20" s="258" t="inlineStr">
        <is>
          <t>NOVEDADES (Fac)</t>
        </is>
      </c>
      <c r="C20" s="75" t="n"/>
      <c r="D20" s="43" t="n"/>
      <c r="E20" s="1045" t="n"/>
      <c r="F20" s="75" t="n"/>
      <c r="G20" s="43" t="n"/>
      <c r="H20" s="1045" t="n"/>
      <c r="I20" s="75" t="n"/>
      <c r="J20" s="43">
        <f>I20/I9</f>
        <v/>
      </c>
      <c r="K20" s="1045" t="n"/>
      <c r="L20" s="75" t="n"/>
      <c r="M20" s="43">
        <f>L20/L9</f>
        <v/>
      </c>
      <c r="N20" s="1045" t="n"/>
      <c r="O20" s="75" t="n"/>
      <c r="P20" s="43">
        <f>O20/O9</f>
        <v/>
      </c>
      <c r="Q20" s="1045" t="n"/>
      <c r="R20" s="75" t="n"/>
      <c r="S20" s="43">
        <f>R20/R9</f>
        <v/>
      </c>
      <c r="T20" s="1045" t="n"/>
      <c r="U20" s="75" t="n"/>
      <c r="V20" s="43">
        <f>U20/U9</f>
        <v/>
      </c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>
        <f>AG9*2497</f>
        <v/>
      </c>
      <c r="AH20" s="43" t="n"/>
      <c r="AI20" s="1045" t="n"/>
      <c r="AJ20" s="75" t="n"/>
      <c r="AK20" s="43" t="n"/>
      <c r="AL20" s="1045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</row>
    <row r="21" hidden="1" ht="10.2" customHeight="1" s="986">
      <c r="B21" s="30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1045" t="n"/>
      <c r="AM21" s="205" t="n"/>
      <c r="AN21" s="43" t="n"/>
      <c r="AO21" s="1046" t="n"/>
      <c r="AQ21" s="24" t="n"/>
      <c r="AR21" s="24" t="n"/>
      <c r="AS21" s="24" t="n"/>
    </row>
    <row r="22" hidden="1" ht="10.2" customHeight="1" s="986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1057" t="n"/>
      <c r="AM22" s="97" t="n"/>
      <c r="AN22" s="42" t="n"/>
      <c r="AO22" s="1058" t="n"/>
      <c r="AQ22" s="23" t="n"/>
      <c r="AR22" s="23" t="n"/>
      <c r="AS22" s="23" t="n"/>
    </row>
    <row r="23" hidden="1" outlineLevel="1" ht="10.2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>
        <f>AD24</f>
        <v/>
      </c>
      <c r="AE23" s="3" t="n"/>
      <c r="AF23" s="1053" t="n"/>
      <c r="AG23" s="49">
        <f>AG24</f>
        <v/>
      </c>
      <c r="AH23" s="3" t="n"/>
      <c r="AI23" s="1053" t="n"/>
      <c r="AJ23" s="49" t="n"/>
      <c r="AK23" s="3" t="n"/>
      <c r="AL23" s="1053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</row>
    <row r="24" hidden="1" outlineLevel="1" ht="10.2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X25+X26+X27</f>
        <v/>
      </c>
      <c r="Y24" s="3" t="n"/>
      <c r="Z24" s="1053" t="n"/>
      <c r="AA24" s="49">
        <f>AA25+AA26+AA27</f>
        <v/>
      </c>
      <c r="AB24" s="3" t="n"/>
      <c r="AC24" s="1053" t="n"/>
      <c r="AD24" s="49">
        <f>AD25+AD26+AD27</f>
        <v/>
      </c>
      <c r="AE24" s="3" t="n"/>
      <c r="AF24" s="1053" t="n"/>
      <c r="AG24" s="49">
        <f>AG25+AG26+AG27</f>
        <v/>
      </c>
      <c r="AH24" s="3" t="n"/>
      <c r="AI24" s="1053" t="n"/>
      <c r="AJ24" s="49" t="n"/>
      <c r="AK24" s="3" t="n"/>
      <c r="AL24" s="1053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</row>
    <row r="25" hidden="1" outlineLevel="1" ht="10.2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1059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</row>
    <row r="26" hidden="1" outlineLevel="1" ht="10.2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1059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</row>
    <row r="27" hidden="1" outlineLevel="1" ht="10.2" customHeight="1" s="986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1059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 t="n"/>
      <c r="AK28" s="3" t="n"/>
      <c r="AL28" s="1053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 t="n"/>
      <c r="R29" s="49">
        <f>SUM(R30:R35)</f>
        <v/>
      </c>
      <c r="S29" s="3" t="n"/>
      <c r="T29" s="1053" t="n"/>
      <c r="U29" s="49">
        <f>SUM(U30:U35)</f>
        <v/>
      </c>
      <c r="V29" s="3" t="n"/>
      <c r="W29" s="1053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053" t="n"/>
      <c r="AD29" s="49">
        <f>SUM(AD30:AD35)</f>
        <v/>
      </c>
      <c r="AE29" s="3" t="n"/>
      <c r="AF29" s="1053" t="n"/>
      <c r="AG29" s="49">
        <f>SUM(AG30:AG35)</f>
        <v/>
      </c>
      <c r="AH29" s="3" t="n"/>
      <c r="AI29" s="1053" t="n"/>
      <c r="AJ29" s="49" t="n"/>
      <c r="AK29" s="3" t="n"/>
      <c r="AL29" s="1053" t="n"/>
      <c r="AM29" s="16">
        <f>C29+F29+I29+L29+O29+R29+U29+X29+AA29+AD29+AG29+AJ29</f>
        <v/>
      </c>
      <c r="AN29" s="3" t="n"/>
      <c r="AO29" s="1054">
        <f>AM29/AM13</f>
        <v/>
      </c>
      <c r="AQ29" s="17">
        <f>SUM(AQ30:AQ35)</f>
        <v/>
      </c>
      <c r="AR29" s="17" t="n"/>
      <c r="AS29" s="17" t="n"/>
    </row>
    <row r="30" outlineLevel="1" ht="15" customHeight="1" s="986">
      <c r="B30" s="262" t="inlineStr">
        <is>
          <t>ICA (0.77%)</t>
        </is>
      </c>
      <c r="C30" s="1061">
        <f>C15*0.77%</f>
        <v/>
      </c>
      <c r="D30" s="79" t="n"/>
      <c r="E30" s="1055" t="n"/>
      <c r="F30" s="1061">
        <f>F13*0.77%</f>
        <v/>
      </c>
      <c r="G30" s="79" t="n"/>
      <c r="H30" s="1055" t="n"/>
      <c r="I30" s="1061">
        <f>I13*0.77%</f>
        <v/>
      </c>
      <c r="J30" s="79" t="n"/>
      <c r="K30" s="1055" t="n"/>
      <c r="L30" s="1061">
        <f>L13*0.77%</f>
        <v/>
      </c>
      <c r="M30" s="79" t="n"/>
      <c r="N30" s="1055" t="n"/>
      <c r="O30" s="1061">
        <f>O13*0.77%</f>
        <v/>
      </c>
      <c r="P30" s="79" t="n"/>
      <c r="Q30" s="1055" t="n"/>
      <c r="R30" s="1061">
        <f>R13*0.77%</f>
        <v/>
      </c>
      <c r="S30" s="79" t="n"/>
      <c r="T30" s="1055" t="n"/>
      <c r="U30" s="1061">
        <f>U13*0.77%</f>
        <v/>
      </c>
      <c r="V30" s="79" t="n"/>
      <c r="W30" s="1055" t="n"/>
      <c r="X30" s="1061" t="n"/>
      <c r="Y30" s="79" t="n"/>
      <c r="Z30" s="1055" t="n"/>
      <c r="AA30" s="1061">
        <f>AA13*0.77%</f>
        <v/>
      </c>
      <c r="AB30" s="79" t="n"/>
      <c r="AC30" s="1055" t="n"/>
      <c r="AD30" s="1061">
        <f>AD13*0.77%</f>
        <v/>
      </c>
      <c r="AE30" s="79" t="n"/>
      <c r="AF30" s="1055" t="n"/>
      <c r="AG30" s="1061">
        <f>AG13*0.77%</f>
        <v/>
      </c>
      <c r="AH30" s="79" t="n"/>
      <c r="AI30" s="1055" t="n"/>
      <c r="AJ30" s="1061" t="n"/>
      <c r="AK30" s="79" t="n"/>
      <c r="AL30" s="1055" t="n"/>
      <c r="AM30" s="212">
        <f>C30+F30+I30+L30+O30+R30+U30+X30+AA30+AD30+AG30+AJ30</f>
        <v/>
      </c>
      <c r="AN30" s="79" t="n"/>
      <c r="AO30" s="1056" t="n"/>
      <c r="AQ30" s="739" t="n"/>
      <c r="AR30" s="739" t="n"/>
      <c r="AS30" s="739" t="n"/>
    </row>
    <row r="31" outlineLevel="1" ht="15" customHeight="1" s="986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1045" t="n"/>
      <c r="AM31" s="205">
        <f>C31+F31+I31+L31+O31+R31+U31+X31+AA31+AD31+AG31+AJ31</f>
        <v/>
      </c>
      <c r="AN31" s="43" t="n"/>
      <c r="AO31" s="1046" t="n"/>
      <c r="AQ31" s="740" t="n"/>
      <c r="AR31" s="740" t="n"/>
      <c r="AS31" s="740" t="n"/>
    </row>
    <row r="32" outlineLevel="1" ht="15" customHeight="1" s="986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1045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</row>
    <row r="33" hidden="1" outlineLevel="1" ht="15" customHeight="1" s="986">
      <c r="B33" s="105" t="n"/>
      <c r="C33" s="1062" t="n"/>
      <c r="D33" s="43" t="n"/>
      <c r="E33" s="1045" t="n"/>
      <c r="F33" s="1062" t="n"/>
      <c r="G33" s="43" t="n"/>
      <c r="H33" s="1045" t="n"/>
      <c r="I33" s="1062" t="n"/>
      <c r="J33" s="43" t="n"/>
      <c r="K33" s="1045" t="n"/>
      <c r="L33" s="1062" t="n"/>
      <c r="M33" s="43" t="n"/>
      <c r="N33" s="1045" t="n"/>
      <c r="O33" s="1062" t="n"/>
      <c r="P33" s="43" t="n"/>
      <c r="Q33" s="1045" t="n"/>
      <c r="R33" s="1062" t="n"/>
      <c r="S33" s="43" t="n"/>
      <c r="T33" s="1045" t="n"/>
      <c r="U33" s="1062" t="n"/>
      <c r="V33" s="43" t="n"/>
      <c r="W33" s="1045" t="n"/>
      <c r="X33" s="1062" t="n"/>
      <c r="Y33" s="43" t="n"/>
      <c r="Z33" s="1045" t="n"/>
      <c r="AA33" s="1062" t="n"/>
      <c r="AB33" s="43" t="n"/>
      <c r="AC33" s="1045" t="n"/>
      <c r="AD33" s="1062" t="n"/>
      <c r="AE33" s="43" t="n"/>
      <c r="AF33" s="1045" t="n"/>
      <c r="AG33" s="1062" t="n"/>
      <c r="AH33" s="43" t="n"/>
      <c r="AI33" s="1045" t="n"/>
      <c r="AJ33" s="1062" t="n"/>
      <c r="AK33" s="43" t="n"/>
      <c r="AL33" s="1045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</row>
    <row r="34" hidden="1" outlineLevel="1" ht="15" customHeight="1" s="986" thickBot="1">
      <c r="B34" s="105" t="n"/>
      <c r="C34" s="1062" t="n"/>
      <c r="D34" s="43" t="n"/>
      <c r="E34" s="1045" t="n"/>
      <c r="F34" s="1062" t="n"/>
      <c r="G34" s="43" t="n"/>
      <c r="H34" s="1045" t="n"/>
      <c r="I34" s="1062" t="n"/>
      <c r="J34" s="43" t="n"/>
      <c r="K34" s="1045" t="n"/>
      <c r="L34" s="1062" t="n"/>
      <c r="M34" s="43" t="n"/>
      <c r="N34" s="1045" t="n"/>
      <c r="O34" s="1062" t="n"/>
      <c r="P34" s="43" t="n"/>
      <c r="Q34" s="1045" t="n"/>
      <c r="R34" s="1062" t="n"/>
      <c r="S34" s="43" t="n"/>
      <c r="T34" s="1045" t="n"/>
      <c r="U34" s="1062" t="n"/>
      <c r="V34" s="43" t="n"/>
      <c r="W34" s="1045" t="n"/>
      <c r="X34" s="1062" t="n"/>
      <c r="Y34" s="43" t="n"/>
      <c r="Z34" s="1045" t="n"/>
      <c r="AA34" s="1062" t="n"/>
      <c r="AB34" s="43" t="n"/>
      <c r="AC34" s="1045" t="n"/>
      <c r="AD34" s="1062" t="n"/>
      <c r="AE34" s="43" t="n"/>
      <c r="AF34" s="1045" t="n"/>
      <c r="AG34" s="1062" t="n"/>
      <c r="AH34" s="43" t="n"/>
      <c r="AI34" s="1045" t="n"/>
      <c r="AJ34" s="1062" t="n"/>
      <c r="AK34" s="43" t="n"/>
      <c r="AL34" s="1045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</row>
    <row r="35" hidden="1" outlineLevel="1" ht="15" customHeight="1" s="986" thickBot="1">
      <c r="B35" s="335" t="n"/>
      <c r="C35" s="1062" t="n"/>
      <c r="D35" s="92" t="n"/>
      <c r="E35" s="1063" t="n"/>
      <c r="F35" s="1062" t="n"/>
      <c r="G35" s="92" t="n"/>
      <c r="H35" s="1063" t="n"/>
      <c r="I35" s="1062" t="n"/>
      <c r="J35" s="92" t="n"/>
      <c r="K35" s="1063" t="n"/>
      <c r="L35" s="1062" t="n"/>
      <c r="M35" s="92" t="n"/>
      <c r="N35" s="1063" t="n"/>
      <c r="O35" s="1062" t="n"/>
      <c r="P35" s="92" t="n"/>
      <c r="Q35" s="1063" t="n"/>
      <c r="R35" s="1062" t="n"/>
      <c r="S35" s="92" t="n"/>
      <c r="T35" s="1063" t="n"/>
      <c r="U35" s="1062" t="n"/>
      <c r="V35" s="92" t="n"/>
      <c r="W35" s="1063" t="n"/>
      <c r="X35" s="1062" t="n"/>
      <c r="Y35" s="92" t="n"/>
      <c r="Z35" s="1063" t="n"/>
      <c r="AA35" s="1062" t="n"/>
      <c r="AB35" s="92" t="n"/>
      <c r="AC35" s="1063" t="n"/>
      <c r="AD35" s="1062" t="n"/>
      <c r="AE35" s="92" t="n"/>
      <c r="AF35" s="1063" t="n"/>
      <c r="AG35" s="1062" t="n"/>
      <c r="AH35" s="92" t="n"/>
      <c r="AI35" s="1063" t="n"/>
      <c r="AJ35" s="1062" t="n"/>
      <c r="AK35" s="92" t="n"/>
      <c r="AL35" s="1063" t="n"/>
      <c r="AM35" s="284">
        <f>C35+F35+I35+L35+O35+R35+U35+X35+AA35+AD35+AG35+AJ35</f>
        <v/>
      </c>
      <c r="AN35" s="92" t="n"/>
      <c r="AO35" s="1064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98" t="n"/>
      <c r="AA36" s="25" t="n"/>
      <c r="AB36" s="43" t="n"/>
      <c r="AC36" s="1098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1045" t="n"/>
      <c r="AM36" s="25" t="n"/>
      <c r="AN36" s="43" t="n"/>
      <c r="AO36" s="1046" t="n"/>
      <c r="AP36" s="2" t="n"/>
      <c r="AQ36" s="24" t="n"/>
      <c r="AR36" s="24" t="n"/>
      <c r="AS36" s="24" t="n"/>
    </row>
    <row r="37" hidden="1" outlineLevel="1" ht="15" customHeight="1" s="986" thickBot="1">
      <c r="B37" s="105" t="n"/>
      <c r="C37" s="25" t="n"/>
      <c r="D37" s="43" t="n"/>
      <c r="E37" s="1045" t="n"/>
      <c r="F37" s="25" t="n"/>
      <c r="G37" s="43" t="n"/>
      <c r="H37" s="1045" t="n"/>
      <c r="I37" s="25" t="n"/>
      <c r="J37" s="43" t="n"/>
      <c r="K37" s="1045" t="n"/>
      <c r="L37" s="25" t="n"/>
      <c r="M37" s="43" t="n"/>
      <c r="N37" s="1045" t="n"/>
      <c r="O37" s="25" t="n"/>
      <c r="P37" s="43" t="n"/>
      <c r="Q37" s="1045" t="n"/>
      <c r="R37" s="25" t="n"/>
      <c r="S37" s="43" t="n"/>
      <c r="T37" s="1045" t="n"/>
      <c r="U37" s="25" t="n"/>
      <c r="V37" s="43" t="n"/>
      <c r="W37" s="1045" t="n"/>
      <c r="X37" s="25" t="n"/>
      <c r="Y37" s="43" t="n"/>
      <c r="Z37" s="1045" t="n"/>
      <c r="AA37" s="25" t="n"/>
      <c r="AB37" s="43" t="n"/>
      <c r="AC37" s="1045" t="n"/>
      <c r="AD37" s="25" t="n"/>
      <c r="AE37" s="43" t="n"/>
      <c r="AF37" s="1045" t="n"/>
      <c r="AG37" s="25" t="n"/>
      <c r="AH37" s="43" t="n"/>
      <c r="AI37" s="1045" t="n"/>
      <c r="AJ37" s="25" t="n"/>
      <c r="AK37" s="43" t="n"/>
      <c r="AL37" s="1045" t="n"/>
      <c r="AM37" s="205" t="n"/>
      <c r="AN37" s="43" t="n"/>
      <c r="AO37" s="1046" t="n"/>
      <c r="AQ37" s="23" t="n"/>
      <c r="AR37" s="23" t="n"/>
      <c r="AS37" s="23" t="n"/>
    </row>
    <row r="38" hidden="1" outlineLevel="1" ht="10.2" customHeight="1" s="986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1057" t="n"/>
      <c r="AM38" s="97" t="n"/>
      <c r="AN38" s="42" t="n"/>
      <c r="AO38" s="1058" t="n"/>
      <c r="AQ38" s="23" t="n"/>
      <c r="AR38" s="23" t="n"/>
      <c r="AS38" s="23" t="n"/>
    </row>
    <row r="39" hidden="1" outlineLevel="1" ht="10.2" customHeight="1" s="986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1057" t="n"/>
      <c r="AM39" s="97" t="n"/>
      <c r="AN39" s="42" t="n"/>
      <c r="AO39" s="1058" t="n"/>
      <c r="AQ39" s="23" t="n"/>
      <c r="AR39" s="23" t="n"/>
      <c r="AS39" s="23" t="n"/>
    </row>
    <row r="40" hidden="1" outlineLevel="1" ht="10.2" customHeight="1" s="986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1057" t="n"/>
      <c r="AM40" s="97" t="n"/>
      <c r="AN40" s="42" t="n"/>
      <c r="AO40" s="1058" t="n"/>
      <c r="AQ40" s="23" t="n"/>
      <c r="AR40" s="23" t="n"/>
      <c r="AS40" s="23" t="n"/>
    </row>
    <row r="41" hidden="1" outlineLevel="1" ht="10.2" customHeight="1" s="986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1057" t="n"/>
      <c r="AM41" s="97" t="n"/>
      <c r="AN41" s="42" t="n"/>
      <c r="AO41" s="1058" t="n"/>
      <c r="AQ41" s="23" t="n"/>
      <c r="AR41" s="23" t="n"/>
      <c r="AS41" s="23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 t="n"/>
      <c r="AK42" s="489" t="n"/>
      <c r="AL42" s="1065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</row>
    <row r="43" ht="15" customHeight="1" s="986" thickBot="1" thickTop="1">
      <c r="C43" s="1099" t="n"/>
      <c r="D43" s="1099" t="n"/>
      <c r="E43" s="1100" t="n"/>
      <c r="F43" s="1023" t="n"/>
      <c r="G43" s="700" t="n"/>
      <c r="H43" s="1101" t="n"/>
      <c r="I43" s="705" t="n"/>
      <c r="J43" s="705" t="n"/>
      <c r="K43" s="1101" t="n"/>
      <c r="L43" s="705" t="n"/>
      <c r="M43" s="705" t="n"/>
      <c r="N43" s="1101" t="n"/>
      <c r="O43" s="705" t="n"/>
      <c r="P43" s="705" t="n"/>
      <c r="Q43" s="1101" t="n"/>
      <c r="R43" s="705" t="n"/>
      <c r="S43" s="705" t="n"/>
      <c r="T43" s="1101" t="n"/>
      <c r="U43" s="705" t="n"/>
      <c r="V43" s="705" t="n"/>
      <c r="W43" s="1101" t="n"/>
      <c r="X43" s="705" t="n"/>
      <c r="Y43" s="705" t="n"/>
      <c r="Z43" s="1101" t="n"/>
      <c r="AA43" s="705" t="n"/>
      <c r="AB43" s="705" t="n"/>
      <c r="AC43" s="1101" t="n"/>
      <c r="AD43" s="705" t="n"/>
      <c r="AE43" s="705" t="n"/>
      <c r="AF43" s="1101" t="n"/>
      <c r="AG43" s="705" t="n"/>
      <c r="AH43" s="705" t="n"/>
      <c r="AI43" s="1101" t="n"/>
      <c r="AJ43" s="705" t="n"/>
      <c r="AK43" s="705" t="n"/>
      <c r="AL43" s="705" t="n"/>
      <c r="AM43" s="706" t="n"/>
      <c r="AN43" s="705" t="n"/>
      <c r="AO43" s="1101" t="n"/>
      <c r="AP43" s="700" t="n"/>
      <c r="AQ43" s="136" t="n"/>
      <c r="AR43" s="2" t="n"/>
      <c r="AS43" s="1102">
        <f>(AQ46+AQ61)/(AQ13)</f>
        <v/>
      </c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41">
        <f>+I45+I60+I78</f>
        <v/>
      </c>
      <c r="J44" s="442" t="n"/>
      <c r="K44" s="1103">
        <f>I44/I$13</f>
        <v/>
      </c>
      <c r="L44" s="441">
        <f>+L45+L60+L78</f>
        <v/>
      </c>
      <c r="M44" s="442" t="n"/>
      <c r="N44" s="1103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 t="n"/>
      <c r="AG44" s="491">
        <f>+AG45+AG60+AG78</f>
        <v/>
      </c>
      <c r="AH44" s="492" t="n"/>
      <c r="AI44" s="1069" t="n"/>
      <c r="AJ44" s="491">
        <f>+AJ45+AJ60+AJ78</f>
        <v/>
      </c>
      <c r="AK44" s="492" t="n"/>
      <c r="AL44" s="1070" t="n"/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>
        <f>AQ44/AQ$13</f>
        <v/>
      </c>
    </row>
    <row r="45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 t="n"/>
      <c r="I45" s="49">
        <f>+I46+I57</f>
        <v/>
      </c>
      <c r="J45" s="3" t="n"/>
      <c r="K45" s="1053" t="n"/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 t="n"/>
      <c r="U45" s="49">
        <f>+U46+U57</f>
        <v/>
      </c>
      <c r="V45" s="3" t="n"/>
      <c r="W45" s="1053" t="n"/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49">
        <f>+AD46+AD57</f>
        <v/>
      </c>
      <c r="AE45" s="3" t="n"/>
      <c r="AF45" s="1053" t="n"/>
      <c r="AG45" s="49">
        <f>+AG46+AG57</f>
        <v/>
      </c>
      <c r="AH45" s="3" t="n"/>
      <c r="AI45" s="1053" t="n"/>
      <c r="AJ45" s="49">
        <f>+AJ46+AJ57</f>
        <v/>
      </c>
      <c r="AK45" s="3" t="n"/>
      <c r="AL45" s="1053" t="n"/>
      <c r="AM45" s="16">
        <f>C45+F45+I45+L45+O45+R45+U45+X45+AA45+AD45+AG45+AJ45</f>
        <v/>
      </c>
      <c r="AN45" s="3" t="n"/>
      <c r="AO45" s="1054">
        <f>AM45/AM$13</f>
        <v/>
      </c>
      <c r="AQ45" s="17">
        <f>+AQ46+AQ57</f>
        <v/>
      </c>
      <c r="AR45" s="17" t="n"/>
      <c r="AS45" s="1105" t="n"/>
    </row>
    <row r="46" ht="15" customHeight="1" s="986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1071" t="n"/>
      <c r="AM46" s="211">
        <f>C46+F46+I46+L46+O46+R46+U46+X46+AA46+AD46+AG46+AJ46</f>
        <v/>
      </c>
      <c r="AN46" s="67" t="n"/>
      <c r="AO46" s="1072">
        <f>AM46/AM13</f>
        <v/>
      </c>
      <c r="AQ46" s="38">
        <f>SUM(AQ47:AQ56)</f>
        <v/>
      </c>
      <c r="AR46" s="38" t="n"/>
      <c r="AS46" s="1106" t="n"/>
    </row>
    <row r="47" ht="15" customHeight="1" s="986">
      <c r="B47" s="258" t="inlineStr">
        <is>
          <t>COMPLEMENTO INDUSTRIALIZADO (Ins)</t>
        </is>
      </c>
      <c r="C47" s="76" t="n"/>
      <c r="D47" s="42" t="n"/>
      <c r="E47" s="1057" t="n"/>
      <c r="F47" s="76" t="n"/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O47/O12</f>
        <v/>
      </c>
      <c r="Q47" s="1057">
        <f>O47/O15</f>
        <v/>
      </c>
      <c r="R47" s="76" t="n"/>
      <c r="S47" s="42">
        <f>R47/R5</f>
        <v/>
      </c>
      <c r="T47" s="1057">
        <f>R47/R16</f>
        <v/>
      </c>
      <c r="U47" s="76" t="n"/>
      <c r="V47" s="42">
        <f>U47/U12</f>
        <v/>
      </c>
      <c r="W47" s="1057">
        <f>U47/U15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AA47/AA12</f>
        <v/>
      </c>
      <c r="AC47" s="1057">
        <f>AA47/AA15</f>
        <v/>
      </c>
      <c r="AD47" s="76" t="n"/>
      <c r="AE47" s="42">
        <f>AD47/AD12</f>
        <v/>
      </c>
      <c r="AF47" s="1057">
        <f>AD47/AD15</f>
        <v/>
      </c>
      <c r="AG47" s="76" t="n"/>
      <c r="AH47" s="42">
        <f>AG47/AG5</f>
        <v/>
      </c>
      <c r="AI47" s="1057">
        <f>AG47/AG15</f>
        <v/>
      </c>
      <c r="AJ47" s="76" t="n"/>
      <c r="AK47" s="42" t="n"/>
      <c r="AL47" s="1057" t="n"/>
      <c r="AM47" s="97">
        <f>C47+F47+I47+L47+O47+R47+U47+X47+AA47+AD47+AG47+AJ47</f>
        <v/>
      </c>
      <c r="AN47" s="42">
        <f>AM47/AM5</f>
        <v/>
      </c>
      <c r="AO47" s="1057">
        <f>AM47/AM16</f>
        <v/>
      </c>
      <c r="AQ47" s="23" t="n"/>
      <c r="AR47" s="23">
        <f>AQ47/AQ5</f>
        <v/>
      </c>
      <c r="AS47" s="1107">
        <f>AQ47/AQ16</f>
        <v/>
      </c>
    </row>
    <row r="48" ht="15" customHeight="1" s="986">
      <c r="B48" s="258" t="n"/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5" t="n"/>
      <c r="AQ48" s="24" t="n"/>
      <c r="AR48" s="24" t="n"/>
      <c r="AS48" s="1108" t="n"/>
    </row>
    <row r="49" ht="15" customHeight="1" s="986">
      <c r="B49" s="258" t="n"/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1045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1045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</row>
    <row r="51" hidden="1" ht="14.4" customHeight="1" s="986">
      <c r="B51" s="258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351" t="n"/>
      <c r="AE51" s="43" t="n"/>
      <c r="AF51" s="1045" t="n"/>
      <c r="AG51" s="1109" t="n"/>
      <c r="AH51" s="43" t="n"/>
      <c r="AI51" s="1045" t="n"/>
      <c r="AJ51" s="25" t="n"/>
      <c r="AK51" s="43" t="n"/>
      <c r="AL51" s="1045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</row>
    <row r="52" hidden="1" ht="10.2" customHeight="1" s="986">
      <c r="B52" s="411" t="inlineStr">
        <is>
          <t>REFRIGERIOS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1045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</row>
    <row r="53" hidden="1" ht="10.2" customHeight="1" s="986">
      <c r="B53" s="25" t="inlineStr">
        <is>
          <t>PAQUETES MANIPULADORAS</t>
        </is>
      </c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1045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</row>
    <row r="54" hidden="1" ht="10.2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1045" t="n"/>
      <c r="AM54" s="205" t="n"/>
      <c r="AN54" s="43" t="n"/>
      <c r="AO54" s="1046" t="n"/>
      <c r="AQ54" s="24" t="n"/>
      <c r="AR54" s="24" t="n"/>
      <c r="AS54" s="1108" t="n"/>
    </row>
    <row r="55" hidden="1" ht="10.2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1045" t="n"/>
      <c r="AM55" s="205" t="n"/>
      <c r="AN55" s="43" t="n"/>
      <c r="AO55" s="1046" t="n"/>
      <c r="AQ55" s="24" t="n"/>
      <c r="AR55" s="24" t="n"/>
      <c r="AS55" s="1108" t="n"/>
    </row>
    <row r="56" hidden="1" ht="10.2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1057" t="n"/>
      <c r="AM56" s="97">
        <f>C56+F56+I56+L56+O56+R56+U56+X56+AA56+AD56+AG56+AJ56</f>
        <v/>
      </c>
      <c r="AN56" s="42" t="n"/>
      <c r="AO56" s="1058" t="n"/>
      <c r="AQ56" s="23" t="n"/>
      <c r="AR56" s="23" t="n"/>
      <c r="AS56" s="1107" t="n"/>
    </row>
    <row r="57" hidden="1" ht="10.2" customHeight="1" s="986">
      <c r="B57" s="36" t="inlineStr">
        <is>
          <t>FLETES CI</t>
        </is>
      </c>
      <c r="C57" s="37" t="n"/>
      <c r="D57" s="67" t="n"/>
      <c r="E57" s="1071" t="n"/>
      <c r="F57" s="46">
        <f>SUM(F58:F59)</f>
        <v/>
      </c>
      <c r="G57" s="47" t="n"/>
      <c r="H57" s="1049" t="n"/>
      <c r="I57" s="46">
        <f>SUM(I58:I59)</f>
        <v/>
      </c>
      <c r="J57" s="47">
        <f>I57/I12</f>
        <v/>
      </c>
      <c r="K57" s="1049">
        <f>I57/I16</f>
        <v/>
      </c>
      <c r="L57" s="46">
        <f>SUM(L58:L59)</f>
        <v/>
      </c>
      <c r="M57" s="47">
        <f>L57/L5</f>
        <v/>
      </c>
      <c r="N57" s="1049">
        <f>L57/L16</f>
        <v/>
      </c>
      <c r="O57" s="46">
        <f>SUM(O58:O59)</f>
        <v/>
      </c>
      <c r="P57" s="47">
        <f>O57/O5</f>
        <v/>
      </c>
      <c r="Q57" s="1049">
        <f>O57/O16</f>
        <v/>
      </c>
      <c r="R57" s="46">
        <f>SUM(R58:R59)</f>
        <v/>
      </c>
      <c r="S57" s="47">
        <f>R57/R5</f>
        <v/>
      </c>
      <c r="T57" s="1049">
        <f>R57/R16</f>
        <v/>
      </c>
      <c r="U57" s="46">
        <f>SUM(U58:U59)</f>
        <v/>
      </c>
      <c r="V57" s="47">
        <f>U57/U5</f>
        <v/>
      </c>
      <c r="W57" s="1049">
        <f>U57/U16</f>
        <v/>
      </c>
      <c r="X57" s="46">
        <f>SUM(X58:X59)</f>
        <v/>
      </c>
      <c r="Y57" s="47">
        <f>X57/X5</f>
        <v/>
      </c>
      <c r="Z57" s="1049">
        <f>X57/X16</f>
        <v/>
      </c>
      <c r="AA57" s="46">
        <f>SUM(AA58:AA59)</f>
        <v/>
      </c>
      <c r="AB57" s="47">
        <f>AA57/AA5</f>
        <v/>
      </c>
      <c r="AC57" s="1049">
        <f>AA57/AA16</f>
        <v/>
      </c>
      <c r="AD57" s="46">
        <f>SUM(AD58:AD59)</f>
        <v/>
      </c>
      <c r="AE57" s="47">
        <f>AD57/AD5</f>
        <v/>
      </c>
      <c r="AF57" s="1049">
        <f>AD57/AD16</f>
        <v/>
      </c>
      <c r="AG57" s="46">
        <f>SUM(AG58:AG59)</f>
        <v/>
      </c>
      <c r="AH57" s="47">
        <f>AG57/AG5</f>
        <v/>
      </c>
      <c r="AI57" s="1049">
        <f>AG57/AG16</f>
        <v/>
      </c>
      <c r="AJ57" s="46">
        <f>SUM(AJ58:AJ59)</f>
        <v/>
      </c>
      <c r="AK57" s="47" t="n"/>
      <c r="AL57" s="1049" t="n"/>
      <c r="AM57" s="207">
        <f>C57+F57+I57+L57+O57+R57+U57+X57+AA57+AD57+AG57+AJ57</f>
        <v/>
      </c>
      <c r="AN57" s="47">
        <f>AM57/AM12</f>
        <v/>
      </c>
      <c r="AO57" s="1049">
        <f>AM57/AM16</f>
        <v/>
      </c>
      <c r="AQ57" s="29" t="n"/>
      <c r="AR57" s="29" t="n"/>
      <c r="AS57" s="1110" t="n"/>
    </row>
    <row r="58" hidden="1" ht="10.2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>
        <f>'%DIST'!N22*'GASTOS VEHICULOS'!I25</f>
        <v/>
      </c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>
        <f>'%DIST'!X22*'GASTOS VEHICULOS'!N27</f>
        <v/>
      </c>
      <c r="AK58" s="305" t="n"/>
      <c r="AL58" s="1111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</row>
    <row r="59" hidden="1" ht="10.2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1047" t="n"/>
      <c r="AM59" s="206">
        <f>C59+F59+I59+L59+O59+R59+U59+X59+AA59+AD59+AG59+AJ59</f>
        <v/>
      </c>
      <c r="AN59" s="84">
        <f>AM59/AM12</f>
        <v/>
      </c>
      <c r="AO59" s="1114">
        <f>AM59/(AM13)</f>
        <v/>
      </c>
      <c r="AP59" s="2" t="n"/>
      <c r="AQ59" s="349" t="n"/>
      <c r="AR59" s="349" t="n"/>
      <c r="AS59" s="1115" t="n"/>
    </row>
    <row r="60" ht="15" customHeight="1" s="986">
      <c r="B60" s="16" t="inlineStr">
        <is>
          <t>COSTOS PREPARADOS</t>
        </is>
      </c>
      <c r="C60" s="49">
        <f>+C61+C73+C74+C75+C76+C77</f>
        <v/>
      </c>
      <c r="D60" s="3" t="n"/>
      <c r="E60" s="1049" t="n"/>
      <c r="F60" s="49">
        <f>+F61+F72+F75+F76+F77</f>
        <v/>
      </c>
      <c r="G60" s="3" t="n"/>
      <c r="H60" s="1049" t="n"/>
      <c r="I60" s="49">
        <f>+I61+I72+I75+I76+I77</f>
        <v/>
      </c>
      <c r="J60" s="3" t="n"/>
      <c r="K60" s="1049" t="n"/>
      <c r="L60" s="49">
        <f>+L61+L72+L75+L76+L77</f>
        <v/>
      </c>
      <c r="M60" s="3" t="n"/>
      <c r="N60" s="1049" t="n"/>
      <c r="O60" s="49">
        <f>+O61+O72+O75+O76+O77</f>
        <v/>
      </c>
      <c r="P60" s="3" t="n"/>
      <c r="Q60" s="1049" t="n"/>
      <c r="R60" s="49">
        <f>+R61+R72+R75+R76+R77</f>
        <v/>
      </c>
      <c r="S60" s="3" t="n"/>
      <c r="T60" s="1049" t="n"/>
      <c r="U60" s="49">
        <f>+U61+U72+U75+U76+U77</f>
        <v/>
      </c>
      <c r="V60" s="3" t="n"/>
      <c r="W60" s="1049" t="n"/>
      <c r="X60" s="49">
        <f>+X61+X72+X75+X76+X77</f>
        <v/>
      </c>
      <c r="Y60" s="3" t="n"/>
      <c r="Z60" s="1049" t="n"/>
      <c r="AA60" s="49">
        <f>+AA61+AA72+AA75+AA76+AA77</f>
        <v/>
      </c>
      <c r="AB60" s="3" t="n"/>
      <c r="AC60" s="1049" t="n"/>
      <c r="AD60" s="49">
        <f>+AD61+AD72+AD75+AD76+AD77</f>
        <v/>
      </c>
      <c r="AE60" s="3" t="n"/>
      <c r="AF60" s="1049" t="n"/>
      <c r="AG60" s="49">
        <f>+AG61+AG72+AG75+AG76+AG77</f>
        <v/>
      </c>
      <c r="AH60" s="3" t="n"/>
      <c r="AI60" s="1049" t="n"/>
      <c r="AJ60" s="49">
        <f>+AJ61+AJ72+AJ75+AJ76+AJ77</f>
        <v/>
      </c>
      <c r="AK60" s="3" t="n"/>
      <c r="AL60" s="1053" t="n"/>
      <c r="AM60" s="16">
        <f>C60+F60+I60+L60+O60+R60+U60+X60+AA60+AD60+AG60+AJ60</f>
        <v/>
      </c>
      <c r="AN60" s="3" t="n"/>
      <c r="AO60" s="1049">
        <f>AM60/AM$13</f>
        <v/>
      </c>
      <c r="AQ60" s="17">
        <f>+AQ61+AQ72+AQ75+AQ76+AQ77</f>
        <v/>
      </c>
      <c r="AR60" s="17" t="n"/>
      <c r="AS60" s="1105" t="n"/>
    </row>
    <row r="61" hidden="1" ht="15" customHeight="1" s="986">
      <c r="B61" s="36" t="inlineStr">
        <is>
          <t>INSUMOS CP</t>
        </is>
      </c>
      <c r="C61" s="37">
        <f>SUM(C62:C66)+C72</f>
        <v/>
      </c>
      <c r="D61" s="67" t="n"/>
      <c r="E61" s="1071" t="n"/>
      <c r="F61" s="46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 t="n"/>
      <c r="Q61" s="1071" t="n"/>
      <c r="R61" s="37">
        <f>SUM(R62:R71)</f>
        <v/>
      </c>
      <c r="S61" s="67" t="n"/>
      <c r="T61" s="1071" t="n"/>
      <c r="U61" s="37">
        <f>SUM(U62:U71)</f>
        <v/>
      </c>
      <c r="V61" s="67" t="n"/>
      <c r="W61" s="1071" t="n"/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1071" t="n"/>
      <c r="AM61" s="211">
        <f>C61+F61+I61+L61+O61+R61+U61+X61+AA61+AD61+AG61+AJ61</f>
        <v/>
      </c>
      <c r="AN61" s="67" t="n"/>
      <c r="AO61" s="1072" t="n"/>
      <c r="AQ61" s="38">
        <f>SUM(AQ62:AQ71)</f>
        <v/>
      </c>
      <c r="AR61" s="38" t="n"/>
      <c r="AS61" s="1106" t="n"/>
    </row>
    <row r="62" hidden="1" ht="15" customHeight="1" s="986">
      <c r="B62" s="258" t="inlineStr">
        <is>
          <t>COMPLEMENTO PREPARADO (Ins)</t>
        </is>
      </c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1055" t="n"/>
      <c r="AM62" s="212">
        <f>C62+F62+I62+L62+O62+R62+U62+X62+AA62+AD62+AG62+AJ62</f>
        <v/>
      </c>
      <c r="AN62" s="79" t="n"/>
      <c r="AO62" s="1055" t="n"/>
      <c r="AQ62" s="81" t="n"/>
      <c r="AR62" s="81">
        <f>AQ62/AQ6</f>
        <v/>
      </c>
      <c r="AS62" s="1116">
        <f>AQ62/AQ17</f>
        <v/>
      </c>
    </row>
    <row r="63" hidden="1" ht="15" customHeight="1" s="986">
      <c r="B63" s="258" t="inlineStr">
        <is>
          <t>ALMUERZO JORNADA UNICA (Ins)</t>
        </is>
      </c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1045" t="n"/>
      <c r="AM63" s="205">
        <f>C63+F63+I63+L63+O63+R63+U63+X63+AA63+AD63+AG63+AJ63</f>
        <v/>
      </c>
      <c r="AN63" s="43" t="n"/>
      <c r="AO63" s="1045" t="n"/>
      <c r="AQ63" s="24" t="n"/>
      <c r="AR63" s="24">
        <f>AQ63/AQ7</f>
        <v/>
      </c>
      <c r="AS63" s="1108">
        <f>AQ63/AQ18</f>
        <v/>
      </c>
    </row>
    <row r="64" hidden="1" ht="15" customHeight="1" s="986">
      <c r="B64" s="25" t="n"/>
      <c r="C64" s="82" t="n"/>
      <c r="D64" s="43" t="n"/>
      <c r="E64" s="1045" t="n"/>
      <c r="F64" s="82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1045" t="n"/>
      <c r="AM64" s="205">
        <f>C64+F64+I64+L64+O64+R64+U64+X64+AA64+AD64+AG64+AJ64</f>
        <v/>
      </c>
      <c r="AN64" s="43" t="n"/>
      <c r="AO64" s="1046" t="n"/>
      <c r="AQ64" s="24" t="n"/>
      <c r="AR64" s="24">
        <f>AQ64/AQ8</f>
        <v/>
      </c>
      <c r="AS64" s="1108">
        <f>AQ64/AQ19</f>
        <v/>
      </c>
    </row>
    <row r="65" hidden="1" ht="15" customHeight="1" s="986">
      <c r="B65" s="258" t="inlineStr">
        <is>
          <t>RACION MANIPULADORAS</t>
        </is>
      </c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1045" t="n"/>
      <c r="AM65" s="205">
        <f>C65+F65+I65+L65+O65+R65+U65+X65+AA65+AD65+AG65+AJ65</f>
        <v/>
      </c>
      <c r="AN65" s="43" t="n"/>
      <c r="AO65" s="1046" t="n"/>
      <c r="AQ65" s="24" t="n"/>
      <c r="AR65" s="24" t="n"/>
      <c r="AS65" s="1108" t="n"/>
    </row>
    <row r="66" hidden="1" ht="15" customHeight="1" s="986">
      <c r="B66" s="411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1045" t="n"/>
      <c r="AM66" s="205">
        <f>C66+F66+I66+L66+O66+R66+U66+X66+AA66+AD66+AG66+AJ66</f>
        <v/>
      </c>
      <c r="AN66" s="43" t="n"/>
      <c r="AO66" s="1046" t="n"/>
      <c r="AQ66" s="24" t="n"/>
      <c r="AR66" s="24" t="n"/>
      <c r="AS66" s="1108" t="n"/>
    </row>
    <row r="67" hidden="1" ht="10.2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1045" t="n"/>
      <c r="AM67" s="205" t="n"/>
      <c r="AN67" s="43" t="n"/>
      <c r="AO67" s="1046" t="n"/>
      <c r="AQ67" s="24" t="n"/>
      <c r="AR67" s="24" t="n"/>
      <c r="AS67" s="1108" t="n"/>
    </row>
    <row r="68" hidden="1" ht="10.2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1045" t="n"/>
      <c r="AM68" s="205" t="n"/>
      <c r="AN68" s="43" t="n"/>
      <c r="AO68" s="1046" t="n"/>
      <c r="AQ68" s="24" t="n"/>
      <c r="AR68" s="24" t="n"/>
      <c r="AS68" s="1108" t="n"/>
    </row>
    <row r="69" hidden="1" ht="10.2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1045" t="n"/>
      <c r="AM69" s="205" t="n"/>
      <c r="AN69" s="43" t="n"/>
      <c r="AO69" s="1046" t="n"/>
      <c r="AQ69" s="24" t="n"/>
      <c r="AR69" s="24" t="n"/>
      <c r="AS69" s="1108" t="n"/>
    </row>
    <row r="70" hidden="1" ht="10.2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1045" t="n"/>
      <c r="AM70" s="205" t="n"/>
      <c r="AN70" s="43" t="n"/>
      <c r="AO70" s="1046" t="n"/>
      <c r="AQ70" s="24" t="n"/>
      <c r="AR70" s="24" t="n"/>
      <c r="AS70" s="1108" t="n"/>
    </row>
    <row r="71" hidden="1" ht="10.2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1047" t="n"/>
      <c r="AM71" s="206" t="n"/>
      <c r="AN71" s="84" t="n"/>
      <c r="AO71" s="1048" t="n"/>
      <c r="AQ71" s="349" t="n"/>
      <c r="AR71" s="349" t="n"/>
      <c r="AS71" s="1115" t="n"/>
    </row>
    <row r="72" ht="15" customHeight="1" s="986">
      <c r="B72" s="36" t="inlineStr">
        <is>
          <t>FLETES CP</t>
        </is>
      </c>
      <c r="C72" s="46" t="n"/>
      <c r="D72" s="47" t="n"/>
      <c r="E72" s="1049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 t="n"/>
      <c r="AL72" s="1071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  <c r="AQ72" s="29">
        <f>SUM(AQ73:AQ74)</f>
        <v/>
      </c>
      <c r="AR72" s="29">
        <f>AQ72/(AQ$12-AQ$8)</f>
        <v/>
      </c>
      <c r="AS72" s="1110">
        <f>AQ72/(AQ$13-AQ$19)</f>
        <v/>
      </c>
    </row>
    <row r="73" ht="15" customHeight="1" s="986">
      <c r="B73" s="412" t="inlineStr">
        <is>
          <t>PREPARADOS PROPIOS</t>
        </is>
      </c>
      <c r="C73" s="78" t="n"/>
      <c r="D73" s="79" t="n"/>
      <c r="E73" s="1055" t="n"/>
      <c r="F73" s="304" t="n"/>
      <c r="G73" s="305" t="n"/>
      <c r="H73" s="1111" t="n"/>
      <c r="I73" s="304" t="n"/>
      <c r="J73" s="305" t="n"/>
      <c r="K73" s="1111" t="n"/>
      <c r="L73" s="304" t="n"/>
      <c r="M73" s="305" t="n"/>
      <c r="N73" s="1111" t="n"/>
      <c r="O73" s="78" t="n"/>
      <c r="P73" s="305" t="n"/>
      <c r="Q73" s="1111" t="n"/>
      <c r="R73" s="304" t="n"/>
      <c r="S73" s="305" t="n"/>
      <c r="T73" s="1111" t="n"/>
      <c r="U73" s="304" t="n"/>
      <c r="V73" s="305" t="n"/>
      <c r="W73" s="1111" t="n"/>
      <c r="X73" s="78" t="n"/>
      <c r="Y73" s="305" t="n"/>
      <c r="Z73" s="1111" t="n"/>
      <c r="AA73" s="304" t="n"/>
      <c r="AB73" s="305" t="n"/>
      <c r="AC73" s="1111" t="n"/>
      <c r="AD73" s="304" t="n"/>
      <c r="AE73" s="305" t="n"/>
      <c r="AF73" s="1111" t="n"/>
      <c r="AG73" s="304" t="n"/>
      <c r="AH73" s="305" t="n"/>
      <c r="AI73" s="1111" t="n"/>
      <c r="AJ73" s="304" t="n"/>
      <c r="AK73" s="305" t="n"/>
      <c r="AL73" s="1111" t="n"/>
      <c r="AM73" s="414">
        <f>C73+F73+I73+L73+O73+R73+U73+X73+AA73+AD73+AG73+AJ73</f>
        <v/>
      </c>
      <c r="AN73" s="305" t="n"/>
      <c r="AO73" s="1117" t="n"/>
      <c r="AQ73" s="298" t="n"/>
      <c r="AR73" s="298" t="n"/>
      <c r="AS73" s="1113" t="n"/>
    </row>
    <row r="74" ht="15" customHeight="1" s="986">
      <c r="B74" s="416" t="inlineStr">
        <is>
          <t>PREPARADOS TERCEROS</t>
        </is>
      </c>
      <c r="C74" s="273" t="n"/>
      <c r="D74" s="134" t="n"/>
      <c r="E74" s="1118" t="n"/>
      <c r="F74" s="83" t="n"/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27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27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1047" t="n"/>
      <c r="AM74" s="206">
        <f>C74+F74+I74+L74+O74+R74+U74+X74+AA74+AD74+AG74+AJ74</f>
        <v/>
      </c>
      <c r="AN74" s="84" t="n"/>
      <c r="AO74" s="1047" t="n"/>
      <c r="AQ74" s="349" t="n"/>
      <c r="AR74" s="349" t="n"/>
      <c r="AS74" s="1115" t="n"/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1071" t="n"/>
      <c r="AM75" s="211">
        <f>C75+F75+I75+L75+O75+R75+U75+X75+AA75+AD75+AG75+AJ75</f>
        <v/>
      </c>
      <c r="AN75" s="67" t="n"/>
      <c r="AO75" s="1072" t="n"/>
      <c r="AQ75" s="38" t="n"/>
      <c r="AR75" s="38" t="n"/>
      <c r="AS75" s="1106" t="n"/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1071" t="n"/>
      <c r="AM76" s="211">
        <f>C76+F76+I76+L76+O76+R76+U76+X76+AA76+AD76+AG76+AJ76</f>
        <v/>
      </c>
      <c r="AN76" s="67" t="n"/>
      <c r="AO76" s="1075" t="n"/>
      <c r="AQ76" s="38" t="n"/>
      <c r="AR76" s="38">
        <f>AQ76/(AQ$12-AQ$8)</f>
        <v/>
      </c>
      <c r="AS76" s="1106">
        <f>AQ76/(AQ$13-AQ$19)</f>
        <v/>
      </c>
    </row>
    <row r="77" ht="15" customHeight="1" s="986">
      <c r="B77" s="66" t="inlineStr">
        <is>
          <t>Servicio de Gas</t>
        </is>
      </c>
      <c r="C77" s="28" t="n"/>
      <c r="D77" s="45" t="n"/>
      <c r="E77" s="1071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37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1071" t="n"/>
      <c r="AM77" s="26">
        <f>C77+F77+I77+L77+O77+R77+U77+X77+AA77+AD77+AG77+AJ77</f>
        <v/>
      </c>
      <c r="AN77" s="42" t="n"/>
      <c r="AO77" s="1075" t="n"/>
      <c r="AQ77" s="27" t="n"/>
      <c r="AR77" s="27">
        <f>AQ77/(AQ$12-AQ$8)</f>
        <v/>
      </c>
      <c r="AS77" s="1119">
        <f>AQ77/(AQ$13-AQ$19)</f>
        <v/>
      </c>
    </row>
    <row r="78" ht="15" customHeight="1" s="986">
      <c r="B78" s="17" t="inlineStr">
        <is>
          <t>MANO DE OBRA DIRECTA</t>
        </is>
      </c>
      <c r="C78" s="49">
        <f>SUM(C79:C81)</f>
        <v/>
      </c>
      <c r="D78" s="3" t="n"/>
      <c r="E78" s="1053" t="n"/>
      <c r="F78" s="93">
        <f>SUM(F79:F81)</f>
        <v/>
      </c>
      <c r="G78" s="3" t="n"/>
      <c r="H78" s="1053">
        <f>F78/F$13</f>
        <v/>
      </c>
      <c r="I78" s="93">
        <f>SUM(I79:I81)</f>
        <v/>
      </c>
      <c r="J78" s="3" t="n"/>
      <c r="K78" s="1053">
        <f>I78/I$13</f>
        <v/>
      </c>
      <c r="L78" s="49">
        <f>SUM(L79:L81)</f>
        <v/>
      </c>
      <c r="M78" s="3" t="n"/>
      <c r="N78" s="1053">
        <f>L78/L$13</f>
        <v/>
      </c>
      <c r="O78" s="49">
        <f>SUM(O79:O81)</f>
        <v/>
      </c>
      <c r="P78" s="3" t="n"/>
      <c r="Q78" s="1053">
        <f>O78/O$13</f>
        <v/>
      </c>
      <c r="R78" s="49">
        <f>SUM(R79:R81)</f>
        <v/>
      </c>
      <c r="S78" s="3" t="n"/>
      <c r="T78" s="1053">
        <f>R78/R$13</f>
        <v/>
      </c>
      <c r="U78" s="49">
        <f>SUM(U79:U81)</f>
        <v/>
      </c>
      <c r="V78" s="3" t="n"/>
      <c r="W78" s="1053" t="n"/>
      <c r="X78" s="49">
        <f>SUM(X79:X81)</f>
        <v/>
      </c>
      <c r="Y78" s="3" t="n"/>
      <c r="Z78" s="1053">
        <f>X78/X$13</f>
        <v/>
      </c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 t="n"/>
      <c r="AG78" s="49">
        <f>SUM(AG79:AG81)</f>
        <v/>
      </c>
      <c r="AH78" s="3" t="n"/>
      <c r="AI78" s="1053" t="n"/>
      <c r="AJ78" s="49" t="n"/>
      <c r="AK78" s="3" t="n"/>
      <c r="AL78" s="1053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>
        <f>AQ78/(AQ$12-AQ$8)</f>
        <v/>
      </c>
      <c r="AS78" s="1105">
        <f>AQ78/(AQ$13-AQ$19)</f>
        <v/>
      </c>
    </row>
    <row r="79" ht="15" customHeight="1" s="986">
      <c r="B79" s="474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077" t="n"/>
      <c r="AM79" s="268">
        <f>C79+F79+I79+L79+O79+R79+U79+X79+AA79+AD79+AG79+AJ79</f>
        <v/>
      </c>
      <c r="AN79" s="4" t="n"/>
      <c r="AO79" s="1078">
        <f>AM79/(AM$13)</f>
        <v/>
      </c>
      <c r="AP79" s="698" t="n"/>
      <c r="AQ79" s="621" t="n"/>
      <c r="AR79" s="621">
        <f>AQ79/(AQ$12-AQ$8)</f>
        <v/>
      </c>
      <c r="AS79" s="1120">
        <f>AQ79/(AQ$13-AQ$19)</f>
        <v/>
      </c>
    </row>
    <row r="80" ht="15" customHeight="1" s="986">
      <c r="B80" s="475" t="inlineStr">
        <is>
          <t>Personal Supervisor - Coordinadores</t>
        </is>
      </c>
      <c r="C80" s="25" t="n"/>
      <c r="D80" s="43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1045" t="n"/>
      <c r="AM80" s="205">
        <f>C80+F80+I80+L80+O80+R80+U80+X80+AA80+AD80+AG80+AJ80</f>
        <v/>
      </c>
      <c r="AN80" s="43" t="n"/>
      <c r="AO80" s="1046" t="n"/>
      <c r="AQ80" s="24" t="n"/>
      <c r="AR80" s="24">
        <f>AQ80/(AQ$12-AQ$8)</f>
        <v/>
      </c>
      <c r="AS80" s="1108">
        <f>AQ80/(AQ$13-AQ$19)</f>
        <v/>
      </c>
    </row>
    <row r="81" ht="15" customHeight="1" s="986" thickBot="1">
      <c r="B81" s="300" t="inlineStr">
        <is>
          <t>Temporales MOD</t>
        </is>
      </c>
      <c r="C81" s="269" t="n"/>
      <c r="D81" s="214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1079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1067" t="n"/>
      <c r="AM82" s="136" t="n"/>
      <c r="AN82" s="2" t="n"/>
      <c r="AO82" s="1067" t="n"/>
      <c r="AQ82" s="136" t="n"/>
      <c r="AR82" s="136" t="n"/>
      <c r="AS82" s="1122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F83/F$13</f>
        <v/>
      </c>
      <c r="I83" s="491">
        <f>+I84+I89+I92+I96+I99+I109+I114+I120+I123+I127</f>
        <v/>
      </c>
      <c r="J83" s="492" t="n"/>
      <c r="K83" s="1069">
        <f>I83/I$13</f>
        <v/>
      </c>
      <c r="L83" s="491">
        <f>+L84+L89+L92+L96+L99+L109+L114+L120+L123+L127</f>
        <v/>
      </c>
      <c r="M83" s="492" t="n"/>
      <c r="N83" s="1069">
        <f>L83/L$13</f>
        <v/>
      </c>
      <c r="O83" s="491">
        <f>+O84+O89+O92+O96+O99+O109+O114+O120+O123+O127</f>
        <v/>
      </c>
      <c r="P83" s="492" t="n"/>
      <c r="Q83" s="1069">
        <f>O83/O$13</f>
        <v/>
      </c>
      <c r="R83" s="491">
        <f>+R84+R89+R92+R96+R99+R109+R114+R120+R123+R127</f>
        <v/>
      </c>
      <c r="S83" s="492" t="n"/>
      <c r="T83" s="1069">
        <f>R83/R$13</f>
        <v/>
      </c>
      <c r="U83" s="491">
        <f>+U84+U89+U92+U96+U99+U109+U114+U120+U123+U127</f>
        <v/>
      </c>
      <c r="V83" s="492" t="n"/>
      <c r="W83" s="1069" t="n"/>
      <c r="X83" s="491">
        <f>+X84+X89+X92+X96+X99+X109+X114+X120+X123+X127</f>
        <v/>
      </c>
      <c r="Y83" s="492" t="n"/>
      <c r="Z83" s="1069">
        <f>X83/X$13</f>
        <v/>
      </c>
      <c r="AA83" s="491">
        <f>+AA84+AA89+AA92+AA96+AA99+AA109+AA114+AA120+AA123+AA127</f>
        <v/>
      </c>
      <c r="AB83" s="492" t="n"/>
      <c r="AC83" s="1069" t="n"/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>
        <f>AQ83/(AQ$12-AQ$8)</f>
        <v/>
      </c>
      <c r="AS83" s="1104">
        <f>AQ83/(AQ$13-AQ$19)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F84/F$13</f>
        <v/>
      </c>
      <c r="I84" s="49">
        <f>SUM(I85:I88)</f>
        <v/>
      </c>
      <c r="J84" s="3" t="n"/>
      <c r="K84" s="1053">
        <f>I84/I$13</f>
        <v/>
      </c>
      <c r="L84" s="49">
        <f>SUM(L85:L88)</f>
        <v/>
      </c>
      <c r="M84" s="3" t="n"/>
      <c r="N84" s="1053">
        <f>L84/L$13</f>
        <v/>
      </c>
      <c r="O84" s="49">
        <f>SUM(O85:O88)</f>
        <v/>
      </c>
      <c r="P84" s="3" t="n"/>
      <c r="Q84" s="1053">
        <f>O84/O$13</f>
        <v/>
      </c>
      <c r="R84" s="49">
        <f>SUM(R85:R88)</f>
        <v/>
      </c>
      <c r="S84" s="3" t="n"/>
      <c r="T84" s="1053">
        <f>R84/R$13</f>
        <v/>
      </c>
      <c r="U84" s="49">
        <f>SUM(U85:U88)</f>
        <v/>
      </c>
      <c r="V84" s="3" t="n"/>
      <c r="W84" s="1053" t="n"/>
      <c r="X84" s="49">
        <f>SUM(X85:X88)</f>
        <v/>
      </c>
      <c r="Y84" s="3" t="n"/>
      <c r="Z84" s="1053">
        <f>X84/X$13</f>
        <v/>
      </c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 t="n"/>
      <c r="AG84" s="49">
        <f>SUM(AG85:AG88)</f>
        <v/>
      </c>
      <c r="AH84" s="3" t="n"/>
      <c r="AI84" s="1053" t="n"/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>
        <f>AQ84/(AQ$12-AQ$8)</f>
        <v/>
      </c>
      <c r="AS84" s="1105">
        <f>AQ84/(AQ$13-AQ$19)</f>
        <v/>
      </c>
    </row>
    <row r="85" ht="15" customHeight="1" s="986">
      <c r="B85" s="284" t="inlineStr">
        <is>
          <t>Costos Indirectos de Personal</t>
        </is>
      </c>
      <c r="C85" s="91" t="n"/>
      <c r="D85" s="69" t="n"/>
      <c r="E85" s="1077" t="n"/>
      <c r="F85" s="91" t="n"/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077" t="n"/>
      <c r="AM85" s="209">
        <f>C85+F85+I85+L85+O85+R85+U85+X85+AA85+AD85+AG85+AJ85</f>
        <v/>
      </c>
      <c r="AN85" s="69" t="n"/>
      <c r="AO85" s="1077">
        <f>AM85/(AM$13)</f>
        <v/>
      </c>
      <c r="AQ85" s="31" t="n"/>
      <c r="AR85" s="31" t="n"/>
      <c r="AS85" s="1123">
        <f>AQ85/(AQ$13-AQ$19)</f>
        <v/>
      </c>
    </row>
    <row r="86" ht="15" customHeight="1" s="986">
      <c r="B86" s="24" t="inlineStr">
        <is>
          <t>Dotación y Suministros</t>
        </is>
      </c>
      <c r="C86" s="25" t="n"/>
      <c r="D86" s="43" t="n"/>
      <c r="E86" s="1045" t="n"/>
      <c r="F86" s="25" t="n"/>
      <c r="G86" s="43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45" t="n"/>
      <c r="AM86" s="25">
        <f>C86+F86+I86+L86+O86+R86+U86+X86+AA86+AD86+AG86+AJ86</f>
        <v/>
      </c>
      <c r="AN86" s="43" t="n"/>
      <c r="AO86" s="1045" t="n"/>
      <c r="AQ86" s="24" t="n"/>
      <c r="AR86" s="24" t="n"/>
      <c r="AS86" s="1108">
        <f>AQ86/(AQ$13-AQ$19)</f>
        <v/>
      </c>
    </row>
    <row r="87" ht="15" customHeight="1" s="986">
      <c r="B87" s="24" t="inlineStr">
        <is>
          <t>Gastos Medicos</t>
        </is>
      </c>
      <c r="C87" s="25" t="n"/>
      <c r="D87" s="43" t="n"/>
      <c r="E87" s="1045" t="n"/>
      <c r="F87" s="25" t="n"/>
      <c r="G87" s="43" t="n"/>
      <c r="H87" s="1045" t="n"/>
      <c r="I87" s="25" t="n"/>
      <c r="J87" s="43" t="n"/>
      <c r="K87" s="1045" t="n"/>
      <c r="L87" s="25" t="n"/>
      <c r="M87" s="43" t="n"/>
      <c r="N87" s="1045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45" t="n"/>
      <c r="AM87" s="25">
        <f>C87+F87+I87+L87+O87+R87+U87+X87+AA87+AD87+AG87+AJ87</f>
        <v/>
      </c>
      <c r="AN87" s="43" t="n"/>
      <c r="AO87" s="1045" t="n"/>
      <c r="AQ87" s="24" t="n"/>
      <c r="AR87" s="24" t="n"/>
      <c r="AS87" s="1108">
        <f>AQ87/(AQ$13-AQ$19)</f>
        <v/>
      </c>
    </row>
    <row r="88" ht="15" customHeight="1" s="986">
      <c r="B88" s="430" t="inlineStr">
        <is>
          <t>Incapacidades</t>
        </is>
      </c>
      <c r="C88" s="273" t="n"/>
      <c r="D88" s="134" t="n"/>
      <c r="E88" s="1118" t="n"/>
      <c r="F88" s="273" t="n"/>
      <c r="G88" s="134" t="n"/>
      <c r="H88" s="1118" t="n"/>
      <c r="I88" s="273" t="n"/>
      <c r="J88" s="134" t="n"/>
      <c r="K88" s="1118" t="n"/>
      <c r="L88" s="273" t="n"/>
      <c r="M88" s="134" t="n"/>
      <c r="N88" s="1118" t="n"/>
      <c r="O88" s="273" t="n"/>
      <c r="P88" s="134" t="n"/>
      <c r="Q88" s="1118" t="n"/>
      <c r="R88" s="273" t="n"/>
      <c r="S88" s="134" t="n"/>
      <c r="T88" s="1118" t="n"/>
      <c r="U88" s="273" t="n"/>
      <c r="V88" s="134" t="n"/>
      <c r="W88" s="1118" t="n"/>
      <c r="X88" s="273" t="n"/>
      <c r="Y88" s="134" t="n"/>
      <c r="Z88" s="1118" t="n"/>
      <c r="AA88" s="273" t="n"/>
      <c r="AB88" s="134" t="n"/>
      <c r="AC88" s="1118" t="n"/>
      <c r="AD88" s="273" t="n"/>
      <c r="AE88" s="134" t="n"/>
      <c r="AF88" s="1118" t="n"/>
      <c r="AG88" s="273" t="n"/>
      <c r="AH88" s="134" t="n"/>
      <c r="AI88" s="1118" t="n"/>
      <c r="AJ88" s="273" t="n"/>
      <c r="AK88" s="134" t="n"/>
      <c r="AL88" s="1118" t="n"/>
      <c r="AM88" s="430" t="n"/>
      <c r="AN88" s="134" t="n"/>
      <c r="AO88" s="1048" t="n"/>
      <c r="AQ88" s="349" t="n"/>
      <c r="AR88" s="349" t="n"/>
      <c r="AS88" s="1115" t="n"/>
    </row>
    <row r="89" ht="15" customHeight="1" s="986">
      <c r="B89" s="16" t="inlineStr">
        <is>
          <t>HONORARIOS</t>
        </is>
      </c>
      <c r="C89" s="90">
        <f>SUM(C90:C91)</f>
        <v/>
      </c>
      <c r="D89" s="3" t="n"/>
      <c r="E89" s="1053" t="n"/>
      <c r="F89" s="90">
        <f>SUM(F90:F91)</f>
        <v/>
      </c>
      <c r="G89" s="3" t="n"/>
      <c r="H89" s="1053">
        <f>F89/F$13</f>
        <v/>
      </c>
      <c r="I89" s="90">
        <f>SUM(I90:I91)</f>
        <v/>
      </c>
      <c r="J89" s="3" t="n"/>
      <c r="K89" s="1053">
        <f>I89/I$13</f>
        <v/>
      </c>
      <c r="L89" s="49">
        <f>SUM(L90:L91)</f>
        <v/>
      </c>
      <c r="M89" s="3" t="n"/>
      <c r="N89" s="1053">
        <f>L89/L$13</f>
        <v/>
      </c>
      <c r="O89" s="49">
        <f>SUM(O90:O91)</f>
        <v/>
      </c>
      <c r="P89" s="3" t="n"/>
      <c r="Q89" s="1053">
        <f>O89/O$13</f>
        <v/>
      </c>
      <c r="R89" s="49">
        <f>SUM(R90:R91)</f>
        <v/>
      </c>
      <c r="S89" s="3" t="n"/>
      <c r="T89" s="1053">
        <f>R89/R$13</f>
        <v/>
      </c>
      <c r="U89" s="49">
        <f>SUM(U90:U91)</f>
        <v/>
      </c>
      <c r="V89" s="3" t="n"/>
      <c r="W89" s="1053" t="n"/>
      <c r="X89" s="49">
        <f>SUM(X90:X91)</f>
        <v/>
      </c>
      <c r="Y89" s="3" t="n"/>
      <c r="Z89" s="1053">
        <f>X89/X$13</f>
        <v/>
      </c>
      <c r="AA89" s="49">
        <f>SUM(AA90:AA91)</f>
        <v/>
      </c>
      <c r="AB89" s="3" t="n"/>
      <c r="AC89" s="1053" t="n"/>
      <c r="AD89" s="49" t="n"/>
      <c r="AE89" s="3" t="n"/>
      <c r="AF89" s="1053" t="n"/>
      <c r="AG89" s="49" t="n"/>
      <c r="AH89" s="3" t="n"/>
      <c r="AI89" s="1053" t="n"/>
      <c r="AJ89" s="49" t="n"/>
      <c r="AK89" s="3" t="n"/>
      <c r="AL89" s="1053" t="n"/>
      <c r="AM89" s="16">
        <f>C89+F89+I89+L89+O89+R89+U89+X89+AA89+AD89+AG89+AJ89</f>
        <v/>
      </c>
      <c r="AN89" s="3" t="n"/>
      <c r="AO89" s="1076">
        <f>AM89/(AM$13)</f>
        <v/>
      </c>
      <c r="AQ89" s="17" t="n"/>
      <c r="AR89" s="17">
        <f>AQ89/(AQ$12-AQ$8)</f>
        <v/>
      </c>
      <c r="AS89" s="1105">
        <f>AQ89/(AQ$13-AQ$19)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1077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1047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</row>
    <row r="92" ht="15" customHeight="1" s="986">
      <c r="B92" s="16" t="inlineStr">
        <is>
          <t>ARRENDAMIENTOS</t>
        </is>
      </c>
      <c r="C92" s="90">
        <f>SUM(C93:C95)</f>
        <v/>
      </c>
      <c r="D92" s="3" t="n"/>
      <c r="E92" s="1053" t="n"/>
      <c r="F92" s="90">
        <f>SUM(F93:F95)</f>
        <v/>
      </c>
      <c r="G92" s="3" t="n"/>
      <c r="H92" s="1053">
        <f>F92/F$13</f>
        <v/>
      </c>
      <c r="I92" s="90">
        <f>SUM(I93:I95)</f>
        <v/>
      </c>
      <c r="J92" s="3" t="n"/>
      <c r="K92" s="1053">
        <f>I92/I$13</f>
        <v/>
      </c>
      <c r="L92" s="49">
        <f>SUM(L93:L95)</f>
        <v/>
      </c>
      <c r="M92" s="3" t="n"/>
      <c r="N92" s="1053">
        <f>L92/L$13</f>
        <v/>
      </c>
      <c r="O92" s="49">
        <f>SUM(O93:O95)</f>
        <v/>
      </c>
      <c r="P92" s="3" t="n"/>
      <c r="Q92" s="1053">
        <f>O92/O$13</f>
        <v/>
      </c>
      <c r="R92" s="49">
        <f>SUM(R93:R95)</f>
        <v/>
      </c>
      <c r="S92" s="3" t="n"/>
      <c r="T92" s="1053">
        <f>R92/R$13</f>
        <v/>
      </c>
      <c r="U92" s="49">
        <f>SUM(U93:U95)</f>
        <v/>
      </c>
      <c r="V92" s="3" t="n"/>
      <c r="W92" s="1053" t="n"/>
      <c r="X92" s="49">
        <f>SUM(X93:X95)</f>
        <v/>
      </c>
      <c r="Y92" s="3" t="n"/>
      <c r="Z92" s="1053">
        <f>X92/X$13</f>
        <v/>
      </c>
      <c r="AA92" s="49">
        <f>SUM(AA93:AA95)</f>
        <v/>
      </c>
      <c r="AB92" s="3" t="n"/>
      <c r="AC92" s="1053" t="n"/>
      <c r="AD92" s="49" t="n"/>
      <c r="AE92" s="3" t="n"/>
      <c r="AF92" s="1053" t="n"/>
      <c r="AG92" s="49" t="n"/>
      <c r="AH92" s="3" t="n"/>
      <c r="AI92" s="1053" t="n"/>
      <c r="AJ92" s="49" t="n"/>
      <c r="AK92" s="3" t="n"/>
      <c r="AL92" s="1053" t="n"/>
      <c r="AM92" s="16">
        <f>C92+F92+I92+L92+O92+R92+U92+X92+AA92+AD92+AG92+AJ92</f>
        <v/>
      </c>
      <c r="AN92" s="3" t="n"/>
      <c r="AO92" s="1076">
        <f>AM92/(AM$13)</f>
        <v/>
      </c>
      <c r="AQ92" s="17" t="n"/>
      <c r="AR92" s="17">
        <f>AQ92/(AQ$12-AQ$8)</f>
        <v/>
      </c>
      <c r="AS92" s="1105">
        <f>AQ92/(AQ$13-AQ$19)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1077" t="n"/>
      <c r="AM93" s="209">
        <f>C93+F93+I93+L93+O93+R93+U93+X93+AA93+AD93+AG93+AJ93</f>
        <v/>
      </c>
      <c r="AN93" s="69" t="n"/>
      <c r="AO93" s="1082" t="n"/>
      <c r="AP93" s="1124" t="n"/>
      <c r="AQ93" s="31" t="n"/>
      <c r="AR93" s="31" t="n"/>
      <c r="AS93" s="1123" t="n"/>
    </row>
    <row r="94" outlineLevel="1" ht="15" customHeight="1" s="986">
      <c r="B94" s="39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1045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</row>
    <row r="95" outlineLevel="1" ht="15" customHeight="1" s="986">
      <c r="B95" s="39" t="inlineStr">
        <is>
          <t>Equipo de Oficina</t>
        </is>
      </c>
      <c r="C95" s="25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1073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</row>
    <row r="96" ht="15" customHeight="1" s="986">
      <c r="B96" s="106" t="inlineStr">
        <is>
          <t>SEGUROS</t>
        </is>
      </c>
      <c r="C96" s="90">
        <f>SUM(C97:C98)</f>
        <v/>
      </c>
      <c r="D96" s="3" t="n"/>
      <c r="E96" s="1053" t="n"/>
      <c r="F96" s="90">
        <f>SUM(F97:F98)</f>
        <v/>
      </c>
      <c r="G96" s="3" t="n"/>
      <c r="H96" s="1053">
        <f>F96/F$13</f>
        <v/>
      </c>
      <c r="I96" s="90">
        <f>SUM(I97:I98)</f>
        <v/>
      </c>
      <c r="J96" s="3" t="n"/>
      <c r="K96" s="1053">
        <f>I96/I$13</f>
        <v/>
      </c>
      <c r="L96" s="49">
        <f>SUM(L97:L98)</f>
        <v/>
      </c>
      <c r="M96" s="3" t="n"/>
      <c r="N96" s="1053">
        <f>L96/L$13</f>
        <v/>
      </c>
      <c r="O96" s="49">
        <f>SUM(O97:O98)</f>
        <v/>
      </c>
      <c r="P96" s="3" t="n"/>
      <c r="Q96" s="1053">
        <f>O96/O$13</f>
        <v/>
      </c>
      <c r="R96" s="49">
        <f>SUM(R97:R98)</f>
        <v/>
      </c>
      <c r="S96" s="3" t="n"/>
      <c r="T96" s="1053">
        <f>R96/R$13</f>
        <v/>
      </c>
      <c r="U96" s="49">
        <f>SUM(U97:U98)</f>
        <v/>
      </c>
      <c r="V96" s="3" t="n"/>
      <c r="W96" s="1053" t="n"/>
      <c r="X96" s="49">
        <f>SUM(X97:X98)</f>
        <v/>
      </c>
      <c r="Y96" s="3" t="n"/>
      <c r="Z96" s="1053">
        <f>X96/X$13</f>
        <v/>
      </c>
      <c r="AA96" s="49">
        <f>SUM(AA97:AA98)</f>
        <v/>
      </c>
      <c r="AB96" s="3" t="n"/>
      <c r="AC96" s="1053" t="n"/>
      <c r="AD96" s="49" t="n"/>
      <c r="AE96" s="3" t="n"/>
      <c r="AF96" s="1053" t="n"/>
      <c r="AG96" s="49">
        <f>SUM(AG97:AG98)</f>
        <v/>
      </c>
      <c r="AH96" s="3" t="n"/>
      <c r="AI96" s="1053" t="n"/>
      <c r="AJ96" s="49" t="n"/>
      <c r="AK96" s="3" t="n"/>
      <c r="AL96" s="1053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>
        <f>AQ96/(AQ$12-AQ$8)</f>
        <v/>
      </c>
      <c r="AS96" s="1105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1077" t="n"/>
      <c r="AM97" s="209">
        <f>C97+F97+I97+L97+O97+R97+U97+X97+AA97+AD97+AG97+AJ97</f>
        <v/>
      </c>
      <c r="AN97" s="69" t="n"/>
      <c r="AO97" s="1082" t="n"/>
      <c r="AP97" s="2" t="n"/>
      <c r="AQ97" s="31" t="n"/>
      <c r="AR97" s="31" t="n"/>
      <c r="AS97" s="112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084" t="n"/>
      <c r="F98" s="83" t="n"/>
      <c r="G98" s="84" t="n"/>
      <c r="H98" s="1047" t="n"/>
      <c r="I98" s="83" t="n"/>
      <c r="J98" s="84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1084" t="n"/>
      <c r="AM98" s="278">
        <f>C98+F98+I98+L98+O98+R98+U98+X98+AA98+AD98+AG98+AJ98</f>
        <v/>
      </c>
      <c r="AN98" s="276" t="n"/>
      <c r="AO98" s="1085" t="n"/>
      <c r="AP98" s="2" t="n"/>
      <c r="AQ98" s="279" t="n"/>
      <c r="AR98" s="279" t="n"/>
      <c r="AS98" s="1125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F99/F$13</f>
        <v/>
      </c>
      <c r="I99" s="49">
        <f>SUM(I100:I106)</f>
        <v/>
      </c>
      <c r="J99" s="3" t="n"/>
      <c r="K99" s="1053">
        <f>I99/I$13</f>
        <v/>
      </c>
      <c r="L99" s="49">
        <f>SUM(L100:L106)</f>
        <v/>
      </c>
      <c r="M99" s="3" t="n"/>
      <c r="N99" s="1053">
        <f>L99/L$13</f>
        <v/>
      </c>
      <c r="O99" s="49">
        <f>SUM(O100:O106)</f>
        <v/>
      </c>
      <c r="P99" s="3" t="n"/>
      <c r="Q99" s="1053">
        <f>O99/O$13</f>
        <v/>
      </c>
      <c r="R99" s="49">
        <f>SUM(R100:R106)</f>
        <v/>
      </c>
      <c r="S99" s="3" t="n"/>
      <c r="T99" s="1053">
        <f>R99/R$13</f>
        <v/>
      </c>
      <c r="U99" s="49">
        <f>SUM(U100:U106)</f>
        <v/>
      </c>
      <c r="V99" s="3" t="n"/>
      <c r="W99" s="1053" t="n"/>
      <c r="X99" s="49">
        <f>SUM(X100:X106)</f>
        <v/>
      </c>
      <c r="Y99" s="3" t="n"/>
      <c r="Z99" s="1053">
        <f>X99/X$13</f>
        <v/>
      </c>
      <c r="AA99" s="49">
        <f>SUM(AA100:AA106)</f>
        <v/>
      </c>
      <c r="AB99" s="3" t="n"/>
      <c r="AC99" s="1053" t="n"/>
      <c r="AD99" s="49" t="n"/>
      <c r="AE99" s="3" t="n"/>
      <c r="AF99" s="1053" t="n"/>
      <c r="AG99" s="49" t="n"/>
      <c r="AH99" s="3" t="n"/>
      <c r="AI99" s="1053" t="n"/>
      <c r="AJ99" s="49" t="n"/>
      <c r="AK99" s="3" t="n"/>
      <c r="AL99" s="1053" t="n"/>
      <c r="AM99" s="16">
        <f>C99+F99+I99+L99+O99+R99+U99+X99+AA99+AD99+AG99+AJ99</f>
        <v/>
      </c>
      <c r="AN99" s="3" t="n"/>
      <c r="AO99" s="1076">
        <f>AM99/(AM$13)</f>
        <v/>
      </c>
      <c r="AQ99" s="17">
        <f>SUM(AQ100:AQ108)</f>
        <v/>
      </c>
      <c r="AR99" s="17">
        <f>AQ99/(AQ$12-AQ$8)</f>
        <v/>
      </c>
      <c r="AS99" s="1105">
        <f>AQ99/(AQ$13-AQ$19)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077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</row>
    <row r="101" outlineLevel="1" ht="15" customHeight="1" s="986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45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45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</row>
    <row r="103" outlineLevel="1" ht="15" customHeight="1" s="986">
      <c r="B103" s="25" t="inlineStr">
        <is>
          <t>Laboratorio</t>
        </is>
      </c>
      <c r="C103" s="25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1045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</row>
    <row r="104" outlineLevel="1" ht="15" customHeight="1" s="986">
      <c r="B104" s="25" t="inlineStr">
        <is>
          <t>Fumigacion</t>
        </is>
      </c>
      <c r="C104" s="25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1045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</row>
    <row r="105" outlineLevel="1" ht="15" customHeight="1" s="986">
      <c r="B105" s="25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1045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</row>
    <row r="106" outlineLevel="1" ht="15" customHeight="1" s="986">
      <c r="B106" s="25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25" t="n"/>
      <c r="M106" s="43" t="n"/>
      <c r="N106" s="1045" t="n"/>
      <c r="O106" s="25" t="n"/>
      <c r="P106" s="43" t="n"/>
      <c r="Q106" s="1045" t="n"/>
      <c r="R106" s="25" t="n"/>
      <c r="S106" s="43" t="n"/>
      <c r="T106" s="1045" t="n"/>
      <c r="U106" s="25" t="n"/>
      <c r="V106" s="43" t="n"/>
      <c r="W106" s="1045" t="n"/>
      <c r="X106" s="25" t="n"/>
      <c r="Y106" s="43" t="n"/>
      <c r="Z106" s="1045" t="n"/>
      <c r="AA106" s="25" t="n"/>
      <c r="AB106" s="43" t="n"/>
      <c r="AC106" s="1045" t="n"/>
      <c r="AD106" s="25" t="n"/>
      <c r="AE106" s="43" t="n"/>
      <c r="AF106" s="1045" t="n"/>
      <c r="AG106" s="25" t="n"/>
      <c r="AH106" s="43" t="n"/>
      <c r="AI106" s="1045" t="n"/>
      <c r="AJ106" s="25" t="n"/>
      <c r="AK106" s="43" t="n"/>
      <c r="AL106" s="1045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</row>
    <row r="107" outlineLevel="1" ht="15" customHeight="1" s="986">
      <c r="B107" s="205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25" t="n"/>
      <c r="M107" s="43" t="n"/>
      <c r="N107" s="1045" t="n"/>
      <c r="O107" s="25" t="n"/>
      <c r="P107" s="43" t="n"/>
      <c r="Q107" s="1045" t="n"/>
      <c r="R107" s="25" t="n"/>
      <c r="S107" s="43" t="n"/>
      <c r="T107" s="1045" t="n"/>
      <c r="U107" s="25" t="n"/>
      <c r="V107" s="43" t="n"/>
      <c r="W107" s="1045" t="n"/>
      <c r="X107" s="25" t="n"/>
      <c r="Y107" s="43" t="n"/>
      <c r="Z107" s="1045" t="n"/>
      <c r="AA107" s="25" t="n"/>
      <c r="AB107" s="43" t="n"/>
      <c r="AC107" s="1045" t="n"/>
      <c r="AD107" s="25" t="n"/>
      <c r="AE107" s="43" t="n"/>
      <c r="AF107" s="1045" t="n"/>
      <c r="AG107" s="25" t="n"/>
      <c r="AH107" s="43" t="n"/>
      <c r="AI107" s="1045" t="n"/>
      <c r="AJ107" s="25" t="n"/>
      <c r="AK107" s="43" t="n"/>
      <c r="AL107" s="1045" t="n"/>
      <c r="AM107" s="205" t="n"/>
      <c r="AN107" s="43" t="n"/>
      <c r="AO107" s="1046" t="n"/>
      <c r="AQ107" s="24" t="n"/>
      <c r="AR107" s="24" t="n"/>
      <c r="AS107" s="1108" t="n"/>
    </row>
    <row r="108" outlineLevel="1" ht="15" customHeight="1" s="986">
      <c r="B108" s="349" t="inlineStr">
        <is>
          <t>Correo, porte y telegramas</t>
        </is>
      </c>
      <c r="C108" s="2" t="n"/>
      <c r="D108" s="42" t="n"/>
      <c r="E108" s="1057" t="n"/>
      <c r="F108" s="2" t="n"/>
      <c r="G108" s="42" t="n"/>
      <c r="H108" s="1057" t="n"/>
      <c r="I108" s="2" t="n"/>
      <c r="J108" s="42" t="n"/>
      <c r="K108" s="1057" t="n"/>
      <c r="L108" s="2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" t="n"/>
      <c r="AH108" s="42" t="n"/>
      <c r="AI108" s="1057" t="n"/>
      <c r="AJ108" s="2" t="n"/>
      <c r="AK108" s="42" t="n"/>
      <c r="AL108" s="1057" t="n"/>
      <c r="AM108" s="97" t="n"/>
      <c r="AN108" s="42" t="n"/>
      <c r="AO108" s="1058" t="n"/>
      <c r="AQ108" s="23" t="n"/>
      <c r="AR108" s="23" t="n"/>
      <c r="AS108" s="1107" t="n"/>
    </row>
    <row r="109" ht="15" customHeight="1" s="986">
      <c r="B109" s="16" t="inlineStr">
        <is>
          <t>GASTOS LEGALES</t>
        </is>
      </c>
      <c r="C109" s="90">
        <f>SUM(C110:C113)</f>
        <v/>
      </c>
      <c r="D109" s="3" t="n"/>
      <c r="E109" s="1053" t="n"/>
      <c r="F109" s="90">
        <f>SUM(F110:F113)</f>
        <v/>
      </c>
      <c r="G109" s="3" t="n"/>
      <c r="H109" s="1053">
        <f>F109/F$13</f>
        <v/>
      </c>
      <c r="I109" s="90">
        <f>SUM(I110:I113)</f>
        <v/>
      </c>
      <c r="J109" s="3" t="n"/>
      <c r="K109" s="1053">
        <f>I109/I$13</f>
        <v/>
      </c>
      <c r="L109" s="49">
        <f>SUM(L110:L113)</f>
        <v/>
      </c>
      <c r="M109" s="3" t="n"/>
      <c r="N109" s="1053">
        <f>L109/L$13</f>
        <v/>
      </c>
      <c r="O109" s="49">
        <f>SUM(O110:O113)</f>
        <v/>
      </c>
      <c r="P109" s="3" t="n"/>
      <c r="Q109" s="1053">
        <f>O109/O$13</f>
        <v/>
      </c>
      <c r="R109" s="49">
        <f>SUM(R110:R113)</f>
        <v/>
      </c>
      <c r="S109" s="3" t="n"/>
      <c r="T109" s="1053">
        <f>R109/R$13</f>
        <v/>
      </c>
      <c r="U109" s="49">
        <f>SUM(U110:U113)</f>
        <v/>
      </c>
      <c r="V109" s="3" t="n"/>
      <c r="W109" s="1053" t="n"/>
      <c r="X109" s="49">
        <f>SUM(X110:X113)</f>
        <v/>
      </c>
      <c r="Y109" s="3" t="n"/>
      <c r="Z109" s="1053">
        <f>X109/X$13</f>
        <v/>
      </c>
      <c r="AA109" s="49">
        <f>SUM(AA110:AA113)</f>
        <v/>
      </c>
      <c r="AB109" s="3" t="n"/>
      <c r="AC109" s="1053" t="n"/>
      <c r="AD109" s="49" t="n"/>
      <c r="AE109" s="3" t="n"/>
      <c r="AF109" s="1053" t="n"/>
      <c r="AG109" s="49" t="n"/>
      <c r="AH109" s="3" t="n"/>
      <c r="AI109" s="1053" t="n"/>
      <c r="AJ109" s="49" t="n"/>
      <c r="AK109" s="3" t="n"/>
      <c r="AL109" s="1053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>
        <f>AQ109/(AQ$12-AQ$8)</f>
        <v/>
      </c>
      <c r="AS109" s="1105">
        <f>AQ109/(AQ$13-AQ$19)</f>
        <v/>
      </c>
    </row>
    <row r="110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1077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</row>
    <row r="11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1045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</row>
    <row r="112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1045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</row>
    <row r="113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1073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F114/F$13</f>
        <v/>
      </c>
      <c r="I114" s="49">
        <f>SUM(I115:I116)</f>
        <v/>
      </c>
      <c r="J114" s="3" t="n"/>
      <c r="K114" s="1053">
        <f>I114/I$13</f>
        <v/>
      </c>
      <c r="L114" s="49">
        <f>SUM(L115:L116)</f>
        <v/>
      </c>
      <c r="M114" s="3" t="n"/>
      <c r="N114" s="1053">
        <f>L114/L$13</f>
        <v/>
      </c>
      <c r="O114" s="49">
        <f>SUM(O115:O116)</f>
        <v/>
      </c>
      <c r="P114" s="3" t="n"/>
      <c r="Q114" s="1053">
        <f>O114/O$13</f>
        <v/>
      </c>
      <c r="R114" s="49">
        <f>SUM(R115:R116)</f>
        <v/>
      </c>
      <c r="S114" s="3" t="n"/>
      <c r="T114" s="1053">
        <f>R114/R$13</f>
        <v/>
      </c>
      <c r="U114" s="49">
        <f>SUM(U115:U116)</f>
        <v/>
      </c>
      <c r="V114" s="3" t="n"/>
      <c r="W114" s="1053" t="n"/>
      <c r="X114" s="49">
        <f>SUM(X115:X116)</f>
        <v/>
      </c>
      <c r="Y114" s="3" t="n"/>
      <c r="Z114" s="1053">
        <f>X114/X$13</f>
        <v/>
      </c>
      <c r="AA114" s="49">
        <f>SUM(AA115:AA116)</f>
        <v/>
      </c>
      <c r="AB114" s="3" t="n"/>
      <c r="AC114" s="1053" t="n"/>
      <c r="AD114" s="49" t="n"/>
      <c r="AE114" s="3" t="n"/>
      <c r="AF114" s="1053" t="n"/>
      <c r="AG114" s="49" t="n"/>
      <c r="AH114" s="3" t="n"/>
      <c r="AI114" s="1053" t="n"/>
      <c r="AJ114" s="49" t="n"/>
      <c r="AK114" s="3" t="n"/>
      <c r="AL114" s="1053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>
        <f>AQ114/(AQ$12-AQ$8)</f>
        <v/>
      </c>
      <c r="AS114" s="1105">
        <f>AQ114/(AQ$13-AQ$19)</f>
        <v/>
      </c>
    </row>
    <row r="115" outlineLevel="1" ht="15" customHeight="1" s="986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077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55" t="n"/>
      <c r="AJ115" s="78" t="n"/>
      <c r="AK115" s="79" t="n"/>
      <c r="AL115" s="1077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</row>
    <row r="116" outlineLevel="1" ht="15" customHeight="1" s="986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45" t="n"/>
      <c r="AJ116" s="25" t="n"/>
      <c r="AK116" s="43" t="n"/>
      <c r="AL116" s="1045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45" t="n"/>
      <c r="AJ117" s="25" t="n"/>
      <c r="AK117" s="43" t="n"/>
      <c r="AL117" s="1045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</row>
    <row r="118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45" t="n"/>
      <c r="AJ118" s="25" t="n"/>
      <c r="AK118" s="43" t="n"/>
      <c r="AL118" s="1045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</row>
    <row r="119" outlineLevel="1" ht="15" customHeight="1" s="986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057" t="n"/>
      <c r="F119" s="83" t="n"/>
      <c r="G119" s="84" t="n"/>
      <c r="H119" s="1047" t="n"/>
      <c r="I119" s="83" t="n"/>
      <c r="J119" s="84" t="n"/>
      <c r="K119" s="1047" t="n"/>
      <c r="L119" s="83" t="n"/>
      <c r="M119" s="84" t="n"/>
      <c r="N119" s="1047" t="n"/>
      <c r="O119" s="83" t="n"/>
      <c r="P119" s="84" t="n"/>
      <c r="Q119" s="1047" t="n"/>
      <c r="R119" s="83" t="n"/>
      <c r="S119" s="84" t="n"/>
      <c r="T119" s="1047" t="n"/>
      <c r="U119" s="83" t="n"/>
      <c r="V119" s="84" t="n"/>
      <c r="W119" s="1047" t="n"/>
      <c r="X119" s="83" t="n"/>
      <c r="Y119" s="84" t="n"/>
      <c r="Z119" s="1047" t="n"/>
      <c r="AA119" s="83" t="n"/>
      <c r="AB119" s="84" t="n"/>
      <c r="AC119" s="1047" t="n"/>
      <c r="AD119" s="83" t="n"/>
      <c r="AE119" s="84" t="n"/>
      <c r="AF119" s="1047" t="n"/>
      <c r="AG119" s="83" t="n"/>
      <c r="AH119" s="84" t="n"/>
      <c r="AI119" s="1047" t="n"/>
      <c r="AJ119" s="83" t="n"/>
      <c r="AK119" s="84" t="n"/>
      <c r="AL119" s="1057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</row>
    <row r="120" ht="15" customHeight="1" s="986">
      <c r="B120" s="16" t="inlineStr">
        <is>
          <t>ADECUACIONES E INSTALACIONES</t>
        </is>
      </c>
      <c r="C120" s="49">
        <f>SUM(C121)</f>
        <v/>
      </c>
      <c r="D120" s="3" t="n"/>
      <c r="E120" s="1053" t="n"/>
      <c r="F120" s="49">
        <f>SUM(F121)</f>
        <v/>
      </c>
      <c r="G120" s="3" t="n"/>
      <c r="H120" s="1053">
        <f>F120/F$13</f>
        <v/>
      </c>
      <c r="I120" s="49">
        <f>SUM(I121)</f>
        <v/>
      </c>
      <c r="J120" s="3" t="n"/>
      <c r="K120" s="1053">
        <f>I120/I$13</f>
        <v/>
      </c>
      <c r="L120" s="49">
        <f>SUM(L121)</f>
        <v/>
      </c>
      <c r="M120" s="3" t="n"/>
      <c r="N120" s="1053">
        <f>L120/L$13</f>
        <v/>
      </c>
      <c r="O120" s="49">
        <f>SUM(O121)</f>
        <v/>
      </c>
      <c r="P120" s="3" t="n"/>
      <c r="Q120" s="1053">
        <f>O120/O$13</f>
        <v/>
      </c>
      <c r="R120" s="49">
        <f>SUM(R121)</f>
        <v/>
      </c>
      <c r="S120" s="3" t="n"/>
      <c r="T120" s="1053">
        <f>R120/R$13</f>
        <v/>
      </c>
      <c r="U120" s="49">
        <f>SUM(U121)</f>
        <v/>
      </c>
      <c r="V120" s="3" t="n"/>
      <c r="W120" s="1053" t="n"/>
      <c r="X120" s="49">
        <f>SUM(X121)</f>
        <v/>
      </c>
      <c r="Y120" s="3" t="n"/>
      <c r="Z120" s="1053">
        <f>X120/X$13</f>
        <v/>
      </c>
      <c r="AA120" s="49">
        <f>SUM(AA121)</f>
        <v/>
      </c>
      <c r="AB120" s="3" t="n"/>
      <c r="AC120" s="1053" t="n"/>
      <c r="AD120" s="49">
        <f>SUM(AD121)</f>
        <v/>
      </c>
      <c r="AE120" s="3" t="n"/>
      <c r="AF120" s="1053" t="n"/>
      <c r="AG120" s="49">
        <f>SUM(AG121)</f>
        <v/>
      </c>
      <c r="AH120" s="3" t="n"/>
      <c r="AI120" s="1053" t="n"/>
      <c r="AJ120" s="49" t="n"/>
      <c r="AK120" s="3" t="n"/>
      <c r="AL120" s="1053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>
        <f>AQ120/(AQ$12-AQ$8)</f>
        <v/>
      </c>
      <c r="AS120" s="1105">
        <f>AQ120/(AQ$13-AQ$19)</f>
        <v/>
      </c>
    </row>
    <row r="121" ht="15" customHeight="1" s="986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1077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</row>
    <row r="122" ht="15" customHeight="1" s="986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063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47" t="n"/>
      <c r="AJ122" s="83" t="n"/>
      <c r="AK122" s="84" t="n"/>
      <c r="AL122" s="1047" t="n"/>
      <c r="AM122" s="206" t="n"/>
      <c r="AN122" s="84" t="n"/>
      <c r="AO122" s="1064" t="n"/>
      <c r="AQ122" s="133" t="n"/>
      <c r="AR122" s="133" t="n"/>
      <c r="AS122" s="1126" t="n"/>
    </row>
    <row r="123" ht="15" customHeight="1" s="986">
      <c r="B123" s="16" t="inlineStr">
        <is>
          <t>GASTOS DE VIAJE</t>
        </is>
      </c>
      <c r="C123" s="90">
        <f>SUM(C124:C126)</f>
        <v/>
      </c>
      <c r="D123" s="3" t="n"/>
      <c r="E123" s="1053" t="n"/>
      <c r="F123" s="90">
        <f>SUM(F124:F126)</f>
        <v/>
      </c>
      <c r="G123" s="3" t="n"/>
      <c r="H123" s="1053" t="n"/>
      <c r="I123" s="90">
        <f>SUM(I124:I126)</f>
        <v/>
      </c>
      <c r="J123" s="3" t="n"/>
      <c r="K123" s="1053" t="n"/>
      <c r="L123" s="49">
        <f>SUM(L124:L126)</f>
        <v/>
      </c>
      <c r="M123" s="3" t="n"/>
      <c r="N123" s="1053" t="n"/>
      <c r="O123" s="49">
        <f>SUM(O124:O126)</f>
        <v/>
      </c>
      <c r="P123" s="3" t="n"/>
      <c r="Q123" s="1053" t="n"/>
      <c r="R123" s="49">
        <f>SUM(R124:R126)</f>
        <v/>
      </c>
      <c r="S123" s="3" t="n"/>
      <c r="T123" s="1053" t="n"/>
      <c r="U123" s="49">
        <f>SUM(U124:U126)</f>
        <v/>
      </c>
      <c r="V123" s="3" t="n"/>
      <c r="W123" s="1053" t="n"/>
      <c r="X123" s="49">
        <f>SUM(X124:X126)</f>
        <v/>
      </c>
      <c r="Y123" s="3" t="n"/>
      <c r="Z123" s="1053" t="n"/>
      <c r="AA123" s="49">
        <f>SUM(AA124:AA126)</f>
        <v/>
      </c>
      <c r="AB123" s="3" t="n"/>
      <c r="AC123" s="1053" t="n"/>
      <c r="AD123" s="49" t="n"/>
      <c r="AE123" s="3" t="n"/>
      <c r="AF123" s="1053" t="n"/>
      <c r="AG123" s="49" t="n"/>
      <c r="AH123" s="3" t="n"/>
      <c r="AI123" s="1053" t="n"/>
      <c r="AJ123" s="49" t="n"/>
      <c r="AK123" s="3" t="n"/>
      <c r="AL123" s="1053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>
        <f>AQ123/(AQ$12-AQ$8)</f>
        <v/>
      </c>
      <c r="AS123" s="1105">
        <f>AQ123/(AQ$13-AQ$19)</f>
        <v/>
      </c>
    </row>
    <row r="124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1077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</row>
    <row r="125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1045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</row>
    <row r="126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1073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</row>
    <row r="127" ht="15" customHeight="1" s="986">
      <c r="B127" s="16" t="inlineStr">
        <is>
          <t>DIVERSOS</t>
        </is>
      </c>
      <c r="C127" s="90">
        <f>SUM(C128:C142)</f>
        <v/>
      </c>
      <c r="D127" s="3" t="n"/>
      <c r="E127" s="1053" t="n"/>
      <c r="F127" s="90">
        <f>SUM(F128:F142)</f>
        <v/>
      </c>
      <c r="G127" s="3" t="n"/>
      <c r="H127" s="1053">
        <f>F127/F$13</f>
        <v/>
      </c>
      <c r="I127" s="90">
        <f>SUM(I128:I142)</f>
        <v/>
      </c>
      <c r="J127" s="3" t="n"/>
      <c r="K127" s="1053">
        <f>I127/I$13</f>
        <v/>
      </c>
      <c r="L127" s="49">
        <f>SUM(L128:L142)</f>
        <v/>
      </c>
      <c r="M127" s="3" t="n"/>
      <c r="N127" s="1053">
        <f>L127/L$13</f>
        <v/>
      </c>
      <c r="O127" s="49">
        <f>SUM(O128:O142)</f>
        <v/>
      </c>
      <c r="P127" s="3" t="n"/>
      <c r="Q127" s="1053">
        <f>O127/O$13</f>
        <v/>
      </c>
      <c r="R127" s="49">
        <f>SUM(R128:R142)</f>
        <v/>
      </c>
      <c r="S127" s="3" t="n"/>
      <c r="T127" s="1053">
        <f>R127/R$13</f>
        <v/>
      </c>
      <c r="U127" s="49">
        <f>SUM(U128:U142)</f>
        <v/>
      </c>
      <c r="V127" s="3" t="n"/>
      <c r="W127" s="1053" t="n"/>
      <c r="X127" s="49">
        <f>SUM(X128:X142)</f>
        <v/>
      </c>
      <c r="Y127" s="3" t="n"/>
      <c r="Z127" s="1053">
        <f>X127/X$13</f>
        <v/>
      </c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 t="n"/>
      <c r="AG127" s="49">
        <f>SUM(AG128:AG142)</f>
        <v/>
      </c>
      <c r="AH127" s="3" t="n"/>
      <c r="AI127" s="1053" t="n"/>
      <c r="AJ127" s="49" t="n"/>
      <c r="AK127" s="3" t="n"/>
      <c r="AL127" s="1053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>
        <f>AQ127/(AQ$12-AQ$8)</f>
        <v/>
      </c>
      <c r="AS127" s="1105">
        <f>AQ127/(AQ$13-AQ$19)</f>
        <v/>
      </c>
    </row>
    <row r="128" outlineLevel="1" ht="15" customHeight="1" s="986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077" t="n"/>
      <c r="AJ128" s="39" t="n"/>
      <c r="AK128" s="69" t="n"/>
      <c r="AL128" s="1077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</row>
    <row r="129" outlineLevel="1" ht="15" customHeight="1" s="98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45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45" t="n"/>
      <c r="AJ129" s="25" t="n"/>
      <c r="AK129" s="43" t="n"/>
      <c r="AL129" s="1045" t="n"/>
      <c r="AM129" s="205">
        <f>C129+F129+I129+L129+O129+R129+U129+X129+AA129+AD129+AG129+AJ129</f>
        <v/>
      </c>
      <c r="AN129" s="92" t="n"/>
      <c r="AO129" s="1127" t="n"/>
      <c r="AQ129" s="24" t="n"/>
      <c r="AR129" s="24" t="n"/>
      <c r="AS129" s="1108" t="n"/>
    </row>
    <row r="130" outlineLevel="1" ht="15" customHeight="1" s="98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1045" t="n"/>
      <c r="AM130" s="205">
        <f>C130+F130+I130+L130+O130+R130+U130+X130+AA130+AD130+AG130+AJ130</f>
        <v/>
      </c>
      <c r="AN130" s="43" t="n"/>
      <c r="AO130" s="1045" t="n"/>
      <c r="AQ130" s="24" t="n"/>
      <c r="AR130" s="24" t="n"/>
      <c r="AS130" s="1108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1045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</row>
    <row r="132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1045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1045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1045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1045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</row>
    <row r="136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 t="n"/>
      <c r="AN136" s="43" t="n"/>
      <c r="AO136" s="1046" t="n"/>
      <c r="AQ136" s="24" t="n"/>
      <c r="AR136" s="24" t="n"/>
      <c r="AS136" s="1108" t="n"/>
    </row>
    <row r="137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1045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</row>
    <row r="138" outlineLevel="1" ht="15" customHeight="1" s="986">
      <c r="B138" s="25" t="inlineStr">
        <is>
          <t>Compra Equipos de Oficina</t>
        </is>
      </c>
      <c r="C138" s="428" t="n"/>
      <c r="D138" s="89" t="n"/>
      <c r="E138" s="1041" t="n"/>
      <c r="F138" s="428" t="n"/>
      <c r="G138" s="89" t="n"/>
      <c r="H138" s="1041" t="n"/>
      <c r="I138" s="428" t="n"/>
      <c r="J138" s="89" t="n"/>
      <c r="K138" s="1041" t="n"/>
      <c r="L138" s="428" t="n"/>
      <c r="M138" s="89" t="n"/>
      <c r="N138" s="1041" t="n"/>
      <c r="O138" s="428" t="n"/>
      <c r="P138" s="89" t="n"/>
      <c r="Q138" s="1041" t="n"/>
      <c r="R138" s="25" t="n"/>
      <c r="S138" s="89" t="n"/>
      <c r="T138" s="1041" t="n"/>
      <c r="U138" s="428" t="n"/>
      <c r="V138" s="89" t="n"/>
      <c r="W138" s="1041" t="n"/>
      <c r="X138" s="428" t="n"/>
      <c r="Y138" s="89" t="n"/>
      <c r="Z138" s="1041" t="n"/>
      <c r="AA138" s="428" t="n"/>
      <c r="AB138" s="89" t="n"/>
      <c r="AC138" s="1041" t="n"/>
      <c r="AD138" s="428" t="n"/>
      <c r="AE138" s="89" t="n"/>
      <c r="AF138" s="1041" t="n"/>
      <c r="AG138" s="428" t="n"/>
      <c r="AH138" s="89" t="n"/>
      <c r="AI138" s="1041" t="n"/>
      <c r="AJ138" s="428" t="n"/>
      <c r="AK138" s="89" t="n"/>
      <c r="AL138" s="1041" t="n"/>
      <c r="AM138" s="261">
        <f>C138+F138+I138+L138+O138+R138+U138+X138+AA138+AD138+AG138+AJ138</f>
        <v/>
      </c>
      <c r="AN138" s="89" t="n"/>
      <c r="AO138" s="1042" t="n"/>
      <c r="AQ138" s="24" t="n"/>
      <c r="AR138" s="24" t="n"/>
      <c r="AS138" s="1108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1045" t="n"/>
      <c r="AM139" s="261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1045" t="n"/>
      <c r="AM140" s="261">
        <f>C140+F140+I140+L140+O140+R140+U140+X140+AA140+AD140+AG140+AJ140</f>
        <v/>
      </c>
      <c r="AN140" s="43" t="n"/>
      <c r="AO140" s="1046" t="n"/>
      <c r="AQ140" s="24" t="n"/>
      <c r="AR140" s="24" t="n"/>
      <c r="AS140" s="1108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1045" t="n"/>
      <c r="AM141" s="261">
        <f>C141+F141+I141+L141+O141+R141+U141+X141+AA141+AD141+AG141+AJ141</f>
        <v/>
      </c>
      <c r="AN141" s="43" t="n"/>
      <c r="AO141" s="1046" t="n"/>
      <c r="AQ141" s="24" t="n"/>
      <c r="AR141" s="24" t="n"/>
      <c r="AS141" s="1108" t="n"/>
    </row>
    <row r="142" outlineLevel="1" ht="15" customHeight="1" s="98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1079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1067" t="n"/>
      <c r="AM143" s="151" t="n"/>
      <c r="AN143" s="2" t="n"/>
      <c r="AO143" s="1067" t="n"/>
      <c r="AQ143" s="136" t="n"/>
      <c r="AR143" s="136" t="n"/>
      <c r="AS143" s="1122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1128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1065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1067" t="n"/>
      <c r="AM146" s="145" t="n"/>
      <c r="AN146" s="145" t="n"/>
      <c r="AO146" s="1067" t="n"/>
      <c r="AQ146" s="633" t="n"/>
      <c r="AR146" s="633" t="n"/>
      <c r="AS146" s="1132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F147/F$13</f>
        <v/>
      </c>
      <c r="I147" s="491">
        <f>SUM(I148:I151)</f>
        <v/>
      </c>
      <c r="J147" s="492" t="n"/>
      <c r="K147" s="1069">
        <f>I147/I$13</f>
        <v/>
      </c>
      <c r="L147" s="491">
        <f>SUM(L148:L151)</f>
        <v/>
      </c>
      <c r="M147" s="492" t="n"/>
      <c r="N147" s="1069">
        <f>L147/L$13</f>
        <v/>
      </c>
      <c r="O147" s="491">
        <f>SUM(O148:O151)</f>
        <v/>
      </c>
      <c r="P147" s="492" t="n"/>
      <c r="Q147" s="1069">
        <f>O147/O$13</f>
        <v/>
      </c>
      <c r="R147" s="491">
        <f>SUM(R148:R151)</f>
        <v/>
      </c>
      <c r="S147" s="492" t="n"/>
      <c r="T147" s="1069">
        <f>R147/R$13</f>
        <v/>
      </c>
      <c r="U147" s="491">
        <f>SUM(U148:U151)</f>
        <v/>
      </c>
      <c r="V147" s="492" t="n"/>
      <c r="W147" s="1069" t="n"/>
      <c r="X147" s="491">
        <f>SUM(X148:X151)</f>
        <v/>
      </c>
      <c r="Y147" s="492" t="n"/>
      <c r="Z147" s="1069">
        <f>X147/X$13</f>
        <v/>
      </c>
      <c r="AA147" s="491">
        <f>SUM(AA148:AA151)</f>
        <v/>
      </c>
      <c r="AB147" s="492" t="n"/>
      <c r="AC147" s="1069" t="n"/>
      <c r="AD147" s="491">
        <f>SUM(AD148:AD151)</f>
        <v/>
      </c>
      <c r="AE147" s="492" t="n"/>
      <c r="AF147" s="1069" t="n"/>
      <c r="AG147" s="491">
        <f>SUM(AG148:AG151)</f>
        <v/>
      </c>
      <c r="AH147" s="492" t="n"/>
      <c r="AI147" s="1069" t="n"/>
      <c r="AJ147" s="491">
        <f>SUM(AJ148:AJ151)</f>
        <v/>
      </c>
      <c r="AK147" s="492" t="n"/>
      <c r="AL147" s="1069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>
        <f>AQ147/(AQ$13-AQ$19)</f>
        <v/>
      </c>
    </row>
    <row r="148" ht="15" customHeight="1" s="986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1077" t="n"/>
      <c r="AM148" s="209">
        <f>C148+F148+I148+L148+O148+R148+U148+X148+AA148+AD148+AG148+AJ148</f>
        <v/>
      </c>
      <c r="AN148" s="69" t="n"/>
      <c r="AO148" s="1082">
        <f>AM148/(AM$13)</f>
        <v/>
      </c>
      <c r="AQ148" s="31" t="n"/>
      <c r="AR148" s="31" t="n"/>
      <c r="AS148" s="1123">
        <f>AQ148/(AQ$13-AQ$19)</f>
        <v/>
      </c>
    </row>
    <row r="149" ht="15" customHeight="1" s="986">
      <c r="B149" s="285" t="inlineStr">
        <is>
          <t>Gastos Fijos Directivos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1045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</row>
    <row r="150" ht="15" customHeight="1" s="986">
      <c r="B150" s="107" t="inlineStr">
        <is>
          <t>Gastos Financieros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1057" t="n"/>
      <c r="AM150" s="205">
        <f>C150+F150+I150+L150+O150+R150+U150+X150+AA150+AD150+AG150+AJ150</f>
        <v/>
      </c>
      <c r="AN150" s="42" t="n"/>
      <c r="AO150" s="1058">
        <f>AM150/(AM$13)</f>
        <v/>
      </c>
      <c r="AQ150" s="24" t="n"/>
      <c r="AR150" s="24" t="n"/>
      <c r="AS150" s="1108">
        <f>AQ150/(AQ$13-AQ$19)</f>
        <v/>
      </c>
    </row>
    <row r="151" ht="15" customHeight="1" s="986" thickBot="1">
      <c r="B151" s="300" t="inlineStr">
        <is>
          <t>Donaciones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1086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1067" t="n"/>
      <c r="AM152" s="151" t="n"/>
      <c r="AN152" s="2" t="n"/>
      <c r="AO152" s="1067" t="n"/>
      <c r="AQ152" s="136" t="n"/>
      <c r="AR152" s="136" t="n"/>
      <c r="AS152" s="1122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1093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>
        <f>AQ153/AQ$13</f>
        <v/>
      </c>
    </row>
    <row r="154" ht="15" customHeight="1" s="986" thickTop="1">
      <c r="B154" s="1135" t="inlineStr">
        <is>
          <t>Novedades</t>
        </is>
      </c>
      <c r="C154" s="286" t="n"/>
      <c r="D154" s="230" t="n"/>
      <c r="E154" s="1136" t="n"/>
      <c r="F154" s="515" t="n"/>
      <c r="G154" s="230" t="n"/>
      <c r="H154" s="1136" t="n"/>
      <c r="I154" s="515" t="n"/>
      <c r="J154" s="230" t="n"/>
      <c r="K154" s="1136" t="n"/>
      <c r="L154" s="515" t="n"/>
      <c r="M154" s="230" t="n"/>
      <c r="N154" s="1136" t="n"/>
      <c r="O154" s="515" t="n"/>
      <c r="P154" s="230" t="n"/>
      <c r="Q154" s="1136" t="n"/>
      <c r="R154" s="515" t="n"/>
      <c r="S154" s="230" t="n"/>
      <c r="T154" s="1136" t="n"/>
      <c r="U154" s="515" t="n"/>
      <c r="V154" s="230" t="n"/>
      <c r="W154" s="1136" t="n"/>
      <c r="X154" s="515" t="n"/>
      <c r="Y154" s="230" t="n"/>
      <c r="Z154" s="1136" t="n"/>
      <c r="AA154" s="515" t="n"/>
      <c r="AB154" s="230" t="n"/>
      <c r="AC154" s="1136" t="n"/>
      <c r="AD154" s="515" t="n"/>
      <c r="AE154" s="230" t="n"/>
      <c r="AF154" s="1136" t="n"/>
      <c r="AG154" s="515" t="n"/>
      <c r="AH154" s="230" t="n"/>
      <c r="AI154" s="1136" t="n"/>
      <c r="AJ154" s="515" t="n"/>
      <c r="AK154" s="230" t="n"/>
      <c r="AL154" s="1136" t="n"/>
      <c r="AM154" s="287">
        <f>C154+F154+I154+L154+O154+R154+U154+X154+AA154+AD154+AG154+AJ154</f>
        <v/>
      </c>
      <c r="AN154" s="230" t="n"/>
      <c r="AO154" s="1137" t="n"/>
      <c r="AQ154" s="289" t="n"/>
      <c r="AR154" s="289" t="n"/>
      <c r="AS154" s="1138" t="n"/>
    </row>
    <row r="155" ht="15" customHeight="1" s="986">
      <c r="B155" s="1139" t="inlineStr">
        <is>
          <t>Donacion 1</t>
        </is>
      </c>
      <c r="C155" s="693" t="n"/>
      <c r="D155" s="9" t="n"/>
      <c r="E155" s="1140" t="n"/>
      <c r="F155" s="696" t="n"/>
      <c r="G155" s="9" t="n"/>
      <c r="H155" s="1140" t="n"/>
      <c r="I155" s="696" t="n"/>
      <c r="J155" s="9" t="n"/>
      <c r="K155" s="1140" t="n"/>
      <c r="L155" s="696" t="n"/>
      <c r="M155" s="9" t="n"/>
      <c r="N155" s="1140" t="n"/>
      <c r="O155" s="696" t="n"/>
      <c r="P155" s="9" t="n"/>
      <c r="Q155" s="1140" t="n"/>
      <c r="R155" s="696" t="n"/>
      <c r="S155" s="9" t="n"/>
      <c r="T155" s="1140" t="n"/>
      <c r="U155" s="696" t="n"/>
      <c r="V155" s="9" t="n"/>
      <c r="W155" s="1140" t="n"/>
      <c r="X155" s="696" t="n"/>
      <c r="Y155" s="9" t="n"/>
      <c r="Z155" s="1140" t="n"/>
      <c r="AA155" s="696" t="n"/>
      <c r="AB155" s="9" t="n"/>
      <c r="AC155" s="1140" t="n"/>
      <c r="AD155" s="696" t="n"/>
      <c r="AE155" s="9" t="n"/>
      <c r="AF155" s="1140" t="n"/>
      <c r="AG155" s="696" t="n"/>
      <c r="AH155" s="9" t="n"/>
      <c r="AI155" s="1140" t="n"/>
      <c r="AJ155" s="696" t="n"/>
      <c r="AK155" s="9" t="n"/>
      <c r="AL155" s="1140" t="n"/>
      <c r="AM155" s="567">
        <f>C155+F155+I155+L155+O155+R155+U155+X155+AA155+AD155+AG155+AJ155</f>
        <v/>
      </c>
      <c r="AN155" s="9" t="n"/>
      <c r="AO155" s="1141" t="n"/>
      <c r="AQ155" s="248" t="n"/>
      <c r="AR155" s="248" t="n"/>
      <c r="AS155" s="1142" t="n"/>
    </row>
    <row r="156" ht="15" customHeight="1" s="986">
      <c r="B156" s="1143" t="inlineStr">
        <is>
          <t>Donacion 2</t>
        </is>
      </c>
      <c r="C156" s="687" t="n"/>
      <c r="D156" s="677" t="n"/>
      <c r="E156" s="1144" t="n"/>
      <c r="F156" s="689" t="n"/>
      <c r="G156" s="677" t="n"/>
      <c r="H156" s="1144" t="n"/>
      <c r="I156" s="689" t="n"/>
      <c r="J156" s="677" t="n"/>
      <c r="K156" s="1144" t="n"/>
      <c r="L156" s="689" t="n"/>
      <c r="M156" s="677" t="n"/>
      <c r="N156" s="1144" t="n"/>
      <c r="O156" s="689" t="n"/>
      <c r="P156" s="677" t="n"/>
      <c r="Q156" s="1144" t="n"/>
      <c r="R156" s="689" t="n"/>
      <c r="S156" s="677" t="n"/>
      <c r="T156" s="1144" t="n"/>
      <c r="U156" s="689" t="n"/>
      <c r="V156" s="677" t="n"/>
      <c r="W156" s="1144" t="n"/>
      <c r="X156" s="689" t="n"/>
      <c r="Y156" s="677" t="n"/>
      <c r="Z156" s="1144" t="n"/>
      <c r="AA156" s="689" t="n"/>
      <c r="AB156" s="677" t="n"/>
      <c r="AC156" s="1144" t="n"/>
      <c r="AD156" s="689" t="n"/>
      <c r="AE156" s="677" t="n"/>
      <c r="AF156" s="1144" t="n"/>
      <c r="AG156" s="689" t="n"/>
      <c r="AH156" s="677" t="n"/>
      <c r="AI156" s="1144" t="n"/>
      <c r="AJ156" s="689" t="n"/>
      <c r="AK156" s="677" t="n"/>
      <c r="AL156" s="1144" t="n"/>
      <c r="AM156" s="682">
        <f>C156+F156+I156+L156+O156+R156+U156+X156+AA156+AD156+AG156+AJ156</f>
        <v/>
      </c>
      <c r="AN156" s="677" t="n"/>
      <c r="AO156" s="1145" t="n"/>
      <c r="AQ156" s="248" t="n"/>
      <c r="AR156" s="248" t="n"/>
      <c r="AS156" s="1142" t="n"/>
    </row>
    <row r="157" ht="15" customHeight="1" s="986">
      <c r="B157" s="1146" t="inlineStr">
        <is>
          <t>Otros Ajustes 1</t>
        </is>
      </c>
      <c r="C157" s="563" t="n"/>
      <c r="D157" s="553" t="n"/>
      <c r="E157" s="1147" t="n"/>
      <c r="F157" s="564" t="n"/>
      <c r="G157" s="553" t="n"/>
      <c r="H157" s="1147" t="n"/>
      <c r="I157" s="564" t="n"/>
      <c r="J157" s="553" t="n"/>
      <c r="K157" s="1147" t="n"/>
      <c r="L157" s="564" t="n"/>
      <c r="M157" s="553" t="n"/>
      <c r="N157" s="1147" t="n"/>
      <c r="O157" s="564" t="n"/>
      <c r="P157" s="553" t="n"/>
      <c r="Q157" s="1147" t="n"/>
      <c r="R157" s="564" t="n"/>
      <c r="S157" s="553" t="n"/>
      <c r="T157" s="1147" t="n"/>
      <c r="U157" s="564" t="n"/>
      <c r="V157" s="553" t="n"/>
      <c r="W157" s="1147" t="n"/>
      <c r="X157" s="714" t="n"/>
      <c r="Y157" s="553" t="n"/>
      <c r="Z157" s="1147" t="n"/>
      <c r="AA157" s="714" t="n"/>
      <c r="AB157" s="553" t="n"/>
      <c r="AC157" s="1147" t="n"/>
      <c r="AD157" s="564" t="n"/>
      <c r="AE157" s="553" t="n"/>
      <c r="AF157" s="1147" t="n"/>
      <c r="AG157" s="564" t="n"/>
      <c r="AH157" s="553" t="n"/>
      <c r="AI157" s="1147" t="n"/>
      <c r="AJ157" s="1148" t="n"/>
      <c r="AK157" s="553" t="n"/>
      <c r="AL157" s="1147" t="n"/>
      <c r="AM157" s="558">
        <f>C157+F157+I157+L157+O157+R157+U157+X157+AA157+AD157+AG157+AJ157</f>
        <v/>
      </c>
      <c r="AN157" s="553" t="n"/>
      <c r="AO157" s="616">
        <f>AM157/AM13</f>
        <v/>
      </c>
      <c r="AQ157" s="561" t="n"/>
      <c r="AR157" s="561" t="n"/>
      <c r="AS157" s="1149" t="n"/>
    </row>
    <row r="158" ht="15" customHeight="1" s="986">
      <c r="B158" s="1150" t="inlineStr">
        <is>
          <t>Otros Ajustes 2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1151" t="n"/>
      <c r="AM158" s="205">
        <f>C158+F158+I158+L158+O158+R158+U158+X158+AA158+AD158+AG158+AJ158</f>
        <v/>
      </c>
      <c r="AN158" s="13" t="n"/>
      <c r="AO158" s="1152" t="n"/>
      <c r="AQ158" s="296" t="n"/>
      <c r="AR158" s="296" t="n"/>
      <c r="AS158" s="1153" t="n"/>
    </row>
    <row r="159" ht="15" customHeight="1" s="986">
      <c r="B159" s="1150" t="inlineStr">
        <is>
          <t>Otros Ajustes 3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1151" t="n"/>
      <c r="AM159" s="205" t="n"/>
      <c r="AN159" s="13" t="n"/>
      <c r="AO159" s="1152" t="n"/>
      <c r="AQ159" s="296" t="n"/>
      <c r="AR159" s="296" t="n"/>
      <c r="AS159" s="1153" t="n"/>
    </row>
    <row r="160" ht="15" customHeight="1" s="986" thickBot="1">
      <c r="B160" s="1154" t="inlineStr">
        <is>
          <t>Otros Ajustes 4</t>
        </is>
      </c>
      <c r="C160" s="234" t="n"/>
      <c r="D160" s="233" t="n"/>
      <c r="E160" s="1155" t="n"/>
      <c r="F160" s="569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1155" t="n"/>
      <c r="AM160" s="292">
        <f>C160+F160+I160+L160+O160+R160+U160+X160+AA160+AD160+AG160+AJ160</f>
        <v/>
      </c>
      <c r="AN160" s="233" t="n"/>
      <c r="AO160" s="1156" t="n"/>
      <c r="AQ160" s="622" t="n"/>
      <c r="AR160" s="622" t="n"/>
      <c r="AS160" s="1157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1093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</row>
    <row r="162" ht="15" customHeight="1" s="986" thickBot="1" thickTop="1">
      <c r="B162" s="65" t="n"/>
      <c r="C162" s="501">
        <f>IFERROR(C161/C13," ")</f>
        <v/>
      </c>
      <c r="D162" s="502" t="n"/>
      <c r="E162" s="1093" t="n"/>
      <c r="F162" s="501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109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</row>
    <row r="163" ht="10.8" customHeight="1" s="986" thickTop="1"/>
    <row r="164" hidden="1" s="986">
      <c r="X164" s="618">
        <f>X44+X83-X73-X85</f>
        <v/>
      </c>
    </row>
    <row r="165" hidden="1" s="986">
      <c r="X165" s="618" t="n">
        <v>982472.65</v>
      </c>
    </row>
    <row r="166" hidden="1" s="986">
      <c r="X166" s="618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2:AT189"/>
  <sheetViews>
    <sheetView zoomScaleNormal="100" workbookViewId="0">
      <pane xSplit="2" ySplit="13" topLeftCell="C16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15" sqref="C15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CALI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6" thickBot="1" thickTop="1">
      <c r="B3" s="977" t="inlineStr">
        <is>
          <t xml:space="preserve">DIAS DE ATENCIÓN </t>
        </is>
      </c>
      <c r="C3" s="978" t="n">
        <v>5</v>
      </c>
      <c r="D3" s="480" t="n"/>
      <c r="E3" s="1035" t="n"/>
      <c r="F3" s="537" t="n">
        <v>20</v>
      </c>
      <c r="G3" s="480" t="n"/>
      <c r="H3" s="1035" t="n"/>
      <c r="I3" s="537" t="n">
        <v>19</v>
      </c>
      <c r="J3" s="480" t="n"/>
      <c r="K3" s="1035" t="n"/>
      <c r="L3" s="537" t="n">
        <v>19</v>
      </c>
      <c r="M3" s="480" t="n"/>
      <c r="N3" s="1035" t="n"/>
      <c r="O3" s="479" t="n">
        <v>19</v>
      </c>
      <c r="P3" s="480" t="n"/>
      <c r="Q3" s="1035" t="n"/>
      <c r="R3" s="479" t="n">
        <v>18</v>
      </c>
      <c r="S3" s="480" t="n"/>
      <c r="T3" s="1035" t="n"/>
      <c r="U3" s="479" t="n">
        <v>9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16</v>
      </c>
      <c r="AE3" s="480" t="n"/>
      <c r="AF3" s="1035" t="n"/>
      <c r="AG3" s="479" t="n">
        <v>19</v>
      </c>
      <c r="AH3" s="480" t="n"/>
      <c r="AI3" s="1035" t="n"/>
      <c r="AJ3" s="479" t="n">
        <v>4</v>
      </c>
      <c r="AK3" s="480" t="n"/>
      <c r="AL3" s="538" t="n"/>
      <c r="AM3" s="573">
        <f>SUM(C3:AJ3)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41" t="n"/>
      <c r="F5" s="257" t="n"/>
      <c r="G5" s="260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5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 t="n"/>
      <c r="AA15" s="90">
        <f>SUM(AA16:AA22)</f>
        <v/>
      </c>
      <c r="AB15" s="3" t="n"/>
      <c r="AC15" s="1053">
        <f>AA15/AA15</f>
        <v/>
      </c>
      <c r="AD15" s="90">
        <f>SUM(AD16:AD22)</f>
        <v/>
      </c>
      <c r="AE15" s="399" t="n"/>
      <c r="AF15" s="1054" t="n"/>
      <c r="AG15" s="49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258" t="inlineStr">
        <is>
          <t xml:space="preserve">COMPLEMENTO INDUSTRIALIZADO </t>
        </is>
      </c>
      <c r="C16" s="103" t="n"/>
      <c r="D16" s="79">
        <f>C16/C5</f>
        <v/>
      </c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>
        <f>AM16/AM$13</f>
        <v/>
      </c>
    </row>
    <row r="17" ht="15" customHeight="1" s="986">
      <c r="B17" s="258" t="inlineStr">
        <is>
          <t xml:space="preserve">COMPLEMENTO PREPARADO AM </t>
        </is>
      </c>
      <c r="C17" s="25" t="n"/>
      <c r="D17" s="43">
        <f>C17/C6</f>
        <v/>
      </c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46">
        <f>AM17/AM$13</f>
        <v/>
      </c>
    </row>
    <row r="18" ht="15" customHeight="1" s="986">
      <c r="B18" s="258" t="inlineStr">
        <is>
          <t xml:space="preserve">COMPLEMENTO PREPARADO PM  </t>
        </is>
      </c>
      <c r="C18" s="25" t="n"/>
      <c r="D18" s="43">
        <f>C18/C7</f>
        <v/>
      </c>
      <c r="E18" s="1045" t="n"/>
      <c r="F18" s="25" t="n"/>
      <c r="G18" s="43" t="n"/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46">
        <f>AM18/AM$13</f>
        <v/>
      </c>
    </row>
    <row r="19" ht="15" customHeight="1" s="986">
      <c r="B19" s="258" t="inlineStr">
        <is>
          <t xml:space="preserve">ALMUERZO JORNADA UNICA  </t>
        </is>
      </c>
      <c r="C19" s="91" t="n"/>
      <c r="D19" s="43">
        <f>C19/C8</f>
        <v/>
      </c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>
        <f>AM19/AM$13</f>
        <v/>
      </c>
    </row>
    <row r="20" ht="15" customHeight="1" s="986">
      <c r="B20" s="258" t="inlineStr">
        <is>
          <t xml:space="preserve">NOVEDADES   </t>
        </is>
      </c>
      <c r="C20" s="74" t="n"/>
      <c r="D20" s="43" t="n"/>
      <c r="E20" s="1045" t="n"/>
      <c r="F20" s="25" t="n"/>
      <c r="G20" s="43" t="n"/>
      <c r="H20" s="1045" t="n"/>
      <c r="I20" s="74" t="n"/>
      <c r="J20" s="43" t="n"/>
      <c r="K20" s="1045" t="n"/>
      <c r="L20" s="74" t="n"/>
      <c r="M20" s="43" t="n"/>
      <c r="N20" s="1045" t="n"/>
      <c r="O20" s="25" t="n"/>
      <c r="P20" s="43" t="n"/>
      <c r="Q20" s="1045" t="n"/>
      <c r="R20" s="74" t="n"/>
      <c r="S20" s="43" t="n"/>
      <c r="T20" s="1045" t="n"/>
      <c r="U20" s="75" t="n"/>
      <c r="V20" s="43" t="n"/>
      <c r="W20" s="1045" t="n"/>
      <c r="X20" s="74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2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6">
      <c r="B21" s="104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6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>
        <f>AD24</f>
        <v/>
      </c>
      <c r="AE23" s="3" t="n"/>
      <c r="AF23" s="1053" t="n"/>
      <c r="AG23" s="90">
        <f>AG24</f>
        <v/>
      </c>
      <c r="AH23" s="3" t="n"/>
      <c r="AI23" s="1053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054" t="n"/>
    </row>
    <row r="24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outlineLevel="1" ht="15" customHeight="1" s="986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>
        <f>C29/C13</f>
        <v/>
      </c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160">
        <f>AA29/AA13</f>
        <v/>
      </c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061">
        <f>C$13*2%</f>
        <v/>
      </c>
      <c r="D30" s="79" t="n"/>
      <c r="E30" s="1055" t="n"/>
      <c r="F30" s="1061">
        <f>F$13*2%</f>
        <v/>
      </c>
      <c r="G30" s="79" t="n"/>
      <c r="H30" s="1055" t="n"/>
      <c r="I30" s="1061">
        <f>I$13*2%</f>
        <v/>
      </c>
      <c r="J30" s="79" t="n"/>
      <c r="K30" s="1055" t="n"/>
      <c r="L30" s="1061">
        <f>L$13*2%</f>
        <v/>
      </c>
      <c r="M30" s="79" t="n"/>
      <c r="N30" s="1055" t="n"/>
      <c r="O30" s="1061">
        <f>O$13*2%</f>
        <v/>
      </c>
      <c r="P30" s="79" t="n"/>
      <c r="Q30" s="1055" t="n"/>
      <c r="R30" s="1061">
        <f>R$13*2%</f>
        <v/>
      </c>
      <c r="S30" s="79" t="n"/>
      <c r="T30" s="1055" t="n"/>
      <c r="U30" s="1061">
        <f>U$13*2%</f>
        <v/>
      </c>
      <c r="V30" s="79" t="n"/>
      <c r="W30" s="1055" t="n"/>
      <c r="X30" s="1061">
        <f>X$13*2%</f>
        <v/>
      </c>
      <c r="Y30" s="79" t="n"/>
      <c r="Z30" s="1055" t="n"/>
      <c r="AA30" s="1061">
        <f>AA$13*2%</f>
        <v/>
      </c>
      <c r="AB30" s="79" t="n"/>
      <c r="AC30" s="1055" t="n"/>
      <c r="AD30" s="1061">
        <f>AD$13*2%</f>
        <v/>
      </c>
      <c r="AE30" s="79" t="n"/>
      <c r="AF30" s="1055" t="n"/>
      <c r="AG30" s="1061">
        <f>AG$13*2%</f>
        <v/>
      </c>
      <c r="AH30" s="79" t="n"/>
      <c r="AI30" s="1055" t="n"/>
      <c r="AJ30" s="1061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P30" s="2" t="n"/>
      <c r="AQ30" s="2" t="n"/>
      <c r="AR30" s="2" t="n"/>
      <c r="AS30" s="2" t="n"/>
      <c r="AT30" s="2" t="n"/>
    </row>
    <row r="31" outlineLevel="1" ht="15" customHeight="1" s="986">
      <c r="B31" s="105" t="inlineStr">
        <is>
          <t>0,88% Rte Ica</t>
        </is>
      </c>
      <c r="C31" s="1062">
        <f>C$13*0.88%</f>
        <v/>
      </c>
      <c r="D31" s="43" t="n"/>
      <c r="E31" s="1045" t="n"/>
      <c r="F31" s="1062">
        <f>F$13*0.88%</f>
        <v/>
      </c>
      <c r="G31" s="43" t="n"/>
      <c r="H31" s="1045" t="n"/>
      <c r="I31" s="1062">
        <f>I$13*0.88%</f>
        <v/>
      </c>
      <c r="J31" s="43" t="n"/>
      <c r="K31" s="1045" t="n"/>
      <c r="L31" s="1062">
        <f>L$13*0.88%</f>
        <v/>
      </c>
      <c r="M31" s="43" t="n"/>
      <c r="N31" s="1045" t="n"/>
      <c r="O31" s="1062">
        <f>O$13*0.88%</f>
        <v/>
      </c>
      <c r="P31" s="43" t="n"/>
      <c r="Q31" s="1045" t="n"/>
      <c r="R31" s="1062">
        <f>R$13*0.88%</f>
        <v/>
      </c>
      <c r="S31" s="43" t="n"/>
      <c r="T31" s="1045" t="n"/>
      <c r="U31" s="1062">
        <f>U$13*0.88%</f>
        <v/>
      </c>
      <c r="V31" s="43" t="n"/>
      <c r="W31" s="1045" t="n"/>
      <c r="X31" s="1062">
        <f>X$13*0.88%</f>
        <v/>
      </c>
      <c r="Y31" s="43" t="n"/>
      <c r="Z31" s="1045" t="n"/>
      <c r="AA31" s="1062">
        <f>AA$13*0.88%</f>
        <v/>
      </c>
      <c r="AB31" s="43" t="n"/>
      <c r="AC31" s="1045" t="n"/>
      <c r="AD31" s="1062">
        <f>AD$13*0.88%</f>
        <v/>
      </c>
      <c r="AE31" s="43" t="n"/>
      <c r="AF31" s="1045" t="n"/>
      <c r="AG31" s="1062">
        <f>AG$13*0.88%</f>
        <v/>
      </c>
      <c r="AH31" s="43" t="n"/>
      <c r="AI31" s="1045" t="n"/>
      <c r="AJ31" s="1062">
        <f>AJ$13*0.88%</f>
        <v/>
      </c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outlineLevel="1" ht="15" customHeight="1" s="986">
      <c r="B32" s="105" t="inlineStr">
        <is>
          <t>1% Estampilla Prohospital</t>
        </is>
      </c>
      <c r="C32" s="1062">
        <f>C$13*1%</f>
        <v/>
      </c>
      <c r="D32" s="43" t="n"/>
      <c r="E32" s="1045" t="n"/>
      <c r="F32" s="1062">
        <f>F$13*1%</f>
        <v/>
      </c>
      <c r="G32" s="43" t="n"/>
      <c r="H32" s="1045" t="n"/>
      <c r="I32" s="1062">
        <f>I$13*1%</f>
        <v/>
      </c>
      <c r="J32" s="43" t="n"/>
      <c r="K32" s="1045" t="n"/>
      <c r="L32" s="1062">
        <f>L$13*1%</f>
        <v/>
      </c>
      <c r="M32" s="43" t="n"/>
      <c r="N32" s="1045" t="n"/>
      <c r="O32" s="1062">
        <f>O$13*1%</f>
        <v/>
      </c>
      <c r="P32" s="43" t="n"/>
      <c r="Q32" s="1045" t="n"/>
      <c r="R32" s="1062">
        <f>R$13*1%</f>
        <v/>
      </c>
      <c r="S32" s="43" t="n"/>
      <c r="T32" s="1045" t="n"/>
      <c r="U32" s="1062">
        <f>U$13*1%</f>
        <v/>
      </c>
      <c r="V32" s="43" t="n"/>
      <c r="W32" s="1045" t="n"/>
      <c r="X32" s="1062">
        <f>X$13*1%</f>
        <v/>
      </c>
      <c r="Y32" s="43" t="n"/>
      <c r="Z32" s="1045" t="n"/>
      <c r="AA32" s="1062">
        <f>AA$13*1%</f>
        <v/>
      </c>
      <c r="AB32" s="43" t="n"/>
      <c r="AC32" s="1045" t="n"/>
      <c r="AD32" s="1062">
        <f>AD$13*1%</f>
        <v/>
      </c>
      <c r="AE32" s="43" t="n"/>
      <c r="AF32" s="1045" t="n"/>
      <c r="AG32" s="1062">
        <f>AG$13*1%</f>
        <v/>
      </c>
      <c r="AH32" s="43" t="n"/>
      <c r="AI32" s="1045" t="n"/>
      <c r="AJ32" s="1062">
        <f>AJ$13*1%</f>
        <v/>
      </c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outlineLevel="1" ht="15" customHeight="1" s="986">
      <c r="B33" s="105" t="inlineStr">
        <is>
          <t>0,5% Propacifico</t>
        </is>
      </c>
      <c r="C33" s="205">
        <f>C$13*0.5%</f>
        <v/>
      </c>
      <c r="D33" s="43" t="n"/>
      <c r="E33" s="1045" t="n"/>
      <c r="F33" s="205">
        <f>F$13*0.5%</f>
        <v/>
      </c>
      <c r="G33" s="43" t="n"/>
      <c r="H33" s="1045" t="n"/>
      <c r="I33" s="205">
        <f>I$13*0.5%</f>
        <v/>
      </c>
      <c r="J33" s="43" t="n"/>
      <c r="K33" s="1045" t="n"/>
      <c r="L33" s="205">
        <f>L$13*0.5%</f>
        <v/>
      </c>
      <c r="M33" s="43" t="n"/>
      <c r="N33" s="1045" t="n"/>
      <c r="O33" s="205">
        <f>O$13*0.5%</f>
        <v/>
      </c>
      <c r="P33" s="43" t="n"/>
      <c r="Q33" s="1045" t="n"/>
      <c r="R33" s="205">
        <f>R$13*0.5%</f>
        <v/>
      </c>
      <c r="S33" s="43" t="n"/>
      <c r="T33" s="1045" t="n"/>
      <c r="U33" s="205">
        <f>U$13*0.5%</f>
        <v/>
      </c>
      <c r="V33" s="43" t="n"/>
      <c r="W33" s="1045" t="n"/>
      <c r="X33" s="205">
        <f>X$13*0.5%</f>
        <v/>
      </c>
      <c r="Y33" s="43" t="n"/>
      <c r="Z33" s="1045" t="n"/>
      <c r="AA33" s="205">
        <f>AA$13*0.5%</f>
        <v/>
      </c>
      <c r="AB33" s="43" t="n"/>
      <c r="AC33" s="1045" t="n"/>
      <c r="AD33" s="205">
        <f>AD$13*0.5%</f>
        <v/>
      </c>
      <c r="AE33" s="43" t="n"/>
      <c r="AF33" s="1045" t="n"/>
      <c r="AG33" s="205">
        <f>AG$13*0.5%</f>
        <v/>
      </c>
      <c r="AH33" s="43" t="n"/>
      <c r="AI33" s="1045" t="n"/>
      <c r="AJ33" s="205">
        <f>AJ$13*0.5%</f>
        <v/>
      </c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43" t="n"/>
      <c r="E34" s="1045" t="n"/>
      <c r="F34" s="205">
        <f>(F$13*3.5%)*1%</f>
        <v/>
      </c>
      <c r="G34" s="43" t="n"/>
      <c r="H34" s="1045" t="n"/>
      <c r="I34" s="205">
        <f>(I$13*3.5%)*1%</f>
        <v/>
      </c>
      <c r="J34" s="43" t="n"/>
      <c r="K34" s="1045" t="n"/>
      <c r="L34" s="205">
        <f>(L$13*3.5%)*1%</f>
        <v/>
      </c>
      <c r="M34" s="43" t="n"/>
      <c r="N34" s="1045" t="n"/>
      <c r="O34" s="205">
        <f>(O$13*3.5%)*1%</f>
        <v/>
      </c>
      <c r="P34" s="43" t="n"/>
      <c r="Q34" s="1045" t="n"/>
      <c r="R34" s="205">
        <f>(R$13*3.5%)*1%</f>
        <v/>
      </c>
      <c r="S34" s="43" t="n"/>
      <c r="T34" s="1045" t="n"/>
      <c r="U34" s="205">
        <f>(U$13*3.5%)*1%</f>
        <v/>
      </c>
      <c r="V34" s="43" t="n"/>
      <c r="W34" s="1045" t="n"/>
      <c r="X34" s="205">
        <f>(X$13*3.5%)*1%</f>
        <v/>
      </c>
      <c r="Y34" s="43" t="n"/>
      <c r="Z34" s="1045" t="n"/>
      <c r="AA34" s="205">
        <f>(AA$13*3.5%)*1%</f>
        <v/>
      </c>
      <c r="AB34" s="43" t="n"/>
      <c r="AC34" s="1045" t="n"/>
      <c r="AD34" s="205">
        <f>(AD$13*3.5%)*1%</f>
        <v/>
      </c>
      <c r="AE34" s="43" t="n"/>
      <c r="AF34" s="1045" t="n"/>
      <c r="AG34" s="205">
        <f>(AG$13*3.5%)*1%</f>
        <v/>
      </c>
      <c r="AH34" s="43" t="n"/>
      <c r="AI34" s="1045" t="n"/>
      <c r="AJ34" s="205">
        <f>(AJ$13*3.5%)*1%</f>
        <v/>
      </c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outlineLevel="1" ht="15" customHeight="1" s="986">
      <c r="B35" s="104" t="inlineStr">
        <is>
          <t>2% Juzgado de Familia</t>
        </is>
      </c>
      <c r="C35" s="91">
        <f>C13*2%</f>
        <v/>
      </c>
      <c r="D35" s="92" t="n"/>
      <c r="E35" s="1063" t="n"/>
      <c r="F35" s="91">
        <f>F13*2%</f>
        <v/>
      </c>
      <c r="G35" s="92" t="n"/>
      <c r="H35" s="1063" t="n"/>
      <c r="I35" s="91">
        <f>I13*2%</f>
        <v/>
      </c>
      <c r="J35" s="92" t="n"/>
      <c r="K35" s="1063" t="n"/>
      <c r="L35" s="91">
        <f>L13*2%</f>
        <v/>
      </c>
      <c r="M35" s="92" t="n"/>
      <c r="N35" s="1063" t="n"/>
      <c r="O35" s="91">
        <f>O13*2%</f>
        <v/>
      </c>
      <c r="P35" s="92" t="n"/>
      <c r="Q35" s="1063" t="n"/>
      <c r="R35" s="91">
        <f>R13*2%</f>
        <v/>
      </c>
      <c r="S35" s="92" t="n"/>
      <c r="T35" s="1063" t="n"/>
      <c r="U35" s="91">
        <f>U13*2%</f>
        <v/>
      </c>
      <c r="V35" s="92" t="n"/>
      <c r="W35" s="1063" t="n"/>
      <c r="X35" s="91">
        <f>X13*2%</f>
        <v/>
      </c>
      <c r="Y35" s="92" t="n"/>
      <c r="Z35" s="1063" t="n"/>
      <c r="AA35" s="91">
        <f>AA13*2%</f>
        <v/>
      </c>
      <c r="AB35" s="92" t="n"/>
      <c r="AC35" s="1063" t="n"/>
      <c r="AD35" s="91">
        <f>AD13*2%</f>
        <v/>
      </c>
      <c r="AE35" s="92" t="n"/>
      <c r="AF35" s="1063" t="n"/>
      <c r="AG35" s="91">
        <f>AG13*2%</f>
        <v/>
      </c>
      <c r="AH35" s="92" t="n"/>
      <c r="AI35" s="1063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outlineLevel="1" ht="15" customHeight="1" s="986">
      <c r="B36" s="30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>
        <f>C36+F36+I36+L36+O36+R36+U36+X36+AA36+AD36+AG36+AJ36</f>
        <v/>
      </c>
      <c r="AN36" s="43" t="n"/>
      <c r="AO36" s="1046" t="n"/>
    </row>
    <row r="37" outlineLevel="1" ht="15" customHeight="1" s="986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outlineLevel="1" ht="15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outlineLevel="1" ht="15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2" t="n"/>
      <c r="D43" s="2" t="n"/>
      <c r="E43" s="1161">
        <f>(C46+C61)/(C13-C20)</f>
        <v/>
      </c>
      <c r="F43" s="734" t="n"/>
      <c r="G43" s="734" t="n"/>
      <c r="H43" s="1161">
        <f>(F46+F61)/(F13-F20)</f>
        <v/>
      </c>
      <c r="I43" s="734" t="n"/>
      <c r="J43" s="734" t="n"/>
      <c r="K43" s="1161">
        <f>(I46+I61)/(I13-I20)</f>
        <v/>
      </c>
      <c r="L43" s="734" t="n"/>
      <c r="M43" s="734" t="n"/>
      <c r="N43" s="1162">
        <f>(L46+L61)/(L13-L20)</f>
        <v/>
      </c>
      <c r="O43" s="734" t="n"/>
      <c r="P43" s="734" t="n"/>
      <c r="Q43" s="1162">
        <f>(O46+O61)/(O13-O20)</f>
        <v/>
      </c>
      <c r="R43" s="734" t="n"/>
      <c r="S43" s="734" t="n"/>
      <c r="T43" s="1162">
        <f>(R46+R61)/(R13-R20)</f>
        <v/>
      </c>
      <c r="U43" s="734" t="n"/>
      <c r="V43" s="734" t="n"/>
      <c r="W43" s="1162">
        <f>(U46+U61)/U13</f>
        <v/>
      </c>
      <c r="X43" s="734" t="n"/>
      <c r="Y43" s="734" t="n"/>
      <c r="Z43" s="1162">
        <f>(X46+X61)/X13</f>
        <v/>
      </c>
      <c r="AA43" s="734" t="n"/>
      <c r="AB43" s="734" t="n"/>
      <c r="AC43" s="1162">
        <f>(AA46+AA61)/AA13</f>
        <v/>
      </c>
      <c r="AD43" s="734" t="n"/>
      <c r="AE43" s="734" t="n"/>
      <c r="AF43" s="1162">
        <f>(AD46+AD61)/AD13</f>
        <v/>
      </c>
      <c r="AG43" s="734" t="n"/>
      <c r="AH43" s="734" t="n"/>
      <c r="AI43" s="1162">
        <f>(AG46+AG61)/(AG13-AG20)</f>
        <v/>
      </c>
      <c r="AJ43" s="734" t="n"/>
      <c r="AK43" s="734" t="n"/>
      <c r="AL43" s="1162">
        <f>(AJ46+AJ61)/(AJ13-AJ20)</f>
        <v/>
      </c>
      <c r="AM43" s="735" t="n"/>
      <c r="AN43" s="734" t="n"/>
      <c r="AO43" s="944">
        <f>(AM46+AM61)/(AM13-AM20)</f>
        <v/>
      </c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69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>
        <f>+C46+C57</f>
        <v/>
      </c>
      <c r="D45" s="3" t="n"/>
      <c r="E45" s="1053">
        <f>C45/C13</f>
        <v/>
      </c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>
        <f>L45/L13</f>
        <v/>
      </c>
      <c r="O45" s="49">
        <f>+O46+O57</f>
        <v/>
      </c>
      <c r="P45" s="3" t="n"/>
      <c r="Q45" s="1053">
        <f>O45/O13</f>
        <v/>
      </c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>
        <f>X45/X13</f>
        <v/>
      </c>
      <c r="AA45" s="90">
        <f>+AA46+AA57</f>
        <v/>
      </c>
      <c r="AB45" s="763" t="n"/>
      <c r="AC45" s="1159">
        <f>AA45/AA13</f>
        <v/>
      </c>
      <c r="AD45" s="90">
        <f>+AD46+AD57</f>
        <v/>
      </c>
      <c r="AE45" s="3" t="n"/>
      <c r="AF45" s="1053">
        <f>AD45/AD13</f>
        <v/>
      </c>
      <c r="AG45" s="90">
        <f>+AG46+AG57</f>
        <v/>
      </c>
      <c r="AH45" s="3" t="n"/>
      <c r="AI45" s="1053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6">
      <c r="B46" s="36" t="inlineStr">
        <is>
          <t>INSUMOS CI</t>
        </is>
      </c>
      <c r="C46" s="37">
        <f>SUM(C47:C56)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>
        <f>X46/X13</f>
        <v/>
      </c>
      <c r="AA46" s="37">
        <f>SUM(AA47:AA56)</f>
        <v/>
      </c>
      <c r="AB46" s="67" t="n"/>
      <c r="AC46" s="1071">
        <f>AA46/AA13</f>
        <v/>
      </c>
      <c r="AD46" s="37">
        <f>SUM(AD47:AD56)</f>
        <v/>
      </c>
      <c r="AE46" s="67" t="n"/>
      <c r="AF46" s="1071">
        <f>AD46/AD13</f>
        <v/>
      </c>
      <c r="AG46" s="37">
        <f>SUM(AG47:AG56)</f>
        <v/>
      </c>
      <c r="AH46" s="67" t="n"/>
      <c r="AI46" s="1071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6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'[44]Hoja 1'!$I$41</f>
        <v/>
      </c>
      <c r="D47" s="42">
        <f>C47/C5</f>
        <v/>
      </c>
      <c r="E47" s="1057">
        <f>C47/C16</f>
        <v/>
      </c>
      <c r="F47" s="76">
        <f>'[45]Hoja 1'!$I$50</f>
        <v/>
      </c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AM47/AM5</f>
        <v/>
      </c>
      <c r="AO47" s="1058">
        <f>AM47/AM16</f>
        <v/>
      </c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AM48/AM6</f>
        <v/>
      </c>
      <c r="AO48" s="1046" t="n"/>
    </row>
    <row r="49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>
        <f>C54+F54+I54+L54+O54+R54+U54+X54+AA54+AD54+AG54+AJ54</f>
        <v/>
      </c>
      <c r="AN54" s="43" t="n"/>
      <c r="AO54" s="1046" t="n"/>
    </row>
    <row r="55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>
        <f>C55+F55+I55+L55+O55+R55+U55+X55+AA55+AD55+AG55+AJ55</f>
        <v/>
      </c>
      <c r="AN55" s="43" t="n"/>
      <c r="AO55" s="1046" t="n"/>
    </row>
    <row r="56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058" t="n"/>
    </row>
    <row r="57" ht="15" customHeight="1" s="986">
      <c r="B57" s="36" t="inlineStr">
        <is>
          <t>FLETES CI</t>
        </is>
      </c>
      <c r="C57" s="37">
        <f>SUM(C58:C59)</f>
        <v/>
      </c>
      <c r="D57" s="67">
        <f>C57/C12</f>
        <v/>
      </c>
      <c r="E57" s="1071">
        <f>C57/C13</f>
        <v/>
      </c>
      <c r="F57" s="46">
        <f>SUM(F58:F59)</f>
        <v/>
      </c>
      <c r="G57" s="47">
        <f>F57/(F5+F6)</f>
        <v/>
      </c>
      <c r="H57" s="1049">
        <f>F57/(F16+F17)</f>
        <v/>
      </c>
      <c r="I57" s="46">
        <f>SUM(I58:I59)</f>
        <v/>
      </c>
      <c r="J57" s="47">
        <f>I57/(I5+I6)</f>
        <v/>
      </c>
      <c r="K57" s="1049">
        <f>I57/I17</f>
        <v/>
      </c>
      <c r="L57" s="46">
        <f>SUM(L58:L59)</f>
        <v/>
      </c>
      <c r="M57" s="67">
        <f>L57/(L5+L6)</f>
        <v/>
      </c>
      <c r="N57" s="1071">
        <f>L57/L17</f>
        <v/>
      </c>
      <c r="O57" s="46">
        <f>SUM(O58:O59)</f>
        <v/>
      </c>
      <c r="P57" s="47">
        <f>O57/(O5+O6)</f>
        <v/>
      </c>
      <c r="Q57" s="1049">
        <f>O57/O17</f>
        <v/>
      </c>
      <c r="R57" s="46">
        <f>SUM(R58:R59)</f>
        <v/>
      </c>
      <c r="S57" s="47">
        <f>R57/(R5+R6)</f>
        <v/>
      </c>
      <c r="T57" s="1049">
        <f>R57/R17</f>
        <v/>
      </c>
      <c r="U57" s="46">
        <f>SUM(U58:U59)</f>
        <v/>
      </c>
      <c r="V57" s="47">
        <f>U57/(U5+U6)</f>
        <v/>
      </c>
      <c r="W57" s="1049">
        <f>U57/U17</f>
        <v/>
      </c>
      <c r="X57" s="46">
        <f>SUM(X58:X59)</f>
        <v/>
      </c>
      <c r="Y57" s="47">
        <f>X57/(X5+X6)</f>
        <v/>
      </c>
      <c r="Z57" s="1049" t="n">
        <v>0.06244567797153729</v>
      </c>
      <c r="AA57" s="46">
        <f>SUM(AA58:AA59)</f>
        <v/>
      </c>
      <c r="AB57" s="47">
        <f>AA57/(AA5+AA6)</f>
        <v/>
      </c>
      <c r="AC57" s="1049" t="n">
        <v>0.06244567797153729</v>
      </c>
      <c r="AD57" s="46">
        <f>SUM(AD58:AD59)</f>
        <v/>
      </c>
      <c r="AE57" s="47">
        <f>AD57/(AD5+AD6)</f>
        <v/>
      </c>
      <c r="AF57" s="1049" t="n">
        <v>0.06244567797153729</v>
      </c>
      <c r="AG57" s="46">
        <f>SUM(AG58:AG59)</f>
        <v/>
      </c>
      <c r="AH57" s="47">
        <f>AG57/(AG5+AG6)</f>
        <v/>
      </c>
      <c r="AI57" s="1049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050" t="n">
        <v>0.06244567797153729</v>
      </c>
    </row>
    <row r="58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 t="n"/>
    </row>
    <row r="59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 t="n"/>
    </row>
    <row r="60" ht="15" customHeight="1" s="986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90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90">
        <f>+AA61+AA72+AA75+AA76+AA77</f>
        <v/>
      </c>
      <c r="AB60" s="763" t="n"/>
      <c r="AC60" s="1159" t="n"/>
      <c r="AD60" s="90">
        <f>+AD61+AD72+AD75+AD76+AD77</f>
        <v/>
      </c>
      <c r="AE60" s="3" t="n"/>
      <c r="AF60" s="1053" t="n"/>
      <c r="AG60" s="90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t="15" customHeight="1" s="986">
      <c r="B61" s="36" t="inlineStr">
        <is>
          <t>INSUMOS CP</t>
        </is>
      </c>
      <c r="C61" s="37">
        <f>SUM(C62:C71)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 t="n"/>
      <c r="Q61" s="1071" t="n"/>
      <c r="R61" s="37">
        <f>SUM(R62:R71)</f>
        <v/>
      </c>
      <c r="S61" s="67" t="n"/>
      <c r="T61" s="1071" t="n"/>
      <c r="U61" s="37">
        <f>SUM(U62:U71)</f>
        <v/>
      </c>
      <c r="V61" s="67" t="n"/>
      <c r="W61" s="1071">
        <f>U61/(U17+U18+U19)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t="15" customHeight="1" s="986">
      <c r="A62" s="226" t="inlineStr">
        <is>
          <t xml:space="preserve">7105                </t>
        </is>
      </c>
      <c r="B62" s="100" t="inlineStr">
        <is>
          <t xml:space="preserve">COMPLEMENTO PREPARADO AM   </t>
        </is>
      </c>
      <c r="C62" s="78">
        <f>'[44]Hoja 1'!$I$40</f>
        <v/>
      </c>
      <c r="D62" s="79">
        <f>C62/C6</f>
        <v/>
      </c>
      <c r="E62" s="1055">
        <f>C62/C17</f>
        <v/>
      </c>
      <c r="F62" s="78">
        <f>'[45]Hoja 1'!$I$49-'[45]Hoja 1'!$E$45</f>
        <v/>
      </c>
      <c r="G62" s="79">
        <f>F62/F6</f>
        <v/>
      </c>
      <c r="H62" s="1055">
        <f>F62/F17</f>
        <v/>
      </c>
      <c r="I62" s="78" t="n"/>
      <c r="J62" s="79">
        <f>I62/I6</f>
        <v/>
      </c>
      <c r="K62" s="1055">
        <f>I62/I17</f>
        <v/>
      </c>
      <c r="L62" s="78" t="n"/>
      <c r="M62" s="79">
        <f>L62/L6</f>
        <v/>
      </c>
      <c r="N62" s="1055">
        <f>L62/L17</f>
        <v/>
      </c>
      <c r="O62" s="78" t="n"/>
      <c r="P62" s="79">
        <f>O62/O6</f>
        <v/>
      </c>
      <c r="Q62" s="1055">
        <f>O62/O17</f>
        <v/>
      </c>
      <c r="R62" s="78" t="n"/>
      <c r="S62" s="79">
        <f>R62/R6</f>
        <v/>
      </c>
      <c r="T62" s="1055">
        <f>R62/R17</f>
        <v/>
      </c>
      <c r="U62" s="78" t="n"/>
      <c r="V62" s="79">
        <f>U62/U6</f>
        <v/>
      </c>
      <c r="W62" s="1055">
        <f>U62/U17</f>
        <v/>
      </c>
      <c r="X62" s="78" t="n"/>
      <c r="Y62" s="79">
        <f>X62/X6</f>
        <v/>
      </c>
      <c r="Z62" s="1055">
        <f>X62/X17</f>
        <v/>
      </c>
      <c r="AA62" s="78" t="n"/>
      <c r="AB62" s="79">
        <f>AA62/AA6</f>
        <v/>
      </c>
      <c r="AC62" s="1055">
        <f>AA62/AA17</f>
        <v/>
      </c>
      <c r="AD62" s="78" t="n"/>
      <c r="AE62" s="79">
        <f>AD62/AD6</f>
        <v/>
      </c>
      <c r="AF62" s="1055">
        <f>AD62/AD17</f>
        <v/>
      </c>
      <c r="AG62" s="78" t="n"/>
      <c r="AH62" s="79">
        <f>AG62/AG6</f>
        <v/>
      </c>
      <c r="AI62" s="1055">
        <f>AG62/AG17</f>
        <v/>
      </c>
      <c r="AJ62" s="78" t="n"/>
      <c r="AK62" s="79">
        <f>AJ62/AJ6</f>
        <v/>
      </c>
      <c r="AL62" s="1055">
        <f>AJ62/AJ17</f>
        <v/>
      </c>
      <c r="AM62" s="212">
        <f>C62+F62+I62+L62+O62+R62+U62+X62+AA62+AD62+AG62+AJ62</f>
        <v/>
      </c>
      <c r="AN62" s="79">
        <f>AM62/AM6</f>
        <v/>
      </c>
      <c r="AO62" s="1056">
        <f>AM62/AM17</f>
        <v/>
      </c>
    </row>
    <row r="63" ht="15" customHeight="1" s="986">
      <c r="A63" s="226" t="inlineStr">
        <is>
          <t xml:space="preserve">7105                </t>
        </is>
      </c>
      <c r="B63" s="101" t="inlineStr">
        <is>
          <t xml:space="preserve">COMPLEMENTO PREPARADO PM    </t>
        </is>
      </c>
      <c r="C63" s="25">
        <f>'[44]Hoja 1'!$I$42</f>
        <v/>
      </c>
      <c r="D63" s="43">
        <f>C63/C7</f>
        <v/>
      </c>
      <c r="E63" s="1045">
        <f>C63/C18</f>
        <v/>
      </c>
      <c r="F63" s="25">
        <f>'[45]Hoja 1'!$I$51</f>
        <v/>
      </c>
      <c r="G63" s="43">
        <f>F63/F7</f>
        <v/>
      </c>
      <c r="H63" s="1045">
        <f>F63/F18</f>
        <v/>
      </c>
      <c r="I63" s="25" t="n"/>
      <c r="J63" s="43">
        <f>I63/I7</f>
        <v/>
      </c>
      <c r="K63" s="1045">
        <f>I63/I18</f>
        <v/>
      </c>
      <c r="L63" s="25" t="n"/>
      <c r="M63" s="43">
        <f>L63/L7</f>
        <v/>
      </c>
      <c r="N63" s="1045">
        <f>L63/L18</f>
        <v/>
      </c>
      <c r="O63" s="25" t="n"/>
      <c r="P63" s="43">
        <f>O63/O7</f>
        <v/>
      </c>
      <c r="Q63" s="1045">
        <f>O63/O18</f>
        <v/>
      </c>
      <c r="R63" s="25" t="n"/>
      <c r="S63" s="43">
        <f>R63/R7</f>
        <v/>
      </c>
      <c r="T63" s="1045">
        <f>R63/R18</f>
        <v/>
      </c>
      <c r="U63" s="25" t="n"/>
      <c r="V63" s="43">
        <f>U63/U7</f>
        <v/>
      </c>
      <c r="W63" s="1045">
        <f>U63/U18</f>
        <v/>
      </c>
      <c r="X63" s="25" t="n"/>
      <c r="Y63" s="43">
        <f>X63/X7</f>
        <v/>
      </c>
      <c r="Z63" s="1045">
        <f>X63/X18</f>
        <v/>
      </c>
      <c r="AA63" s="25" t="n"/>
      <c r="AB63" s="43">
        <f>AA63/AA7</f>
        <v/>
      </c>
      <c r="AC63" s="1045">
        <f>AA63/AA18</f>
        <v/>
      </c>
      <c r="AD63" s="25" t="n"/>
      <c r="AE63" s="43">
        <f>AD63/AD7</f>
        <v/>
      </c>
      <c r="AF63" s="1045">
        <f>AD63/AD18</f>
        <v/>
      </c>
      <c r="AG63" s="25" t="n"/>
      <c r="AH63" s="43">
        <f>AG63/AG7</f>
        <v/>
      </c>
      <c r="AI63" s="1045">
        <f>AG63/AG18</f>
        <v/>
      </c>
      <c r="AJ63" s="25" t="n"/>
      <c r="AK63" s="43">
        <f>AJ63/AJ7</f>
        <v/>
      </c>
      <c r="AL63" s="1045">
        <f>AJ63/AJ18</f>
        <v/>
      </c>
      <c r="AM63" s="205">
        <f>C63+F63+I63+L63+O63+R63+U63+X63+AA63+AD63+AG63+AJ63</f>
        <v/>
      </c>
      <c r="AN63" s="43">
        <f>AM63/AM7</f>
        <v/>
      </c>
      <c r="AO63" s="1046">
        <f>AM63/AM18</f>
        <v/>
      </c>
    </row>
    <row r="64" ht="15" customHeight="1" s="986">
      <c r="B64" s="25" t="inlineStr">
        <is>
          <t xml:space="preserve">ALMUERZO JORNADA UNICA    </t>
        </is>
      </c>
      <c r="C64" s="25">
        <f>'[44]Hoja 1'!$I$43</f>
        <v/>
      </c>
      <c r="D64" s="43">
        <f>C64/C8</f>
        <v/>
      </c>
      <c r="E64" s="1045">
        <f>C64/C19</f>
        <v/>
      </c>
      <c r="F64" s="25">
        <f>'[45]Hoja 1'!$I$52</f>
        <v/>
      </c>
      <c r="G64" s="43">
        <f>F64/F8</f>
        <v/>
      </c>
      <c r="H64" s="1045">
        <f>F64/F19</f>
        <v/>
      </c>
      <c r="I64" s="25" t="n"/>
      <c r="J64" s="43">
        <f>I64/I8</f>
        <v/>
      </c>
      <c r="K64" s="1045">
        <f>I64/I19</f>
        <v/>
      </c>
      <c r="L64" s="25" t="n"/>
      <c r="M64" s="43">
        <f>L64/L8</f>
        <v/>
      </c>
      <c r="N64" s="1045">
        <f>L64/L19</f>
        <v/>
      </c>
      <c r="O64" s="25" t="n"/>
      <c r="P64" s="43">
        <f>O64/O8</f>
        <v/>
      </c>
      <c r="Q64" s="1045">
        <f>O64/O19</f>
        <v/>
      </c>
      <c r="R64" s="25" t="n"/>
      <c r="S64" s="43">
        <f>R64/R8</f>
        <v/>
      </c>
      <c r="T64" s="1045">
        <f>R64/R19</f>
        <v/>
      </c>
      <c r="U64" s="25" t="n"/>
      <c r="V64" s="43">
        <f>U64/U8</f>
        <v/>
      </c>
      <c r="W64" s="1045">
        <f>U64/U19</f>
        <v/>
      </c>
      <c r="X64" s="25" t="n"/>
      <c r="Y64" s="43">
        <f>X64/X8</f>
        <v/>
      </c>
      <c r="Z64" s="1045">
        <f>X64/X19</f>
        <v/>
      </c>
      <c r="AA64" s="25" t="n"/>
      <c r="AB64" s="43">
        <f>AA64/AA8</f>
        <v/>
      </c>
      <c r="AC64" s="1045">
        <f>AA64/AA19</f>
        <v/>
      </c>
      <c r="AD64" s="25" t="n"/>
      <c r="AE64" s="43">
        <f>AD64/AD8</f>
        <v/>
      </c>
      <c r="AF64" s="1045">
        <f>AD64/AD19</f>
        <v/>
      </c>
      <c r="AG64" s="25" t="n"/>
      <c r="AH64" s="43">
        <f>AG64/AG8</f>
        <v/>
      </c>
      <c r="AI64" s="1045">
        <f>AG64/AG19</f>
        <v/>
      </c>
      <c r="AJ64" s="25" t="n"/>
      <c r="AK64" s="43">
        <f>AJ64/AJ8</f>
        <v/>
      </c>
      <c r="AL64" s="1045">
        <f>AJ64/AJ19</f>
        <v/>
      </c>
      <c r="AM64" s="205">
        <f>C64+F64+I64+L64+O64+R64+U64+X64+AA64+AD64+AG64+AJ64</f>
        <v/>
      </c>
      <c r="AN64" s="43">
        <f>AM64/AM8</f>
        <v/>
      </c>
      <c r="AO64" s="1045">
        <f>AM64/AM19</f>
        <v/>
      </c>
    </row>
    <row r="65" ht="15" customHeight="1" s="986">
      <c r="B65" s="25" t="inlineStr">
        <is>
          <t>RACION MANIPULADORAS</t>
        </is>
      </c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t="15" customHeight="1" s="986">
      <c r="B66" s="25" t="inlineStr">
        <is>
          <t>MEJORAMIENTO DE MENU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t="15" customHeight="1" s="986">
      <c r="B67" s="25" t="inlineStr">
        <is>
          <t>REFRIGERIOS</t>
        </is>
      </c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46" t="n"/>
    </row>
    <row r="68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752" t="n"/>
      <c r="AB68" s="808" t="n"/>
      <c r="AC68" s="1163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752" t="n"/>
      <c r="AB69" s="808" t="n"/>
      <c r="AC69" s="1163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873" t="n"/>
      <c r="AB70" s="877" t="n"/>
      <c r="AC70" s="1164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74" t="n"/>
      <c r="AB71" s="875" t="n"/>
      <c r="AC71" s="1165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6">
      <c r="B72" s="36" t="inlineStr">
        <is>
          <t>FLETES CP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71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78">
        <f>'GASTOS VEHICULOS'!C25*'%DIST'!B20</f>
        <v/>
      </c>
      <c r="D73" s="79" t="n"/>
      <c r="E73" s="1055" t="n"/>
      <c r="F73" s="78">
        <f>'GASTOS VEHICULOS'!D25*'%DIST'!D20</f>
        <v/>
      </c>
      <c r="G73" s="79" t="n"/>
      <c r="H73" s="1055" t="n"/>
      <c r="I73" s="78">
        <f>'GASTOS VEHICULOS'!E25*'%DIST'!F20</f>
        <v/>
      </c>
      <c r="J73" s="79" t="n"/>
      <c r="K73" s="1055" t="n"/>
      <c r="L73" s="78">
        <f>'GASTOS VEHICULOS'!F25*'%DIST'!H20</f>
        <v/>
      </c>
      <c r="M73" s="79" t="n"/>
      <c r="N73" s="1055" t="n"/>
      <c r="O73" s="78">
        <f>'GASTOS VEHICULOS'!G25*'%DIST'!J20</f>
        <v/>
      </c>
      <c r="P73" s="79" t="n"/>
      <c r="Q73" s="1055" t="n"/>
      <c r="R73" s="78">
        <f>'GASTOS VEHICULOS'!H25*'%DIST'!L20</f>
        <v/>
      </c>
      <c r="S73" s="79" t="n"/>
      <c r="T73" s="1055" t="n"/>
      <c r="U73" s="78">
        <f>'GASTOS VEHICULOS'!I25*'%DIST'!N20</f>
        <v/>
      </c>
      <c r="V73" s="79" t="n"/>
      <c r="W73" s="1055" t="n"/>
      <c r="X73" s="78">
        <f>'GASTOS VEHICULOS'!J25*'%DIST'!P20</f>
        <v/>
      </c>
      <c r="Y73" s="79" t="n"/>
      <c r="Z73" s="1055" t="n"/>
      <c r="AA73" s="78">
        <f>'GASTOS VEHICULOS'!K25*'%DIST'!R20</f>
        <v/>
      </c>
      <c r="AB73" s="79" t="n"/>
      <c r="AC73" s="1055" t="n"/>
      <c r="AD73" s="78">
        <f>'GASTOS VEHICULOS'!L25*'%DIST'!T20</f>
        <v/>
      </c>
      <c r="AE73" s="79" t="n"/>
      <c r="AF73" s="1055" t="n"/>
      <c r="AG73" s="78">
        <f>'GASTOS VEHICULOS'!M25*'%DIST'!V20</f>
        <v/>
      </c>
      <c r="AH73" s="79" t="n"/>
      <c r="AI73" s="1055" t="n"/>
      <c r="AJ73" s="78">
        <f>'GASTOS VEHICULOS'!N25*'%DIST'!X20</f>
        <v/>
      </c>
      <c r="AK73" s="305" t="n"/>
      <c r="AL73" s="86" t="n"/>
      <c r="AM73" s="414">
        <f>C73+F73+I73+L73+O73+R73+U73+X73+AA73+AD73+AG73+AJ73</f>
        <v/>
      </c>
      <c r="AN73" s="305" t="n"/>
      <c r="AO73" s="1117" t="n"/>
    </row>
    <row r="74" ht="15" customHeight="1" s="986">
      <c r="A74" s="226" t="inlineStr">
        <is>
          <t xml:space="preserve">73355001            </t>
        </is>
      </c>
      <c r="B74" s="416" t="inlineStr">
        <is>
          <t>PREPARADOS TERCEROS</t>
        </is>
      </c>
      <c r="C74" s="273">
        <f>'[17]Hoja 1'!$C$592+'[34]Hoja 1'!$D$129</f>
        <v/>
      </c>
      <c r="D74" s="134" t="n"/>
      <c r="E74" s="1118" t="n"/>
      <c r="F74" s="273">
        <f>'[19]Hoja 1'!$C$203</f>
        <v/>
      </c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14" t="n"/>
    </row>
    <row r="75" ht="15" customHeight="1" s="986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072" t="n"/>
    </row>
    <row r="76" ht="15" customHeight="1" s="986">
      <c r="A76" s="226" t="inlineStr">
        <is>
          <t xml:space="preserve">71101501            </t>
        </is>
      </c>
      <c r="B76" s="36" t="inlineStr">
        <is>
          <t>Menaje</t>
        </is>
      </c>
      <c r="C76" s="37">
        <f>'[17]Hoja 1'!$C$558</f>
        <v/>
      </c>
      <c r="D76" s="67" t="n"/>
      <c r="E76" s="1071" t="n"/>
      <c r="F76" s="37">
        <f>'[20]Hoja 1'!$C$521</f>
        <v/>
      </c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075">
        <f>AM76/$AM$13</f>
        <v/>
      </c>
    </row>
    <row r="77" ht="15" customHeight="1" s="98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'[34]Hoja 1'!$D$131</f>
        <v/>
      </c>
      <c r="D77" s="45" t="n"/>
      <c r="E77" s="1166" t="n"/>
      <c r="F77" s="28">
        <f>'[19]Hoja 1'!$C$205</f>
        <v/>
      </c>
      <c r="G77" s="45" t="n"/>
      <c r="H77" s="1166" t="n"/>
      <c r="I77" s="28" t="n"/>
      <c r="J77" s="45" t="n"/>
      <c r="K77" s="1166" t="n"/>
      <c r="L77" s="28" t="n"/>
      <c r="M77" s="45" t="n"/>
      <c r="N77" s="1166" t="n"/>
      <c r="O77" s="28" t="n"/>
      <c r="P77" s="45" t="n"/>
      <c r="Q77" s="1166" t="n"/>
      <c r="R77" s="28" t="n"/>
      <c r="S77" s="45" t="n"/>
      <c r="T77" s="1166" t="n"/>
      <c r="U77" s="28" t="n"/>
      <c r="V77" s="45" t="n"/>
      <c r="W77" s="1166" t="n"/>
      <c r="X77" s="28" t="n"/>
      <c r="Y77" s="45" t="n"/>
      <c r="Z77" s="1166" t="n"/>
      <c r="AA77" s="28" t="n"/>
      <c r="AB77" s="45" t="n"/>
      <c r="AC77" s="1166" t="n"/>
      <c r="AD77" s="28" t="n"/>
      <c r="AE77" s="45" t="n"/>
      <c r="AF77" s="1166" t="n"/>
      <c r="AG77" s="28" t="n"/>
      <c r="AH77" s="45" t="n"/>
      <c r="AI77" s="1166" t="n"/>
      <c r="AJ77" s="28" t="n"/>
      <c r="AK77" s="45" t="n"/>
      <c r="AL77" s="1166" t="n"/>
      <c r="AM77" s="26">
        <f>C77+F77+I77+L77+O77+R77+U77+X77+AA77+AD77+AG77+AJ77</f>
        <v/>
      </c>
      <c r="AN77" s="42">
        <f>AM77/(AM6+AM7)</f>
        <v/>
      </c>
      <c r="AO77" s="1075">
        <f>AM77/$AM$13</f>
        <v/>
      </c>
      <c r="AP77" s="1167" t="n"/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>
        <f>C78/(C$13)</f>
        <v/>
      </c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076">
        <f>AM78/(AM$13)</f>
        <v/>
      </c>
    </row>
    <row r="79" ht="15" customHeight="1" s="986">
      <c r="B79" s="39" t="inlineStr">
        <is>
          <t>Manipuladoras</t>
        </is>
      </c>
      <c r="C79" s="728">
        <f>'[7]Hoja 1'!$E$13+'[8]Hoja 1'!$E$14</f>
        <v/>
      </c>
      <c r="D79" s="267" t="n"/>
      <c r="E79" s="1077" t="n"/>
      <c r="F79" s="728">
        <f>'[15]Hoja 1'!$I$20-25458943+'[46]Hoja 1'!$C$27</f>
        <v/>
      </c>
      <c r="G79" s="69" t="n"/>
      <c r="H79" s="1077" t="n"/>
      <c r="I79" s="728" t="n"/>
      <c r="J79" s="69" t="n"/>
      <c r="K79" s="1077" t="n"/>
      <c r="L79" s="728" t="n"/>
      <c r="M79" s="69" t="n"/>
      <c r="N79" s="1077" t="n"/>
      <c r="O79" s="728" t="n"/>
      <c r="P79" s="69" t="n"/>
      <c r="Q79" s="1077" t="n"/>
      <c r="R79" s="728" t="n"/>
      <c r="S79" s="69" t="n"/>
      <c r="T79" s="1077" t="n"/>
      <c r="U79" s="728" t="n"/>
      <c r="V79" s="69" t="n"/>
      <c r="W79" s="1077" t="n"/>
      <c r="X79" s="728" t="n"/>
      <c r="Y79" s="69" t="n"/>
      <c r="Z79" s="1077" t="n"/>
      <c r="AA79" s="728" t="n"/>
      <c r="AB79" s="69" t="n"/>
      <c r="AC79" s="1077" t="n"/>
      <c r="AD79" s="728" t="n"/>
      <c r="AE79" s="69" t="n"/>
      <c r="AF79" s="1077" t="n"/>
      <c r="AG79" s="728" t="n"/>
      <c r="AH79" s="69" t="n"/>
      <c r="AI79" s="1077" t="n"/>
      <c r="AJ79" s="897" t="n"/>
      <c r="AK79" s="69" t="n"/>
      <c r="AL79" s="70" t="n"/>
      <c r="AM79" s="268">
        <f>C79+F79+I79+L79+O79+R79+U79+X79+AA79+AD79+AG79+AJ79</f>
        <v/>
      </c>
      <c r="AN79" s="4">
        <f>AM79/AM$12</f>
        <v/>
      </c>
      <c r="AO79" s="1078">
        <f>AM79/AM13</f>
        <v/>
      </c>
      <c r="AP79" s="356" t="n"/>
    </row>
    <row r="80" ht="15" customFormat="1" customHeight="1" s="108">
      <c r="A80" s="229" t="n"/>
      <c r="B80" s="25" t="inlineStr">
        <is>
          <t>Personal Supervisor - Coordinadores</t>
        </is>
      </c>
      <c r="C80" s="25">
        <f>'[1]Hoja 1'!$D$25+'[1]Hoja 1'!$D$28+'[2]Hoja 1'!$D$24</f>
        <v/>
      </c>
      <c r="D80" s="272" t="n"/>
      <c r="E80" s="1045" t="n"/>
      <c r="F80" s="25">
        <f>'[9]Hoja 1'!$D$30+'[9]Hoja 1'!$D$31+'[15]Hoja 1'!$D$19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57" t="n"/>
      <c r="AM80" s="205">
        <f>C80+F80+I80+L80+O80+R80+U80+X80+AA80+AD80+AG80+AJ80</f>
        <v/>
      </c>
      <c r="AN80" s="43" t="n"/>
      <c r="AO80" s="1046">
        <f>AM80/AM13</f>
        <v/>
      </c>
    </row>
    <row r="81" ht="15" customHeight="1" s="986" thickBot="1">
      <c r="B81" s="98" t="inlineStr">
        <is>
          <t>Temporales MOD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>
        <v>272352504.49</v>
      </c>
      <c r="S82" s="2" t="n"/>
      <c r="T82" s="1067" t="n"/>
      <c r="U82" s="2" t="n">
        <v>250</v>
      </c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511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C84/C13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B85" s="39" t="inlineStr">
        <is>
          <t>Costos Indirectos de Personal</t>
        </is>
      </c>
      <c r="C85" s="39">
        <f>'GASTOS OPERATIVOS'!C17*'%DIST'!C4</f>
        <v/>
      </c>
      <c r="D85" s="69" t="n"/>
      <c r="E85" s="1077" t="n"/>
      <c r="F85" s="39">
        <f>'GASTOS OPERATIVOS'!D17*'%DIST'!E4</f>
        <v/>
      </c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1168" t="n"/>
      <c r="AO85" s="1082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45" t="n"/>
      <c r="F86" s="25">
        <f>'[19]Hoja 1'!$C$179</f>
        <v/>
      </c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81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5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'[34]Hoja 1'!$D$118</f>
        <v/>
      </c>
      <c r="D87" s="42" t="n"/>
      <c r="E87" s="1057" t="n"/>
      <c r="F87" s="25">
        <f>'[20]Hoja 1'!$C$553</f>
        <v/>
      </c>
      <c r="G87" s="146" t="n"/>
      <c r="H87" s="1057" t="n"/>
      <c r="I87" s="22" t="n"/>
      <c r="J87" s="42" t="n"/>
      <c r="K87" s="1057" t="n"/>
      <c r="L87" s="25" t="n"/>
      <c r="M87" s="42" t="n"/>
      <c r="N87" s="1057" t="n"/>
      <c r="O87" s="25" t="n"/>
      <c r="P87" s="42" t="n"/>
      <c r="Q87" s="1057" t="n"/>
      <c r="R87" s="25" t="n"/>
      <c r="S87" s="42" t="n"/>
      <c r="T87" s="1057" t="n"/>
      <c r="U87" s="22" t="n"/>
      <c r="V87" s="42" t="n"/>
      <c r="W87" s="1057" t="n"/>
      <c r="X87" s="25" t="n"/>
      <c r="Y87" s="42" t="n"/>
      <c r="Z87" s="1057" t="n"/>
      <c r="AA87" s="25" t="n"/>
      <c r="AB87" s="42" t="n"/>
      <c r="AC87" s="1057" t="n"/>
      <c r="AD87" s="25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>
        <f>AM87/(AM$13)</f>
        <v/>
      </c>
    </row>
    <row r="88" ht="15" customHeight="1" s="986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47" t="n"/>
      <c r="F88" s="83">
        <f>'[19]Hoja 1'!$C$153</f>
        <v/>
      </c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 t="n"/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 t="n"/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6">
      <c r="B90" s="39" t="inlineStr">
        <is>
          <t>Asesoría Juridica</t>
        </is>
      </c>
      <c r="C90" s="964">
        <f>'[47]Hoja 1'!$C$646</f>
        <v/>
      </c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outlineLevel="1" ht="15" customHeight="1" s="986">
      <c r="B91" s="83" t="inlineStr">
        <is>
          <t>Asesoría Tecnica/ Capacitaciones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 t="n"/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 t="n"/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>
        <f>C96/(AM$13)</f>
        <v/>
      </c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 t="n"/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 t="n"/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076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4">
        <f>'[47]Hoja 1'!$C$649+'[34]Hoja 1'!$D$122</f>
        <v/>
      </c>
      <c r="D97" s="69" t="n"/>
      <c r="E97" s="1077" t="n"/>
      <c r="F97" s="39">
        <f>'[19]Hoja 1'!$C$195</f>
        <v/>
      </c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'[34]Hoja 1'!$D$124</f>
        <v/>
      </c>
      <c r="D98" s="276" t="n"/>
      <c r="E98" s="1084" t="n"/>
      <c r="F98" s="275">
        <f>'[19]Hoja 1'!$C$197</f>
        <v/>
      </c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>
        <f>F99/(F$13)</f>
        <v/>
      </c>
      <c r="I99" s="90">
        <f>SUM(I100:I108)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 t="n"/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076">
        <f>AM99/(AM$13)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6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45" t="n"/>
      <c r="F103" s="25">
        <f>'[19]Hoja 1'!C200</f>
        <v/>
      </c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81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'[34]Hoja 1'!$D$127</f>
        <v/>
      </c>
      <c r="D104" s="43" t="n"/>
      <c r="E104" s="1045" t="n"/>
      <c r="F104" s="25">
        <f>'[19]Hoja 1'!C201</f>
        <v/>
      </c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81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A105" s="226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>
        <f>C109/(C$13)</f>
        <v/>
      </c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 t="n"/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6">
      <c r="B110" s="39" t="inlineStr">
        <is>
          <t>Notariales</t>
        </is>
      </c>
      <c r="C110" s="39">
        <f>'[34]Hoja 1'!$D$136</f>
        <v/>
      </c>
      <c r="D110" s="69" t="n"/>
      <c r="E110" s="1077" t="n"/>
      <c r="F110" s="39">
        <f>'[19]Hoja 1'!$C$208</f>
        <v/>
      </c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6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6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t="15" customHeight="1" s="98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1053">
        <f>F114/(F$13)</f>
        <v/>
      </c>
      <c r="I114" s="90">
        <f>SUM(I115:I119)</f>
        <v/>
      </c>
      <c r="J114" s="3" t="n"/>
      <c r="K114" s="1053">
        <f>I114/(I$13)</f>
        <v/>
      </c>
      <c r="L114" s="49">
        <f>SUM(L115:L119)</f>
        <v/>
      </c>
      <c r="M114" s="3" t="n"/>
      <c r="N114" s="1053">
        <f>L114/(L$13)</f>
        <v/>
      </c>
      <c r="O114" s="49">
        <f>SUM(O115:O119)</f>
        <v/>
      </c>
      <c r="P114" s="3" t="n"/>
      <c r="Q114" s="1053">
        <f>O114/(O$13)</f>
        <v/>
      </c>
      <c r="R114" s="90">
        <f>SUM(R115:R119)</f>
        <v/>
      </c>
      <c r="S114" s="3" t="n"/>
      <c r="T114" s="1053">
        <f>R114/(R$13)</f>
        <v/>
      </c>
      <c r="U114" s="49">
        <f>SUM(U115:U119)</f>
        <v/>
      </c>
      <c r="V114" s="3" t="n"/>
      <c r="W114" s="1053">
        <f>U114/(U$13)</f>
        <v/>
      </c>
      <c r="X114" s="49">
        <f>SUM(X115:X119)</f>
        <v/>
      </c>
      <c r="Y114" s="3" t="n"/>
      <c r="Z114" s="1053">
        <f>X114/(X$13)</f>
        <v/>
      </c>
      <c r="AA114" s="49">
        <f>SUM(AA115:AA119)</f>
        <v/>
      </c>
      <c r="AB114" s="3" t="n"/>
      <c r="AC114" s="1053">
        <f>AA114/(AA$13)</f>
        <v/>
      </c>
      <c r="AD114" s="49">
        <f>SUM(AD115:AD119)</f>
        <v/>
      </c>
      <c r="AE114" s="3" t="n"/>
      <c r="AF114" s="1053" t="n"/>
      <c r="AG114" s="49">
        <f>SUM(AG115:AG119)</f>
        <v/>
      </c>
      <c r="AH114" s="3" t="n"/>
      <c r="AI114" s="1053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6"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'[34]Hoja 1'!$D$139</f>
        <v/>
      </c>
      <c r="D117" s="43" t="n"/>
      <c r="E117" s="1045" t="n"/>
      <c r="F117" s="25">
        <f>'[19]Hoja 1'!$C$212</f>
        <v/>
      </c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899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6">
      <c r="B119" s="97" t="inlineStr">
        <is>
          <t>Plan Basico de Saneamiento</t>
        </is>
      </c>
      <c r="C119" s="28" t="n"/>
      <c r="D119" s="42" t="n"/>
      <c r="E119" s="1057" t="n"/>
      <c r="F119" s="22">
        <f>'[19]Hoja 1'!$C$211</f>
        <v/>
      </c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788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784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SUM(R121)</f>
        <v/>
      </c>
      <c r="S120" s="3" t="n"/>
      <c r="T120" s="1053">
        <f>R120/(R$13)</f>
        <v/>
      </c>
      <c r="U120" s="49">
        <f>SUM(U121)</f>
        <v/>
      </c>
      <c r="V120" s="3" t="n"/>
      <c r="W120" s="1053">
        <f>U120/(U$13)</f>
        <v/>
      </c>
      <c r="X120" s="49">
        <f>SUM(X121)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SUM(AD121:AD122)</f>
        <v/>
      </c>
      <c r="AE120" s="3" t="n"/>
      <c r="AF120" s="1053" t="n"/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6"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t="15" customHeight="1" s="986"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>
        <f>C123/(C$13)</f>
        <v/>
      </c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>
        <f>SUM(AD124:AD126)</f>
        <v/>
      </c>
      <c r="AE123" s="3" t="n"/>
      <c r="AF123" s="1053" t="n"/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6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6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6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>
        <f>C127/(C$13)</f>
        <v/>
      </c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 t="n"/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076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>
        <f>'[20]Hoja 1'!$C$565+'[19]Hoja 1'!$C$217</f>
        <v/>
      </c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785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69" t="n"/>
    </row>
    <row r="129" outlineLevel="1" ht="15" customHeight="1" s="98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>
        <f>'[20]Hoja 1'!$C$566</f>
        <v/>
      </c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899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6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'[17]Hoja 1'!$C$556</f>
        <v/>
      </c>
      <c r="D130" s="43" t="n"/>
      <c r="E130" s="1045" t="n"/>
      <c r="F130" s="25">
        <f>'[20]Hoja 1'!$C$519+'[20]Hoja 1'!$C$557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70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>
        <f>'[20]Hoja 1'!$C$559</f>
        <v/>
      </c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6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'[17]Hoja 1'!$C$595+'[34]Hoja 1'!$D$142</f>
        <v/>
      </c>
      <c r="D133" s="43" t="n"/>
      <c r="E133" s="1045" t="n"/>
      <c r="F133" s="25">
        <f>'[20]Hoja 1'!$C$561+'[19]Hoja 1'!$C$215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'[34]Hoja 1'!$D$144</f>
        <v/>
      </c>
      <c r="D134" s="43" t="n"/>
      <c r="E134" s="1045" t="n"/>
      <c r="F134" s="25">
        <f>'[20]Hoja 1'!$C$563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>
        <f>'[19]Hoja 1'!$C$218</f>
        <v/>
      </c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>
        <f>'[19]Hoja 1'!$C$219</f>
        <v/>
      </c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outlineLevel="1" ht="15" customHeight="1" s="986" thickBot="1"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 t="n"/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ADMINISTRATIVOS'!C96*'%DIST'!B36</f>
        <v/>
      </c>
      <c r="D148" s="69" t="n"/>
      <c r="E148" s="1077" t="n"/>
      <c r="F148" s="39">
        <f>'GASTOS ADMINISTRATIVOS'!D96*'%DIST'!D36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AM148/AM13</f>
        <v/>
      </c>
    </row>
    <row r="149" ht="15" customHeight="1" s="986">
      <c r="B149" s="285" t="inlineStr">
        <is>
          <t>Gastos financieros</t>
        </is>
      </c>
      <c r="C149" s="25">
        <f>'GASTOS ADMINISTRATIVOS'!C109*'%DIST'!C52+520117.4</f>
        <v/>
      </c>
      <c r="D149" s="43" t="n"/>
      <c r="E149" s="1045" t="n"/>
      <c r="F149" s="25">
        <f>'GASTOS ADMINISTRATIVOS'!D109*'%DIST'!E52+129086.38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AM150/AM13</f>
        <v/>
      </c>
    </row>
    <row r="151" ht="15" customHeight="1" s="986" thickBot="1">
      <c r="B151" s="300" t="inlineStr">
        <is>
          <t>Gastos No Operacionales</t>
        </is>
      </c>
      <c r="C151" s="71">
        <f>'GASTOS ADMINISTRATIVOS'!C119*'%DIST'!C52</f>
        <v/>
      </c>
      <c r="D151" s="72" t="n"/>
      <c r="E151" s="1086" t="n"/>
      <c r="F151" s="71">
        <f>'GASTOS ADMINISTRATIVOS'!D119*'%DIST'!E52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AM153/AM13</f>
        <v/>
      </c>
    </row>
    <row r="154" ht="15" customHeight="1" s="986" thickTop="1">
      <c r="B154" s="1135" t="inlineStr">
        <is>
          <t>Novedades</t>
        </is>
      </c>
      <c r="C154" s="718" t="n"/>
      <c r="D154" s="550" t="n"/>
      <c r="E154" s="1171" t="n"/>
      <c r="F154" s="718" t="n"/>
      <c r="G154" s="550" t="n"/>
      <c r="H154" s="1171" t="n"/>
      <c r="I154" s="718" t="n"/>
      <c r="J154" s="550" t="n"/>
      <c r="K154" s="1171" t="n"/>
      <c r="L154" s="718" t="n"/>
      <c r="M154" s="550" t="n"/>
      <c r="N154" s="1171" t="n"/>
      <c r="O154" s="718" t="n"/>
      <c r="P154" s="550" t="n"/>
      <c r="Q154" s="1171" t="n"/>
      <c r="R154" s="718" t="n"/>
      <c r="S154" s="550" t="n"/>
      <c r="T154" s="1171" t="n"/>
      <c r="U154" s="718" t="n"/>
      <c r="V154" s="550" t="n"/>
      <c r="W154" s="1171" t="n"/>
      <c r="X154" s="718" t="n"/>
      <c r="Y154" s="550" t="n"/>
      <c r="Z154" s="1171" t="n"/>
      <c r="AA154" s="718" t="n"/>
      <c r="AB154" s="550" t="n"/>
      <c r="AC154" s="1171" t="n"/>
      <c r="AD154" s="718" t="n"/>
      <c r="AE154" s="550" t="n"/>
      <c r="AF154" s="1171" t="n"/>
      <c r="AG154" s="718" t="n"/>
      <c r="AH154" s="550" t="n"/>
      <c r="AI154" s="1171" t="n"/>
      <c r="AJ154" s="1172" t="n"/>
      <c r="AK154" s="550" t="n"/>
      <c r="AL154" s="719" t="n"/>
      <c r="AM154" s="718">
        <f>C154+F154+I154+L154+O154+R154+U154+X154+AA154+AD154+AG154+AJ154</f>
        <v/>
      </c>
      <c r="AN154" s="230" t="n"/>
      <c r="AO154" s="1137" t="n"/>
    </row>
    <row r="155" ht="15" customHeight="1" s="986">
      <c r="B155" s="1139" t="inlineStr">
        <is>
          <t xml:space="preserve">Otros Ajustes 1 </t>
        </is>
      </c>
      <c r="C155" s="75" t="n"/>
      <c r="D155" s="12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841" t="n"/>
      <c r="P155" s="847" t="n"/>
      <c r="Q155" s="843" t="n"/>
      <c r="R155" s="841" t="n"/>
      <c r="S155" s="847" t="n"/>
      <c r="T155" s="843" t="n"/>
      <c r="U155" s="707" t="n"/>
      <c r="V155" s="847" t="n"/>
      <c r="W155" s="843" t="n"/>
      <c r="X155" s="707" t="n"/>
      <c r="Y155" s="847" t="n"/>
      <c r="Z155" s="872" t="n"/>
      <c r="AA155" s="707" t="n"/>
      <c r="AB155" s="847" t="n"/>
      <c r="AC155" s="843" t="n"/>
      <c r="AD155" s="707" t="n"/>
      <c r="AE155" s="847" t="n"/>
      <c r="AF155" s="843" t="n"/>
      <c r="AG155" s="707" t="n"/>
      <c r="AH155" s="13" t="n"/>
      <c r="AI155" s="1151" t="n"/>
      <c r="AJ155" s="707" t="n"/>
      <c r="AK155" s="13" t="n"/>
      <c r="AL155" s="246" t="n"/>
      <c r="AM155" s="294">
        <f>C155+F155+I155+L155+O155+R155+U155+X155+AA155+AD155+AG155+AJ155</f>
        <v/>
      </c>
      <c r="AN155" s="9" t="n"/>
      <c r="AO155" s="1141" t="n"/>
    </row>
    <row r="156" ht="15" customHeight="1" s="986">
      <c r="B156" s="1143" t="inlineStr">
        <is>
          <t>Otros Ajustes 2</t>
        </is>
      </c>
      <c r="C156" s="77" t="n"/>
      <c r="D156" s="7" t="n"/>
      <c r="E156" s="1173" t="n"/>
      <c r="F156" s="720" t="n"/>
      <c r="G156" s="679" t="n"/>
      <c r="H156" s="1173" t="n"/>
      <c r="I156" s="720" t="n"/>
      <c r="J156" s="679" t="n"/>
      <c r="K156" s="1173" t="n"/>
      <c r="L156" s="720" t="n"/>
      <c r="M156" s="679" t="n"/>
      <c r="N156" s="1173" t="n"/>
      <c r="O156" s="842" t="n"/>
      <c r="P156" s="679" t="n"/>
      <c r="Q156" s="1174" t="n"/>
      <c r="R156" s="720" t="n"/>
      <c r="S156" s="679" t="n"/>
      <c r="T156" s="1173" t="n"/>
      <c r="U156" s="720" t="n"/>
      <c r="V156" s="679" t="n"/>
      <c r="W156" s="1173" t="n"/>
      <c r="X156" s="720" t="n"/>
      <c r="Y156" s="679" t="n"/>
      <c r="Z156" s="1173" t="n"/>
      <c r="AA156" s="720" t="n"/>
      <c r="AB156" s="679" t="n"/>
      <c r="AC156" s="1173" t="n"/>
      <c r="AD156" s="720" t="n"/>
      <c r="AE156" s="679" t="n"/>
      <c r="AF156" s="1173" t="n"/>
      <c r="AG156" s="720" t="n"/>
      <c r="AH156" s="679" t="n"/>
      <c r="AI156" s="1173" t="n"/>
      <c r="AJ156" s="720" t="n"/>
      <c r="AK156" s="679" t="n"/>
      <c r="AL156" s="721" t="n"/>
      <c r="AM156" s="715">
        <f>C156+F156+I156+L156+O156+R156+U156+X156+AA156+AD156+AG156+AJ156</f>
        <v/>
      </c>
      <c r="AN156" s="677" t="n"/>
      <c r="AO156" s="1145" t="n"/>
    </row>
    <row r="157" ht="15" customHeight="1" s="986">
      <c r="B157" s="1146" t="inlineStr">
        <is>
          <t>Otros Ajustes 3</t>
        </is>
      </c>
      <c r="C157" s="77" t="n"/>
      <c r="D157" s="822" t="n"/>
      <c r="E157" s="1175" t="n"/>
      <c r="F157" s="707" t="n"/>
      <c r="G157" s="555" t="n"/>
      <c r="H157" s="1175" t="n"/>
      <c r="I157" s="707" t="n"/>
      <c r="J157" s="555" t="n"/>
      <c r="K157" s="1175" t="n"/>
      <c r="L157" s="707" t="n"/>
      <c r="M157" s="555" t="n"/>
      <c r="N157" s="1175" t="n"/>
      <c r="O157" s="707" t="n"/>
      <c r="P157" s="847" t="n"/>
      <c r="Q157" s="1176" t="n"/>
      <c r="R157" s="707" t="n"/>
      <c r="S157" s="637" t="n"/>
      <c r="T157" s="1177" t="n"/>
      <c r="U157" s="707" t="n"/>
      <c r="V157" s="637" t="n"/>
      <c r="W157" s="1177" t="n"/>
      <c r="X157" s="707" t="n"/>
      <c r="Y157" s="555" t="n"/>
      <c r="Z157" s="1175" t="n"/>
      <c r="AA157" s="707" t="n"/>
      <c r="AB157" s="555" t="n"/>
      <c r="AC157" s="1175" t="n"/>
      <c r="AD157" s="707" t="n"/>
      <c r="AE157" s="555" t="n"/>
      <c r="AF157" s="1175" t="n"/>
      <c r="AG157" s="707" t="n"/>
      <c r="AH157" s="555" t="n"/>
      <c r="AI157" s="1175" t="n"/>
      <c r="AJ157" s="707" t="n"/>
      <c r="AK157" s="555" t="n"/>
      <c r="AL157" s="722" t="n"/>
      <c r="AM157" s="294">
        <f>C157+F157+I157+L157+O157+R157+U157+X157+AA157+AD157+AG157+AJ157</f>
        <v/>
      </c>
      <c r="AN157" s="553" t="n"/>
      <c r="AO157" s="1178">
        <f>AM157/(AM$13)</f>
        <v/>
      </c>
    </row>
    <row r="158" ht="15" customHeight="1" s="986">
      <c r="B158" s="1150" t="inlineStr">
        <is>
          <t>Otros Ajustes 4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79" t="n"/>
      <c r="P158" s="13" t="n"/>
      <c r="Q158" s="1180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81" t="n"/>
      <c r="AH158" s="13" t="n"/>
      <c r="AI158" s="1151" t="n"/>
      <c r="AJ158" s="1181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AM158/(AM$13)</f>
        <v/>
      </c>
    </row>
    <row r="159" ht="15" customHeight="1" s="986">
      <c r="B159" s="1150" t="inlineStr">
        <is>
          <t>Otros Ajustes 5</t>
        </is>
      </c>
      <c r="C159" s="707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81" t="n"/>
      <c r="AH159" s="13" t="n"/>
      <c r="AI159" s="1151" t="n"/>
      <c r="AJ159" s="1181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AM159/(AM$13)</f>
        <v/>
      </c>
    </row>
    <row r="160" ht="15" customHeight="1" s="986" thickBot="1">
      <c r="B160" s="1154" t="inlineStr">
        <is>
          <t>Otros Ajustes 6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56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6" thickBot="1" thickTop="1">
      <c r="B162" s="65" t="n"/>
      <c r="C162" s="540">
        <f>IFERROR(C161/C13," ")</f>
        <v/>
      </c>
      <c r="D162" s="502" t="n"/>
      <c r="E162" s="1093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6" thickTop="1"/>
    <row r="164">
      <c r="C164" s="618">
        <f>C44+C83-C73-C85</f>
        <v/>
      </c>
      <c r="F164" s="618">
        <f>F44+F83-F73-F85</f>
        <v/>
      </c>
      <c r="I164" s="618">
        <f>I44+I83-I73-I85</f>
        <v/>
      </c>
      <c r="L164" s="618">
        <f>L44+L83-L73-L85</f>
        <v/>
      </c>
      <c r="O164" s="618">
        <f>O44+O83-O73-O85</f>
        <v/>
      </c>
      <c r="R164" s="618">
        <f>R44+R83-R73-R85</f>
        <v/>
      </c>
      <c r="U164" s="618">
        <f>U44+U83-U73-U85</f>
        <v/>
      </c>
      <c r="X164" s="618">
        <f>X44+X83-X73-X85</f>
        <v/>
      </c>
      <c r="AA164" s="618">
        <f>AA44+AA83-AA73-AA85</f>
        <v/>
      </c>
      <c r="AD164" s="618">
        <f>AD44+AD83-AD73-AD85</f>
        <v/>
      </c>
      <c r="AG164" s="618">
        <f>AG44+AG83-AG73-AG85</f>
        <v/>
      </c>
      <c r="AJ164" s="618">
        <f>AJ44+AJ83-AJ73-AJ85</f>
        <v/>
      </c>
    </row>
    <row r="165">
      <c r="C165" s="618">
        <f>'[17]Hoja 1'!$C$542+'[17]Hoja 1'!$C$513+'[2]Hoja 1'!$D$24+'[34]Hoja 1'!$D$82-'[34]Hoja 1'!$D$133+'[35]Hoja 1'!$C$67-'[35]Hoja 1'!$C$101</f>
        <v/>
      </c>
      <c r="F165" s="618">
        <f>'[20]Hoja 1'!$C$505+'[20]Hoja 1'!$C$488-'[9]Hoja 1'!$D$32+'[19]Hoja 1'!$C$149+'[19]Hoja 1'!$C$155+'[46]Hoja 1'!$C$27</f>
        <v/>
      </c>
      <c r="I165" s="618" t="n">
        <v>2121596443.7</v>
      </c>
      <c r="L165" s="618" t="n">
        <v>1935453066.56</v>
      </c>
      <c r="O165" s="618" t="n">
        <v>2549031952.47</v>
      </c>
      <c r="R165" s="618" t="n">
        <v>2102238750.18</v>
      </c>
      <c r="U165" s="618" t="n">
        <v>1135155632.44</v>
      </c>
      <c r="X165" s="618" t="n">
        <v>2526140124.6</v>
      </c>
      <c r="AA165" s="618" t="n">
        <v>2938583349.14</v>
      </c>
      <c r="AD165" s="618" t="n">
        <v>2262146048.96</v>
      </c>
      <c r="AG165" s="618" t="n">
        <v>2001380699.16</v>
      </c>
      <c r="AJ165" s="618" t="n">
        <v>276800966.56</v>
      </c>
    </row>
    <row r="166">
      <c r="C166" s="618">
        <f>C164-C165</f>
        <v/>
      </c>
      <c r="F166" s="618">
        <f>F164-F165</f>
        <v/>
      </c>
      <c r="I166" s="618">
        <f>I164-I165</f>
        <v/>
      </c>
      <c r="L166" s="618">
        <f>L164-L165</f>
        <v/>
      </c>
      <c r="O166" s="618">
        <f>O164-O165</f>
        <v/>
      </c>
      <c r="R166" s="618">
        <f>R164-R165</f>
        <v/>
      </c>
      <c r="U166" s="618">
        <f>U164-U165</f>
        <v/>
      </c>
      <c r="X166" s="618">
        <f>X164-X165</f>
        <v/>
      </c>
      <c r="AA166" s="618">
        <f>AA164-AA165</f>
        <v/>
      </c>
      <c r="AD166" s="618">
        <f>AD164-AD165</f>
        <v/>
      </c>
      <c r="AG166" s="618">
        <f>AG164-AG165</f>
        <v/>
      </c>
      <c r="AJ166" s="618">
        <f>AJ164-AJ165</f>
        <v/>
      </c>
    </row>
    <row r="167">
      <c r="C167" s="993" t="n">
        <v>21902713</v>
      </c>
      <c r="D167" s="993" t="inlineStr">
        <is>
          <t>dic</t>
        </is>
      </c>
    </row>
    <row r="169">
      <c r="R169" s="1182" t="n"/>
    </row>
    <row r="188">
      <c r="AC188" s="1033">
        <f>11287+2223</f>
        <v/>
      </c>
    </row>
    <row r="189">
      <c r="AC189" s="1033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8.33203125" customWidth="1" style="2" min="43" max="43"/>
    <col width="11.44140625" customWidth="1" style="2" min="44" max="54"/>
    <col width="11.44140625" customWidth="1" style="2" min="55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 YUMBO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6" thickBot="1" thickTop="1">
      <c r="B3" s="523" t="inlineStr">
        <is>
          <t xml:space="preserve">DIAS DE ATENCIÓN </t>
        </is>
      </c>
      <c r="C3" s="537" t="n">
        <v>5</v>
      </c>
      <c r="D3" s="480" t="n"/>
      <c r="E3" s="1035" t="n"/>
      <c r="F3" s="537" t="n">
        <v>20</v>
      </c>
      <c r="G3" s="480" t="n"/>
      <c r="H3" s="1035" t="n"/>
      <c r="I3" s="537" t="n">
        <v>19</v>
      </c>
      <c r="J3" s="480" t="n"/>
      <c r="K3" s="1035" t="n"/>
      <c r="L3" s="537" t="n">
        <v>19</v>
      </c>
      <c r="M3" s="480" t="n"/>
      <c r="N3" s="1035" t="n"/>
      <c r="O3" s="479" t="n">
        <v>19</v>
      </c>
      <c r="P3" s="480" t="n"/>
      <c r="Q3" s="1035" t="n"/>
      <c r="R3" s="479" t="n">
        <v>13</v>
      </c>
      <c r="S3" s="480" t="n"/>
      <c r="T3" s="1035" t="n"/>
      <c r="U3" s="479" t="n">
        <v>14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16</v>
      </c>
      <c r="AE3" s="480" t="n"/>
      <c r="AF3" s="1035" t="n"/>
      <c r="AG3" s="479" t="n">
        <v>19</v>
      </c>
      <c r="AH3" s="480" t="n"/>
      <c r="AI3" s="1035" t="n"/>
      <c r="AJ3" s="479" t="n">
        <v>4</v>
      </c>
      <c r="AK3" s="480" t="n"/>
      <c r="AL3" s="538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25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 t="n"/>
      <c r="AA15" s="90">
        <f>SUM(AA16:AA22)</f>
        <v/>
      </c>
      <c r="AB15" s="3" t="n"/>
      <c r="AC15" s="1053" t="n"/>
      <c r="AD15" s="90">
        <f>SUM(AD16:AD22)</f>
        <v/>
      </c>
      <c r="AE15" s="399" t="n"/>
      <c r="AF15" s="1054" t="n"/>
      <c r="AG15" s="90">
        <f>SUM(AG16:AG22)</f>
        <v/>
      </c>
      <c r="AH15" s="3" t="n"/>
      <c r="AI15" s="1053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262" t="inlineStr">
        <is>
          <t>COMPLEMENTO AM/PM (Fac)</t>
        </is>
      </c>
      <c r="C16" s="103" t="n"/>
      <c r="D16" s="79">
        <f>C16/C5</f>
        <v/>
      </c>
      <c r="E16" s="1055" t="n"/>
      <c r="F16" s="103" t="n"/>
      <c r="G16" s="79">
        <f>F16/F5</f>
        <v/>
      </c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 t="n"/>
    </row>
    <row r="17" ht="15" customHeight="1" s="986">
      <c r="B17" s="104" t="inlineStr">
        <is>
          <t>REFUERZO COMPLEMENTO AM/PM (Fac)</t>
        </is>
      </c>
      <c r="C17" s="91" t="n"/>
      <c r="D17" s="43">
        <f>C17/C6</f>
        <v/>
      </c>
      <c r="E17" s="1045" t="n"/>
      <c r="F17" s="91" t="n"/>
      <c r="G17" s="43">
        <f>F17/F6</f>
        <v/>
      </c>
      <c r="H17" s="1045" t="n"/>
      <c r="I17" s="91" t="n"/>
      <c r="J17" s="43" t="n"/>
      <c r="K17" s="1045" t="n"/>
      <c r="L17" s="91" t="n"/>
      <c r="M17" s="43" t="n"/>
      <c r="N17" s="1045" t="n"/>
      <c r="O17" s="91" t="n"/>
      <c r="P17" s="43" t="n"/>
      <c r="Q17" s="1045" t="n"/>
      <c r="R17" s="91" t="n"/>
      <c r="S17" s="43" t="n"/>
      <c r="T17" s="1045" t="n"/>
      <c r="U17" s="91" t="n"/>
      <c r="V17" s="43" t="n"/>
      <c r="W17" s="1045" t="n"/>
      <c r="X17" s="91" t="n"/>
      <c r="Y17" s="43" t="n"/>
      <c r="Z17" s="1045" t="n"/>
      <c r="AA17" s="91" t="n"/>
      <c r="AB17" s="43" t="n"/>
      <c r="AC17" s="1045" t="n"/>
      <c r="AD17" s="91" t="n"/>
      <c r="AE17" s="43" t="n"/>
      <c r="AF17" s="1045" t="n"/>
      <c r="AG17" s="91" t="n"/>
      <c r="AH17" s="43" t="n"/>
      <c r="AI17" s="1045" t="n"/>
      <c r="AJ17" s="91" t="n"/>
      <c r="AK17" s="43" t="n"/>
      <c r="AL17" s="57" t="n"/>
      <c r="AM17" s="205">
        <f>C17+F17+I17+L17+O17+R17+U17+X17+AA17+AD17+AG17+AJ17</f>
        <v/>
      </c>
      <c r="AN17" s="43" t="n"/>
      <c r="AO17" s="1046" t="n"/>
    </row>
    <row r="18" ht="15" customHeight="1" s="986">
      <c r="B18" s="104" t="inlineStr">
        <is>
          <t>ALMUERZO JORNADA UNICA (Fac)</t>
        </is>
      </c>
      <c r="C18" s="75" t="n"/>
      <c r="D18" s="43">
        <f>C18/C7</f>
        <v/>
      </c>
      <c r="E18" s="1045" t="n"/>
      <c r="F18" s="75" t="n"/>
      <c r="G18" s="43">
        <f>F18/F7</f>
        <v/>
      </c>
      <c r="H18" s="1045" t="n"/>
      <c r="I18" s="7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5" t="n"/>
      <c r="AH18" s="43" t="n"/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6">
      <c r="B19" s="104" t="n"/>
      <c r="C19" s="25" t="n"/>
      <c r="D19" s="43" t="n"/>
      <c r="E19" s="1045" t="n"/>
      <c r="F19" s="74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74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6">
      <c r="B20" s="104" t="inlineStr">
        <is>
          <t>NOVEDADES (Fac)</t>
        </is>
      </c>
      <c r="C20" s="75" t="n"/>
      <c r="D20" s="43" t="n"/>
      <c r="E20" s="1045" t="n"/>
      <c r="F20" s="74" t="n"/>
      <c r="G20" s="43" t="n"/>
      <c r="H20" s="1045" t="n"/>
      <c r="I20" s="74" t="n"/>
      <c r="J20" s="43" t="n"/>
      <c r="K20" s="1045" t="n"/>
      <c r="L20" s="74" t="n"/>
      <c r="M20" s="43" t="n"/>
      <c r="N20" s="1045" t="n"/>
      <c r="O20" s="75" t="n"/>
      <c r="P20" s="43" t="n"/>
      <c r="Q20" s="1045" t="n"/>
      <c r="R20" s="74" t="n"/>
      <c r="S20" s="43" t="n"/>
      <c r="T20" s="1045" t="n"/>
      <c r="U20" s="74" t="n"/>
      <c r="V20" s="43" t="n"/>
      <c r="W20" s="1045" t="n"/>
      <c r="X20" s="75" t="n"/>
      <c r="Y20" s="43" t="n"/>
      <c r="Z20" s="1045" t="n"/>
      <c r="AA20" s="25" t="n"/>
      <c r="AB20" s="43" t="n"/>
      <c r="AC20" s="1045" t="n"/>
      <c r="AD20" s="74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6">
      <c r="B21" s="104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25" t="n"/>
      <c r="AB21" s="43" t="n"/>
      <c r="AC21" s="1045" t="n"/>
      <c r="AD21" s="74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idden="1" ht="15" customHeight="1" s="986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6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SUM(C30:C37)</f>
        <v/>
      </c>
      <c r="D29" s="3" t="n"/>
      <c r="E29" s="1053">
        <f>C29/C13</f>
        <v/>
      </c>
      <c r="F29" s="49">
        <f>SUM(F30:F37)</f>
        <v/>
      </c>
      <c r="G29" s="3" t="n"/>
      <c r="H29" s="1053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053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053">
        <f>U29/U13</f>
        <v/>
      </c>
      <c r="X29" s="90">
        <f>SUM(X30:X38)</f>
        <v/>
      </c>
      <c r="Y29" s="763" t="n"/>
      <c r="Z29" s="1159">
        <f>X29/X13</f>
        <v/>
      </c>
      <c r="AA29" s="90">
        <f>SUM(AA30:AA38)</f>
        <v/>
      </c>
      <c r="AB29" s="3" t="n"/>
      <c r="AC29" s="1160">
        <f>AA29/AA13</f>
        <v/>
      </c>
      <c r="AD29" s="90">
        <f>SUM(AD30:AD38)</f>
        <v/>
      </c>
      <c r="AE29" s="3" t="n"/>
      <c r="AF29" s="1053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061">
        <f>C$13*0.5%</f>
        <v/>
      </c>
      <c r="D30" s="79" t="n"/>
      <c r="E30" s="1055" t="n"/>
      <c r="F30" s="1061">
        <f>F$13*0.5%</f>
        <v/>
      </c>
      <c r="G30" s="79" t="n"/>
      <c r="H30" s="1055" t="n"/>
      <c r="I30" s="1061">
        <f>I$13*0.5%</f>
        <v/>
      </c>
      <c r="J30" s="79" t="n"/>
      <c r="K30" s="1055" t="n"/>
      <c r="L30" s="1061">
        <f>L$13*0.5%</f>
        <v/>
      </c>
      <c r="M30" s="79" t="n"/>
      <c r="N30" s="1055" t="n"/>
      <c r="O30" s="1061">
        <f>O$13*0.5%</f>
        <v/>
      </c>
      <c r="P30" s="79" t="n"/>
      <c r="Q30" s="1055" t="n"/>
      <c r="R30" s="1061">
        <f>R$13*0.5%</f>
        <v/>
      </c>
      <c r="S30" s="79" t="n"/>
      <c r="T30" s="1055" t="n"/>
      <c r="U30" s="1061">
        <f>U$13*0.5%</f>
        <v/>
      </c>
      <c r="V30" s="79" t="n"/>
      <c r="W30" s="1055" t="n"/>
      <c r="X30" s="1061">
        <f>X$13*0.5%</f>
        <v/>
      </c>
      <c r="Y30" s="79" t="n"/>
      <c r="Z30" s="1055" t="n"/>
      <c r="AA30" s="1061">
        <f>AA$13*0.5%</f>
        <v/>
      </c>
      <c r="AB30" s="79" t="n"/>
      <c r="AC30" s="1055" t="n"/>
      <c r="AD30" s="1061">
        <f>AD$13*0.5%</f>
        <v/>
      </c>
      <c r="AE30" s="79" t="n"/>
      <c r="AF30" s="1055" t="n"/>
      <c r="AG30" s="1061">
        <f>AG$13*0.5%</f>
        <v/>
      </c>
      <c r="AH30" s="79" t="n"/>
      <c r="AI30" s="1055" t="n"/>
      <c r="AJ30" s="1061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P30" s="2" t="n"/>
      <c r="AQ30" s="2" t="n"/>
    </row>
    <row r="31" outlineLevel="1" ht="15" customHeight="1" s="986">
      <c r="B31" s="105" t="inlineStr">
        <is>
          <t>Prohospitales 1%</t>
        </is>
      </c>
      <c r="C31" s="1062">
        <f>C$13*1%</f>
        <v/>
      </c>
      <c r="D31" s="43" t="n"/>
      <c r="E31" s="1045" t="n"/>
      <c r="F31" s="1062">
        <f>F$13*1%</f>
        <v/>
      </c>
      <c r="G31" s="43" t="n"/>
      <c r="H31" s="1045" t="n"/>
      <c r="I31" s="1062">
        <f>I$13*1%</f>
        <v/>
      </c>
      <c r="J31" s="43" t="n"/>
      <c r="K31" s="1045" t="n"/>
      <c r="L31" s="1062">
        <f>L$13*1%</f>
        <v/>
      </c>
      <c r="M31" s="43" t="n"/>
      <c r="N31" s="1045" t="n"/>
      <c r="O31" s="1062">
        <f>O$13*1%</f>
        <v/>
      </c>
      <c r="P31" s="43" t="n"/>
      <c r="Q31" s="1045" t="n"/>
      <c r="R31" s="1062">
        <f>R$13*1%</f>
        <v/>
      </c>
      <c r="S31" s="43" t="n"/>
      <c r="T31" s="1045" t="n"/>
      <c r="U31" s="1062">
        <f>U$13*1%</f>
        <v/>
      </c>
      <c r="V31" s="43" t="n"/>
      <c r="W31" s="1045" t="n"/>
      <c r="X31" s="1062">
        <f>X$13*1%</f>
        <v/>
      </c>
      <c r="Y31" s="43" t="n"/>
      <c r="Z31" s="1045" t="n"/>
      <c r="AA31" s="1062">
        <f>AA$13*1%</f>
        <v/>
      </c>
      <c r="AB31" s="43" t="n"/>
      <c r="AC31" s="1045" t="n"/>
      <c r="AD31" s="1062">
        <f>AD$13*1%</f>
        <v/>
      </c>
      <c r="AE31" s="43" t="n"/>
      <c r="AF31" s="1045" t="n"/>
      <c r="AG31" s="1062">
        <f>AG$13*1%</f>
        <v/>
      </c>
      <c r="AH31" s="43" t="n"/>
      <c r="AI31" s="1045" t="n"/>
      <c r="AJ31" s="1062">
        <f>AJ$13*1%</f>
        <v/>
      </c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outlineLevel="1" ht="15" customHeight="1" s="986">
      <c r="B32" s="105" t="inlineStr">
        <is>
          <t>Rete Ica 0,6%</t>
        </is>
      </c>
      <c r="C32" s="1183">
        <f>(C13*80%)*0.6%</f>
        <v/>
      </c>
      <c r="D32" s="92" t="n"/>
      <c r="E32" s="1063" t="n"/>
      <c r="F32" s="1183">
        <f>(F13*80%)*0.6%</f>
        <v/>
      </c>
      <c r="G32" s="92" t="n"/>
      <c r="H32" s="1063" t="n"/>
      <c r="I32" s="1183">
        <f>(I13*1%)*0.6%</f>
        <v/>
      </c>
      <c r="J32" s="92" t="n"/>
      <c r="K32" s="1063" t="n"/>
      <c r="L32" s="1183">
        <f>(L13*1%)*0.6%</f>
        <v/>
      </c>
      <c r="M32" s="92" t="n"/>
      <c r="N32" s="1063" t="n"/>
      <c r="O32" s="1183">
        <f>(O13*1%)*0.6%</f>
        <v/>
      </c>
      <c r="P32" s="43" t="n"/>
      <c r="Q32" s="1045" t="n"/>
      <c r="R32" s="1183">
        <f>(R13*1%)*0.6%</f>
        <v/>
      </c>
      <c r="S32" s="43" t="n"/>
      <c r="T32" s="1045" t="n"/>
      <c r="U32" s="1183">
        <f>(U13*1%)*0.6%</f>
        <v/>
      </c>
      <c r="V32" s="43" t="n"/>
      <c r="W32" s="1045" t="n"/>
      <c r="X32" s="1183">
        <f>(X13*1%)*0.6%</f>
        <v/>
      </c>
      <c r="Y32" s="43" t="n"/>
      <c r="Z32" s="1045" t="n"/>
      <c r="AA32" s="1183">
        <f>(AA13*1%)*0.6%</f>
        <v/>
      </c>
      <c r="AB32" s="43" t="n"/>
      <c r="AC32" s="1045" t="n"/>
      <c r="AD32" s="1183">
        <f>(AD13*1%)*0.6%</f>
        <v/>
      </c>
      <c r="AE32" s="43" t="n"/>
      <c r="AF32" s="1045" t="n"/>
      <c r="AG32" s="1183">
        <f>(AG13*1%)*0.6%</f>
        <v/>
      </c>
      <c r="AH32" s="43" t="n"/>
      <c r="AI32" s="1045" t="n"/>
      <c r="AJ32" s="1183">
        <f>(AJ13*1%)*0.6%</f>
        <v/>
      </c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outlineLevel="1" ht="15" customHeight="1" s="986">
      <c r="B33" s="105" t="inlineStr">
        <is>
          <t>Adulto Mayor 2%</t>
        </is>
      </c>
      <c r="C33" s="1062">
        <f>C13*2%</f>
        <v/>
      </c>
      <c r="D33" s="43" t="n"/>
      <c r="E33" s="1045" t="n"/>
      <c r="F33" s="1062">
        <f>F13*2%</f>
        <v/>
      </c>
      <c r="G33" s="43" t="n"/>
      <c r="H33" s="1045" t="n"/>
      <c r="I33" s="1062">
        <f>I13*2%</f>
        <v/>
      </c>
      <c r="J33" s="43" t="n"/>
      <c r="K33" s="1045" t="n"/>
      <c r="L33" s="1062">
        <f>L13*2%</f>
        <v/>
      </c>
      <c r="M33" s="43" t="n"/>
      <c r="N33" s="1045" t="n"/>
      <c r="O33" s="1062">
        <f>O13*2%</f>
        <v/>
      </c>
      <c r="P33" s="43" t="n"/>
      <c r="Q33" s="1045" t="n"/>
      <c r="R33" s="1062">
        <f>R13*2%</f>
        <v/>
      </c>
      <c r="S33" s="43" t="n"/>
      <c r="T33" s="1045" t="n"/>
      <c r="U33" s="1062">
        <f>U13*2%</f>
        <v/>
      </c>
      <c r="V33" s="43" t="n"/>
      <c r="W33" s="1045" t="n"/>
      <c r="X33" s="1062">
        <f>X13*2%</f>
        <v/>
      </c>
      <c r="Y33" s="43" t="n"/>
      <c r="Z33" s="1045" t="n"/>
      <c r="AA33" s="1062">
        <f>AA13*2%</f>
        <v/>
      </c>
      <c r="AB33" s="43" t="n"/>
      <c r="AC33" s="1045" t="n"/>
      <c r="AD33" s="1062">
        <f>AD13*2%</f>
        <v/>
      </c>
      <c r="AE33" s="43" t="n"/>
      <c r="AF33" s="1045" t="n"/>
      <c r="AG33" s="1062">
        <f>AG13*2%</f>
        <v/>
      </c>
      <c r="AH33" s="43" t="n"/>
      <c r="AI33" s="1045" t="n"/>
      <c r="AJ33" s="1062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outlineLevel="1" ht="15" customHeight="1" s="986">
      <c r="B34" s="105" t="inlineStr">
        <is>
          <t>Retefuente</t>
        </is>
      </c>
      <c r="C34" s="25" t="n"/>
      <c r="D34" s="43" t="n"/>
      <c r="E34" s="1045" t="n"/>
      <c r="F34" s="25" t="n"/>
      <c r="G34" s="43" t="n"/>
      <c r="H34" s="1045" t="n"/>
      <c r="I34" s="25">
        <f>(I13*1%)*3.5%</f>
        <v/>
      </c>
      <c r="J34" s="43" t="n"/>
      <c r="K34" s="1045" t="n"/>
      <c r="L34" s="25">
        <f>(L13*1%)*3.5%</f>
        <v/>
      </c>
      <c r="M34" s="43" t="n"/>
      <c r="N34" s="1045" t="n"/>
      <c r="O34" s="25">
        <f>(O13*1%)*3.5%</f>
        <v/>
      </c>
      <c r="P34" s="43" t="n"/>
      <c r="Q34" s="1045" t="n"/>
      <c r="R34" s="25">
        <f>(R13*1%)*3.5%</f>
        <v/>
      </c>
      <c r="S34" s="43" t="n"/>
      <c r="T34" s="1045" t="n"/>
      <c r="U34" s="25">
        <f>(U13*1%)*3.5%</f>
        <v/>
      </c>
      <c r="V34" s="43" t="n"/>
      <c r="W34" s="1045" t="n"/>
      <c r="X34" s="25">
        <f>(X13*1%)*3.5%</f>
        <v/>
      </c>
      <c r="Y34" s="43" t="n"/>
      <c r="Z34" s="1045" t="n"/>
      <c r="AA34" s="25">
        <f>(AA13*1%)*3.5%</f>
        <v/>
      </c>
      <c r="AB34" s="43" t="n"/>
      <c r="AC34" s="1045" t="n"/>
      <c r="AD34" s="25">
        <f>(AD13*1%)*3.5%</f>
        <v/>
      </c>
      <c r="AE34" s="43" t="n"/>
      <c r="AF34" s="1045" t="n"/>
      <c r="AG34" s="25">
        <f>(AG13*1%)*3.5%</f>
        <v/>
      </c>
      <c r="AH34" s="43" t="n"/>
      <c r="AI34" s="1045" t="n"/>
      <c r="AJ34" s="25">
        <f>(AJ13*1%)*3.5%</f>
        <v/>
      </c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outlineLevel="1" ht="15" customHeight="1" s="986">
      <c r="B35" s="335" t="inlineStr">
        <is>
          <t>Prodeporte 2,5%</t>
        </is>
      </c>
      <c r="C35" s="91">
        <f>C$13*2.5%</f>
        <v/>
      </c>
      <c r="D35" s="92" t="n"/>
      <c r="E35" s="1063" t="n"/>
      <c r="F35" s="91">
        <f>F$13*2.5%</f>
        <v/>
      </c>
      <c r="G35" s="92" t="n"/>
      <c r="H35" s="1063" t="n"/>
      <c r="I35" s="91">
        <f>I$13*2.5%</f>
        <v/>
      </c>
      <c r="J35" s="92" t="n"/>
      <c r="K35" s="1063" t="n"/>
      <c r="L35" s="91">
        <f>L$13*2.5%</f>
        <v/>
      </c>
      <c r="M35" s="92" t="n"/>
      <c r="N35" s="1063" t="n"/>
      <c r="O35" s="91">
        <f>O$13*2.5%</f>
        <v/>
      </c>
      <c r="P35" s="92" t="n"/>
      <c r="Q35" s="1063" t="n"/>
      <c r="R35" s="91">
        <f>R$13*2.5%</f>
        <v/>
      </c>
      <c r="S35" s="92" t="n"/>
      <c r="T35" s="1063" t="n"/>
      <c r="U35" s="91">
        <f>U$13*2.5%</f>
        <v/>
      </c>
      <c r="V35" s="92" t="n"/>
      <c r="W35" s="1063" t="n"/>
      <c r="X35" s="91">
        <f>X$13*2.5%</f>
        <v/>
      </c>
      <c r="Y35" s="92" t="n"/>
      <c r="Z35" s="1063" t="n"/>
      <c r="AA35" s="91">
        <f>AA$13*2.5%</f>
        <v/>
      </c>
      <c r="AB35" s="92" t="n"/>
      <c r="AC35" s="1063" t="n"/>
      <c r="AD35" s="91">
        <f>AD$13*2.5%</f>
        <v/>
      </c>
      <c r="AE35" s="92" t="n"/>
      <c r="AF35" s="1063" t="n"/>
      <c r="AG35" s="91">
        <f>AG$13*2.5%</f>
        <v/>
      </c>
      <c r="AH35" s="92" t="n"/>
      <c r="AI35" s="1063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outlineLevel="1" ht="15" customHeight="1" s="986">
      <c r="B36" s="105" t="inlineStr">
        <is>
          <t>2% Juzgado de Familia</t>
        </is>
      </c>
      <c r="C36" s="25">
        <f>C13*2%</f>
        <v/>
      </c>
      <c r="D36" s="43" t="n"/>
      <c r="E36" s="1045" t="n"/>
      <c r="F36" s="25">
        <f>F13*2%</f>
        <v/>
      </c>
      <c r="G36" s="43" t="n"/>
      <c r="H36" s="1045" t="n"/>
      <c r="I36" s="25">
        <f>I13*2%</f>
        <v/>
      </c>
      <c r="J36" s="43" t="n"/>
      <c r="K36" s="1045" t="n"/>
      <c r="L36" s="25">
        <f>L13*2%</f>
        <v/>
      </c>
      <c r="M36" s="43" t="n"/>
      <c r="N36" s="1045" t="n"/>
      <c r="O36" s="25">
        <f>O13*2%</f>
        <v/>
      </c>
      <c r="P36" s="43" t="n"/>
      <c r="Q36" s="1045" t="n"/>
      <c r="R36" s="25">
        <f>R13*2%</f>
        <v/>
      </c>
      <c r="S36" s="43" t="n"/>
      <c r="T36" s="1045" t="n"/>
      <c r="U36" s="25">
        <f>U13*2%</f>
        <v/>
      </c>
      <c r="V36" s="43" t="n"/>
      <c r="W36" s="1045" t="n"/>
      <c r="X36" s="25">
        <f>X13*2%</f>
        <v/>
      </c>
      <c r="Y36" s="43" t="n"/>
      <c r="Z36" s="1045" t="n"/>
      <c r="AA36" s="25">
        <f>AA13*2%</f>
        <v/>
      </c>
      <c r="AB36" s="43" t="n"/>
      <c r="AC36" s="1045" t="n"/>
      <c r="AD36" s="25">
        <f>AD13*2%</f>
        <v/>
      </c>
      <c r="AE36" s="43" t="n"/>
      <c r="AF36" s="1045" t="n"/>
      <c r="AG36" s="25">
        <f>AG13*2%</f>
        <v/>
      </c>
      <c r="AH36" s="43" t="n"/>
      <c r="AI36" s="1045" t="n"/>
      <c r="AJ36" s="25">
        <f>AJ13*2%</f>
        <v/>
      </c>
      <c r="AK36" s="43" t="n"/>
      <c r="AL36" s="57" t="n"/>
      <c r="AM36" s="205">
        <f>C36+F36+I36+L36+O36+R36+U36+X36+AA36+AD36+AG36+AJ36</f>
        <v/>
      </c>
      <c r="AN36" s="43" t="n"/>
      <c r="AO36" s="1046" t="n"/>
    </row>
    <row r="37" outlineLevel="1" ht="15" customHeight="1" s="986">
      <c r="B37" s="105" t="inlineStr">
        <is>
          <t>0,5% Propacifico</t>
        </is>
      </c>
      <c r="C37" s="25">
        <f>C$13*0.5%</f>
        <v/>
      </c>
      <c r="D37" s="43" t="n"/>
      <c r="E37" s="1045" t="n"/>
      <c r="F37" s="25">
        <f>F$13*0.5%</f>
        <v/>
      </c>
      <c r="G37" s="43" t="n"/>
      <c r="H37" s="1045" t="n"/>
      <c r="I37" s="25">
        <f>I$13*0.5%</f>
        <v/>
      </c>
      <c r="J37" s="43" t="n"/>
      <c r="K37" s="1045" t="n"/>
      <c r="L37" s="25">
        <f>L$13*0.5%</f>
        <v/>
      </c>
      <c r="M37" s="43" t="n"/>
      <c r="N37" s="1045" t="n"/>
      <c r="O37" s="25">
        <f>O$13*0.5%</f>
        <v/>
      </c>
      <c r="P37" s="43" t="n"/>
      <c r="Q37" s="1045" t="n"/>
      <c r="R37" s="25">
        <f>R$13*0.5%</f>
        <v/>
      </c>
      <c r="S37" s="43" t="n"/>
      <c r="T37" s="1045" t="n"/>
      <c r="U37" s="25">
        <f>U$13*0.5%</f>
        <v/>
      </c>
      <c r="V37" s="43" t="n"/>
      <c r="W37" s="1045" t="n"/>
      <c r="X37" s="25">
        <f>X$13*0.5%</f>
        <v/>
      </c>
      <c r="Y37" s="43" t="n"/>
      <c r="Z37" s="1045" t="n"/>
      <c r="AA37" s="25">
        <f>AA$13*0.5%</f>
        <v/>
      </c>
      <c r="AB37" s="43" t="n"/>
      <c r="AC37" s="1045" t="n"/>
      <c r="AD37" s="25">
        <f>AD$13*0.5%</f>
        <v/>
      </c>
      <c r="AE37" s="43" t="n"/>
      <c r="AF37" s="1045" t="n"/>
      <c r="AG37" s="25">
        <f>AG$13*0.5%</f>
        <v/>
      </c>
      <c r="AH37" s="43" t="n"/>
      <c r="AI37" s="1045" t="n"/>
      <c r="AJ37" s="25">
        <f>AJ$13*0.5%</f>
        <v/>
      </c>
      <c r="AK37" s="43" t="n"/>
      <c r="AL37" s="57" t="n"/>
      <c r="AM37" s="205">
        <f>C37+F37+I37+L37+O37+R37+U37+X37+AA37+AD37+AG37+AJ37</f>
        <v/>
      </c>
      <c r="AN37" s="43" t="n"/>
      <c r="AO37" s="1046" t="n"/>
    </row>
    <row r="38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058" t="n"/>
    </row>
    <row r="39" hidden="1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6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6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>
        <f>161491188.56-AG29</f>
        <v/>
      </c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69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 t="n"/>
      <c r="D45" s="3" t="n"/>
      <c r="E45" s="1053" t="n"/>
      <c r="F45" s="49">
        <f>+F46+F57</f>
        <v/>
      </c>
      <c r="G45" s="3" t="n"/>
      <c r="H45" s="1053" t="n"/>
      <c r="I45" s="49">
        <f>+I46+I57</f>
        <v/>
      </c>
      <c r="J45" s="3" t="n"/>
      <c r="K45" s="1053" t="n"/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90">
        <f>+R46+R57</f>
        <v/>
      </c>
      <c r="S45" s="3" t="n"/>
      <c r="T45" s="1053" t="n"/>
      <c r="U45" s="90">
        <f>+U46+U57</f>
        <v/>
      </c>
      <c r="V45" s="3" t="n"/>
      <c r="W45" s="1053" t="n"/>
      <c r="X45" s="49">
        <f>+X46+X57</f>
        <v/>
      </c>
      <c r="Y45" s="3" t="n"/>
      <c r="Z45" s="1053" t="n"/>
      <c r="AA45" s="90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76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6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idden="1" ht="15" customHeight="1" s="986">
      <c r="B47" s="97" t="inlineStr">
        <is>
          <t>RACION PARA PREPARAR EN CASA (Ins)</t>
        </is>
      </c>
      <c r="C47" s="76" t="n"/>
      <c r="D47" s="42" t="n"/>
      <c r="E47" s="1057" t="n"/>
      <c r="F47" s="76" t="n"/>
      <c r="G47" s="42">
        <f>F47/F5</f>
        <v/>
      </c>
      <c r="H47" s="1057">
        <f>F47/F13</f>
        <v/>
      </c>
      <c r="I47" s="76" t="n"/>
      <c r="J47" s="42">
        <f>I47/I5</f>
        <v/>
      </c>
      <c r="K47" s="1057">
        <f>I47/I13</f>
        <v/>
      </c>
      <c r="L47" s="76" t="n"/>
      <c r="M47" s="42">
        <f>L47/L5</f>
        <v/>
      </c>
      <c r="N47" s="1057">
        <f>L47/L13</f>
        <v/>
      </c>
      <c r="O47" s="76" t="n"/>
      <c r="P47" s="42" t="n"/>
      <c r="Q47" s="1057" t="n"/>
      <c r="R47" s="76" t="n"/>
      <c r="S47" s="42">
        <f>R47/R5</f>
        <v/>
      </c>
      <c r="T47" s="1057">
        <f>R47/R13</f>
        <v/>
      </c>
      <c r="U47" s="76" t="n"/>
      <c r="V47" s="42">
        <f>U47/U5</f>
        <v/>
      </c>
      <c r="W47" s="1057">
        <f>U47/U13</f>
        <v/>
      </c>
      <c r="X47" s="76" t="n"/>
      <c r="Y47" s="42">
        <f>X47/X5</f>
        <v/>
      </c>
      <c r="Z47" s="1057">
        <f>X47/X13</f>
        <v/>
      </c>
      <c r="AA47" s="76" t="n"/>
      <c r="AB47" s="42" t="n"/>
      <c r="AC47" s="1057">
        <f>AA47/AA13</f>
        <v/>
      </c>
      <c r="AD47" s="76" t="n"/>
      <c r="AE47" s="42" t="n"/>
      <c r="AF47" s="1057">
        <f>AD47/AD13</f>
        <v/>
      </c>
      <c r="AG47" s="76" t="n"/>
      <c r="AH47" s="42" t="n"/>
      <c r="AI47" s="1057" t="n"/>
      <c r="AJ47" s="76" t="n"/>
      <c r="AK47" s="42" t="n"/>
      <c r="AL47" s="1057" t="n"/>
      <c r="AM47" s="97">
        <f>C47+F47+I47+L47+O47+R47+U47+X47+AA47+AD47+AG47+AJ47</f>
        <v/>
      </c>
      <c r="AN47" s="42">
        <f>AM47/AM5</f>
        <v/>
      </c>
      <c r="AO47" s="1058">
        <f>AM47/AM13</f>
        <v/>
      </c>
    </row>
    <row r="48" hidden="1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>
        <f>AA48/AA6</f>
        <v/>
      </c>
      <c r="AC48" s="1045">
        <f>AA48/AA17</f>
        <v/>
      </c>
      <c r="AD48" s="75" t="n"/>
      <c r="AE48" s="43">
        <f>AD48/AD6</f>
        <v/>
      </c>
      <c r="AF48" s="1045">
        <f>AD48/AD17</f>
        <v/>
      </c>
      <c r="AG48" s="75" t="n"/>
      <c r="AH48" s="43">
        <f>AG48/AG6</f>
        <v/>
      </c>
      <c r="AI48" s="1045">
        <f>AG48/AG17</f>
        <v/>
      </c>
      <c r="AJ48" s="75" t="n"/>
      <c r="AK48" s="43" t="n"/>
      <c r="AL48" s="1045" t="n"/>
      <c r="AM48" s="205">
        <f>C48+F48+I48+L48+O48+R48+U48+X48+AA48+AD48+AG48+AJ48</f>
        <v/>
      </c>
      <c r="AN48" s="43" t="n"/>
      <c r="AO48" s="1046" t="n"/>
    </row>
    <row r="49" hidden="1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>
        <f>AA49/AA7</f>
        <v/>
      </c>
      <c r="AC49" s="1045">
        <f>AA49/AA18</f>
        <v/>
      </c>
      <c r="AD49" s="75" t="n"/>
      <c r="AE49" s="43">
        <f>AD49/AD7</f>
        <v/>
      </c>
      <c r="AF49" s="1045">
        <f>AD49/AD18</f>
        <v/>
      </c>
      <c r="AG49" s="75" t="n"/>
      <c r="AH49" s="43">
        <f>AG49/AG7</f>
        <v/>
      </c>
      <c r="AI49" s="1045">
        <f>AG49/AG18</f>
        <v/>
      </c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idden="1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idden="1" ht="15" customHeight="1" s="986">
      <c r="B52" s="25" t="inlineStr">
        <is>
          <t>REFRIGERIOS (Ins)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idden="1" ht="15" customHeight="1" s="986">
      <c r="B57" s="36" t="inlineStr">
        <is>
          <t>FLETES CI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>
        <f>L57/L12</f>
        <v/>
      </c>
      <c r="N57" s="1071">
        <f>L57/L13</f>
        <v/>
      </c>
      <c r="O57" s="46">
        <f>SUM(O58:O59)</f>
        <v/>
      </c>
      <c r="P57" s="47" t="n"/>
      <c r="Q57" s="1049" t="n"/>
      <c r="R57" s="46">
        <f>SUM(R58:R59)</f>
        <v/>
      </c>
      <c r="S57" s="47">
        <f>R57/R12</f>
        <v/>
      </c>
      <c r="T57" s="1049">
        <f>R57/R13</f>
        <v/>
      </c>
      <c r="U57" s="46">
        <f>SUM(U58:U59)</f>
        <v/>
      </c>
      <c r="V57" s="47">
        <f>U57/U12</f>
        <v/>
      </c>
      <c r="W57" s="1049">
        <f>U57/U13</f>
        <v/>
      </c>
      <c r="X57" s="46">
        <f>SUM(X58:X59)</f>
        <v/>
      </c>
      <c r="Y57" s="47">
        <f>X57/X12</f>
        <v/>
      </c>
      <c r="Z57" s="1049">
        <f>X57/X13</f>
        <v/>
      </c>
      <c r="AA57" s="46">
        <f>SUM(AA58:AA59)</f>
        <v/>
      </c>
      <c r="AB57" s="47">
        <f>AA57/AA12</f>
        <v/>
      </c>
      <c r="AC57" s="1049">
        <f>AA57/AA13</f>
        <v/>
      </c>
      <c r="AD57" s="46">
        <f>SUM(AD58:AD59)</f>
        <v/>
      </c>
      <c r="AE57" s="47">
        <f>AD57/AD12</f>
        <v/>
      </c>
      <c r="AF57" s="1049">
        <f>AD57/AD13</f>
        <v/>
      </c>
      <c r="AG57" s="46">
        <f>SUM(AG58:AG59)</f>
        <v/>
      </c>
      <c r="AH57" s="67">
        <f>AG57/AG12</f>
        <v/>
      </c>
      <c r="AI57" s="1071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050" t="n"/>
    </row>
    <row r="58" hidden="1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>
        <f>F58/F5</f>
        <v/>
      </c>
      <c r="H58" s="1111">
        <f>F58/F13</f>
        <v/>
      </c>
      <c r="I58" s="304" t="n"/>
      <c r="J58" s="305">
        <f>I58/I5</f>
        <v/>
      </c>
      <c r="K58" s="1111">
        <f>I58/I13</f>
        <v/>
      </c>
      <c r="L58" s="304" t="n"/>
      <c r="M58" s="305">
        <f>L58/L5</f>
        <v/>
      </c>
      <c r="N58" s="1111">
        <f>L58/L13</f>
        <v/>
      </c>
      <c r="O58" s="304" t="n"/>
      <c r="P58" s="305" t="n"/>
      <c r="Q58" s="1111" t="n"/>
      <c r="R58" s="304" t="n"/>
      <c r="S58" s="305">
        <f>R58/R5</f>
        <v/>
      </c>
      <c r="T58" s="1111">
        <f>R58/R13</f>
        <v/>
      </c>
      <c r="U58" s="304" t="n"/>
      <c r="V58" s="305">
        <f>U58/U5</f>
        <v/>
      </c>
      <c r="W58" s="1111">
        <f>U58/U13</f>
        <v/>
      </c>
      <c r="X58" s="304" t="n"/>
      <c r="Y58" s="305">
        <f>X58/X5</f>
        <v/>
      </c>
      <c r="Z58" s="1111">
        <f>X58/X13</f>
        <v/>
      </c>
      <c r="AA58" s="304" t="n"/>
      <c r="AB58" s="305">
        <f>AA58/AA12</f>
        <v/>
      </c>
      <c r="AC58" s="1111">
        <f>AA58/AA13</f>
        <v/>
      </c>
      <c r="AD58" s="304" t="n"/>
      <c r="AE58" s="305">
        <f>AD58/AD12</f>
        <v/>
      </c>
      <c r="AF58" s="1111">
        <f>AD58/AD13</f>
        <v/>
      </c>
      <c r="AG58" s="304" t="n"/>
      <c r="AH58" s="305">
        <f>AG58/AG12</f>
        <v/>
      </c>
      <c r="AI58" s="1111">
        <f>AG58/AG13</f>
        <v/>
      </c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AM58/AM$16</f>
        <v/>
      </c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>
        <f>F59/F5</f>
        <v/>
      </c>
      <c r="H59" s="1047">
        <f>F59/F13</f>
        <v/>
      </c>
      <c r="I59" s="83" t="n"/>
      <c r="J59" s="84">
        <f>I59/I5</f>
        <v/>
      </c>
      <c r="K59" s="1047">
        <f>I59/I13</f>
        <v/>
      </c>
      <c r="L59" s="83" t="n"/>
      <c r="M59" s="84">
        <f>L59/L5</f>
        <v/>
      </c>
      <c r="N59" s="1047">
        <f>L59/L13</f>
        <v/>
      </c>
      <c r="O59" s="83" t="n"/>
      <c r="P59" s="84" t="n"/>
      <c r="Q59" s="1047" t="n"/>
      <c r="R59" s="83" t="n"/>
      <c r="S59" s="84">
        <f>R59/R5</f>
        <v/>
      </c>
      <c r="T59" s="1047">
        <f>R59/R13</f>
        <v/>
      </c>
      <c r="U59" s="83" t="n"/>
      <c r="V59" s="84">
        <f>U59/U5</f>
        <v/>
      </c>
      <c r="W59" s="1047">
        <f>U59/U13</f>
        <v/>
      </c>
      <c r="X59" s="83" t="n"/>
      <c r="Y59" s="84">
        <f>X59/X5</f>
        <v/>
      </c>
      <c r="Z59" s="1047">
        <f>X59/X13</f>
        <v/>
      </c>
      <c r="AA59" s="83" t="n"/>
      <c r="AB59" s="84">
        <f>AA59/AA12</f>
        <v/>
      </c>
      <c r="AC59" s="1047">
        <f>AA59/AA13</f>
        <v/>
      </c>
      <c r="AD59" s="83" t="n"/>
      <c r="AE59" s="84">
        <f>AD59/AD12</f>
        <v/>
      </c>
      <c r="AF59" s="1047">
        <f>AD59/AD13</f>
        <v/>
      </c>
      <c r="AG59" s="83" t="n"/>
      <c r="AH59" s="84">
        <f>AG59/AG12</f>
        <v/>
      </c>
      <c r="AI59" s="1047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AM59/(AM16)</f>
        <v/>
      </c>
    </row>
    <row r="60" ht="15" customHeight="1" s="986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90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90">
        <f>+AA61+AA72+AA75+AA76+AA77</f>
        <v/>
      </c>
      <c r="AB60" s="3" t="n"/>
      <c r="AC60" s="1053" t="n"/>
      <c r="AD60" s="90">
        <f>+AD61+AD72+AD75+AD76+AD77</f>
        <v/>
      </c>
      <c r="AE60" s="3" t="n"/>
      <c r="AF60" s="1053" t="n"/>
      <c r="AG60" s="90">
        <f>+AG61+AG72+AG75+AG76+AG77</f>
        <v/>
      </c>
      <c r="AH60" s="76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t="15" customHeight="1" s="986">
      <c r="B61" s="36" t="inlineStr">
        <is>
          <t>INSUMOS CP</t>
        </is>
      </c>
      <c r="C61" s="37">
        <f>SUM(C62:C71)</f>
        <v/>
      </c>
      <c r="D61" s="67" t="n"/>
      <c r="E61" s="1184">
        <f>C61/(C$13-C$19-C$20)</f>
        <v/>
      </c>
      <c r="F61" s="37">
        <f>SUM(F62:F71)</f>
        <v/>
      </c>
      <c r="G61" s="67" t="n"/>
      <c r="H61" s="1184">
        <f>F61/(F$13-F$19-F$20)</f>
        <v/>
      </c>
      <c r="I61" s="37">
        <f>SUM(I62:I71)</f>
        <v/>
      </c>
      <c r="J61" s="67" t="n"/>
      <c r="K61" s="1184">
        <f>I61/(I$13-I$19-I$20)</f>
        <v/>
      </c>
      <c r="L61" s="37">
        <f>SUM(L62:L71)</f>
        <v/>
      </c>
      <c r="M61" s="67" t="n"/>
      <c r="N61" s="1184">
        <f>L61/L13</f>
        <v/>
      </c>
      <c r="O61" s="37">
        <f>SUM(O62:O71)</f>
        <v/>
      </c>
      <c r="P61" s="67" t="n"/>
      <c r="Q61" s="1184">
        <f>O61/(O13-O20)</f>
        <v/>
      </c>
      <c r="R61" s="37">
        <f>SUM(R62:R71)</f>
        <v/>
      </c>
      <c r="S61" s="67" t="n"/>
      <c r="T61" s="1184">
        <f>R61/R13</f>
        <v/>
      </c>
      <c r="U61" s="37">
        <f>SUM(U62:U71)</f>
        <v/>
      </c>
      <c r="V61" s="67" t="n"/>
      <c r="W61" s="1184">
        <f>U61/U13</f>
        <v/>
      </c>
      <c r="X61" s="37">
        <f>SUM(X62:X71)</f>
        <v/>
      </c>
      <c r="Y61" s="67" t="n"/>
      <c r="Z61" s="1184">
        <f>X61/X13</f>
        <v/>
      </c>
      <c r="AA61" s="37">
        <f>SUM(AA62:AA71)</f>
        <v/>
      </c>
      <c r="AB61" s="67" t="n"/>
      <c r="AC61" s="1184">
        <f>AA61/(AA13-AA19-AA20)</f>
        <v/>
      </c>
      <c r="AD61" s="37">
        <f>SUM(AD62:AD71)</f>
        <v/>
      </c>
      <c r="AE61" s="67" t="n"/>
      <c r="AF61" s="1184">
        <f>AD61/(AD13-AD19-AD20)</f>
        <v/>
      </c>
      <c r="AG61" s="37">
        <f>SUM(AG62:AG71)</f>
        <v/>
      </c>
      <c r="AH61" s="67" t="n"/>
      <c r="AI61" s="1049">
        <f>AG61/(AG13-AG19)</f>
        <v/>
      </c>
      <c r="AJ61" s="37">
        <f>SUM(AJ62:AJ71)</f>
        <v/>
      </c>
      <c r="AK61" s="67" t="n"/>
      <c r="AL61" s="1049">
        <f>AJ61/(AJ13-AJ19)</f>
        <v/>
      </c>
      <c r="AM61" s="211">
        <f>C61+F61+I61+L61+O61+R61+U61+X61+AA61+AD61+AG61+AJ61</f>
        <v/>
      </c>
      <c r="AN61" s="67" t="n"/>
      <c r="AO61" s="1185">
        <f>AM61/(AM$13-AM$19-AM$20)</f>
        <v/>
      </c>
    </row>
    <row r="62" ht="15" customHeight="1" s="986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'[44]Hoja 1'!$I$47</f>
        <v/>
      </c>
      <c r="D62" s="79">
        <f>C62/C5</f>
        <v/>
      </c>
      <c r="E62" s="1055">
        <f>C62/C16</f>
        <v/>
      </c>
      <c r="F62" s="78">
        <f>'[45]Hoja 1'!$I$56</f>
        <v/>
      </c>
      <c r="G62" s="79">
        <f>F62/F5</f>
        <v/>
      </c>
      <c r="H62" s="1055">
        <f>F62/F16</f>
        <v/>
      </c>
      <c r="I62" s="78" t="n"/>
      <c r="J62" s="79">
        <f>I62/I5</f>
        <v/>
      </c>
      <c r="K62" s="1055">
        <f>I62/I16</f>
        <v/>
      </c>
      <c r="L62" s="78" t="n"/>
      <c r="M62" s="79">
        <f>L62/L5</f>
        <v/>
      </c>
      <c r="N62" s="1055">
        <f>L62/L16</f>
        <v/>
      </c>
      <c r="O62" s="78" t="n"/>
      <c r="P62" s="79">
        <f>O62/O5</f>
        <v/>
      </c>
      <c r="Q62" s="1055">
        <f>O62/O16</f>
        <v/>
      </c>
      <c r="R62" s="78" t="n"/>
      <c r="S62" s="79">
        <f>R62/R5</f>
        <v/>
      </c>
      <c r="T62" s="1055">
        <f>R62/R16</f>
        <v/>
      </c>
      <c r="U62" s="78" t="n"/>
      <c r="V62" s="79">
        <f>U62/U5</f>
        <v/>
      </c>
      <c r="W62" s="1055">
        <f>U62/U16</f>
        <v/>
      </c>
      <c r="X62" s="78" t="n"/>
      <c r="Y62" s="79">
        <f>X62/X5</f>
        <v/>
      </c>
      <c r="Z62" s="1055">
        <f>X62/X16</f>
        <v/>
      </c>
      <c r="AA62" s="78" t="n"/>
      <c r="AB62" s="79">
        <f>AA62/AA5</f>
        <v/>
      </c>
      <c r="AC62" s="1055">
        <f>AA62/AA16</f>
        <v/>
      </c>
      <c r="AD62" s="78" t="n"/>
      <c r="AE62" s="79">
        <f>AD62/AD5</f>
        <v/>
      </c>
      <c r="AF62" s="1055">
        <f>AD62/AD16</f>
        <v/>
      </c>
      <c r="AG62" s="78" t="n"/>
      <c r="AH62" s="79">
        <f>AG62/AG5</f>
        <v/>
      </c>
      <c r="AI62" s="1055">
        <f>AG62/AG16</f>
        <v/>
      </c>
      <c r="AJ62" s="78" t="n"/>
      <c r="AK62" s="79">
        <f>AJ62/AJ5</f>
        <v/>
      </c>
      <c r="AL62" s="1055">
        <f>AJ62/AJ16</f>
        <v/>
      </c>
      <c r="AM62" s="212">
        <f>C62+F62+I62+L62+O62+R62+U62+X62+AA62+AD62+AG62+AJ62</f>
        <v/>
      </c>
      <c r="AN62" s="79">
        <f>AM62/AM5</f>
        <v/>
      </c>
      <c r="AO62" s="1056">
        <f>AM62/AM16</f>
        <v/>
      </c>
    </row>
    <row r="63" ht="15" customHeight="1" s="986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'[44]Hoja 1'!$I$49</f>
        <v/>
      </c>
      <c r="D63" s="43">
        <f>C63/C6</f>
        <v/>
      </c>
      <c r="E63" s="1045">
        <f>C63/C17</f>
        <v/>
      </c>
      <c r="F63" s="25">
        <f>'[45]Hoja 1'!$I$58</f>
        <v/>
      </c>
      <c r="G63" s="43">
        <f>F63/F6</f>
        <v/>
      </c>
      <c r="H63" s="1045">
        <f>F63/F17</f>
        <v/>
      </c>
      <c r="I63" s="25" t="n"/>
      <c r="J63" s="43">
        <f>I63/I6</f>
        <v/>
      </c>
      <c r="K63" s="1045">
        <f>I63/I17</f>
        <v/>
      </c>
      <c r="L63" s="25" t="n"/>
      <c r="M63" s="43">
        <f>L63/L6</f>
        <v/>
      </c>
      <c r="N63" s="1045">
        <f>L63/L17</f>
        <v/>
      </c>
      <c r="O63" s="25" t="n"/>
      <c r="P63" s="43">
        <f>O63/O6</f>
        <v/>
      </c>
      <c r="Q63" s="1045">
        <f>O63/O17</f>
        <v/>
      </c>
      <c r="R63" s="25" t="n"/>
      <c r="S63" s="43">
        <f>R63/R6</f>
        <v/>
      </c>
      <c r="T63" s="1045">
        <f>R63/R17</f>
        <v/>
      </c>
      <c r="U63" s="25" t="n"/>
      <c r="V63" s="43">
        <f>U63/U6</f>
        <v/>
      </c>
      <c r="W63" s="1045">
        <f>U63/U17</f>
        <v/>
      </c>
      <c r="X63" s="25" t="n"/>
      <c r="Y63" s="43">
        <f>X63/X6</f>
        <v/>
      </c>
      <c r="Z63" s="1045">
        <f>X63/X17</f>
        <v/>
      </c>
      <c r="AA63" s="25" t="n"/>
      <c r="AB63" s="43">
        <f>AA63/AA6</f>
        <v/>
      </c>
      <c r="AC63" s="1045">
        <f>AA63/AA17</f>
        <v/>
      </c>
      <c r="AD63" s="25" t="n"/>
      <c r="AE63" s="43">
        <f>AD63/AD6</f>
        <v/>
      </c>
      <c r="AF63" s="1045">
        <f>AD63/AD17</f>
        <v/>
      </c>
      <c r="AG63" s="25" t="n"/>
      <c r="AH63" s="43">
        <f>AG63/AG6</f>
        <v/>
      </c>
      <c r="AI63" s="1045">
        <f>AG63/AG17</f>
        <v/>
      </c>
      <c r="AJ63" s="25" t="n"/>
      <c r="AK63" s="43">
        <f>AJ63/AJ6</f>
        <v/>
      </c>
      <c r="AL63" s="1045">
        <f>AJ63/AJ17</f>
        <v/>
      </c>
      <c r="AM63" s="205">
        <f>C63+F63+I63+L63+O63+R63+U63+X63+AA63+AD63+AG63+AJ63</f>
        <v/>
      </c>
      <c r="AN63" s="43">
        <f>AM63/AM6</f>
        <v/>
      </c>
      <c r="AO63" s="1046">
        <f>AM63/AM17</f>
        <v/>
      </c>
    </row>
    <row r="64" ht="15" customHeight="1" s="986">
      <c r="A64" s="226" t="inlineStr">
        <is>
          <t xml:space="preserve">7105                </t>
        </is>
      </c>
      <c r="B64" s="25" t="inlineStr">
        <is>
          <t>ALMUERZO JORNADA UNICA</t>
        </is>
      </c>
      <c r="C64" s="25">
        <f>'[44]Hoja 1'!$I$51</f>
        <v/>
      </c>
      <c r="D64" s="43">
        <f>C64/C7</f>
        <v/>
      </c>
      <c r="E64" s="1045">
        <f>C64/C18</f>
        <v/>
      </c>
      <c r="F64" s="25">
        <f>'[45]Hoja 1'!$I$60</f>
        <v/>
      </c>
      <c r="G64" s="43">
        <f>F64/F7</f>
        <v/>
      </c>
      <c r="H64" s="1045">
        <f>F64/F18</f>
        <v/>
      </c>
      <c r="I64" s="25" t="n"/>
      <c r="J64" s="43">
        <f>I64/I7</f>
        <v/>
      </c>
      <c r="K64" s="1045">
        <f>I64/I18</f>
        <v/>
      </c>
      <c r="L64" s="25" t="n"/>
      <c r="M64" s="43">
        <f>L64/L7</f>
        <v/>
      </c>
      <c r="N64" s="1045">
        <f>L64/L18</f>
        <v/>
      </c>
      <c r="O64" s="25" t="n"/>
      <c r="P64" s="43">
        <f>O64/O7</f>
        <v/>
      </c>
      <c r="Q64" s="1045">
        <f>O64/O18</f>
        <v/>
      </c>
      <c r="R64" s="25" t="n"/>
      <c r="S64" s="43">
        <f>R64/R7</f>
        <v/>
      </c>
      <c r="T64" s="1045">
        <f>R64/R18</f>
        <v/>
      </c>
      <c r="U64" s="25" t="n"/>
      <c r="V64" s="43">
        <f>U64/U7</f>
        <v/>
      </c>
      <c r="W64" s="1045">
        <f>U64/U18</f>
        <v/>
      </c>
      <c r="X64" s="25" t="n"/>
      <c r="Y64" s="43">
        <f>X64/X7</f>
        <v/>
      </c>
      <c r="Z64" s="1045">
        <f>X64/X18</f>
        <v/>
      </c>
      <c r="AA64" s="25" t="n"/>
      <c r="AB64" s="43">
        <f>AA64/AA7</f>
        <v/>
      </c>
      <c r="AC64" s="1045">
        <f>AA64/AA18</f>
        <v/>
      </c>
      <c r="AD64" s="25" t="n"/>
      <c r="AE64" s="43">
        <f>AD64/AD7</f>
        <v/>
      </c>
      <c r="AF64" s="1045">
        <f>AD64/AD18</f>
        <v/>
      </c>
      <c r="AG64" s="25" t="n"/>
      <c r="AH64" s="43">
        <f>AG64/AG7</f>
        <v/>
      </c>
      <c r="AI64" s="1045">
        <f>AG64/AG18</f>
        <v/>
      </c>
      <c r="AJ64" s="25" t="n"/>
      <c r="AK64" s="43">
        <f>AJ64/AJ7</f>
        <v/>
      </c>
      <c r="AL64" s="1045">
        <f>AJ64/AJ18</f>
        <v/>
      </c>
      <c r="AM64" s="205">
        <f>C64+F64+I64+L64+O64+R64+U64+X64+AA64+AD64+AG64+AJ64</f>
        <v/>
      </c>
      <c r="AN64" s="43">
        <f>AM64/AM7</f>
        <v/>
      </c>
      <c r="AO64" s="1046">
        <f>AM64/AM18</f>
        <v/>
      </c>
    </row>
    <row r="65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t="15" customHeight="1" s="986">
      <c r="B66" s="25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t="15" customHeight="1" s="986">
      <c r="B67" s="25" t="inlineStr">
        <is>
          <t>REFRIGERIOS</t>
        </is>
      </c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46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>
        <f>C68+F68+I68+L68+O68+R68+U68+X68+AA68+AD68+AG68+AJ68</f>
        <v/>
      </c>
      <c r="AN68" s="43" t="n"/>
      <c r="AO68" s="1046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>
        <f>C69+F69+I69+L69+O69+R69+U69+X69+AA69+AD69+AG69+AJ69</f>
        <v/>
      </c>
      <c r="AN69" s="43" t="n"/>
      <c r="AO69" s="1046" t="n"/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>
        <f>C70+F70+I70+L70+O70+R70+U70+X70+AA70+AD70+AG70+AJ70</f>
        <v/>
      </c>
      <c r="AN70" s="43" t="n"/>
      <c r="AO70" s="1046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6">
      <c r="B72" s="36" t="inlineStr">
        <is>
          <t>FLETES CP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71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78">
        <f>'GASTOS VEHICULOS'!C25*'%DIST'!B21</f>
        <v/>
      </c>
      <c r="D73" s="79" t="n"/>
      <c r="E73" s="1055" t="n"/>
      <c r="F73" s="78">
        <f>'GASTOS VEHICULOS'!D25*'%DIST'!D21</f>
        <v/>
      </c>
      <c r="G73" s="79" t="n"/>
      <c r="H73" s="1055" t="n"/>
      <c r="I73" s="78">
        <f>'GASTOS VEHICULOS'!E25*'%DIST'!F21</f>
        <v/>
      </c>
      <c r="J73" s="79" t="n"/>
      <c r="K73" s="1055" t="n"/>
      <c r="L73" s="78">
        <f>'GASTOS VEHICULOS'!F25*'%DIST'!H21</f>
        <v/>
      </c>
      <c r="M73" s="79" t="n"/>
      <c r="N73" s="1055" t="n"/>
      <c r="O73" s="78">
        <f>'GASTOS VEHICULOS'!G25*'%DIST'!J21</f>
        <v/>
      </c>
      <c r="P73" s="79" t="n"/>
      <c r="Q73" s="1055" t="n"/>
      <c r="R73" s="78">
        <f>'GASTOS VEHICULOS'!H25*'%DIST'!L21</f>
        <v/>
      </c>
      <c r="S73" s="79" t="n"/>
      <c r="T73" s="1055" t="n"/>
      <c r="U73" s="78">
        <f>'GASTOS VEHICULOS'!I25*'%DIST'!N21</f>
        <v/>
      </c>
      <c r="V73" s="79" t="n"/>
      <c r="W73" s="1055" t="n"/>
      <c r="X73" s="78">
        <f>'GASTOS VEHICULOS'!J25*'%DIST'!P21</f>
        <v/>
      </c>
      <c r="Y73" s="79" t="n"/>
      <c r="Z73" s="1055" t="n"/>
      <c r="AA73" s="78">
        <f>'GASTOS VEHICULOS'!K25*'%DIST'!R21</f>
        <v/>
      </c>
      <c r="AB73" s="79" t="n"/>
      <c r="AC73" s="1055" t="n"/>
      <c r="AD73" s="78">
        <f>'GASTOS VEHICULOS'!L25*'%DIST'!T21</f>
        <v/>
      </c>
      <c r="AE73" s="79" t="n"/>
      <c r="AF73" s="1055" t="n"/>
      <c r="AG73" s="78">
        <f>'GASTOS VEHICULOS'!M25*'%DIST'!V21</f>
        <v/>
      </c>
      <c r="AH73" s="79" t="n"/>
      <c r="AI73" s="1055" t="n"/>
      <c r="AJ73" s="78">
        <f>'GASTOS VEHICULOS'!N25*'%DIST'!X21</f>
        <v/>
      </c>
      <c r="AK73" s="305" t="n"/>
      <c r="AL73" s="86" t="n"/>
      <c r="AM73" s="414">
        <f>C73+F73+I73+L73+O73+R73+U73+X73+AA73+AD73+AG73+AJ73</f>
        <v/>
      </c>
      <c r="AN73" s="305" t="n"/>
      <c r="AO73" s="1117" t="n"/>
    </row>
    <row r="74" ht="15" customHeight="1" s="986">
      <c r="A74" s="226" t="inlineStr">
        <is>
          <t xml:space="preserve">73355001            </t>
        </is>
      </c>
      <c r="B74" s="416" t="inlineStr">
        <is>
          <t>PREPARADOS TERCEROS</t>
        </is>
      </c>
      <c r="C74" s="273">
        <f>'[32]Hoja 1'!$C$66</f>
        <v/>
      </c>
      <c r="D74" s="134" t="n"/>
      <c r="E74" s="1118" t="n"/>
      <c r="F74" s="273">
        <f>'[20]Hoja 1'!$C$627+'[18]Hoja 1'!$C$193</f>
        <v/>
      </c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14">
        <f>AM74/AM13</f>
        <v/>
      </c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 t="n"/>
    </row>
    <row r="76" ht="15" customHeight="1" s="986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071" t="n"/>
      <c r="F76" s="37">
        <f>'[20]Hoja 1'!$C$593</f>
        <v/>
      </c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>
        <f>AM76/$AM$13</f>
        <v/>
      </c>
    </row>
    <row r="77" ht="15" customHeight="1" s="98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'[17]Hoja 1'!$C$692+'[32]Hoja 1'!$C$68</f>
        <v/>
      </c>
      <c r="D77" s="45" t="n"/>
      <c r="E77" s="1166" t="n"/>
      <c r="F77" s="28">
        <f>'[20]Hoja 1'!$C$629+'[18]Hoja 1'!$C$195</f>
        <v/>
      </c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075">
        <f>AM77/$AM$13</f>
        <v/>
      </c>
    </row>
    <row r="78" ht="15" customHeight="1" s="986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053">
        <f>C78/C13</f>
        <v/>
      </c>
      <c r="F78" s="49">
        <f>SUM(F79:F81)</f>
        <v/>
      </c>
      <c r="G78" s="3">
        <f>F78/F12</f>
        <v/>
      </c>
      <c r="H78" s="1053">
        <f>F78/F13</f>
        <v/>
      </c>
      <c r="I78" s="49">
        <f>SUM(I79:I81)</f>
        <v/>
      </c>
      <c r="J78" s="3">
        <f>I78/I12</f>
        <v/>
      </c>
      <c r="K78" s="1053">
        <f>I78/I13</f>
        <v/>
      </c>
      <c r="L78" s="49">
        <f>SUM(L79:L81)</f>
        <v/>
      </c>
      <c r="M78" s="3">
        <f>L78/L12</f>
        <v/>
      </c>
      <c r="N78" s="1053">
        <f>L78/L13</f>
        <v/>
      </c>
      <c r="O78" s="49">
        <f>SUM(O79:O81)</f>
        <v/>
      </c>
      <c r="P78" s="3">
        <f>O78/O12</f>
        <v/>
      </c>
      <c r="Q78" s="1053">
        <f>O78/O13</f>
        <v/>
      </c>
      <c r="R78" s="90">
        <f>SUM(R79:R81)</f>
        <v/>
      </c>
      <c r="S78" s="3">
        <f>R78/R12</f>
        <v/>
      </c>
      <c r="T78" s="1053">
        <f>R78/R13</f>
        <v/>
      </c>
      <c r="U78" s="49">
        <f>SUM(U79:U81)</f>
        <v/>
      </c>
      <c r="V78" s="3">
        <f>U78/U12</f>
        <v/>
      </c>
      <c r="W78" s="1053">
        <f>U78/U13</f>
        <v/>
      </c>
      <c r="X78" s="49">
        <f>SUM(X79:X81)</f>
        <v/>
      </c>
      <c r="Y78" s="3">
        <f>X78/X12</f>
        <v/>
      </c>
      <c r="Z78" s="1053">
        <f>X78/X13</f>
        <v/>
      </c>
      <c r="AA78" s="49">
        <f>SUM(AA79:AA81)</f>
        <v/>
      </c>
      <c r="AB78" s="3">
        <f>AA78/AA12</f>
        <v/>
      </c>
      <c r="AC78" s="1053">
        <f>AA78/AA13</f>
        <v/>
      </c>
      <c r="AD78" s="49">
        <f>SUM(AD79:AD81)</f>
        <v/>
      </c>
      <c r="AE78" s="3">
        <f>AD78/AD12</f>
        <v/>
      </c>
      <c r="AF78" s="1053">
        <f>AD78/AD13</f>
        <v/>
      </c>
      <c r="AG78" s="49">
        <f>SUM(AG79:AG81)</f>
        <v/>
      </c>
      <c r="AH78" s="3" t="n"/>
      <c r="AI78" s="1053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076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8">
        <f>'[48]Hoja 1'!$D$9+'[2]Hoja 1'!$D$28+'[49]Hoja 1'!$D$9</f>
        <v/>
      </c>
      <c r="D79" s="267" t="n"/>
      <c r="E79" s="1077" t="n"/>
      <c r="F79" s="728">
        <f>'[10]Hoja 1'!$D$19-23031718+'[11]Hoja 1'!$D$33+'[50]Hoja 1'!$D$9</f>
        <v/>
      </c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897" t="n"/>
      <c r="AK79" s="69" t="n"/>
      <c r="AL79" s="1077" t="n"/>
      <c r="AM79" s="731">
        <f>C79+F79+I79+L79+O79+R79+U79+X79+AA79+AD79+AG79+AJ79</f>
        <v/>
      </c>
      <c r="AN79" s="732">
        <f>AM79/$AM$12</f>
        <v/>
      </c>
      <c r="AO79" s="1078">
        <f>AM79/AM13</f>
        <v/>
      </c>
      <c r="AQ79" s="898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'[1]Hoja 1'!$D$34+'[1]Hoja 1'!$D$38+'[2]Hoja 1'!$D$32</f>
        <v/>
      </c>
      <c r="D80" s="272" t="n"/>
      <c r="E80" s="1045" t="n"/>
      <c r="F80" s="25">
        <f>'[9]Hoja 1'!$D$39+'[10]Hoja 1'!$D$18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1045" t="n"/>
      <c r="AM80" s="205">
        <f>C80+F80+I80+L80+O80+R80+U80+X80+AA80+AD80+AG80+AJ80</f>
        <v/>
      </c>
      <c r="AN80" s="43">
        <f>AM80/$AM$12</f>
        <v/>
      </c>
      <c r="AO80" s="1046">
        <f>AM80/AM13</f>
        <v/>
      </c>
      <c r="AQ80" s="1186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986" thickBot="1">
      <c r="B81" s="98" t="inlineStr">
        <is>
          <t>Temporales MOD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511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 t="n"/>
      <c r="X84" s="49">
        <f>SUM(X85:X88)</f>
        <v/>
      </c>
      <c r="Y84" s="3" t="n"/>
      <c r="Z84" s="1053" t="n"/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 t="n"/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076">
        <f>AM84/(AM$13)</f>
        <v/>
      </c>
    </row>
    <row r="85" ht="15" customHeight="1" s="986">
      <c r="B85" s="39" t="inlineStr">
        <is>
          <t>Costos Indirectos de Personal</t>
        </is>
      </c>
      <c r="C85" s="39">
        <f>'GASTOS OPERATIVOS'!C17*'%DIST'!C5</f>
        <v/>
      </c>
      <c r="D85" s="69" t="n"/>
      <c r="E85" s="1077" t="n"/>
      <c r="F85" s="39">
        <f>'GASTOS OPERATIVOS'!D17*'%DIST'!E5</f>
        <v/>
      </c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1077" t="n"/>
      <c r="AO85" s="1077">
        <f>AM85/(AM$13)</f>
        <v/>
      </c>
    </row>
    <row r="86" ht="15" customFormat="1" customHeight="1" s="108">
      <c r="A86" s="229" t="n"/>
      <c r="B86" s="25" t="inlineStr">
        <is>
          <t>Dotación y Suministros</t>
        </is>
      </c>
      <c r="C86" s="25" t="n"/>
      <c r="D86" s="43" t="n"/>
      <c r="E86" s="1045" t="n"/>
      <c r="F86" s="25">
        <f>'[18]Hoja 1'!$C$174</f>
        <v/>
      </c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81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5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057" t="n"/>
      <c r="F87" s="22">
        <f>'[20]Hoja 1'!$C$623</f>
        <v/>
      </c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788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986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'[32]Hoja 1'!$C$21+'[37]Hoja 1'!$C$64</f>
        <v/>
      </c>
      <c r="D88" s="84" t="n"/>
      <c r="E88" s="1047" t="n"/>
      <c r="F88" s="83">
        <f>'[18]Hoja 1'!$C$148+'[29]Hoja 1'!$C$70</f>
        <v/>
      </c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>
        <f>C89/(C$13)</f>
        <v/>
      </c>
      <c r="F89" s="49">
        <f>SUM(F90:F91)</f>
        <v/>
      </c>
      <c r="G89" s="3" t="n"/>
      <c r="H89" s="1053" t="n"/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 t="n"/>
      <c r="R89" s="90">
        <f>SUM(R90:R91)</f>
        <v/>
      </c>
      <c r="S89" s="3" t="n"/>
      <c r="T89" s="1053" t="n"/>
      <c r="U89" s="49">
        <f>SUM(U90:U91)</f>
        <v/>
      </c>
      <c r="V89" s="3" t="n"/>
      <c r="W89" s="1053" t="n"/>
      <c r="X89" s="49">
        <f>SUM(X90:X91)</f>
        <v/>
      </c>
      <c r="Y89" s="3" t="n"/>
      <c r="Z89" s="1053" t="n"/>
      <c r="AA89" s="49">
        <f>SUM(AA90:AA91)</f>
        <v/>
      </c>
      <c r="AB89" s="3" t="n"/>
      <c r="AC89" s="1053" t="n"/>
      <c r="AD89" s="49">
        <f>SUM(AD90:AD91)</f>
        <v/>
      </c>
      <c r="AE89" s="3" t="n"/>
      <c r="AF89" s="1053" t="n"/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>
        <f>C92/(C$13)</f>
        <v/>
      </c>
      <c r="F92" s="49">
        <f>SUM(F93:F95)</f>
        <v/>
      </c>
      <c r="G92" s="3" t="n"/>
      <c r="H92" s="1053" t="n"/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 t="n"/>
      <c r="R92" s="90">
        <f>SUM(R93:R95)</f>
        <v/>
      </c>
      <c r="S92" s="3" t="n"/>
      <c r="T92" s="1053" t="n"/>
      <c r="U92" s="49">
        <f>SUM(U93:U95)</f>
        <v/>
      </c>
      <c r="V92" s="3" t="n"/>
      <c r="W92" s="1053" t="n"/>
      <c r="X92" s="49">
        <f>SUM(X93:X95)</f>
        <v/>
      </c>
      <c r="Y92" s="3" t="n"/>
      <c r="Z92" s="1053" t="n"/>
      <c r="AA92" s="49">
        <f>SUM(AA93:AA95)</f>
        <v/>
      </c>
      <c r="AB92" s="3" t="n"/>
      <c r="AC92" s="1053" t="n"/>
      <c r="AD92" s="49">
        <f>SUM(AD93:AD95)</f>
        <v/>
      </c>
      <c r="AE92" s="3" t="n"/>
      <c r="AF92" s="1053" t="n"/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 t="n"/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 t="n"/>
      <c r="U96" s="49">
        <f>SUM(U97:U98)</f>
        <v/>
      </c>
      <c r="V96" s="3" t="n"/>
      <c r="W96" s="1053" t="n"/>
      <c r="X96" s="49">
        <f>SUM(X97:X98)</f>
        <v/>
      </c>
      <c r="Y96" s="3" t="n"/>
      <c r="Z96" s="1053" t="n"/>
      <c r="AA96" s="49">
        <f>SUM(AA97:AA98)</f>
        <v/>
      </c>
      <c r="AB96" s="3" t="n"/>
      <c r="AC96" s="1053" t="n"/>
      <c r="AD96" s="49">
        <f>SUM(AD97:AD98)</f>
        <v/>
      </c>
      <c r="AE96" s="3" t="n"/>
      <c r="AF96" s="1053" t="n"/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076">
        <f>AM96/(AM$13)</f>
        <v/>
      </c>
      <c r="AP96" s="716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'[17]Hoja 1'!$C$687+'[32]Hoja 1'!$C$59</f>
        <v/>
      </c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'[32]Hoja 1'!$C$61</f>
        <v/>
      </c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 t="n"/>
      <c r="I99" s="90">
        <f>SUM(I100:I108)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 t="n"/>
      <c r="U99" s="49">
        <f>SUM(U100:U108)</f>
        <v/>
      </c>
      <c r="V99" s="3" t="n"/>
      <c r="W99" s="1053" t="n"/>
      <c r="X99" s="49">
        <f>SUM(X100:X108)</f>
        <v/>
      </c>
      <c r="Y99" s="3" t="n"/>
      <c r="Z99" s="1053" t="n"/>
      <c r="AA99" s="49">
        <f>SUM(AA100:AA108)</f>
        <v/>
      </c>
      <c r="AB99" s="3" t="n"/>
      <c r="AC99" s="1053" t="n"/>
      <c r="AD99" s="49">
        <f>SUM(AD100:AD108)</f>
        <v/>
      </c>
      <c r="AE99" s="3" t="n"/>
      <c r="AF99" s="1053" t="n"/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076">
        <f>AM99/(AM$13)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6">
      <c r="A101" s="226" t="inlineStr">
        <is>
          <t xml:space="preserve">73351001            </t>
        </is>
      </c>
      <c r="B101" s="25" t="inlineStr">
        <is>
          <t>Temporales Serv</t>
        </is>
      </c>
      <c r="C101" s="25">
        <f>'[17]Hoja 1'!$C$690</f>
        <v/>
      </c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45" t="n"/>
      <c r="F103" s="25">
        <f>'[18]Hoja 1'!C190</f>
        <v/>
      </c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81" t="n"/>
      <c r="AH103" s="43" t="n"/>
      <c r="AI103" s="1045" t="n"/>
      <c r="AJ103" s="281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'[32]Hoja 1'!$C$64</f>
        <v/>
      </c>
      <c r="D104" s="43" t="n"/>
      <c r="E104" s="1045" t="n"/>
      <c r="F104" s="25">
        <f>'[18]Hoja 1'!C191</f>
        <v/>
      </c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81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>
        <f>C109/(C$13)</f>
        <v/>
      </c>
      <c r="F109" s="49">
        <f>SUM(F110:F113)</f>
        <v/>
      </c>
      <c r="G109" s="3" t="n"/>
      <c r="H109" s="1053" t="n"/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 t="n"/>
      <c r="U109" s="49">
        <f>SUM(U110:U113)</f>
        <v/>
      </c>
      <c r="V109" s="3" t="n"/>
      <c r="W109" s="1053" t="n"/>
      <c r="X109" s="49">
        <f>SUM(X110:X113)</f>
        <v/>
      </c>
      <c r="Y109" s="3" t="n"/>
      <c r="Z109" s="1053" t="n"/>
      <c r="AA109" s="49">
        <f>SUM(AA110:AA113)</f>
        <v/>
      </c>
      <c r="AB109" s="3" t="n"/>
      <c r="AC109" s="1053" t="n"/>
      <c r="AD109" s="49">
        <f>SUM(AD110:AD113)</f>
        <v/>
      </c>
      <c r="AE109" s="3" t="n"/>
      <c r="AF109" s="1053" t="n"/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6">
      <c r="B110" s="39" t="inlineStr">
        <is>
          <t>Notariales</t>
        </is>
      </c>
      <c r="C110" s="39">
        <f>'[32]Hoja 1'!$C$73</f>
        <v/>
      </c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6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6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t="15" customHeight="1" s="98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1053" t="n"/>
      <c r="I114" s="90">
        <f>SUM(I115:I119)</f>
        <v/>
      </c>
      <c r="J114" s="3" t="n"/>
      <c r="K114" s="1053">
        <f>I114/(I$13)</f>
        <v/>
      </c>
      <c r="L114" s="49">
        <f>SUM(L115:L119)</f>
        <v/>
      </c>
      <c r="M114" s="3" t="n"/>
      <c r="N114" s="1053">
        <f>L114/(L$13)</f>
        <v/>
      </c>
      <c r="O114" s="49">
        <f>SUM(O115:O119)</f>
        <v/>
      </c>
      <c r="P114" s="3" t="n"/>
      <c r="Q114" s="1053">
        <f>O114/(O$13)</f>
        <v/>
      </c>
      <c r="R114" s="90">
        <f>SUM(R115:R119)</f>
        <v/>
      </c>
      <c r="S114" s="3" t="n"/>
      <c r="T114" s="1053" t="n"/>
      <c r="U114" s="49">
        <f>SUM(U115:U119)</f>
        <v/>
      </c>
      <c r="V114" s="3" t="n"/>
      <c r="W114" s="1053" t="n"/>
      <c r="X114" s="49">
        <f>SUM(X115:X119)</f>
        <v/>
      </c>
      <c r="Y114" s="3" t="n"/>
      <c r="Z114" s="1053" t="n"/>
      <c r="AA114" s="49">
        <f>SUM(AA115:AA119)</f>
        <v/>
      </c>
      <c r="AB114" s="3" t="n"/>
      <c r="AC114" s="1053" t="n"/>
      <c r="AD114" s="49">
        <f>SUM(AD115:AD119)</f>
        <v/>
      </c>
      <c r="AE114" s="3" t="n"/>
      <c r="AF114" s="1053" t="n"/>
      <c r="AG114" s="49">
        <f>SUM(AG115:AG119)</f>
        <v/>
      </c>
      <c r="AH114" s="3" t="n"/>
      <c r="AI114" s="1053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076">
        <f>AM114/(AM$13)</f>
        <v/>
      </c>
    </row>
    <row r="115" outlineLevel="1" ht="15" customHeight="1" s="986"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6"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B117" s="205" t="inlineStr">
        <is>
          <t>Equipos de Cocina</t>
        </is>
      </c>
      <c r="C117" s="25">
        <f>'[32]Hoja 1'!$C$76</f>
        <v/>
      </c>
      <c r="D117" s="43" t="n"/>
      <c r="E117" s="1045" t="n"/>
      <c r="F117" s="25">
        <f>'[18]Hoja 1'!$C$198</f>
        <v/>
      </c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6"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788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SUM(F121:F122)</f>
        <v/>
      </c>
      <c r="G120" s="3" t="n"/>
      <c r="H120" s="1053" t="n"/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 t="n"/>
      <c r="U120" s="49">
        <f>SUM(U121:U122)</f>
        <v/>
      </c>
      <c r="V120" s="3" t="n"/>
      <c r="W120" s="1053" t="n"/>
      <c r="X120" s="49">
        <f>SUM(X121:X122)</f>
        <v/>
      </c>
      <c r="Y120" s="3" t="n"/>
      <c r="Z120" s="1053" t="n"/>
      <c r="AA120" s="49">
        <f>SUM(AA121)</f>
        <v/>
      </c>
      <c r="AB120" s="3" t="n"/>
      <c r="AC120" s="1053" t="n"/>
      <c r="AD120" s="49">
        <f>SUM(AD121:AD122)</f>
        <v/>
      </c>
      <c r="AE120" s="3" t="n"/>
      <c r="AF120" s="1053" t="n"/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6"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t="15" customHeight="1" s="986"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>
        <f>C123/(C$13)</f>
        <v/>
      </c>
      <c r="F123" s="49">
        <f>SUM(F124:F126)</f>
        <v/>
      </c>
      <c r="G123" s="3" t="n"/>
      <c r="H123" s="1053" t="n"/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 t="n"/>
      <c r="U123" s="49">
        <f>SUM(U124:U126)</f>
        <v/>
      </c>
      <c r="V123" s="3" t="n"/>
      <c r="W123" s="1053" t="n"/>
      <c r="X123" s="49">
        <f>SUM(X124:X126)</f>
        <v/>
      </c>
      <c r="Y123" s="3" t="n"/>
      <c r="Z123" s="1053" t="n"/>
      <c r="AA123" s="49">
        <f>SUM(AA124:AA126)</f>
        <v/>
      </c>
      <c r="AB123" s="3" t="n"/>
      <c r="AC123" s="1053" t="n"/>
      <c r="AD123" s="49" t="n"/>
      <c r="AE123" s="3" t="n"/>
      <c r="AF123" s="1053" t="n"/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6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6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6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>
        <f>C127/(C$13)</f>
        <v/>
      </c>
      <c r="F127" s="49">
        <f>SUM(F128:F142)</f>
        <v/>
      </c>
      <c r="G127" s="3" t="n"/>
      <c r="H127" s="1053" t="n"/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 t="n"/>
      <c r="U127" s="49">
        <f>SUM(U128:U142)</f>
        <v/>
      </c>
      <c r="V127" s="3" t="n"/>
      <c r="W127" s="1053" t="n"/>
      <c r="X127" s="49">
        <f>SUM(X128:X142)</f>
        <v/>
      </c>
      <c r="Y127" s="3" t="n"/>
      <c r="Z127" s="1053" t="n"/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 t="n"/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076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>
        <f>'[18]Hoja 1'!$C$205</f>
        <v/>
      </c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785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69" t="n"/>
    </row>
    <row r="129" outlineLevel="1" ht="15" customHeight="1" s="98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>
        <f>'[20]Hoja 1'!$C$639+'[18]Hoja 1'!$C$207</f>
        <v/>
      </c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81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6">
      <c r="A130" s="226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>
        <f>'[20]Hoja 1'!$C$591+'[18]Hoja 1'!$C$201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70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>
        <f>'[20]Hoja 1'!$C$632</f>
        <v/>
      </c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6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'[17]Hoja 1'!$C$695</f>
        <v/>
      </c>
      <c r="D133" s="43" t="n"/>
      <c r="E133" s="1045" t="n"/>
      <c r="F133" s="25">
        <f>'[20]Hoja 1'!$C$634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>
        <f>'[20]Hoja 1'!$C$636+'[18]Hoja 1'!$C$203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B135" s="25" t="inlineStr">
        <is>
          <t xml:space="preserve">Parqueaderos                       </t>
        </is>
      </c>
      <c r="C135" s="25">
        <f>'[17]Hoja 1'!$C$697</f>
        <v/>
      </c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6">
      <c r="B139" s="25" t="inlineStr">
        <is>
          <t>Herramientas y articulos ferreteria</t>
        </is>
      </c>
      <c r="C139" s="25">
        <f>'[17]Hoja 1'!$C$699</f>
        <v/>
      </c>
      <c r="D139" s="43" t="n"/>
      <c r="E139" s="1045" t="n"/>
      <c r="F139" s="25">
        <f>'[20]Hoja 1'!$C$638</f>
        <v/>
      </c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outlineLevel="1" ht="15" customHeight="1" s="986">
      <c r="A140" s="226" t="inlineStr">
        <is>
          <t>73959511</t>
        </is>
      </c>
      <c r="B140" s="25" t="inlineStr">
        <is>
          <t>Equipos de Bodega</t>
        </is>
      </c>
      <c r="C140" s="281" t="n"/>
      <c r="D140" s="43" t="n"/>
      <c r="E140" s="1045" t="n"/>
      <c r="F140" s="25">
        <f>'[18]Hoja 1'!$C$206</f>
        <v/>
      </c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81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outlineLevel="1" ht="15" customHeight="1" s="986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 t="n"/>
      <c r="R147" s="491">
        <f>SUM(R148:R151)</f>
        <v/>
      </c>
      <c r="S147" s="492" t="n"/>
      <c r="T147" s="1069" t="n"/>
      <c r="U147" s="491">
        <f>SUM(U148:U151)</f>
        <v/>
      </c>
      <c r="V147" s="492" t="n"/>
      <c r="W147" s="1069" t="n"/>
      <c r="X147" s="491">
        <f>SUM(X148:X151)</f>
        <v/>
      </c>
      <c r="Y147" s="492" t="n"/>
      <c r="Z147" s="1069" t="n"/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077" t="n"/>
      <c r="F148" s="39">
        <f>'GASTOS ADMINISTRATIVOS'!D96*'%DIST'!D37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</row>
    <row r="149" ht="15" customHeight="1" s="986">
      <c r="B149" s="285" t="inlineStr">
        <is>
          <t>Gastos financieros</t>
        </is>
      </c>
      <c r="C149" s="25">
        <f>'GASTOS ADMINISTRATIVOS'!C109*'%DIST'!C53+29230.55+40203.2</f>
        <v/>
      </c>
      <c r="D149" s="43" t="n"/>
      <c r="E149" s="1045" t="n"/>
      <c r="F149" s="25">
        <f>'GASTOS ADMINISTRATIVOS'!D109*'%DIST'!E53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</row>
    <row r="151" ht="15" customHeight="1" s="986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086" t="n"/>
      <c r="F151" s="71">
        <f>'GASTOS ADMINISTRATIVOS'!D119*'%DIST'!E53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 t="n"/>
    </row>
    <row r="154" ht="15" customHeight="1" s="986" thickTop="1">
      <c r="B154" s="1135" t="inlineStr">
        <is>
          <t>Novedades</t>
        </is>
      </c>
      <c r="C154" s="718" t="n"/>
      <c r="D154" s="550" t="n"/>
      <c r="E154" s="1171" t="n"/>
      <c r="F154" s="707" t="n"/>
      <c r="G154" s="550" t="n"/>
      <c r="H154" s="1171" t="n"/>
      <c r="I154" s="707" t="n"/>
      <c r="J154" s="550" t="n"/>
      <c r="K154" s="1171" t="n"/>
      <c r="L154" s="707" t="n"/>
      <c r="M154" s="550" t="n"/>
      <c r="N154" s="1171" t="n"/>
      <c r="O154" s="707" t="n"/>
      <c r="P154" s="550" t="n"/>
      <c r="Q154" s="1171" t="n"/>
      <c r="R154" s="707" t="n"/>
      <c r="S154" s="550" t="n"/>
      <c r="T154" s="1171" t="n"/>
      <c r="U154" s="707" t="n"/>
      <c r="V154" s="550" t="n"/>
      <c r="W154" s="1171" t="n"/>
      <c r="X154" s="707" t="n"/>
      <c r="Y154" s="550" t="n"/>
      <c r="Z154" s="1171" t="n"/>
      <c r="AA154" s="707" t="n"/>
      <c r="AB154" s="550" t="n"/>
      <c r="AC154" s="1171" t="n"/>
      <c r="AD154" s="707" t="n"/>
      <c r="AE154" s="550" t="n"/>
      <c r="AF154" s="1171" t="n"/>
      <c r="AG154" s="707" t="n"/>
      <c r="AH154" s="550" t="n"/>
      <c r="AI154" s="1171" t="n"/>
      <c r="AJ154" s="707" t="n"/>
      <c r="AK154" s="230" t="n"/>
      <c r="AL154" s="245" t="n"/>
      <c r="AM154" s="718">
        <f>C154+F154+I154+L154+O154+R154+U154+X154+AA154+AD154+AG154+AJ154</f>
        <v/>
      </c>
      <c r="AN154" s="230" t="n"/>
      <c r="AO154" s="1137" t="n"/>
    </row>
    <row r="155" ht="15" customHeight="1" s="986">
      <c r="B155" s="1139" t="inlineStr">
        <is>
          <t xml:space="preserve">Otros Ajustes 1 </t>
        </is>
      </c>
      <c r="C155" s="707" t="n"/>
      <c r="D155" s="13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707" t="n"/>
      <c r="P155" s="13" t="n"/>
      <c r="Q155" s="1151" t="n"/>
      <c r="R155" s="707" t="n"/>
      <c r="S155" s="13" t="n"/>
      <c r="T155" s="1151" t="n"/>
      <c r="U155" s="707" t="n"/>
      <c r="V155" s="13" t="n"/>
      <c r="W155" s="1151" t="n"/>
      <c r="X155" s="720" t="n"/>
      <c r="Y155" s="13" t="n"/>
      <c r="Z155" s="1151" t="n"/>
      <c r="AA155" s="707" t="n"/>
      <c r="AB155" s="13" t="n"/>
      <c r="AC155" s="1151" t="n"/>
      <c r="AD155" s="880" t="n"/>
      <c r="AE155" s="13" t="n"/>
      <c r="AF155" s="1151" t="n"/>
      <c r="AG155" s="707" t="n"/>
      <c r="AH155" s="13" t="n"/>
      <c r="AI155" s="1151" t="n"/>
      <c r="AJ155" s="707" t="n"/>
      <c r="AK155" s="9" t="n"/>
      <c r="AL155" s="240" t="n"/>
      <c r="AM155" s="294">
        <f>C155+F155+I155+L155+O155+R155+U155+X155+AA155+AD155+AG155+AJ155</f>
        <v/>
      </c>
      <c r="AN155" s="9" t="n"/>
      <c r="AO155" s="1141" t="n"/>
    </row>
    <row r="156" ht="15" customHeight="1" s="986">
      <c r="B156" s="1143" t="inlineStr">
        <is>
          <t>Otros Ajustes 2</t>
        </is>
      </c>
      <c r="C156" s="707" t="n"/>
      <c r="D156" s="679" t="n"/>
      <c r="E156" s="1173" t="n"/>
      <c r="F156" s="707" t="n"/>
      <c r="G156" s="679" t="n"/>
      <c r="H156" s="1173" t="n"/>
      <c r="I156" s="707" t="n"/>
      <c r="J156" s="679" t="n"/>
      <c r="K156" s="1173" t="n"/>
      <c r="L156" s="707" t="n"/>
      <c r="M156" s="679" t="n"/>
      <c r="N156" s="1173" t="n"/>
      <c r="O156" s="707" t="n"/>
      <c r="P156" s="555" t="n"/>
      <c r="Q156" s="843" t="n"/>
      <c r="R156" s="707" t="n"/>
      <c r="S156" s="679" t="n"/>
      <c r="T156" s="1173" t="n"/>
      <c r="U156" s="707" t="n"/>
      <c r="V156" s="679" t="n"/>
      <c r="W156" s="1173" t="n"/>
      <c r="X156" s="707" t="n"/>
      <c r="Y156" s="679" t="n"/>
      <c r="Z156" s="1173" t="n"/>
      <c r="AA156" s="707" t="n"/>
      <c r="AB156" s="679" t="n"/>
      <c r="AC156" s="1173" t="n"/>
      <c r="AD156" s="707" t="n"/>
      <c r="AE156" s="679" t="n"/>
      <c r="AF156" s="1173" t="n"/>
      <c r="AG156" s="707" t="n"/>
      <c r="AH156" s="679" t="n"/>
      <c r="AI156" s="1173" t="n"/>
      <c r="AJ156" s="707" t="n"/>
      <c r="AK156" s="677" t="n"/>
      <c r="AL156" s="681" t="n"/>
      <c r="AM156" s="715">
        <f>C156+F156+I156+L156+O156+R156+U156+X156+AA156+AD156+AG156+AJ156</f>
        <v/>
      </c>
      <c r="AN156" s="677" t="n"/>
      <c r="AO156" s="945">
        <f>AM156/AM42</f>
        <v/>
      </c>
    </row>
    <row r="157" ht="15" customHeight="1" s="986">
      <c r="B157" s="1146" t="inlineStr">
        <is>
          <t>Otros Ajustes 3</t>
        </is>
      </c>
      <c r="C157" s="707" t="n"/>
      <c r="D157" s="555" t="n"/>
      <c r="E157" s="1175" t="n"/>
      <c r="F157" s="707" t="n"/>
      <c r="G157" s="555" t="n"/>
      <c r="H157" s="1175" t="n"/>
      <c r="I157" s="707" t="n"/>
      <c r="J157" s="555" t="n"/>
      <c r="K157" s="1175" t="n"/>
      <c r="L157" s="707" t="n"/>
      <c r="M157" s="555" t="n"/>
      <c r="N157" s="1175" t="n"/>
      <c r="O157" s="707" t="n"/>
      <c r="P157" s="637" t="n"/>
      <c r="Q157" s="843" t="n"/>
      <c r="R157" s="707" t="n"/>
      <c r="S157" s="637" t="n"/>
      <c r="T157" s="1177" t="n"/>
      <c r="U157" s="707" t="n"/>
      <c r="V157" s="637" t="n"/>
      <c r="W157" s="1177" t="n"/>
      <c r="X157" s="707" t="n"/>
      <c r="Y157" s="555" t="n"/>
      <c r="Z157" s="1175" t="n"/>
      <c r="AA157" s="707" t="n"/>
      <c r="AB157" s="555" t="n"/>
      <c r="AC157" s="1175" t="n"/>
      <c r="AD157" s="707" t="n"/>
      <c r="AE157" s="555" t="n"/>
      <c r="AF157" s="1175" t="n"/>
      <c r="AG157" s="707" t="n"/>
      <c r="AH157" s="555" t="n"/>
      <c r="AI157" s="1175" t="n"/>
      <c r="AJ157" s="707" t="n"/>
      <c r="AK157" s="553" t="n"/>
      <c r="AL157" s="557" t="n"/>
      <c r="AM157" s="294">
        <f>C157+F157+I157+L157+O157+R157+U157+X157+AA157+AD157+AG157+AJ157</f>
        <v/>
      </c>
      <c r="AN157" s="553" t="n"/>
      <c r="AO157" s="1178" t="n"/>
    </row>
    <row r="158" ht="15" customHeight="1" s="986">
      <c r="B158" s="1150" t="inlineStr">
        <is>
          <t>Otros Ajustes 4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87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AM158/$AM$42</f>
        <v/>
      </c>
    </row>
    <row r="159" ht="15" customHeight="1" s="986">
      <c r="B159" s="1150" t="inlineStr">
        <is>
          <t>Otros Ajustes 5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87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 t="n"/>
    </row>
    <row r="160" ht="15" customHeight="1" s="986" thickBot="1">
      <c r="B160" s="1154" t="inlineStr">
        <is>
          <t>Otros Ajustes 6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951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1152">
        <f>AM160/AM42</f>
        <v/>
      </c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6" thickBot="1" thickTop="1">
      <c r="B162" s="65" t="n"/>
      <c r="C162" s="540">
        <f>IFERROR(C161/C13," ")</f>
        <v/>
      </c>
      <c r="D162" s="502" t="n"/>
      <c r="E162" s="1093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6" thickTop="1"/>
    <row r="164" hidden="1" ht="9.75" customFormat="1" customHeight="1" s="153" thickBot="1" thickTop="1">
      <c r="A164" s="226" t="n"/>
      <c r="C164" s="618">
        <f>C44+C83-C73-C85</f>
        <v/>
      </c>
      <c r="D164" s="1000" t="n"/>
      <c r="E164" s="1188" t="n"/>
      <c r="F164" s="618">
        <f>F44+F83-F73-F85</f>
        <v/>
      </c>
      <c r="G164" s="1000" t="n"/>
      <c r="H164" s="1188" t="n"/>
      <c r="I164" s="618">
        <f>I44+I83-I73-I85</f>
        <v/>
      </c>
      <c r="J164" s="1000" t="n"/>
      <c r="K164" s="1188" t="n"/>
      <c r="L164" s="618">
        <f>L44+L83-L73-L85-L58</f>
        <v/>
      </c>
      <c r="M164" s="1000" t="n"/>
      <c r="N164" s="1188" t="n"/>
      <c r="O164" s="473">
        <f>O44+O83-O73-O85-O58</f>
        <v/>
      </c>
      <c r="P164" s="1000" t="n"/>
      <c r="Q164" s="1188" t="n"/>
      <c r="R164" s="473">
        <f>R44+R83-R73-R85-R58</f>
        <v/>
      </c>
      <c r="S164" s="1000" t="n"/>
      <c r="T164" s="1188" t="n"/>
      <c r="U164" s="473">
        <f>U44+U83-U73-U85-U58</f>
        <v/>
      </c>
      <c r="V164" s="1000" t="n"/>
      <c r="W164" s="1188" t="n"/>
      <c r="X164" s="473">
        <f>X44+X83-X73-X85-X58</f>
        <v/>
      </c>
      <c r="Y164" s="1000" t="n"/>
      <c r="Z164" s="1188" t="n"/>
      <c r="AA164" s="476">
        <f>AA44+AA83-AA73-AA85-AA58</f>
        <v/>
      </c>
      <c r="AB164" s="1000" t="n"/>
      <c r="AC164" s="1188" t="n"/>
      <c r="AD164" s="476">
        <f>AD44+AD83-AD73-AD85-AD58</f>
        <v/>
      </c>
      <c r="AE164" s="1000" t="n"/>
      <c r="AF164" s="1188" t="n"/>
      <c r="AG164" s="476">
        <f>AG44+AG83-AG73-AG85-AG58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</row>
    <row r="165" hidden="1" customFormat="1" s="153">
      <c r="A165" s="226" t="n"/>
      <c r="C165" s="618">
        <f>'[17]Hoja 1'!$C$645+'[17]Hoja 1'!$C$606+'[32]Hoja 1'!$C$15-'[32]Hoja 1'!$C$70+'[37]Hoja 1'!$C$64+'[37]Hoja 1'!$C$214+'[37]Hoja 1'!$C$255+'[51]Hoja 1'!$C$27</f>
        <v/>
      </c>
      <c r="D165" s="1000" t="n"/>
      <c r="E165" s="1188" t="n"/>
      <c r="F165" s="618">
        <f>'[20]Hoja 1'!$C$577+'[18]Hoja 1'!$C$148+'[18]Hoja 1'!$C$150+'[29]Hoja 1'!$C$70+'[29]Hoja 1'!$C$72+'[52]Hoja 1'!$C$18</f>
        <v/>
      </c>
      <c r="G165" s="1000" t="n"/>
      <c r="H165" s="1188" t="n"/>
      <c r="I165" s="618" t="n">
        <v>1430442873.12</v>
      </c>
      <c r="J165" s="1000" t="n"/>
      <c r="K165" s="1188" t="n"/>
      <c r="L165" s="618" t="n">
        <v>1116307669.42</v>
      </c>
      <c r="M165" s="1000" t="n"/>
      <c r="N165" s="1188" t="n"/>
      <c r="O165" s="473" t="n">
        <v>1382223149.7</v>
      </c>
      <c r="P165" s="1000" t="n"/>
      <c r="Q165" s="1188" t="n"/>
      <c r="R165" s="473" t="n">
        <v>655145421.55</v>
      </c>
      <c r="S165" s="1000" t="n"/>
      <c r="T165" s="1188" t="n"/>
      <c r="U165" s="473" t="n">
        <v>830608364.54</v>
      </c>
      <c r="V165" s="1000" t="n"/>
      <c r="W165" s="1188" t="n"/>
      <c r="X165" s="473" t="n">
        <v>1347308483.54</v>
      </c>
      <c r="Y165" s="1000" t="n"/>
      <c r="Z165" s="1188" t="n"/>
      <c r="AA165" s="476" t="n">
        <v>1429380841.35</v>
      </c>
      <c r="AB165" s="1000" t="n"/>
      <c r="AC165" s="1188" t="n"/>
      <c r="AD165" s="476" t="n">
        <v>1064563831.2</v>
      </c>
      <c r="AE165" s="1000" t="n"/>
      <c r="AF165" s="1188" t="n"/>
      <c r="AG165" s="476" t="n">
        <v>903207890.9400001</v>
      </c>
      <c r="AH165" s="1000" t="n"/>
      <c r="AI165" s="1188" t="n"/>
      <c r="AJ165" s="476" t="n">
        <v>307257937.6900001</v>
      </c>
      <c r="AK165" s="1000" t="n"/>
      <c r="AL165" s="1000" t="n"/>
      <c r="AM165" s="402" t="n"/>
      <c r="AN165" s="1000" t="n"/>
      <c r="AO165" s="1188" t="n"/>
    </row>
    <row r="166" hidden="1" customFormat="1" s="153">
      <c r="A166" s="226" t="n"/>
      <c r="C166" s="618">
        <f>C164-C165</f>
        <v/>
      </c>
      <c r="D166" s="1000" t="n"/>
      <c r="E166" s="1188" t="n"/>
      <c r="F166" s="618">
        <f>F164-F165</f>
        <v/>
      </c>
      <c r="G166" s="999" t="n"/>
      <c r="H166" s="1189" t="n"/>
      <c r="I166" s="618">
        <f>I164-I165</f>
        <v/>
      </c>
      <c r="J166" s="1000" t="n"/>
      <c r="K166" s="1189" t="n"/>
      <c r="L166" s="618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3">
        <f>R164-R165</f>
        <v/>
      </c>
      <c r="S166" s="999" t="n"/>
      <c r="T166" s="1188" t="n"/>
      <c r="U166" s="473">
        <f>U164-U165</f>
        <v/>
      </c>
      <c r="V166" s="1000" t="n"/>
      <c r="W166" s="1188" t="n"/>
      <c r="X166" s="473">
        <f>X164-X165</f>
        <v/>
      </c>
      <c r="Y166" s="1000" t="n"/>
      <c r="Z166" s="1188" t="n"/>
      <c r="AA166" s="476">
        <f>AA164-AA165</f>
        <v/>
      </c>
      <c r="AB166" s="1000" t="inlineStr">
        <is>
          <t>AMAYOR</t>
        </is>
      </c>
      <c r="AC166" s="1188" t="n"/>
      <c r="AD166" s="476">
        <f>AD164-AD165</f>
        <v/>
      </c>
      <c r="AE166" s="1000" t="n"/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402" t="n"/>
      <c r="AL166" s="1000" t="n"/>
      <c r="AM166" s="999" t="n"/>
      <c r="AN166" s="1000" t="n"/>
      <c r="AO166" s="1188" t="n"/>
    </row>
    <row r="169">
      <c r="R169" s="1182" t="n"/>
    </row>
    <row r="172">
      <c r="AD172" s="993">
        <f>220415*1.14</f>
        <v/>
      </c>
    </row>
    <row r="173">
      <c r="AD173" s="993">
        <f>AD172*2000*8</f>
        <v/>
      </c>
    </row>
    <row r="181">
      <c r="X181" s="993" t="n">
        <v>1423200</v>
      </c>
    </row>
    <row r="182">
      <c r="X182" s="993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7"/>
    <col width="8.6640625" customWidth="1" style="1033" min="38" max="38"/>
    <col width="15.6640625" customWidth="1" style="993" min="39" max="39"/>
    <col width="8.6640625" customWidth="1" style="993" min="40" max="40"/>
    <col width="8.6640625" customWidth="1" style="1033" min="41" max="41"/>
    <col width="7.4414062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BUGA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614" t="n"/>
      <c r="AO2" s="1096" t="n"/>
    </row>
    <row r="3" ht="21.75" customHeight="1" s="986" thickBot="1" thickTop="1">
      <c r="B3" s="523" t="inlineStr">
        <is>
          <t xml:space="preserve">DIAS DE ATENCIÓN </t>
        </is>
      </c>
      <c r="C3" s="479" t="n">
        <v>10</v>
      </c>
      <c r="D3" s="480" t="n"/>
      <c r="E3" s="1035" t="n"/>
      <c r="F3" s="479" t="n">
        <v>20</v>
      </c>
      <c r="G3" s="480" t="n"/>
      <c r="H3" s="1035" t="n"/>
      <c r="I3" s="479" t="n">
        <v>19</v>
      </c>
      <c r="J3" s="480" t="n"/>
      <c r="K3" s="1035" t="n"/>
      <c r="L3" s="479" t="n">
        <v>19</v>
      </c>
      <c r="M3" s="480" t="n"/>
      <c r="N3" s="1035" t="n"/>
      <c r="O3" s="479" t="n">
        <v>19</v>
      </c>
      <c r="P3" s="480" t="n"/>
      <c r="Q3" s="1035" t="n"/>
      <c r="R3" s="479" t="n">
        <v>18</v>
      </c>
      <c r="S3" s="480" t="n"/>
      <c r="T3" s="1035" t="n"/>
      <c r="U3" s="479" t="n">
        <v>9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16</v>
      </c>
      <c r="AE3" s="480" t="n"/>
      <c r="AF3" s="1035" t="n"/>
      <c r="AG3" s="479" t="n">
        <v>18</v>
      </c>
      <c r="AH3" s="480" t="n"/>
      <c r="AI3" s="1035" t="n"/>
      <c r="AJ3" s="479" t="n"/>
      <c r="AK3" s="480" t="n"/>
      <c r="AL3" s="1035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 xml:space="preserve"> 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41" t="n"/>
      <c r="F5" s="257" t="n"/>
      <c r="G5" s="89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1041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25" t="n"/>
      <c r="D6" s="43" t="n"/>
      <c r="E6" s="1045" t="n"/>
      <c r="F6" s="25" t="n"/>
      <c r="G6" s="89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1045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45" t="n"/>
      <c r="F7" s="25" t="n"/>
      <c r="G7" s="89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1045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43" t="n"/>
      <c r="E8" s="1045" t="n"/>
      <c r="F8" s="25" t="n"/>
      <c r="G8" s="43" t="n"/>
      <c r="H8" s="1045" t="n"/>
      <c r="I8" s="25" t="n"/>
      <c r="J8" s="43" t="n"/>
      <c r="K8" s="1045" t="n"/>
      <c r="L8" s="25" t="n"/>
      <c r="M8" s="43" t="n"/>
      <c r="N8" s="1045" t="n"/>
      <c r="O8" s="25" t="n"/>
      <c r="P8" s="43" t="n"/>
      <c r="Q8" s="1045" t="n"/>
      <c r="R8" s="25" t="n"/>
      <c r="S8" s="43" t="n"/>
      <c r="T8" s="1045" t="n"/>
      <c r="U8" s="25" t="n"/>
      <c r="V8" s="43" t="n"/>
      <c r="W8" s="1045" t="n"/>
      <c r="X8" s="25" t="n"/>
      <c r="Y8" s="43" t="n"/>
      <c r="Z8" s="1045" t="n"/>
      <c r="AA8" s="25" t="n"/>
      <c r="AB8" s="43" t="n"/>
      <c r="AC8" s="1045" t="n"/>
      <c r="AD8" s="25" t="n"/>
      <c r="AE8" s="43" t="n"/>
      <c r="AF8" s="1045" t="n"/>
      <c r="AG8" s="25" t="n"/>
      <c r="AH8" s="43" t="n"/>
      <c r="AI8" s="1045" t="n"/>
      <c r="AJ8" s="74" t="n"/>
      <c r="AK8" s="43" t="n"/>
      <c r="AL8" s="1045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258" t="n"/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1045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1045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1047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104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1051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1053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 t="n"/>
      <c r="AA15" s="90">
        <f>SUM(AA16:AA22)</f>
        <v/>
      </c>
      <c r="AB15" s="3" t="n"/>
      <c r="AC15" s="1053" t="n"/>
      <c r="AD15" s="90">
        <f>SUM(AD16:AD22)</f>
        <v/>
      </c>
      <c r="AE15" s="96" t="n"/>
      <c r="AF15" s="1053" t="n"/>
      <c r="AG15" s="90">
        <f>SUM(AG16:AG22)</f>
        <v/>
      </c>
      <c r="AH15" s="3" t="n"/>
      <c r="AI15" s="1053" t="n"/>
      <c r="AJ15" s="49">
        <f>SUM(AJ16:AJ22)</f>
        <v/>
      </c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258" t="inlineStr">
        <is>
          <t>COMPLEMENTO INDUSTRIALIZADO (Fac)</t>
        </is>
      </c>
      <c r="C16" s="103" t="n"/>
      <c r="D16" s="79">
        <f>C16/C5</f>
        <v/>
      </c>
      <c r="E16" s="1055" t="n"/>
      <c r="F16" s="103" t="n"/>
      <c r="G16" s="79">
        <f>F16/F5</f>
        <v/>
      </c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1055" t="n"/>
      <c r="AM16" s="212">
        <f>C16+F16+I16+L16+O16+R16+U16+X16+AA16+AD16+AG16+AJ16</f>
        <v/>
      </c>
      <c r="AN16" s="79" t="n"/>
      <c r="AO16" s="1056" t="n"/>
    </row>
    <row r="17" ht="15" customHeight="1" s="986">
      <c r="B17" s="258" t="inlineStr">
        <is>
          <t>COMPLEMENTO PREPARADO (Fac)</t>
        </is>
      </c>
      <c r="C17" s="25" t="n"/>
      <c r="D17" s="43">
        <f>C17/C6</f>
        <v/>
      </c>
      <c r="E17" s="1045" t="n"/>
      <c r="F17" s="25" t="n"/>
      <c r="G17" s="43">
        <f>F17/F6</f>
        <v/>
      </c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1045" t="n"/>
      <c r="AM17" s="205">
        <f>C17+F17+I17+L17+O17+R17+U17+X17+AA17+AD17+AG17+AJ17</f>
        <v/>
      </c>
      <c r="AN17" s="43">
        <f>AM17/AM6</f>
        <v/>
      </c>
      <c r="AO17" s="1046">
        <f>AM17/AM$13</f>
        <v/>
      </c>
    </row>
    <row r="18" ht="15" customHeight="1" s="986">
      <c r="B18" s="258" t="inlineStr">
        <is>
          <t>ALMUERZO JORNADA UNICA (Fac)</t>
        </is>
      </c>
      <c r="C18" s="25" t="n"/>
      <c r="D18" s="43">
        <f>C18/C7</f>
        <v/>
      </c>
      <c r="E18" s="1045" t="n"/>
      <c r="F18" s="25" t="n"/>
      <c r="G18" s="43">
        <f>F18/F7</f>
        <v/>
      </c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1045" t="n"/>
      <c r="AM18" s="205">
        <f>C18+F18+I18+L18+O18+R18+U18+X18+AA18+AD18+AG18+AJ18</f>
        <v/>
      </c>
      <c r="AN18" s="43">
        <f>AM18/AM7</f>
        <v/>
      </c>
      <c r="AO18" s="1046">
        <f>AM18/AM$13</f>
        <v/>
      </c>
    </row>
    <row r="19" ht="15" customHeight="1" s="986">
      <c r="B19" s="258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1045" t="n"/>
      <c r="AM19" s="205">
        <f>C19+F19+I19+L19+O19+R19+U19+X19+AA19+AD19+AG19+AJ19</f>
        <v/>
      </c>
      <c r="AN19" s="43" t="n"/>
      <c r="AO19" s="1046" t="n"/>
    </row>
    <row r="20" ht="15" customHeight="1" s="986">
      <c r="B20" s="258" t="inlineStr">
        <is>
          <t>NOVEDADES (Fac)</t>
        </is>
      </c>
      <c r="C20" s="75" t="n"/>
      <c r="D20" s="43" t="n"/>
      <c r="E20" s="1045" t="n"/>
      <c r="F20" s="7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1045" t="n"/>
      <c r="AM20" s="205">
        <f>C20+F20+I20+L20+O20+R20+U20+X20+AA20+AD20+AG20+AJ20</f>
        <v/>
      </c>
      <c r="AN20" s="43" t="n"/>
      <c r="AO20" s="1046" t="n"/>
    </row>
    <row r="21" hidden="1" ht="10.2" customHeight="1" s="986">
      <c r="B21" s="30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1045" t="n"/>
      <c r="AM21" s="205">
        <f>C21+F21+I21+L21+O21+R21+U21+X21+AA21+AD21+AG21+AJ21</f>
        <v/>
      </c>
      <c r="AN21" s="43" t="n"/>
      <c r="AO21" s="1046" t="n"/>
    </row>
    <row r="22" hidden="1" ht="10.2" customHeight="1" s="986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1057" t="n"/>
      <c r="AM22" s="97">
        <f>C22+F22+I22+L22+O22+R22+U22+X22+AA22+AD22+AG22+AJ22</f>
        <v/>
      </c>
      <c r="AN22" s="42" t="n"/>
      <c r="AO22" s="1058" t="n"/>
    </row>
    <row r="23" hidden="1" outlineLevel="1" ht="10.2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1053" t="n"/>
      <c r="AM23" s="16">
        <f>C23+F23+I23+L23+O23+R23+U23+X23+AA23+AD23+AG23+AJ23</f>
        <v/>
      </c>
      <c r="AN23" s="3" t="n"/>
      <c r="AO23" s="1054" t="n"/>
    </row>
    <row r="24" hidden="1" outlineLevel="1" ht="10.2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1053" t="n"/>
      <c r="AM24" s="16">
        <f>C24+F24+I24+L24+O24+R24+U24+X24+AA24+AD24+AG24+AJ24</f>
        <v/>
      </c>
      <c r="AN24" s="3" t="n"/>
      <c r="AO24" s="1054" t="n"/>
    </row>
    <row r="25" hidden="1" outlineLevel="1" ht="10.2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1059" t="n"/>
      <c r="AM25" s="34">
        <f>C25+F25+I25+L25+O25+R25+U25+X25+AA25+AD25+AG25+AJ25</f>
        <v/>
      </c>
      <c r="AN25" s="52" t="n"/>
      <c r="AO25" s="1060" t="n"/>
    </row>
    <row r="26" hidden="1" outlineLevel="1" ht="10.2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1059" t="n"/>
      <c r="AM26" s="34">
        <f>C26+F26+I26+L26+O26+R26+U26+X26+AA26+AD26+AG26+AJ26</f>
        <v/>
      </c>
      <c r="AN26" s="52" t="n"/>
      <c r="AO26" s="1060" t="n"/>
    </row>
    <row r="27" hidden="1" outlineLevel="1" ht="10.2" customHeight="1" s="986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1059" t="n"/>
      <c r="AM27" s="34">
        <f>C27+F27+I27+L27+O27+R27+U27+X27+AA27+AD27+AG27+AJ27</f>
        <v/>
      </c>
      <c r="AN27" s="52" t="n"/>
      <c r="AO27" s="1060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1053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SUM(C30:C41)</f>
        <v/>
      </c>
      <c r="D29" s="3" t="n"/>
      <c r="E29" s="1053">
        <f>C29/C13</f>
        <v/>
      </c>
      <c r="F29" s="49">
        <f>SUM(F30:F37)</f>
        <v/>
      </c>
      <c r="G29" s="3" t="n"/>
      <c r="H29" s="1053">
        <f>F29/F13</f>
        <v/>
      </c>
      <c r="I29" s="49">
        <f>SUM(I30:I37)</f>
        <v/>
      </c>
      <c r="J29" s="3" t="n"/>
      <c r="K29" s="1053">
        <f>I29/I13</f>
        <v/>
      </c>
      <c r="L29" s="49">
        <f>SUM(L30:L37)</f>
        <v/>
      </c>
      <c r="M29" s="3" t="n"/>
      <c r="N29" s="1053">
        <f>L29/L13</f>
        <v/>
      </c>
      <c r="O29" s="49">
        <f>SUM(O30:O37)</f>
        <v/>
      </c>
      <c r="P29" s="3" t="n"/>
      <c r="Q29" s="1053" t="n"/>
      <c r="R29" s="90">
        <f>SUM(R30:R37)</f>
        <v/>
      </c>
      <c r="S29" s="3" t="n"/>
      <c r="T29" s="1053">
        <f>R29/R13</f>
        <v/>
      </c>
      <c r="U29" s="90">
        <f>SUM(U30:U37)</f>
        <v/>
      </c>
      <c r="V29" s="3" t="n"/>
      <c r="W29" s="1053">
        <f>U29/U13</f>
        <v/>
      </c>
      <c r="X29" s="90">
        <f>SUM(X30:X37)</f>
        <v/>
      </c>
      <c r="Y29" s="763" t="n"/>
      <c r="Z29" s="766">
        <f>X29/X13</f>
        <v/>
      </c>
      <c r="AA29" s="90">
        <f>SUM(AA30:AA37)</f>
        <v/>
      </c>
      <c r="AB29" s="3" t="n"/>
      <c r="AC29" s="1053">
        <f>AA29/AA13</f>
        <v/>
      </c>
      <c r="AD29" s="90">
        <f>SUM(AD30:AD37)</f>
        <v/>
      </c>
      <c r="AE29" s="3" t="n"/>
      <c r="AF29" s="1053">
        <f>AD29/AD13</f>
        <v/>
      </c>
      <c r="AG29" s="90">
        <f>SUM(AG30:AG39)</f>
        <v/>
      </c>
      <c r="AH29" s="3" t="n"/>
      <c r="AI29" s="1053">
        <f>AG29/AG13</f>
        <v/>
      </c>
      <c r="AJ29" s="49">
        <f>SUM(AJ30:AJ38)</f>
        <v/>
      </c>
      <c r="AK29" s="3" t="n"/>
      <c r="AL29" s="1053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Height="1" s="986">
      <c r="B30" s="262" t="inlineStr">
        <is>
          <t>1% Estampilla Prohospital</t>
        </is>
      </c>
      <c r="C30" s="1061">
        <f>C13*1%</f>
        <v/>
      </c>
      <c r="D30" s="79" t="n"/>
      <c r="E30" s="1055" t="n"/>
      <c r="F30" s="1061">
        <f>F13*1%</f>
        <v/>
      </c>
      <c r="G30" s="79" t="n"/>
      <c r="H30" s="1055" t="n"/>
      <c r="I30" s="1061">
        <f>I13*1%</f>
        <v/>
      </c>
      <c r="J30" s="79" t="n"/>
      <c r="K30" s="1055" t="n"/>
      <c r="L30" s="1061">
        <f>L13*1%</f>
        <v/>
      </c>
      <c r="M30" s="79" t="n"/>
      <c r="N30" s="1055" t="n"/>
      <c r="O30" s="1061">
        <f>O13*1%</f>
        <v/>
      </c>
      <c r="P30" s="79" t="n"/>
      <c r="Q30" s="1055" t="n"/>
      <c r="R30" s="1061">
        <f>R13*1%</f>
        <v/>
      </c>
      <c r="S30" s="79" t="n"/>
      <c r="T30" s="1055" t="n"/>
      <c r="U30" s="1061">
        <f>U13*1%</f>
        <v/>
      </c>
      <c r="V30" s="79" t="n"/>
      <c r="W30" s="1055" t="n"/>
      <c r="X30" s="1061">
        <f>X13*1%</f>
        <v/>
      </c>
      <c r="Y30" s="79" t="n"/>
      <c r="Z30" s="1055" t="n"/>
      <c r="AA30" s="1061">
        <f>AA13*1%</f>
        <v/>
      </c>
      <c r="AB30" s="79" t="n"/>
      <c r="AC30" s="1055" t="n"/>
      <c r="AD30" s="1061">
        <f>AD13*1%</f>
        <v/>
      </c>
      <c r="AE30" s="79" t="n"/>
      <c r="AF30" s="1055" t="n"/>
      <c r="AG30" s="1061">
        <f>AG13*1%</f>
        <v/>
      </c>
      <c r="AH30" s="79" t="n"/>
      <c r="AI30" s="1055" t="n"/>
      <c r="AJ30" s="1061">
        <f>AJ13*1%</f>
        <v/>
      </c>
      <c r="AK30" s="79" t="n"/>
      <c r="AL30" s="1055" t="n"/>
      <c r="AM30" s="212">
        <f>C30+F30+I30+L30+O30+R30+U30+X30+AA30+AD30+AG30+AJ30</f>
        <v/>
      </c>
      <c r="AN30" s="79" t="n"/>
      <c r="AO30" s="1056" t="n"/>
    </row>
    <row r="31" outlineLevel="1" ht="15" customHeight="1" s="986">
      <c r="B31" s="105" t="inlineStr">
        <is>
          <t>2,5% Estampilla Pro Deporte</t>
        </is>
      </c>
      <c r="C31" s="1062">
        <f>C$13*2.5%</f>
        <v/>
      </c>
      <c r="D31" s="43" t="n"/>
      <c r="E31" s="1045" t="n"/>
      <c r="F31" s="1062">
        <f>F$13*2.5%</f>
        <v/>
      </c>
      <c r="G31" s="43" t="n"/>
      <c r="H31" s="1045" t="n"/>
      <c r="I31" s="1062">
        <f>I$13*2.5%</f>
        <v/>
      </c>
      <c r="J31" s="43" t="n"/>
      <c r="K31" s="1045" t="n"/>
      <c r="L31" s="1062">
        <f>L$13*2.5%</f>
        <v/>
      </c>
      <c r="M31" s="43" t="n"/>
      <c r="N31" s="1045" t="n"/>
      <c r="O31" s="1062">
        <f>O$13*2.5%</f>
        <v/>
      </c>
      <c r="P31" s="43" t="n"/>
      <c r="Q31" s="1045" t="n"/>
      <c r="R31" s="1062">
        <f>R$13*2.5%</f>
        <v/>
      </c>
      <c r="S31" s="43" t="n"/>
      <c r="T31" s="1045" t="n"/>
      <c r="U31" s="1062">
        <f>U$13*2.5%</f>
        <v/>
      </c>
      <c r="V31" s="43" t="n"/>
      <c r="W31" s="1045" t="n"/>
      <c r="X31" s="1062">
        <f>X$13*2.5%</f>
        <v/>
      </c>
      <c r="Y31" s="43" t="n"/>
      <c r="Z31" s="1045" t="n"/>
      <c r="AA31" s="1062">
        <f>AA$13*2.5%</f>
        <v/>
      </c>
      <c r="AB31" s="43" t="n"/>
      <c r="AC31" s="1045" t="n"/>
      <c r="AD31" s="1062">
        <f>AD$13*2.5%</f>
        <v/>
      </c>
      <c r="AE31" s="43" t="n"/>
      <c r="AF31" s="1045" t="n"/>
      <c r="AG31" s="1062">
        <f>AG$13*2.5%</f>
        <v/>
      </c>
      <c r="AH31" s="43" t="n"/>
      <c r="AI31" s="1045" t="n"/>
      <c r="AJ31" s="1062">
        <f>AJ$13*2.5%</f>
        <v/>
      </c>
      <c r="AK31" s="43" t="n"/>
      <c r="AL31" s="1045" t="n"/>
      <c r="AM31" s="205">
        <f>C31+F31+I31+L31+O31+R31+U31+X31+AA31+AD31+AG31+AJ31</f>
        <v/>
      </c>
      <c r="AN31" s="43" t="n"/>
      <c r="AO31" s="1046" t="n"/>
    </row>
    <row r="32" outlineLevel="1" ht="15" customHeight="1" s="986">
      <c r="B32" s="105" t="inlineStr">
        <is>
          <t>1% Estampilla Pro Univalle</t>
        </is>
      </c>
      <c r="C32" s="1062">
        <f>C$13*1%</f>
        <v/>
      </c>
      <c r="D32" s="43" t="n"/>
      <c r="E32" s="1045" t="n"/>
      <c r="F32" s="1062">
        <f>F$13*1%</f>
        <v/>
      </c>
      <c r="G32" s="43" t="n"/>
      <c r="H32" s="1045" t="n"/>
      <c r="I32" s="1062">
        <f>I$13*1%</f>
        <v/>
      </c>
      <c r="J32" s="43" t="n"/>
      <c r="K32" s="1045" t="n"/>
      <c r="L32" s="1062">
        <f>L$13*1%</f>
        <v/>
      </c>
      <c r="M32" s="43" t="n"/>
      <c r="N32" s="1045" t="n"/>
      <c r="O32" s="1062">
        <f>O$13*1%</f>
        <v/>
      </c>
      <c r="P32" s="43" t="n"/>
      <c r="Q32" s="1045" t="n"/>
      <c r="R32" s="1062">
        <f>R$13*1%</f>
        <v/>
      </c>
      <c r="S32" s="43" t="n"/>
      <c r="T32" s="1045" t="n"/>
      <c r="U32" s="1062">
        <f>U$13*1%</f>
        <v/>
      </c>
      <c r="V32" s="43" t="n"/>
      <c r="W32" s="1045" t="n"/>
      <c r="X32" s="1062">
        <f>X$13*1%</f>
        <v/>
      </c>
      <c r="Y32" s="43" t="n"/>
      <c r="Z32" s="1045" t="n"/>
      <c r="AA32" s="1062">
        <f>AA$13*1%</f>
        <v/>
      </c>
      <c r="AB32" s="43" t="n"/>
      <c r="AC32" s="1045" t="n"/>
      <c r="AD32" s="1062">
        <f>AD$13*1%</f>
        <v/>
      </c>
      <c r="AE32" s="43" t="n"/>
      <c r="AF32" s="1045" t="n"/>
      <c r="AG32" s="1062">
        <f>AG$13*1%</f>
        <v/>
      </c>
      <c r="AH32" s="43" t="n"/>
      <c r="AI32" s="1045" t="n"/>
      <c r="AJ32" s="1062">
        <f>AJ$13*1%</f>
        <v/>
      </c>
      <c r="AK32" s="43" t="n"/>
      <c r="AL32" s="1045" t="n"/>
      <c r="AM32" s="205">
        <f>C32+F32+I32+L32+O32+R32+U32+X32+AA32+AD32+AG32+AJ32</f>
        <v/>
      </c>
      <c r="AN32" s="43" t="n"/>
      <c r="AO32" s="1046" t="n"/>
    </row>
    <row r="33" outlineLevel="1" ht="15" customHeight="1" s="986">
      <c r="B33" s="105" t="inlineStr">
        <is>
          <t>3% Estampilla Adulto Mayor</t>
        </is>
      </c>
      <c r="C33" s="1062">
        <f>C13*3%</f>
        <v/>
      </c>
      <c r="D33" s="43" t="n"/>
      <c r="E33" s="1045" t="n"/>
      <c r="F33" s="1062">
        <f>F13*3%</f>
        <v/>
      </c>
      <c r="G33" s="43" t="n"/>
      <c r="H33" s="1045" t="n"/>
      <c r="I33" s="1062">
        <f>I13*3%</f>
        <v/>
      </c>
      <c r="J33" s="43" t="n"/>
      <c r="K33" s="1045" t="n"/>
      <c r="L33" s="1062">
        <f>L13*3%</f>
        <v/>
      </c>
      <c r="M33" s="43" t="n"/>
      <c r="N33" s="1045" t="n"/>
      <c r="O33" s="1062">
        <f>O13*3%</f>
        <v/>
      </c>
      <c r="P33" s="43" t="n"/>
      <c r="Q33" s="1045" t="n"/>
      <c r="R33" s="1062">
        <f>R13*3%</f>
        <v/>
      </c>
      <c r="S33" s="43" t="n"/>
      <c r="T33" s="1045" t="n"/>
      <c r="U33" s="1062">
        <f>U13*3%</f>
        <v/>
      </c>
      <c r="V33" s="43" t="n"/>
      <c r="W33" s="1045" t="n"/>
      <c r="X33" s="1062">
        <f>X13*3%</f>
        <v/>
      </c>
      <c r="Y33" s="43" t="n"/>
      <c r="Z33" s="1045" t="n"/>
      <c r="AA33" s="1062">
        <f>AA13*3%</f>
        <v/>
      </c>
      <c r="AB33" s="43" t="n"/>
      <c r="AC33" s="1045" t="n"/>
      <c r="AD33" s="1062">
        <f>AD13*3%</f>
        <v/>
      </c>
      <c r="AE33" s="43" t="n"/>
      <c r="AF33" s="1045" t="n"/>
      <c r="AG33" s="1062">
        <f>AG13*3%</f>
        <v/>
      </c>
      <c r="AH33" s="43" t="n"/>
      <c r="AI33" s="1045" t="n"/>
      <c r="AJ33" s="1062">
        <f>AJ13*3%</f>
        <v/>
      </c>
      <c r="AK33" s="43" t="n"/>
      <c r="AL33" s="1045" t="n"/>
      <c r="AM33" s="205">
        <f>C33+F33+I33+L33+O33+R33+U33+X33+AA33+AD33+AG33+AJ33</f>
        <v/>
      </c>
      <c r="AN33" s="43" t="n"/>
      <c r="AO33" s="1046" t="n"/>
    </row>
    <row r="34" outlineLevel="1" ht="15" customHeight="1" s="986">
      <c r="B34" s="105" t="inlineStr">
        <is>
          <t>0,5% Estampilla Universidad del Pacifico</t>
        </is>
      </c>
      <c r="C34" s="1062">
        <f>C$13*0.5%</f>
        <v/>
      </c>
      <c r="D34" s="43" t="n"/>
      <c r="E34" s="1045" t="n"/>
      <c r="F34" s="1062">
        <f>F$13*0.5%</f>
        <v/>
      </c>
      <c r="G34" s="43" t="n"/>
      <c r="H34" s="1045" t="n"/>
      <c r="I34" s="1062">
        <f>I$13*0.5%</f>
        <v/>
      </c>
      <c r="J34" s="43" t="n"/>
      <c r="K34" s="1045" t="n"/>
      <c r="L34" s="1062">
        <f>L$13*0.5%</f>
        <v/>
      </c>
      <c r="M34" s="43" t="n"/>
      <c r="N34" s="1045" t="n"/>
      <c r="O34" s="1062">
        <f>O$13*0.5%</f>
        <v/>
      </c>
      <c r="P34" s="43" t="n"/>
      <c r="Q34" s="1045" t="n"/>
      <c r="R34" s="1062">
        <f>R$13*0.5%</f>
        <v/>
      </c>
      <c r="S34" s="43" t="n"/>
      <c r="T34" s="1045" t="n"/>
      <c r="U34" s="1062">
        <f>U$13*0.5%</f>
        <v/>
      </c>
      <c r="V34" s="43" t="n"/>
      <c r="W34" s="1045" t="n"/>
      <c r="X34" s="1062">
        <f>X$13*0.5%</f>
        <v/>
      </c>
      <c r="Y34" s="43" t="n"/>
      <c r="Z34" s="1045" t="n"/>
      <c r="AA34" s="1062">
        <f>AA$13*0.5%</f>
        <v/>
      </c>
      <c r="AB34" s="43" t="n"/>
      <c r="AC34" s="1045" t="n"/>
      <c r="AD34" s="1062">
        <f>AD$13*0.5%</f>
        <v/>
      </c>
      <c r="AE34" s="43" t="n"/>
      <c r="AF34" s="1045" t="n"/>
      <c r="AG34" s="1062">
        <f>AG$13*0.5%</f>
        <v/>
      </c>
      <c r="AH34" s="43" t="n"/>
      <c r="AI34" s="1045" t="n"/>
      <c r="AJ34" s="1062">
        <f>AJ$13*0.5%</f>
        <v/>
      </c>
      <c r="AK34" s="43" t="n"/>
      <c r="AL34" s="1045" t="n"/>
      <c r="AM34" s="205">
        <f>C34+F34+I34+L34+O34+R34+U34+X34+AA34+AD34+AG34+AJ34</f>
        <v/>
      </c>
      <c r="AN34" s="43" t="n"/>
      <c r="AO34" s="1046" t="n"/>
    </row>
    <row r="35" outlineLevel="1" ht="15" customHeight="1" s="986">
      <c r="B35" s="335" t="inlineStr">
        <is>
          <t>0,66% Rete Ica</t>
        </is>
      </c>
      <c r="C35" s="1062">
        <f>C$13*0.66%</f>
        <v/>
      </c>
      <c r="D35" s="92" t="n"/>
      <c r="E35" s="1063" t="n"/>
      <c r="F35" s="1062">
        <f>F$13*0.66%</f>
        <v/>
      </c>
      <c r="G35" s="92" t="n"/>
      <c r="H35" s="1063" t="n"/>
      <c r="I35" s="1062">
        <f>I$13*0.66%</f>
        <v/>
      </c>
      <c r="J35" s="92" t="n"/>
      <c r="K35" s="1063" t="n"/>
      <c r="L35" s="1062">
        <f>L$13*0.66%</f>
        <v/>
      </c>
      <c r="M35" s="92" t="n"/>
      <c r="N35" s="1063" t="n"/>
      <c r="O35" s="1062">
        <f>O$13*0.66%</f>
        <v/>
      </c>
      <c r="P35" s="92" t="n"/>
      <c r="Q35" s="1063" t="n"/>
      <c r="R35" s="1062">
        <f>R$13*0.66%</f>
        <v/>
      </c>
      <c r="S35" s="92" t="n"/>
      <c r="T35" s="1063" t="n"/>
      <c r="U35" s="1062">
        <f>U$13*0.66%</f>
        <v/>
      </c>
      <c r="V35" s="92" t="n"/>
      <c r="W35" s="1063" t="n"/>
      <c r="X35" s="1062">
        <f>X$13*0.66%</f>
        <v/>
      </c>
      <c r="Y35" s="92" t="n"/>
      <c r="Z35" s="1063" t="n"/>
      <c r="AA35" s="1062">
        <f>AA$13*0.66%</f>
        <v/>
      </c>
      <c r="AB35" s="92" t="n"/>
      <c r="AC35" s="1063" t="n"/>
      <c r="AD35" s="1062">
        <f>AD$13*0.66%</f>
        <v/>
      </c>
      <c r="AE35" s="92" t="n"/>
      <c r="AF35" s="1063" t="n"/>
      <c r="AG35" s="1062">
        <f>AG$13*0.66%</f>
        <v/>
      </c>
      <c r="AH35" s="92" t="n"/>
      <c r="AI35" s="1063" t="n"/>
      <c r="AJ35" s="1062">
        <f>AJ$13*0.66%</f>
        <v/>
      </c>
      <c r="AK35" s="92" t="n"/>
      <c r="AL35" s="1063" t="n"/>
      <c r="AM35" s="284">
        <f>C35+F35+I35+L35+O35+R35+U35+X35+AA35+AD35+AG35+AJ35</f>
        <v/>
      </c>
      <c r="AN35" s="92" t="n"/>
      <c r="AO35" s="1064" t="n"/>
    </row>
    <row r="36" outlineLevel="1" ht="15" customFormat="1" customHeight="1" s="108">
      <c r="A36" s="226" t="n"/>
      <c r="B36" s="105" t="inlineStr">
        <is>
          <t>Retefuente</t>
        </is>
      </c>
      <c r="C36" s="25">
        <f>(C$13*1%)*3.5%</f>
        <v/>
      </c>
      <c r="D36" s="43" t="n"/>
      <c r="E36" s="1045" t="n"/>
      <c r="F36" s="25">
        <f>(F$13*1%)*3.5%</f>
        <v/>
      </c>
      <c r="G36" s="43" t="n"/>
      <c r="H36" s="1045" t="n"/>
      <c r="I36" s="25">
        <f>(I$13*1%)*3.5%</f>
        <v/>
      </c>
      <c r="J36" s="43" t="n"/>
      <c r="K36" s="1045" t="n"/>
      <c r="L36" s="25">
        <f>(L$13*1%)*3.5%</f>
        <v/>
      </c>
      <c r="M36" s="43" t="n"/>
      <c r="N36" s="1045" t="n"/>
      <c r="O36" s="25">
        <f>(O$13*1%)*3.5%</f>
        <v/>
      </c>
      <c r="P36" s="43" t="n"/>
      <c r="Q36" s="1045" t="n"/>
      <c r="R36" s="25">
        <f>(R$13*1%)*3.5%</f>
        <v/>
      </c>
      <c r="S36" s="43" t="n"/>
      <c r="T36" s="1045" t="n"/>
      <c r="U36" s="25">
        <f>(U$13*1%)*3.5%</f>
        <v/>
      </c>
      <c r="V36" s="43" t="n"/>
      <c r="W36" s="1045" t="n"/>
      <c r="X36" s="25">
        <f>(X$13*1%)*3.5%</f>
        <v/>
      </c>
      <c r="Y36" s="43" t="n"/>
      <c r="Z36" s="1098" t="n"/>
      <c r="AA36" s="25">
        <f>(AA$13*1%)*3.5%</f>
        <v/>
      </c>
      <c r="AB36" s="43" t="n"/>
      <c r="AC36" s="1098" t="n"/>
      <c r="AD36" s="25">
        <f>(AD$13*1%)*3.5%</f>
        <v/>
      </c>
      <c r="AE36" s="43" t="n"/>
      <c r="AF36" s="1045" t="n"/>
      <c r="AG36" s="25">
        <f>(AG$13*1%)*3.5%</f>
        <v/>
      </c>
      <c r="AH36" s="43" t="n"/>
      <c r="AI36" s="1045" t="n"/>
      <c r="AJ36" s="25">
        <f>(AJ$13*1%)*3.5%</f>
        <v/>
      </c>
      <c r="AK36" s="43" t="n"/>
      <c r="AL36" s="1045" t="n"/>
      <c r="AM36" s="25">
        <f>C36+F36+I36+L36+O36+R36+U36+X36+AA36+AD36+AG36+AJ36</f>
        <v/>
      </c>
      <c r="AN36" s="43" t="n"/>
      <c r="AO36" s="1046" t="n"/>
    </row>
    <row r="37" outlineLevel="1" ht="15" customHeight="1" s="986">
      <c r="B37" s="105" t="inlineStr">
        <is>
          <t>2% Juzgado de Familia</t>
        </is>
      </c>
      <c r="C37" s="25">
        <f>C$13*2%</f>
        <v/>
      </c>
      <c r="D37" s="43" t="n"/>
      <c r="E37" s="1045" t="n"/>
      <c r="F37" s="25">
        <f>F$13*2%</f>
        <v/>
      </c>
      <c r="G37" s="43" t="n"/>
      <c r="H37" s="1045" t="n"/>
      <c r="I37" s="25">
        <f>I$13*2%</f>
        <v/>
      </c>
      <c r="J37" s="43" t="n"/>
      <c r="K37" s="1045" t="n"/>
      <c r="L37" s="25">
        <f>L$13*2%</f>
        <v/>
      </c>
      <c r="M37" s="43" t="n"/>
      <c r="N37" s="1045" t="n"/>
      <c r="O37" s="25">
        <f>O$13*2%</f>
        <v/>
      </c>
      <c r="P37" s="43" t="n"/>
      <c r="Q37" s="1045" t="n"/>
      <c r="R37" s="25">
        <f>R$13*2%</f>
        <v/>
      </c>
      <c r="S37" s="43" t="n"/>
      <c r="T37" s="1045" t="n"/>
      <c r="U37" s="25">
        <f>U$13*2%</f>
        <v/>
      </c>
      <c r="V37" s="43" t="n"/>
      <c r="W37" s="1045" t="n"/>
      <c r="X37" s="25">
        <f>X$13*2%</f>
        <v/>
      </c>
      <c r="Y37" s="43" t="n"/>
      <c r="Z37" s="1045" t="n"/>
      <c r="AA37" s="25">
        <f>AA$13*2%</f>
        <v/>
      </c>
      <c r="AB37" s="43" t="n"/>
      <c r="AC37" s="1045" t="n"/>
      <c r="AD37" s="25">
        <f>AD$13*2%</f>
        <v/>
      </c>
      <c r="AE37" s="43" t="n"/>
      <c r="AF37" s="1045" t="n"/>
      <c r="AG37" s="25">
        <f>AG$13*2%</f>
        <v/>
      </c>
      <c r="AH37" s="43" t="n"/>
      <c r="AI37" s="1045" t="n"/>
      <c r="AJ37" s="25">
        <f>AJ$13*2%</f>
        <v/>
      </c>
      <c r="AK37" s="43" t="n"/>
      <c r="AL37" s="1045" t="n"/>
      <c r="AM37" s="205">
        <f>C37+F37+I37+L37+O37+R37+U37+X37+AA37+AD37+AG37+AJ37</f>
        <v/>
      </c>
      <c r="AN37" s="43" t="n"/>
      <c r="AO37" s="1046" t="n"/>
    </row>
    <row r="38" outlineLevel="1" ht="15" customHeight="1" s="986">
      <c r="B38" s="30" t="inlineStr">
        <is>
          <t>0,5% Impuesto de Timbre</t>
        </is>
      </c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1057" t="n"/>
      <c r="AM38" s="97">
        <f>C38+F38+I38+L38+O38+R38+U38+X38+AA38+AD38+AG38+AJ38</f>
        <v/>
      </c>
      <c r="AN38" s="42" t="n"/>
      <c r="AO38" s="1058" t="n"/>
    </row>
    <row r="39" hidden="1" outlineLevel="1" ht="10.2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1057" t="n"/>
      <c r="AM39" s="97" t="n"/>
      <c r="AN39" s="42" t="n"/>
      <c r="AO39" s="1058" t="n"/>
    </row>
    <row r="40" hidden="1" outlineLevel="1" ht="10.2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1057" t="n"/>
      <c r="AM40" s="97" t="n"/>
      <c r="AN40" s="42" t="n"/>
      <c r="AO40" s="1058" t="n"/>
    </row>
    <row r="41" hidden="1" outlineLevel="1" ht="10.2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1057" t="n"/>
      <c r="AM41" s="97" t="n"/>
      <c r="AN41" s="42" t="n"/>
      <c r="AO41" s="1058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1065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1099" t="n"/>
      <c r="D43" s="1099" t="n"/>
      <c r="E43" s="1190">
        <f>(C46+C61)/C13</f>
        <v/>
      </c>
      <c r="F43" s="1023" t="n"/>
      <c r="G43" s="700" t="n"/>
      <c r="H43" s="1191">
        <f>(F46+F61)/F13</f>
        <v/>
      </c>
      <c r="I43" s="705" t="n"/>
      <c r="J43" s="705" t="n"/>
      <c r="K43" s="1101">
        <f>(I46+I61)/I13</f>
        <v/>
      </c>
      <c r="L43" s="705" t="n"/>
      <c r="M43" s="705" t="n"/>
      <c r="N43" s="1101">
        <f>(L46+L61)/L13</f>
        <v/>
      </c>
      <c r="O43" s="705" t="n"/>
      <c r="P43" s="705" t="n"/>
      <c r="Q43" s="1101">
        <f>(O46+O61)/O13</f>
        <v/>
      </c>
      <c r="R43" s="705" t="n"/>
      <c r="S43" s="705" t="n"/>
      <c r="T43" s="1101">
        <f>(R46+R61)/R13</f>
        <v/>
      </c>
      <c r="U43" s="705" t="n"/>
      <c r="V43" s="705" t="n"/>
      <c r="W43" s="1101">
        <f>(U46+U61)/U13</f>
        <v/>
      </c>
      <c r="X43" s="705" t="n"/>
      <c r="Y43" s="705" t="n"/>
      <c r="Z43" s="1101">
        <f>(X46+X61)/X13</f>
        <v/>
      </c>
      <c r="AA43" s="705" t="n"/>
      <c r="AB43" s="705" t="n"/>
      <c r="AC43" s="1101">
        <f>(AA46+AA61)/AA13</f>
        <v/>
      </c>
      <c r="AD43" s="705" t="n"/>
      <c r="AE43" s="705" t="n"/>
      <c r="AF43" s="1101">
        <f>(AD46+AD61)/AD13</f>
        <v/>
      </c>
      <c r="AG43" s="705" t="n"/>
      <c r="AH43" s="705" t="n"/>
      <c r="AI43" s="1101">
        <f>(AG46+AG61)/AG13</f>
        <v/>
      </c>
      <c r="AJ43" s="705" t="n"/>
      <c r="AK43" s="705" t="n"/>
      <c r="AL43" s="705" t="n"/>
      <c r="AM43" s="706" t="n"/>
      <c r="AN43" s="705" t="n"/>
      <c r="AO43" s="1191">
        <f>(AM46+AM61)/AM13</f>
        <v/>
      </c>
      <c r="AP43" s="700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C44/C$13</f>
        <v/>
      </c>
      <c r="F44" s="491">
        <f>+F45+F60+F78</f>
        <v/>
      </c>
      <c r="G44" s="492" t="n"/>
      <c r="H44" s="1069">
        <f>F44/F$13</f>
        <v/>
      </c>
      <c r="I44" s="441">
        <f>+I45+I60+I78</f>
        <v/>
      </c>
      <c r="J44" s="442" t="n"/>
      <c r="K44" s="1103">
        <f>I44/I$13</f>
        <v/>
      </c>
      <c r="L44" s="441">
        <f>+L45+L60+L78</f>
        <v/>
      </c>
      <c r="M44" s="442" t="n"/>
      <c r="N44" s="1103">
        <f>L44/L$13</f>
        <v/>
      </c>
      <c r="O44" s="491">
        <f>+O45+O60+O78</f>
        <v/>
      </c>
      <c r="P44" s="492" t="n"/>
      <c r="Q44" s="1069" t="n"/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70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>
        <f>L45/L13</f>
        <v/>
      </c>
      <c r="O45" s="49">
        <f>+O46+O57</f>
        <v/>
      </c>
      <c r="P45" s="3" t="n"/>
      <c r="Q45" s="1053" t="n"/>
      <c r="R45" s="90">
        <f>+R46+R57</f>
        <v/>
      </c>
      <c r="S45" s="3" t="n"/>
      <c r="T45" s="1053">
        <f>R45/R13</f>
        <v/>
      </c>
      <c r="U45" s="90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>
        <f>X45/X13</f>
        <v/>
      </c>
      <c r="AA45" s="90">
        <f>+AA46+AA57</f>
        <v/>
      </c>
      <c r="AB45" s="3" t="n"/>
      <c r="AC45" s="1053">
        <f>AA45/AA13</f>
        <v/>
      </c>
      <c r="AD45" s="90">
        <f>+AD46+AD57</f>
        <v/>
      </c>
      <c r="AE45" s="3" t="n"/>
      <c r="AF45" s="1053">
        <f>AD45/AD13</f>
        <v/>
      </c>
      <c r="AG45" s="90">
        <f>+AG46+AG57</f>
        <v/>
      </c>
      <c r="AH45" s="3" t="n"/>
      <c r="AI45" s="1053">
        <f>AG45/AG13</f>
        <v/>
      </c>
      <c r="AJ45" s="49">
        <f>+AJ46+AJ57</f>
        <v/>
      </c>
      <c r="AK45" s="3" t="n"/>
      <c r="AL45" s="1053" t="n"/>
      <c r="AM45" s="16">
        <f>C45+F45+I45+L45+O45+R45+U45+X45+AA45+AD45+AG45+AJ45</f>
        <v/>
      </c>
      <c r="AN45" s="3" t="n"/>
      <c r="AO45" s="1054">
        <f>AM45/AM$13</f>
        <v/>
      </c>
    </row>
    <row r="46" ht="15" customHeight="1" s="986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>
        <f>AA46/AA13</f>
        <v/>
      </c>
      <c r="AD46" s="37">
        <f>SUM(AD47:AD56)</f>
        <v/>
      </c>
      <c r="AE46" s="67" t="n"/>
      <c r="AF46" s="1071">
        <f>AD46/AD13</f>
        <v/>
      </c>
      <c r="AG46" s="37">
        <f>SUM(AG47:AG56)</f>
        <v/>
      </c>
      <c r="AH46" s="67" t="n"/>
      <c r="AI46" s="1071">
        <f>AG46/AG13</f>
        <v/>
      </c>
      <c r="AJ46" s="37">
        <f>SUM(AJ47:AJ56)</f>
        <v/>
      </c>
      <c r="AK46" s="67" t="n"/>
      <c r="AL46" s="1071" t="n"/>
      <c r="AM46" s="211">
        <f>C46+F46+I46+L46+O46+R46+U46+X46+AA46+AD46+AG46+AJ46</f>
        <v/>
      </c>
      <c r="AN46" s="67" t="n"/>
      <c r="AO46" s="1072">
        <f>AM46/AM13</f>
        <v/>
      </c>
    </row>
    <row r="47" ht="15" customHeight="1" s="986">
      <c r="B47" s="258" t="inlineStr">
        <is>
          <t>COMPLEMENTO INDUSTRIALIZADO (Ins)</t>
        </is>
      </c>
      <c r="C47" s="76">
        <f>'[44]Hoja 1'!$D$35</f>
        <v/>
      </c>
      <c r="D47" s="42" t="n"/>
      <c r="E47" s="1057" t="n"/>
      <c r="F47" s="76">
        <f>'[45]Hoja 1'!$D$40</f>
        <v/>
      </c>
      <c r="G47" s="42" t="n"/>
      <c r="H47" s="1057" t="n"/>
      <c r="I47" s="76" t="n"/>
      <c r="J47" s="42" t="n"/>
      <c r="K47" s="1057" t="n"/>
      <c r="L47" s="76" t="n"/>
      <c r="M47" s="42" t="n"/>
      <c r="N47" s="1057" t="n"/>
      <c r="O47" s="76" t="n"/>
      <c r="P47" s="42" t="n"/>
      <c r="Q47" s="1057" t="n"/>
      <c r="R47" s="76" t="n"/>
      <c r="S47" s="42" t="n"/>
      <c r="T47" s="1057" t="n"/>
      <c r="U47" s="76" t="n"/>
      <c r="V47" s="42" t="n"/>
      <c r="W47" s="1057" t="n"/>
      <c r="X47" s="76" t="n"/>
      <c r="Y47" s="42" t="n"/>
      <c r="Z47" s="1057" t="n"/>
      <c r="AA47" s="76" t="n"/>
      <c r="AB47" s="42" t="n"/>
      <c r="AC47" s="1057" t="n"/>
      <c r="AD47" s="76" t="n"/>
      <c r="AE47" s="42" t="n"/>
      <c r="AF47" s="1057" t="n"/>
      <c r="AG47" s="76" t="n"/>
      <c r="AH47" s="42" t="n"/>
      <c r="AI47" s="1057" t="n"/>
      <c r="AJ47" s="76" t="n"/>
      <c r="AK47" s="42" t="n"/>
      <c r="AL47" s="1057" t="n"/>
      <c r="AM47" s="97">
        <f>C47+F47+I47+L47+O47+R47+U47+X47+AA47+AD47+AG47+AJ47</f>
        <v/>
      </c>
      <c r="AN47" s="42" t="n"/>
      <c r="AO47" s="1057" t="n"/>
    </row>
    <row r="48" ht="15" customHeight="1" s="986">
      <c r="B48" s="258" t="n"/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5" t="n"/>
    </row>
    <row r="49" ht="15" customHeight="1" s="986">
      <c r="B49" s="258" t="inlineStr">
        <is>
          <t>NOVEDADES</t>
        </is>
      </c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1045" t="n"/>
      <c r="AM49" s="205">
        <f>C49+F49+I49+L49+O49+R49+U49+X49+AA49+AD49+AG49+AJ49</f>
        <v/>
      </c>
      <c r="AN49" s="43" t="n"/>
      <c r="AO49" s="1046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1045" t="n"/>
      <c r="AM50" s="205">
        <f>C50+F50+I50+L50+O50+R50+U50+X50+AA50+AD50+AG50+AJ50</f>
        <v/>
      </c>
      <c r="AN50" s="43" t="n"/>
      <c r="AO50" s="1046" t="n"/>
    </row>
    <row r="51" ht="14.4" customHeight="1" s="986">
      <c r="B51" s="258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351" t="n"/>
      <c r="AE51" s="43" t="n"/>
      <c r="AF51" s="1045" t="n"/>
      <c r="AG51" s="1109" t="n"/>
      <c r="AH51" s="43" t="n"/>
      <c r="AI51" s="1045" t="n"/>
      <c r="AJ51" s="25" t="n"/>
      <c r="AK51" s="43" t="n"/>
      <c r="AL51" s="1045" t="n"/>
      <c r="AM51" s="205">
        <f>C51+F51+I51+L51+O51+R51+U51+X51+AA51+AD51+AG51+AJ51</f>
        <v/>
      </c>
      <c r="AN51" s="43" t="n"/>
      <c r="AO51" s="1046" t="n"/>
    </row>
    <row r="52" hidden="1" ht="10.2" customHeight="1" s="986">
      <c r="B52" s="411" t="inlineStr">
        <is>
          <t>REFRIGERIOS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1045" t="n"/>
      <c r="AM52" s="205">
        <f>C52+F52+I52+L52+O52+R52+U52+X52+AA52+AD52+AG52+AJ52</f>
        <v/>
      </c>
      <c r="AN52" s="43" t="n"/>
      <c r="AO52" s="1046" t="n"/>
    </row>
    <row r="53" hidden="1" ht="10.2" customHeight="1" s="986">
      <c r="B53" s="25" t="inlineStr">
        <is>
          <t>PAQUETES MANIPULADORAS</t>
        </is>
      </c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1045" t="n"/>
      <c r="AM53" s="205">
        <f>C53+F53+I53+L53+O53+R53+U53+X53+AA53+AD53+AG53+AJ53</f>
        <v/>
      </c>
      <c r="AN53" s="43" t="n"/>
      <c r="AO53" s="1046" t="n"/>
    </row>
    <row r="54" hidden="1" ht="10.2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1045" t="n"/>
      <c r="AM54" s="205">
        <f>C54+F54+I54+L54+O54+R54+U54+X54+AA54+AD54+AG54+AJ54</f>
        <v/>
      </c>
      <c r="AN54" s="43" t="n"/>
      <c r="AO54" s="1046" t="n"/>
    </row>
    <row r="55" hidden="1" ht="10.2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1045" t="n"/>
      <c r="AM55" s="205">
        <f>C55+F55+I55+L55+O55+R55+U55+X55+AA55+AD55+AG55+AJ55</f>
        <v/>
      </c>
      <c r="AN55" s="43" t="n"/>
      <c r="AO55" s="1046" t="n"/>
    </row>
    <row r="56" hidden="1" ht="10.2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1057" t="n"/>
      <c r="AM56" s="97" t="n"/>
      <c r="AN56" s="42" t="n"/>
      <c r="AO56" s="1058" t="n"/>
    </row>
    <row r="57" hidden="1" ht="10.2" customHeight="1" s="986">
      <c r="B57" s="36" t="inlineStr">
        <is>
          <t>FLETES CI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47">
        <f>L57/L12</f>
        <v/>
      </c>
      <c r="N57" s="1049">
        <f>L57/L13</f>
        <v/>
      </c>
      <c r="O57" s="46">
        <f>SUM(O58:O59)</f>
        <v/>
      </c>
      <c r="P57" s="47">
        <f>O57/O12</f>
        <v/>
      </c>
      <c r="Q57" s="1049">
        <f>O57/O13</f>
        <v/>
      </c>
      <c r="R57" s="46">
        <f>SUM(R58:R59)</f>
        <v/>
      </c>
      <c r="S57" s="47">
        <f>R57/R12</f>
        <v/>
      </c>
      <c r="T57" s="1049">
        <f>R57/R13</f>
        <v/>
      </c>
      <c r="U57" s="46">
        <f>SUM(U58:U59)</f>
        <v/>
      </c>
      <c r="V57" s="47">
        <f>U57/U12</f>
        <v/>
      </c>
      <c r="W57" s="1049">
        <f>U57/U13</f>
        <v/>
      </c>
      <c r="X57" s="46">
        <f>SUM(X58:X59)</f>
        <v/>
      </c>
      <c r="Y57" s="47">
        <f>X57/X12</f>
        <v/>
      </c>
      <c r="Z57" s="1049">
        <f>X57/X13</f>
        <v/>
      </c>
      <c r="AA57" s="46">
        <f>SUM(AA58:AA59)</f>
        <v/>
      </c>
      <c r="AB57" s="47">
        <f>AA57/AA12</f>
        <v/>
      </c>
      <c r="AC57" s="1049">
        <f>AA57/AA13</f>
        <v/>
      </c>
      <c r="AD57" s="46">
        <f>SUM(AD58:AD59)</f>
        <v/>
      </c>
      <c r="AE57" s="47">
        <f>AD57/AD12</f>
        <v/>
      </c>
      <c r="AF57" s="1049">
        <f>AD57/AD13</f>
        <v/>
      </c>
      <c r="AG57" s="46">
        <f>SUM(AG58:AG59)</f>
        <v/>
      </c>
      <c r="AH57" s="47">
        <f>AG57/AG12</f>
        <v/>
      </c>
      <c r="AI57" s="1049">
        <f>AG57/AG13</f>
        <v/>
      </c>
      <c r="AJ57" s="46">
        <f>SUM(AJ58:AJ59)</f>
        <v/>
      </c>
      <c r="AK57" s="47" t="n"/>
      <c r="AL57" s="1049" t="n"/>
      <c r="AM57" s="207">
        <f>C57+F57+I57+L57+O57+R57+U57+X57+AA57+AD57+AG57+AJ57</f>
        <v/>
      </c>
      <c r="AN57" s="47">
        <f>AM57/AM12</f>
        <v/>
      </c>
      <c r="AO57" s="1049">
        <f>AM57/AM13</f>
        <v/>
      </c>
    </row>
    <row r="58" hidden="1" ht="10.2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1111" t="n"/>
      <c r="AM58" s="414">
        <f>C58+F58+I58+L58+O58+R58+U58+X58+AA58+AD58+AG58+AJ58</f>
        <v/>
      </c>
      <c r="AN58" s="305" t="n"/>
      <c r="AO58" s="1112" t="n"/>
    </row>
    <row r="59" hidden="1" ht="10.2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>
        <f>F59/F12</f>
        <v/>
      </c>
      <c r="H59" s="1047">
        <f>F59/F13</f>
        <v/>
      </c>
      <c r="I59" s="83" t="n"/>
      <c r="J59" s="84">
        <f>I59/I12</f>
        <v/>
      </c>
      <c r="K59" s="1047">
        <f>I59/I13</f>
        <v/>
      </c>
      <c r="L59" s="83" t="n"/>
      <c r="M59" s="84">
        <f>L59/L12</f>
        <v/>
      </c>
      <c r="N59" s="1047">
        <f>L59/L13</f>
        <v/>
      </c>
      <c r="O59" s="83" t="n"/>
      <c r="P59" s="84">
        <f>O59/O12</f>
        <v/>
      </c>
      <c r="Q59" s="1047">
        <f>O59/O13</f>
        <v/>
      </c>
      <c r="R59" s="83" t="n"/>
      <c r="S59" s="84">
        <f>R59/R12</f>
        <v/>
      </c>
      <c r="T59" s="1047">
        <f>R59/R13</f>
        <v/>
      </c>
      <c r="U59" s="83" t="n"/>
      <c r="V59" s="84">
        <f>U59/U12</f>
        <v/>
      </c>
      <c r="W59" s="1047">
        <f>U59/U13</f>
        <v/>
      </c>
      <c r="X59" s="83" t="n"/>
      <c r="Y59" s="84">
        <f>X59/X12</f>
        <v/>
      </c>
      <c r="Z59" s="1047">
        <f>X59/X13</f>
        <v/>
      </c>
      <c r="AA59" s="83" t="n"/>
      <c r="AB59" s="84">
        <f>AA59/AA12</f>
        <v/>
      </c>
      <c r="AC59" s="1047">
        <f>AA59/AA13</f>
        <v/>
      </c>
      <c r="AD59" s="83" t="n"/>
      <c r="AE59" s="84">
        <f>AD59/AD12</f>
        <v/>
      </c>
      <c r="AF59" s="1047">
        <f>AD59/AD13</f>
        <v/>
      </c>
      <c r="AG59" s="83" t="n"/>
      <c r="AH59" s="84">
        <f>AG59/AG12</f>
        <v/>
      </c>
      <c r="AI59" s="1047">
        <f>AG59/AG13</f>
        <v/>
      </c>
      <c r="AJ59" s="83" t="n"/>
      <c r="AK59" s="84" t="n"/>
      <c r="AL59" s="1047" t="n"/>
      <c r="AM59" s="206">
        <f>C59+F59+I59+L59+O59+R59+U59+X59+AA59+AD59+AG59+AJ59</f>
        <v/>
      </c>
      <c r="AN59" s="84" t="n"/>
      <c r="AO59" s="1114" t="n"/>
    </row>
    <row r="60" ht="15" customHeight="1" s="986">
      <c r="B60" s="16" t="inlineStr">
        <is>
          <t>COSTOS PREPARADOS</t>
        </is>
      </c>
      <c r="C60" s="49">
        <f>+C61+C72+C75+C76+C77</f>
        <v/>
      </c>
      <c r="D60" s="3" t="n"/>
      <c r="E60" s="1049" t="n"/>
      <c r="F60" s="49">
        <f>+F61+F72+F75+F76+F77</f>
        <v/>
      </c>
      <c r="G60" s="3" t="n"/>
      <c r="H60" s="1049">
        <f>F60/F13</f>
        <v/>
      </c>
      <c r="I60" s="49">
        <f>+I61+I72+I75+I76+I77</f>
        <v/>
      </c>
      <c r="J60" s="3" t="n"/>
      <c r="K60" s="1049">
        <f>I60/I13</f>
        <v/>
      </c>
      <c r="L60" s="49">
        <f>+L61+L72+L75+L76+L77</f>
        <v/>
      </c>
      <c r="M60" s="3" t="n"/>
      <c r="N60" s="1049">
        <f>L60/L13</f>
        <v/>
      </c>
      <c r="O60" s="49">
        <f>+O61+O72+O75+O76+O77</f>
        <v/>
      </c>
      <c r="P60" s="3" t="n"/>
      <c r="Q60" s="1049">
        <f>O60/O13</f>
        <v/>
      </c>
      <c r="R60" s="90">
        <f>+R61+R72+R75+R76+R77</f>
        <v/>
      </c>
      <c r="S60" s="3" t="n"/>
      <c r="T60" s="1049">
        <f>R60/R13</f>
        <v/>
      </c>
      <c r="U60" s="90">
        <f>+U61+U72+U75+U76+U77</f>
        <v/>
      </c>
      <c r="V60" s="3" t="n"/>
      <c r="W60" s="1049">
        <f>U60/U13</f>
        <v/>
      </c>
      <c r="X60" s="49">
        <f>+X61+X72+X75+X76+X77</f>
        <v/>
      </c>
      <c r="Y60" s="3" t="n"/>
      <c r="Z60" s="1049" t="n"/>
      <c r="AA60" s="90">
        <f>+AA61+AA72+AA75+AA76+AA77</f>
        <v/>
      </c>
      <c r="AB60" s="3" t="n"/>
      <c r="AC60" s="1049">
        <f>AA60/AA13</f>
        <v/>
      </c>
      <c r="AD60" s="90">
        <f>+AD61+AD72+AD75+AD76+AD77</f>
        <v/>
      </c>
      <c r="AE60" s="3" t="n"/>
      <c r="AF60" s="1049">
        <f>AD60/AD13</f>
        <v/>
      </c>
      <c r="AG60" s="90">
        <f>+AG61+AG72+AG75+AG76+AG77</f>
        <v/>
      </c>
      <c r="AH60" s="3" t="n"/>
      <c r="AI60" s="1049" t="n"/>
      <c r="AJ60" s="49">
        <f>+AJ61+AJ72+AJ75+AJ76+AJ77</f>
        <v/>
      </c>
      <c r="AK60" s="3" t="n"/>
      <c r="AL60" s="1053" t="n"/>
      <c r="AM60" s="16">
        <f>C60+F60+I60+L60+O60+R60+U60+X60+AA60+AD60+AG60+AJ60</f>
        <v/>
      </c>
      <c r="AN60" s="3" t="n"/>
      <c r="AO60" s="1049" t="n"/>
    </row>
    <row r="61" ht="15" customHeight="1" s="986">
      <c r="B61" s="36" t="inlineStr">
        <is>
          <t>INSUMOS CP</t>
        </is>
      </c>
      <c r="C61" s="37">
        <f>SUM(C62:C71)</f>
        <v/>
      </c>
      <c r="D61" s="67" t="n"/>
      <c r="E61" s="1071" t="n"/>
      <c r="F61" s="46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 t="n"/>
      <c r="Q61" s="1071" t="n"/>
      <c r="R61" s="37">
        <f>SUM(R62:R71)</f>
        <v/>
      </c>
      <c r="S61" s="67" t="n"/>
      <c r="T61" s="1071" t="n"/>
      <c r="U61" s="37">
        <f>SUM(U62:U71)</f>
        <v/>
      </c>
      <c r="V61" s="67" t="n"/>
      <c r="W61" s="1071" t="n"/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>
        <f>AA61/AA13</f>
        <v/>
      </c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1071" t="n"/>
      <c r="AM61" s="211">
        <f>C61+F61+I61+L61+O61+R61+U61+X61+AA61+AD61+AG61+AJ61</f>
        <v/>
      </c>
      <c r="AN61" s="67" t="n"/>
      <c r="AO61" s="1072" t="n"/>
    </row>
    <row r="62" ht="15" customHeight="1" s="986">
      <c r="B62" s="258" t="inlineStr">
        <is>
          <t>COMPLEMENTO PREPARADO (Ins)</t>
        </is>
      </c>
      <c r="C62" s="78">
        <f>'[44]Hoja 1'!$D$26+'[44]Hoja 1'!$D$34</f>
        <v/>
      </c>
      <c r="D62" s="79">
        <f>C62/C6</f>
        <v/>
      </c>
      <c r="E62" s="1055">
        <f>C62/C17</f>
        <v/>
      </c>
      <c r="F62" s="78">
        <f>'[45]Hoja 1'!$D$39</f>
        <v/>
      </c>
      <c r="G62" s="79">
        <f>F62/F6</f>
        <v/>
      </c>
      <c r="H62" s="1055">
        <f>F62/F17</f>
        <v/>
      </c>
      <c r="I62" s="78" t="n"/>
      <c r="J62" s="79">
        <f>I62/I6</f>
        <v/>
      </c>
      <c r="K62" s="1055">
        <f>I62/I17</f>
        <v/>
      </c>
      <c r="L62" s="78" t="n"/>
      <c r="M62" s="79">
        <f>L62/L6</f>
        <v/>
      </c>
      <c r="N62" s="1055">
        <f>L62/L17</f>
        <v/>
      </c>
      <c r="O62" s="78" t="n"/>
      <c r="P62" s="79">
        <f>O62/O6</f>
        <v/>
      </c>
      <c r="Q62" s="1055">
        <f>O62/O17</f>
        <v/>
      </c>
      <c r="R62" s="78" t="n"/>
      <c r="S62" s="79">
        <f>R62/R6</f>
        <v/>
      </c>
      <c r="T62" s="1055">
        <f>R62/R17</f>
        <v/>
      </c>
      <c r="U62" s="78" t="n"/>
      <c r="V62" s="79">
        <f>U62/U6</f>
        <v/>
      </c>
      <c r="W62" s="1055">
        <f>U62/U17</f>
        <v/>
      </c>
      <c r="X62" s="78" t="n"/>
      <c r="Y62" s="79">
        <f>X62/X6</f>
        <v/>
      </c>
      <c r="Z62" s="1055">
        <f>X62/X17</f>
        <v/>
      </c>
      <c r="AA62" s="78" t="n"/>
      <c r="AB62" s="79">
        <f>AA62/AA6</f>
        <v/>
      </c>
      <c r="AC62" s="1055">
        <f>AA62/AA17</f>
        <v/>
      </c>
      <c r="AD62" s="78" t="n"/>
      <c r="AE62" s="79">
        <f>AD62/AD6</f>
        <v/>
      </c>
      <c r="AF62" s="1055">
        <f>AD62/AD17</f>
        <v/>
      </c>
      <c r="AG62" s="78" t="n"/>
      <c r="AH62" s="79">
        <f>AG62/AG6</f>
        <v/>
      </c>
      <c r="AI62" s="1055">
        <f>AG62/AG17</f>
        <v/>
      </c>
      <c r="AJ62" s="78" t="n"/>
      <c r="AK62" s="79" t="n"/>
      <c r="AL62" s="1055" t="n"/>
      <c r="AM62" s="212">
        <f>C62+F62+I62+L62+O62+R62+U62+X62+AA62+AD62+AG62+AJ62</f>
        <v/>
      </c>
      <c r="AN62" s="79">
        <f>AM62/AM6</f>
        <v/>
      </c>
      <c r="AO62" s="1055">
        <f>AM62/AM17</f>
        <v/>
      </c>
    </row>
    <row r="63" ht="15" customHeight="1" s="986">
      <c r="B63" s="258" t="inlineStr">
        <is>
          <t>ALMUERZO JORNADA UNICA (Ins)</t>
        </is>
      </c>
      <c r="C63" s="25">
        <f>'[44]Hoja 1'!$D$30+'[44]Hoja 1'!$D$36</f>
        <v/>
      </c>
      <c r="D63" s="43">
        <f>C63/C7</f>
        <v/>
      </c>
      <c r="E63" s="1045">
        <f>C63/C18</f>
        <v/>
      </c>
      <c r="F63" s="25">
        <f>'[45]Hoja 1'!$D$41</f>
        <v/>
      </c>
      <c r="G63" s="43">
        <f>F63/F7</f>
        <v/>
      </c>
      <c r="H63" s="1045">
        <f>F63/F18</f>
        <v/>
      </c>
      <c r="I63" s="25" t="n"/>
      <c r="J63" s="43">
        <f>I63/I7</f>
        <v/>
      </c>
      <c r="K63" s="1045">
        <f>I63/I18</f>
        <v/>
      </c>
      <c r="L63" s="25" t="n"/>
      <c r="M63" s="43">
        <f>L63/L7</f>
        <v/>
      </c>
      <c r="N63" s="1045">
        <f>L63/L18</f>
        <v/>
      </c>
      <c r="O63" s="25" t="n"/>
      <c r="P63" s="43">
        <f>O63/O7</f>
        <v/>
      </c>
      <c r="Q63" s="1045">
        <f>O63/O18</f>
        <v/>
      </c>
      <c r="R63" s="25" t="n"/>
      <c r="S63" s="43">
        <f>R63/R7</f>
        <v/>
      </c>
      <c r="T63" s="1045">
        <f>R63/R18</f>
        <v/>
      </c>
      <c r="U63" s="25" t="n"/>
      <c r="V63" s="43">
        <f>U63/U7</f>
        <v/>
      </c>
      <c r="W63" s="1045">
        <f>U63/U18</f>
        <v/>
      </c>
      <c r="X63" s="25" t="n"/>
      <c r="Y63" s="43">
        <f>X63/X7</f>
        <v/>
      </c>
      <c r="Z63" s="1045">
        <f>X63/X18</f>
        <v/>
      </c>
      <c r="AA63" s="25" t="n"/>
      <c r="AB63" s="43">
        <f>AA63/AA7</f>
        <v/>
      </c>
      <c r="AC63" s="1045">
        <f>AA63/AA18</f>
        <v/>
      </c>
      <c r="AD63" s="25" t="n"/>
      <c r="AE63" s="43">
        <f>AD63/AD7</f>
        <v/>
      </c>
      <c r="AF63" s="1045">
        <f>AD63/AD18</f>
        <v/>
      </c>
      <c r="AG63" s="25" t="n"/>
      <c r="AH63" s="43">
        <f>AG63/AG7</f>
        <v/>
      </c>
      <c r="AI63" s="1045">
        <f>AG63/AG18</f>
        <v/>
      </c>
      <c r="AJ63" s="25" t="n"/>
      <c r="AK63" s="43" t="n"/>
      <c r="AL63" s="1045" t="n"/>
      <c r="AM63" s="205">
        <f>C63+F63+I63+L63+O63+R63+U63+X63+AA63+AD63+AG63+AJ63</f>
        <v/>
      </c>
      <c r="AN63" s="43">
        <f>AM63/AM7</f>
        <v/>
      </c>
      <c r="AO63" s="1045">
        <f>AM63/AM18</f>
        <v/>
      </c>
    </row>
    <row r="64" ht="15" customHeight="1" s="986">
      <c r="B64" s="25" t="n"/>
      <c r="C64" s="82" t="n"/>
      <c r="D64" s="43" t="n"/>
      <c r="E64" s="1045" t="n"/>
      <c r="F64" s="82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1045" t="n"/>
      <c r="AM64" s="205">
        <f>C64+F64+I64+L64+O64+R64+U64+X64+AA64+AD64+AG64+AJ64</f>
        <v/>
      </c>
      <c r="AN64" s="43" t="n"/>
      <c r="AO64" s="1046" t="n"/>
    </row>
    <row r="65" ht="15" customHeight="1" s="986">
      <c r="B65" s="258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1045" t="n"/>
      <c r="AM65" s="205">
        <f>C65+F65+I65+L65+O65+R65+U65+X65+AA65+AD65+AG65+AJ65</f>
        <v/>
      </c>
      <c r="AN65" s="43" t="n"/>
      <c r="AO65" s="1046" t="n"/>
    </row>
    <row r="66" ht="15" customFormat="1" customHeight="1" s="108">
      <c r="A66" s="229" t="n"/>
      <c r="B66" s="411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1045" t="n"/>
      <c r="AM66" s="205">
        <f>C66+F66+I66+L66+O66+R66+U66+X66+AA66+AD66+AG66+AJ66</f>
        <v/>
      </c>
      <c r="AN66" s="43" t="n"/>
      <c r="AO66" s="1046" t="n"/>
    </row>
    <row r="67" hidden="1" ht="10.2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1045" t="n"/>
      <c r="AM67" s="205" t="n"/>
      <c r="AN67" s="43" t="n"/>
      <c r="AO67" s="1046" t="n"/>
    </row>
    <row r="68" hidden="1" ht="10.2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1045" t="n"/>
      <c r="AM68" s="205" t="n"/>
      <c r="AN68" s="43" t="n"/>
      <c r="AO68" s="1046" t="n"/>
    </row>
    <row r="69" hidden="1" ht="10.2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1045" t="n"/>
      <c r="AM69" s="205" t="n"/>
      <c r="AN69" s="43" t="n"/>
      <c r="AO69" s="1046" t="n"/>
    </row>
    <row r="70" hidden="1" ht="10.2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1045" t="n"/>
      <c r="AM70" s="205" t="n"/>
      <c r="AN70" s="43" t="n"/>
      <c r="AO70" s="1046" t="n"/>
    </row>
    <row r="71" hidden="1" ht="10.2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1047" t="n"/>
      <c r="AM71" s="206">
        <f>C71+F71+I71+L71+O71+R71+U71+X71+AA71+AD71+AG71+AJ71</f>
        <v/>
      </c>
      <c r="AN71" s="84" t="n"/>
      <c r="AO71" s="1048" t="n"/>
    </row>
    <row r="72" ht="15" customHeight="1" s="986">
      <c r="B72" s="36" t="inlineStr">
        <is>
          <t>FLETES CP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 t="n"/>
      <c r="AL72" s="1071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78">
        <f>'GASTOS VEHICULOS'!C25*'%DIST'!B23</f>
        <v/>
      </c>
      <c r="D73" s="79" t="n"/>
      <c r="E73" s="1055" t="n"/>
      <c r="F73" s="304">
        <f>'GASTOS VEHICULOS'!D25*'%DIST'!D23</f>
        <v/>
      </c>
      <c r="G73" s="305" t="n"/>
      <c r="H73" s="1111" t="n"/>
      <c r="I73" s="304">
        <f>'GASTOS VEHICULOS'!E25*'%DIST'!F23</f>
        <v/>
      </c>
      <c r="J73" s="305" t="n"/>
      <c r="K73" s="1111" t="n"/>
      <c r="L73" s="304">
        <f>'GASTOS VEHICULOS'!F25*'%DIST'!H23</f>
        <v/>
      </c>
      <c r="M73" s="305" t="n"/>
      <c r="N73" s="1111" t="n"/>
      <c r="O73" s="78">
        <f>'GASTOS VEHICULOS'!G25*'%DIST'!J23</f>
        <v/>
      </c>
      <c r="P73" s="305" t="n"/>
      <c r="Q73" s="1111" t="n"/>
      <c r="R73" s="304">
        <f>'GASTOS VEHICULOS'!H25*'%DIST'!L23</f>
        <v/>
      </c>
      <c r="S73" s="305" t="n"/>
      <c r="T73" s="1111" t="n"/>
      <c r="U73" s="304">
        <f>'GASTOS VEHICULOS'!I25*'%DIST'!N23</f>
        <v/>
      </c>
      <c r="V73" s="305" t="n"/>
      <c r="W73" s="1111" t="n"/>
      <c r="X73" s="78">
        <f>'GASTOS VEHICULOS'!J25*'%DIST'!P23</f>
        <v/>
      </c>
      <c r="Y73" s="305" t="n"/>
      <c r="Z73" s="1111" t="n"/>
      <c r="AA73" s="304">
        <f>'GASTOS VEHICULOS'!K25*'%DIST'!R23</f>
        <v/>
      </c>
      <c r="AB73" s="305" t="n"/>
      <c r="AC73" s="1111" t="n"/>
      <c r="AD73" s="304">
        <f>'GASTOS VEHICULOS'!L25*'%DIST'!T23</f>
        <v/>
      </c>
      <c r="AE73" s="305" t="n"/>
      <c r="AF73" s="1111" t="n"/>
      <c r="AG73" s="304">
        <f>'GASTOS VEHICULOS'!M25*'%DIST'!V23</f>
        <v/>
      </c>
      <c r="AH73" s="305" t="n"/>
      <c r="AI73" s="1111" t="n"/>
      <c r="AJ73" s="304" t="n"/>
      <c r="AK73" s="305" t="n"/>
      <c r="AL73" s="1111" t="n"/>
      <c r="AM73" s="414">
        <f>C73+F73+I73+L73+O73+R73+U73+X73+AA73+AD73+AG73+AJ73</f>
        <v/>
      </c>
      <c r="AN73" s="305" t="n"/>
      <c r="AO73" s="1117" t="n"/>
    </row>
    <row r="74" ht="15" customHeight="1" s="986">
      <c r="A74" s="226" t="inlineStr">
        <is>
          <t xml:space="preserve">73355001            </t>
        </is>
      </c>
      <c r="B74" s="416" t="inlineStr">
        <is>
          <t>PREPARADOS TERCEROS</t>
        </is>
      </c>
      <c r="C74" s="83">
        <f>'[33]Hoja 1'!$C$105</f>
        <v/>
      </c>
      <c r="D74" s="134" t="n"/>
      <c r="E74" s="1118" t="n"/>
      <c r="F74" s="83">
        <f>'[20]Hoja 1'!$C$471+'[36]Hoja 1'!$C$218</f>
        <v/>
      </c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1047" t="n"/>
      <c r="AM74" s="206">
        <f>C74+F74+I74+L74+O74+R74+U74+X74+AA74+AD74+AG74+AJ74</f>
        <v/>
      </c>
      <c r="AN74" s="84" t="n"/>
      <c r="AO74" s="1047" t="n"/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1071" t="n"/>
      <c r="AM75" s="211">
        <f>C75+F75+I75+L75+O75+R75+U75+X75+AA75+AD75+AG75+AJ75</f>
        <v/>
      </c>
      <c r="AN75" s="67" t="n"/>
      <c r="AO75" s="1072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'[17]Hoja 1'!$C$453+'[33]Hoja 1'!$C$54</f>
        <v/>
      </c>
      <c r="D76" s="67" t="n"/>
      <c r="E76" s="1071" t="n"/>
      <c r="F76" s="37">
        <f>'[20]Hoja 1'!$C$428</f>
        <v/>
      </c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1071" t="n"/>
      <c r="AM76" s="211">
        <f>C76+F76+I76+L76+O76+R76+U76+X76+AA76+AD76+AG76+AJ76</f>
        <v/>
      </c>
      <c r="AN76" s="67" t="n"/>
      <c r="AO76" s="1075">
        <f>AM76/$AM$13</f>
        <v/>
      </c>
    </row>
    <row r="77" ht="15" customHeight="1" s="98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'[17]Hoja 1'!$C$498+'[33]Hoja 1'!$C$107</f>
        <v/>
      </c>
      <c r="D77" s="45" t="n"/>
      <c r="E77" s="1071" t="n"/>
      <c r="F77" s="28">
        <f>'[36]Hoja 1'!$C$220</f>
        <v/>
      </c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1071" t="n"/>
      <c r="AM77" s="26">
        <f>C77+F77+I77+L77+O77+R77+U77+X77+AA77+AD77+AG77+AJ77</f>
        <v/>
      </c>
      <c r="AN77" s="42">
        <f>AM77/(AM6+AM7)</f>
        <v/>
      </c>
      <c r="AO77" s="1075">
        <f>AM77/$AM$13</f>
        <v/>
      </c>
    </row>
    <row r="78" ht="15" customHeight="1" s="986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053">
        <f>C78/$C$13</f>
        <v/>
      </c>
      <c r="F78" s="93">
        <f>SUM(F79:F81)</f>
        <v/>
      </c>
      <c r="G78" s="3">
        <f>F78/F$12</f>
        <v/>
      </c>
      <c r="H78" s="1053">
        <f>F78/F13</f>
        <v/>
      </c>
      <c r="I78" s="93">
        <f>SUM(I79:I81)</f>
        <v/>
      </c>
      <c r="J78" s="3">
        <f>I78/I$12</f>
        <v/>
      </c>
      <c r="K78" s="1053">
        <f>I78/(I$13)</f>
        <v/>
      </c>
      <c r="L78" s="49">
        <f>SUM(L79:L81)</f>
        <v/>
      </c>
      <c r="M78" s="3">
        <f>L78/L$12</f>
        <v/>
      </c>
      <c r="N78" s="1053">
        <f>L78/(L$13)</f>
        <v/>
      </c>
      <c r="O78" s="49">
        <f>SUM(O79:O81)</f>
        <v/>
      </c>
      <c r="P78" s="3">
        <f>O78/O$12</f>
        <v/>
      </c>
      <c r="Q78" s="1053">
        <f>O78/(O$13)</f>
        <v/>
      </c>
      <c r="R78" s="90">
        <f>SUM(R79:R81)</f>
        <v/>
      </c>
      <c r="S78" s="3">
        <f>R78/R$12</f>
        <v/>
      </c>
      <c r="T78" s="1053">
        <f>R78/(R$13)</f>
        <v/>
      </c>
      <c r="U78" s="49">
        <f>SUM(U79:U81)</f>
        <v/>
      </c>
      <c r="V78" s="3">
        <f>U78/U$12</f>
        <v/>
      </c>
      <c r="W78" s="1053">
        <f>U78/(U$13)</f>
        <v/>
      </c>
      <c r="X78" s="49">
        <f>SUM(X79:X81)</f>
        <v/>
      </c>
      <c r="Y78" s="3">
        <f>X78/X$12</f>
        <v/>
      </c>
      <c r="Z78" s="1053">
        <f>X78/(X$13)</f>
        <v/>
      </c>
      <c r="AA78" s="49">
        <f>SUM(AA79:AA81)</f>
        <v/>
      </c>
      <c r="AB78" s="3">
        <f>AA78/AA$12</f>
        <v/>
      </c>
      <c r="AC78" s="1053">
        <f>AA78/(AA$13)</f>
        <v/>
      </c>
      <c r="AD78" s="49">
        <f>SUM(AD79:AD81)</f>
        <v/>
      </c>
      <c r="AE78" s="3">
        <f>AD78/AD$12</f>
        <v/>
      </c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1053" t="n"/>
      <c r="AM78" s="16">
        <f>C78+F78+I78+L78+O78+R78+U78+X78+AA78+AD78+AG78+AJ78</f>
        <v/>
      </c>
      <c r="AN78" s="3">
        <f>AM78/AM$12</f>
        <v/>
      </c>
      <c r="AO78" s="1076">
        <f>AM78/(AM$13)</f>
        <v/>
      </c>
    </row>
    <row r="79" ht="15" customHeight="1" s="986">
      <c r="B79" s="474" t="inlineStr">
        <is>
          <t>Manipuladoras</t>
        </is>
      </c>
      <c r="C79" s="39">
        <f>'[53]Hoja 1'!$I$12+'[4]Hoja 1'!$I$26</f>
        <v/>
      </c>
      <c r="D79" s="267" t="n"/>
      <c r="E79" s="139" t="n"/>
      <c r="F79" s="39">
        <f>'[13]Hoja 1'!$I$20-16825149+'[14]Hoja 1'!$D$21+'[54]Hoja 1'!$C$23</f>
        <v/>
      </c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5" t="n"/>
      <c r="AH79" s="267" t="n"/>
      <c r="AI79" s="139" t="n"/>
      <c r="AJ79" s="7" t="n"/>
      <c r="AK79" s="69" t="n"/>
      <c r="AL79" s="1077" t="n"/>
      <c r="AM79" s="205">
        <f>C79+F79+I79+L79+O79+R79+U79+X79+AA79+AD79+AG79+AJ79</f>
        <v/>
      </c>
      <c r="AN79" s="4">
        <f>AM79/AM12</f>
        <v/>
      </c>
      <c r="AO79" s="1078">
        <f>AM79/(AM$13)</f>
        <v/>
      </c>
      <c r="AP79" s="698" t="n">
        <v>267.3668938193774</v>
      </c>
    </row>
    <row r="80" ht="15" customHeight="1" s="986">
      <c r="B80" s="475" t="inlineStr">
        <is>
          <t>Personal Supervisor - Coordinadores</t>
        </is>
      </c>
      <c r="C80" s="25">
        <f>'[1]Hoja 1'!$D$21+'[53]Hoja 1'!$I$11+'[4]Hoja 1'!$I$24</f>
        <v/>
      </c>
      <c r="D80" s="43" t="n"/>
      <c r="E80" s="1045" t="n"/>
      <c r="F80" s="25">
        <f>'[9]Hoja 1'!$D$22+'[13]Hoja 1'!$I$19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1045" t="n"/>
      <c r="AM80" s="205">
        <f>C80+F80+I80+L80+O80+R80+U80+X80+AA80+AD80+AG80+AJ80</f>
        <v/>
      </c>
      <c r="AN80" s="43">
        <f>AM80/AM12</f>
        <v/>
      </c>
      <c r="AO80" s="1046">
        <f>AM80/(AM$13)</f>
        <v/>
      </c>
    </row>
    <row r="81" ht="15" customHeight="1" s="986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'[17]Hoja 1'!$C$436+'[21]Hoja 1'!$D$27</f>
        <v/>
      </c>
      <c r="D81" s="214" t="n"/>
      <c r="E81" s="1079" t="n"/>
      <c r="F81" s="269">
        <f>'[20]Hoja 1'!$C$403+'[20]Hoja 1'!$C$410</f>
        <v/>
      </c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1079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1067" t="n"/>
      <c r="AM82" s="136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 t="n"/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B85" s="284" t="inlineStr">
        <is>
          <t>Costos Indirectos de Personal</t>
        </is>
      </c>
      <c r="C85" s="39">
        <f>'[1]Hoja 1'!$D$20+'[55]Hoja 1'!$D$9+'[53]Hoja 1'!$I$9+'[23]Hoja 1'!$D$15+'[4]Hoja 1'!$D$16+'[4]Hoja 1'!$I$22</f>
        <v/>
      </c>
      <c r="D85" s="69" t="n"/>
      <c r="E85" s="1077" t="n"/>
      <c r="F85" s="39">
        <f>'[9]Hoja 1'!$D$21+'[26]Hoja 1'!$D$18-228123+'[13]Hoja 1'!$I$17-1342558</f>
        <v/>
      </c>
      <c r="G85" s="69" t="n"/>
      <c r="H85" s="1077" t="n"/>
      <c r="I85" s="39" t="n"/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077" t="n"/>
      <c r="AM85" s="209">
        <f>C85+F85+I85+L85+O85+R85+U85+X85+AA85+AD85+AG85+AJ85</f>
        <v/>
      </c>
      <c r="AN85" s="69" t="n"/>
      <c r="AO85" s="1077">
        <f>AM85/(AM$13)</f>
        <v/>
      </c>
    </row>
    <row r="86" ht="15" customHeight="1" s="986">
      <c r="A86" s="226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45" t="n"/>
      <c r="F86" s="25">
        <f>'[36]Hoja 1'!$C$151+'[36]Hoja 1'!$C$193</f>
        <v/>
      </c>
      <c r="G86" s="43" t="n"/>
      <c r="H86" s="1045" t="n"/>
      <c r="I86" s="25" t="n"/>
      <c r="J86" s="43" t="n"/>
      <c r="K86" s="57" t="n"/>
      <c r="L86" s="25" t="n"/>
      <c r="M86" s="43" t="n"/>
      <c r="N86" s="5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1" t="n"/>
      <c r="Y86" s="43" t="n"/>
      <c r="Z86" s="272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45" t="n"/>
      <c r="AM86" s="25">
        <f>C86+F86+I86+L86+O86+R86+U86+X86+AA86+AD86+AG86+AJ86</f>
        <v/>
      </c>
      <c r="AN86" s="43" t="n"/>
      <c r="AO86" s="1045">
        <f>AM86/AM13</f>
        <v/>
      </c>
    </row>
    <row r="87" ht="15" customHeight="1" s="986">
      <c r="B87" s="24" t="inlineStr">
        <is>
          <t>Gastos Medicos</t>
        </is>
      </c>
      <c r="C87" s="25">
        <f>'[17]Hoja 1'!$C$485+'[33]Hoja 1'!$C$88</f>
        <v/>
      </c>
      <c r="D87" s="43" t="n"/>
      <c r="E87" s="1045" t="n"/>
      <c r="F87" s="25">
        <f>'[20]Hoja 1'!$C$458</f>
        <v/>
      </c>
      <c r="G87" s="43" t="n"/>
      <c r="H87" s="1045" t="n"/>
      <c r="I87" s="25" t="n"/>
      <c r="J87" s="43" t="n"/>
      <c r="K87" s="57" t="n"/>
      <c r="L87" s="25" t="n"/>
      <c r="M87" s="43" t="n"/>
      <c r="N87" s="5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1" t="n"/>
      <c r="AH87" s="43" t="n"/>
      <c r="AI87" s="57" t="n"/>
      <c r="AJ87" s="25" t="n"/>
      <c r="AK87" s="43" t="n"/>
      <c r="AL87" s="1045" t="n"/>
      <c r="AM87" s="25">
        <f>C87+F87+I87+L87+O87+R87+U87+X87+AA87+AD87+AG87+AJ87</f>
        <v/>
      </c>
      <c r="AN87" s="43" t="n"/>
      <c r="AO87" s="1045">
        <f>AM87/(AM$13)</f>
        <v/>
      </c>
    </row>
    <row r="88" ht="15" customHeight="1" s="986">
      <c r="A88" s="226" t="inlineStr">
        <is>
          <t xml:space="preserve">53954002            </t>
        </is>
      </c>
      <c r="B88" s="430" t="inlineStr">
        <is>
          <t>Incapacidades</t>
        </is>
      </c>
      <c r="C88" s="273" t="n"/>
      <c r="D88" s="134" t="n"/>
      <c r="E88" s="1118" t="n"/>
      <c r="F88" s="273">
        <f>'[36]Hoja 1'!$C$167</f>
        <v/>
      </c>
      <c r="G88" s="134" t="n"/>
      <c r="H88" s="1118" t="n"/>
      <c r="I88" s="273" t="n"/>
      <c r="J88" s="134" t="n"/>
      <c r="K88" s="1118" t="n"/>
      <c r="L88" s="273" t="n"/>
      <c r="M88" s="134" t="n"/>
      <c r="N88" s="1118" t="n"/>
      <c r="O88" s="273" t="n"/>
      <c r="P88" s="134" t="n"/>
      <c r="Q88" s="1118" t="n"/>
      <c r="R88" s="273" t="n"/>
      <c r="S88" s="134" t="n"/>
      <c r="T88" s="1118" t="n"/>
      <c r="U88" s="273" t="n"/>
      <c r="V88" s="134" t="n"/>
      <c r="W88" s="1118" t="n"/>
      <c r="X88" s="273" t="n"/>
      <c r="Y88" s="134" t="n"/>
      <c r="Z88" s="1118" t="n"/>
      <c r="AA88" s="273" t="n"/>
      <c r="AB88" s="134" t="n"/>
      <c r="AC88" s="1118" t="n"/>
      <c r="AD88" s="273" t="n"/>
      <c r="AE88" s="134" t="n"/>
      <c r="AF88" s="1118" t="n"/>
      <c r="AG88" s="273" t="n"/>
      <c r="AH88" s="134" t="n"/>
      <c r="AI88" s="1118" t="n"/>
      <c r="AJ88" s="273" t="n"/>
      <c r="AK88" s="134" t="n"/>
      <c r="AL88" s="1118" t="n"/>
      <c r="AM88" s="430">
        <f>C88+F88+I88+L88+O88+R88+U88+X88+AA88+AD88+AG88+AJ88</f>
        <v/>
      </c>
      <c r="AN88" s="134" t="n"/>
      <c r="AO88" s="1048" t="n"/>
    </row>
    <row r="89" ht="15" customHeight="1" s="986">
      <c r="B89" s="16" t="inlineStr">
        <is>
          <t>HONORARIOS</t>
        </is>
      </c>
      <c r="C89" s="90">
        <f>SUM(C90:C91)</f>
        <v/>
      </c>
      <c r="D89" s="3" t="n"/>
      <c r="E89" s="1053">
        <f>C89/(C$13)</f>
        <v/>
      </c>
      <c r="F89" s="90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 t="n"/>
      <c r="AJ89" s="49">
        <f>SUM(AJ90:AJ91)</f>
        <v/>
      </c>
      <c r="AK89" s="3" t="n"/>
      <c r="AL89" s="1053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1077" t="n"/>
      <c r="AM90" s="209">
        <f>C90+F90+I90+L90+O90+R90+U90+X90+AA90+AD90+AG90+AJ90</f>
        <v/>
      </c>
      <c r="AN90" s="69" t="n"/>
      <c r="AO90" s="1082" t="n"/>
    </row>
    <row r="91" outlineLevel="1" ht="15" customHeight="1" s="986">
      <c r="B91" s="83" t="inlineStr">
        <is>
          <t>Asesoría Tecnica/Capacitacion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1047" t="n"/>
      <c r="AM91" s="206">
        <f>C91+F91+I91+L91+O91+R91+U91+X91+AA91+AD91+AG91+AJ91</f>
        <v/>
      </c>
      <c r="AN91" s="84" t="n"/>
      <c r="AO91" s="1048" t="n"/>
    </row>
    <row r="92" ht="15" customHeight="1" s="986">
      <c r="B92" s="16" t="inlineStr">
        <is>
          <t>ARRENDAMIENTOS</t>
        </is>
      </c>
      <c r="C92" s="90">
        <f>SUM(C93:C95)</f>
        <v/>
      </c>
      <c r="D92" s="3" t="n"/>
      <c r="E92" s="1053">
        <f>C92/(C$13)</f>
        <v/>
      </c>
      <c r="F92" s="90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 t="n"/>
      <c r="AJ92" s="49">
        <f>SUM(AJ93:AJ95)</f>
        <v/>
      </c>
      <c r="AK92" s="3" t="n"/>
      <c r="AL92" s="1053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>
        <f>'[17]Hoja 1'!$C$489</f>
        <v/>
      </c>
      <c r="D93" s="69" t="n"/>
      <c r="E93" s="1077" t="n"/>
      <c r="F93" s="39">
        <f>'[20]Hoja 1'!$C$462</f>
        <v/>
      </c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1077" t="n"/>
      <c r="AM93" s="209">
        <f>C93+F93+I93+L93+O93+R93+U93+X93+AA93+AD93+AG93+AJ93</f>
        <v/>
      </c>
      <c r="AN93" s="69" t="n"/>
      <c r="AO93" s="1082" t="n"/>
      <c r="AP93" s="1192" t="n"/>
    </row>
    <row r="94" outlineLevel="1" ht="15" customHeight="1" s="986">
      <c r="B94" s="39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1045" t="n"/>
      <c r="AM94" s="205">
        <f>C94+F94+I94+L94+O94+R94+U94+X94+AA94+AD94+AG94+AJ94</f>
        <v/>
      </c>
      <c r="AN94" s="43" t="n"/>
      <c r="AO94" s="1046" t="n"/>
    </row>
    <row r="95" outlineLevel="1" ht="15" customHeight="1" s="986">
      <c r="B95" s="39" t="inlineStr">
        <is>
          <t>Equipo de Oficina</t>
        </is>
      </c>
      <c r="C95" s="25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1073" t="n"/>
      <c r="AM95" s="26">
        <f>C95+F95+I95+L95+O95+R95+U95+X95+AA95+AD95+AG95+AJ95</f>
        <v/>
      </c>
      <c r="AN95" s="45" t="n"/>
      <c r="AO95" s="1083" t="n"/>
    </row>
    <row r="96" ht="15" customHeight="1" s="986">
      <c r="B96" s="106" t="inlineStr">
        <is>
          <t>SEGUROS</t>
        </is>
      </c>
      <c r="C96" s="90">
        <f>SUM(C97:C98)</f>
        <v/>
      </c>
      <c r="D96" s="3" t="n"/>
      <c r="E96" s="1053">
        <f>C96/(C$13)</f>
        <v/>
      </c>
      <c r="F96" s="90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1053" t="n"/>
      <c r="AM96" s="16">
        <f>C96+F96+I96+L96+O96+R96+U96+X96+AA96+AD96+AG96+AJ96</f>
        <v/>
      </c>
      <c r="AN96" s="3" t="n"/>
      <c r="AO96" s="1076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63">
        <f>'[47]Hoja 1'!$C$535+'[33]Hoja 1'!$C$92</f>
        <v/>
      </c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1077" t="n"/>
      <c r="AM97" s="209">
        <f>C97+F97+I97+L97+O97+R97+U97+X97+AA97+AD97+AG97+AJ97</f>
        <v/>
      </c>
      <c r="AN97" s="69" t="n"/>
      <c r="AO97" s="108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'[33]Hoja 1'!$C$94</f>
        <v/>
      </c>
      <c r="D98" s="276" t="n"/>
      <c r="E98" s="1084" t="n"/>
      <c r="F98" s="83" t="n"/>
      <c r="G98" s="84" t="n"/>
      <c r="H98" s="1047" t="n"/>
      <c r="I98" s="83" t="n"/>
      <c r="J98" s="84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1084" t="n"/>
      <c r="AM98" s="278">
        <f>C98+F98+I98+L98+O98+R98+U98+X98+AA98+AD98+AG98+AJ98</f>
        <v/>
      </c>
      <c r="AN98" s="276" t="n"/>
      <c r="AO98" s="1085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>
        <f>F99/(F$13)</f>
        <v/>
      </c>
      <c r="I99" s="49">
        <f>SUM(I100:I108)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1053" t="n"/>
      <c r="AM99" s="16">
        <f>C99+F99+I99+L99+O99+R99+U99+X99+AA99+AD99+AG99+AJ99</f>
        <v/>
      </c>
      <c r="AN99" s="3" t="n"/>
      <c r="AO99" s="1076">
        <f>AM99/(AM$13)</f>
        <v/>
      </c>
      <c r="AP99" s="1193" t="n">
        <v>1.051</v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077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6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45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45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45" t="n"/>
      <c r="F103" s="25">
        <f>'[36]Hoja 1'!C209</f>
        <v/>
      </c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1045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'[33]Hoja 1'!$C$97</f>
        <v/>
      </c>
      <c r="D104" s="43" t="n"/>
      <c r="E104" s="1045" t="n"/>
      <c r="F104" s="25">
        <f>'[36]Hoja 1'!C210</f>
        <v/>
      </c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1045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A105" s="226" t="inlineStr">
        <is>
          <t xml:space="preserve">73352501            </t>
        </is>
      </c>
      <c r="B105" s="25" t="inlineStr">
        <is>
          <t>Acueducto y Alcantarillado</t>
        </is>
      </c>
      <c r="C105" s="25">
        <f>'[17]Hoja 1'!$C$492+'[33]Hoja 1'!$C$99</f>
        <v/>
      </c>
      <c r="D105" s="43" t="n"/>
      <c r="E105" s="1045" t="n"/>
      <c r="F105" s="25">
        <f>'[20]Hoja 1'!$C$465+'[36]Hoja 1'!$C$212</f>
        <v/>
      </c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1045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A106" s="226" t="inlineStr">
        <is>
          <t xml:space="preserve">73353001            </t>
        </is>
      </c>
      <c r="B106" s="25" t="inlineStr">
        <is>
          <t>Energia</t>
        </is>
      </c>
      <c r="C106" s="25">
        <f>'[17]Hoja 1'!$C$494+'[33]Hoja 1'!$C$101</f>
        <v/>
      </c>
      <c r="D106" s="43" t="n"/>
      <c r="E106" s="1045" t="n"/>
      <c r="F106" s="25">
        <f>'[20]Hoja 1'!$C$467+'[36]Hoja 1'!$C$214</f>
        <v/>
      </c>
      <c r="G106" s="43" t="n"/>
      <c r="H106" s="1045" t="n"/>
      <c r="I106" s="25" t="n"/>
      <c r="J106" s="43" t="n"/>
      <c r="K106" s="1045" t="n"/>
      <c r="L106" s="25" t="n"/>
      <c r="M106" s="43" t="n"/>
      <c r="N106" s="1045" t="n"/>
      <c r="O106" s="25" t="n"/>
      <c r="P106" s="43" t="n"/>
      <c r="Q106" s="1045" t="n"/>
      <c r="R106" s="25" t="n"/>
      <c r="S106" s="43" t="n"/>
      <c r="T106" s="1045" t="n"/>
      <c r="U106" s="25" t="n"/>
      <c r="V106" s="43" t="n"/>
      <c r="W106" s="1045" t="n"/>
      <c r="X106" s="25" t="n"/>
      <c r="Y106" s="43" t="n"/>
      <c r="Z106" s="1045" t="n"/>
      <c r="AA106" s="25" t="n"/>
      <c r="AB106" s="43" t="n"/>
      <c r="AC106" s="1045" t="n"/>
      <c r="AD106" s="25" t="n"/>
      <c r="AE106" s="43" t="n"/>
      <c r="AF106" s="1045" t="n"/>
      <c r="AG106" s="25" t="n"/>
      <c r="AH106" s="43" t="n"/>
      <c r="AI106" s="1045" t="n"/>
      <c r="AJ106" s="25" t="n"/>
      <c r="AK106" s="43" t="n"/>
      <c r="AL106" s="1045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A107" s="226" t="inlineStr">
        <is>
          <t xml:space="preserve">73353501            </t>
        </is>
      </c>
      <c r="B107" s="205" t="inlineStr">
        <is>
          <t>Telefono e Internet</t>
        </is>
      </c>
      <c r="C107" s="25">
        <f>'[17]Hoja 1'!$C$496</f>
        <v/>
      </c>
      <c r="D107" s="43" t="n"/>
      <c r="E107" s="1045" t="n"/>
      <c r="F107" s="25">
        <f>'[20]Hoja 1'!$C$469</f>
        <v/>
      </c>
      <c r="G107" s="43" t="n"/>
      <c r="H107" s="1045" t="n"/>
      <c r="I107" s="25" t="n"/>
      <c r="J107" s="43" t="n"/>
      <c r="K107" s="1045" t="n"/>
      <c r="L107" s="25" t="n"/>
      <c r="M107" s="43" t="n"/>
      <c r="N107" s="1045" t="n"/>
      <c r="O107" s="25" t="n"/>
      <c r="P107" s="43" t="n"/>
      <c r="Q107" s="1045" t="n"/>
      <c r="R107" s="25" t="n"/>
      <c r="S107" s="43" t="n"/>
      <c r="T107" s="1045" t="n"/>
      <c r="U107" s="25" t="n"/>
      <c r="V107" s="43" t="n"/>
      <c r="W107" s="1045" t="n"/>
      <c r="X107" s="25" t="n"/>
      <c r="Y107" s="43" t="n"/>
      <c r="Z107" s="1045" t="n"/>
      <c r="AA107" s="25" t="n"/>
      <c r="AB107" s="43" t="n"/>
      <c r="AC107" s="1045" t="n"/>
      <c r="AD107" s="25" t="n"/>
      <c r="AE107" s="43" t="n"/>
      <c r="AF107" s="1045" t="n"/>
      <c r="AG107" s="25" t="n"/>
      <c r="AH107" s="43" t="n"/>
      <c r="AI107" s="1045" t="n"/>
      <c r="AJ107" s="25" t="n"/>
      <c r="AK107" s="43" t="n"/>
      <c r="AL107" s="1045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6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'[33]Hoja 1'!$C$103</f>
        <v/>
      </c>
      <c r="D108" s="42" t="n"/>
      <c r="E108" s="1057" t="n"/>
      <c r="F108" s="2">
        <f>'[36]Hoja 1'!$C$216</f>
        <v/>
      </c>
      <c r="G108" s="42" t="n"/>
      <c r="H108" s="1057" t="n"/>
      <c r="I108" s="2" t="n"/>
      <c r="J108" s="42" t="n"/>
      <c r="K108" s="1057" t="n"/>
      <c r="L108" s="2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" t="n"/>
      <c r="AH108" s="42" t="n"/>
      <c r="AI108" s="1057" t="n"/>
      <c r="AJ108" s="2" t="n"/>
      <c r="AK108" s="42" t="n"/>
      <c r="AL108" s="1057" t="n"/>
      <c r="AM108" s="97">
        <f>C108+F108+I108+L108+O108+R108+U108+X108+AA108+AD108+AG108+AJ108</f>
        <v/>
      </c>
      <c r="AN108" s="42" t="n"/>
      <c r="AO108" s="1058" t="n"/>
    </row>
    <row r="109" ht="15" customHeight="1" s="986">
      <c r="B109" s="16" t="inlineStr">
        <is>
          <t>GASTOS LEGALES</t>
        </is>
      </c>
      <c r="C109" s="90">
        <f>SUM(C110:C113)</f>
        <v/>
      </c>
      <c r="D109" s="3" t="n"/>
      <c r="E109" s="1053">
        <f>C109/(C$13)</f>
        <v/>
      </c>
      <c r="F109" s="90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 t="n"/>
      <c r="AJ109" s="49">
        <f>SUM(AJ110:AJ113)</f>
        <v/>
      </c>
      <c r="AK109" s="3" t="n"/>
      <c r="AL109" s="1053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1077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1045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1045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62">
        <f>'[47]Hoja 1'!$C$538</f>
        <v/>
      </c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1073" t="n"/>
      <c r="AM113" s="26">
        <f>C113+F113+I113+L113+O113+R113+U113+X113+AA113+AD113+AG113+AJ113</f>
        <v/>
      </c>
      <c r="AN113" s="45" t="n"/>
      <c r="AO113" s="1083" t="n"/>
    </row>
    <row r="114" ht="15" customHeight="1" s="98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1053">
        <f>F114/(F$13)</f>
        <v/>
      </c>
      <c r="I114" s="49">
        <f>SUM(I115:I119)</f>
        <v/>
      </c>
      <c r="J114" s="3" t="n"/>
      <c r="K114" s="1053">
        <f>I114/(I$13)</f>
        <v/>
      </c>
      <c r="L114" s="49">
        <f>SUM(L115:L119)</f>
        <v/>
      </c>
      <c r="M114" s="3" t="n"/>
      <c r="N114" s="1053">
        <f>L114/(L$13)</f>
        <v/>
      </c>
      <c r="O114" s="49">
        <f>SUM(O115:O119)</f>
        <v/>
      </c>
      <c r="P114" s="3" t="n"/>
      <c r="Q114" s="1053">
        <f>O114/(O$13)</f>
        <v/>
      </c>
      <c r="R114" s="90">
        <f>SUM(R115:R119)</f>
        <v/>
      </c>
      <c r="S114" s="3" t="n"/>
      <c r="T114" s="1053">
        <f>R114/(R$13)</f>
        <v/>
      </c>
      <c r="U114" s="49">
        <f>SUM(U115:U119)</f>
        <v/>
      </c>
      <c r="V114" s="3" t="n"/>
      <c r="W114" s="1053">
        <f>U114/(U$13)</f>
        <v/>
      </c>
      <c r="X114" s="49">
        <f>SUM(X115:X119)</f>
        <v/>
      </c>
      <c r="Y114" s="3" t="n"/>
      <c r="Z114" s="1053">
        <f>X114/(X$13)</f>
        <v/>
      </c>
      <c r="AA114" s="49">
        <f>SUM(AA115:AA119)</f>
        <v/>
      </c>
      <c r="AB114" s="3" t="n"/>
      <c r="AC114" s="1053">
        <f>AA114/(AA$13)</f>
        <v/>
      </c>
      <c r="AD114" s="49">
        <f>SUM(AD115:AD119)</f>
        <v/>
      </c>
      <c r="AE114" s="3" t="n"/>
      <c r="AF114" s="1053">
        <f>AD114/(AD$13)</f>
        <v/>
      </c>
      <c r="AG114" s="49">
        <f>SUM(AG115:AG119)</f>
        <v/>
      </c>
      <c r="AH114" s="3" t="n"/>
      <c r="AI114" s="1053" t="n"/>
      <c r="AJ114" s="49">
        <f>SUM(AJ115:AJ119)</f>
        <v/>
      </c>
      <c r="AK114" s="3" t="n"/>
      <c r="AL114" s="1053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6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077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902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55" t="n"/>
      <c r="AJ115" s="786" t="n"/>
      <c r="AK115" s="79" t="n"/>
      <c r="AL115" s="1077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6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45" t="n"/>
      <c r="AJ116" s="25" t="n"/>
      <c r="AK116" s="43" t="n"/>
      <c r="AL116" s="1045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'[33]Hoja 1'!$C$112</f>
        <v/>
      </c>
      <c r="D117" s="43" t="n"/>
      <c r="E117" s="1045" t="n"/>
      <c r="F117" s="25">
        <f>'[36]Hoja 1'!$C$223</f>
        <v/>
      </c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45" t="n"/>
      <c r="AJ117" s="25" t="n"/>
      <c r="AK117" s="43" t="n"/>
      <c r="AL117" s="1045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45" t="n"/>
      <c r="AJ118" s="25" t="n"/>
      <c r="AK118" s="43" t="n"/>
      <c r="AL118" s="1045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6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057" t="n"/>
      <c r="F119" s="83" t="n"/>
      <c r="G119" s="84" t="n"/>
      <c r="H119" s="1047" t="n"/>
      <c r="I119" s="83" t="n"/>
      <c r="J119" s="84" t="n"/>
      <c r="K119" s="1047" t="n"/>
      <c r="L119" s="83" t="n"/>
      <c r="M119" s="84" t="n"/>
      <c r="N119" s="1047" t="n"/>
      <c r="O119" s="901" t="n"/>
      <c r="P119" s="84" t="n"/>
      <c r="Q119" s="1047" t="n"/>
      <c r="R119" s="83" t="n"/>
      <c r="S119" s="84" t="n"/>
      <c r="T119" s="1047" t="n"/>
      <c r="U119" s="83" t="n"/>
      <c r="V119" s="84" t="n"/>
      <c r="W119" s="1047" t="n"/>
      <c r="X119" s="83" t="n"/>
      <c r="Y119" s="84" t="n"/>
      <c r="Z119" s="1047" t="n"/>
      <c r="AA119" s="83" t="n"/>
      <c r="AB119" s="84" t="n"/>
      <c r="AC119" s="1047" t="n"/>
      <c r="AD119" s="83" t="n"/>
      <c r="AE119" s="84" t="n"/>
      <c r="AF119" s="1047" t="n"/>
      <c r="AG119" s="83" t="n"/>
      <c r="AH119" s="84" t="n"/>
      <c r="AI119" s="1047" t="n"/>
      <c r="AJ119" s="783" t="n"/>
      <c r="AK119" s="84" t="n"/>
      <c r="AL119" s="1057" t="n"/>
      <c r="AM119" s="97">
        <f>C119+F119+I119+L119+O119+R119+U119+X119+AA119+AD119+AG119+AJ119</f>
        <v/>
      </c>
      <c r="AN119" s="42" t="n"/>
      <c r="AO119" s="1058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SUM(F121:F122)</f>
        <v/>
      </c>
      <c r="G120" s="3" t="n"/>
      <c r="H120" s="1053">
        <f>F120/(F$13)</f>
        <v/>
      </c>
      <c r="I120" s="49">
        <f>SUM(I121:I122)</f>
        <v/>
      </c>
      <c r="J120" s="3" t="n"/>
      <c r="K120" s="1053">
        <f>I120/(I$13)</f>
        <v/>
      </c>
      <c r="L120" s="49">
        <f>SUM(L121:L122)</f>
        <v/>
      </c>
      <c r="M120" s="3" t="n"/>
      <c r="N120" s="1053">
        <f>L120/(L$13)</f>
        <v/>
      </c>
      <c r="O120" s="49">
        <f>SUM(O121:O122)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SUM(AA121:AA122)</f>
        <v/>
      </c>
      <c r="AB120" s="3" t="n"/>
      <c r="AC120" s="1053">
        <f>AA120/(AA$13)</f>
        <v/>
      </c>
      <c r="AD120" s="49">
        <f>SUM(AD121:AD122)</f>
        <v/>
      </c>
      <c r="AE120" s="3" t="n"/>
      <c r="AF120" s="1053">
        <f>AD120/(AD$13)</f>
        <v/>
      </c>
      <c r="AG120" s="49">
        <f>SUM(AG121:AG122)</f>
        <v/>
      </c>
      <c r="AH120" s="3" t="n"/>
      <c r="AI120" s="1053" t="n"/>
      <c r="AJ120" s="49">
        <f>SUM(AJ121:AJ122)</f>
        <v/>
      </c>
      <c r="AK120" s="3" t="n"/>
      <c r="AL120" s="1053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6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1077" t="n"/>
      <c r="AM121" s="209">
        <f>C121+F121+I121+L121+O121+R121+U121+X121+AA121+AD121+AG121+AJ121</f>
        <v/>
      </c>
      <c r="AN121" s="69" t="n"/>
      <c r="AO121" s="1082" t="n"/>
    </row>
    <row r="122" ht="15" customHeight="1" s="986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063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47" t="n"/>
      <c r="AJ122" s="83" t="n"/>
      <c r="AK122" s="84" t="n"/>
      <c r="AL122" s="1047" t="n"/>
      <c r="AM122" s="206">
        <f>C122+F122+I122+L122+O122+R122+U122+X122+AA122+AD122+AG122+AJ122</f>
        <v/>
      </c>
      <c r="AN122" s="84" t="n"/>
      <c r="AO122" s="1064" t="n"/>
    </row>
    <row r="123" ht="15" customHeight="1" s="986">
      <c r="B123" s="16" t="inlineStr">
        <is>
          <t>GASTOS DE VIAJE</t>
        </is>
      </c>
      <c r="C123" s="90">
        <f>SUM(C124:C126)</f>
        <v/>
      </c>
      <c r="D123" s="3" t="n"/>
      <c r="E123" s="1053">
        <f>C123/(C$13)</f>
        <v/>
      </c>
      <c r="F123" s="90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>
        <f>SUM(AD124:AD126)</f>
        <v/>
      </c>
      <c r="AE123" s="3" t="n"/>
      <c r="AF123" s="1053">
        <f>AD123/(AD$13)</f>
        <v/>
      </c>
      <c r="AG123" s="49">
        <f>SUM(AG124:AG126)</f>
        <v/>
      </c>
      <c r="AH123" s="3" t="n"/>
      <c r="AI123" s="1053" t="n"/>
      <c r="AJ123" s="49">
        <f>SUM(AJ124:AJ126)</f>
        <v/>
      </c>
      <c r="AK123" s="3" t="n"/>
      <c r="AL123" s="1053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1077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1045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1073" t="n"/>
      <c r="AM126" s="26">
        <f>C126+F126+I126+L126+O126+R126+U126+X126+AA126+AD126+AG126+AJ126</f>
        <v/>
      </c>
      <c r="AN126" s="45" t="n"/>
      <c r="AO126" s="1083" t="n"/>
    </row>
    <row r="127" ht="15" customHeight="1" s="986">
      <c r="B127" s="16" t="inlineStr">
        <is>
          <t>DIVERSOS</t>
        </is>
      </c>
      <c r="C127" s="90">
        <f>SUM(C128:C142)</f>
        <v/>
      </c>
      <c r="D127" s="3" t="n"/>
      <c r="E127" s="1053">
        <f>C127/(C$13)</f>
        <v/>
      </c>
      <c r="F127" s="90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 t="n"/>
      <c r="AJ127" s="49">
        <f>SUM(AJ128:AJ142)</f>
        <v/>
      </c>
      <c r="AK127" s="3" t="n"/>
      <c r="AL127" s="1053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outlineLevel="1" ht="15" customHeight="1" s="986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'[17]Hoja 1'!$C$455+'[17]Hoja 1'!$C$510</f>
        <v/>
      </c>
      <c r="D128" s="69" t="n"/>
      <c r="E128" s="1077" t="n"/>
      <c r="F128" s="39">
        <f>'[36]Hoja 1'!$C$230</f>
        <v/>
      </c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5" t="n"/>
      <c r="AH128" s="69" t="n"/>
      <c r="AI128" s="1077" t="n"/>
      <c r="AJ128" s="39" t="n"/>
      <c r="AK128" s="69" t="n"/>
      <c r="AL128" s="1077" t="n"/>
      <c r="AM128" s="209">
        <f>C128+F128+I128+L128+O128+R128+U128+X128+AA128+AD128+AG128+AJ128</f>
        <v/>
      </c>
      <c r="AN128" s="42" t="n"/>
      <c r="AO128" s="1090">
        <f>AM128/AM13</f>
        <v/>
      </c>
    </row>
    <row r="129" outlineLevel="1" ht="15" customHeight="1" s="98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45" t="n"/>
      <c r="F129" s="25">
        <f>'[20]Hoja 1'!$C$485+'[36]Hoja 1'!$C$233</f>
        <v/>
      </c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1" t="n"/>
      <c r="AH129" s="43" t="n"/>
      <c r="AI129" s="1045" t="n"/>
      <c r="AJ129" s="25" t="n"/>
      <c r="AK129" s="43" t="n"/>
      <c r="AL129" s="1045" t="n"/>
      <c r="AM129" s="205">
        <f>C129+F129+I129+L129+O129+R129+U129+X129+AA129+AD129+AG129+AJ129</f>
        <v/>
      </c>
      <c r="AN129" s="92" t="n"/>
      <c r="AO129" s="1127" t="n"/>
    </row>
    <row r="130" outlineLevel="1" ht="15" customFormat="1" customHeight="1" s="108">
      <c r="A130" s="229" t="inlineStr">
        <is>
          <t xml:space="preserve">73952501            </t>
        </is>
      </c>
      <c r="B130" s="25" t="inlineStr">
        <is>
          <t>Elementos de Aseo y Cafetería</t>
        </is>
      </c>
      <c r="C130" s="25">
        <f>'[17]Hoja 1'!$C$451+'[17]Hoja 1'!$C$501</f>
        <v/>
      </c>
      <c r="D130" s="43" t="n"/>
      <c r="E130" s="1045" t="n"/>
      <c r="F130" s="25">
        <f>'[20]Hoja 1'!$C$426+'[20]Hoja 1'!$C$474+'[36]Hoja 1'!$C$226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1045" t="n"/>
      <c r="AM130" s="205">
        <f>C130+F130+I130+L130+O130+R130+U130+X130+AA130+AD130+AG130+AJ130</f>
        <v/>
      </c>
      <c r="AN130" s="43" t="n"/>
      <c r="AO130" s="1045">
        <f>AM130/AM13</f>
        <v/>
      </c>
      <c r="AP130" s="705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'[17]Hoja 1'!$C$503</f>
        <v/>
      </c>
      <c r="D131" s="43" t="n"/>
      <c r="E131" s="1045" t="n"/>
      <c r="F131" s="25">
        <f>'[20]Hoja 1'!$C$476</f>
        <v/>
      </c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1045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1045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'[17]Hoja 1'!$C$505</f>
        <v/>
      </c>
      <c r="D133" s="43" t="n"/>
      <c r="E133" s="1045" t="n"/>
      <c r="F133" s="25">
        <f>'[20]Hoja 1'!$C$478+'[36]Hoja 1'!$C$228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1045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'[17]Hoja 1'!$C$507+'[33]Hoja 1'!$C$115</f>
        <v/>
      </c>
      <c r="D134" s="43" t="n"/>
      <c r="E134" s="1045" t="n"/>
      <c r="F134" s="25">
        <f>'[20]Hoja 1'!$C$480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1045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1045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>
        <f>'[20]Hoja 1'!$C$482</f>
        <v/>
      </c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>
        <f>'[17]Hoja 1'!$C$509</f>
        <v/>
      </c>
      <c r="D137" s="43" t="n"/>
      <c r="E137" s="1045" t="n"/>
      <c r="F137" s="25">
        <f>'[20]Hoja 1'!$C$484</f>
        <v/>
      </c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1045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Compra Equipos de Oficina</t>
        </is>
      </c>
      <c r="C138" s="428">
        <f>'[33]Hoja 1'!$C$48</f>
        <v/>
      </c>
      <c r="D138" s="89" t="n"/>
      <c r="E138" s="1041" t="n"/>
      <c r="F138" s="25" t="n"/>
      <c r="G138" s="89" t="n"/>
      <c r="H138" s="1041" t="n"/>
      <c r="I138" s="428" t="n"/>
      <c r="J138" s="89" t="n"/>
      <c r="K138" s="1041" t="n"/>
      <c r="L138" s="428" t="n"/>
      <c r="M138" s="89" t="n"/>
      <c r="N138" s="1041" t="n"/>
      <c r="O138" s="25" t="n"/>
      <c r="P138" s="89" t="n"/>
      <c r="Q138" s="1041" t="n"/>
      <c r="R138" s="428" t="n"/>
      <c r="S138" s="89" t="n"/>
      <c r="T138" s="1041" t="n"/>
      <c r="U138" s="428" t="n"/>
      <c r="V138" s="89" t="n"/>
      <c r="W138" s="1041" t="n"/>
      <c r="X138" s="428" t="n"/>
      <c r="Y138" s="89" t="n"/>
      <c r="Z138" s="1041" t="n"/>
      <c r="AA138" s="428" t="n"/>
      <c r="AB138" s="89" t="n"/>
      <c r="AC138" s="1041" t="n"/>
      <c r="AD138" s="428" t="n"/>
      <c r="AE138" s="89" t="n"/>
      <c r="AF138" s="1041" t="n"/>
      <c r="AG138" s="428" t="n"/>
      <c r="AH138" s="89" t="n"/>
      <c r="AI138" s="1041" t="n"/>
      <c r="AJ138" s="428" t="n"/>
      <c r="AK138" s="89" t="n"/>
      <c r="AL138" s="1041" t="n"/>
      <c r="AM138" s="261">
        <f>C138+F138+I138+L138+O138+R138+U138+X138+AA138+AD138+AG138+AJ138</f>
        <v/>
      </c>
      <c r="AN138" s="89" t="n"/>
      <c r="AO138" s="1042" t="n"/>
    </row>
    <row r="139" outlineLevel="1" ht="15" customHeight="1" s="986">
      <c r="B139" s="25" t="inlineStr">
        <is>
          <t>Herramientas y articulos ferreteria</t>
        </is>
      </c>
      <c r="C139" s="25">
        <f>'[33]Hoja 1'!$C$117</f>
        <v/>
      </c>
      <c r="D139" s="43" t="n"/>
      <c r="E139" s="1045" t="n"/>
      <c r="F139" s="25">
        <f>'[36]Hoja 1'!$C$231</f>
        <v/>
      </c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1045" t="n"/>
      <c r="AM139" s="261">
        <f>C139+F139+I139+L139+O139+R139+U139+X139+AA139+AD139+AG139+AJ139</f>
        <v/>
      </c>
      <c r="AN139" s="43" t="n"/>
      <c r="AO139" s="1046" t="n"/>
    </row>
    <row r="140" outlineLevel="1" ht="15" customHeight="1" s="986">
      <c r="A140" s="806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45" t="n"/>
      <c r="F140" s="25">
        <f>'[36]Hoja 1'!$C$232</f>
        <v/>
      </c>
      <c r="G140" s="43" t="n"/>
      <c r="H140" s="1045" t="n"/>
      <c r="I140" s="281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1045" t="n"/>
      <c r="AM140" s="261">
        <f>C140+F140+I140+L140+O140+R140+U140+X140+AA140+AD140+AG140+AJ140</f>
        <v/>
      </c>
      <c r="AN140" s="43" t="n"/>
      <c r="AO140" s="1046" t="n"/>
    </row>
    <row r="141" outlineLevel="1" ht="15" customHeight="1" s="986">
      <c r="B141" s="25" t="inlineStr">
        <is>
          <t>Reuniones Fiestas y Detalles</t>
        </is>
      </c>
      <c r="C141" s="25">
        <f>'[33]Hoja 1'!$C$118</f>
        <v/>
      </c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1045" t="n"/>
      <c r="AM141" s="261">
        <f>C141+F141+I141+L141+O141+R141+U141+X141+AA141+AD141+AG141+AJ141</f>
        <v/>
      </c>
      <c r="AN141" s="43" t="n"/>
      <c r="AO141" s="1046" t="n"/>
    </row>
    <row r="142" outlineLevel="1" ht="15" customHeight="1" s="986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1079" t="n"/>
      <c r="AM142" s="213">
        <f>C142+F142+I142+L142+O142+R142+U142+X142+AA142+AD142+AG142+AJ142</f>
        <v/>
      </c>
      <c r="AN142" s="214" t="n"/>
      <c r="AO142" s="1092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1067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1128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1065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1067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 t="n"/>
      <c r="AJ147" s="491">
        <f>SUM(AJ148:AJ151)</f>
        <v/>
      </c>
      <c r="AK147" s="492" t="n"/>
      <c r="AL147" s="1069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077">
        <f>C148/C$13</f>
        <v/>
      </c>
      <c r="F148" s="39">
        <f>'GASTOS ADMINISTRATIVOS'!D96*'%DIST'!D39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1077" t="n"/>
      <c r="AM148" s="209">
        <f>C148+F148+I148+L148+O148+R148+U148+X148+AA148+AD148+AG148+AJ148</f>
        <v/>
      </c>
      <c r="AN148" s="69" t="n"/>
      <c r="AO148" s="1082">
        <f>AM148/AM$13</f>
        <v/>
      </c>
      <c r="AP148" s="1194" t="n"/>
    </row>
    <row r="149" ht="15" customHeight="1" s="986">
      <c r="B149" s="285" t="inlineStr">
        <is>
          <t>Gastos financieros</t>
        </is>
      </c>
      <c r="C149" s="25">
        <f>'GASTOS ADMINISTRATIVOS'!C109*'%DIST'!C55+79552.5+3501.4</f>
        <v/>
      </c>
      <c r="D149" s="43" t="n"/>
      <c r="E149" s="1045" t="n"/>
      <c r="F149" s="25">
        <f>'GASTOS ADMINISTRATIVOS'!D109*'%DIST'!E55+6000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1045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1057" t="n"/>
      <c r="AM150" s="205">
        <f>C150+F150+I150+L150+O150+R150+U150+X150+AA150+AD150+AG150+AJ150</f>
        <v/>
      </c>
      <c r="AN150" s="42" t="n"/>
      <c r="AO150" s="1058">
        <f>AM150/AM$13</f>
        <v/>
      </c>
    </row>
    <row r="151" ht="15" customHeight="1" s="986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086" t="n"/>
      <c r="F151" s="71">
        <f>'GASTOS ADMINISTRATIVOS'!D119*'%DIST'!E55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1086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1067" t="n"/>
      <c r="AM152" s="151" t="n"/>
      <c r="AN152" s="2" t="n"/>
      <c r="AO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1093" t="n"/>
      <c r="AM153" s="587">
        <f>C153+F153+I153+L153+O153+R153+U153+X153+AA153+AD153+AG153+AJ153</f>
        <v/>
      </c>
      <c r="AN153" s="499" t="n"/>
      <c r="AO153" s="1094">
        <f>AM153/(AM$13)</f>
        <v/>
      </c>
    </row>
    <row r="154" ht="15" customHeight="1" s="986" thickTop="1">
      <c r="B154" s="1135" t="inlineStr">
        <is>
          <t>Novedades</t>
        </is>
      </c>
      <c r="C154" s="286" t="n"/>
      <c r="D154" s="230" t="n"/>
      <c r="E154" s="1136" t="n"/>
      <c r="F154" s="515" t="n"/>
      <c r="G154" s="230" t="n"/>
      <c r="H154" s="1136" t="n"/>
      <c r="I154" s="515" t="n"/>
      <c r="J154" s="230" t="n"/>
      <c r="K154" s="1136" t="n"/>
      <c r="L154" s="515" t="n"/>
      <c r="M154" s="230" t="n"/>
      <c r="N154" s="1136" t="n"/>
      <c r="O154" s="515" t="n"/>
      <c r="P154" s="230" t="n"/>
      <c r="Q154" s="1136" t="n"/>
      <c r="R154" s="724" t="n"/>
      <c r="S154" s="230" t="n"/>
      <c r="T154" s="1136" t="n"/>
      <c r="U154" s="515" t="n"/>
      <c r="V154" s="230" t="n"/>
      <c r="W154" s="1136" t="n"/>
      <c r="X154" s="515" t="n"/>
      <c r="Y154" s="230" t="n"/>
      <c r="Z154" s="1136" t="n"/>
      <c r="AA154" s="515" t="n"/>
      <c r="AB154" s="230" t="n"/>
      <c r="AC154" s="1136" t="n"/>
      <c r="AD154" s="515" t="n"/>
      <c r="AE154" s="230" t="n"/>
      <c r="AF154" s="1136" t="n"/>
      <c r="AG154" s="515" t="n"/>
      <c r="AH154" s="230" t="n"/>
      <c r="AI154" s="1136" t="n"/>
      <c r="AJ154" s="724" t="n"/>
      <c r="AK154" s="230" t="n"/>
      <c r="AL154" s="1136" t="n"/>
      <c r="AM154" s="287">
        <f>C154+F154+I154+L154+O154+R154+U154+X154+AA154+AD154+AG154+AJ154</f>
        <v/>
      </c>
      <c r="AN154" s="230" t="n"/>
      <c r="AO154" s="1137" t="n"/>
    </row>
    <row r="155" ht="15" customHeight="1" s="986">
      <c r="B155" s="1139" t="inlineStr">
        <is>
          <t xml:space="preserve">Otros Ajustes 1 </t>
        </is>
      </c>
      <c r="C155" s="693" t="n"/>
      <c r="D155" s="9" t="n"/>
      <c r="E155" s="1140" t="n"/>
      <c r="F155" s="696" t="n"/>
      <c r="G155" s="9" t="n"/>
      <c r="H155" s="1140" t="n"/>
      <c r="I155" s="696" t="n"/>
      <c r="J155" s="9" t="n"/>
      <c r="K155" s="1140" t="n"/>
      <c r="L155" s="696" t="n"/>
      <c r="M155" s="9" t="n"/>
      <c r="N155" s="1140" t="n"/>
      <c r="O155" s="696" t="n"/>
      <c r="P155" s="9" t="n"/>
      <c r="Q155" s="1140" t="n"/>
      <c r="R155" s="707" t="n"/>
      <c r="S155" s="9" t="n"/>
      <c r="T155" s="1140" t="n"/>
      <c r="U155" s="696" t="n"/>
      <c r="V155" s="9" t="n"/>
      <c r="W155" s="1140" t="n"/>
      <c r="X155" s="696" t="n"/>
      <c r="Y155" s="9" t="n"/>
      <c r="Z155" s="1140" t="n"/>
      <c r="AA155" s="696" t="n"/>
      <c r="AB155" s="9" t="n"/>
      <c r="AC155" s="1140" t="n"/>
      <c r="AD155" s="696" t="n"/>
      <c r="AE155" s="9" t="n"/>
      <c r="AF155" s="1140" t="n"/>
      <c r="AG155" s="696" t="n"/>
      <c r="AH155" s="9" t="n"/>
      <c r="AI155" s="1140" t="n"/>
      <c r="AJ155" s="707" t="n"/>
      <c r="AK155" s="9" t="n"/>
      <c r="AL155" s="1140" t="n"/>
      <c r="AM155" s="294">
        <f>C155+F155+I155+L155+O155+R155+U155+X155+AA155+AD155+AG155+AJ155</f>
        <v/>
      </c>
      <c r="AN155" s="9" t="n"/>
      <c r="AO155" s="1141" t="n"/>
    </row>
    <row r="156" ht="15" customHeight="1" s="986">
      <c r="B156" s="1143" t="inlineStr">
        <is>
          <t>Otros Ajustes 2</t>
        </is>
      </c>
      <c r="C156" s="687" t="n"/>
      <c r="D156" s="677" t="n"/>
      <c r="E156" s="1144" t="n"/>
      <c r="F156" s="689" t="n"/>
      <c r="G156" s="677" t="n"/>
      <c r="H156" s="1144" t="n"/>
      <c r="I156" s="689" t="n"/>
      <c r="J156" s="677" t="n"/>
      <c r="K156" s="1144" t="n"/>
      <c r="L156" s="689" t="n"/>
      <c r="M156" s="677" t="n"/>
      <c r="N156" s="1144" t="n"/>
      <c r="O156" s="689" t="n"/>
      <c r="P156" s="677" t="n"/>
      <c r="Q156" s="1144" t="n"/>
      <c r="R156" s="720" t="n"/>
      <c r="S156" s="677" t="n"/>
      <c r="T156" s="1144" t="n"/>
      <c r="U156" s="689" t="n"/>
      <c r="V156" s="677" t="n"/>
      <c r="W156" s="1144" t="n"/>
      <c r="X156" s="689" t="n"/>
      <c r="Y156" s="677" t="n"/>
      <c r="Z156" s="1144" t="n"/>
      <c r="AA156" s="689" t="n"/>
      <c r="AB156" s="677" t="n"/>
      <c r="AC156" s="1144" t="n"/>
      <c r="AD156" s="689" t="n"/>
      <c r="AE156" s="677" t="n"/>
      <c r="AF156" s="1144" t="n"/>
      <c r="AG156" s="689" t="n"/>
      <c r="AH156" s="677" t="n"/>
      <c r="AI156" s="1144" t="n"/>
      <c r="AJ156" s="689" t="n"/>
      <c r="AK156" s="677" t="n"/>
      <c r="AL156" s="1144" t="n"/>
      <c r="AM156" s="715">
        <f>C156+F156+I156+L156+O156+R156+U156+X156+AA156+AD156+AG156+AJ156</f>
        <v/>
      </c>
      <c r="AN156" s="677" t="n"/>
      <c r="AO156" s="1145" t="n"/>
    </row>
    <row r="157" ht="15" customHeight="1" s="986">
      <c r="B157" s="1146" t="inlineStr">
        <is>
          <t>Otros Ajustes 3</t>
        </is>
      </c>
      <c r="C157" s="564" t="n"/>
      <c r="D157" s="553" t="n"/>
      <c r="E157" s="1147" t="n"/>
      <c r="F157" s="564" t="n"/>
      <c r="G157" s="553" t="n"/>
      <c r="H157" s="1147" t="n"/>
      <c r="I157" s="564" t="n"/>
      <c r="J157" s="553" t="n"/>
      <c r="K157" s="1147" t="n"/>
      <c r="L157" s="564" t="n"/>
      <c r="M157" s="553" t="n"/>
      <c r="N157" s="1147" t="n"/>
      <c r="O157" s="564" t="n"/>
      <c r="P157" s="553" t="n"/>
      <c r="Q157" s="1147" t="n"/>
      <c r="R157" s="564" t="n"/>
      <c r="S157" s="553" t="n"/>
      <c r="T157" s="1147" t="n"/>
      <c r="U157" s="564" t="n"/>
      <c r="V157" s="553" t="n"/>
      <c r="W157" s="1147" t="n"/>
      <c r="X157" s="564" t="n"/>
      <c r="Y157" s="553" t="n"/>
      <c r="Z157" s="1147" t="n"/>
      <c r="AA157" s="564" t="n"/>
      <c r="AB157" s="553" t="n"/>
      <c r="AC157" s="1147" t="n"/>
      <c r="AD157" s="564" t="n"/>
      <c r="AE157" s="553" t="n"/>
      <c r="AF157" s="1147" t="n"/>
      <c r="AG157" s="564" t="n"/>
      <c r="AH157" s="13" t="n"/>
      <c r="AI157" s="1151" t="n"/>
      <c r="AJ157" s="564" t="n"/>
      <c r="AK157" s="9" t="n"/>
      <c r="AL157" s="1140" t="n"/>
      <c r="AM157" s="75">
        <f>C157+F157+I157+L157+O157+R157+U157+X157+AA157+AD157+AG157+AJ157</f>
        <v/>
      </c>
      <c r="AN157" s="553" t="n"/>
      <c r="AO157" s="1195">
        <f>AM157/AM42</f>
        <v/>
      </c>
    </row>
    <row r="158" ht="15" customFormat="1" customHeight="1" s="108">
      <c r="A158" s="229" t="n"/>
      <c r="B158" s="1150" t="inlineStr">
        <is>
          <t>Otros Ajustes 4</t>
        </is>
      </c>
      <c r="C158" s="714" t="n"/>
      <c r="D158" s="555" t="n"/>
      <c r="E158" s="1175" t="n"/>
      <c r="F158" s="714" t="n"/>
      <c r="G158" s="555" t="n"/>
      <c r="H158" s="1175" t="n"/>
      <c r="I158" s="714" t="n"/>
      <c r="J158" s="555" t="n"/>
      <c r="K158" s="1175" t="n"/>
      <c r="L158" s="714" t="n"/>
      <c r="M158" s="555" t="n"/>
      <c r="N158" s="1175" t="n"/>
      <c r="O158" s="714" t="n"/>
      <c r="P158" s="555" t="n"/>
      <c r="Q158" s="1175" t="n"/>
      <c r="R158" s="714" t="n"/>
      <c r="S158" s="555" t="n"/>
      <c r="T158" s="1175" t="n"/>
      <c r="U158" s="714" t="n"/>
      <c r="V158" s="555" t="n"/>
      <c r="W158" s="1175" t="n"/>
      <c r="X158" s="714" t="n"/>
      <c r="Y158" s="555" t="n"/>
      <c r="Z158" s="1175" t="n"/>
      <c r="AA158" s="714" t="n"/>
      <c r="AB158" s="555" t="n"/>
      <c r="AC158" s="1175" t="n"/>
      <c r="AD158" s="714" t="n"/>
      <c r="AE158" s="555" t="n"/>
      <c r="AF158" s="1175" t="n"/>
      <c r="AG158" s="714" t="n"/>
      <c r="AH158" s="13" t="n"/>
      <c r="AI158" s="1151" t="n"/>
      <c r="AJ158" s="714" t="n"/>
      <c r="AK158" s="13" t="n"/>
      <c r="AL158" s="1151" t="n"/>
      <c r="AM158" s="717">
        <f>C158+F158+I158+L158+O158+R158+U158+X158+AA158+AD158+AG158+AJ158</f>
        <v/>
      </c>
      <c r="AN158" s="13" t="n"/>
      <c r="AO158" s="1152">
        <f>AM158/AM42</f>
        <v/>
      </c>
    </row>
    <row r="159" ht="15" customHeight="1" s="986">
      <c r="B159" s="1150" t="inlineStr">
        <is>
          <t>Otros Ajustes 5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1151" t="n"/>
      <c r="AM159" s="205">
        <f>C159+F159+I159+L159+O159+R159+U159+X159+AA159+AD159+AG159+AJ159</f>
        <v/>
      </c>
      <c r="AN159" s="13" t="n"/>
      <c r="AO159" s="1196" t="n"/>
    </row>
    <row r="160" ht="15" customHeight="1" s="986" thickBot="1">
      <c r="B160" s="1154" t="inlineStr">
        <is>
          <t>Otros Ajustes 6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1155" t="n"/>
      <c r="AM160" s="292">
        <f>C160+F160+I160+L160+O160+R160+U160+X160+AA160+AD160+AG160+AJ160</f>
        <v/>
      </c>
      <c r="AN160" s="812" t="n"/>
      <c r="AO160" s="1156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1093" t="n"/>
      <c r="AM161" s="587">
        <f>C161+F161+I161+L161+O161+R161+U161+X161+AA161+AD161+AG161+AJ161</f>
        <v/>
      </c>
      <c r="AN161" s="499" t="inlineStr">
        <is>
          <t xml:space="preserve"> </t>
        </is>
      </c>
      <c r="AO161" s="1094" t="n"/>
    </row>
    <row r="162" ht="15" customHeight="1" s="986" thickBot="1" thickTop="1">
      <c r="B162" s="65" t="n"/>
      <c r="C162" s="501">
        <f>IFERROR(C161/C13," ")</f>
        <v/>
      </c>
      <c r="D162" s="502" t="n"/>
      <c r="E162" s="1093" t="n"/>
      <c r="F162" s="501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1093" t="n"/>
      <c r="AM162" s="589">
        <f>IFERROR(AM161/AM13," ")</f>
        <v/>
      </c>
      <c r="AN162" s="502" t="n"/>
      <c r="AO162" s="1094" t="n"/>
    </row>
    <row r="163" ht="10.8" customHeight="1" s="986" thickTop="1">
      <c r="I163" s="1000" t="n"/>
    </row>
    <row r="164">
      <c r="C164" s="618">
        <f>C44+C83-C73</f>
        <v/>
      </c>
      <c r="D164" s="1000" t="n"/>
      <c r="F164" s="618">
        <f>F44+F83-F73</f>
        <v/>
      </c>
      <c r="I164" s="618">
        <f>I44+I83-I73</f>
        <v/>
      </c>
      <c r="L164" s="618">
        <f>L44+L83-L73</f>
        <v/>
      </c>
      <c r="O164" s="998">
        <f>O44+O83-O58-O73</f>
        <v/>
      </c>
      <c r="R164" s="998">
        <f>R44+R83-R58-R73</f>
        <v/>
      </c>
      <c r="U164" s="998">
        <f>U44+U83-U58-U73</f>
        <v/>
      </c>
      <c r="X164" s="998">
        <f>X44+X83-X58-X73</f>
        <v/>
      </c>
      <c r="AA164" s="998">
        <f>AA44+AA83-AA58-AA73</f>
        <v/>
      </c>
      <c r="AD164" s="998">
        <f>AD44+AD83-AD58-AD73</f>
        <v/>
      </c>
      <c r="AG164" s="998">
        <f>AG44+AG83-AG58-AG73</f>
        <v/>
      </c>
      <c r="AJ164" s="998">
        <f>AJ44+AJ83-AJ58-AJ73</f>
        <v/>
      </c>
    </row>
    <row r="165">
      <c r="C165" s="618">
        <f>'[17]Hoja 1'!$C$405+'[17]Hoja 1'!$C$414+'[17]Hoja 1'!$C$425+'[33]Hoja 1'!$C$17-'[33]Hoja 1'!$C$109+'[5]Hoja 1'!$C$110+'[5]Hoja 1'!$C$177</f>
        <v/>
      </c>
      <c r="D165" s="1000" t="n"/>
      <c r="F165" s="618">
        <f>'[20]Hoja 1'!$C$399+'[36]Hoja 1'!$C$127+'[41]Hoja 1'!$C$86+'[54]Hoja 1'!$C$24</f>
        <v/>
      </c>
      <c r="I165" s="618" t="n">
        <v>1037777346.42</v>
      </c>
      <c r="L165" s="618" t="n">
        <v>973262962.3299999</v>
      </c>
      <c r="O165" s="998" t="n">
        <v>1069339870.73</v>
      </c>
      <c r="R165" s="998" t="n">
        <v>949299035.5900002</v>
      </c>
      <c r="U165" s="998" t="n">
        <v>564463987.46</v>
      </c>
      <c r="X165" s="998" t="n">
        <v>974517060.83</v>
      </c>
      <c r="AA165" s="998" t="n">
        <v>1049899736.09</v>
      </c>
      <c r="AD165" s="998" t="n">
        <v>873734177.66</v>
      </c>
      <c r="AG165" s="998" t="n">
        <v>739373739.2</v>
      </c>
      <c r="AJ165" s="998" t="n">
        <v>92692433</v>
      </c>
    </row>
    <row r="166">
      <c r="C166" s="618">
        <f>C164-C165</f>
        <v/>
      </c>
      <c r="D166" s="1000" t="n"/>
      <c r="F166" s="618">
        <f>F164-F165</f>
        <v/>
      </c>
      <c r="I166" s="618">
        <f>I164-I165</f>
        <v/>
      </c>
      <c r="L166" s="618">
        <f>L164-L165</f>
        <v/>
      </c>
      <c r="O166" s="998">
        <f>O164-O165</f>
        <v/>
      </c>
      <c r="R166" s="998">
        <f>R164-R165</f>
        <v/>
      </c>
      <c r="U166" s="998">
        <f>U164-U165</f>
        <v/>
      </c>
      <c r="X166" s="998">
        <f>X164-X165</f>
        <v/>
      </c>
      <c r="AA166" s="998">
        <f>AA164-AA165</f>
        <v/>
      </c>
      <c r="AB166" s="998" t="n"/>
      <c r="AC166" s="998" t="n"/>
      <c r="AD166" s="998">
        <f>AD164-AD165</f>
        <v/>
      </c>
      <c r="AE166" s="998" t="inlineStr">
        <is>
          <t>MAQ Y EQ</t>
        </is>
      </c>
      <c r="AG166" s="998">
        <f>AG164-AG165</f>
        <v/>
      </c>
      <c r="AJ166" s="998">
        <f>AJ164-AJ165</f>
        <v/>
      </c>
    </row>
    <row r="167">
      <c r="C167" s="993" t="n">
        <v>2021155</v>
      </c>
      <c r="D167" s="993" t="inlineStr">
        <is>
          <t>Dic</t>
        </is>
      </c>
    </row>
    <row r="170">
      <c r="AJ170" s="894" t="n"/>
      <c r="AM170" s="1182" t="n"/>
    </row>
    <row r="174">
      <c r="X174" s="993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7.109375" customWidth="1" style="2" min="42" max="42"/>
    <col collapsed="1" width="14.6640625" customWidth="1" style="993" min="43" max="43"/>
    <col width="7.33203125" customWidth="1" style="993" min="44" max="44"/>
    <col width="7.33203125" customWidth="1" style="2" min="45" max="45"/>
    <col width="11.44140625" customWidth="1" style="2" min="46" max="56"/>
    <col width="11.44140625" customWidth="1" style="2" min="57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PRESUPUESTO  IMDERTY 2024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  <c r="AQ2" s="2" t="n"/>
      <c r="AR2" s="2" t="n"/>
    </row>
    <row r="3" ht="21.75" customHeight="1" s="986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479" t="n"/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623" t="n"/>
      <c r="AR3" s="623" t="n"/>
      <c r="AS3" s="623" t="n"/>
    </row>
    <row r="4" ht="24.75" customFormat="1" customHeight="1" s="215" thickBot="1" thickTop="1">
      <c r="A4" s="227" t="n"/>
      <c r="B4" s="21" t="n"/>
      <c r="C4" s="469" t="inlineStr">
        <is>
          <t>ENE</t>
        </is>
      </c>
      <c r="D4" s="470" t="inlineStr">
        <is>
          <t>x racion</t>
        </is>
      </c>
      <c r="E4" s="119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748" t="inlineStr">
        <is>
          <t>REAL 2024</t>
        </is>
      </c>
      <c r="AR4" s="624" t="n"/>
      <c r="AS4" s="624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49">
        <f>SUM(U16:U22)</f>
        <v/>
      </c>
      <c r="V15" s="3" t="n"/>
      <c r="W15" s="1053" t="n"/>
      <c r="X15" s="49">
        <f>SUM(X16:X22)</f>
        <v/>
      </c>
      <c r="Y15" s="3" t="n"/>
      <c r="Z15" s="1053">
        <f>X15/X15</f>
        <v/>
      </c>
      <c r="AA15" s="49">
        <f>SUM(AA16:AA22)</f>
        <v/>
      </c>
      <c r="AB15" s="3" t="n"/>
      <c r="AC15" s="1053">
        <f>AA15/AA15</f>
        <v/>
      </c>
      <c r="AD15" s="49">
        <f>SUM(AD16:AD22)</f>
        <v/>
      </c>
      <c r="AE15" s="399" t="n"/>
      <c r="AF15" s="1054">
        <f>AD15/AD15</f>
        <v/>
      </c>
      <c r="AG15" s="49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</row>
    <row r="16" ht="15" customHeight="1" s="986">
      <c r="B16" s="262" t="inlineStr">
        <is>
          <t>SUMINISTRO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>
        <f>I16/I5</f>
        <v/>
      </c>
      <c r="K16" s="1055" t="n"/>
      <c r="L16" s="103" t="n"/>
      <c r="M16" s="79" t="n"/>
      <c r="N16" s="1055" t="n"/>
      <c r="O16" s="103" t="n"/>
      <c r="P16" s="79">
        <f>O16/O5</f>
        <v/>
      </c>
      <c r="Q16" s="1055" t="n"/>
      <c r="R16" s="103" t="n"/>
      <c r="S16" s="79">
        <f>R16/R5</f>
        <v/>
      </c>
      <c r="T16" s="1055" t="n"/>
      <c r="U16" s="103" t="n"/>
      <c r="V16" s="79">
        <f>U16/U5</f>
        <v/>
      </c>
      <c r="W16" s="1055" t="n"/>
      <c r="X16" s="103" t="n"/>
      <c r="Y16" s="79">
        <f>X16/X5</f>
        <v/>
      </c>
      <c r="Z16" s="1055" t="n"/>
      <c r="AA16" s="103" t="n"/>
      <c r="AB16" s="79">
        <f>AA16/AA5</f>
        <v/>
      </c>
      <c r="AC16" s="1055" t="n"/>
      <c r="AD16" s="103" t="n"/>
      <c r="AE16" s="79">
        <f>AD16/AD5</f>
        <v/>
      </c>
      <c r="AF16" s="1055" t="n"/>
      <c r="AG16" s="103" t="n"/>
      <c r="AH16" s="79">
        <f>AG16/AG5</f>
        <v/>
      </c>
      <c r="AI16" s="1055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056">
        <f>AM16/AM$13</f>
        <v/>
      </c>
      <c r="AQ16" s="81" t="n"/>
      <c r="AR16" s="81" t="n"/>
      <c r="AS16" s="81" t="n"/>
    </row>
    <row r="17" ht="15" customHeight="1" s="986">
      <c r="B17" s="104" t="n"/>
      <c r="C17" s="25" t="n"/>
      <c r="D17" s="43" t="n"/>
      <c r="E17" s="1045" t="n"/>
      <c r="F17" s="25" t="n"/>
      <c r="G17" s="43" t="n"/>
      <c r="H17" s="1045" t="n"/>
      <c r="I17" s="91" t="n"/>
      <c r="J17" s="92" t="n"/>
      <c r="K17" s="1045" t="n"/>
      <c r="L17" s="91" t="n"/>
      <c r="M17" s="92" t="n"/>
      <c r="N17" s="1045" t="n"/>
      <c r="O17" s="91" t="n"/>
      <c r="P17" s="92" t="n"/>
      <c r="Q17" s="1045" t="n"/>
      <c r="R17" s="91" t="n"/>
      <c r="S17" s="92" t="n"/>
      <c r="T17" s="1045" t="n"/>
      <c r="U17" s="91" t="n"/>
      <c r="V17" s="92" t="n"/>
      <c r="W17" s="1045" t="n"/>
      <c r="X17" s="91" t="n"/>
      <c r="Y17" s="92" t="n"/>
      <c r="Z17" s="1045" t="n"/>
      <c r="AA17" s="91" t="n"/>
      <c r="AB17" s="92" t="n"/>
      <c r="AC17" s="1045" t="n"/>
      <c r="AD17" s="91" t="n"/>
      <c r="AE17" s="92" t="n"/>
      <c r="AF17" s="1045" t="n"/>
      <c r="AG17" s="91" t="n"/>
      <c r="AH17" s="92" t="n"/>
      <c r="AI17" s="1045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46">
        <f>AM17/AM$13</f>
        <v/>
      </c>
      <c r="AQ17" s="24" t="n"/>
      <c r="AR17" s="24" t="n"/>
      <c r="AS17" s="24" t="n"/>
    </row>
    <row r="18" ht="15" customHeight="1" s="986">
      <c r="B18" s="104" t="n"/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5" t="n"/>
      <c r="AH18" s="43" t="n"/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>
        <f>AM18/AM$13</f>
        <v/>
      </c>
      <c r="AQ18" s="24" t="n"/>
      <c r="AR18" s="24" t="n"/>
      <c r="AS18" s="24" t="n"/>
    </row>
    <row r="19" ht="15" customHeight="1" s="986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>
        <f>AD19/AD8</f>
        <v/>
      </c>
      <c r="AF19" s="1045" t="n"/>
      <c r="AG19" s="25" t="n"/>
      <c r="AH19" s="43">
        <f>AG19/AG8</f>
        <v/>
      </c>
      <c r="AI19" s="1045" t="n"/>
      <c r="AJ19" s="25" t="n"/>
      <c r="AK19" s="43">
        <f>AJ19/AJ8</f>
        <v/>
      </c>
      <c r="AL19" s="57" t="n"/>
      <c r="AM19" s="205">
        <f>C19+F19+I19+L19+O19+R19+U19+X19+AA19+AD19+AG19+AJ19</f>
        <v/>
      </c>
      <c r="AN19" s="43" t="n"/>
      <c r="AO19" s="1046" t="n"/>
      <c r="AQ19" s="24" t="n"/>
      <c r="AR19" s="24" t="n"/>
      <c r="AS19" s="24" t="n"/>
    </row>
    <row r="20" ht="15" customHeight="1" s="986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</row>
    <row r="21" hidden="1" ht="15" customHeight="1" s="986">
      <c r="B21" s="104" t="n"/>
      <c r="C21" s="75" t="n"/>
      <c r="D21" s="43" t="n"/>
      <c r="E21" s="1045" t="n"/>
      <c r="F21" s="25" t="n"/>
      <c r="G21" s="43" t="n"/>
      <c r="H21" s="1045" t="n"/>
      <c r="I21" s="7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  <c r="AQ21" s="24" t="n"/>
      <c r="AR21" s="24" t="n"/>
      <c r="AS21" s="24" t="n"/>
    </row>
    <row r="22" hidden="1" ht="15" customHeight="1" s="986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448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  <c r="AQ22" s="23" t="n"/>
      <c r="AR22" s="23" t="n"/>
      <c r="AS22" s="23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 t="n"/>
      <c r="AE23" s="3" t="n"/>
      <c r="AF23" s="1053" t="n"/>
      <c r="AG23" s="49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SUM(X25:X27)</f>
        <v/>
      </c>
      <c r="Y24" s="3" t="n"/>
      <c r="Z24" s="1053" t="n"/>
      <c r="AA24" s="49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49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 t="n"/>
      <c r="O29" s="49">
        <f>SUM(O30:O35)</f>
        <v/>
      </c>
      <c r="P29" s="3" t="n"/>
      <c r="Q29" s="1053" t="n"/>
      <c r="R29" s="49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49">
        <f>SUM(X30:X35)</f>
        <v/>
      </c>
      <c r="Y29" s="3" t="n"/>
      <c r="Z29" s="1053">
        <f>X29/X13</f>
        <v/>
      </c>
      <c r="AA29" s="49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49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061" t="n"/>
      <c r="D30" s="79" t="n"/>
      <c r="E30" s="1055" t="n"/>
      <c r="F30" s="1061" t="n"/>
      <c r="G30" s="79" t="n"/>
      <c r="H30" s="1055" t="n"/>
      <c r="I30" s="1061">
        <f>I13*1%</f>
        <v/>
      </c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>
        <f>U13*1.35%</f>
        <v/>
      </c>
      <c r="V30" s="79" t="n"/>
      <c r="W30" s="1055" t="n"/>
      <c r="X30" s="1061">
        <f>X13*1.35%</f>
        <v/>
      </c>
      <c r="Y30" s="79" t="n"/>
      <c r="Z30" s="1055" t="n"/>
      <c r="AA30" s="1061">
        <f>AA13*1.35%</f>
        <v/>
      </c>
      <c r="AB30" s="79" t="n"/>
      <c r="AC30" s="1055" t="n"/>
      <c r="AD30" s="1061">
        <f>AD13*1.35%</f>
        <v/>
      </c>
      <c r="AE30" s="79" t="n"/>
      <c r="AF30" s="1055" t="n"/>
      <c r="AG30" s="1061">
        <f>AG13*1.35%</f>
        <v/>
      </c>
      <c r="AH30" s="79" t="n"/>
      <c r="AI30" s="1055" t="n"/>
      <c r="AJ30" s="1061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Q30" s="81" t="n"/>
      <c r="AR30" s="81" t="n"/>
      <c r="AS30" s="81" t="n"/>
    </row>
    <row r="31" outlineLevel="1" ht="15" customHeight="1" s="986">
      <c r="B31" s="105" t="n"/>
      <c r="C31" s="1062" t="n"/>
      <c r="D31" s="43" t="n"/>
      <c r="E31" s="1045" t="n"/>
      <c r="F31" s="1062" t="n"/>
      <c r="G31" s="43" t="n"/>
      <c r="H31" s="1045" t="n"/>
      <c r="I31" s="1062">
        <f>I13*0.6%</f>
        <v/>
      </c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1062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</row>
    <row r="34" hidden="1" outlineLevel="1" ht="15" customHeight="1" s="986" thickBot="1">
      <c r="B34" s="105" t="n"/>
      <c r="C34" s="25">
        <f>(C$13*10%)*3.5%</f>
        <v/>
      </c>
      <c r="D34" s="43" t="n"/>
      <c r="E34" s="1045" t="n"/>
      <c r="F34" s="25" t="n"/>
      <c r="G34" s="43" t="n"/>
      <c r="H34" s="1045" t="n"/>
      <c r="I34" s="25">
        <f>I13*2.5%</f>
        <v/>
      </c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  <c r="AQ36" s="24" t="n"/>
      <c r="AR36" s="24" t="n"/>
      <c r="AS36" s="24" t="n"/>
    </row>
    <row r="37" hidden="1" outlineLevel="1" ht="15" customHeight="1" s="986" thickBot="1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  <c r="AQ37" s="23" t="n"/>
      <c r="AR37" s="23" t="n"/>
      <c r="AS37" s="23" t="n"/>
    </row>
    <row r="38" hidden="1" outlineLevel="1" ht="15" customHeight="1" s="986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  <c r="AQ38" s="23" t="n"/>
      <c r="AR38" s="23" t="n"/>
      <c r="AS38" s="23" t="n"/>
    </row>
    <row r="39" hidden="1" outlineLevel="1" ht="15" customHeight="1" s="986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  <c r="AQ39" s="23" t="n"/>
      <c r="AR39" s="23" t="n"/>
      <c r="AS39" s="23" t="n"/>
    </row>
    <row r="40" hidden="1" outlineLevel="1" ht="15" customHeight="1" s="986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  <c r="AQ40" s="23" t="n"/>
      <c r="AR40" s="23" t="n"/>
      <c r="AS40" s="23" t="n"/>
    </row>
    <row r="41" hidden="1" outlineLevel="1" ht="15" customHeight="1" s="986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  <c r="AQ41" s="23" t="n"/>
      <c r="AR41" s="23" t="n"/>
      <c r="AS41" s="23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  <c r="AQ43" s="136" t="n"/>
      <c r="AR43" s="2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 t="n"/>
    </row>
    <row r="45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49">
        <f>+AD46+AD57</f>
        <v/>
      </c>
      <c r="AE45" s="3" t="n"/>
      <c r="AF45" s="1053" t="n"/>
      <c r="AG45" s="49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  <c r="AQ45" s="17">
        <f>+AQ46+AQ57</f>
        <v/>
      </c>
      <c r="AR45" s="17" t="n"/>
      <c r="AS45" s="1105" t="n"/>
    </row>
    <row r="46" ht="15" customHeight="1" s="986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46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  <c r="AQ46" s="38">
        <f>SUM(AQ47:AQ56)</f>
        <v/>
      </c>
      <c r="AR46" s="38" t="n"/>
      <c r="AS46" s="1106" t="n"/>
    </row>
    <row r="47" ht="15" customHeight="1" s="986">
      <c r="B47" s="97" t="inlineStr">
        <is>
          <t>SUMINISTRO</t>
        </is>
      </c>
      <c r="C47" s="76" t="n"/>
      <c r="D47" s="42" t="n"/>
      <c r="E47" s="1057" t="n"/>
      <c r="F47" s="76" t="n"/>
      <c r="G47" s="42" t="n"/>
      <c r="H47" s="1057" t="n"/>
      <c r="I47" s="76" t="n"/>
      <c r="J47" s="42">
        <f>I47/I5</f>
        <v/>
      </c>
      <c r="K47" s="1057">
        <f>I47/I16</f>
        <v/>
      </c>
      <c r="L47" s="76" t="n"/>
      <c r="M47" s="42" t="n"/>
      <c r="N47" s="1057" t="n"/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AM47/$AM$5</f>
        <v/>
      </c>
      <c r="AO47" s="1058">
        <f>AM47/AM13</f>
        <v/>
      </c>
      <c r="AQ47" s="23" t="n"/>
      <c r="AR47" s="23" t="n"/>
      <c r="AS47" s="1107" t="n"/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AM48/AM12</f>
        <v/>
      </c>
      <c r="AO48" s="1046" t="n"/>
      <c r="AQ48" s="24" t="n"/>
      <c r="AR48" s="24" t="n"/>
      <c r="AS48" s="1108" t="n"/>
    </row>
    <row r="49" hidden="1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</row>
    <row r="50" hidden="1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  <c r="AQ54" s="24" t="n"/>
      <c r="AR54" s="24" t="n"/>
      <c r="AS54" s="1108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  <c r="AQ55" s="24" t="n"/>
      <c r="AR55" s="24" t="n"/>
      <c r="AS55" s="1108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  <c r="AQ56" s="23" t="n"/>
      <c r="AR56" s="23" t="n"/>
      <c r="AS56" s="1107" t="n"/>
    </row>
    <row r="57" hidden="1" ht="15" customHeight="1" s="986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  <c r="AQ57" s="29" t="n"/>
      <c r="AR57" s="29" t="n"/>
      <c r="AS57" s="1110" t="n"/>
    </row>
    <row r="58" hidden="1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349" t="n"/>
      <c r="AR59" s="349" t="n"/>
      <c r="AS59" s="1115" t="n"/>
    </row>
    <row r="60" ht="15" customHeight="1" s="986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+F61+F72+F75+F76+F77</f>
        <v/>
      </c>
      <c r="G60" s="3" t="n"/>
      <c r="H60" s="1053">
        <f>F60/F13</f>
        <v/>
      </c>
      <c r="I60" s="49">
        <f>+I61+I72+I75+I76+I77</f>
        <v/>
      </c>
      <c r="J60" s="3" t="n"/>
      <c r="K60" s="1053">
        <f>I60/I13</f>
        <v/>
      </c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49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  <c r="AQ60" s="17">
        <f>+AQ61+AQ72+AQ75+AQ76+AQ77</f>
        <v/>
      </c>
      <c r="AR60" s="17" t="n"/>
      <c r="AS60" s="1105" t="n"/>
    </row>
    <row r="61" hidden="1" ht="15" customHeight="1" s="986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 t="n"/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  <c r="AQ61" s="38">
        <f>SUM(AQ62:AQ71)</f>
        <v/>
      </c>
      <c r="AR61" s="38" t="n"/>
      <c r="AS61" s="1106" t="n"/>
    </row>
    <row r="62" hidden="1" ht="15" customHeight="1" s="986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  <c r="AQ62" s="81" t="n"/>
      <c r="AR62" s="81" t="n"/>
      <c r="AS62" s="1116" t="n"/>
    </row>
    <row r="63" hidden="1" ht="15" customHeight="1" s="986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  <c r="AQ63" s="24" t="n"/>
      <c r="AR63" s="24" t="n"/>
      <c r="AS63" s="1108" t="n"/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  <c r="AQ64" s="24" t="n"/>
      <c r="AR64" s="24" t="n"/>
      <c r="AS64" s="1108" t="n"/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  <c r="AQ65" s="24" t="n"/>
      <c r="AR65" s="24" t="n"/>
      <c r="AS65" s="1108" t="n"/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  <c r="AQ66" s="24" t="n"/>
      <c r="AR66" s="24" t="n"/>
      <c r="AS66" s="1108" t="n"/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  <c r="AQ67" s="24" t="n"/>
      <c r="AR67" s="24" t="n"/>
      <c r="AS67" s="1108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  <c r="AQ68" s="24" t="n"/>
      <c r="AR68" s="24" t="n"/>
      <c r="AS68" s="1108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  <c r="AQ69" s="24" t="n"/>
      <c r="AR69" s="24" t="n"/>
      <c r="AS69" s="1108" t="n"/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  <c r="AQ70" s="24" t="n"/>
      <c r="AR70" s="24" t="n"/>
      <c r="AS70" s="1108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  <c r="AQ71" s="349" t="n"/>
      <c r="AR71" s="349" t="n"/>
      <c r="AS71" s="1115" t="n"/>
    </row>
    <row r="72" ht="15" customHeight="1" s="986">
      <c r="B72" s="36" t="inlineStr">
        <is>
          <t>FLETES</t>
        </is>
      </c>
      <c r="C72" s="37" t="n"/>
      <c r="D72" s="67" t="n"/>
      <c r="E72" s="1071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 t="n"/>
      <c r="N72" s="1049" t="n"/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  <c r="AQ72" s="29">
        <f>SUM(AQ73:AQ74)</f>
        <v/>
      </c>
      <c r="AR72" s="29" t="n"/>
      <c r="AS72" s="1110" t="n"/>
    </row>
    <row r="73" ht="15" customHeight="1" s="986">
      <c r="B73" s="412" t="inlineStr">
        <is>
          <t>PREPARADOS PROPIOS</t>
        </is>
      </c>
      <c r="C73" s="37" t="n"/>
      <c r="D73" s="67" t="n"/>
      <c r="E73" s="1071" t="n"/>
      <c r="F73" s="304" t="n"/>
      <c r="G73" s="305" t="n"/>
      <c r="H73" s="1111" t="n"/>
      <c r="I73" s="304" t="n"/>
      <c r="J73" s="305" t="n"/>
      <c r="K73" s="1111" t="n"/>
      <c r="L73" s="304" t="n"/>
      <c r="M73" s="305" t="n"/>
      <c r="N73" s="1111" t="n"/>
      <c r="O73" s="304" t="n"/>
      <c r="P73" s="305" t="n"/>
      <c r="Q73" s="1111" t="n"/>
      <c r="R73" s="304" t="n"/>
      <c r="S73" s="305" t="n"/>
      <c r="T73" s="1111" t="n"/>
      <c r="U73" s="304" t="n"/>
      <c r="V73" s="305" t="n"/>
      <c r="W73" s="1111" t="n"/>
      <c r="X73" s="304" t="n"/>
      <c r="Y73" s="305" t="n"/>
      <c r="Z73" s="1111" t="n"/>
      <c r="AA73" s="304" t="n"/>
      <c r="AB73" s="305" t="n"/>
      <c r="AC73" s="1111" t="n"/>
      <c r="AD73" s="304" t="n"/>
      <c r="AE73" s="305" t="n"/>
      <c r="AF73" s="1111" t="n"/>
      <c r="AG73" s="304" t="n"/>
      <c r="AH73" s="305" t="n"/>
      <c r="AI73" s="1111" t="n"/>
      <c r="AJ73" s="304" t="n"/>
      <c r="AK73" s="305" t="n"/>
      <c r="AL73" s="86" t="n"/>
      <c r="AM73" s="414">
        <f>C73+F73+I73+L73+O73+R73+U73+X73+AA73+AD73+AG73+AJ73</f>
        <v/>
      </c>
      <c r="AN73" s="305" t="n"/>
      <c r="AO73" s="1117" t="n"/>
      <c r="AQ73" s="298" t="n"/>
      <c r="AR73" s="298" t="n"/>
      <c r="AS73" s="1113" t="n"/>
    </row>
    <row r="74" ht="15" customHeight="1" s="986">
      <c r="B74" s="416" t="inlineStr">
        <is>
          <t>PREPARADOS TERCEROS</t>
        </is>
      </c>
      <c r="C74" s="37" t="n"/>
      <c r="D74" s="67" t="n"/>
      <c r="E74" s="1071" t="n"/>
      <c r="F74" s="83" t="n"/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14" t="n"/>
      <c r="AQ74" s="349" t="n"/>
      <c r="AR74" s="349" t="n"/>
      <c r="AS74" s="1115" t="n"/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  <c r="AQ75" s="38" t="n"/>
      <c r="AR75" s="38" t="n"/>
      <c r="AS75" s="1106" t="n"/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  <c r="AQ76" s="38" t="n"/>
      <c r="AR76" s="38" t="n"/>
      <c r="AS76" s="1106" t="n"/>
    </row>
    <row r="77" ht="15" customHeight="1" s="986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  <c r="AQ77" s="27" t="n"/>
      <c r="AR77" s="27" t="n"/>
      <c r="AS77" s="1119" t="n"/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 t="n"/>
      <c r="AS78" s="1105" t="n"/>
    </row>
    <row r="79" ht="15" customHeight="1" s="986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Q79" s="621" t="n"/>
      <c r="AR79" s="621" t="n"/>
      <c r="AS79" s="1120" t="n"/>
    </row>
    <row r="80" ht="15" customHeight="1" s="986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24" t="n"/>
      <c r="AR80" s="24" t="n"/>
      <c r="AS80" s="1108" t="n"/>
    </row>
    <row r="81" ht="15" customHeight="1" s="986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  <c r="AQ82" s="136" t="n"/>
      <c r="AR82" s="136" t="n"/>
      <c r="AS82" s="1122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 t="n"/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>
        <f>AJ83/(AJ$13)</f>
        <v/>
      </c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 t="n"/>
      <c r="AS83" s="1104" t="n"/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 t="n"/>
      <c r="O84" s="49">
        <f>SUM(O85:O88)</f>
        <v/>
      </c>
      <c r="P84" s="3" t="n"/>
      <c r="Q84" s="1053" t="n"/>
      <c r="R84" s="49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>
        <f>AJ84/(AJ$13)</f>
        <v/>
      </c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 t="n"/>
      <c r="AS84" s="1105" t="n"/>
    </row>
    <row r="85" ht="15" customHeight="1" s="986">
      <c r="B85" s="39" t="inlineStr">
        <is>
          <t>Costos Indirectos de Personal</t>
        </is>
      </c>
      <c r="C85" s="39" t="n"/>
      <c r="D85" s="69" t="n"/>
      <c r="E85" s="1077" t="n"/>
      <c r="F85" s="25" t="n"/>
      <c r="G85" s="69" t="n"/>
      <c r="H85" s="1077" t="n"/>
      <c r="I85" s="25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Q85" s="31" t="n"/>
      <c r="AR85" s="31" t="n"/>
      <c r="AS85" s="1123" t="n"/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  <c r="AQ86" s="24" t="n"/>
      <c r="AR86" s="24" t="n"/>
      <c r="AS86" s="1108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  <c r="AQ87" s="24" t="n"/>
      <c r="AR87" s="24" t="n"/>
      <c r="AS87" s="1108" t="n"/>
    </row>
    <row r="88" ht="15" customHeight="1" s="986">
      <c r="B88" s="206" t="inlineStr">
        <is>
          <t>Inacapacidades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  <c r="AQ88" s="349" t="n"/>
      <c r="AR88" s="349" t="n"/>
      <c r="AS88" s="1115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 t="n"/>
      <c r="O89" s="49">
        <f>SUM(O90:O91)</f>
        <v/>
      </c>
      <c r="P89" s="3" t="n"/>
      <c r="Q89" s="1053" t="n"/>
      <c r="R89" s="49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  <c r="AQ89" s="17" t="n"/>
      <c r="AR89" s="17" t="n"/>
      <c r="AS89" s="1105" t="n"/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 t="n"/>
      <c r="O92" s="49">
        <f>SUM(O93:O95)</f>
        <v/>
      </c>
      <c r="P92" s="3" t="n"/>
      <c r="Q92" s="1053" t="n"/>
      <c r="R92" s="49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  <c r="AQ92" s="17" t="n"/>
      <c r="AR92" s="17" t="n"/>
      <c r="AS92" s="1105" t="n"/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  <c r="AQ93" s="31" t="n"/>
      <c r="AR93" s="31" t="n"/>
      <c r="AS93" s="1123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 t="n"/>
      <c r="O96" s="49">
        <f>SUM(O97:O98)</f>
        <v/>
      </c>
      <c r="P96" s="3" t="n"/>
      <c r="Q96" s="1053" t="n"/>
      <c r="R96" s="49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 t="n"/>
      <c r="AS96" s="1105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31" t="n"/>
      <c r="AR97" s="31" t="n"/>
      <c r="AS97" s="112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79" t="n"/>
      <c r="AR98" s="279" t="n"/>
      <c r="AS98" s="1125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 t="n"/>
      <c r="O99" s="49">
        <f>SUM(O100:O108)</f>
        <v/>
      </c>
      <c r="P99" s="3" t="n"/>
      <c r="Q99" s="1053" t="n"/>
      <c r="R99" s="49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  <c r="AQ99" s="17" t="n"/>
      <c r="AR99" s="17" t="n"/>
      <c r="AS99" s="1105" t="n"/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</row>
    <row r="101" outlineLevel="1" ht="15" customHeight="1" s="986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</row>
    <row r="103" outlineLevel="1" ht="15" customHeight="1" s="986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</row>
    <row r="104" outlineLevel="1" ht="15" customHeight="1" s="986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</row>
    <row r="105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274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  <c r="AQ107" s="24" t="n"/>
      <c r="AR107" s="24" t="n"/>
      <c r="AS107" s="1108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  <c r="AQ108" s="23" t="n"/>
      <c r="AR108" s="23" t="n"/>
      <c r="AS108" s="1107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 t="n"/>
      <c r="O109" s="49">
        <f>SUM(O110:O113)</f>
        <v/>
      </c>
      <c r="P109" s="3" t="n"/>
      <c r="Q109" s="1053" t="n"/>
      <c r="R109" s="49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 t="n"/>
      <c r="AS109" s="1105" t="n"/>
    </row>
    <row r="110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</row>
    <row r="11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</row>
    <row r="112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</row>
    <row r="113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 t="n"/>
      <c r="O114" s="49">
        <f>SUM(O115:O116)</f>
        <v/>
      </c>
      <c r="P114" s="3" t="n"/>
      <c r="Q114" s="1053" t="n"/>
      <c r="R114" s="49">
        <f>SUM(R115:R116)</f>
        <v/>
      </c>
      <c r="S114" s="3" t="n"/>
      <c r="T114" s="1053">
        <f>R114/(R$13)</f>
        <v/>
      </c>
      <c r="U114" s="49">
        <f>SUM(U115:U119)</f>
        <v/>
      </c>
      <c r="V114" s="3" t="n"/>
      <c r="W114" s="1053">
        <f>U114/(U$13)</f>
        <v/>
      </c>
      <c r="X114" s="49">
        <f>SUM(X115:X118)</f>
        <v/>
      </c>
      <c r="Y114" s="3" t="n"/>
      <c r="Z114" s="1053">
        <f>X114/(X$13)</f>
        <v/>
      </c>
      <c r="AA114" s="49">
        <f>SUM(AA115:AA118)</f>
        <v/>
      </c>
      <c r="AB114" s="3" t="n"/>
      <c r="AC114" s="1053">
        <f>AA114/(AA$13)</f>
        <v/>
      </c>
      <c r="AD114" s="49">
        <f>SUM(AD115:AD118)</f>
        <v/>
      </c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 t="n"/>
      <c r="AS114" s="1105" t="n"/>
    </row>
    <row r="115" outlineLevel="1" ht="15" customHeight="1" s="98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</row>
    <row r="116" outlineLevel="1" ht="15" customHeight="1" s="98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</row>
    <row r="118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</row>
    <row r="119" outlineLevel="1" ht="15" customHeight="1" s="986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 t="n"/>
      <c r="O120" s="49">
        <f>SUM(O121)</f>
        <v/>
      </c>
      <c r="P120" s="3" t="n"/>
      <c r="Q120" s="1053" t="n"/>
      <c r="R120" s="49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 t="n"/>
      <c r="AS120" s="1105" t="n"/>
    </row>
    <row r="121" ht="15" customHeight="1" s="98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</row>
    <row r="122" ht="15" customHeight="1" s="98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  <c r="AQ122" s="133" t="n"/>
      <c r="AR122" s="133" t="n"/>
      <c r="AS122" s="1126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 t="n"/>
      <c r="O123" s="49">
        <f>SUM(O124:O126)</f>
        <v/>
      </c>
      <c r="P123" s="3" t="n"/>
      <c r="Q123" s="1053" t="n"/>
      <c r="R123" s="49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 t="n"/>
      <c r="AS123" s="1105" t="n"/>
    </row>
    <row r="124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</row>
    <row r="125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</row>
    <row r="126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 t="n"/>
      <c r="O127" s="49">
        <f>SUM(O128:O142)</f>
        <v/>
      </c>
      <c r="P127" s="3" t="n"/>
      <c r="Q127" s="1053" t="n"/>
      <c r="R127" s="49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 t="n"/>
      <c r="AS127" s="1105" t="n"/>
    </row>
    <row r="128" outlineLevel="1" ht="15" customHeight="1" s="986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</row>
    <row r="129" outlineLevel="1" ht="15" customHeight="1" s="98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  <c r="AQ129" s="24" t="n"/>
      <c r="AR129" s="24" t="n"/>
      <c r="AS129" s="1108" t="n"/>
    </row>
    <row r="130" outlineLevel="1" ht="15" customHeight="1" s="98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Q130" s="24" t="n"/>
      <c r="AR130" s="24" t="n"/>
      <c r="AS130" s="1108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</row>
    <row r="132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</row>
    <row r="136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  <c r="AQ136" s="24" t="n"/>
      <c r="AR136" s="24" t="n"/>
      <c r="AS136" s="1108" t="n"/>
    </row>
    <row r="137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  <c r="AQ138" s="24" t="n"/>
      <c r="AR138" s="24" t="n"/>
      <c r="AS138" s="1108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  <c r="AQ140" s="23" t="n"/>
      <c r="AR140" s="23" t="n"/>
      <c r="AS140" s="1107" t="n"/>
      <c r="BI140" s="274" t="n"/>
      <c r="BJ140" s="274" t="n"/>
      <c r="BK140" s="274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  <c r="AQ141" s="23" t="n"/>
      <c r="AR141" s="23" t="n"/>
      <c r="AS141" s="1107" t="n"/>
      <c r="BI141" s="274" t="n"/>
      <c r="BJ141" s="274" t="n"/>
      <c r="BK141" s="274" t="n"/>
    </row>
    <row r="142" outlineLevel="1" ht="15" customHeight="1" s="98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  <c r="AQ143" s="136" t="n"/>
      <c r="AR143" s="136" t="n"/>
      <c r="AS143" s="1122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</row>
    <row r="145" ht="15" customHeight="1" s="986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  <c r="AQ146" s="633" t="n"/>
      <c r="AR146" s="633" t="n"/>
      <c r="AS146" s="1132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 t="n"/>
      <c r="O147" s="491">
        <f>SUM(O148:O151)</f>
        <v/>
      </c>
      <c r="P147" s="492" t="n"/>
      <c r="Q147" s="1069" t="n"/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 t="n"/>
    </row>
    <row r="148" ht="15" customHeight="1" s="986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Q148" s="31" t="n"/>
      <c r="AR148" s="31" t="n"/>
      <c r="AS148" s="1123" t="n"/>
    </row>
    <row r="149" ht="15" customHeight="1" s="986">
      <c r="B149" s="285" t="inlineStr">
        <is>
          <t>Gastos Fijos Directivos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</row>
    <row r="150" ht="15" customHeight="1" s="986">
      <c r="B150" s="107" t="inlineStr">
        <is>
          <t>Gastos Financieros Directos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Q150" s="24" t="n"/>
      <c r="AR150" s="24" t="n"/>
      <c r="AS150" s="1108" t="n"/>
    </row>
    <row r="151" ht="15" customHeight="1" s="986" thickBot="1">
      <c r="B151" s="300" t="inlineStr">
        <is>
          <t>Donaciones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  <c r="AQ152" s="136" t="n"/>
      <c r="AR152" s="136" t="n"/>
      <c r="AS152" s="1122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 t="n"/>
    </row>
    <row r="154" ht="15" customHeight="1" s="986" thickTop="1">
      <c r="B154" s="1135" t="inlineStr">
        <is>
          <t>Novedades</t>
        </is>
      </c>
      <c r="C154" s="286" t="n"/>
      <c r="D154" s="230" t="n"/>
      <c r="E154" s="1136" t="n"/>
      <c r="F154" s="286" t="n"/>
      <c r="G154" s="230" t="n"/>
      <c r="H154" s="1136" t="n"/>
      <c r="I154" s="286" t="n"/>
      <c r="J154" s="230" t="n"/>
      <c r="K154" s="1136" t="n"/>
      <c r="L154" s="286" t="n"/>
      <c r="M154" s="230" t="n"/>
      <c r="N154" s="1136" t="n"/>
      <c r="O154" s="1172" t="n"/>
      <c r="P154" s="230" t="n"/>
      <c r="Q154" s="1136" t="n"/>
      <c r="R154" s="286" t="n"/>
      <c r="S154" s="230" t="n"/>
      <c r="T154" s="1136" t="n"/>
      <c r="U154" s="287" t="n"/>
      <c r="V154" s="230" t="n"/>
      <c r="W154" s="1136" t="n"/>
      <c r="X154" s="287" t="n"/>
      <c r="Y154" s="230" t="n"/>
      <c r="Z154" s="1136" t="n"/>
      <c r="AA154" s="287" t="n"/>
      <c r="AB154" s="230" t="n"/>
      <c r="AC154" s="1136" t="n"/>
      <c r="AD154" s="287" t="n"/>
      <c r="AE154" s="230" t="n"/>
      <c r="AF154" s="1136" t="n"/>
      <c r="AG154" s="287" t="n"/>
      <c r="AH154" s="230" t="n"/>
      <c r="AI154" s="1136" t="n"/>
      <c r="AJ154" s="287" t="n"/>
      <c r="AK154" s="230" t="n"/>
      <c r="AL154" s="245" t="n"/>
      <c r="AM154" s="718">
        <f>C154+F154+I154+L154+O154+R154+U154+X154+AA154+AD154+AG154+AJ154</f>
        <v/>
      </c>
      <c r="AN154" s="230" t="n"/>
      <c r="AO154" s="1137" t="n"/>
      <c r="AQ154" s="289" t="n"/>
      <c r="AR154" s="289" t="n"/>
      <c r="AS154" s="1138" t="n"/>
    </row>
    <row r="155" ht="15" customHeight="1" s="986">
      <c r="B155" s="1139" t="inlineStr">
        <is>
          <t>Donacion</t>
        </is>
      </c>
      <c r="C155" s="693" t="n"/>
      <c r="D155" s="9" t="n"/>
      <c r="E155" s="1140" t="n"/>
      <c r="F155" s="693" t="n"/>
      <c r="G155" s="9" t="n"/>
      <c r="H155" s="1140" t="n"/>
      <c r="I155" s="694" t="n"/>
      <c r="J155" s="9" t="n"/>
      <c r="K155" s="1140" t="n"/>
      <c r="L155" s="694" t="n"/>
      <c r="M155" s="9" t="n"/>
      <c r="N155" s="1140" t="n"/>
      <c r="O155" s="1179" t="n"/>
      <c r="P155" s="9" t="n"/>
      <c r="Q155" s="1140" t="n"/>
      <c r="R155" s="694" t="n"/>
      <c r="S155" s="9" t="n"/>
      <c r="T155" s="1140" t="n"/>
      <c r="U155" s="694" t="n"/>
      <c r="V155" s="9" t="n"/>
      <c r="W155" s="1140" t="n"/>
      <c r="X155" s="694" t="n"/>
      <c r="Y155" s="9" t="n"/>
      <c r="Z155" s="1140" t="n"/>
      <c r="AA155" s="694" t="n"/>
      <c r="AB155" s="9" t="n"/>
      <c r="AC155" s="1140" t="n"/>
      <c r="AD155" s="1179" t="n"/>
      <c r="AE155" s="9" t="n"/>
      <c r="AF155" s="1140" t="n"/>
      <c r="AG155" s="1179" t="n"/>
      <c r="AH155" s="9" t="n"/>
      <c r="AI155" s="1140" t="n"/>
      <c r="AJ155" s="1179" t="n"/>
      <c r="AK155" s="9" t="n"/>
      <c r="AL155" s="240" t="n"/>
      <c r="AM155" s="294">
        <f>C155+F155+I155+L155+O155+R155+U155+X155+AA155+AD155+AG155+AJ155</f>
        <v/>
      </c>
      <c r="AN155" s="9" t="n"/>
      <c r="AO155" s="1141" t="n"/>
      <c r="AQ155" s="248" t="n"/>
      <c r="AR155" s="248" t="n"/>
      <c r="AS155" s="1142" t="n"/>
    </row>
    <row r="156" ht="15" customHeight="1" s="986">
      <c r="B156" s="1143" t="inlineStr">
        <is>
          <t>Donacion</t>
        </is>
      </c>
      <c r="C156" s="687" t="n"/>
      <c r="D156" s="677" t="n"/>
      <c r="E156" s="1144" t="n"/>
      <c r="F156" s="687" t="n"/>
      <c r="G156" s="677" t="n"/>
      <c r="H156" s="1144" t="n"/>
      <c r="I156" s="688" t="n"/>
      <c r="J156" s="677" t="n"/>
      <c r="K156" s="1144" t="n"/>
      <c r="L156" s="688" t="n"/>
      <c r="M156" s="677" t="n"/>
      <c r="N156" s="1144" t="n"/>
      <c r="O156" s="1199" t="n"/>
      <c r="P156" s="677" t="n"/>
      <c r="Q156" s="1144" t="n"/>
      <c r="R156" s="688" t="n"/>
      <c r="S156" s="677" t="n"/>
      <c r="T156" s="1144" t="n"/>
      <c r="U156" s="688" t="n"/>
      <c r="V156" s="677" t="n"/>
      <c r="W156" s="1144" t="n"/>
      <c r="X156" s="688" t="n"/>
      <c r="Y156" s="677" t="n"/>
      <c r="Z156" s="1144" t="n"/>
      <c r="AA156" s="688" t="n"/>
      <c r="AB156" s="677" t="n"/>
      <c r="AC156" s="1144" t="n"/>
      <c r="AD156" s="1199" t="n"/>
      <c r="AE156" s="677" t="n"/>
      <c r="AF156" s="1144" t="n"/>
      <c r="AG156" s="1199" t="n"/>
      <c r="AH156" s="677" t="n"/>
      <c r="AI156" s="1144" t="n"/>
      <c r="AJ156" s="1199" t="n"/>
      <c r="AK156" s="677" t="n"/>
      <c r="AL156" s="681" t="n"/>
      <c r="AM156" s="715">
        <f>C156+F156+I156+L156+O156+R156+U156+X156+AA156+AD156+AG156+AJ156</f>
        <v/>
      </c>
      <c r="AN156" s="677" t="n"/>
      <c r="AO156" s="1145" t="n"/>
      <c r="AQ156" s="248" t="n"/>
      <c r="AR156" s="248" t="n"/>
      <c r="AS156" s="1142" t="n"/>
    </row>
    <row r="157" ht="15" customHeight="1" s="986">
      <c r="B157" s="1146" t="inlineStr">
        <is>
          <t>Otros Ajustes</t>
        </is>
      </c>
      <c r="C157" s="563" t="n"/>
      <c r="D157" s="553" t="n"/>
      <c r="E157" s="1147" t="n"/>
      <c r="F157" s="563" t="n"/>
      <c r="G157" s="553" t="n"/>
      <c r="H157" s="1147" t="n"/>
      <c r="I157" s="567" t="n"/>
      <c r="J157" s="553" t="n"/>
      <c r="K157" s="1147" t="n"/>
      <c r="L157" s="567" t="n"/>
      <c r="M157" s="553" t="n"/>
      <c r="N157" s="1147" t="n"/>
      <c r="O157" s="567" t="n"/>
      <c r="P157" s="553" t="n"/>
      <c r="Q157" s="1147" t="n"/>
      <c r="R157" s="567" t="n"/>
      <c r="S157" s="553" t="n"/>
      <c r="T157" s="1147" t="n"/>
      <c r="U157" s="567" t="n"/>
      <c r="V157" s="553" t="n"/>
      <c r="W157" s="1147" t="n"/>
      <c r="X157" s="567" t="n"/>
      <c r="Y157" s="553" t="n"/>
      <c r="Z157" s="1147" t="n"/>
      <c r="AA157" s="567" t="n"/>
      <c r="AB157" s="553" t="n"/>
      <c r="AC157" s="1147" t="n"/>
      <c r="AD157" s="567" t="n"/>
      <c r="AE157" s="553" t="n"/>
      <c r="AF157" s="1147" t="n"/>
      <c r="AG157" s="567" t="n"/>
      <c r="AH157" s="553" t="n"/>
      <c r="AI157" s="1147" t="n"/>
      <c r="AJ157" s="567" t="n"/>
      <c r="AK157" s="553" t="n"/>
      <c r="AL157" s="557" t="n"/>
      <c r="AM157" s="294">
        <f>C157+F157+I157+L157+O157+R157+U157+X157+AA157+AD157+AG157+AJ157</f>
        <v/>
      </c>
      <c r="AN157" s="553" t="n"/>
      <c r="AO157" s="1178">
        <f>AM157/AM42</f>
        <v/>
      </c>
      <c r="AQ157" s="561" t="n"/>
      <c r="AR157" s="561" t="n"/>
      <c r="AS157" s="1149" t="n"/>
    </row>
    <row r="158" ht="15" customHeight="1" s="986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567" t="n"/>
      <c r="P158" s="13" t="n"/>
      <c r="Q158" s="1151" t="n"/>
      <c r="R158" s="567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AM158/$AM$42</f>
        <v/>
      </c>
      <c r="AQ158" s="296" t="n"/>
      <c r="AR158" s="296" t="n"/>
      <c r="AS158" s="1153" t="n"/>
    </row>
    <row r="159" ht="15" customHeight="1" s="986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567" t="n"/>
      <c r="P159" s="13" t="n"/>
      <c r="Q159" s="1151" t="n"/>
      <c r="R159" s="567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AM159/$AM$42</f>
        <v/>
      </c>
      <c r="AQ159" s="296" t="n"/>
      <c r="AR159" s="296" t="n"/>
      <c r="AS159" s="1153" t="n"/>
    </row>
    <row r="160" ht="15" customHeight="1" s="986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56">
        <f>AM160/$AM$42</f>
        <v/>
      </c>
      <c r="AQ160" s="622" t="n"/>
      <c r="AR160" s="622" t="n"/>
      <c r="AS160" s="1157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</row>
    <row r="162" ht="15" customHeight="1" s="986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</row>
    <row r="163" ht="10.8" customHeight="1" s="986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2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7"/>
    <col width="8.6640625" customWidth="1" style="1033" min="38" max="38"/>
    <col width="15.6640625" customWidth="1" style="993" min="39" max="39"/>
    <col width="8.6640625" customWidth="1" style="993" min="40" max="40"/>
    <col width="8.6640625" customWidth="1" style="1033" min="41" max="41"/>
    <col width="7.4414062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COMEDORES CALI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614" t="n"/>
      <c r="AO2" s="1096" t="n"/>
    </row>
    <row r="3" ht="21.75" customHeight="1" s="986" thickBot="1" thickTop="1">
      <c r="B3" s="523" t="inlineStr">
        <is>
          <t xml:space="preserve">DIAS DE ATENCIÓN </t>
        </is>
      </c>
      <c r="C3" s="479" t="n">
        <v>16</v>
      </c>
      <c r="D3" s="480" t="n"/>
      <c r="E3" s="1035" t="n"/>
      <c r="F3" s="479" t="n">
        <v>20</v>
      </c>
      <c r="G3" s="480" t="n"/>
      <c r="H3" s="1035" t="n"/>
      <c r="I3" s="479" t="n">
        <v>21</v>
      </c>
      <c r="J3" s="480" t="n"/>
      <c r="K3" s="1035" t="n"/>
      <c r="L3" s="479" t="n">
        <v>20</v>
      </c>
      <c r="M3" s="480" t="n"/>
      <c r="N3" s="1035" t="n"/>
      <c r="O3" s="479" t="n">
        <v>19</v>
      </c>
      <c r="P3" s="480" t="n"/>
      <c r="Q3" s="1035" t="n"/>
      <c r="R3" s="479" t="n">
        <v>19</v>
      </c>
      <c r="S3" s="480" t="n"/>
      <c r="T3" s="1035" t="n"/>
      <c r="U3" s="479" t="n">
        <v>22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21</v>
      </c>
      <c r="AE3" s="480" t="n"/>
      <c r="AF3" s="1035" t="n"/>
      <c r="AG3" s="479" t="n">
        <v>19</v>
      </c>
      <c r="AH3" s="480" t="n"/>
      <c r="AI3" s="1035" t="n"/>
      <c r="AJ3" s="479" t="n">
        <v>21</v>
      </c>
      <c r="AK3" s="480" t="n"/>
      <c r="AL3" s="1035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41" t="n"/>
      <c r="F5" s="257" t="n"/>
      <c r="G5" s="89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1041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25" t="n"/>
      <c r="D6" s="43" t="n"/>
      <c r="E6" s="1045" t="n"/>
      <c r="F6" s="25" t="n"/>
      <c r="G6" s="89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1045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25" t="n"/>
      <c r="D7" s="43" t="n"/>
      <c r="E7" s="1045" t="n"/>
      <c r="F7" s="25" t="n"/>
      <c r="G7" s="89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1045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43" t="n"/>
      <c r="E8" s="1045" t="n"/>
      <c r="F8" s="25" t="n"/>
      <c r="G8" s="43" t="n"/>
      <c r="H8" s="1045" t="n"/>
      <c r="I8" s="25" t="n"/>
      <c r="J8" s="43" t="n"/>
      <c r="K8" s="1045" t="n"/>
      <c r="L8" s="25" t="n"/>
      <c r="M8" s="43" t="n"/>
      <c r="N8" s="1045" t="n"/>
      <c r="O8" s="25" t="n"/>
      <c r="P8" s="43" t="n"/>
      <c r="Q8" s="1045" t="n"/>
      <c r="R8" s="25" t="n"/>
      <c r="S8" s="43" t="n"/>
      <c r="T8" s="1045" t="n"/>
      <c r="U8" s="25" t="n"/>
      <c r="V8" s="43" t="n"/>
      <c r="W8" s="1045" t="n"/>
      <c r="X8" s="25" t="n"/>
      <c r="Y8" s="43" t="n"/>
      <c r="Z8" s="1045" t="n"/>
      <c r="AA8" s="25" t="n"/>
      <c r="AB8" s="43" t="n"/>
      <c r="AC8" s="1045" t="n"/>
      <c r="AD8" s="25" t="n"/>
      <c r="AE8" s="43" t="n"/>
      <c r="AF8" s="1045" t="n"/>
      <c r="AG8" s="25" t="n"/>
      <c r="AH8" s="43" t="n"/>
      <c r="AI8" s="1045" t="n"/>
      <c r="AJ8" s="74" t="n"/>
      <c r="AK8" s="43" t="n"/>
      <c r="AL8" s="1045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741" t="n"/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1045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258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1045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1047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104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1051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1053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>
        <f>AA15/AA15</f>
        <v/>
      </c>
      <c r="AD15" s="90">
        <f>SUM(AD16:AD22)</f>
        <v/>
      </c>
      <c r="AE15" s="96" t="n"/>
      <c r="AF15" s="1053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258" t="inlineStr">
        <is>
          <t>SUMINISTRO lunes a viernes</t>
        </is>
      </c>
      <c r="C16" s="257" t="n"/>
      <c r="D16" s="79" t="n"/>
      <c r="E16" s="1055" t="n"/>
      <c r="F16" s="257" t="n"/>
      <c r="G16" s="79" t="n"/>
      <c r="H16" s="1055" t="n"/>
      <c r="I16" s="257" t="n"/>
      <c r="J16" s="79">
        <f>I16/I5</f>
        <v/>
      </c>
      <c r="K16" s="1055" t="n"/>
      <c r="L16" s="257" t="n"/>
      <c r="M16" s="79">
        <f>L16/L5</f>
        <v/>
      </c>
      <c r="N16" s="1055" t="n"/>
      <c r="O16" s="257" t="n"/>
      <c r="P16" s="79">
        <f>O16/O5</f>
        <v/>
      </c>
      <c r="Q16" s="1055" t="n"/>
      <c r="R16" s="257" t="n"/>
      <c r="S16" s="79">
        <f>R16/R5</f>
        <v/>
      </c>
      <c r="T16" s="1055" t="n"/>
      <c r="U16" s="257" t="n"/>
      <c r="V16" s="79">
        <f>U16/U5</f>
        <v/>
      </c>
      <c r="W16" s="1055" t="n"/>
      <c r="X16" s="257" t="n"/>
      <c r="Y16" s="79">
        <f>X16/X5</f>
        <v/>
      </c>
      <c r="Z16" s="1055" t="n"/>
      <c r="AA16" s="257" t="n"/>
      <c r="AB16" s="79">
        <f>AA16/AA5</f>
        <v/>
      </c>
      <c r="AC16" s="1055" t="n"/>
      <c r="AD16" s="257" t="n"/>
      <c r="AE16" s="79">
        <f>AD16/AD5</f>
        <v/>
      </c>
      <c r="AF16" s="1055" t="n"/>
      <c r="AG16" s="257" t="n"/>
      <c r="AH16" s="79">
        <f>AG16/AG5</f>
        <v/>
      </c>
      <c r="AI16" s="1055" t="n"/>
      <c r="AJ16" s="257" t="n"/>
      <c r="AK16" s="79">
        <f>AJ16/AJ5</f>
        <v/>
      </c>
      <c r="AL16" s="1055" t="n"/>
      <c r="AM16" s="212">
        <f>C16+F16+I16+L16+O16+R16+U16+X16+AA16+AD16+AG16+AJ16</f>
        <v/>
      </c>
      <c r="AN16" s="79">
        <f>AM16/(AM5)</f>
        <v/>
      </c>
      <c r="AO16" s="1056">
        <f>AM16/AM$13</f>
        <v/>
      </c>
    </row>
    <row r="17" ht="15" customHeight="1" s="986">
      <c r="B17" s="258" t="inlineStr">
        <is>
          <t>SUMINISTRO lunes a viernes   OP</t>
        </is>
      </c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1045" t="n"/>
      <c r="AM17" s="205">
        <f>C17+F17+I17+L17+O17+R17+U17+X17+AA17+AD17+AG17+AJ17</f>
        <v/>
      </c>
      <c r="AN17" s="43" t="n"/>
      <c r="AO17" s="1046">
        <f>AM17/AM$13</f>
        <v/>
      </c>
    </row>
    <row r="18" ht="15" customHeight="1" s="986">
      <c r="B18" s="258" t="inlineStr">
        <is>
          <t xml:space="preserve">SUMINISTRO Fines de Semana    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>
        <f>I18/I7</f>
        <v/>
      </c>
      <c r="K18" s="1045" t="n"/>
      <c r="L18" s="25" t="n"/>
      <c r="M18" s="43">
        <f>L18/L7</f>
        <v/>
      </c>
      <c r="N18" s="1045" t="n"/>
      <c r="O18" s="25" t="n"/>
      <c r="P18" s="43">
        <f>O18/O7</f>
        <v/>
      </c>
      <c r="Q18" s="1045" t="n"/>
      <c r="R18" s="25" t="n"/>
      <c r="S18" s="43">
        <f>R18/R7</f>
        <v/>
      </c>
      <c r="T18" s="1045" t="n"/>
      <c r="U18" s="25" t="n"/>
      <c r="V18" s="43">
        <f>U18/U7</f>
        <v/>
      </c>
      <c r="W18" s="1045" t="n"/>
      <c r="X18" s="25" t="n"/>
      <c r="Y18" s="43">
        <f>X18/X7</f>
        <v/>
      </c>
      <c r="Z18" s="1045" t="n"/>
      <c r="AA18" s="25" t="n"/>
      <c r="AB18" s="43">
        <f>AA18/AA7</f>
        <v/>
      </c>
      <c r="AC18" s="1045" t="n"/>
      <c r="AD18" s="25" t="n"/>
      <c r="AE18" s="43">
        <f>AD18/AD7</f>
        <v/>
      </c>
      <c r="AF18" s="1045" t="n"/>
      <c r="AG18" s="25" t="n"/>
      <c r="AH18" s="43">
        <f>AG18/AG7</f>
        <v/>
      </c>
      <c r="AI18" s="1045" t="n"/>
      <c r="AJ18" s="25" t="n"/>
      <c r="AK18" s="43">
        <f>AJ18/AJ7</f>
        <v/>
      </c>
      <c r="AL18" s="1045" t="n"/>
      <c r="AM18" s="205">
        <f>C18+F18+I18+L18+O18+R18+U18+X18+AA18+AD18+AG18+AJ18</f>
        <v/>
      </c>
      <c r="AN18" s="43">
        <f>AM18/AM7</f>
        <v/>
      </c>
      <c r="AO18" s="1046">
        <f>AM18/AM$13</f>
        <v/>
      </c>
    </row>
    <row r="19" ht="15" customHeight="1" s="986">
      <c r="B19" s="258" t="inlineStr">
        <is>
          <t xml:space="preserve">Contingencia   </t>
        </is>
      </c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1045" t="n"/>
      <c r="AM19" s="205">
        <f>C19+F19+I19+L19+O19+R19+U19+X19+AA19+AD19+AG19+AJ19</f>
        <v/>
      </c>
      <c r="AN19" s="43" t="n"/>
      <c r="AO19" s="1046" t="n"/>
    </row>
    <row r="20" ht="15" customHeight="1" s="986">
      <c r="B20" s="741" t="n"/>
      <c r="C20" s="74" t="n"/>
      <c r="D20" s="43" t="n"/>
      <c r="E20" s="1045" t="n"/>
      <c r="F20" s="7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1045" t="n"/>
      <c r="AM20" s="205">
        <f>C20+F20+I20+L20+O20+R20+U20+X20+AA20+AD20+AG20+AJ20</f>
        <v/>
      </c>
      <c r="AN20" s="43" t="n"/>
      <c r="AO20" s="1046" t="n"/>
    </row>
    <row r="21" ht="15" customHeight="1" s="986">
      <c r="B21" s="433" t="inlineStr">
        <is>
          <t>TRANSPORTE Lunes a viernes</t>
        </is>
      </c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1045" t="n"/>
      <c r="AM21" s="205">
        <f>C21+F21+I21+L21+O21+R21+U21+X21+AA21+AD21+AG21+AJ21</f>
        <v/>
      </c>
      <c r="AN21" s="43" t="n"/>
      <c r="AO21" s="1046" t="n"/>
    </row>
    <row r="22" ht="15" customHeight="1" s="986">
      <c r="B22" s="433" t="inlineStr">
        <is>
          <t>TRANSPORTE Fines de Semana</t>
        </is>
      </c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1057" t="n"/>
      <c r="AM22" s="97">
        <f>C22+F22+I22+L22+O22+R22+U22+X22+AA22+AD22+AG22+AJ22</f>
        <v/>
      </c>
      <c r="AN22" s="42" t="n"/>
      <c r="AO22" s="1058" t="n"/>
    </row>
    <row r="23" hidden="1" outlineLevel="1" ht="10.2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49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1053" t="n"/>
      <c r="AM23" s="16">
        <f>C23+F23+I23+L23+O23+R23+U23+X23+AA23+AD23+AG23+AJ23</f>
        <v/>
      </c>
      <c r="AN23" s="3" t="n"/>
      <c r="AO23" s="1054" t="n"/>
    </row>
    <row r="24" hidden="1" outlineLevel="1" ht="10.2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1053" t="n"/>
      <c r="AM24" s="16">
        <f>C24+F24+I24+L24+O24+R24+U24+X24+AA24+AD24+AG24+AJ24</f>
        <v/>
      </c>
      <c r="AN24" s="3" t="n"/>
      <c r="AO24" s="1054" t="n"/>
    </row>
    <row r="25" hidden="1" outlineLevel="1" ht="10.2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1059" t="n"/>
      <c r="AM25" s="34">
        <f>C25+F25+I25+L25+O25+R25+U25+X25+AA25+AD25+AG25+AJ25</f>
        <v/>
      </c>
      <c r="AN25" s="52" t="n"/>
      <c r="AO25" s="1060" t="n"/>
    </row>
    <row r="26" hidden="1" outlineLevel="1" ht="10.2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1059" t="n"/>
      <c r="AM26" s="34">
        <f>C26+F26+I26+L26+O26+R26+U26+X26+AA26+AD26+AG26+AJ26</f>
        <v/>
      </c>
      <c r="AN26" s="52" t="n"/>
      <c r="AO26" s="1060" t="n"/>
    </row>
    <row r="27" hidden="1" outlineLevel="1" ht="10.2" customHeight="1" s="986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1059" t="n"/>
      <c r="AM27" s="34">
        <f>C27+F27+I27+L27+O27+R27+U27+X27+AA27+AD27+AG27+AJ27</f>
        <v/>
      </c>
      <c r="AN27" s="52" t="n"/>
      <c r="AO27" s="1060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49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1053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766">
        <f>X29/X13</f>
        <v/>
      </c>
      <c r="AA29" s="90">
        <f>SUM(AA30:AA35)</f>
        <v/>
      </c>
      <c r="AB29" s="3" t="n"/>
      <c r="AC29" s="1053">
        <f>AA29/AA13</f>
        <v/>
      </c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1053" t="n"/>
      <c r="AM29" s="16">
        <f>C29+F29+I29+L29+O29+R29+U29+X29+AA29+AD29+AG29+AJ29</f>
        <v/>
      </c>
      <c r="AN29" s="3">
        <f>AM29/$AM$5</f>
        <v/>
      </c>
      <c r="AO29" s="1054">
        <f>AM29/AM13</f>
        <v/>
      </c>
    </row>
    <row r="30" hidden="1" outlineLevel="1" ht="15" customHeight="1" s="986"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1055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6" thickBot="1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1045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6" thickBot="1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1045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6" thickBot="1">
      <c r="B33" s="105" t="n"/>
      <c r="C33" s="1062" t="n"/>
      <c r="D33" s="43" t="n"/>
      <c r="E33" s="1045" t="n"/>
      <c r="F33" s="1062" t="n"/>
      <c r="G33" s="43" t="n"/>
      <c r="H33" s="1045" t="n"/>
      <c r="I33" s="1062" t="n"/>
      <c r="J33" s="43" t="n"/>
      <c r="K33" s="1045" t="n"/>
      <c r="L33" s="1062" t="n"/>
      <c r="M33" s="43" t="n"/>
      <c r="N33" s="1045" t="n"/>
      <c r="O33" s="1062" t="n"/>
      <c r="P33" s="43" t="n"/>
      <c r="Q33" s="1045" t="n"/>
      <c r="R33" s="1062" t="n"/>
      <c r="S33" s="43" t="n"/>
      <c r="T33" s="1045" t="n"/>
      <c r="U33" s="1062" t="n"/>
      <c r="V33" s="43" t="n"/>
      <c r="W33" s="1045" t="n"/>
      <c r="X33" s="1062" t="n"/>
      <c r="Y33" s="43" t="n"/>
      <c r="Z33" s="1045" t="n"/>
      <c r="AA33" s="1062" t="n"/>
      <c r="AB33" s="43" t="n"/>
      <c r="AC33" s="1045" t="n"/>
      <c r="AD33" s="1062" t="n"/>
      <c r="AE33" s="43" t="n"/>
      <c r="AF33" s="1045" t="n"/>
      <c r="AG33" s="1062" t="n"/>
      <c r="AH33" s="43" t="n"/>
      <c r="AI33" s="1045" t="n"/>
      <c r="AJ33" s="1062" t="n"/>
      <c r="AK33" s="43" t="n"/>
      <c r="AL33" s="1045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6" thickBot="1">
      <c r="B34" s="105" t="n"/>
      <c r="C34" s="1062" t="n"/>
      <c r="D34" s="43" t="n"/>
      <c r="E34" s="1045" t="n"/>
      <c r="F34" s="1062" t="n"/>
      <c r="G34" s="43" t="n"/>
      <c r="H34" s="1045" t="n"/>
      <c r="I34" s="1062" t="n"/>
      <c r="J34" s="43" t="n"/>
      <c r="K34" s="1045" t="n"/>
      <c r="L34" s="1062" t="n"/>
      <c r="M34" s="43" t="n"/>
      <c r="N34" s="1045" t="n"/>
      <c r="O34" s="1062" t="n"/>
      <c r="P34" s="43" t="n"/>
      <c r="Q34" s="1045" t="n"/>
      <c r="R34" s="1062" t="n"/>
      <c r="S34" s="43" t="n"/>
      <c r="T34" s="1045" t="n"/>
      <c r="U34" s="1062" t="n"/>
      <c r="V34" s="43" t="n"/>
      <c r="W34" s="1045" t="n"/>
      <c r="X34" s="1062" t="n"/>
      <c r="Y34" s="43" t="n"/>
      <c r="Z34" s="1045" t="n"/>
      <c r="AA34" s="1062" t="n"/>
      <c r="AB34" s="43" t="n"/>
      <c r="AC34" s="1045" t="n"/>
      <c r="AD34" s="1062" t="n"/>
      <c r="AE34" s="43" t="n"/>
      <c r="AF34" s="1045" t="n"/>
      <c r="AG34" s="1062" t="n"/>
      <c r="AH34" s="43" t="n"/>
      <c r="AI34" s="1045" t="n"/>
      <c r="AJ34" s="1062" t="n"/>
      <c r="AK34" s="43" t="n"/>
      <c r="AL34" s="1045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6" thickBot="1">
      <c r="B35" s="335" t="n"/>
      <c r="C35" s="1062" t="n"/>
      <c r="D35" s="92" t="n"/>
      <c r="E35" s="1063" t="n"/>
      <c r="F35" s="1062" t="n"/>
      <c r="G35" s="92" t="n"/>
      <c r="H35" s="1063" t="n"/>
      <c r="I35" s="1062" t="n"/>
      <c r="J35" s="92" t="n"/>
      <c r="K35" s="1063" t="n"/>
      <c r="L35" s="1062" t="n"/>
      <c r="M35" s="92" t="n"/>
      <c r="N35" s="1063" t="n"/>
      <c r="O35" s="1062" t="n"/>
      <c r="P35" s="92" t="n"/>
      <c r="Q35" s="1063" t="n"/>
      <c r="R35" s="1062" t="n"/>
      <c r="S35" s="92" t="n"/>
      <c r="T35" s="1063" t="n"/>
      <c r="U35" s="1062" t="n"/>
      <c r="V35" s="92" t="n"/>
      <c r="W35" s="1063" t="n"/>
      <c r="X35" s="1062" t="n"/>
      <c r="Y35" s="92" t="n"/>
      <c r="Z35" s="1063" t="n"/>
      <c r="AA35" s="1062" t="n"/>
      <c r="AB35" s="92" t="n"/>
      <c r="AC35" s="1063" t="n"/>
      <c r="AD35" s="1062" t="n"/>
      <c r="AE35" s="92" t="n"/>
      <c r="AF35" s="1063" t="n"/>
      <c r="AG35" s="1062" t="n"/>
      <c r="AH35" s="92" t="n"/>
      <c r="AI35" s="1063" t="n"/>
      <c r="AJ35" s="1062" t="n"/>
      <c r="AK35" s="92" t="n"/>
      <c r="AL35" s="1063" t="n"/>
      <c r="AM35" s="284">
        <f>C35+F35+I35+L35+O35+R35+U35+X35+AA35+AD35+AG35+AJ35</f>
        <v/>
      </c>
      <c r="AN35" s="92" t="n"/>
      <c r="AO35" s="1064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98" t="n"/>
      <c r="AA36" s="25" t="n"/>
      <c r="AB36" s="43" t="n"/>
      <c r="AC36" s="1098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1045" t="n"/>
      <c r="AM36" s="25" t="n"/>
      <c r="AN36" s="43" t="n"/>
      <c r="AO36" s="1046" t="n"/>
    </row>
    <row r="37" hidden="1" outlineLevel="1" ht="15" customHeight="1" s="986" thickBot="1">
      <c r="B37" s="105" t="n"/>
      <c r="C37" s="25" t="n"/>
      <c r="D37" s="43" t="n"/>
      <c r="E37" s="1045" t="n"/>
      <c r="F37" s="25" t="n"/>
      <c r="G37" s="43" t="n"/>
      <c r="H37" s="1045" t="n"/>
      <c r="I37" s="25" t="n"/>
      <c r="J37" s="43" t="n"/>
      <c r="K37" s="1045" t="n"/>
      <c r="L37" s="25" t="n"/>
      <c r="M37" s="43" t="n"/>
      <c r="N37" s="1045" t="n"/>
      <c r="O37" s="25" t="n"/>
      <c r="P37" s="43" t="n"/>
      <c r="Q37" s="1045" t="n"/>
      <c r="R37" s="25" t="n"/>
      <c r="S37" s="43" t="n"/>
      <c r="T37" s="1045" t="n"/>
      <c r="U37" s="25" t="n"/>
      <c r="V37" s="43" t="n"/>
      <c r="W37" s="1045" t="n"/>
      <c r="X37" s="25" t="n"/>
      <c r="Y37" s="43" t="n"/>
      <c r="Z37" s="1045" t="n"/>
      <c r="AA37" s="25" t="n"/>
      <c r="AB37" s="43" t="n"/>
      <c r="AC37" s="1045" t="n"/>
      <c r="AD37" s="25" t="n"/>
      <c r="AE37" s="43" t="n"/>
      <c r="AF37" s="1045" t="n"/>
      <c r="AG37" s="25" t="n"/>
      <c r="AH37" s="43" t="n"/>
      <c r="AI37" s="1045" t="n"/>
      <c r="AJ37" s="25" t="n"/>
      <c r="AK37" s="43" t="n"/>
      <c r="AL37" s="1045" t="n"/>
      <c r="AM37" s="205" t="n"/>
      <c r="AN37" s="43" t="n"/>
      <c r="AO37" s="1046" t="n"/>
    </row>
    <row r="38" hidden="1" outlineLevel="1" ht="15" customHeight="1" s="986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1057" t="n"/>
      <c r="AM38" s="97" t="n"/>
      <c r="AN38" s="42" t="n"/>
      <c r="AO38" s="1058" t="n"/>
    </row>
    <row r="39" hidden="1" outlineLevel="1" ht="15" customHeight="1" s="986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1057" t="n"/>
      <c r="AM39" s="97" t="n"/>
      <c r="AN39" s="42" t="n"/>
      <c r="AO39" s="1058" t="n"/>
    </row>
    <row r="40" hidden="1" outlineLevel="1" ht="15" customHeight="1" s="986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1057" t="n"/>
      <c r="AM40" s="97" t="n"/>
      <c r="AN40" s="42" t="n"/>
      <c r="AO40" s="1058" t="n"/>
    </row>
    <row r="41" hidden="1" outlineLevel="1" ht="15" customHeight="1" s="986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1057" t="n"/>
      <c r="AM41" s="97" t="n"/>
      <c r="AN41" s="42" t="n"/>
      <c r="AO41" s="1058" t="n"/>
    </row>
    <row r="42" collapsed="1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1065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885" t="n"/>
      <c r="D43" s="1099" t="n"/>
      <c r="E43" s="1095" t="n"/>
      <c r="F43" s="885" t="n"/>
      <c r="G43" s="700" t="n"/>
      <c r="H43" s="1101" t="n"/>
      <c r="I43" s="705" t="n"/>
      <c r="J43" s="705" t="n"/>
      <c r="K43" s="1101" t="n"/>
      <c r="L43" s="705" t="n"/>
      <c r="M43" s="705" t="n"/>
      <c r="N43" s="1101" t="n"/>
      <c r="O43" s="705" t="n"/>
      <c r="P43" s="705" t="n"/>
      <c r="Q43" s="1101" t="n"/>
      <c r="R43" s="705" t="n"/>
      <c r="S43" s="705" t="n"/>
      <c r="T43" s="1101" t="n"/>
      <c r="U43" s="705" t="n"/>
      <c r="V43" s="705" t="n"/>
      <c r="W43" s="1101" t="n"/>
      <c r="X43" s="705" t="n"/>
      <c r="Y43" s="705" t="n"/>
      <c r="Z43" s="1101" t="n"/>
      <c r="AA43" s="705" t="n"/>
      <c r="AB43" s="705" t="n"/>
      <c r="AC43" s="1101" t="n"/>
      <c r="AD43" s="885" t="n"/>
      <c r="AE43" s="885" t="n"/>
      <c r="AF43" s="1201" t="n"/>
      <c r="AG43" s="885" t="n"/>
      <c r="AH43" s="885" t="n"/>
      <c r="AI43" s="1201" t="n"/>
      <c r="AJ43" s="885" t="n"/>
      <c r="AK43" s="705" t="n"/>
      <c r="AL43" s="705" t="n"/>
      <c r="AM43" s="885" t="n"/>
      <c r="AN43" s="705" t="n"/>
      <c r="AO43" s="1101" t="n"/>
      <c r="AP43" s="700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41">
        <f>+L45+L60+L78</f>
        <v/>
      </c>
      <c r="M44" s="442" t="n"/>
      <c r="N44" s="1103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70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763" t="n"/>
      <c r="AI45" s="1159" t="n"/>
      <c r="AJ45" s="49">
        <f>+AJ46+AJ57</f>
        <v/>
      </c>
      <c r="AK45" s="3" t="n"/>
      <c r="AL45" s="1053" t="n"/>
      <c r="AM45" s="16">
        <f>C45+F45+I45+L45+O45+R45+U45+X45+AA45+AD45+AG45+AJ45</f>
        <v/>
      </c>
      <c r="AN45" s="3" t="n"/>
      <c r="AO45" s="1054">
        <f>AM45/AM13</f>
        <v/>
      </c>
    </row>
    <row r="46" ht="15" customHeight="1" s="986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1071" t="n"/>
      <c r="AM46" s="211">
        <f>C46+F46+I46+L46+O46+R46+U46+X46+AA46+AD46+AG46+AJ46</f>
        <v/>
      </c>
      <c r="AN46" s="67" t="n"/>
      <c r="AO46" s="1072">
        <f>AM46/(AM16+AM18+AM19)</f>
        <v/>
      </c>
    </row>
    <row r="47" ht="15" customHeight="1" s="986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057">
        <f>C47/(C16+C18)</f>
        <v/>
      </c>
      <c r="F47" s="76" t="n">
        <v>2190302626.345448</v>
      </c>
      <c r="G47" s="42">
        <f>F47/F12</f>
        <v/>
      </c>
      <c r="H47" s="1202">
        <f>F47/(F16+F18)</f>
        <v/>
      </c>
      <c r="I47" s="76" t="n"/>
      <c r="J47" s="42">
        <f>I47/I12</f>
        <v/>
      </c>
      <c r="K47" s="1057">
        <f>I47/(I16+I18)</f>
        <v/>
      </c>
      <c r="L47" s="76" t="n"/>
      <c r="M47" s="42">
        <f>L47/L12</f>
        <v/>
      </c>
      <c r="N47" s="1057">
        <f>L47/(L16+L18)</f>
        <v/>
      </c>
      <c r="O47" s="76" t="n"/>
      <c r="P47" s="42">
        <f>O47/O12</f>
        <v/>
      </c>
      <c r="Q47" s="1057">
        <f>O47/(O16+O18)</f>
        <v/>
      </c>
      <c r="R47" s="76" t="n"/>
      <c r="S47" s="42">
        <f>R47/R12</f>
        <v/>
      </c>
      <c r="T47" s="1057">
        <f>R47/(R16+R18)</f>
        <v/>
      </c>
      <c r="U47" s="76" t="n"/>
      <c r="V47" s="42">
        <f>U47/U12</f>
        <v/>
      </c>
      <c r="W47" s="1057">
        <f>U47/(U16+U18)</f>
        <v/>
      </c>
      <c r="X47" s="76" t="n"/>
      <c r="Y47" s="42">
        <f>X47/X12</f>
        <v/>
      </c>
      <c r="Z47" s="1057">
        <f>X47/(X16+X18)</f>
        <v/>
      </c>
      <c r="AA47" s="76" t="n"/>
      <c r="AB47" s="42">
        <f>AA47/AA12</f>
        <v/>
      </c>
      <c r="AC47" s="1057">
        <f>AA47/(AA16+AA18)</f>
        <v/>
      </c>
      <c r="AD47" s="76" t="n"/>
      <c r="AE47" s="42">
        <f>AD47/AD12</f>
        <v/>
      </c>
      <c r="AF47" s="1057">
        <f>AD47/(AD16+AD18)</f>
        <v/>
      </c>
      <c r="AG47" s="76" t="n"/>
      <c r="AH47" s="42">
        <f>AG47/AG12</f>
        <v/>
      </c>
      <c r="AI47" s="1057">
        <f>AG47/(AG16+AG18)</f>
        <v/>
      </c>
      <c r="AJ47" s="76" t="n"/>
      <c r="AK47" s="42">
        <f>AJ47/AJ12</f>
        <v/>
      </c>
      <c r="AL47" s="1057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057">
        <f>AM47/(AM16+AM18+AM19)</f>
        <v/>
      </c>
    </row>
    <row r="48" ht="15" customHeight="1" s="986">
      <c r="B48" s="258" t="inlineStr">
        <is>
          <t xml:space="preserve">SUMINISTRO lunes a viernes   OP    </t>
        </is>
      </c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5" t="n"/>
    </row>
    <row r="49" ht="15" customFormat="1" customHeight="1" s="108">
      <c r="A49" s="229" t="n"/>
      <c r="B49" s="741" t="inlineStr">
        <is>
          <t xml:space="preserve">SUMINISTRO Fines de Semana     </t>
        </is>
      </c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1045" t="n"/>
      <c r="AM49" s="205">
        <f>C49+F49+I49+L49+O49+R49+U49+X49+AA49+AD49+AG49+AJ49</f>
        <v/>
      </c>
      <c r="AN49" s="43">
        <f>AM49/AM7</f>
        <v/>
      </c>
      <c r="AO49" s="1045">
        <f>AM49/AM18</f>
        <v/>
      </c>
      <c r="AQ49" s="2" t="n"/>
      <c r="AR49" s="2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1045" t="n"/>
      <c r="AM50" s="205">
        <f>C50+F50+I50+L50+O50+R50+U50+X50+AA50+AD50+AG50+AJ50</f>
        <v/>
      </c>
      <c r="AN50" s="43" t="n"/>
      <c r="AO50" s="1046" t="n"/>
    </row>
    <row r="51" hidden="1" ht="14.4" customHeight="1" s="986">
      <c r="B51" s="258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351" t="n"/>
      <c r="AE51" s="43" t="n"/>
      <c r="AF51" s="1045" t="n"/>
      <c r="AG51" s="1109" t="n"/>
      <c r="AH51" s="43" t="n"/>
      <c r="AI51" s="1045" t="n"/>
      <c r="AJ51" s="25" t="n"/>
      <c r="AK51" s="43" t="n"/>
      <c r="AL51" s="1045" t="n"/>
      <c r="AM51" s="205">
        <f>C51+F51+I51+L51+O51+R51+U51+X51+AA51+AD51+AG51+AJ51</f>
        <v/>
      </c>
      <c r="AN51" s="43" t="n"/>
      <c r="AO51" s="1046" t="n"/>
    </row>
    <row r="52" hidden="1" ht="10.2" customHeight="1" s="986">
      <c r="B52" s="411" t="inlineStr">
        <is>
          <t>REFRIGERIOS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1045" t="n"/>
      <c r="AM52" s="205">
        <f>C52+F52+I52+L52+O52+R52+U52+X52+AA52+AD52+AG52+AJ52</f>
        <v/>
      </c>
      <c r="AN52" s="43" t="n"/>
      <c r="AO52" s="1046" t="n"/>
    </row>
    <row r="53" hidden="1" ht="10.2" customHeight="1" s="986">
      <c r="B53" s="25" t="inlineStr">
        <is>
          <t>PAQUETES MANIPULADORAS</t>
        </is>
      </c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1045" t="n"/>
      <c r="AM53" s="205">
        <f>C53+F53+I53+L53+O53+R53+U53+X53+AA53+AD53+AG53+AJ53</f>
        <v/>
      </c>
      <c r="AN53" s="43" t="n"/>
      <c r="AO53" s="1046" t="n"/>
    </row>
    <row r="54" hidden="1" ht="10.2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1045" t="n"/>
      <c r="AM54" s="205" t="n"/>
      <c r="AN54" s="43" t="n"/>
      <c r="AO54" s="1046" t="n"/>
    </row>
    <row r="55" hidden="1" ht="10.2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1045" t="n"/>
      <c r="AM55" s="205" t="n"/>
      <c r="AN55" s="43" t="n"/>
      <c r="AO55" s="1046" t="n"/>
    </row>
    <row r="56" hidden="1" ht="10.2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1057" t="n"/>
      <c r="AM56" s="97" t="n"/>
      <c r="AN56" s="42" t="n"/>
      <c r="AO56" s="1058" t="n"/>
    </row>
    <row r="57" hidden="1" ht="15" customHeight="1" s="986">
      <c r="B57" s="36" t="inlineStr">
        <is>
          <t>FLETES OPERADORES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47" t="n"/>
      <c r="N57" s="1049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47" t="n"/>
      <c r="AI57" s="1049" t="n"/>
      <c r="AJ57" s="46">
        <f>SUM(AJ58:AJ59)</f>
        <v/>
      </c>
      <c r="AK57" s="47" t="n"/>
      <c r="AL57" s="1049" t="n"/>
      <c r="AM57" s="207">
        <f>C57+F57+I57+L57+O57+R57+U57+X57+AA57+AD57+AG57+AJ57</f>
        <v/>
      </c>
      <c r="AN57" s="47">
        <f>AM57/AM12</f>
        <v/>
      </c>
      <c r="AO57" s="1049">
        <f>AM57/AM13</f>
        <v/>
      </c>
    </row>
    <row r="58" hidden="1" ht="15" customHeight="1" s="986">
      <c r="B58" s="412" t="inlineStr">
        <is>
          <t>ENTREGA TERCEROS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1111" t="n"/>
      <c r="AM58" s="414">
        <f>C58+F58+I58+L58+O58+R58+U58+X58+AA58+AD58+AG58+AJ58</f>
        <v/>
      </c>
      <c r="AN58" s="305" t="n"/>
      <c r="AO58" s="1112">
        <f>AM58/AM$13</f>
        <v/>
      </c>
    </row>
    <row r="59" hidden="1" ht="15" customFormat="1" customHeight="1" s="108">
      <c r="A59" s="229" t="n"/>
      <c r="B59" s="416" t="inlineStr">
        <is>
          <t>ENTREGA MATERIA PRIMA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1047" t="n"/>
      <c r="AM59" s="206">
        <f>C59+F59+I59+L59+O59+R59+U59+X59+AA59+AD59+AG59+AJ59</f>
        <v/>
      </c>
      <c r="AN59" s="84" t="n"/>
      <c r="AO59" s="1114">
        <f>AM59/AM$13</f>
        <v/>
      </c>
      <c r="AQ59" s="2" t="n"/>
      <c r="AR59" s="2" t="n"/>
    </row>
    <row r="60" hidden="1" ht="15" customHeight="1" s="986">
      <c r="B60" s="16" t="inlineStr">
        <is>
          <t>COSTOS PREPARADOS</t>
        </is>
      </c>
      <c r="C60" s="49">
        <f>+C61+C72+C75+C76+C77</f>
        <v/>
      </c>
      <c r="D60" s="3" t="n"/>
      <c r="E60" s="1049" t="n"/>
      <c r="F60" s="49">
        <f>+F61+F72+F75+F76+F77</f>
        <v/>
      </c>
      <c r="G60" s="3" t="n"/>
      <c r="H60" s="1049" t="n"/>
      <c r="I60" s="49">
        <f>+I61+I72+I75+I76+I77</f>
        <v/>
      </c>
      <c r="J60" s="3" t="n"/>
      <c r="K60" s="1049" t="n"/>
      <c r="L60" s="49">
        <f>+L61+L72+L75+L76+L77</f>
        <v/>
      </c>
      <c r="M60" s="3" t="n"/>
      <c r="N60" s="1049" t="n"/>
      <c r="O60" s="49">
        <f>+O61+O72+O75+O76+O77</f>
        <v/>
      </c>
      <c r="P60" s="3" t="n"/>
      <c r="Q60" s="1049" t="n"/>
      <c r="R60" s="90">
        <f>+R61+R72+R75+R76+R77</f>
        <v/>
      </c>
      <c r="S60" s="3" t="n"/>
      <c r="T60" s="1049" t="n"/>
      <c r="U60" s="49">
        <f>+U61+U72+U75+U76+U77</f>
        <v/>
      </c>
      <c r="V60" s="3" t="n"/>
      <c r="W60" s="1049" t="n"/>
      <c r="X60" s="49">
        <f>+X61+X72+X75+X76+X77</f>
        <v/>
      </c>
      <c r="Y60" s="3" t="n"/>
      <c r="Z60" s="1049" t="n"/>
      <c r="AA60" s="49">
        <f>+AA61+AA72+AA75+AA76+AA77</f>
        <v/>
      </c>
      <c r="AB60" s="3" t="n"/>
      <c r="AC60" s="1049" t="n"/>
      <c r="AD60" s="49">
        <f>+AD61+AD72+AD75+AD76+AD77</f>
        <v/>
      </c>
      <c r="AE60" s="3" t="n"/>
      <c r="AF60" s="1049" t="n"/>
      <c r="AG60" s="49">
        <f>+AG61+AG72+AG75+AG76+AG77</f>
        <v/>
      </c>
      <c r="AH60" s="3" t="n"/>
      <c r="AI60" s="1049" t="n"/>
      <c r="AJ60" s="49">
        <f>+AJ61+AJ72+AJ75+AJ76+AJ77</f>
        <v/>
      </c>
      <c r="AK60" s="3" t="n"/>
      <c r="AL60" s="1053" t="n"/>
      <c r="AM60" s="16">
        <f>C60+F60+I60+L60+O60+R60+U60+X60+AA60+AD60+AG60+AJ60</f>
        <v/>
      </c>
      <c r="AN60" s="3">
        <f>AM60/$AM$5</f>
        <v/>
      </c>
      <c r="AO60" s="1049">
        <f>AM60/AM$13</f>
        <v/>
      </c>
    </row>
    <row r="61" hidden="1" ht="15" customHeight="1" s="986">
      <c r="B61" s="36" t="inlineStr">
        <is>
          <t>INSUMOS CP</t>
        </is>
      </c>
      <c r="C61" s="37">
        <f>SUM(C62:C71)</f>
        <v/>
      </c>
      <c r="D61" s="67" t="n"/>
      <c r="E61" s="1071" t="n"/>
      <c r="F61" s="46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1071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</row>
    <row r="62" hidden="1" ht="15" customHeight="1" s="986">
      <c r="B62" s="258" t="inlineStr">
        <is>
          <t>COMPLEMENTO PREPARADO (Ins)</t>
        </is>
      </c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1055" t="n"/>
      <c r="AM62" s="212">
        <f>C62+F62+I62+L62+O62+R62+U62+X62+AA62+AD62+AG62+AJ62</f>
        <v/>
      </c>
      <c r="AN62" s="79">
        <f>AM62/$O$5</f>
        <v/>
      </c>
      <c r="AO62" s="1055">
        <f>AM62/$O$13</f>
        <v/>
      </c>
    </row>
    <row r="63" hidden="1" ht="15" customHeight="1" s="986">
      <c r="B63" s="258" t="inlineStr">
        <is>
          <t>ALMUERZO JORNADA UNICA (Ins)</t>
        </is>
      </c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1045" t="n"/>
      <c r="AM63" s="205">
        <f>C63+F63+I63+L63+O63+R63+U63+X63+AA63+AD63+AG63+AJ63</f>
        <v/>
      </c>
      <c r="AN63" s="43">
        <f>AM63/$O$5</f>
        <v/>
      </c>
      <c r="AO63" s="1045">
        <f>AM63/$O$13</f>
        <v/>
      </c>
    </row>
    <row r="64" hidden="1" ht="15" customHeight="1" s="986">
      <c r="B64" s="25" t="n"/>
      <c r="C64" s="82" t="n"/>
      <c r="D64" s="43" t="n"/>
      <c r="E64" s="1045" t="n"/>
      <c r="F64" s="82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1045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</row>
    <row r="65" hidden="1" ht="15" customHeight="1" s="986">
      <c r="B65" s="258" t="inlineStr">
        <is>
          <t>RACION MANIPULADORAS</t>
        </is>
      </c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1045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</row>
    <row r="66" hidden="1" ht="15" customHeight="1" s="986">
      <c r="B66" s="411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1045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</row>
    <row r="67" hidden="1" ht="10.2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1045" t="n"/>
      <c r="AM67" s="205" t="n"/>
      <c r="AN67" s="43">
        <f>AM67/$O$5</f>
        <v/>
      </c>
      <c r="AO67" s="1046">
        <f>AM67/$O$13</f>
        <v/>
      </c>
    </row>
    <row r="68" hidden="1" ht="10.2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1045" t="n"/>
      <c r="AM68" s="205" t="n"/>
      <c r="AN68" s="43">
        <f>AM68/$O$5</f>
        <v/>
      </c>
      <c r="AO68" s="1046">
        <f>AM68/$O$13</f>
        <v/>
      </c>
    </row>
    <row r="69" hidden="1" ht="10.2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1045" t="n"/>
      <c r="AM69" s="205" t="n"/>
      <c r="AN69" s="43">
        <f>AM69/$O$5</f>
        <v/>
      </c>
      <c r="AO69" s="1046">
        <f>AM69/$O$13</f>
        <v/>
      </c>
    </row>
    <row r="70" hidden="1" ht="10.2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1045" t="n"/>
      <c r="AM70" s="205" t="n"/>
      <c r="AN70" s="43">
        <f>AM70/$O$5</f>
        <v/>
      </c>
      <c r="AO70" s="1046">
        <f>AM70/$O$13</f>
        <v/>
      </c>
    </row>
    <row r="71" hidden="1" ht="10.2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1047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</row>
    <row r="72" ht="15" customHeight="1" s="986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>
        <f>AJ72/AJ12</f>
        <v/>
      </c>
      <c r="AL72" s="1071">
        <f>AJ72/AJ13</f>
        <v/>
      </c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78">
        <f>'GASTOS VEHICULOS'!C25*'%DIST'!B25</f>
        <v/>
      </c>
      <c r="D73" s="79" t="n"/>
      <c r="E73" s="1055" t="n"/>
      <c r="F73" s="304">
        <f>'GASTOS VEHICULOS'!D25*'%DIST'!D25</f>
        <v/>
      </c>
      <c r="G73" s="305" t="n"/>
      <c r="H73" s="1111" t="n"/>
      <c r="I73" s="304">
        <f>'GASTOS VEHICULOS'!E25*'%DIST'!F25</f>
        <v/>
      </c>
      <c r="J73" s="305" t="n"/>
      <c r="K73" s="1111" t="n"/>
      <c r="L73" s="304">
        <f>'GASTOS VEHICULOS'!F25*'%DIST'!H25</f>
        <v/>
      </c>
      <c r="M73" s="305" t="n"/>
      <c r="N73" s="1111" t="n"/>
      <c r="O73" s="78">
        <f>'GASTOS VEHICULOS'!G25*'%DIST'!J25</f>
        <v/>
      </c>
      <c r="P73" s="305" t="n"/>
      <c r="Q73" s="1111" t="n"/>
      <c r="R73" s="304">
        <f>'GASTOS VEHICULOS'!H25*'%DIST'!L25</f>
        <v/>
      </c>
      <c r="S73" s="305" t="n"/>
      <c r="T73" s="1111" t="n"/>
      <c r="U73" s="304">
        <f>'GASTOS VEHICULOS'!I25*'%DIST'!N25</f>
        <v/>
      </c>
      <c r="V73" s="305" t="n"/>
      <c r="W73" s="1111" t="n"/>
      <c r="X73" s="78">
        <f>'GASTOS VEHICULOS'!J25*'%DIST'!P25</f>
        <v/>
      </c>
      <c r="Y73" s="305" t="n"/>
      <c r="Z73" s="1111" t="n"/>
      <c r="AA73" s="78">
        <f>'GASTOS VEHICULOS'!K25*'%DIST'!R25</f>
        <v/>
      </c>
      <c r="AB73" s="305" t="n"/>
      <c r="AC73" s="1111" t="n"/>
      <c r="AD73" s="78">
        <f>'GASTOS VEHICULOS'!L25*'%DIST'!T25</f>
        <v/>
      </c>
      <c r="AE73" s="305" t="n"/>
      <c r="AF73" s="1111" t="n"/>
      <c r="AG73" s="304">
        <f>'GASTOS VEHICULOS'!M25*'%DIST'!V25</f>
        <v/>
      </c>
      <c r="AH73" s="305" t="n"/>
      <c r="AI73" s="1111" t="n"/>
      <c r="AJ73" s="304">
        <f>'GASTOS VEHICULOS'!N25*'%DIST'!X25</f>
        <v/>
      </c>
      <c r="AK73" s="305" t="n"/>
      <c r="AL73" s="1111" t="n"/>
      <c r="AM73" s="414">
        <f>C73+F73+I73+L73+O73+R73+U73+X73+AA73+AD73+AG73+AJ73</f>
        <v/>
      </c>
      <c r="AN73" s="305" t="n"/>
      <c r="AO73" s="1117" t="n"/>
    </row>
    <row r="74" ht="15" customHeight="1" s="986">
      <c r="A74" s="226" t="inlineStr">
        <is>
          <t xml:space="preserve">73355001            </t>
        </is>
      </c>
      <c r="B74" s="416" t="inlineStr">
        <is>
          <t>PREPARADOS TERCEROS</t>
        </is>
      </c>
      <c r="C74" s="273">
        <f>'[17]Hoja 1'!$C$315</f>
        <v/>
      </c>
      <c r="D74" s="134" t="n"/>
      <c r="E74" s="1118" t="n"/>
      <c r="F74" s="83">
        <f>'[20]Hoja 1'!$C$310</f>
        <v/>
      </c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1047" t="n"/>
      <c r="AM74" s="206">
        <f>C74+F74+I74+L74+O74+R74+U74+X74+AA74+AD74+AG74+AJ74</f>
        <v/>
      </c>
      <c r="AN74" s="84" t="n"/>
      <c r="AO74" s="1047">
        <f>AM72/AM13</f>
        <v/>
      </c>
    </row>
    <row r="75" ht="15" customHeight="1" s="986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'[17]Hoja 1'!$C$309-9947928.12</f>
        <v/>
      </c>
      <c r="D75" s="67" t="n"/>
      <c r="E75" s="1071" t="n"/>
      <c r="F75" s="37">
        <f>'[20]Hoja 1'!$C$304-10303069.4</f>
        <v/>
      </c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1071" t="n"/>
      <c r="AM75" s="211">
        <f>C75+F75+I75+L75+O75+R75+U75+X75+AA75+AD75+AG75+AJ75</f>
        <v/>
      </c>
      <c r="AN75" s="67" t="n"/>
      <c r="AO75" s="1072">
        <f>AM75/AM$13</f>
        <v/>
      </c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1071" t="n"/>
      <c r="AM76" s="211">
        <f>C76+F76+I76+L76+O76+R76+U76+X76+AA76+AD76+AG76+AJ76</f>
        <v/>
      </c>
      <c r="AN76" s="67" t="n"/>
      <c r="AO76" s="1075" t="n"/>
    </row>
    <row r="77" ht="15" customHeight="1" s="986">
      <c r="B77" s="66" t="inlineStr">
        <is>
          <t>Servicio de Gas</t>
        </is>
      </c>
      <c r="C77" s="28" t="n"/>
      <c r="D77" s="45" t="n"/>
      <c r="E77" s="1071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1071" t="n"/>
      <c r="AM77" s="26">
        <f>C77+F77+I77+L77+O77+R77+U77+X77+AA77+AD77+AG77+AJ77</f>
        <v/>
      </c>
      <c r="AN77" s="42" t="n"/>
      <c r="AO77" s="1075" t="n"/>
    </row>
    <row r="78" ht="15" customHeight="1" s="986">
      <c r="B78" s="17" t="inlineStr">
        <is>
          <t>MANO DE OBRA DIRECTA</t>
        </is>
      </c>
      <c r="C78" s="49">
        <f>SUM(C79:C81)</f>
        <v/>
      </c>
      <c r="D78" s="3" t="n"/>
      <c r="E78" s="1053" t="n"/>
      <c r="F78" s="93">
        <f>SUM(F79:F81)</f>
        <v/>
      </c>
      <c r="G78" s="3" t="n"/>
      <c r="H78" s="1053">
        <f>F78/(F$13)</f>
        <v/>
      </c>
      <c r="I78" s="93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1053" t="n"/>
      <c r="AM78" s="16">
        <f>C78+F78+I78+L78+O78+R78+U78+X78+AA78+AD78+AG78+AJ78</f>
        <v/>
      </c>
      <c r="AN78" s="3" t="n"/>
      <c r="AO78" s="1076">
        <f>AM78/(AM$13)</f>
        <v/>
      </c>
    </row>
    <row r="79" ht="15" customHeight="1" s="986">
      <c r="B79" s="474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077" t="n"/>
      <c r="AM79" s="268">
        <f>C79+F79+I79+L79+O79+R79+U79+X79+AA79+AD79+AG79+AJ79</f>
        <v/>
      </c>
      <c r="AN79" s="4">
        <f>AM79/AM12</f>
        <v/>
      </c>
      <c r="AO79" s="1078" t="n"/>
      <c r="AP79" s="698" t="n"/>
    </row>
    <row r="80" ht="15" customHeight="1" s="986">
      <c r="B80" s="475" t="inlineStr">
        <is>
          <t>Personal Supervisor - Coordinadores</t>
        </is>
      </c>
      <c r="C80" s="25">
        <f>'[1]Hoja 1'!$D$16+'[2]Hoja 1'!$D$16</f>
        <v/>
      </c>
      <c r="D80" s="43" t="n"/>
      <c r="E80" s="1045" t="n"/>
      <c r="F80" s="25">
        <f>'[9]Hoja 1'!$D$17+'[13]Hoja 1'!$D$13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1045" t="n"/>
      <c r="AM80" s="205">
        <f>C80+F80+I80+L80+O80+R80+U80+X80+AA80+AD80+AG80+AJ80</f>
        <v/>
      </c>
      <c r="AN80" s="43" t="n"/>
      <c r="AO80" s="1046" t="n"/>
      <c r="AP80" s="1099" t="n"/>
    </row>
    <row r="81" ht="15" customHeight="1" s="986" thickBot="1">
      <c r="B81" s="300" t="inlineStr">
        <is>
          <t>Personal Otros OP</t>
        </is>
      </c>
      <c r="C81" s="269" t="n"/>
      <c r="D81" s="214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813" t="n"/>
      <c r="AK81" s="214" t="n"/>
      <c r="AL81" s="1079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1067" t="n"/>
      <c r="AM82" s="136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077" t="n"/>
      <c r="F85" s="91">
        <f>'GASTOS OPERATIVOS'!D17*'%DIST'!E9</f>
        <v/>
      </c>
      <c r="G85" s="69" t="n"/>
      <c r="H85" s="1077" t="n"/>
      <c r="I85" s="91" t="n"/>
      <c r="J85" s="69" t="n"/>
      <c r="K85" s="1077" t="n"/>
      <c r="L85" s="91" t="n"/>
      <c r="M85" s="69" t="n"/>
      <c r="N85" s="1077" t="n"/>
      <c r="O85" s="91" t="n"/>
      <c r="P85" s="69" t="n"/>
      <c r="Q85" s="1077" t="n"/>
      <c r="R85" s="91" t="n"/>
      <c r="S85" s="69" t="n"/>
      <c r="T85" s="1077" t="n"/>
      <c r="U85" s="91" t="n"/>
      <c r="V85" s="69" t="n"/>
      <c r="W85" s="1077" t="n"/>
      <c r="X85" s="91" t="n"/>
      <c r="Y85" s="69" t="n"/>
      <c r="Z85" s="1077" t="n"/>
      <c r="AA85" s="91" t="n"/>
      <c r="AB85" s="69" t="n"/>
      <c r="AC85" s="1077" t="n"/>
      <c r="AD85" s="91" t="n"/>
      <c r="AE85" s="69" t="n"/>
      <c r="AF85" s="1077" t="n"/>
      <c r="AG85" s="91" t="n"/>
      <c r="AH85" s="69" t="n"/>
      <c r="AI85" s="70" t="n"/>
      <c r="AJ85" s="91" t="n"/>
      <c r="AK85" s="69" t="n"/>
      <c r="AL85" s="1077" t="n"/>
      <c r="AM85" s="209">
        <f>C85+F85+I85+L85+O85+R85+U85+X85+AA85+AD85+AG85+AJ85</f>
        <v/>
      </c>
      <c r="AN85" s="69" t="n"/>
      <c r="AO85" s="1077">
        <f>AM85/(AM$13)</f>
        <v/>
      </c>
      <c r="AP85" s="1203" t="n">
        <v>1.095</v>
      </c>
    </row>
    <row r="86" ht="15" customHeight="1" s="986">
      <c r="B86" s="24" t="inlineStr">
        <is>
          <t>Dotación y Suministros</t>
        </is>
      </c>
      <c r="C86" s="25" t="n"/>
      <c r="D86" s="43" t="n"/>
      <c r="E86" s="1045" t="n"/>
      <c r="F86" s="25" t="n"/>
      <c r="G86" s="43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45" t="n"/>
      <c r="AM86" s="25">
        <f>C86+F86+I86+L86+O86+R86+U86+X86+AA86+AD86+AG86+AJ86</f>
        <v/>
      </c>
      <c r="AN86" s="43" t="n"/>
      <c r="AO86" s="1045">
        <f>AN86/AM13</f>
        <v/>
      </c>
    </row>
    <row r="87" ht="15" customHeight="1" s="986">
      <c r="B87" s="24" t="inlineStr">
        <is>
          <t>Gastos Medicos</t>
        </is>
      </c>
      <c r="C87" s="25" t="n"/>
      <c r="D87" s="43" t="n"/>
      <c r="E87" s="1045" t="n"/>
      <c r="F87" s="25" t="n"/>
      <c r="G87" s="43" t="n"/>
      <c r="H87" s="1045" t="n"/>
      <c r="I87" s="25" t="n"/>
      <c r="J87" s="43" t="n"/>
      <c r="K87" s="1045" t="n"/>
      <c r="L87" s="25" t="n"/>
      <c r="M87" s="43" t="n"/>
      <c r="N87" s="1045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45" t="n"/>
      <c r="AM87" s="25">
        <f>C87+F87+I87+L87+O87+R87+U87+X87+AA87+AD87+AG87+AJ87</f>
        <v/>
      </c>
      <c r="AN87" s="43" t="n"/>
      <c r="AO87" s="1045" t="n"/>
    </row>
    <row r="88" ht="15" customHeight="1" s="986">
      <c r="B88" s="430" t="inlineStr">
        <is>
          <t>Incapacidades</t>
        </is>
      </c>
      <c r="C88" s="273" t="n"/>
      <c r="D88" s="134" t="n"/>
      <c r="E88" s="1118" t="n"/>
      <c r="F88" s="273" t="n"/>
      <c r="G88" s="134" t="n"/>
      <c r="H88" s="1118" t="n"/>
      <c r="I88" s="273" t="n"/>
      <c r="J88" s="134" t="n"/>
      <c r="K88" s="1118" t="n"/>
      <c r="L88" s="273" t="n"/>
      <c r="M88" s="134" t="n"/>
      <c r="N88" s="1118" t="n"/>
      <c r="O88" s="273" t="n"/>
      <c r="P88" s="134" t="n"/>
      <c r="Q88" s="1118" t="n"/>
      <c r="R88" s="273" t="n"/>
      <c r="S88" s="134" t="n"/>
      <c r="T88" s="1118" t="n"/>
      <c r="U88" s="273" t="n"/>
      <c r="V88" s="134" t="n"/>
      <c r="W88" s="1118" t="n"/>
      <c r="X88" s="273" t="n"/>
      <c r="Y88" s="134" t="n"/>
      <c r="Z88" s="1118" t="n"/>
      <c r="AA88" s="273" t="n"/>
      <c r="AB88" s="134" t="n"/>
      <c r="AC88" s="1118" t="n"/>
      <c r="AD88" s="273" t="n"/>
      <c r="AE88" s="134" t="n"/>
      <c r="AF88" s="1118" t="n"/>
      <c r="AG88" s="273" t="n"/>
      <c r="AH88" s="134" t="n"/>
      <c r="AI88" s="1118" t="n"/>
      <c r="AJ88" s="273" t="n"/>
      <c r="AK88" s="134" t="n"/>
      <c r="AL88" s="1118" t="n"/>
      <c r="AM88" s="430" t="n"/>
      <c r="AN88" s="134" t="n"/>
      <c r="AO88" s="1048" t="n"/>
    </row>
    <row r="89" ht="15" customHeight="1" s="986">
      <c r="B89" s="16" t="inlineStr">
        <is>
          <t>HONORARIOS</t>
        </is>
      </c>
      <c r="C89" s="90">
        <f>SUM(C90:C91)</f>
        <v/>
      </c>
      <c r="D89" s="3" t="n"/>
      <c r="E89" s="1053">
        <f>C89/(C$13)</f>
        <v/>
      </c>
      <c r="F89" s="90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1053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1077" t="n"/>
      <c r="AM90" s="209">
        <f>C90+F90+I90+L90+O90+R90+U90+X90+AA90+AD90+AG90+AJ90</f>
        <v/>
      </c>
      <c r="AN90" s="69" t="n"/>
      <c r="AO90" s="1082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1047" t="n"/>
      <c r="AM91" s="206">
        <f>C91+F91+I91+L91+O91+R91+U91+X91+AA91+AD91+AG91+AJ91</f>
        <v/>
      </c>
      <c r="AN91" s="84" t="n"/>
      <c r="AO91" s="1048" t="n"/>
    </row>
    <row r="92" ht="15" customHeight="1" s="986">
      <c r="B92" s="16" t="inlineStr">
        <is>
          <t>ARRENDAMIENTOS</t>
        </is>
      </c>
      <c r="C92" s="90">
        <f>SUM(C93:C95)</f>
        <v/>
      </c>
      <c r="D92" s="3" t="n"/>
      <c r="E92" s="1053">
        <f>C92/(C$13)</f>
        <v/>
      </c>
      <c r="F92" s="90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1053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1077" t="n"/>
      <c r="AM93" s="209">
        <f>C93+F93+I93+L93+O93+R93+U93+X93+AA93+AD93+AG93+AJ93</f>
        <v/>
      </c>
      <c r="AN93" s="69" t="n"/>
      <c r="AO93" s="1082" t="n"/>
      <c r="AP93" s="1124" t="n"/>
    </row>
    <row r="94" outlineLevel="1" ht="15" customHeight="1" s="986">
      <c r="B94" s="39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1045" t="n"/>
      <c r="AM94" s="205">
        <f>C94+F94+I94+L94+O94+R94+U94+X94+AA94+AD94+AG94+AJ94</f>
        <v/>
      </c>
      <c r="AN94" s="43" t="n"/>
      <c r="AO94" s="1046" t="n"/>
    </row>
    <row r="95" outlineLevel="1" ht="15" customHeight="1" s="986">
      <c r="B95" s="39" t="inlineStr">
        <is>
          <t>Equipo de Oficina</t>
        </is>
      </c>
      <c r="C95" s="25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1073" t="n"/>
      <c r="AM95" s="26">
        <f>C95+F95+I95+L95+O95+R95+U95+X95+AA95+AD95+AG95+AJ95</f>
        <v/>
      </c>
      <c r="AN95" s="45" t="n"/>
      <c r="AO95" s="1083" t="n"/>
    </row>
    <row r="96" ht="15" customHeight="1" s="986">
      <c r="B96" s="106" t="inlineStr">
        <is>
          <t>SEGUROS</t>
        </is>
      </c>
      <c r="C96" s="90">
        <f>SUM(C97:C98)</f>
        <v/>
      </c>
      <c r="D96" s="3" t="n"/>
      <c r="E96" s="1053">
        <f>C96/(C$13)</f>
        <v/>
      </c>
      <c r="F96" s="90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1053" t="n"/>
      <c r="AM96" s="16">
        <f>C96+F96+I96+L96+O96+R96+U96+X96+AA96+AD96+AG96+AJ96</f>
        <v/>
      </c>
      <c r="AN96" s="3" t="n"/>
      <c r="AO96" s="1076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1077" t="n"/>
      <c r="AM97" s="209">
        <f>C97+F97+I97+L97+O97+R97+U97+X97+AA97+AD97+AG97+AJ97</f>
        <v/>
      </c>
      <c r="AN97" s="69" t="n"/>
      <c r="AO97" s="1082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084" t="n"/>
      <c r="F98" s="83" t="n"/>
      <c r="G98" s="84" t="n"/>
      <c r="H98" s="1047" t="n"/>
      <c r="I98" s="83" t="n"/>
      <c r="J98" s="84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1084" t="n"/>
      <c r="AM98" s="278">
        <f>C98+F98+I98+L98+O98+R98+U98+X98+AA98+AD98+AG98+AJ98</f>
        <v/>
      </c>
      <c r="AN98" s="276" t="n"/>
      <c r="AO98" s="1085" t="n"/>
      <c r="AQ98" s="2" t="n"/>
      <c r="AR98" s="2" t="n"/>
      <c r="AS98" s="2" t="n"/>
      <c r="AT98" s="2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>
        <f>F99/(F$13)</f>
        <v/>
      </c>
      <c r="I99" s="49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1053" t="n"/>
      <c r="AM99" s="16">
        <f>C99+F99+I99+L99+O99+R99+U99+X99+AA99+AD99+AG99+AJ99</f>
        <v/>
      </c>
      <c r="AN99" s="3" t="n"/>
      <c r="AO99" s="1076">
        <f>AM99/(AM$13)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077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6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45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45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B103" s="25" t="inlineStr">
        <is>
          <t>Laboratorio</t>
        </is>
      </c>
      <c r="C103" s="25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1045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B104" s="25" t="inlineStr">
        <is>
          <t>Fumigacion</t>
        </is>
      </c>
      <c r="C104" s="25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1045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B105" s="25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1045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B106" s="25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25" t="n"/>
      <c r="M106" s="43" t="n"/>
      <c r="N106" s="1045" t="n"/>
      <c r="O106" s="25" t="n"/>
      <c r="P106" s="43" t="n"/>
      <c r="Q106" s="1045" t="n"/>
      <c r="R106" s="25" t="n"/>
      <c r="S106" s="43" t="n"/>
      <c r="T106" s="1045" t="n"/>
      <c r="U106" s="25" t="n"/>
      <c r="V106" s="43" t="n"/>
      <c r="W106" s="1045" t="n"/>
      <c r="X106" s="25" t="n"/>
      <c r="Y106" s="43" t="n"/>
      <c r="Z106" s="1045" t="n"/>
      <c r="AA106" s="25" t="n"/>
      <c r="AB106" s="43" t="n"/>
      <c r="AC106" s="1045" t="n"/>
      <c r="AD106" s="25" t="n"/>
      <c r="AE106" s="43" t="n"/>
      <c r="AF106" s="1045" t="n"/>
      <c r="AG106" s="25" t="n"/>
      <c r="AH106" s="43" t="n"/>
      <c r="AI106" s="1045" t="n"/>
      <c r="AJ106" s="25" t="n"/>
      <c r="AK106" s="43" t="n"/>
      <c r="AL106" s="1045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B107" s="205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25" t="n"/>
      <c r="M107" s="43" t="n"/>
      <c r="N107" s="1045" t="n"/>
      <c r="O107" s="25" t="n"/>
      <c r="P107" s="43" t="n"/>
      <c r="Q107" s="1045" t="n"/>
      <c r="R107" s="25" t="n"/>
      <c r="S107" s="43" t="n"/>
      <c r="T107" s="1045" t="n"/>
      <c r="U107" s="25" t="n"/>
      <c r="V107" s="43" t="n"/>
      <c r="W107" s="1045" t="n"/>
      <c r="X107" s="25" t="n"/>
      <c r="Y107" s="43" t="n"/>
      <c r="Z107" s="1045" t="n"/>
      <c r="AA107" s="25" t="n"/>
      <c r="AB107" s="43" t="n"/>
      <c r="AC107" s="1045" t="n"/>
      <c r="AD107" s="25" t="n"/>
      <c r="AE107" s="43" t="n"/>
      <c r="AF107" s="1045" t="n"/>
      <c r="AG107" s="25" t="n"/>
      <c r="AH107" s="43" t="n"/>
      <c r="AI107" s="1045" t="n"/>
      <c r="AJ107" s="25" t="n"/>
      <c r="AK107" s="43" t="n"/>
      <c r="AL107" s="1045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6">
      <c r="B108" s="349" t="inlineStr">
        <is>
          <t>Correo, porte y telegramas</t>
        </is>
      </c>
      <c r="C108" s="2" t="n"/>
      <c r="D108" s="42" t="n"/>
      <c r="E108" s="1057" t="n"/>
      <c r="F108" s="2" t="n"/>
      <c r="G108" s="42" t="n"/>
      <c r="H108" s="1057" t="n"/>
      <c r="I108" s="2" t="n"/>
      <c r="J108" s="42" t="n"/>
      <c r="K108" s="1057" t="n"/>
      <c r="L108" s="2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" t="n"/>
      <c r="AH108" s="42" t="n"/>
      <c r="AI108" s="1057" t="n"/>
      <c r="AJ108" s="2" t="n"/>
      <c r="AK108" s="42" t="n"/>
      <c r="AL108" s="1057" t="n"/>
      <c r="AM108" s="97">
        <f>C108+F108+I108+L108+O108+R108+U108+X108+AA108+AD108+AG108+AJ108</f>
        <v/>
      </c>
      <c r="AN108" s="42" t="n"/>
      <c r="AO108" s="1058" t="n"/>
    </row>
    <row r="109" ht="15" customHeight="1" s="986">
      <c r="B109" s="16" t="inlineStr">
        <is>
          <t>GASTOS LEGALES</t>
        </is>
      </c>
      <c r="C109" s="90">
        <f>SUM(C110:C113)</f>
        <v/>
      </c>
      <c r="D109" s="3" t="n"/>
      <c r="E109" s="1053">
        <f>C109/(C$13)</f>
        <v/>
      </c>
      <c r="F109" s="90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1053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6"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1077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6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1045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1045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6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1073" t="n"/>
      <c r="AM113" s="26">
        <f>C113+F113+I113+L113+O113+R113+U113+X113+AA113+AD113+AG113+AJ113</f>
        <v/>
      </c>
      <c r="AN113" s="45" t="n"/>
      <c r="AO113" s="1083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>
        <f>C114/(C$13)</f>
        <v/>
      </c>
      <c r="F114" s="49">
        <f>SUM(F115:F116)</f>
        <v/>
      </c>
      <c r="G114" s="3" t="n"/>
      <c r="H114" s="1053">
        <f>F114/(F$13)</f>
        <v/>
      </c>
      <c r="I114" s="49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90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>
        <f>AA114/(AA$13)</f>
        <v/>
      </c>
      <c r="AD114" s="49">
        <f>SUM(AD115:AD116)</f>
        <v/>
      </c>
      <c r="AE114" s="3" t="n"/>
      <c r="AF114" s="1053">
        <f>AD114/(AD$13)</f>
        <v/>
      </c>
      <c r="AG114" s="49">
        <f>SUM(AG115:AG119)</f>
        <v/>
      </c>
      <c r="AH114" s="3" t="n"/>
      <c r="AI114" s="1053">
        <f>AG114/(AG$13)</f>
        <v/>
      </c>
      <c r="AJ114" s="49">
        <f>SUM(AJ115:AJ119)</f>
        <v/>
      </c>
      <c r="AK114" s="3" t="n"/>
      <c r="AL114" s="1053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6">
      <c r="B115" s="205" t="inlineStr">
        <is>
          <t xml:space="preserve">Construcciones y Edificaciones          </t>
        </is>
      </c>
      <c r="C115" s="39" t="n"/>
      <c r="D115" s="69" t="n"/>
      <c r="E115" s="1077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55" t="n"/>
      <c r="AJ115" s="78" t="n"/>
      <c r="AK115" s="79" t="n"/>
      <c r="AL115" s="1077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6">
      <c r="B116" s="20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45" t="n"/>
      <c r="AJ116" s="25" t="n"/>
      <c r="AK116" s="43" t="n"/>
      <c r="AL116" s="1045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45" t="n"/>
      <c r="AJ117" s="25" t="n"/>
      <c r="AK117" s="43" t="n"/>
      <c r="AL117" s="1045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45" t="n"/>
      <c r="AJ118" s="25" t="n"/>
      <c r="AK118" s="43" t="n"/>
      <c r="AL118" s="1045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6">
      <c r="B119" s="205" t="inlineStr">
        <is>
          <t>Planta Plan Basico de Saneamiento</t>
        </is>
      </c>
      <c r="C119" s="22" t="n"/>
      <c r="D119" s="42" t="n"/>
      <c r="E119" s="1057" t="n"/>
      <c r="F119" s="83" t="n"/>
      <c r="G119" s="84" t="n"/>
      <c r="H119" s="1047" t="n"/>
      <c r="I119" s="83" t="n"/>
      <c r="J119" s="84" t="n"/>
      <c r="K119" s="1047" t="n"/>
      <c r="L119" s="83" t="n"/>
      <c r="M119" s="84" t="n"/>
      <c r="N119" s="1047" t="n"/>
      <c r="O119" s="83" t="n"/>
      <c r="P119" s="84" t="n"/>
      <c r="Q119" s="1047" t="n"/>
      <c r="R119" s="83" t="n"/>
      <c r="S119" s="84" t="n"/>
      <c r="T119" s="1047" t="n"/>
      <c r="U119" s="83" t="n"/>
      <c r="V119" s="84" t="n"/>
      <c r="W119" s="1047" t="n"/>
      <c r="X119" s="83" t="n"/>
      <c r="Y119" s="84" t="n"/>
      <c r="Z119" s="1047" t="n"/>
      <c r="AA119" s="83" t="n"/>
      <c r="AB119" s="84" t="n"/>
      <c r="AC119" s="1047" t="n"/>
      <c r="AD119" s="83" t="n"/>
      <c r="AE119" s="84" t="n"/>
      <c r="AF119" s="1047" t="n"/>
      <c r="AG119" s="83" t="n"/>
      <c r="AH119" s="84" t="n"/>
      <c r="AI119" s="1047" t="n"/>
      <c r="AJ119" s="83" t="n"/>
      <c r="AK119" s="84" t="n"/>
      <c r="AL119" s="1057" t="n"/>
      <c r="AM119" s="97">
        <f>C119+F119+I119+L119+O119+R119+U119+X119+AA119+AD119+AG119+AJ119</f>
        <v/>
      </c>
      <c r="AN119" s="42" t="n"/>
      <c r="AO119" s="1058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SUM(F121)</f>
        <v/>
      </c>
      <c r="G120" s="3" t="n"/>
      <c r="H120" s="1053">
        <f>F120/(F$13)</f>
        <v/>
      </c>
      <c r="I120" s="49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SUM(AA121:AA122)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SUM(AJ121:AJ122)</f>
        <v/>
      </c>
      <c r="AK120" s="3" t="n"/>
      <c r="AL120" s="1053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6">
      <c r="B121" s="205" t="inlineStr">
        <is>
          <t>Instalaciones Electricas</t>
        </is>
      </c>
      <c r="C121" s="353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1077" t="n"/>
      <c r="AM121" s="209">
        <f>C121+F121+I121+L121+O121+R121+U121+X121+AA121+AD121+AG121+AJ121</f>
        <v/>
      </c>
      <c r="AN121" s="69" t="n"/>
      <c r="AO121" s="1082" t="n"/>
    </row>
    <row r="122" ht="15" customHeight="1" s="986">
      <c r="B122" s="205" t="inlineStr">
        <is>
          <t>Inversion - Infreastructura</t>
        </is>
      </c>
      <c r="C122" s="354" t="n"/>
      <c r="D122" s="92" t="n"/>
      <c r="E122" s="1063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47" t="n"/>
      <c r="AJ122" s="83" t="n"/>
      <c r="AK122" s="84" t="n"/>
      <c r="AL122" s="1047" t="n"/>
      <c r="AM122" s="206">
        <f>C122+F122+I122+L122+O122+R122+U122+X122+AA122+AD122+AG122+AJ122</f>
        <v/>
      </c>
      <c r="AN122" s="84" t="n"/>
      <c r="AO122" s="1064" t="n"/>
    </row>
    <row r="123" ht="15" customHeight="1" s="986">
      <c r="B123" s="16" t="inlineStr">
        <is>
          <t>GASTOS DE VIAJE</t>
        </is>
      </c>
      <c r="C123" s="90">
        <f>SUM(C124:C126)</f>
        <v/>
      </c>
      <c r="D123" s="3" t="n"/>
      <c r="E123" s="1053">
        <f>C123/(C$13)</f>
        <v/>
      </c>
      <c r="F123" s="90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1053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6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1077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6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1045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6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1073" t="n"/>
      <c r="AM126" s="26">
        <f>C126+F126+I126+L126+O126+R126+U126+X126+AA126+AD126+AG126+AJ126</f>
        <v/>
      </c>
      <c r="AN126" s="45" t="n"/>
      <c r="AO126" s="1083" t="n"/>
    </row>
    <row r="127" ht="15" customHeight="1" s="986">
      <c r="B127" s="16" t="inlineStr">
        <is>
          <t>DIVERSOS</t>
        </is>
      </c>
      <c r="C127" s="90">
        <f>SUM(C128:C142)</f>
        <v/>
      </c>
      <c r="D127" s="3" t="n"/>
      <c r="E127" s="1053">
        <f>C127/(C$13)</f>
        <v/>
      </c>
      <c r="F127" s="90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1053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outlineLevel="1" ht="15" customHeight="1" s="986">
      <c r="B128" s="25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077" t="n"/>
      <c r="AJ128" s="39" t="n"/>
      <c r="AK128" s="69" t="n"/>
      <c r="AL128" s="1077" t="n"/>
      <c r="AM128" s="209">
        <f>C128+F128+I128+L128+O128+R128+U128+X128+AA128+AD128+AG128+AJ128</f>
        <v/>
      </c>
      <c r="AN128" s="42" t="n"/>
      <c r="AO128" s="1090" t="n"/>
    </row>
    <row r="129" outlineLevel="1" ht="15" customHeight="1" s="986">
      <c r="B129" s="25" t="inlineStr">
        <is>
          <t>Habitos de Vida Saludable</t>
        </is>
      </c>
      <c r="C129" s="91" t="n"/>
      <c r="D129" s="43" t="n"/>
      <c r="E129" s="1045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45" t="n"/>
      <c r="AJ129" s="25" t="n"/>
      <c r="AK129" s="43" t="n"/>
      <c r="AL129" s="1045" t="n"/>
      <c r="AM129" s="205">
        <f>C129+F129+I129+L129+O129+R129+U129+X129+AA129+AD129+AG129+AJ129</f>
        <v/>
      </c>
      <c r="AN129" s="92" t="n"/>
      <c r="AO129" s="1127" t="n"/>
    </row>
    <row r="130" outlineLevel="1" ht="15" customHeight="1" s="986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'[17]Hoja 1'!$C$311+'[17]Hoja 1'!$C$287</f>
        <v/>
      </c>
      <c r="D130" s="43" t="n"/>
      <c r="E130" s="1045" t="n"/>
      <c r="F130" s="25">
        <f>'[20]Hoja 1'!$C$306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1045" t="n"/>
      <c r="AM130" s="205">
        <f>C130+F130+I130+L130+O130+R130+U130+X130+AA130+AD130+AG130+AJ130</f>
        <v/>
      </c>
      <c r="AN130" s="43" t="n"/>
      <c r="AO130" s="1045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1045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6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1045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'[17]Hoja 1'!$C$318</f>
        <v/>
      </c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1045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1045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1045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1045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Compra Equipos de Oficina</t>
        </is>
      </c>
      <c r="C138" s="428" t="n"/>
      <c r="D138" s="89" t="n"/>
      <c r="E138" s="1041" t="n"/>
      <c r="F138" s="428" t="n"/>
      <c r="G138" s="89" t="n"/>
      <c r="H138" s="1041" t="n"/>
      <c r="I138" s="829" t="n"/>
      <c r="J138" s="89" t="n"/>
      <c r="K138" s="1041" t="n"/>
      <c r="L138" s="428" t="n"/>
      <c r="M138" s="89" t="n"/>
      <c r="N138" s="1041" t="n"/>
      <c r="O138" s="428" t="n"/>
      <c r="P138" s="89" t="n"/>
      <c r="Q138" s="1041" t="n"/>
      <c r="R138" s="25" t="n"/>
      <c r="S138" s="89" t="n"/>
      <c r="T138" s="1041" t="n"/>
      <c r="U138" s="428" t="n"/>
      <c r="V138" s="89" t="n"/>
      <c r="W138" s="1041" t="n"/>
      <c r="X138" s="428" t="n"/>
      <c r="Y138" s="89" t="n"/>
      <c r="Z138" s="1041" t="n"/>
      <c r="AA138" s="428" t="n"/>
      <c r="AB138" s="89" t="n"/>
      <c r="AC138" s="1041" t="n"/>
      <c r="AD138" s="428" t="n"/>
      <c r="AE138" s="89" t="n"/>
      <c r="AF138" s="1041" t="n"/>
      <c r="AG138" s="428" t="n"/>
      <c r="AH138" s="89" t="n"/>
      <c r="AI138" s="1041" t="n"/>
      <c r="AJ138" s="428" t="n"/>
      <c r="AK138" s="89" t="n"/>
      <c r="AL138" s="1041" t="n"/>
      <c r="AM138" s="261">
        <f>C138+F138+I138+L138+O138+R138+U138+X138+AA138+AD138+AG138+AJ138</f>
        <v/>
      </c>
      <c r="AN138" s="89" t="n"/>
      <c r="AO138" s="1042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1045" t="n"/>
      <c r="AM139" s="261">
        <f>C139+F139+I139+L139+O139+R139+U139+X139+AA139+AD139+AG139+AJ139</f>
        <v/>
      </c>
      <c r="AN139" s="43" t="n"/>
      <c r="AO139" s="1046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1045" t="n"/>
      <c r="AM140" s="261">
        <f>C140+F140+I140+L140+O140+R140+U140+X140+AA140+AD140+AG140+AJ140</f>
        <v/>
      </c>
      <c r="AN140" s="43" t="n"/>
      <c r="AO140" s="1046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1045" t="n"/>
      <c r="AM141" s="261">
        <f>C141+F141+I141+L141+O141+R141+U141+X141+AA141+AD141+AG141+AJ141</f>
        <v/>
      </c>
      <c r="AN141" s="43" t="n"/>
      <c r="AO141" s="1046" t="n"/>
    </row>
    <row r="142" outlineLevel="1" ht="15" customHeight="1" s="986" thickBot="1"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1079" t="n"/>
      <c r="AM142" s="213">
        <f>C142+F142+I142+L142+O142+R142+U142+X142+AA142+AD142+AG142+AJ142</f>
        <v/>
      </c>
      <c r="AN142" s="214" t="n"/>
      <c r="AO142" s="1092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1067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1128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1065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1067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1069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077" t="n"/>
      <c r="F148" s="39">
        <f>'GASTOS ADMINISTRATIVOS'!D96*'%DIST'!D41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1077" t="n"/>
      <c r="AM148" s="209">
        <f>C148+F148+I148+L148+O148+R148+U148+X148+AA148+AD148+AG148+AJ148</f>
        <v/>
      </c>
      <c r="AN148" s="69" t="n"/>
      <c r="AO148" s="1082" t="n"/>
      <c r="AP148" s="1068" t="n"/>
    </row>
    <row r="149" ht="15" customHeight="1" s="986">
      <c r="B149" s="285" t="inlineStr">
        <is>
          <t>Gastos financieros</t>
        </is>
      </c>
      <c r="C149" s="25">
        <f>'GASTOS ADMINISTRATIVOS'!C109*'%DIST'!C57</f>
        <v/>
      </c>
      <c r="D149" s="43" t="n"/>
      <c r="E149" s="1045" t="n"/>
      <c r="F149" s="25">
        <f>'GASTOS ADMINISTRATIVOS'!D109*'%DIST'!E57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1045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1057" t="n"/>
      <c r="AM150" s="205">
        <f>C150+F150+I150+L150+O150+R150+U150+X150+AA150+AD150+AG150+AJ150</f>
        <v/>
      </c>
      <c r="AN150" s="42" t="n"/>
      <c r="AO150" s="1058" t="n"/>
      <c r="AP150" s="1068" t="n"/>
    </row>
    <row r="151" ht="15" customHeight="1" s="986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086" t="n"/>
      <c r="F151" s="71">
        <f>'GASTOS ADMINISTRATIVOS'!D119*'%DIST'!E57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1086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1067" t="n"/>
      <c r="AM152" s="151" t="n"/>
      <c r="AN152" s="2" t="n"/>
      <c r="AO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>
        <f>C153/C13</f>
        <v/>
      </c>
      <c r="F153" s="498">
        <f>SUM(F154:F160)</f>
        <v/>
      </c>
      <c r="G153" s="499" t="n"/>
      <c r="H153" s="1093">
        <f>F153/F13</f>
        <v/>
      </c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1093" t="n"/>
      <c r="AM153" s="587">
        <f>C153+F153+I153+L153+O153+R153+U153+X153+AA153+AD153+AG153+AJ153</f>
        <v/>
      </c>
      <c r="AN153" s="499" t="n"/>
      <c r="AO153" s="1094">
        <f>AM153/AM13</f>
        <v/>
      </c>
    </row>
    <row r="154" ht="15" customHeight="1" s="986" thickTop="1">
      <c r="B154" s="1204" t="inlineStr">
        <is>
          <t>Campaña</t>
        </is>
      </c>
      <c r="C154" s="724" t="n"/>
      <c r="D154" s="550" t="n"/>
      <c r="E154" s="1171" t="n"/>
      <c r="F154" s="724" t="n"/>
      <c r="G154" s="550" t="n"/>
      <c r="H154" s="1171" t="n"/>
      <c r="I154" s="724" t="n"/>
      <c r="J154" s="550" t="n"/>
      <c r="K154" s="1171" t="n"/>
      <c r="L154" s="724" t="n"/>
      <c r="M154" s="550" t="n"/>
      <c r="N154" s="1171" t="n"/>
      <c r="O154" s="724" t="n"/>
      <c r="P154" s="550" t="n"/>
      <c r="Q154" s="1171" t="n"/>
      <c r="R154" s="724" t="n"/>
      <c r="S154" s="550" t="n"/>
      <c r="T154" s="1171" t="n"/>
      <c r="U154" s="724" t="n"/>
      <c r="V154" s="550" t="n"/>
      <c r="W154" s="1171" t="n"/>
      <c r="X154" s="724" t="n"/>
      <c r="Y154" s="550" t="n"/>
      <c r="Z154" s="1171" t="n"/>
      <c r="AA154" s="724" t="n"/>
      <c r="AB154" s="550" t="n"/>
      <c r="AC154" s="1171" t="n"/>
      <c r="AD154" s="724" t="n"/>
      <c r="AE154" s="550" t="n"/>
      <c r="AF154" s="1171" t="n"/>
      <c r="AG154" s="724" t="n"/>
      <c r="AH154" s="550" t="n"/>
      <c r="AI154" s="1171" t="n"/>
      <c r="AJ154" s="724" t="n"/>
      <c r="AK154" s="550" t="n"/>
      <c r="AL154" s="1171" t="n"/>
      <c r="AM154" s="718">
        <f>C154+F154+I154+L154+O154+R154+U154+X154+AA154+AD154+AG154+AJ154</f>
        <v/>
      </c>
      <c r="AN154" s="230" t="n"/>
      <c r="AO154" s="1137" t="n"/>
    </row>
    <row r="155" ht="15" customHeight="1" s="986">
      <c r="B155" s="1205" t="inlineStr">
        <is>
          <t>Banco de Occidente</t>
        </is>
      </c>
      <c r="C155" s="707" t="n"/>
      <c r="D155" s="13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707" t="n"/>
      <c r="P155" s="13" t="n"/>
      <c r="Q155" s="1151" t="n"/>
      <c r="R155" s="707" t="n"/>
      <c r="S155" s="13" t="n"/>
      <c r="T155" s="1151" t="n"/>
      <c r="U155" s="707" t="n"/>
      <c r="V155" s="13" t="n"/>
      <c r="W155" s="1151" t="n"/>
      <c r="X155" s="707" t="n"/>
      <c r="Y155" s="13" t="n"/>
      <c r="Z155" s="1151" t="n"/>
      <c r="AA155" s="707" t="n"/>
      <c r="AB155" s="13" t="n"/>
      <c r="AC155" s="1151" t="n"/>
      <c r="AD155" s="707" t="n"/>
      <c r="AE155" s="13" t="n"/>
      <c r="AF155" s="1151" t="n"/>
      <c r="AG155" s="707" t="n"/>
      <c r="AH155" s="13" t="n"/>
      <c r="AI155" s="1151" t="n"/>
      <c r="AJ155" s="707" t="n"/>
      <c r="AK155" s="13" t="n"/>
      <c r="AL155" s="1151" t="n"/>
      <c r="AM155" s="294">
        <f>C155+F155+I155+L155+O155+R155+U155+X155+AA155+AD155+AG155+AJ155</f>
        <v/>
      </c>
      <c r="AN155" s="13" t="n"/>
      <c r="AO155" s="1141" t="n"/>
    </row>
    <row r="156" ht="15" customHeight="1" s="986">
      <c r="B156" s="1206" t="inlineStr">
        <is>
          <t>Abono 2025 - GAP</t>
        </is>
      </c>
      <c r="C156" s="707" t="n"/>
      <c r="D156" s="679" t="n"/>
      <c r="E156" s="1173" t="n"/>
      <c r="F156" s="707" t="n"/>
      <c r="G156" s="679" t="n"/>
      <c r="H156" s="1173" t="n"/>
      <c r="I156" s="707" t="n"/>
      <c r="J156" s="679" t="n"/>
      <c r="K156" s="1173" t="n"/>
      <c r="L156" s="707" t="n"/>
      <c r="M156" s="679" t="n"/>
      <c r="N156" s="1173" t="n"/>
      <c r="O156" s="707" t="n"/>
      <c r="P156" s="679" t="n"/>
      <c r="Q156" s="1173" t="n"/>
      <c r="R156" s="707" t="n"/>
      <c r="S156" s="679" t="n"/>
      <c r="T156" s="1173" t="n"/>
      <c r="U156" s="707" t="n"/>
      <c r="V156" s="679" t="n"/>
      <c r="W156" s="1173" t="n"/>
      <c r="X156" s="707" t="n"/>
      <c r="Y156" s="679" t="n"/>
      <c r="Z156" s="1173" t="n"/>
      <c r="AA156" s="707" t="n"/>
      <c r="AB156" s="679" t="n"/>
      <c r="AC156" s="1173" t="n"/>
      <c r="AD156" s="707" t="n"/>
      <c r="AE156" s="679" t="n"/>
      <c r="AF156" s="1173" t="n"/>
      <c r="AG156" s="707" t="n"/>
      <c r="AH156" s="679" t="n"/>
      <c r="AI156" s="1173" t="n"/>
      <c r="AJ156" s="707" t="n"/>
      <c r="AK156" s="679" t="n"/>
      <c r="AL156" s="1173" t="n"/>
      <c r="AM156" s="715">
        <f>C156+F156+I156+L156+O156+R156+U156+X156+AA156+AD156+AG156+AJ156</f>
        <v/>
      </c>
      <c r="AN156" s="679" t="n"/>
      <c r="AO156" s="1145" t="n"/>
    </row>
    <row r="157" ht="15" customHeight="1" s="986">
      <c r="B157" s="1207" t="inlineStr">
        <is>
          <t>Otros Ajustes 1</t>
        </is>
      </c>
      <c r="C157" s="707" t="n"/>
      <c r="D157" s="13" t="n"/>
      <c r="E157" s="1151" t="n"/>
      <c r="F157" s="707" t="n"/>
      <c r="G157" s="13" t="n"/>
      <c r="H157" s="1151" t="n"/>
      <c r="I157" s="707" t="n"/>
      <c r="J157" s="13" t="n"/>
      <c r="K157" s="1151" t="n"/>
      <c r="L157" s="707" t="n"/>
      <c r="M157" s="13" t="n"/>
      <c r="N157" s="1151" t="n"/>
      <c r="O157" s="707" t="n"/>
      <c r="P157" s="13" t="n"/>
      <c r="Q157" s="1151" t="n"/>
      <c r="R157" s="707" t="n"/>
      <c r="S157" s="13" t="n"/>
      <c r="T157" s="1151" t="n"/>
      <c r="U157" s="707" t="n"/>
      <c r="V157" s="13" t="n"/>
      <c r="W157" s="1151" t="n"/>
      <c r="X157" s="707" t="n"/>
      <c r="Y157" s="13" t="n"/>
      <c r="Z157" s="1151" t="n"/>
      <c r="AA157" s="707" t="n"/>
      <c r="AB157" s="13" t="n"/>
      <c r="AC157" s="1151" t="n"/>
      <c r="AD157" s="707" t="n"/>
      <c r="AE157" s="13" t="n"/>
      <c r="AF157" s="1151" t="n"/>
      <c r="AG157" s="707" t="n"/>
      <c r="AH157" s="13" t="n"/>
      <c r="AI157" s="1151" t="n"/>
      <c r="AJ157" s="707" t="n"/>
      <c r="AK157" s="13" t="n"/>
      <c r="AL157" s="1151" t="n"/>
      <c r="AM157" s="294">
        <f>C157+F157+I157+L157+O157+R157+U157+X157+AA157+AD157+AG157+AJ157</f>
        <v/>
      </c>
      <c r="AN157" s="13" t="n"/>
      <c r="AO157" s="789" t="n"/>
    </row>
    <row r="158" ht="15" customHeight="1" s="986">
      <c r="B158" s="1150" t="inlineStr">
        <is>
          <t>Otros Ajustes 2</t>
        </is>
      </c>
      <c r="C158" s="75" t="n"/>
      <c r="D158" s="13" t="n"/>
      <c r="E158" s="1151" t="n"/>
      <c r="F158" s="75" t="n"/>
      <c r="G158" s="13" t="n"/>
      <c r="H158" s="1151" t="n"/>
      <c r="I158" s="75" t="n"/>
      <c r="J158" s="13" t="n"/>
      <c r="K158" s="1151" t="n"/>
      <c r="L158" s="75" t="n"/>
      <c r="M158" s="13" t="n"/>
      <c r="N158" s="1151" t="n"/>
      <c r="O158" s="75" t="n"/>
      <c r="P158" s="13" t="n"/>
      <c r="Q158" s="1151" t="n"/>
      <c r="R158" s="75" t="n"/>
      <c r="S158" s="13" t="n"/>
      <c r="T158" s="1151" t="n"/>
      <c r="U158" s="75" t="n"/>
      <c r="V158" s="13" t="n"/>
      <c r="W158" s="1151" t="n"/>
      <c r="X158" s="75" t="n"/>
      <c r="Y158" s="13" t="n"/>
      <c r="Z158" s="1151" t="n"/>
      <c r="AA158" s="75" t="n"/>
      <c r="AB158" s="13" t="n"/>
      <c r="AC158" s="1151" t="n"/>
      <c r="AD158" s="75" t="n"/>
      <c r="AE158" s="13" t="n"/>
      <c r="AF158" s="1151" t="n"/>
      <c r="AG158" s="75" t="n"/>
      <c r="AH158" s="13" t="n"/>
      <c r="AI158" s="1151" t="n"/>
      <c r="AJ158" s="75" t="n"/>
      <c r="AK158" s="13" t="n"/>
      <c r="AL158" s="1151" t="n"/>
      <c r="AM158" s="205">
        <f>C158+F158+I158+L158+O158+R158+U158+X158+AA158+AD158+AG158+AJ158</f>
        <v/>
      </c>
      <c r="AN158" s="13" t="n"/>
      <c r="AO158" s="1152" t="n"/>
    </row>
    <row r="159" ht="15" customHeight="1" s="986">
      <c r="B159" s="1150" t="inlineStr">
        <is>
          <t>Otros Ajustes 3</t>
        </is>
      </c>
      <c r="C159" s="707" t="n"/>
      <c r="D159" s="13" t="n"/>
      <c r="E159" s="1151" t="n"/>
      <c r="F159" s="707" t="n"/>
      <c r="G159" s="13" t="n"/>
      <c r="H159" s="1151" t="n"/>
      <c r="I159" s="707" t="n"/>
      <c r="J159" s="13" t="n"/>
      <c r="K159" s="1151" t="n"/>
      <c r="L159" s="707" t="n"/>
      <c r="M159" s="13" t="n"/>
      <c r="N159" s="1151" t="n"/>
      <c r="O159" s="707" t="n"/>
      <c r="P159" s="13" t="n"/>
      <c r="Q159" s="1151" t="n"/>
      <c r="R159" s="707" t="n"/>
      <c r="S159" s="13" t="n"/>
      <c r="T159" s="1151" t="n"/>
      <c r="U159" s="707" t="n"/>
      <c r="V159" s="13" t="n"/>
      <c r="W159" s="1151" t="n"/>
      <c r="X159" s="707" t="n"/>
      <c r="Y159" s="13" t="n"/>
      <c r="Z159" s="1151" t="n"/>
      <c r="AA159" s="707" t="n"/>
      <c r="AB159" s="13" t="n"/>
      <c r="AC159" s="1151" t="n"/>
      <c r="AD159" s="707" t="n"/>
      <c r="AE159" s="43" t="n"/>
      <c r="AF159" s="1151" t="n"/>
      <c r="AG159" s="707" t="n"/>
      <c r="AH159" s="13" t="n"/>
      <c r="AI159" s="1151" t="n"/>
      <c r="AJ159" s="707" t="n"/>
      <c r="AK159" s="13" t="n"/>
      <c r="AL159" s="1151" t="n"/>
      <c r="AM159" s="205">
        <f>C159+F159+I159+L159+O159+R159+U159+X159+AA159+AD159+AG159+AJ159</f>
        <v/>
      </c>
      <c r="AN159" s="13" t="n"/>
      <c r="AO159" s="1152" t="n"/>
    </row>
    <row r="160" ht="15" customHeight="1" s="986" thickBot="1">
      <c r="B160" s="1208" t="inlineStr">
        <is>
          <t>Otros Ajustes 4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1155" t="n"/>
      <c r="AM160" s="292">
        <f>C160+F160+I160+L160+O160+R160+U160+X160+AA160+AD160+AG160+AJ160</f>
        <v/>
      </c>
      <c r="AN160" s="812" t="n"/>
      <c r="AO160" s="1156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1093" t="n"/>
      <c r="AM161" s="587">
        <f>C161+F161+I161+L161+O161+R161+U161+X161+AA161+AD161+AG161+AJ161</f>
        <v/>
      </c>
      <c r="AN161" s="499" t="n"/>
      <c r="AO161" s="1094" t="n"/>
    </row>
    <row r="162" ht="15" customHeight="1" s="986" thickBot="1" thickTop="1">
      <c r="B162" s="65" t="n"/>
      <c r="C162" s="501">
        <f>IFERROR(C161/C13," ")</f>
        <v/>
      </c>
      <c r="D162" s="502" t="n"/>
      <c r="E162" s="1093" t="n"/>
      <c r="F162" s="501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1093" t="n"/>
      <c r="AM162" s="589">
        <f>IFERROR(AM161/AM13," ")</f>
        <v/>
      </c>
      <c r="AN162" s="502" t="n"/>
      <c r="AO162" s="1094" t="n"/>
    </row>
    <row r="163" ht="10.8" customHeight="1" s="986" thickTop="1"/>
    <row r="164">
      <c r="C164" s="618">
        <f>C44+C83-C73-C85+'CTAS EN PPACION'!C164</f>
        <v/>
      </c>
      <c r="F164" s="618">
        <f>F44+F83-F73-F85+'CTAS EN PPACION'!F164</f>
        <v/>
      </c>
      <c r="I164" s="618">
        <f>I44+I83-I73-I85</f>
        <v/>
      </c>
      <c r="L164" s="618">
        <f>L44+L83-L73-L85</f>
        <v/>
      </c>
      <c r="O164" s="618">
        <f>O44+O83-O73-O85</f>
        <v/>
      </c>
      <c r="R164" s="618">
        <f>R44+R83-R73-R85</f>
        <v/>
      </c>
      <c r="U164" s="618">
        <f>U44+U83-U73-U85</f>
        <v/>
      </c>
      <c r="X164" s="618">
        <f>X44+X83-X73-X85</f>
        <v/>
      </c>
      <c r="AA164" s="618">
        <f>AA44+AA83-AA73-AA85+'CTAS EN PPACION'!AA164</f>
        <v/>
      </c>
      <c r="AD164" s="618">
        <f>AD44+AD83-AD73-AD85+'CTAS EN PPACION'!AD164</f>
        <v/>
      </c>
      <c r="AG164" s="618">
        <f>AG44+AG83-AG73-AG85+'CTAS EN PPACION'!AG164</f>
        <v/>
      </c>
      <c r="AJ164" s="618">
        <f>AJ44+AJ83-AJ73-AJ85+'CTAS EN PPACION'!AJ164</f>
        <v/>
      </c>
    </row>
    <row r="165">
      <c r="C165" s="618">
        <f>'[17]Hoja 1'!$C$278+'[17]Hoja 1'!$C$299-'[17]Hoja 1'!$C$309+'[17]Hoja 1'!$C$330+'[17]Hoja 1'!$C$387+'[2]Hoja 1'!$D$16+'[2]Hoja 1'!$D$20</f>
        <v/>
      </c>
      <c r="F165" s="618">
        <f>'[20]Hoja 1'!$C$291+'[20]Hoja 1'!$C$279-'[20]Hoja 1'!$C$304-'[20]Hoja 1'!$C$312+'[20]Hoja 1'!$C$324+'[20]Hoja 1'!$C$396+'[18]Hoja 1'!$C$103+'[13]Hoja 1'!$D$13+'[19]Hoja 1'!$C$108</f>
        <v/>
      </c>
      <c r="I165" s="618" t="n">
        <v>2985496113.86</v>
      </c>
      <c r="L165" s="618" t="n">
        <v>3625851913.54</v>
      </c>
      <c r="O165" s="618" t="n">
        <v>3323110405.53</v>
      </c>
      <c r="R165" s="618" t="n">
        <v>3094110603.05</v>
      </c>
      <c r="U165" s="618" t="n">
        <v>3405629371.39</v>
      </c>
      <c r="X165" s="618" t="n">
        <v>2674284425.360001</v>
      </c>
      <c r="AA165" s="618" t="n">
        <v>4314883838.200001</v>
      </c>
      <c r="AD165" s="618" t="n">
        <v>3537589844.47</v>
      </c>
      <c r="AG165" s="618" t="n">
        <v>3595747620.96</v>
      </c>
      <c r="AJ165" s="618" t="n">
        <v>3354883060.72</v>
      </c>
      <c r="AM165" s="993">
        <f>AM13+'CTAS EN PPACION'!AM13</f>
        <v/>
      </c>
    </row>
    <row r="166">
      <c r="C166" s="618">
        <f>C164-C165</f>
        <v/>
      </c>
      <c r="F166" s="618">
        <f>F164-F165</f>
        <v/>
      </c>
      <c r="I166" s="618">
        <f>I164-I165</f>
        <v/>
      </c>
      <c r="L166" s="618">
        <f>L164-L165</f>
        <v/>
      </c>
      <c r="O166" s="618">
        <f>O164-O165</f>
        <v/>
      </c>
      <c r="R166" s="618">
        <f>R164-R165</f>
        <v/>
      </c>
      <c r="U166" s="618">
        <f>U164-U165</f>
        <v/>
      </c>
      <c r="X166" s="618">
        <f>X164-X165</f>
        <v/>
      </c>
      <c r="AA166" s="618">
        <f>AA164-AA165</f>
        <v/>
      </c>
      <c r="AD166" s="618">
        <f>AD164-AD165</f>
        <v/>
      </c>
      <c r="AG166" s="618">
        <f>AG164-AG165</f>
        <v/>
      </c>
      <c r="AJ166" s="618">
        <f>AJ164-AJ165</f>
        <v/>
      </c>
    </row>
    <row r="170" ht="11.4" customHeight="1" s="986">
      <c r="AM170" s="932">
        <f>AM161+'CTAS EN PPACION'!AM161</f>
        <v/>
      </c>
    </row>
    <row r="172">
      <c r="AM172" s="914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2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8867187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 CUENTAS EN PARTICIPACION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6" thickBot="1" thickTop="1">
      <c r="B3" s="523" t="inlineStr">
        <is>
          <t xml:space="preserve">DIAS DE ATENCIÓN </t>
        </is>
      </c>
      <c r="C3" s="537" t="n">
        <v>20</v>
      </c>
      <c r="D3" s="480" t="n"/>
      <c r="E3" s="1035" t="n"/>
      <c r="F3" s="537" t="n">
        <v>20</v>
      </c>
      <c r="G3" s="480" t="n"/>
      <c r="H3" s="1035" t="n"/>
      <c r="I3" s="479" t="n">
        <v>20</v>
      </c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49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>
        <f>AA15/AA15</f>
        <v/>
      </c>
      <c r="AD15" s="49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830" t="n"/>
      <c r="C16" s="103" t="n"/>
      <c r="D16" s="79" t="n"/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056" t="n"/>
    </row>
    <row r="17" ht="15" customHeight="1" s="986">
      <c r="B17" s="765" t="inlineStr">
        <is>
          <t>SUMINISTRO</t>
        </is>
      </c>
      <c r="C17" s="25" t="n"/>
      <c r="D17" s="43" t="n"/>
      <c r="E17" s="1045" t="n"/>
      <c r="F17" s="25" t="n"/>
      <c r="G17" s="43" t="n"/>
      <c r="H17" s="1045" t="n"/>
      <c r="I17" s="25" t="n"/>
      <c r="J17" s="43">
        <f>I17/I6</f>
        <v/>
      </c>
      <c r="K17" s="1045" t="n"/>
      <c r="L17" s="25" t="n"/>
      <c r="M17" s="43">
        <f>L17/L6</f>
        <v/>
      </c>
      <c r="N17" s="1045" t="n"/>
      <c r="O17" s="25" t="n"/>
      <c r="P17" s="43">
        <f>O17/O6</f>
        <v/>
      </c>
      <c r="Q17" s="1045" t="n"/>
      <c r="R17" s="25" t="n"/>
      <c r="S17" s="43">
        <f>R17/R6</f>
        <v/>
      </c>
      <c r="T17" s="1045" t="n"/>
      <c r="U17" s="25" t="n"/>
      <c r="V17" s="43">
        <f>U17/U6</f>
        <v/>
      </c>
      <c r="W17" s="1045" t="n"/>
      <c r="X17" s="25" t="n"/>
      <c r="Y17" s="43">
        <f>X17/X6</f>
        <v/>
      </c>
      <c r="Z17" s="1045" t="n"/>
      <c r="AA17" s="25" t="n"/>
      <c r="AB17" s="43">
        <f>AA17/AA6</f>
        <v/>
      </c>
      <c r="AC17" s="1045" t="n"/>
      <c r="AD17" s="25" t="n"/>
      <c r="AE17" s="43">
        <f>AD17/AD6</f>
        <v/>
      </c>
      <c r="AF17" s="1045" t="n"/>
      <c r="AG17" s="25" t="n"/>
      <c r="AH17" s="43">
        <f>AG17/AG6</f>
        <v/>
      </c>
      <c r="AI17" s="1045" t="n"/>
      <c r="AJ17" s="25" t="n"/>
      <c r="AK17" s="43">
        <f>AJ17/AJ6</f>
        <v/>
      </c>
      <c r="AL17" s="57" t="n"/>
      <c r="AM17" s="205">
        <f>C17+F17+I17+L17+O17+R17+U17+X17+AA17+AD17+AG17+AJ17</f>
        <v/>
      </c>
      <c r="AN17" s="43" t="n"/>
      <c r="AO17" s="1046" t="n"/>
    </row>
    <row r="18" ht="15" customHeight="1" s="986">
      <c r="B18" s="104" t="n"/>
      <c r="C18" s="75" t="n"/>
      <c r="D18" s="43" t="n"/>
      <c r="E18" s="1045" t="n"/>
      <c r="F18" s="75" t="n"/>
      <c r="G18" s="43" t="n"/>
      <c r="H18" s="1045" t="n"/>
      <c r="I18" s="75" t="n"/>
      <c r="J18" s="43">
        <f>I18/I7</f>
        <v/>
      </c>
      <c r="K18" s="1045" t="n"/>
      <c r="L18" s="75" t="n"/>
      <c r="M18" s="43">
        <f>L18/L7</f>
        <v/>
      </c>
      <c r="N18" s="1045" t="n"/>
      <c r="O18" s="75" t="n"/>
      <c r="P18" s="43">
        <f>O18/O7</f>
        <v/>
      </c>
      <c r="Q18" s="1045" t="n"/>
      <c r="R18" s="75" t="n"/>
      <c r="S18" s="43">
        <f>R18/R7</f>
        <v/>
      </c>
      <c r="T18" s="1045" t="n"/>
      <c r="U18" s="75" t="n"/>
      <c r="V18" s="43">
        <f>U18/U7</f>
        <v/>
      </c>
      <c r="W18" s="1045" t="n"/>
      <c r="X18" s="75" t="n"/>
      <c r="Y18" s="43">
        <f>X18/X7</f>
        <v/>
      </c>
      <c r="Z18" s="1045" t="n"/>
      <c r="AA18" s="75" t="n"/>
      <c r="AB18" s="43">
        <f>AA18/AA7</f>
        <v/>
      </c>
      <c r="AC18" s="1045" t="n"/>
      <c r="AD18" s="75" t="n"/>
      <c r="AE18" s="43">
        <f>AD18/AD7</f>
        <v/>
      </c>
      <c r="AF18" s="1045" t="n"/>
      <c r="AG18" s="75" t="n"/>
      <c r="AH18" s="43">
        <f>AG18/AG7</f>
        <v/>
      </c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6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91" t="n"/>
      <c r="Y19" s="92" t="n"/>
      <c r="Z19" s="1045" t="n"/>
      <c r="AA19" s="91" t="n"/>
      <c r="AB19" s="92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6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6">
      <c r="B21" s="765" t="inlineStr">
        <is>
          <t>TRANSPORTE</t>
        </is>
      </c>
      <c r="C21" s="75" t="n"/>
      <c r="D21" s="43" t="n"/>
      <c r="E21" s="1045" t="n"/>
      <c r="F21" s="25" t="n"/>
      <c r="G21" s="43" t="n"/>
      <c r="H21" s="1045" t="n"/>
      <c r="I21" s="2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6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448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49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49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054">
        <f>AM29/AM13</f>
        <v/>
      </c>
    </row>
    <row r="30" hidden="1" outlineLevel="1" ht="15" customFormat="1" customHeight="1" s="108">
      <c r="A30" s="229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6">
      <c r="B31" s="105" t="inlineStr">
        <is>
          <t>Rete fuente</t>
        </is>
      </c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6">
      <c r="B32" s="105" t="inlineStr">
        <is>
          <t>Rete fuente</t>
        </is>
      </c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6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6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6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hidden="1" outlineLevel="1" ht="15" customHeight="1" s="986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hidden="1" outlineLevel="1" ht="15" customHeight="1" s="986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hidden="1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hidden="1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collapsed="1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>
        <f>+C46+C57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90">
        <f>+AA46+AA57</f>
        <v/>
      </c>
      <c r="AB45" s="3" t="n"/>
      <c r="AC45" s="1053" t="n"/>
      <c r="AD45" s="49">
        <f>+AD46+AD57</f>
        <v/>
      </c>
      <c r="AE45" s="3" t="n"/>
      <c r="AF45" s="1053" t="n"/>
      <c r="AG45" s="90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6">
      <c r="B46" s="36" t="inlineStr">
        <is>
          <t>INSUMOS</t>
        </is>
      </c>
      <c r="C46" s="37">
        <f>SUM(C47:C56)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6">
      <c r="B47" s="97" t="inlineStr">
        <is>
          <t>SUMINISTRO</t>
        </is>
      </c>
      <c r="C47" s="76" t="n">
        <v>704316261.6960775</v>
      </c>
      <c r="D47" s="42">
        <f>C47/C12</f>
        <v/>
      </c>
      <c r="E47" s="1057">
        <f>C47/C13</f>
        <v/>
      </c>
      <c r="F47" s="76" t="n">
        <v>702700861.7745461</v>
      </c>
      <c r="G47" s="42">
        <f>F47/F12</f>
        <v/>
      </c>
      <c r="H47" s="1057">
        <f>F47/F13</f>
        <v/>
      </c>
      <c r="I47" s="76" t="n"/>
      <c r="J47" s="42">
        <f>I47/I12</f>
        <v/>
      </c>
      <c r="K47" s="1057">
        <f>I47/I13</f>
        <v/>
      </c>
      <c r="L47" s="76" t="n"/>
      <c r="M47" s="42">
        <f>L47/L12</f>
        <v/>
      </c>
      <c r="N47" s="1057">
        <f>L47/L13</f>
        <v/>
      </c>
      <c r="O47" s="76" t="n"/>
      <c r="P47" s="42">
        <f>O47/O12</f>
        <v/>
      </c>
      <c r="Q47" s="1057">
        <f>O47/O13</f>
        <v/>
      </c>
      <c r="R47" s="76" t="n"/>
      <c r="S47" s="42">
        <f>R47/R12</f>
        <v/>
      </c>
      <c r="T47" s="1057">
        <f>R47/R13</f>
        <v/>
      </c>
      <c r="U47" s="76" t="n"/>
      <c r="V47" s="42">
        <f>U47/U12</f>
        <v/>
      </c>
      <c r="W47" s="1057">
        <f>U47/U13</f>
        <v/>
      </c>
      <c r="X47" s="76" t="n"/>
      <c r="Y47" s="42">
        <f>X47/X12</f>
        <v/>
      </c>
      <c r="Z47" s="1057">
        <f>X47/X13</f>
        <v/>
      </c>
      <c r="AA47" s="76" t="n"/>
      <c r="AB47" s="42">
        <f>AA47/AA12</f>
        <v/>
      </c>
      <c r="AC47" s="1057">
        <f>AA47/AA13</f>
        <v/>
      </c>
      <c r="AD47" s="76" t="n"/>
      <c r="AE47" s="42">
        <f>AD47/AD12</f>
        <v/>
      </c>
      <c r="AF47" s="1057">
        <f>AD47/AD13</f>
        <v/>
      </c>
      <c r="AG47" s="76" t="n"/>
      <c r="AH47" s="42">
        <f>AG47/AG12</f>
        <v/>
      </c>
      <c r="AI47" s="1057">
        <f>AG47/AG13</f>
        <v/>
      </c>
      <c r="AJ47" s="76" t="n"/>
      <c r="AK47" s="42">
        <f>AJ47/AJ12</f>
        <v/>
      </c>
      <c r="AL47" s="1057">
        <f>AJ47/AJ13</f>
        <v/>
      </c>
      <c r="AM47" s="97">
        <f>C47+F47+I47+L47+O47+R47+U47+X47+AA47+AD47+AG47+AJ47</f>
        <v/>
      </c>
      <c r="AN47" s="42">
        <f>AM47/$AM$12</f>
        <v/>
      </c>
      <c r="AO47" s="1058">
        <f>AM47/AM13</f>
        <v/>
      </c>
      <c r="AP47" s="138" t="n"/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AM48/AM12</f>
        <v/>
      </c>
      <c r="AO48" s="1046" t="n"/>
    </row>
    <row r="49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idden="1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t="15" customHeight="1" s="986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049">
        <f>C57/C13</f>
        <v/>
      </c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47">
        <f>L57/L12</f>
        <v/>
      </c>
      <c r="N57" s="1049">
        <f>L57/L13</f>
        <v/>
      </c>
      <c r="O57" s="46">
        <f>SUM(O58:O59)</f>
        <v/>
      </c>
      <c r="P57" s="47">
        <f>O57/O12</f>
        <v/>
      </c>
      <c r="Q57" s="1049">
        <f>O57/O13</f>
        <v/>
      </c>
      <c r="R57" s="46">
        <f>SUM(R58:R59)</f>
        <v/>
      </c>
      <c r="S57" s="47">
        <f>R57/R12</f>
        <v/>
      </c>
      <c r="T57" s="1049">
        <f>R57/R13</f>
        <v/>
      </c>
      <c r="U57" s="46">
        <f>SUM(U58:U59)</f>
        <v/>
      </c>
      <c r="V57" s="47">
        <f>U57/U12</f>
        <v/>
      </c>
      <c r="W57" s="1049">
        <f>U57/U13</f>
        <v/>
      </c>
      <c r="X57" s="46">
        <f>SUM(X58:X59)</f>
        <v/>
      </c>
      <c r="Y57" s="47">
        <f>X57/X12</f>
        <v/>
      </c>
      <c r="Z57" s="1049">
        <f>X57/X13</f>
        <v/>
      </c>
      <c r="AA57" s="46">
        <f>SUM(AA58:AA59)</f>
        <v/>
      </c>
      <c r="AB57" s="47">
        <f>AA57/AA12</f>
        <v/>
      </c>
      <c r="AC57" s="1049">
        <f>AA57/AA13</f>
        <v/>
      </c>
      <c r="AD57" s="46">
        <f>SUM(AD58:AD59)</f>
        <v/>
      </c>
      <c r="AE57" s="47">
        <f>AD57/AD12</f>
        <v/>
      </c>
      <c r="AF57" s="1049">
        <f>AD57/AD13</f>
        <v/>
      </c>
      <c r="AG57" s="46">
        <f>SUM(AG58:AG59)</f>
        <v/>
      </c>
      <c r="AH57" s="47">
        <f>AG57/AG12</f>
        <v/>
      </c>
      <c r="AI57" s="1049">
        <f>AG57/AG13</f>
        <v/>
      </c>
      <c r="AJ57" s="46">
        <f>SUM(AJ58:AJ59)</f>
        <v/>
      </c>
      <c r="AK57" s="47">
        <f>AJ57/AJ12</f>
        <v/>
      </c>
      <c r="AL57" s="1049">
        <f>AJ57/AJ13</f>
        <v/>
      </c>
      <c r="AM57" s="207">
        <f>C57+F57+I57+L57+O57+R57+U57+X57+AA57+AD57+AG57+AJ57</f>
        <v/>
      </c>
      <c r="AN57" s="47">
        <f>AM57/AM12</f>
        <v/>
      </c>
      <c r="AO57" s="1050">
        <f>AM57/AM13</f>
        <v/>
      </c>
    </row>
    <row r="58" ht="15" customHeight="1" s="986">
      <c r="B58" s="412" t="inlineStr">
        <is>
          <t>ENTREGA POR RACION</t>
        </is>
      </c>
      <c r="C58" s="304">
        <f>[56]ENERO!$G$22</f>
        <v/>
      </c>
      <c r="D58" s="305" t="n"/>
      <c r="E58" s="1111" t="n"/>
      <c r="F58" s="304">
        <f>[56]FEBRERO!$G$22</f>
        <v/>
      </c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P58" s="1068" t="n"/>
    </row>
    <row r="59" ht="15" customFormat="1" customHeight="1" s="108">
      <c r="A59" s="229" t="n"/>
      <c r="B59" s="416" t="inlineStr">
        <is>
          <t>ENTREGA MATERIA PRIMA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986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+F61+F72+F75+F76+F77</f>
        <v/>
      </c>
      <c r="G60" s="3" t="n"/>
      <c r="H60" s="1053">
        <f>F60/F13</f>
        <v/>
      </c>
      <c r="I60" s="49">
        <f>+I61+I72+I75+I76+I77</f>
        <v/>
      </c>
      <c r="J60" s="3" t="n"/>
      <c r="K60" s="1053">
        <f>I60/I13</f>
        <v/>
      </c>
      <c r="L60" s="49">
        <f>+L61+L72+L75+L76+L77</f>
        <v/>
      </c>
      <c r="M60" s="3" t="n"/>
      <c r="N60" s="1053">
        <f>L60/L13</f>
        <v/>
      </c>
      <c r="O60" s="49">
        <f>+O61+O72+O75+O76+O77</f>
        <v/>
      </c>
      <c r="P60" s="3" t="n"/>
      <c r="Q60" s="1053">
        <f>O60/$O$13</f>
        <v/>
      </c>
      <c r="R60" s="90">
        <f>+R61+R72+R75+R76+R77</f>
        <v/>
      </c>
      <c r="S60" s="3" t="n"/>
      <c r="T60" s="1053">
        <f>R60/$O$13</f>
        <v/>
      </c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90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idden="1" ht="15" customHeight="1" s="986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idden="1" ht="15" customHeight="1" s="986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56" t="n"/>
    </row>
    <row r="63" hidden="1" ht="15" customHeight="1" s="986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46" t="n"/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46" t="n"/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 t="n"/>
      <c r="AO67" s="1046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6">
      <c r="B72" s="36" t="inlineStr">
        <is>
          <t>FLETES - CHVS</t>
        </is>
      </c>
      <c r="C72" s="37" t="n"/>
      <c r="D72" s="67" t="n"/>
      <c r="E72" s="1071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67" t="n"/>
      <c r="N72" s="1071" t="n"/>
      <c r="O72" s="46">
        <f>SUM(O73:O74)</f>
        <v/>
      </c>
      <c r="P72" s="67" t="n"/>
      <c r="Q72" s="1071" t="n"/>
      <c r="R72" s="46">
        <f>SUM(R73:R74)</f>
        <v/>
      </c>
      <c r="S72" s="67" t="n"/>
      <c r="T72" s="1071" t="n"/>
      <c r="U72" s="46">
        <f>SUM(U73:U74)</f>
        <v/>
      </c>
      <c r="V72" s="47">
        <f>U72/U12</f>
        <v/>
      </c>
      <c r="W72" s="1071" t="n"/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n"/>
      <c r="C73" s="78" t="n"/>
      <c r="D73" s="79" t="n"/>
      <c r="E73" s="1055" t="n"/>
      <c r="F73" s="304" t="n"/>
      <c r="G73" s="305" t="n"/>
      <c r="H73" s="1111" t="n"/>
      <c r="I73" s="304" t="n"/>
      <c r="J73" s="305" t="n"/>
      <c r="K73" s="1111" t="n"/>
      <c r="L73" s="304" t="n"/>
      <c r="M73" s="305" t="n"/>
      <c r="N73" s="1111" t="n"/>
      <c r="O73" s="304" t="n"/>
      <c r="P73" s="305" t="n"/>
      <c r="Q73" s="1111" t="n"/>
      <c r="R73" s="304" t="n"/>
      <c r="S73" s="305" t="n"/>
      <c r="T73" s="1111" t="n"/>
      <c r="U73" s="304" t="n"/>
      <c r="V73" s="305" t="n"/>
      <c r="W73" s="1111" t="n"/>
      <c r="X73" s="304" t="n"/>
      <c r="Y73" s="305" t="n"/>
      <c r="Z73" s="1111" t="n"/>
      <c r="AA73" s="304" t="n"/>
      <c r="AB73" s="305" t="n"/>
      <c r="AC73" s="1111" t="n"/>
      <c r="AD73" s="304" t="n"/>
      <c r="AE73" s="305" t="n"/>
      <c r="AF73" s="1111" t="n"/>
      <c r="AG73" s="304" t="n"/>
      <c r="AH73" s="305" t="n"/>
      <c r="AI73" s="1111" t="n"/>
      <c r="AJ73" s="304" t="n"/>
      <c r="AK73" s="305" t="n"/>
      <c r="AL73" s="86" t="n"/>
      <c r="AM73" s="414">
        <f>C73+F73+I73+L73+O73+R73+U73+X73+AA73+AD73+AG73+AJ73</f>
        <v/>
      </c>
      <c r="AN73" s="305" t="n"/>
      <c r="AO73" s="1117" t="n"/>
    </row>
    <row r="74" ht="15" customFormat="1" customHeight="1" s="108" thickBot="1">
      <c r="A74" s="229" t="n"/>
      <c r="B74" s="833" t="inlineStr">
        <is>
          <t>TERCEROS</t>
        </is>
      </c>
      <c r="C74" s="71" t="n"/>
      <c r="D74" s="72" t="n"/>
      <c r="E74" s="1086" t="n"/>
      <c r="F74" s="71" t="n"/>
      <c r="G74" s="72" t="n"/>
      <c r="H74" s="1086" t="n"/>
      <c r="I74" s="71" t="n"/>
      <c r="J74" s="72" t="n"/>
      <c r="K74" s="1086" t="n"/>
      <c r="L74" s="71" t="n"/>
      <c r="M74" s="72" t="n"/>
      <c r="N74" s="1086" t="n"/>
      <c r="O74" s="71" t="n"/>
      <c r="P74" s="72" t="n"/>
      <c r="Q74" s="1086" t="n"/>
      <c r="R74" s="71" t="n"/>
      <c r="S74" s="72" t="n"/>
      <c r="T74" s="1086" t="n"/>
      <c r="U74" s="71" t="n"/>
      <c r="V74" s="72" t="n"/>
      <c r="W74" s="1086" t="n"/>
      <c r="X74" s="71" t="n"/>
      <c r="Y74" s="72" t="n"/>
      <c r="Z74" s="1086" t="n"/>
      <c r="AA74" s="71" t="n"/>
      <c r="AB74" s="72" t="n"/>
      <c r="AC74" s="1086" t="n"/>
      <c r="AD74" s="71" t="n"/>
      <c r="AE74" s="72" t="n"/>
      <c r="AF74" s="1086" t="n"/>
      <c r="AG74" s="71" t="n"/>
      <c r="AH74" s="72" t="n"/>
      <c r="AI74" s="1086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09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986">
      <c r="B75" s="831" t="inlineStr">
        <is>
          <t>Material de empaque</t>
        </is>
      </c>
      <c r="C75" s="273" t="n"/>
      <c r="D75" s="134" t="n"/>
      <c r="E75" s="1118" t="n"/>
      <c r="F75" s="273" t="n"/>
      <c r="G75" s="134" t="n"/>
      <c r="H75" s="1118" t="n"/>
      <c r="I75" s="273" t="n"/>
      <c r="J75" s="134" t="n"/>
      <c r="K75" s="1118" t="n"/>
      <c r="L75" s="273" t="n"/>
      <c r="M75" s="134" t="n"/>
      <c r="N75" s="1118" t="n"/>
      <c r="O75" s="273" t="n"/>
      <c r="P75" s="134" t="n"/>
      <c r="Q75" s="1118" t="n"/>
      <c r="R75" s="273" t="n"/>
      <c r="S75" s="134" t="n"/>
      <c r="T75" s="1118" t="n"/>
      <c r="U75" s="273" t="n"/>
      <c r="V75" s="134" t="n"/>
      <c r="W75" s="1118" t="n"/>
      <c r="X75" s="273" t="n"/>
      <c r="Y75" s="134" t="n"/>
      <c r="Z75" s="1118" t="n"/>
      <c r="AA75" s="273" t="n"/>
      <c r="AB75" s="134" t="n"/>
      <c r="AC75" s="1118" t="n"/>
      <c r="AD75" s="273" t="n"/>
      <c r="AE75" s="134" t="n"/>
      <c r="AF75" s="1118" t="n"/>
      <c r="AG75" s="273" t="n"/>
      <c r="AH75" s="134" t="n"/>
      <c r="AI75" s="1118" t="n"/>
      <c r="AJ75" s="273" t="n"/>
      <c r="AK75" s="134" t="n"/>
      <c r="AL75" s="135" t="n"/>
      <c r="AM75" s="430">
        <f>C75+F75+I75+L75+O75+R75+U75+X75+AA75+AD75+AG75+AJ75</f>
        <v/>
      </c>
      <c r="AN75" s="134" t="n"/>
      <c r="AO75" s="1210" t="n"/>
    </row>
    <row r="76" hidden="1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idden="1" ht="15" customHeight="1" s="986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idden="1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49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</row>
    <row r="79" hidden="1" ht="15" customHeight="1" s="986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P79" s="1068" t="n"/>
    </row>
    <row r="80" hidden="1" ht="15" customHeight="1" s="986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</row>
    <row r="81" hidden="1" ht="15" customHeight="1" s="986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793" t="n"/>
      <c r="M81" s="794" t="n"/>
      <c r="N81" s="1211" t="n"/>
      <c r="O81" s="793" t="n"/>
      <c r="P81" s="794" t="n"/>
      <c r="Q81" s="1211" t="n"/>
      <c r="R81" s="793" t="n"/>
      <c r="S81" s="794" t="n"/>
      <c r="T81" s="1211" t="n"/>
      <c r="U81" s="793" t="n"/>
      <c r="V81" s="794" t="n"/>
      <c r="W81" s="1211" t="n"/>
      <c r="X81" s="793" t="n"/>
      <c r="Y81" s="794" t="n"/>
      <c r="Z81" s="1211" t="n"/>
      <c r="AA81" s="793" t="n"/>
      <c r="AB81" s="794" t="n"/>
      <c r="AC81" s="1211" t="n"/>
      <c r="AD81" s="793" t="n"/>
      <c r="AE81" s="794" t="n"/>
      <c r="AF81" s="1211" t="n"/>
      <c r="AG81" s="793" t="n"/>
      <c r="AH81" s="794" t="n"/>
      <c r="AI81" s="1211" t="n"/>
      <c r="AJ81" s="796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511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B85" s="39" t="inlineStr">
        <is>
          <t>Costos Indirectos de Personal</t>
        </is>
      </c>
      <c r="C85" s="39">
        <f>'[2]Hoja 1'!$D$20</f>
        <v/>
      </c>
      <c r="D85" s="69" t="n"/>
      <c r="E85" s="1077" t="n"/>
      <c r="F85" s="25">
        <f>'[10]Hoja 1'!$D$14+'[15]Hoja 1'!$D$15</f>
        <v/>
      </c>
      <c r="G85" s="69" t="n"/>
      <c r="H85" s="1077" t="n"/>
      <c r="I85" s="91" t="n"/>
      <c r="J85" s="69" t="n"/>
      <c r="K85" s="1077" t="n"/>
      <c r="L85" s="91" t="n"/>
      <c r="M85" s="69" t="n"/>
      <c r="N85" s="1077" t="n"/>
      <c r="O85" s="91" t="n"/>
      <c r="P85" s="69" t="n"/>
      <c r="Q85" s="1077" t="n"/>
      <c r="R85" s="91" t="n"/>
      <c r="S85" s="69" t="n"/>
      <c r="T85" s="1077" t="n"/>
      <c r="U85" s="91" t="n"/>
      <c r="V85" s="69" t="n"/>
      <c r="W85" s="1077" t="n"/>
      <c r="X85" s="91" t="n"/>
      <c r="Y85" s="69" t="n"/>
      <c r="Z85" s="1077" t="n"/>
      <c r="AA85" s="91" t="n"/>
      <c r="AB85" s="69" t="n"/>
      <c r="AC85" s="1077" t="n"/>
      <c r="AD85" s="91" t="n"/>
      <c r="AE85" s="69" t="n"/>
      <c r="AF85" s="1077" t="n"/>
      <c r="AG85" s="91" t="n"/>
      <c r="AH85" s="69" t="n"/>
      <c r="AI85" s="70" t="n"/>
      <c r="AJ85" s="913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082">
        <f>AM85/(AM$13)</f>
        <v/>
      </c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</row>
    <row r="88" ht="15" customHeight="1" s="986">
      <c r="B88" s="206" t="inlineStr">
        <is>
          <t>Inacapacidades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idden="1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49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hidden="1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hidden="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idden="1" collapsed="1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49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hidden="1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hidden="1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hidden="1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idden="1" collapsed="1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49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</row>
    <row r="99" hidden="1" collapsed="1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49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</row>
    <row r="100" hidden="1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hidden="1" outlineLevel="1" ht="15" customHeight="1" s="986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hidden="1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hidden="1" outlineLevel="1" ht="15" customHeight="1" s="986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hidden="1" outlineLevel="1" ht="15" customHeight="1" s="986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hidden="1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hidden="1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hidden="1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274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hidden="1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idden="1" collapsed="1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49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hidden="1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hidden="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hidden="1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hidden="1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idden="1" collapsed="1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49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>
        <f>AA114/(AA$13)</f>
        <v/>
      </c>
      <c r="AD114" s="49">
        <f>SUM(AD115:AD116)</f>
        <v/>
      </c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hidden="1" outlineLevel="1" ht="15" customHeight="1" s="98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hidden="1" outlineLevel="1" ht="15" customHeight="1" s="98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hidden="1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hidden="1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hidden="1" outlineLevel="1" ht="15" customHeight="1" s="98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idden="1" collapsed="1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49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idden="1" ht="15" customHeight="1" s="98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idden="1" ht="15" customHeight="1" s="98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idden="1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49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hidden="1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hidden="1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hidden="1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idden="1" collapsed="1" ht="15" customHeight="1" s="986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49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hidden="1" outlineLevel="1" ht="15" customHeight="1" s="986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</row>
    <row r="129" hidden="1" outlineLevel="1" ht="15" customHeight="1" s="98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hidden="1" outlineLevel="1" ht="15" customHeight="1" s="98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</row>
    <row r="131" hidden="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hidden="1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hidden="1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hidden="1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hidden="1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hidden="1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hidden="1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hidden="1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hidden="1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hidden="1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hidden="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hidden="1" outlineLevel="1" ht="15" customHeight="1" s="98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collapsed="1" ht="15" customHeight="1" s="986" thickBot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>
        <f>AM147/$AM$6</f>
        <v/>
      </c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077" t="n"/>
      <c r="F148" s="39">
        <f>'GASTOS ADMINISTRATIVOS'!D96*'%DIST'!D45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</row>
    <row r="149" ht="15" customHeight="1" s="986">
      <c r="B149" s="285" t="inlineStr">
        <is>
          <t>Gastos financieros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</row>
    <row r="151" ht="15" customHeight="1" s="986" thickBot="1">
      <c r="B151" s="300" t="inlineStr">
        <is>
          <t>Gastos No Operacionales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idden="1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</row>
    <row r="154" hidden="1" ht="15" customHeight="1" s="986" thickTop="1">
      <c r="B154" s="1135" t="inlineStr">
        <is>
          <t>Novedades</t>
        </is>
      </c>
      <c r="C154" s="286" t="n"/>
      <c r="D154" s="230" t="n"/>
      <c r="E154" s="1136" t="n"/>
      <c r="F154" s="286" t="n"/>
      <c r="G154" s="230" t="n"/>
      <c r="H154" s="1136" t="n"/>
      <c r="I154" s="287" t="n"/>
      <c r="J154" s="230" t="n"/>
      <c r="K154" s="1136" t="n"/>
      <c r="L154" s="287" t="n"/>
      <c r="M154" s="230" t="n"/>
      <c r="N154" s="1136" t="n"/>
      <c r="O154" s="1172" t="n"/>
      <c r="P154" s="230" t="n"/>
      <c r="Q154" s="1136" t="n"/>
      <c r="R154" s="1172" t="n"/>
      <c r="S154" s="230" t="n"/>
      <c r="T154" s="1136" t="n"/>
      <c r="U154" s="287" t="n"/>
      <c r="V154" s="230" t="n"/>
      <c r="W154" s="1136" t="n"/>
      <c r="X154" s="287" t="n"/>
      <c r="Y154" s="230" t="n"/>
      <c r="Z154" s="1136" t="n"/>
      <c r="AA154" s="1172" t="n"/>
      <c r="AB154" s="230" t="n"/>
      <c r="AC154" s="1136" t="n"/>
      <c r="AD154" s="1172" t="n"/>
      <c r="AE154" s="230" t="n"/>
      <c r="AF154" s="1136" t="n"/>
      <c r="AG154" s="1172" t="n"/>
      <c r="AH154" s="230" t="n"/>
      <c r="AI154" s="1136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  <c r="AP154" s="632" t="n"/>
    </row>
    <row r="155" hidden="1" ht="15" customHeight="1" s="986">
      <c r="B155" s="1139" t="inlineStr">
        <is>
          <t>Donacion</t>
        </is>
      </c>
      <c r="C155" s="693" t="n"/>
      <c r="D155" s="9" t="n"/>
      <c r="E155" s="1140" t="n"/>
      <c r="F155" s="693" t="n"/>
      <c r="G155" s="9" t="n"/>
      <c r="H155" s="1140" t="n"/>
      <c r="I155" s="567" t="n"/>
      <c r="J155" s="9" t="n"/>
      <c r="K155" s="1140" t="n"/>
      <c r="L155" s="567" t="n"/>
      <c r="M155" s="9" t="n"/>
      <c r="N155" s="1140" t="n"/>
      <c r="O155" s="567" t="n"/>
      <c r="P155" s="9" t="n"/>
      <c r="Q155" s="1140" t="n"/>
      <c r="R155" s="567" t="n"/>
      <c r="S155" s="9" t="n"/>
      <c r="T155" s="1140" t="n"/>
      <c r="U155" s="567" t="n"/>
      <c r="V155" s="9" t="n"/>
      <c r="W155" s="1140" t="n"/>
      <c r="X155" s="567" t="n"/>
      <c r="Y155" s="9" t="n"/>
      <c r="Z155" s="1140" t="n"/>
      <c r="AA155" s="567" t="n"/>
      <c r="AB155" s="9" t="n"/>
      <c r="AC155" s="1140" t="n"/>
      <c r="AD155" s="567" t="n"/>
      <c r="AE155" s="9" t="n"/>
      <c r="AF155" s="1140" t="n"/>
      <c r="AG155" s="567" t="n"/>
      <c r="AH155" s="9" t="n"/>
      <c r="AI155" s="1140" t="n"/>
      <c r="AJ155" s="567" t="n"/>
      <c r="AK155" s="9" t="n"/>
      <c r="AL155" s="240" t="n"/>
      <c r="AM155" s="567">
        <f>C155+F155+I155+L155+O155+R155+U155+X155+AA155+AD155+AG155+AJ155</f>
        <v/>
      </c>
      <c r="AN155" s="9">
        <f>AM155/AM12</f>
        <v/>
      </c>
      <c r="AO155" s="1141" t="n"/>
      <c r="AP155" s="709" t="n"/>
    </row>
    <row r="156" hidden="1" ht="15" customHeight="1" s="986">
      <c r="B156" s="1143" t="inlineStr">
        <is>
          <t>Donacion</t>
        </is>
      </c>
      <c r="C156" s="687" t="n"/>
      <c r="D156" s="677" t="n"/>
      <c r="E156" s="1144" t="n"/>
      <c r="F156" s="687" t="n"/>
      <c r="G156" s="677" t="n"/>
      <c r="H156" s="1144" t="n"/>
      <c r="I156" s="682" t="n"/>
      <c r="J156" s="677" t="n"/>
      <c r="K156" s="1144" t="n"/>
      <c r="L156" s="682" t="n"/>
      <c r="M156" s="677" t="n"/>
      <c r="N156" s="1144" t="n"/>
      <c r="O156" s="682" t="n"/>
      <c r="P156" s="677" t="n"/>
      <c r="Q156" s="1144" t="n"/>
      <c r="R156" s="682" t="n"/>
      <c r="S156" s="677" t="n"/>
      <c r="T156" s="1144" t="n"/>
      <c r="U156" s="682" t="n"/>
      <c r="V156" s="677" t="n"/>
      <c r="W156" s="1144" t="n"/>
      <c r="X156" s="682" t="n"/>
      <c r="Y156" s="677" t="n"/>
      <c r="Z156" s="1144" t="n"/>
      <c r="AA156" s="682" t="n"/>
      <c r="AB156" s="677" t="n"/>
      <c r="AC156" s="1144" t="n"/>
      <c r="AD156" s="682" t="n"/>
      <c r="AE156" s="677" t="n"/>
      <c r="AF156" s="1144" t="n"/>
      <c r="AG156" s="682" t="n"/>
      <c r="AH156" s="677" t="n"/>
      <c r="AI156" s="1144" t="n"/>
      <c r="AJ156" s="682" t="n"/>
      <c r="AK156" s="677" t="n"/>
      <c r="AL156" s="681" t="n"/>
      <c r="AM156" s="682">
        <f>C156+F156+I156+L156+O156+R156+U156+X156+AA156+AD156+AG156+AJ156</f>
        <v/>
      </c>
      <c r="AN156" s="677">
        <f>AM156/AM12</f>
        <v/>
      </c>
      <c r="AO156" s="1145" t="n"/>
      <c r="AP156" s="709" t="n"/>
    </row>
    <row r="157" hidden="1" ht="15" customHeight="1" s="986">
      <c r="B157" s="1146" t="inlineStr">
        <is>
          <t>Otros Ajustes</t>
        </is>
      </c>
      <c r="C157" s="563" t="n"/>
      <c r="D157" s="553" t="n"/>
      <c r="E157" s="1147" t="n"/>
      <c r="F157" s="563" t="n"/>
      <c r="G157" s="553" t="n"/>
      <c r="H157" s="1147" t="n"/>
      <c r="I157" s="567" t="n"/>
      <c r="J157" s="553" t="n"/>
      <c r="K157" s="1147" t="n"/>
      <c r="L157" s="567" t="n"/>
      <c r="M157" s="553" t="n"/>
      <c r="N157" s="1147" t="n"/>
      <c r="O157" s="567" t="n"/>
      <c r="P157" s="553" t="n"/>
      <c r="Q157" s="1147" t="n"/>
      <c r="R157" s="567" t="n"/>
      <c r="S157" s="553" t="n"/>
      <c r="T157" s="1147" t="n"/>
      <c r="U157" s="567" t="n"/>
      <c r="V157" s="553" t="n"/>
      <c r="W157" s="1147" t="n"/>
      <c r="X157" s="567" t="n"/>
      <c r="Y157" s="553" t="n"/>
      <c r="Z157" s="1147" t="n"/>
      <c r="AA157" s="567" t="n"/>
      <c r="AB157" s="553" t="n"/>
      <c r="AC157" s="1147" t="n"/>
      <c r="AD157" s="567" t="n"/>
      <c r="AE157" s="553" t="n"/>
      <c r="AF157" s="1147" t="n"/>
      <c r="AG157" s="567" t="n"/>
      <c r="AH157" s="553" t="n"/>
      <c r="AI157" s="1147" t="n"/>
      <c r="AJ157" s="567" t="n"/>
      <c r="AK157" s="553" t="n"/>
      <c r="AL157" s="557" t="n"/>
      <c r="AM157" s="294">
        <f>C157+F157+I157+L157+O157+R157+U157+X157+AA157+AD157+AG157+AJ157</f>
        <v/>
      </c>
      <c r="AN157" s="553" t="n"/>
      <c r="AO157" s="1178">
        <f>AM157/AM13</f>
        <v/>
      </c>
      <c r="AP157" s="634" t="n"/>
    </row>
    <row r="158" hidden="1" ht="15" customHeight="1" s="986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1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AM158/AM13</f>
        <v/>
      </c>
      <c r="AP158" s="634" t="n"/>
    </row>
    <row r="159" hidden="1" ht="15" customHeight="1" s="986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1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AM159/AM13</f>
        <v/>
      </c>
      <c r="AP159" s="634" t="n"/>
    </row>
    <row r="160" hidden="1" ht="15" customHeight="1" s="986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454" t="n"/>
      <c r="AP160" s="635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8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6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6" thickTop="1"/>
    <row r="164" hidden="1" s="986">
      <c r="C164" s="618">
        <f>C44+C83</f>
        <v/>
      </c>
      <c r="F164" s="618">
        <f>F44+F83</f>
        <v/>
      </c>
      <c r="L164" s="618">
        <f>L44+L83+L147</f>
        <v/>
      </c>
      <c r="O164" s="618">
        <f>O44+O83</f>
        <v/>
      </c>
      <c r="R164" s="618">
        <f>R44+R83</f>
        <v/>
      </c>
      <c r="U164" s="618">
        <f>U44+U83</f>
        <v/>
      </c>
      <c r="X164" s="618">
        <f>X44+X83</f>
        <v/>
      </c>
      <c r="AA164" s="999">
        <f>AA44+AA83-AA73-AA85</f>
        <v/>
      </c>
      <c r="AD164" s="999">
        <f>AD44+AD83-AD73-AD85</f>
        <v/>
      </c>
      <c r="AG164" s="999">
        <f>AG44+AG83-AG73-AG85</f>
        <v/>
      </c>
      <c r="AJ164" s="999">
        <f>AJ44+AJ83-AJ73-AJ85</f>
        <v/>
      </c>
    </row>
    <row r="165">
      <c r="L165" s="618" t="n">
        <v>569714340.78</v>
      </c>
      <c r="O165" s="618" t="n">
        <v>866604637.3200001</v>
      </c>
      <c r="R165" s="618" t="n">
        <v>777933614.05</v>
      </c>
      <c r="U165" s="618" t="n">
        <v>937031600.53</v>
      </c>
      <c r="X165" s="618" t="n">
        <v>1447577388.22</v>
      </c>
      <c r="AA165" s="999" t="n">
        <v>1217442425.63</v>
      </c>
      <c r="AG165" s="999" t="n">
        <v>366076117.29</v>
      </c>
      <c r="AJ165" s="999" t="n"/>
    </row>
    <row r="166">
      <c r="L166" s="618">
        <f>L164-L165</f>
        <v/>
      </c>
      <c r="O166" s="618">
        <f>O164-O165</f>
        <v/>
      </c>
      <c r="R166" s="618">
        <f>R164-R165</f>
        <v/>
      </c>
      <c r="U166" s="618">
        <f>U164-U165</f>
        <v/>
      </c>
      <c r="X166" s="618">
        <f>X164-X165</f>
        <v/>
      </c>
      <c r="AA166" s="999">
        <f>AA164-AA165</f>
        <v/>
      </c>
      <c r="AB166" s="993" t="inlineStr">
        <is>
          <t>MP</t>
        </is>
      </c>
      <c r="AG166" s="999">
        <f>AG164-AG165</f>
        <v/>
      </c>
      <c r="AJ166" s="999">
        <f>AJ164-AJ165</f>
        <v/>
      </c>
    </row>
    <row r="216">
      <c r="AM216" s="993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2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 COMEDORES PALMIRA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6" thickBot="1" thickTop="1">
      <c r="B3" s="523" t="inlineStr">
        <is>
          <t xml:space="preserve">DIAS DE ATENCIÓN </t>
        </is>
      </c>
      <c r="C3" s="537" t="n">
        <v>10</v>
      </c>
      <c r="D3" s="480" t="n"/>
      <c r="E3" s="1035" t="n"/>
      <c r="F3" s="537" t="n">
        <v>20</v>
      </c>
      <c r="G3" s="480" t="n"/>
      <c r="H3" s="1035" t="n"/>
      <c r="I3" s="537" t="n">
        <v>20</v>
      </c>
      <c r="J3" s="480" t="n"/>
      <c r="K3" s="1035" t="n"/>
      <c r="L3" s="537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41" t="n"/>
      <c r="F5" s="257" t="n">
        <v>21565</v>
      </c>
      <c r="G5" s="260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25" t="n">
        <v>750</v>
      </c>
      <c r="D7" s="43" t="n"/>
      <c r="E7" s="1045" t="n"/>
      <c r="F7" s="25" t="n">
        <v>1235</v>
      </c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 t="n"/>
      <c r="AD15" s="90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1053">
        <f>AJ15/AJ15</f>
        <v/>
      </c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262" t="inlineStr">
        <is>
          <t>SUMINISTRO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>
        <f>I16/I5</f>
        <v/>
      </c>
      <c r="K16" s="1055" t="n"/>
      <c r="L16" s="103" t="n"/>
      <c r="M16" s="79">
        <f>L16/L5</f>
        <v/>
      </c>
      <c r="N16" s="1055" t="n"/>
      <c r="O16" s="103" t="n"/>
      <c r="P16" s="79">
        <f>O16/O5</f>
        <v/>
      </c>
      <c r="Q16" s="1055" t="n"/>
      <c r="R16" s="103" t="n"/>
      <c r="S16" s="79">
        <f>R16/R5</f>
        <v/>
      </c>
      <c r="T16" s="1055" t="n"/>
      <c r="U16" s="103" t="n"/>
      <c r="V16" s="79">
        <f>U16/U5</f>
        <v/>
      </c>
      <c r="W16" s="1055" t="n"/>
      <c r="X16" s="103" t="n"/>
      <c r="Y16" s="79">
        <f>X16/X5</f>
        <v/>
      </c>
      <c r="Z16" s="1055" t="n"/>
      <c r="AA16" s="103" t="n"/>
      <c r="AB16" s="79">
        <f>AA16/AA5</f>
        <v/>
      </c>
      <c r="AC16" s="1055" t="n"/>
      <c r="AD16" s="103" t="n"/>
      <c r="AE16" s="79">
        <f>AD16/AD5</f>
        <v/>
      </c>
      <c r="AF16" s="1055" t="n"/>
      <c r="AG16" s="103" t="n"/>
      <c r="AH16" s="79">
        <f>AG16/AG5</f>
        <v/>
      </c>
      <c r="AI16" s="1055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056" t="n"/>
    </row>
    <row r="17" ht="15" customHeight="1" s="986">
      <c r="B17" s="104" t="n"/>
      <c r="C17" s="25" t="n"/>
      <c r="D17" s="43" t="n"/>
      <c r="E17" s="1045" t="n"/>
      <c r="F17" s="25" t="n"/>
      <c r="G17" s="43" t="n"/>
      <c r="H17" s="1045" t="n"/>
      <c r="I17" s="25" t="n"/>
      <c r="J17" s="43">
        <f>I17/I5</f>
        <v/>
      </c>
      <c r="K17" s="1045" t="n"/>
      <c r="L17" s="25" t="n"/>
      <c r="M17" s="43">
        <f>L17/L5</f>
        <v/>
      </c>
      <c r="N17" s="1045" t="n"/>
      <c r="O17" s="25" t="n"/>
      <c r="P17" s="43">
        <f>O17/O5</f>
        <v/>
      </c>
      <c r="Q17" s="1045" t="n"/>
      <c r="R17" s="25" t="n"/>
      <c r="S17" s="43">
        <f>R17/R5</f>
        <v/>
      </c>
      <c r="T17" s="1045" t="n"/>
      <c r="U17" s="25" t="n"/>
      <c r="V17" s="43">
        <f>U17/U5</f>
        <v/>
      </c>
      <c r="W17" s="1045" t="n"/>
      <c r="X17" s="25" t="n"/>
      <c r="Y17" s="43">
        <f>X17/X5</f>
        <v/>
      </c>
      <c r="Z17" s="1045" t="n"/>
      <c r="AA17" s="25" t="n"/>
      <c r="AB17" s="43">
        <f>AA17/AA5</f>
        <v/>
      </c>
      <c r="AC17" s="1045" t="n"/>
      <c r="AD17" s="25" t="n"/>
      <c r="AE17" s="43">
        <f>AD17/AD5</f>
        <v/>
      </c>
      <c r="AF17" s="1045" t="n"/>
      <c r="AG17" s="25" t="n"/>
      <c r="AH17" s="43">
        <f>AG17/AG5</f>
        <v/>
      </c>
      <c r="AI17" s="1045" t="n"/>
      <c r="AJ17" s="25" t="n"/>
      <c r="AK17" s="43">
        <f>AJ17/AJ5</f>
        <v/>
      </c>
      <c r="AL17" s="57" t="n"/>
      <c r="AM17" s="205">
        <f>C17+F17+I17+L17+O17+R17+U17+X17+AA17+AD17+AG17+AJ17</f>
        <v/>
      </c>
      <c r="AN17" s="43">
        <f>AM17/AM5</f>
        <v/>
      </c>
      <c r="AO17" s="1046" t="n"/>
    </row>
    <row r="18" ht="15" customHeight="1" s="986">
      <c r="B18" s="104" t="inlineStr">
        <is>
          <t>ADICIONAL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4" t="n"/>
      <c r="AH18" s="43" t="n"/>
      <c r="AI18" s="1045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6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6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6">
      <c r="B21" s="104" t="inlineStr">
        <is>
          <t>TRANSPORTE</t>
        </is>
      </c>
      <c r="C21" s="25" t="n"/>
      <c r="D21" s="43" t="n"/>
      <c r="E21" s="1045" t="n"/>
      <c r="F21" s="25" t="n"/>
      <c r="G21" s="43" t="n"/>
      <c r="H21" s="1045" t="n"/>
      <c r="I21" s="2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6">
      <c r="B22" s="30" t="n"/>
      <c r="C22" s="22" t="n"/>
      <c r="D22" s="42" t="n"/>
      <c r="E22" s="1057" t="n"/>
      <c r="F22" s="22" t="n"/>
      <c r="G22" s="42" t="n"/>
      <c r="H22" s="1057" t="n"/>
      <c r="I22" s="22" t="n"/>
      <c r="J22" s="42" t="n"/>
      <c r="K22" s="1057" t="n"/>
      <c r="L22" s="22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053" t="n"/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54">
        <f>AM29/AM13</f>
        <v/>
      </c>
    </row>
    <row r="30" hidden="1" outlineLevel="1" ht="15" customFormat="1" customHeight="1" s="108">
      <c r="A30" s="229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6" thickBot="1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6" thickBot="1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6" thickBot="1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6" thickBot="1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6" thickBot="1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hidden="1" outlineLevel="1" ht="15" customHeight="1" s="986" thickBot="1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hidden="1" outlineLevel="1" ht="15" customHeight="1" s="986" thickBot="1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hidden="1" outlineLevel="1" ht="15" customHeight="1" s="986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hidden="1" outlineLevel="1" ht="15" customHeight="1" s="986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6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6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collapsed="1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70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>
        <f>+C46+C57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76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6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46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6">
      <c r="B47" s="97" t="inlineStr">
        <is>
          <t>SUMINISTRO</t>
        </is>
      </c>
      <c r="C47" s="965">
        <f>'[44]Hoja 1'!$D$22+26928489</f>
        <v/>
      </c>
      <c r="D47" s="42">
        <f>C47/C5</f>
        <v/>
      </c>
      <c r="E47" s="1057">
        <f>C47/C16</f>
        <v/>
      </c>
      <c r="F47" s="76">
        <f>'[57]Hoja 1'!$G$29+'[45]Hoja 1'!$D$23</f>
        <v/>
      </c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AM47/$AM$5</f>
        <v/>
      </c>
      <c r="AO47" s="1058">
        <f>AM47/AM16</f>
        <v/>
      </c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6" t="n"/>
    </row>
    <row r="49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idden="1" ht="15" customHeight="1" s="986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</row>
    <row r="58" hidden="1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</row>
    <row r="60" ht="15" customHeight="1" s="986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90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idden="1" ht="15" customHeight="1" s="986">
      <c r="B61" s="36" t="inlineStr">
        <is>
          <t>INSUMOS</t>
        </is>
      </c>
      <c r="C61" s="37">
        <f>SUM(C62:C71)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</row>
    <row r="62" hidden="1" ht="15" customHeight="1" s="986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</row>
    <row r="63" hidden="1" ht="15" customHeight="1" s="986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</row>
    <row r="72" ht="15" customHeight="1" s="986">
      <c r="B72" s="36" t="inlineStr">
        <is>
          <t>FLETES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>
        <f>AJ72/AJ12</f>
        <v/>
      </c>
      <c r="AL72" s="1049">
        <f>AJ72/AJ13</f>
        <v/>
      </c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78">
        <f>'GASTOS VEHICULOS'!C25*'%DIST'!B27</f>
        <v/>
      </c>
      <c r="D73" s="79" t="n"/>
      <c r="E73" s="1055" t="n"/>
      <c r="F73" s="78">
        <f>'GASTOS VEHICULOS'!D25*'%DIST'!D27</f>
        <v/>
      </c>
      <c r="G73" s="79" t="n"/>
      <c r="H73" s="1055" t="n"/>
      <c r="I73" s="78" t="n"/>
      <c r="J73" s="79" t="n"/>
      <c r="K73" s="1055" t="n"/>
      <c r="L73" s="78" t="n"/>
      <c r="M73" s="79" t="n"/>
      <c r="N73" s="1055" t="n"/>
      <c r="O73" s="78" t="n"/>
      <c r="P73" s="79" t="n"/>
      <c r="Q73" s="1055" t="n"/>
      <c r="R73" s="78" t="n"/>
      <c r="S73" s="79" t="n"/>
      <c r="T73" s="1055" t="n"/>
      <c r="U73" s="78">
        <f>'GASTOS VEHICULOS'!I25*'%DIST'!N27</f>
        <v/>
      </c>
      <c r="V73" s="79" t="n"/>
      <c r="W73" s="1055" t="n"/>
      <c r="X73" s="78">
        <f>'GASTOS VEHICULOS'!J25*'%DIST'!P27</f>
        <v/>
      </c>
      <c r="Y73" s="79" t="n"/>
      <c r="Z73" s="1055" t="n"/>
      <c r="AA73" s="78">
        <f>'GASTOS VEHICULOS'!K25*'%DIST'!R27</f>
        <v/>
      </c>
      <c r="AB73" s="79" t="n"/>
      <c r="AC73" s="1055" t="n"/>
      <c r="AD73" s="78">
        <f>'GASTOS VEHICULOS'!L25*'%DIST'!T27</f>
        <v/>
      </c>
      <c r="AE73" s="79" t="n"/>
      <c r="AF73" s="1055" t="n"/>
      <c r="AG73" s="78">
        <f>'GASTOS VEHICULOS'!M25*'%DIST'!V27</f>
        <v/>
      </c>
      <c r="AH73" s="79" t="n"/>
      <c r="AI73" s="1055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12" t="n"/>
    </row>
    <row r="74" ht="15" customHeight="1" s="986">
      <c r="B74" s="416" t="inlineStr">
        <is>
          <t>PREPARADOS TERCEROS</t>
        </is>
      </c>
      <c r="C74" s="273">
        <f>'[17]Hoja 1'!$C$381</f>
        <v/>
      </c>
      <c r="D74" s="134" t="n"/>
      <c r="E74" s="1118" t="n"/>
      <c r="F74" s="273">
        <f>'[20]Hoja 1'!$C$378</f>
        <v/>
      </c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273" t="n"/>
      <c r="AK74" s="134" t="n"/>
      <c r="AL74" s="135" t="n"/>
      <c r="AM74" s="430">
        <f>C74+F74+I74+L74+O74+R74+U74+X74+AA74+AD74+AG74+AJ74</f>
        <v/>
      </c>
      <c r="AN74" s="134" t="n"/>
      <c r="AO74" s="1213" t="n"/>
      <c r="AP74" s="1203" t="n"/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>
        <f>'[20]Hoja 1'!$C$381</f>
        <v/>
      </c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t="15" customHeight="1" s="986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</row>
    <row r="79" ht="15" customHeight="1" s="986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</row>
    <row r="80" ht="15" customHeight="1" s="986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</row>
    <row r="81" ht="15" customHeight="1" s="986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 t="n"/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>
        <f>AJ83/(AJ$13)</f>
        <v/>
      </c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>
        <f>AJ84/(AJ$13)</f>
        <v/>
      </c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077">
        <f>C85/(C$13)</f>
        <v/>
      </c>
      <c r="F85" s="39">
        <f>'GASTOS OPERATIVOS'!D17*'%DIST'!E11</f>
        <v/>
      </c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P85" s="1203" t="n"/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</row>
    <row r="88" ht="15" customHeight="1" s="986">
      <c r="B88" s="206" t="inlineStr">
        <is>
          <t>Incapacidades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 t="n"/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 t="n"/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 t="n"/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 t="n"/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6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 t="n"/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90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 t="n"/>
      <c r="AD114" s="49" t="n"/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 t="n"/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t="15" customHeight="1" s="98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 t="n"/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outlineLevel="1" ht="15" customHeight="1" s="986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</row>
    <row r="129" outlineLevel="1" ht="15" customHeight="1" s="98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'[17]Hoja 1'!$C$384</f>
        <v/>
      </c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>
        <f>'[20]Hoja 1'!$C$383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>
        <f>'[20]Hoja 1'!$C$385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>
        <f>'[20]Hoja 1'!$C$387</f>
        <v/>
      </c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outlineLevel="1" ht="15" customHeight="1" s="98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 t="n"/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077" t="n"/>
      <c r="F148" s="39">
        <f>'GASTOS ADMINISTRATIVOS'!D96*'%DIST'!D43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P148" s="1068" t="n"/>
    </row>
    <row r="149" ht="15" customHeight="1" s="986">
      <c r="B149" s="285" t="inlineStr">
        <is>
          <t>Gastos financieros</t>
        </is>
      </c>
      <c r="C149" s="25">
        <f>'GASTOS ADMINISTRATIVOS'!C109*'%DIST'!C59</f>
        <v/>
      </c>
      <c r="D149" s="43" t="n"/>
      <c r="E149" s="1045" t="n"/>
      <c r="F149" s="25">
        <f>'GASTOS ADMINISTRATIVOS'!D109*'%DIST'!E59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P150" s="1068" t="n"/>
    </row>
    <row r="151" ht="15" customHeight="1" s="986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086" t="n"/>
      <c r="F151" s="71">
        <f>'GASTOS ADMINISTRATIVOS'!D119*'%DIST'!E59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</row>
    <row r="154" ht="15" customHeight="1" s="986" thickTop="1">
      <c r="B154" s="1135" t="inlineStr">
        <is>
          <t>Novedades</t>
        </is>
      </c>
      <c r="C154" s="636" t="n"/>
      <c r="D154" s="550" t="n"/>
      <c r="E154" s="1171" t="n"/>
      <c r="F154" s="636" t="n"/>
      <c r="G154" s="550" t="n"/>
      <c r="H154" s="1171" t="n"/>
      <c r="I154" s="636" t="n"/>
      <c r="J154" s="550" t="n"/>
      <c r="K154" s="1171" t="n"/>
      <c r="L154" s="636" t="n"/>
      <c r="M154" s="550" t="n"/>
      <c r="N154" s="1171" t="n"/>
      <c r="O154" s="1172" t="n"/>
      <c r="P154" s="550" t="n"/>
      <c r="Q154" s="1171" t="n"/>
      <c r="R154" s="636" t="n"/>
      <c r="S154" s="550" t="n"/>
      <c r="T154" s="1171" t="n"/>
      <c r="U154" s="636" t="n"/>
      <c r="V154" s="550" t="n"/>
      <c r="W154" s="1171" t="n"/>
      <c r="X154" s="636" t="n"/>
      <c r="Y154" s="550" t="n"/>
      <c r="Z154" s="1171" t="n"/>
      <c r="AA154" s="1172" t="n"/>
      <c r="AB154" s="550" t="n"/>
      <c r="AC154" s="1171" t="n"/>
      <c r="AD154" s="1172" t="n"/>
      <c r="AE154" s="550" t="n"/>
      <c r="AF154" s="1171" t="n"/>
      <c r="AG154" s="1172" t="n"/>
      <c r="AH154" s="550" t="n"/>
      <c r="AI154" s="1171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</row>
    <row r="155" ht="15" customHeight="1" s="986">
      <c r="B155" s="1139" t="inlineStr">
        <is>
          <t>Donacion</t>
        </is>
      </c>
      <c r="C155" s="707">
        <f>C17</f>
        <v/>
      </c>
      <c r="D155" s="13" t="n"/>
      <c r="E155" s="1151" t="n"/>
      <c r="F155" s="707">
        <f>F17</f>
        <v/>
      </c>
      <c r="G155" s="13" t="n"/>
      <c r="H155" s="1151" t="n"/>
      <c r="I155" s="707">
        <f>I17</f>
        <v/>
      </c>
      <c r="J155" s="13" t="n"/>
      <c r="K155" s="1151" t="n"/>
      <c r="L155" s="707">
        <f>L17</f>
        <v/>
      </c>
      <c r="M155" s="13" t="n"/>
      <c r="N155" s="1151" t="n"/>
      <c r="O155" s="707">
        <f>O17</f>
        <v/>
      </c>
      <c r="P155" s="13" t="n"/>
      <c r="Q155" s="1151" t="n"/>
      <c r="R155" s="707">
        <f>R17</f>
        <v/>
      </c>
      <c r="S155" s="13" t="n"/>
      <c r="T155" s="1151" t="n"/>
      <c r="U155" s="707">
        <f>U17</f>
        <v/>
      </c>
      <c r="V155" s="13" t="n"/>
      <c r="W155" s="1151" t="n"/>
      <c r="X155" s="707">
        <f>X17</f>
        <v/>
      </c>
      <c r="Y155" s="13" t="n"/>
      <c r="Z155" s="1151" t="n"/>
      <c r="AA155" s="707">
        <f>AA17</f>
        <v/>
      </c>
      <c r="AB155" s="13" t="n"/>
      <c r="AC155" s="1151" t="n"/>
      <c r="AD155" s="707">
        <f>AD17</f>
        <v/>
      </c>
      <c r="AE155" s="13" t="n"/>
      <c r="AF155" s="1151" t="n"/>
      <c r="AG155" s="707">
        <f>AG17</f>
        <v/>
      </c>
      <c r="AH155" s="13" t="n"/>
      <c r="AI155" s="1151" t="n"/>
      <c r="AJ155" s="707">
        <f>AJ17</f>
        <v/>
      </c>
      <c r="AK155" s="9" t="n"/>
      <c r="AL155" s="240" t="n"/>
      <c r="AM155" s="567">
        <f>C155+F155+I155+L155+O155+R155+U155+X155+AA155+AD155+AG155+AJ155</f>
        <v/>
      </c>
      <c r="AN155" s="9" t="n"/>
      <c r="AO155" s="1141" t="n"/>
      <c r="AP155" s="1099" t="n"/>
    </row>
    <row r="156" ht="15" customHeight="1" s="986">
      <c r="B156" s="1143" t="inlineStr">
        <is>
          <t>Donacion</t>
        </is>
      </c>
      <c r="C156" s="720">
        <f>C22</f>
        <v/>
      </c>
      <c r="D156" s="679" t="n"/>
      <c r="E156" s="1173" t="n"/>
      <c r="F156" s="720">
        <f>F22</f>
        <v/>
      </c>
      <c r="G156" s="679" t="n"/>
      <c r="H156" s="1173" t="n"/>
      <c r="I156" s="720">
        <f>I22</f>
        <v/>
      </c>
      <c r="J156" s="679" t="n"/>
      <c r="K156" s="1173" t="n"/>
      <c r="L156" s="720">
        <f>L22</f>
        <v/>
      </c>
      <c r="M156" s="679" t="n"/>
      <c r="N156" s="1173" t="n"/>
      <c r="O156" s="720">
        <f>O22</f>
        <v/>
      </c>
      <c r="P156" s="679" t="n"/>
      <c r="Q156" s="1173" t="n"/>
      <c r="R156" s="720">
        <f>R22</f>
        <v/>
      </c>
      <c r="S156" s="679" t="n"/>
      <c r="T156" s="1173" t="n"/>
      <c r="U156" s="720">
        <f>U22</f>
        <v/>
      </c>
      <c r="V156" s="679" t="n"/>
      <c r="W156" s="1173" t="n"/>
      <c r="X156" s="720">
        <f>X22</f>
        <v/>
      </c>
      <c r="Y156" s="679" t="n"/>
      <c r="Z156" s="1173" t="n"/>
      <c r="AA156" s="720">
        <f>AA22</f>
        <v/>
      </c>
      <c r="AB156" s="679" t="n"/>
      <c r="AC156" s="1173" t="n"/>
      <c r="AD156" s="720">
        <f>AD22</f>
        <v/>
      </c>
      <c r="AE156" s="679" t="n"/>
      <c r="AF156" s="1173" t="n"/>
      <c r="AG156" s="720">
        <f>AG22</f>
        <v/>
      </c>
      <c r="AH156" s="679" t="n"/>
      <c r="AI156" s="1173" t="n"/>
      <c r="AJ156" s="720">
        <f>AJ22</f>
        <v/>
      </c>
      <c r="AK156" s="677" t="n"/>
      <c r="AL156" s="681" t="n"/>
      <c r="AM156" s="682">
        <f>C156+F156+I156+L156+O156+R156+U156+X156+AA156+AD156+AG156+AJ156</f>
        <v/>
      </c>
      <c r="AN156" s="677" t="n"/>
      <c r="AO156" s="1145" t="n"/>
      <c r="AP156" s="1099" t="n"/>
    </row>
    <row r="157" ht="15" customHeight="1" s="986">
      <c r="B157" s="1146" t="inlineStr">
        <is>
          <t>Otros Ajustes</t>
        </is>
      </c>
      <c r="C157" s="714">
        <f>C18</f>
        <v/>
      </c>
      <c r="D157" s="555" t="n"/>
      <c r="E157" s="1175" t="n"/>
      <c r="F157" s="714">
        <f>F18</f>
        <v/>
      </c>
      <c r="G157" s="555" t="n"/>
      <c r="H157" s="1175" t="n"/>
      <c r="I157" s="725" t="n"/>
      <c r="J157" s="555" t="n"/>
      <c r="K157" s="1175" t="n"/>
      <c r="L157" s="1172" t="n"/>
      <c r="M157" s="555" t="n"/>
      <c r="N157" s="1175" t="n"/>
      <c r="O157" s="1172">
        <f>O19</f>
        <v/>
      </c>
      <c r="P157" s="555" t="n"/>
      <c r="Q157" s="1175" t="n"/>
      <c r="R157" s="1172">
        <f>R19</f>
        <v/>
      </c>
      <c r="S157" s="555" t="n"/>
      <c r="T157" s="1175" t="n"/>
      <c r="U157" s="1172">
        <f>U19</f>
        <v/>
      </c>
      <c r="V157" s="555" t="n"/>
      <c r="W157" s="1175" t="n"/>
      <c r="X157" s="1172">
        <f>X19</f>
        <v/>
      </c>
      <c r="Y157" s="555" t="n"/>
      <c r="Z157" s="1175" t="n"/>
      <c r="AA157" s="1172">
        <f>AA19</f>
        <v/>
      </c>
      <c r="AB157" s="555" t="n"/>
      <c r="AC157" s="1175" t="n"/>
      <c r="AD157" s="707">
        <f>AD19</f>
        <v/>
      </c>
      <c r="AE157" s="555" t="n"/>
      <c r="AF157" s="1175" t="n"/>
      <c r="AG157" s="707">
        <f>AG19</f>
        <v/>
      </c>
      <c r="AH157" s="555" t="n"/>
      <c r="AI157" s="1175" t="n"/>
      <c r="AJ157" s="707">
        <f>AJ19</f>
        <v/>
      </c>
      <c r="AK157" s="553" t="n"/>
      <c r="AL157" s="557" t="n"/>
      <c r="AM157" s="294">
        <f>C157+F157+I157+L157+O157+R157+U157+X157+AA157+AD157+AG157+AJ157</f>
        <v/>
      </c>
      <c r="AN157" s="553" t="n"/>
      <c r="AO157" s="1178" t="n"/>
    </row>
    <row r="158" ht="15" customHeight="1" s="986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 t="n"/>
    </row>
    <row r="159" ht="15" customHeight="1" s="986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 t="n"/>
    </row>
    <row r="160" ht="15" customHeight="1" s="986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1156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6" thickBot="1" thickTop="1">
      <c r="B162" s="65" t="n"/>
      <c r="C162" s="540">
        <f>IFERROR(C161/C13," ")</f>
        <v/>
      </c>
      <c r="D162" s="502" t="n"/>
      <c r="E162" s="1093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6" thickTop="1">
      <c r="C163" s="1000" t="n"/>
    </row>
    <row r="164" hidden="1" customFormat="1" s="153">
      <c r="A164" s="226" t="n"/>
      <c r="C164" s="473">
        <f>C44+C83-C73-C85</f>
        <v/>
      </c>
      <c r="D164" s="549" t="n"/>
      <c r="E164" s="1214" t="n"/>
      <c r="F164" s="473">
        <f>F44+F83-F73-F85</f>
        <v/>
      </c>
      <c r="G164" s="1000" t="n"/>
      <c r="H164" s="1188" t="n"/>
      <c r="I164" s="473">
        <f>I44+I83-I73-I85</f>
        <v/>
      </c>
      <c r="J164" s="1000" t="n"/>
      <c r="K164" s="1188" t="n"/>
      <c r="L164" s="473">
        <f>L44+L83-L73-L85</f>
        <v/>
      </c>
      <c r="M164" s="1000" t="n"/>
      <c r="N164" s="1188" t="n"/>
      <c r="O164" s="473">
        <f>O44+O83-O73-O85</f>
        <v/>
      </c>
      <c r="P164" s="1000" t="n"/>
      <c r="Q164" s="1188" t="n"/>
      <c r="R164" s="473">
        <f>R44+R83-R73-R85</f>
        <v/>
      </c>
      <c r="S164" s="1000" t="n"/>
      <c r="T164" s="1188" t="n"/>
      <c r="U164" s="473">
        <f>U44+U83-U73-U85</f>
        <v/>
      </c>
      <c r="V164" s="1000" t="n"/>
      <c r="W164" s="1188" t="n"/>
      <c r="X164" s="476">
        <f>X44+X83-X73-X85-X58</f>
        <v/>
      </c>
      <c r="Y164" s="1000" t="n"/>
      <c r="Z164" s="1188" t="n"/>
      <c r="AA164" s="476">
        <f>AA44+AA83-AA73-AA85-AA58</f>
        <v/>
      </c>
      <c r="AB164" s="1000" t="n"/>
      <c r="AC164" s="1188" t="n"/>
      <c r="AD164" s="476">
        <f>AD44+AD83-AD73-AD85-AD58</f>
        <v/>
      </c>
      <c r="AE164" s="1000" t="n"/>
      <c r="AF164" s="1188" t="n"/>
      <c r="AG164" s="476">
        <f>AG44+AG83-AG73-AG85-AG58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</row>
    <row r="165" hidden="1" customFormat="1" s="153">
      <c r="A165" s="226" t="n"/>
      <c r="C165" s="473">
        <f>'[17]Hoja 1'!$C$370</f>
        <v/>
      </c>
      <c r="D165" s="549" t="n"/>
      <c r="E165" s="1214" t="n"/>
      <c r="F165" s="473">
        <f>'[20]Hoja 1'!$C$356+'[20]Hoja 1'!$C$365-26928489</f>
        <v/>
      </c>
      <c r="G165" s="1000" t="n"/>
      <c r="H165" s="1188" t="n"/>
      <c r="I165" s="473" t="n">
        <v>70048069.05</v>
      </c>
      <c r="J165" s="1000" t="n"/>
      <c r="K165" s="1188" t="n"/>
      <c r="L165" s="473" t="n">
        <v>48123625.71000001</v>
      </c>
      <c r="M165" s="1000" t="n"/>
      <c r="N165" s="1188" t="n"/>
      <c r="O165" s="473" t="n">
        <v>91046571.73999999</v>
      </c>
      <c r="P165" s="1000" t="n"/>
      <c r="Q165" s="1188" t="n"/>
      <c r="R165" s="473" t="n">
        <v>61660665.32</v>
      </c>
      <c r="S165" s="1000" t="n"/>
      <c r="T165" s="1188" t="n"/>
      <c r="U165" s="473" t="n">
        <v>61566467.29</v>
      </c>
      <c r="V165" s="1000" t="n"/>
      <c r="W165" s="1188" t="n"/>
      <c r="X165" s="476" t="n">
        <v>61323136.3</v>
      </c>
      <c r="Y165" s="1000" t="n"/>
      <c r="Z165" s="1188" t="n"/>
      <c r="AA165" s="476" t="n">
        <v>59864944.02</v>
      </c>
      <c r="AB165" s="1000" t="n"/>
      <c r="AC165" s="1188" t="n"/>
      <c r="AD165" s="476" t="n">
        <v>56913588.74</v>
      </c>
      <c r="AE165" s="1000" t="n"/>
      <c r="AF165" s="1188" t="n"/>
      <c r="AG165" s="476" t="n">
        <v>80549716.34</v>
      </c>
      <c r="AH165" s="1000" t="n"/>
      <c r="AI165" s="1188" t="n"/>
      <c r="AJ165" s="476" t="n">
        <v>93324.84</v>
      </c>
      <c r="AK165" s="1000" t="n"/>
      <c r="AL165" s="1000" t="n"/>
      <c r="AM165" s="402" t="n"/>
      <c r="AN165" s="1000" t="n"/>
      <c r="AO165" s="1188" t="n"/>
    </row>
    <row r="166" hidden="1" customFormat="1" s="153">
      <c r="A166" s="226" t="n"/>
      <c r="C166" s="473">
        <f>C164-C165</f>
        <v/>
      </c>
      <c r="D166" s="702" t="n"/>
      <c r="E166" s="1214" t="n"/>
      <c r="F166" s="473">
        <f>F164-F165</f>
        <v/>
      </c>
      <c r="G166" s="999" t="n"/>
      <c r="H166" s="1189" t="n"/>
      <c r="I166" s="473">
        <f>I164-I165</f>
        <v/>
      </c>
      <c r="J166" s="1000" t="n"/>
      <c r="K166" s="1189" t="n"/>
      <c r="L166" s="473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3">
        <f>R164-R165</f>
        <v/>
      </c>
      <c r="S166" s="999" t="n"/>
      <c r="T166" s="1188" t="n"/>
      <c r="U166" s="473">
        <f>U164-U165</f>
        <v/>
      </c>
      <c r="V166" s="402" t="n"/>
      <c r="W166" s="1188" t="n"/>
      <c r="X166" s="476">
        <f>X164-X165</f>
        <v/>
      </c>
      <c r="Y166" s="1000" t="n"/>
      <c r="Z166" s="1188" t="n"/>
      <c r="AA166" s="476">
        <f>AA164-AA165</f>
        <v/>
      </c>
      <c r="AB166" s="1000" t="n"/>
      <c r="AC166" s="1188" t="n"/>
      <c r="AD166" s="476">
        <f>AD164-AD165</f>
        <v/>
      </c>
      <c r="AE166" s="613" t="inlineStr">
        <is>
          <t>MP</t>
        </is>
      </c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1000" t="n"/>
      <c r="AL166" s="1000" t="n"/>
      <c r="AM166" s="999" t="n"/>
      <c r="AN166" s="1000" t="n"/>
      <c r="AO166" s="1188" t="n"/>
    </row>
    <row r="167" customFormat="1" s="153">
      <c r="A167" s="226" t="n"/>
      <c r="C167" s="1000" t="n"/>
      <c r="D167" s="1000" t="n"/>
      <c r="E167" s="1188" t="n"/>
      <c r="F167" s="1000" t="n"/>
      <c r="G167" s="1000" t="n"/>
      <c r="H167" s="1188" t="n"/>
      <c r="I167" s="999" t="n"/>
      <c r="J167" s="1000" t="n"/>
      <c r="K167" s="1188" t="n"/>
      <c r="L167" s="1000" t="n"/>
      <c r="M167" s="1000" t="n"/>
      <c r="N167" s="1188" t="n"/>
      <c r="O167" s="1000" t="n"/>
      <c r="P167" s="1000" t="n"/>
      <c r="Q167" s="1188" t="n"/>
      <c r="R167" s="1000" t="n"/>
      <c r="S167" s="1000" t="n"/>
      <c r="T167" s="1188" t="n"/>
      <c r="U167" s="1000" t="n"/>
      <c r="V167" s="1000" t="n"/>
      <c r="W167" s="1188" t="n"/>
      <c r="X167" s="1000" t="n"/>
      <c r="Y167" s="1000" t="n"/>
      <c r="Z167" s="1188" t="n"/>
      <c r="AA167" s="1000" t="n"/>
      <c r="AB167" s="1000" t="n"/>
      <c r="AC167" s="1188" t="n"/>
      <c r="AD167" s="1000" t="n"/>
      <c r="AE167" s="1000" t="n"/>
      <c r="AF167" s="1188" t="n"/>
      <c r="AG167" s="402" t="n"/>
      <c r="AH167" s="1000" t="n"/>
      <c r="AI167" s="1188" t="n"/>
      <c r="AJ167" s="993" t="n"/>
      <c r="AK167" s="1000" t="n"/>
      <c r="AL167" s="1000" t="n"/>
      <c r="AM167" s="641" t="n"/>
      <c r="AN167" s="1000" t="n"/>
      <c r="AO167" s="1188" t="n"/>
    </row>
    <row r="168">
      <c r="O168" s="993">
        <f>SUM(O155:O157)</f>
        <v/>
      </c>
      <c r="R168" s="993">
        <f>SUM(R155:R157)</f>
        <v/>
      </c>
    </row>
    <row r="169">
      <c r="O169" s="993">
        <f>O168*6%</f>
        <v/>
      </c>
      <c r="R169" s="993">
        <f>R168*6%</f>
        <v/>
      </c>
    </row>
    <row r="170">
      <c r="F170" s="1215" t="n"/>
      <c r="R170" s="993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993" min="3" max="3"/>
    <col hidden="1" width="8.6640625" customWidth="1" style="993" min="4" max="4"/>
    <col hidden="1" width="8.6640625" customWidth="1" style="1033" min="5" max="5"/>
    <col hidden="1" width="14.44140625" customWidth="1" style="993" min="6" max="6"/>
    <col hidden="1" width="8.6640625" customWidth="1" style="993" min="7" max="7"/>
    <col hidden="1" width="8.6640625" customWidth="1" style="1033" min="8" max="8"/>
    <col hidden="1" width="14.44140625" customWidth="1" style="993" min="9" max="9"/>
    <col hidden="1" width="8.6640625" customWidth="1" style="993" min="10" max="10"/>
    <col hidden="1" width="8.6640625" customWidth="1" style="1033" min="11" max="11"/>
    <col hidden="1" width="14.44140625" customWidth="1" style="993" min="12" max="12"/>
    <col hidden="1" width="8.6640625" customWidth="1" style="993" min="13" max="13"/>
    <col hidden="1"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15.6640625" customWidth="1" style="993" min="43" max="43"/>
    <col width="7.33203125" customWidth="1" style="993" min="44" max="44"/>
    <col width="7.33203125" customWidth="1" style="2" min="45" max="45"/>
    <col width="7.44140625" customWidth="1" style="2" min="46" max="46"/>
    <col width="11.44140625" customWidth="1" style="2" min="47" max="60"/>
    <col width="11.44140625" customWidth="1" style="2" min="61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 COMEDORES VALLE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  <c r="AQ2" s="2" t="n"/>
      <c r="AR2" s="2" t="n"/>
    </row>
    <row r="3" ht="21.75" customHeight="1" s="986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537" t="n">
        <v>20</v>
      </c>
      <c r="J3" s="480" t="n"/>
      <c r="K3" s="1035" t="n"/>
      <c r="L3" s="537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623" t="n"/>
      <c r="AR3" s="623" t="n"/>
      <c r="AS3" s="623" t="n"/>
      <c r="AU3" s="1216" t="n">
        <v>1.051</v>
      </c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620" t="inlineStr">
        <is>
          <t>PPTO ENE</t>
        </is>
      </c>
      <c r="AR4" s="624" t="n"/>
      <c r="AS4" s="624" t="n"/>
      <c r="AU4" s="1217" t="inlineStr">
        <is>
          <t>CUPOS</t>
        </is>
      </c>
      <c r="AV4" s="1218" t="inlineStr">
        <is>
          <t>VR RACION CHVS</t>
        </is>
      </c>
      <c r="AW4" s="1219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41" t="n"/>
      <c r="F5" s="257" t="n"/>
      <c r="G5" s="260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  <c r="AQ5" s="299" t="n"/>
      <c r="AR5" s="299" t="n"/>
      <c r="AS5" s="299" t="n"/>
      <c r="AU5" s="758" t="n">
        <v>12000</v>
      </c>
      <c r="AV5" s="1220">
        <f>4333*AU3</f>
        <v/>
      </c>
      <c r="AW5" s="1220" t="n">
        <v>2779.775631150401</v>
      </c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  <c r="AQ6" s="24" t="n"/>
      <c r="AR6" s="24" t="n"/>
      <c r="AS6" s="24" t="n"/>
      <c r="AU6" s="1221" t="n">
        <v>0.06</v>
      </c>
      <c r="AV6" s="1222" t="n"/>
      <c r="AW6" s="1222" t="n"/>
    </row>
    <row r="7" ht="15" customFormat="1" customHeight="1" s="223">
      <c r="A7" s="228" t="n"/>
      <c r="B7" s="258" t="inlineStr">
        <is>
          <t>RACIONES ADICIONALES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  <c r="AQ7" s="24" t="n"/>
      <c r="AR7" s="24" t="n"/>
      <c r="AS7" s="24" t="n"/>
      <c r="AU7" s="1223" t="n">
        <v>0.045</v>
      </c>
      <c r="AV7" s="911" t="n"/>
      <c r="AW7" s="1222" t="n"/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  <c r="AU8" s="1224" t="n">
        <v>8</v>
      </c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  <c r="AU12" s="2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 t="n"/>
      <c r="AD15" s="90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</row>
    <row r="16" ht="15" customHeight="1" s="986">
      <c r="B16" s="262" t="inlineStr">
        <is>
          <t>SUMINISTRO</t>
        </is>
      </c>
      <c r="C16" s="103" t="n"/>
      <c r="D16" s="79">
        <f>C16/C5</f>
        <v/>
      </c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56" t="n"/>
      <c r="AQ16" s="81" t="n"/>
      <c r="AR16" s="81" t="n"/>
      <c r="AS16" s="81" t="n"/>
    </row>
    <row r="17" ht="15" customHeight="1" s="986">
      <c r="B17" s="104" t="n"/>
      <c r="C17" s="25" t="n"/>
      <c r="D17" s="43">
        <f>C17/C5</f>
        <v/>
      </c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>
        <f>AM17/AM5</f>
        <v/>
      </c>
      <c r="AO17" s="1046" t="n"/>
      <c r="AQ17" s="24" t="n"/>
      <c r="AR17" s="24" t="n"/>
      <c r="AS17" s="24" t="n"/>
    </row>
    <row r="18" ht="15" customHeight="1" s="986">
      <c r="B18" s="104" t="inlineStr">
        <is>
          <t>RACIONES ADICIONALES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4" t="n"/>
      <c r="AH18" s="43" t="n"/>
      <c r="AI18" s="1045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46" t="n"/>
      <c r="AQ18" s="24" t="n"/>
      <c r="AR18" s="24" t="n"/>
      <c r="AS18" s="24" t="n"/>
    </row>
    <row r="19" hidden="1" ht="15" customHeight="1" s="986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  <c r="AQ19" s="24" t="n"/>
      <c r="AR19" s="43" t="n"/>
      <c r="AS19" s="24" t="n"/>
    </row>
    <row r="20" hidden="1" ht="15" customHeight="1" s="986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</row>
    <row r="21" hidden="1" ht="15" customHeight="1" s="986">
      <c r="B21" s="104" t="n"/>
      <c r="C21" s="25" t="n"/>
      <c r="D21" s="43" t="n"/>
      <c r="E21" s="1045" t="n"/>
      <c r="F21" s="25" t="n"/>
      <c r="G21" s="43" t="n"/>
      <c r="H21" s="1045" t="n"/>
      <c r="I21" s="2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  <c r="AQ21" s="24" t="n"/>
      <c r="AR21" s="24" t="n"/>
      <c r="AS21" s="24" t="n"/>
    </row>
    <row r="22" hidden="1" ht="15" customHeight="1" s="986">
      <c r="B22" s="30" t="n"/>
      <c r="C22" s="22" t="n"/>
      <c r="D22" s="42" t="n"/>
      <c r="E22" s="1057" t="n"/>
      <c r="F22" s="22" t="n"/>
      <c r="G22" s="42" t="n"/>
      <c r="H22" s="1057" t="n"/>
      <c r="I22" s="22" t="n"/>
      <c r="J22" s="42" t="n"/>
      <c r="K22" s="1057" t="n"/>
      <c r="L22" s="22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  <c r="AQ22" s="23" t="n"/>
      <c r="AR22" s="23" t="n"/>
      <c r="AS22" s="23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053" t="n"/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54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  <c r="AQ30" s="739" t="n"/>
      <c r="AR30" s="739" t="n"/>
      <c r="AS30" s="739" t="n"/>
    </row>
    <row r="31" hidden="1" outlineLevel="1" ht="15" customHeight="1" s="986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  <c r="AQ31" s="740" t="n"/>
      <c r="AR31" s="740" t="n"/>
      <c r="AS31" s="740" t="n"/>
    </row>
    <row r="32" hidden="1" outlineLevel="1" ht="15" customHeight="1" s="986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</row>
    <row r="33" hidden="1" outlineLevel="1" ht="15" customHeight="1" s="986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</row>
    <row r="34" hidden="1" outlineLevel="1" ht="15" customHeight="1" s="986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</row>
    <row r="35" hidden="1" outlineLevel="1" ht="15" customHeight="1" s="986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  <c r="AQ35" s="133" t="n"/>
      <c r="AR35" s="133" t="n"/>
      <c r="AS35" s="133" t="n"/>
    </row>
    <row r="36" hidden="1" outlineLevel="1" ht="15" customHeight="1" s="986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  <c r="AQ36" s="24" t="n"/>
      <c r="AR36" s="24" t="n"/>
      <c r="AS36" s="24" t="n"/>
    </row>
    <row r="37" hidden="1" outlineLevel="1" ht="15" customHeight="1" s="986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  <c r="AQ37" s="23" t="n"/>
      <c r="AR37" s="23" t="n"/>
      <c r="AS37" s="23" t="n"/>
    </row>
    <row r="38" hidden="1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  <c r="AQ38" s="23" t="n"/>
      <c r="AR38" s="23" t="n"/>
      <c r="AS38" s="23" t="n"/>
    </row>
    <row r="39" hidden="1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  <c r="AQ39" s="23" t="n"/>
      <c r="AR39" s="23" t="n"/>
      <c r="AS39" s="23" t="n"/>
    </row>
    <row r="40" hidden="1" outlineLevel="1" ht="15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  <c r="AQ40" s="23" t="n"/>
      <c r="AR40" s="23" t="n"/>
      <c r="AS40" s="23" t="n"/>
    </row>
    <row r="41" hidden="1" outlineLevel="1" ht="15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  <c r="AQ41" s="23" t="n"/>
      <c r="AR41" s="23" t="n"/>
      <c r="AS41" s="23" t="n"/>
    </row>
    <row r="42" collapsed="1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  <c r="AQ43" s="136" t="n"/>
      <c r="AR43" s="2" t="n"/>
      <c r="AS43" s="1225">
        <f>(AQ46+AQ61)/(AQ13-AQ20-AQ21-AQ22)</f>
        <v/>
      </c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70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 t="n"/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>
        <f>AQ44/AQ$13</f>
        <v/>
      </c>
    </row>
    <row r="45" ht="15" customHeight="1" s="986">
      <c r="B45" s="16" t="inlineStr">
        <is>
          <t>COSTOS INDUSTRIALIZADOS</t>
        </is>
      </c>
      <c r="C45" s="49">
        <f>+C46+C57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90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  <c r="AQ45" s="17">
        <f>+AQ46+AQ57</f>
        <v/>
      </c>
      <c r="AR45" s="17" t="n"/>
      <c r="AS45" s="1105">
        <f>AQ45/AQ13</f>
        <v/>
      </c>
    </row>
    <row r="46" ht="15" customHeight="1" s="986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46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  <c r="AQ46" s="38">
        <f>SUM(AQ47:AQ56)</f>
        <v/>
      </c>
      <c r="AR46" s="38" t="n"/>
      <c r="AS46" s="1106" t="n"/>
    </row>
    <row r="47" ht="15" customHeight="1" s="986">
      <c r="B47" s="97" t="inlineStr">
        <is>
          <t>SUMINISTRO</t>
        </is>
      </c>
      <c r="C47" s="76" t="n"/>
      <c r="D47" s="42">
        <f>C47/C5</f>
        <v/>
      </c>
      <c r="E47" s="1057">
        <f>C47/C16</f>
        <v/>
      </c>
      <c r="F47" s="76" t="n"/>
      <c r="G47" s="42">
        <f>F47/F5</f>
        <v/>
      </c>
      <c r="H47" s="1057">
        <f>F47/F16</f>
        <v/>
      </c>
      <c r="I47" s="76">
        <f>I5*$AW$5</f>
        <v/>
      </c>
      <c r="J47" s="42">
        <f>I47/I5</f>
        <v/>
      </c>
      <c r="K47" s="1057">
        <f>I47/I16</f>
        <v/>
      </c>
      <c r="L47" s="76">
        <f>L5*$AW$5</f>
        <v/>
      </c>
      <c r="M47" s="42">
        <f>L47/L12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AA47/AA12</f>
        <v/>
      </c>
      <c r="AC47" s="1057">
        <f>AA47/(AA16+AA17)</f>
        <v/>
      </c>
      <c r="AD47" s="76" t="n"/>
      <c r="AE47" s="42">
        <f>AD47/AD12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>
        <f>AJ5*$AW$5</f>
        <v/>
      </c>
      <c r="AK47" s="42" t="n"/>
      <c r="AL47" s="1057" t="n"/>
      <c r="AM47" s="97">
        <f>C47+F47+I47+L47+O47+R47+U47+X47+AA47+AD47+AG47+AJ47</f>
        <v/>
      </c>
      <c r="AN47" s="42">
        <f>AM47/$AM$5</f>
        <v/>
      </c>
      <c r="AO47" s="1058">
        <f>AM47/AM16</f>
        <v/>
      </c>
      <c r="AQ47" s="23" t="n"/>
      <c r="AR47" s="23">
        <f>AQ47/AQ5</f>
        <v/>
      </c>
      <c r="AS47" s="1107">
        <f>AQ47/AQ16</f>
        <v/>
      </c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6" t="n"/>
      <c r="AQ48" s="24" t="n"/>
      <c r="AR48" s="24" t="n"/>
      <c r="AS48" s="1108" t="n"/>
    </row>
    <row r="49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  <c r="AQ54" s="24" t="n"/>
      <c r="AR54" s="24" t="n"/>
      <c r="AS54" s="1108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  <c r="AQ55" s="24" t="n"/>
      <c r="AR55" s="24" t="n"/>
      <c r="AS55" s="1108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  <c r="AQ56" s="23" t="n"/>
      <c r="AR56" s="23" t="n"/>
      <c r="AS56" s="1107" t="n"/>
    </row>
    <row r="57" hidden="1" ht="15" customHeight="1" s="986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  <c r="AQ57" s="29" t="n"/>
      <c r="AR57" s="29" t="n"/>
      <c r="AS57" s="1110" t="n"/>
    </row>
    <row r="58" hidden="1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349" t="n"/>
      <c r="AR59" s="349" t="n"/>
      <c r="AS59" s="1115" t="n"/>
    </row>
    <row r="60" ht="15" customHeight="1" s="986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  <c r="AQ60" s="17">
        <f>+AQ61+AQ72+AQ75+AQ76+AQ77</f>
        <v/>
      </c>
      <c r="AR60" s="17" t="n"/>
      <c r="AS60" s="1105" t="n"/>
    </row>
    <row r="61" hidden="1" ht="15" customHeight="1" s="986">
      <c r="B61" s="36" t="inlineStr">
        <is>
          <t>INSUMOS</t>
        </is>
      </c>
      <c r="C61" s="37">
        <f>SUM(C62:C71)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  <c r="AQ61" s="38">
        <f>SUM(AQ62:AQ71)</f>
        <v/>
      </c>
      <c r="AR61" s="38" t="n"/>
      <c r="AS61" s="1106" t="n"/>
    </row>
    <row r="62" hidden="1" ht="15" customHeight="1" s="986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  <c r="AQ62" s="81" t="n"/>
      <c r="AR62" s="81">
        <f>AQ62/AQ6</f>
        <v/>
      </c>
      <c r="AS62" s="1116">
        <f>AQ62/AQ17</f>
        <v/>
      </c>
    </row>
    <row r="63" hidden="1" ht="15" customHeight="1" s="986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  <c r="AQ63" s="24" t="n"/>
      <c r="AR63" s="24">
        <f>AQ63/AQ7</f>
        <v/>
      </c>
      <c r="AS63" s="1108">
        <f>AQ63/AQ18</f>
        <v/>
      </c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  <c r="AQ64" s="24" t="n"/>
      <c r="AR64" s="24">
        <f>AQ64/AQ8</f>
        <v/>
      </c>
      <c r="AS64" s="1108">
        <f>AQ64/AQ19</f>
        <v/>
      </c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  <c r="AQ65" s="24" t="n"/>
      <c r="AR65" s="24" t="n"/>
      <c r="AS65" s="1108" t="n"/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  <c r="AQ66" s="24" t="n"/>
      <c r="AR66" s="24" t="n"/>
      <c r="AS66" s="1108" t="n"/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  <c r="AQ67" s="24" t="n"/>
      <c r="AR67" s="24" t="n"/>
      <c r="AS67" s="1108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  <c r="AQ68" s="24" t="n"/>
      <c r="AR68" s="24" t="n"/>
      <c r="AS68" s="1108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  <c r="AQ69" s="24" t="n"/>
      <c r="AR69" s="24" t="n"/>
      <c r="AS69" s="1108" t="n"/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  <c r="AQ70" s="24" t="n"/>
      <c r="AR70" s="24" t="n"/>
      <c r="AS70" s="1108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  <c r="AQ71" s="349" t="n"/>
      <c r="AR71" s="349" t="n"/>
      <c r="AS71" s="1115" t="n"/>
    </row>
    <row r="72" ht="15" customHeight="1" s="986">
      <c r="B72" s="36" t="inlineStr">
        <is>
          <t>FLETES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  <c r="AQ72" s="29">
        <f>SUM(AQ73:AQ74)</f>
        <v/>
      </c>
      <c r="AR72" s="29">
        <f>AQ72/(AQ$12-AQ$9)</f>
        <v/>
      </c>
      <c r="AS72" s="1110">
        <f>AQ72/(AQ$13-AQ$20)</f>
        <v/>
      </c>
    </row>
    <row r="73" ht="15" customHeight="1" s="986">
      <c r="B73" s="412" t="inlineStr">
        <is>
          <t>PREPARADOS PROPIOS</t>
        </is>
      </c>
      <c r="C73" s="78" t="n"/>
      <c r="D73" s="79" t="n"/>
      <c r="E73" s="1055" t="n"/>
      <c r="F73" s="78" t="n"/>
      <c r="G73" s="79" t="n"/>
      <c r="H73" s="1055" t="n"/>
      <c r="I73" s="78" t="n"/>
      <c r="J73" s="79" t="n"/>
      <c r="K73" s="1055" t="n"/>
      <c r="L73" s="78" t="n"/>
      <c r="M73" s="79" t="n"/>
      <c r="N73" s="1055" t="n"/>
      <c r="O73" s="78">
        <f>'GASTOS VEHICULOS'!G25*'%DIST'!J26</f>
        <v/>
      </c>
      <c r="P73" s="79" t="n"/>
      <c r="Q73" s="1055" t="n"/>
      <c r="R73" s="78">
        <f>'GASTOS VEHICULOS'!H25*'%DIST'!L26</f>
        <v/>
      </c>
      <c r="S73" s="79" t="n"/>
      <c r="T73" s="1055" t="n"/>
      <c r="U73" s="78">
        <f>'GASTOS VEHICULOS'!I25*'%DIST'!N26</f>
        <v/>
      </c>
      <c r="V73" s="79" t="n"/>
      <c r="W73" s="1055" t="n"/>
      <c r="X73" s="78">
        <f>'GASTOS VEHICULOS'!J25*'%DIST'!P26</f>
        <v/>
      </c>
      <c r="Y73" s="79" t="n"/>
      <c r="Z73" s="1055" t="n"/>
      <c r="AA73" s="78">
        <f>'GASTOS VEHICULOS'!K25*'%DIST'!R26</f>
        <v/>
      </c>
      <c r="AB73" s="79" t="n"/>
      <c r="AC73" s="1055" t="n"/>
      <c r="AD73" s="78">
        <f>'GASTOS VEHICULOS'!L25*'%DIST'!T26</f>
        <v/>
      </c>
      <c r="AE73" s="79" t="n"/>
      <c r="AF73" s="1055" t="n"/>
      <c r="AG73" s="78">
        <f>'GASTOS VEHICULOS'!M25*'%DIST'!V26</f>
        <v/>
      </c>
      <c r="AH73" s="79" t="n"/>
      <c r="AI73" s="1055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12" t="n"/>
      <c r="AQ73" s="298" t="n"/>
      <c r="AR73" s="298" t="n"/>
      <c r="AS73" s="1113" t="n"/>
    </row>
    <row r="74" ht="15" customHeight="1" s="986">
      <c r="B74" s="416" t="inlineStr">
        <is>
          <t>PREPARADOS TERCEROS</t>
        </is>
      </c>
      <c r="C74" s="273" t="n"/>
      <c r="D74" s="134" t="n"/>
      <c r="E74" s="1118" t="n"/>
      <c r="F74" s="273" t="n"/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787" t="n"/>
      <c r="AK74" s="134" t="n"/>
      <c r="AL74" s="135" t="n"/>
      <c r="AM74" s="430">
        <f>C74+F74+I74+L74+O74+R74+U74+X74+AA74+AD74+AG74+AJ74</f>
        <v/>
      </c>
      <c r="AN74" s="134" t="n"/>
      <c r="AO74" s="1213" t="n"/>
      <c r="AP74" s="1203" t="n"/>
      <c r="AQ74" s="349" t="n"/>
      <c r="AR74" s="349" t="n"/>
      <c r="AS74" s="1115" t="n"/>
      <c r="AT74" s="1099" t="n"/>
      <c r="AU74" s="1099">
        <f>$AT$74</f>
        <v/>
      </c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  <c r="AQ75" s="38" t="n"/>
      <c r="AR75" s="38" t="n"/>
      <c r="AS75" s="1106" t="n"/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  <c r="AQ76" s="38" t="n"/>
      <c r="AR76" s="38" t="n"/>
      <c r="AS76" s="1106" t="n"/>
    </row>
    <row r="77" ht="15" customHeight="1" s="986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  <c r="AQ77" s="27" t="n"/>
      <c r="AR77" s="27" t="n"/>
      <c r="AS77" s="1119" t="n"/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>
        <f>AQ78/(AQ$12-AQ$9)</f>
        <v/>
      </c>
      <c r="AS78" s="1105">
        <f>AQ78/(AQ$13-AQ$20)</f>
        <v/>
      </c>
    </row>
    <row r="79" ht="15" customHeight="1" s="986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Q79" s="621" t="n"/>
      <c r="AR79" s="621" t="n"/>
      <c r="AS79" s="1120" t="n"/>
    </row>
    <row r="80" ht="15" customHeight="1" s="986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24" t="n"/>
      <c r="AR80" s="24" t="n"/>
      <c r="AS80" s="1108" t="n"/>
    </row>
    <row r="81" ht="15" customHeight="1" s="986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  <c r="AQ82" s="136" t="n"/>
      <c r="AR82" s="136" t="n"/>
      <c r="AS82" s="1122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 t="n"/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>
        <f>AQ83/(AQ$12-AQ$9)</f>
        <v/>
      </c>
      <c r="AS83" s="1104">
        <f>AQ83/(AQ$13-AQ$20)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>
        <f>AQ84/(AQ$12-AQ$9)</f>
        <v/>
      </c>
      <c r="AS84" s="1105">
        <f>AQ84/(AQ$13-AQ$20)</f>
        <v/>
      </c>
    </row>
    <row r="85" ht="15" customHeight="1" s="986">
      <c r="B85" s="39" t="inlineStr">
        <is>
          <t>Costos Indirectos de Personal</t>
        </is>
      </c>
      <c r="C85" s="39" t="n"/>
      <c r="D85" s="69">
        <f>$L$85</f>
        <v/>
      </c>
      <c r="E85" s="1077">
        <f>C85/(C$13)</f>
        <v/>
      </c>
      <c r="F85" s="39" t="n"/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P85" s="1203" t="n"/>
      <c r="AQ85" s="31" t="n"/>
      <c r="AR85" s="31" t="n"/>
      <c r="AS85" s="1123" t="n"/>
      <c r="AT85" s="898" t="n"/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  <c r="AQ86" s="24" t="n"/>
      <c r="AR86" s="24" t="n"/>
      <c r="AS86" s="1108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  <c r="AQ87" s="24" t="n"/>
      <c r="AR87" s="24" t="n"/>
      <c r="AS87" s="1108" t="n"/>
    </row>
    <row r="88" ht="15" customHeight="1" s="986">
      <c r="B88" s="206" t="inlineStr">
        <is>
          <t>Incapacidades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  <c r="AQ88" s="349" t="n"/>
      <c r="AR88" s="349" t="n"/>
      <c r="AS88" s="1115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 t="n"/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  <c r="AQ89" s="17">
        <f>SUM(AQ90:AQ91)</f>
        <v/>
      </c>
      <c r="AR89" s="17">
        <f>AQ89/(AQ$12-AQ$9)</f>
        <v/>
      </c>
      <c r="AS89" s="1105">
        <f>AQ89/(AQ$13-AQ$20)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 t="n"/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  <c r="AQ92" s="17">
        <f>SUM(AQ93:AQ95)</f>
        <v/>
      </c>
      <c r="AR92" s="17">
        <f>AQ92/(AQ$12-AQ$9)</f>
        <v/>
      </c>
      <c r="AS92" s="1105">
        <f>AQ92/(AQ$13-AQ$20)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  <c r="AQ93" s="31" t="n"/>
      <c r="AR93" s="31" t="n"/>
      <c r="AS93" s="1123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 t="n"/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>
        <f>AQ96/(AQ$12-AQ$9)</f>
        <v/>
      </c>
      <c r="AS96" s="1105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31" t="n"/>
      <c r="AR97" s="31" t="n"/>
      <c r="AS97" s="112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79" t="n"/>
      <c r="AR98" s="279" t="n"/>
      <c r="AS98" s="1125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 t="n"/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  <c r="AQ99" s="17">
        <f>SUM(AQ100:AQ108)</f>
        <v/>
      </c>
      <c r="AR99" s="17">
        <f>AQ99/(AQ$12-AQ$9)</f>
        <v/>
      </c>
      <c r="AS99" s="1105">
        <f>AQ99/(AQ$13-AQ$20)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</row>
    <row r="101" outlineLevel="1" ht="15" customHeight="1" s="986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</row>
    <row r="103" outlineLevel="1" ht="15" customHeight="1" s="986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</row>
    <row r="104" outlineLevel="1" ht="15" customHeight="1" s="986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</row>
    <row r="105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  <c r="AQ107" s="24" t="n"/>
      <c r="AR107" s="24" t="n"/>
      <c r="AS107" s="1108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  <c r="AQ108" s="23" t="n"/>
      <c r="AR108" s="23" t="n"/>
      <c r="AS108" s="1107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 t="n"/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>
        <f>AQ109/(AQ$12-AQ$9)</f>
        <v/>
      </c>
      <c r="AS109" s="1105">
        <f>AQ109/(AQ$13-AQ$20)</f>
        <v/>
      </c>
    </row>
    <row r="110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</row>
    <row r="11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</row>
    <row r="112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</row>
    <row r="113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90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 t="n"/>
      <c r="AD114" s="49" t="n"/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>
        <f>AQ114/(AQ$12-AQ$9)</f>
        <v/>
      </c>
      <c r="AS114" s="1105">
        <f>AQ114/(AQ$13-AQ$20)</f>
        <v/>
      </c>
    </row>
    <row r="115" outlineLevel="1" ht="15" customHeight="1" s="98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</row>
    <row r="116" outlineLevel="1" ht="15" customHeight="1" s="98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</row>
    <row r="118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</row>
    <row r="119" outlineLevel="1" ht="15" customHeight="1" s="98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 t="n"/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>
        <f>AQ120/(AQ$12-AQ$9)</f>
        <v/>
      </c>
      <c r="AS120" s="1105">
        <f>AQ120/(AQ$13-AQ$20)</f>
        <v/>
      </c>
    </row>
    <row r="121" ht="15" customHeight="1" s="98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</row>
    <row r="122" ht="15" customHeight="1" s="98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  <c r="AQ122" s="133" t="n"/>
      <c r="AR122" s="133" t="n"/>
      <c r="AS122" s="1126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 t="n"/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>
        <f>AQ123/(AQ$12-AQ$9)</f>
        <v/>
      </c>
      <c r="AS123" s="1105">
        <f>AQ123/(AQ$13-AQ$20)</f>
        <v/>
      </c>
    </row>
    <row r="124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</row>
    <row r="125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</row>
    <row r="126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>
        <f>AQ127/(AQ$12-AQ$9)</f>
        <v/>
      </c>
      <c r="AS127" s="1105">
        <f>AQ127/(AQ$13-AQ$20)</f>
        <v/>
      </c>
    </row>
    <row r="128" outlineLevel="1" ht="15" customHeight="1" s="986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</row>
    <row r="129" outlineLevel="1" ht="15" customHeight="1" s="98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  <c r="AQ129" s="24" t="n"/>
      <c r="AR129" s="24" t="n"/>
      <c r="AS129" s="1108" t="n"/>
    </row>
    <row r="130" outlineLevel="1" ht="15" customHeight="1" s="98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Q130" s="24" t="n"/>
      <c r="AR130" s="24" t="n"/>
      <c r="AS130" s="1108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</row>
    <row r="132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</row>
    <row r="136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  <c r="AQ136" s="24" t="n"/>
      <c r="AR136" s="24" t="n"/>
      <c r="AS136" s="1108" t="n"/>
    </row>
    <row r="137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  <c r="AQ138" s="24" t="n"/>
      <c r="AR138" s="24" t="n"/>
      <c r="AS138" s="1108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  <c r="AQ140" s="24" t="n"/>
      <c r="AR140" s="24" t="n"/>
      <c r="AS140" s="1108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  <c r="AQ141" s="24" t="n"/>
      <c r="AR141" s="24" t="n"/>
      <c r="AS141" s="1108" t="n"/>
    </row>
    <row r="142" outlineLevel="1" ht="15" customHeight="1" s="98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  <c r="AQ143" s="136" t="n"/>
      <c r="AR143" s="136" t="n"/>
      <c r="AS143" s="1122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</row>
    <row r="145" ht="15" customHeight="1" s="986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  <c r="AQ146" s="633" t="n"/>
      <c r="AR146" s="633" t="n"/>
      <c r="AS146" s="1132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 t="n"/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>
        <f>AQ147/(AQ$13-AQ$20)</f>
        <v/>
      </c>
    </row>
    <row r="148" ht="15" customHeight="1" s="986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P148" s="1068" t="n">
        <v>0.054</v>
      </c>
      <c r="AQ148" s="31" t="n"/>
      <c r="AR148" s="31" t="n"/>
      <c r="AS148" s="1123" t="n"/>
    </row>
    <row r="149" ht="15" customHeight="1" s="986">
      <c r="B149" s="285" t="inlineStr">
        <is>
          <t>Gastos financieros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P150" s="1068" t="n">
        <v>0.01</v>
      </c>
      <c r="AQ150" s="24" t="n"/>
      <c r="AR150" s="24" t="n"/>
      <c r="AS150" s="1108" t="n"/>
    </row>
    <row r="151" ht="15" customHeight="1" s="986" thickBot="1">
      <c r="B151" s="300" t="inlineStr">
        <is>
          <t>Gastos No Operacionales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  <c r="AQ152" s="136" t="n"/>
      <c r="AR152" s="136" t="n"/>
      <c r="AS152" s="1122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>
        <f>AQ153/(AQ$13-AQ$20)</f>
        <v/>
      </c>
    </row>
    <row r="154" ht="15" customHeight="1" s="986" thickTop="1">
      <c r="B154" s="1135" t="inlineStr">
        <is>
          <t>Novedades</t>
        </is>
      </c>
      <c r="C154" s="636" t="n"/>
      <c r="D154" s="550" t="n"/>
      <c r="E154" s="1171" t="n"/>
      <c r="F154" s="636" t="n"/>
      <c r="G154" s="550" t="n"/>
      <c r="H154" s="1171" t="n"/>
      <c r="I154" s="636" t="n"/>
      <c r="J154" s="550" t="n"/>
      <c r="K154" s="1171" t="n"/>
      <c r="L154" s="636" t="n"/>
      <c r="M154" s="550" t="n"/>
      <c r="N154" s="1171" t="n"/>
      <c r="O154" s="1172" t="n"/>
      <c r="P154" s="550" t="n"/>
      <c r="Q154" s="1171" t="n"/>
      <c r="R154" s="636" t="n"/>
      <c r="S154" s="550" t="n"/>
      <c r="T154" s="1171" t="n"/>
      <c r="U154" s="636" t="n"/>
      <c r="V154" s="550" t="n"/>
      <c r="W154" s="1171" t="n"/>
      <c r="X154" s="636" t="n"/>
      <c r="Y154" s="550" t="n"/>
      <c r="Z154" s="1171" t="n"/>
      <c r="AA154" s="1172" t="n"/>
      <c r="AB154" s="550" t="n"/>
      <c r="AC154" s="1171" t="n"/>
      <c r="AD154" s="1172" t="n"/>
      <c r="AE154" s="550" t="n"/>
      <c r="AF154" s="1171" t="n"/>
      <c r="AG154" s="1172">
        <f>AG18*0.9</f>
        <v/>
      </c>
      <c r="AH154" s="550" t="n"/>
      <c r="AI154" s="1171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  <c r="AQ154" s="724" t="n"/>
      <c r="AR154" s="289" t="n"/>
      <c r="AS154" s="1138" t="n"/>
    </row>
    <row r="155" ht="15" customHeight="1" s="986">
      <c r="B155" s="1139" t="inlineStr">
        <is>
          <t>Donacion</t>
        </is>
      </c>
      <c r="C155" s="707" t="n"/>
      <c r="D155" s="13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707" t="n"/>
      <c r="P155" s="13" t="n"/>
      <c r="Q155" s="1151" t="n"/>
      <c r="R155" s="707" t="n"/>
      <c r="S155" s="13" t="n"/>
      <c r="T155" s="1151" t="n"/>
      <c r="U155" s="707" t="n"/>
      <c r="V155" s="13" t="n"/>
      <c r="W155" s="1151" t="n"/>
      <c r="X155" s="707" t="n"/>
      <c r="Y155" s="13" t="n"/>
      <c r="Z155" s="1151" t="n"/>
      <c r="AA155" s="707" t="n"/>
      <c r="AB155" s="13" t="n"/>
      <c r="AC155" s="1151" t="n"/>
      <c r="AD155" s="707" t="n"/>
      <c r="AE155" s="13" t="n"/>
      <c r="AF155" s="1151" t="n"/>
      <c r="AG155" s="707" t="n"/>
      <c r="AH155" s="13" t="n"/>
      <c r="AI155" s="1151" t="n"/>
      <c r="AJ155" s="707" t="n"/>
      <c r="AK155" s="9" t="n"/>
      <c r="AL155" s="240" t="n"/>
      <c r="AM155" s="567">
        <f>C155+F155+I155+L155+O155+R155+U155+X155+AA155+AD155+AG155+AJ155</f>
        <v/>
      </c>
      <c r="AN155" s="9">
        <f>AM155/AM12</f>
        <v/>
      </c>
      <c r="AO155" s="1141" t="n"/>
      <c r="AP155" s="1099" t="n"/>
      <c r="AQ155" s="707" t="n"/>
      <c r="AR155" s="248" t="n"/>
      <c r="AS155" s="1142" t="n"/>
    </row>
    <row r="156" ht="15" customHeight="1" s="986">
      <c r="B156" s="1143" t="inlineStr">
        <is>
          <t>Donacion</t>
        </is>
      </c>
      <c r="C156" s="720" t="n"/>
      <c r="D156" s="679" t="n"/>
      <c r="E156" s="1173" t="n"/>
      <c r="F156" s="720" t="n"/>
      <c r="G156" s="679" t="n"/>
      <c r="H156" s="1173" t="n"/>
      <c r="I156" s="720" t="n"/>
      <c r="J156" s="679" t="n"/>
      <c r="K156" s="1173" t="n"/>
      <c r="L156" s="720" t="n"/>
      <c r="M156" s="679" t="n"/>
      <c r="N156" s="1173" t="n"/>
      <c r="O156" s="720" t="n"/>
      <c r="P156" s="679" t="n"/>
      <c r="Q156" s="1173" t="n"/>
      <c r="R156" s="720" t="n"/>
      <c r="S156" s="679" t="n"/>
      <c r="T156" s="1173" t="n"/>
      <c r="U156" s="720" t="n"/>
      <c r="V156" s="679" t="n"/>
      <c r="W156" s="1173" t="n"/>
      <c r="X156" s="720" t="n"/>
      <c r="Y156" s="679" t="n"/>
      <c r="Z156" s="1173" t="n"/>
      <c r="AA156" s="720" t="n"/>
      <c r="AB156" s="679" t="n"/>
      <c r="AC156" s="1173" t="n"/>
      <c r="AD156" s="720" t="n"/>
      <c r="AE156" s="679" t="n"/>
      <c r="AF156" s="1173" t="n"/>
      <c r="AG156" s="720" t="n"/>
      <c r="AH156" s="679" t="n"/>
      <c r="AI156" s="1173" t="n"/>
      <c r="AJ156" s="720" t="n"/>
      <c r="AK156" s="677" t="n"/>
      <c r="AL156" s="681" t="n"/>
      <c r="AM156" s="682">
        <f>C156+F156+I156+L156+O156+R156+U156+X156+AA156+AD156+AG156+AJ156</f>
        <v/>
      </c>
      <c r="AN156" s="677" t="n"/>
      <c r="AO156" s="1145" t="n"/>
      <c r="AP156" s="1099" t="n"/>
      <c r="AQ156" s="767" t="n"/>
      <c r="AR156" s="248" t="n"/>
      <c r="AS156" s="1142" t="n"/>
    </row>
    <row r="157" ht="15" customHeight="1" s="986">
      <c r="B157" s="1146" t="inlineStr">
        <is>
          <t>Otros Ajustes</t>
        </is>
      </c>
      <c r="C157" s="725" t="n"/>
      <c r="D157" s="555" t="n"/>
      <c r="E157" s="1175" t="n"/>
      <c r="F157" s="725" t="n"/>
      <c r="G157" s="555" t="n"/>
      <c r="H157" s="1175" t="n"/>
      <c r="I157" s="725" t="n"/>
      <c r="J157" s="555" t="n"/>
      <c r="K157" s="1175" t="n"/>
      <c r="L157" s="1172" t="n"/>
      <c r="M157" s="555" t="n"/>
      <c r="N157" s="1175" t="n"/>
      <c r="O157" s="1172">
        <f>O13*$AU$6</f>
        <v/>
      </c>
      <c r="P157" s="555" t="n"/>
      <c r="Q157" s="1175" t="n"/>
      <c r="R157" s="1172">
        <f>R13*$AU$6</f>
        <v/>
      </c>
      <c r="S157" s="555" t="n"/>
      <c r="T157" s="1175" t="n"/>
      <c r="U157" s="1172">
        <f>U13*$AU$6</f>
        <v/>
      </c>
      <c r="V157" s="555" t="n"/>
      <c r="W157" s="1175" t="n"/>
      <c r="X157" s="1172">
        <f>X13*$AU$6</f>
        <v/>
      </c>
      <c r="Y157" s="555" t="n"/>
      <c r="Z157" s="1175" t="n"/>
      <c r="AA157" s="1172">
        <f>AA13*$AU$6</f>
        <v/>
      </c>
      <c r="AB157" s="555" t="n"/>
      <c r="AC157" s="1175" t="n"/>
      <c r="AD157" s="1172">
        <f>AD13*$AU$6</f>
        <v/>
      </c>
      <c r="AE157" s="555" t="n"/>
      <c r="AF157" s="1175" t="n"/>
      <c r="AG157" s="1172">
        <f>AG13*$AU$6</f>
        <v/>
      </c>
      <c r="AH157" s="555" t="n"/>
      <c r="AI157" s="1175" t="n"/>
      <c r="AJ157" s="1172">
        <f>AJ13*$AU$6</f>
        <v/>
      </c>
      <c r="AK157" s="553" t="n"/>
      <c r="AL157" s="557" t="n"/>
      <c r="AM157" s="294">
        <f>C157+F157+I157+L157+O157+R157+U157+X157+AA157+AD157+AG157+AJ157</f>
        <v/>
      </c>
      <c r="AN157" s="884" t="n"/>
      <c r="AO157" s="1178">
        <f>AM157/$AM$13</f>
        <v/>
      </c>
      <c r="AQ157" s="707" t="n"/>
      <c r="AR157" s="561" t="n"/>
      <c r="AS157" s="1149">
        <f>AQ157/AQ13</f>
        <v/>
      </c>
    </row>
    <row r="158" ht="15" customHeight="1" s="986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>
        <f>O13*$AU$7</f>
        <v/>
      </c>
      <c r="P158" s="13" t="n"/>
      <c r="Q158" s="1151" t="n"/>
      <c r="R158" s="1148">
        <f>R13*$AU$7</f>
        <v/>
      </c>
      <c r="S158" s="13" t="n"/>
      <c r="T158" s="1151" t="n"/>
      <c r="U158" s="1148">
        <f>U13*$AU$7</f>
        <v/>
      </c>
      <c r="V158" s="13" t="n"/>
      <c r="W158" s="1151" t="n"/>
      <c r="X158" s="1148">
        <f>X13*$AU$7</f>
        <v/>
      </c>
      <c r="Y158" s="13" t="n"/>
      <c r="Z158" s="1151" t="n"/>
      <c r="AA158" s="1148">
        <f>AA13*$AU$7</f>
        <v/>
      </c>
      <c r="AB158" s="13" t="n"/>
      <c r="AC158" s="1151" t="n"/>
      <c r="AD158" s="1148">
        <f>AD13*$AU$7</f>
        <v/>
      </c>
      <c r="AE158" s="43" t="n"/>
      <c r="AF158" s="1151" t="n"/>
      <c r="AG158" s="1148">
        <f>AG13*$AU$7</f>
        <v/>
      </c>
      <c r="AH158" s="13" t="n"/>
      <c r="AI158" s="1151" t="n"/>
      <c r="AJ158" s="1148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178">
        <f>AM158/$AM$13</f>
        <v/>
      </c>
      <c r="AQ158" s="75" t="n"/>
      <c r="AR158" s="296" t="n"/>
      <c r="AS158" s="1153" t="n"/>
    </row>
    <row r="159" ht="15" customHeight="1" s="986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>
        <f>O12*$AU$8</f>
        <v/>
      </c>
      <c r="P159" s="13" t="n"/>
      <c r="Q159" s="1151" t="n"/>
      <c r="R159" s="1148">
        <f>R12*$AU$8</f>
        <v/>
      </c>
      <c r="S159" s="13" t="n"/>
      <c r="T159" s="1151" t="n"/>
      <c r="U159" s="1148">
        <f>U12*$AU$8</f>
        <v/>
      </c>
      <c r="V159" s="13" t="n"/>
      <c r="W159" s="1151" t="n"/>
      <c r="X159" s="1148">
        <f>X12*$AU$8</f>
        <v/>
      </c>
      <c r="Y159" s="13" t="n"/>
      <c r="Z159" s="1151" t="n"/>
      <c r="AA159" s="1148">
        <f>AA12*$AU$8</f>
        <v/>
      </c>
      <c r="AB159" s="13" t="n"/>
      <c r="AC159" s="1151" t="n"/>
      <c r="AD159" s="1148">
        <f>AD12*$AU$8</f>
        <v/>
      </c>
      <c r="AE159" s="43" t="n"/>
      <c r="AF159" s="1151" t="n"/>
      <c r="AG159" s="1148">
        <f>AG12*$AU$8</f>
        <v/>
      </c>
      <c r="AH159" s="13" t="n"/>
      <c r="AI159" s="1151" t="n"/>
      <c r="AJ159" s="1148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152" t="n"/>
      <c r="AQ159" s="296" t="n"/>
      <c r="AR159" s="296" t="n"/>
      <c r="AS159" s="1153" t="n"/>
    </row>
    <row r="160" ht="15" customHeight="1" s="986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1156" t="n"/>
      <c r="AQ160" s="622" t="n"/>
      <c r="AR160" s="622" t="n"/>
      <c r="AS160" s="1157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</row>
    <row r="162" ht="15" customHeight="1" s="986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</row>
    <row r="163" ht="10.8" customHeight="1" s="986" thickTop="1">
      <c r="C163" s="1000" t="n"/>
    </row>
    <row r="164" hidden="1" customFormat="1" s="153">
      <c r="A164" s="226" t="n"/>
      <c r="C164" s="473">
        <f>C44+C83-C73-C85</f>
        <v/>
      </c>
      <c r="D164" s="549" t="n"/>
      <c r="E164" s="1214" t="n"/>
      <c r="F164" s="473">
        <f>F44+F83-F73-F85</f>
        <v/>
      </c>
      <c r="G164" s="1000" t="n"/>
      <c r="H164" s="1188" t="n"/>
      <c r="I164" s="473">
        <f>I44+I83-I73-I85</f>
        <v/>
      </c>
      <c r="J164" s="1000" t="n"/>
      <c r="K164" s="1188" t="n"/>
      <c r="L164" s="473">
        <f>L44+L83-L73-L85</f>
        <v/>
      </c>
      <c r="M164" s="1000" t="n"/>
      <c r="N164" s="1188" t="n"/>
      <c r="O164" s="473">
        <f>O44+O83-O73</f>
        <v/>
      </c>
      <c r="P164" s="1000" t="n"/>
      <c r="Q164" s="1188" t="n"/>
      <c r="R164" s="473">
        <f>R44+R83-R73-R85</f>
        <v/>
      </c>
      <c r="S164" s="1000" t="n"/>
      <c r="T164" s="1188" t="n"/>
      <c r="U164" s="473">
        <f>U44+U83-U73-U85</f>
        <v/>
      </c>
      <c r="V164" s="1000" t="n"/>
      <c r="W164" s="1188" t="n"/>
      <c r="X164" s="476">
        <f>X44+X83-X73-X85-X58</f>
        <v/>
      </c>
      <c r="Y164" s="1000" t="n"/>
      <c r="Z164" s="1188" t="n"/>
      <c r="AA164" s="476">
        <f>AA44+AA83-AA73-AA58</f>
        <v/>
      </c>
      <c r="AB164" s="1000" t="n"/>
      <c r="AC164" s="1188" t="n"/>
      <c r="AD164" s="476">
        <f>AD44+AD83-AD73-AD58</f>
        <v/>
      </c>
      <c r="AE164" s="1000" t="n"/>
      <c r="AF164" s="1188" t="n"/>
      <c r="AG164" s="476">
        <f>AG44+AG83-AG73-AG58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  <c r="AQ164" s="993" t="n"/>
      <c r="AR164" s="993" t="n"/>
      <c r="AS164" s="2" t="n"/>
    </row>
    <row r="165" hidden="1" customFormat="1" s="153">
      <c r="A165" s="226" t="n"/>
      <c r="C165" s="473" t="n">
        <v>47016022.88</v>
      </c>
      <c r="D165" s="549" t="n"/>
      <c r="E165" s="1214" t="n"/>
      <c r="F165" s="473" t="n">
        <v>48773877.27</v>
      </c>
      <c r="G165" s="1000" t="n"/>
      <c r="H165" s="1188" t="n"/>
      <c r="I165" s="473" t="n">
        <v>70048069.05</v>
      </c>
      <c r="J165" s="1000" t="n"/>
      <c r="K165" s="1188" t="n"/>
      <c r="L165" s="473" t="n">
        <v>48123625.71000001</v>
      </c>
      <c r="M165" s="1000" t="n"/>
      <c r="N165" s="1188" t="n"/>
      <c r="O165" s="473" t="n">
        <v>517164154.95</v>
      </c>
      <c r="P165" s="1000" t="n"/>
      <c r="Q165" s="1188" t="n"/>
      <c r="R165" s="473" t="n">
        <v>675567081.08</v>
      </c>
      <c r="S165" s="1000" t="n"/>
      <c r="T165" s="1188" t="n"/>
      <c r="U165" s="473" t="n">
        <v>681804153.1799999</v>
      </c>
      <c r="V165" s="1000" t="n"/>
      <c r="W165" s="1188" t="n"/>
      <c r="X165" s="476" t="n">
        <v>692050605.86</v>
      </c>
      <c r="Y165" s="1000" t="n"/>
      <c r="Z165" s="1188" t="n"/>
      <c r="AA165" s="476" t="n">
        <v>641035328.9</v>
      </c>
      <c r="AB165" s="1000" t="n"/>
      <c r="AC165" s="1188" t="n"/>
      <c r="AD165" s="476" t="n">
        <v>831021932.09</v>
      </c>
      <c r="AE165" s="1000" t="n"/>
      <c r="AF165" s="1188" t="n"/>
      <c r="AG165" s="476" t="n">
        <v>592985589.73</v>
      </c>
      <c r="AH165" s="1000" t="n"/>
      <c r="AI165" s="1188" t="n"/>
      <c r="AJ165" s="476" t="n">
        <v>394419.68</v>
      </c>
      <c r="AK165" s="1000" t="n"/>
      <c r="AL165" s="1000" t="n"/>
      <c r="AM165" s="1000" t="n"/>
      <c r="AN165" s="1000" t="n"/>
      <c r="AO165" s="1188" t="n"/>
      <c r="AQ165" s="993" t="n"/>
      <c r="AR165" s="993" t="n"/>
      <c r="AS165" s="2" t="n"/>
    </row>
    <row r="166" hidden="1" customFormat="1" s="153">
      <c r="A166" s="226" t="n"/>
      <c r="C166" s="473">
        <f>C164-C165</f>
        <v/>
      </c>
      <c r="D166" s="702" t="n"/>
      <c r="E166" s="1214" t="n"/>
      <c r="F166" s="473">
        <f>F164-F165</f>
        <v/>
      </c>
      <c r="G166" s="999" t="n"/>
      <c r="H166" s="1189" t="n"/>
      <c r="I166" s="473">
        <f>I164-I165</f>
        <v/>
      </c>
      <c r="J166" s="1000" t="n"/>
      <c r="K166" s="1189" t="n"/>
      <c r="L166" s="473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3">
        <f>R164-R165</f>
        <v/>
      </c>
      <c r="S166" s="999" t="n"/>
      <c r="T166" s="1188" t="n"/>
      <c r="U166" s="473">
        <f>U164-U165</f>
        <v/>
      </c>
      <c r="V166" s="402" t="n"/>
      <c r="W166" s="1188" t="n"/>
      <c r="X166" s="476">
        <f>X164-X165</f>
        <v/>
      </c>
      <c r="Y166" s="1000" t="n"/>
      <c r="Z166" s="1188" t="n"/>
      <c r="AA166" s="476">
        <f>AA164-AA165</f>
        <v/>
      </c>
      <c r="AB166" s="1000" t="n"/>
      <c r="AC166" s="1188" t="n"/>
      <c r="AD166" s="476">
        <f>AD164-AD165</f>
        <v/>
      </c>
      <c r="AE166" s="613" t="inlineStr">
        <is>
          <t>MP</t>
        </is>
      </c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1000" t="n"/>
      <c r="AL166" s="1000" t="n"/>
      <c r="AM166" s="999" t="n"/>
      <c r="AN166" s="1000" t="n"/>
      <c r="AO166" s="1188" t="n"/>
      <c r="AQ166" s="993" t="n"/>
      <c r="AR166" s="993" t="n"/>
      <c r="AS166" s="2" t="n"/>
    </row>
    <row r="167" customFormat="1" s="153">
      <c r="A167" s="226" t="n"/>
      <c r="C167" s="1000" t="n"/>
      <c r="D167" s="1000" t="n"/>
      <c r="E167" s="1188" t="n"/>
      <c r="F167" s="1000" t="n"/>
      <c r="G167" s="1000" t="n"/>
      <c r="H167" s="1188" t="n"/>
      <c r="I167" s="999" t="n"/>
      <c r="J167" s="1000" t="n"/>
      <c r="K167" s="1188" t="n"/>
      <c r="L167" s="1000" t="n"/>
      <c r="M167" s="1000" t="n"/>
      <c r="N167" s="1188" t="n"/>
      <c r="O167" s="1000" t="n"/>
      <c r="P167" s="1000" t="n"/>
      <c r="Q167" s="1188" t="n"/>
      <c r="R167" s="1000" t="n"/>
      <c r="S167" s="1000" t="n"/>
      <c r="T167" s="1188" t="n"/>
      <c r="U167" s="1000" t="n"/>
      <c r="V167" s="1000" t="n"/>
      <c r="W167" s="1188" t="n"/>
      <c r="X167" s="1000" t="n"/>
      <c r="Y167" s="1000" t="n"/>
      <c r="Z167" s="1188" t="n"/>
      <c r="AA167" s="1000" t="n"/>
      <c r="AB167" s="1000" t="n"/>
      <c r="AC167" s="1188" t="n"/>
      <c r="AD167" s="1000" t="n"/>
      <c r="AE167" s="1000" t="n"/>
      <c r="AF167" s="1188" t="n"/>
      <c r="AG167" s="1226" t="n"/>
      <c r="AH167" s="1000" t="n"/>
      <c r="AJ167" s="993" t="n"/>
      <c r="AK167" s="1000" t="n"/>
      <c r="AL167" s="1000" t="n"/>
      <c r="AM167" s="641" t="n"/>
      <c r="AN167" s="1000" t="n"/>
      <c r="AO167" s="1188" t="n"/>
      <c r="AQ167" s="993" t="n"/>
      <c r="AR167" s="993" t="n"/>
      <c r="AS167" s="2" t="n"/>
    </row>
    <row r="170">
      <c r="F170" s="1215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993" min="3" max="3"/>
    <col hidden="1" width="8.6640625" customWidth="1" style="993" min="4" max="4"/>
    <col hidden="1" width="8.6640625" customWidth="1" style="1033" min="5" max="5"/>
    <col hidden="1" width="14.44140625" customWidth="1" style="993" min="6" max="6"/>
    <col hidden="1" width="8.6640625" customWidth="1" style="993" min="7" max="7"/>
    <col hidden="1" width="8.6640625" customWidth="1" style="1033" min="8" max="8"/>
    <col hidden="1" width="14.44140625" customWidth="1" style="993" min="9" max="9"/>
    <col hidden="1" width="8.6640625" customWidth="1" style="993" min="10" max="10"/>
    <col hidden="1"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4.6640625" customWidth="1" style="2" min="42" max="42"/>
    <col width="15.6640625" customWidth="1" style="993" min="43" max="43"/>
    <col width="7.5546875" customWidth="1" style="993" min="44" max="44"/>
    <col width="7.33203125" customWidth="1" style="2" min="45" max="46"/>
    <col width="11.44140625" customWidth="1" style="2" min="47" max="57"/>
    <col width="11.44140625" customWidth="1" style="2" min="58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 ADULTO MAYOR YUMBO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  <c r="AQ2" s="2" t="n"/>
      <c r="AR2" s="2" t="n"/>
    </row>
    <row r="3" ht="21.75" customHeight="1" s="986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479" t="n"/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623" t="n"/>
      <c r="AR3" s="623" t="n"/>
      <c r="AS3" s="623" t="n"/>
      <c r="AT3" s="824" t="n"/>
    </row>
    <row r="4" ht="24.75" customFormat="1" customHeight="1" s="215" thickBot="1" thickTop="1">
      <c r="A4" s="227" t="n"/>
      <c r="B4" s="21" t="n"/>
      <c r="C4" s="469" t="inlineStr">
        <is>
          <t>ENE</t>
        </is>
      </c>
      <c r="D4" s="470" t="inlineStr">
        <is>
          <t>x racion</t>
        </is>
      </c>
      <c r="E4" s="119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896" t="inlineStr">
        <is>
          <t>PPTO ENE</t>
        </is>
      </c>
      <c r="AR4" s="624" t="n"/>
      <c r="AS4" s="624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  <c r="AQ5" s="299" t="n"/>
      <c r="AR5" s="299" t="n"/>
      <c r="AS5" s="299" t="n"/>
      <c r="AT5" s="823" t="n"/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  <c r="AQ6" s="24" t="n"/>
      <c r="AR6" s="24" t="n"/>
      <c r="AS6" s="24" t="n"/>
      <c r="AT6" s="823" t="n"/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  <c r="AQ7" s="24" t="n"/>
      <c r="AR7" s="24" t="n"/>
      <c r="AS7" s="24" t="n"/>
      <c r="AT7" s="823" t="n"/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  <c r="AT8" s="823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  <c r="AT9" s="823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  <c r="AQ10" s="24" t="n"/>
      <c r="AR10" s="24" t="n"/>
      <c r="AS10" s="24" t="n"/>
      <c r="AT10" s="823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  <c r="AQ11" s="349" t="n"/>
      <c r="AR11" s="349" t="n"/>
      <c r="AS11" s="349" t="n"/>
      <c r="AT11" s="82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  <c r="AT12" s="825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  <c r="AT13" s="700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  <c r="AT14" s="700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>
        <f>AA15/AA15</f>
        <v/>
      </c>
      <c r="AD15" s="90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  <c r="AT15" s="700" t="n"/>
    </row>
    <row r="16" ht="15" customHeight="1" s="986">
      <c r="B16" s="262" t="inlineStr">
        <is>
          <t>SUMINISTRO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>
        <f>L16/L5</f>
        <v/>
      </c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>
        <f>AM16/AM$13</f>
        <v/>
      </c>
      <c r="AQ16" s="81" t="n"/>
      <c r="AR16" s="81">
        <f>AQ16/AQ5</f>
        <v/>
      </c>
      <c r="AS16" s="81" t="n"/>
      <c r="AT16" s="823" t="n"/>
    </row>
    <row r="17" ht="15" customHeight="1" s="986">
      <c r="B17" s="104" t="n"/>
      <c r="C17" s="25" t="n"/>
      <c r="D17" s="43" t="n"/>
      <c r="E17" s="1045" t="n"/>
      <c r="F17" s="25" t="n"/>
      <c r="G17" s="43" t="n"/>
      <c r="H17" s="1045" t="n"/>
      <c r="I17" s="91" t="n"/>
      <c r="J17" s="92" t="n"/>
      <c r="K17" s="1045" t="n"/>
      <c r="L17" s="91" t="n"/>
      <c r="M17" s="92" t="n"/>
      <c r="N17" s="1045" t="n"/>
      <c r="O17" s="91" t="n"/>
      <c r="P17" s="92" t="n"/>
      <c r="Q17" s="1045" t="n"/>
      <c r="R17" s="91" t="n"/>
      <c r="S17" s="92" t="n"/>
      <c r="T17" s="1045" t="n"/>
      <c r="U17" s="91" t="n"/>
      <c r="V17" s="92" t="n"/>
      <c r="W17" s="1045" t="n"/>
      <c r="X17" s="91" t="n"/>
      <c r="Y17" s="92" t="n"/>
      <c r="Z17" s="1045" t="n"/>
      <c r="AA17" s="91" t="n"/>
      <c r="AB17" s="92" t="n"/>
      <c r="AC17" s="1045" t="n"/>
      <c r="AD17" s="91" t="n"/>
      <c r="AE17" s="92" t="n"/>
      <c r="AF17" s="1045" t="n"/>
      <c r="AG17" s="91" t="n"/>
      <c r="AH17" s="92" t="n"/>
      <c r="AI17" s="1045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46">
        <f>AM17/AM$13</f>
        <v/>
      </c>
      <c r="AQ17" s="24" t="n"/>
      <c r="AR17" s="24" t="n"/>
      <c r="AS17" s="24" t="n"/>
      <c r="AT17" s="823" t="n"/>
    </row>
    <row r="18" ht="15" customHeight="1" s="986">
      <c r="B18" s="104" t="n"/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5" t="n"/>
      <c r="AH18" s="43" t="n"/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>
        <f>AM18/AM$13</f>
        <v/>
      </c>
      <c r="AQ18" s="24" t="n"/>
      <c r="AR18" s="24" t="n"/>
      <c r="AS18" s="24" t="n"/>
      <c r="AT18" s="823" t="n"/>
    </row>
    <row r="19" hidden="1" ht="15" customHeight="1" s="986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  <c r="AQ19" s="24" t="n"/>
      <c r="AR19" s="43" t="n"/>
      <c r="AS19" s="24" t="n"/>
      <c r="AT19" s="823" t="n"/>
    </row>
    <row r="20" hidden="1" ht="15" customHeight="1" s="986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  <c r="AT20" s="823" t="n"/>
    </row>
    <row r="21" hidden="1" ht="15" customHeight="1" s="986">
      <c r="B21" s="104" t="n"/>
      <c r="C21" s="75" t="n"/>
      <c r="D21" s="43" t="n"/>
      <c r="E21" s="1045" t="n"/>
      <c r="F21" s="25" t="n"/>
      <c r="G21" s="43" t="n"/>
      <c r="H21" s="1045" t="n"/>
      <c r="I21" s="7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  <c r="AQ21" s="24" t="n"/>
      <c r="AR21" s="24" t="n"/>
      <c r="AS21" s="24" t="n"/>
      <c r="AT21" s="823" t="n"/>
    </row>
    <row r="22" hidden="1" ht="15" customHeight="1" s="986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448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  <c r="AQ22" s="23" t="n"/>
      <c r="AR22" s="23" t="n"/>
      <c r="AS22" s="23" t="n"/>
      <c r="AT22" s="823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  <c r="AT23" s="700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  <c r="AT24" s="700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  <c r="AT25" s="823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  <c r="AT26" s="823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  <c r="AT27" s="823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  <c r="AT28" s="700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SUM(L30:L37)</f>
        <v/>
      </c>
      <c r="M29" s="3" t="n"/>
      <c r="N29" s="1054">
        <f>L29/L13</f>
        <v/>
      </c>
      <c r="O29" s="49">
        <f>SUM(O30:O41)</f>
        <v/>
      </c>
      <c r="P29" s="3" t="n"/>
      <c r="Q29" s="1053" t="n"/>
      <c r="R29" s="90">
        <f>SUM(R30:R37)</f>
        <v/>
      </c>
      <c r="S29" s="3" t="n"/>
      <c r="T29" s="1053">
        <f>R29/R13</f>
        <v/>
      </c>
      <c r="U29" s="90">
        <f>SUM(U30:U37)</f>
        <v/>
      </c>
      <c r="V29" s="3" t="n"/>
      <c r="W29" s="1053">
        <f>U29/U13</f>
        <v/>
      </c>
      <c r="X29" s="90">
        <f>SUM(X30:X37)</f>
        <v/>
      </c>
      <c r="Y29" s="763" t="n"/>
      <c r="Z29" s="1159">
        <f>X29/X13</f>
        <v/>
      </c>
      <c r="AA29" s="90">
        <f>SUM(AA30:AA37)</f>
        <v/>
      </c>
      <c r="AB29" s="3" t="n"/>
      <c r="AC29" s="1053">
        <f>AA29/AA13</f>
        <v/>
      </c>
      <c r="AD29" s="90">
        <f>SUM(AD30:AD37)</f>
        <v/>
      </c>
      <c r="AE29" s="3" t="n"/>
      <c r="AF29" s="1053">
        <f>AD29/AD13</f>
        <v/>
      </c>
      <c r="AG29" s="90">
        <f>SUM(AG30:AG37)</f>
        <v/>
      </c>
      <c r="AH29" s="3" t="n"/>
      <c r="AI29" s="1053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  <c r="AQ29" s="17">
        <f>SUM(AQ30:AQ37)</f>
        <v/>
      </c>
      <c r="AR29" s="17" t="n"/>
      <c r="AS29" s="17" t="n"/>
      <c r="AT29" s="700" t="n"/>
    </row>
    <row r="30" outlineLevel="1" ht="15" customHeight="1" s="986">
      <c r="A30" s="229" t="n"/>
      <c r="B30" s="262" t="inlineStr">
        <is>
          <t>Prohospitales 1%</t>
        </is>
      </c>
      <c r="C30" s="1061" t="n"/>
      <c r="D30" s="79" t="n"/>
      <c r="E30" s="1055" t="n"/>
      <c r="F30" s="1061">
        <f>F13*1%</f>
        <v/>
      </c>
      <c r="G30" s="79" t="n"/>
      <c r="H30" s="1055" t="n"/>
      <c r="I30" s="1061">
        <f>I13*1%</f>
        <v/>
      </c>
      <c r="J30" s="79" t="n"/>
      <c r="K30" s="1055" t="n"/>
      <c r="L30" s="1061">
        <f>L13*1%</f>
        <v/>
      </c>
      <c r="M30" s="79" t="n"/>
      <c r="N30" s="1055" t="n"/>
      <c r="O30" s="1061">
        <f>O13*1%</f>
        <v/>
      </c>
      <c r="P30" s="79" t="n"/>
      <c r="Q30" s="1055" t="n"/>
      <c r="R30" s="1061">
        <f>R13*1%</f>
        <v/>
      </c>
      <c r="S30" s="79" t="n"/>
      <c r="T30" s="1055" t="n"/>
      <c r="U30" s="1061">
        <f>U13*1%</f>
        <v/>
      </c>
      <c r="V30" s="79" t="n"/>
      <c r="W30" s="1055" t="n"/>
      <c r="X30" s="1061">
        <f>X13*1%</f>
        <v/>
      </c>
      <c r="Y30" s="79" t="n"/>
      <c r="Z30" s="1055" t="n"/>
      <c r="AA30" s="1061">
        <f>AA13*1%</f>
        <v/>
      </c>
      <c r="AB30" s="79" t="n"/>
      <c r="AC30" s="1055" t="n"/>
      <c r="AD30" s="1061">
        <f>AD13*1%</f>
        <v/>
      </c>
      <c r="AE30" s="79" t="n"/>
      <c r="AF30" s="1055" t="n"/>
      <c r="AG30" s="1061">
        <f>AG13*1%</f>
        <v/>
      </c>
      <c r="AH30" s="79" t="n"/>
      <c r="AI30" s="1055" t="n"/>
      <c r="AJ30" s="1061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P30" s="108" t="n"/>
      <c r="AQ30" s="739" t="n"/>
      <c r="AR30" s="739" t="n"/>
      <c r="AS30" s="739" t="n"/>
      <c r="AT30" s="823" t="n"/>
    </row>
    <row r="31" outlineLevel="1" ht="15" customHeight="1" s="986">
      <c r="B31" s="105" t="inlineStr">
        <is>
          <t>Rete Ica 0,6%</t>
        </is>
      </c>
      <c r="C31" s="1062" t="n"/>
      <c r="D31" s="43" t="n"/>
      <c r="E31" s="1045" t="n"/>
      <c r="F31" s="1062">
        <f>F13*0.6%</f>
        <v/>
      </c>
      <c r="G31" s="43" t="n"/>
      <c r="H31" s="1045" t="n"/>
      <c r="I31" s="1062">
        <f>I13*0.6%</f>
        <v/>
      </c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  <c r="AQ31" s="740" t="n"/>
      <c r="AR31" s="740" t="n"/>
      <c r="AS31" s="740" t="n"/>
      <c r="AT31" s="823" t="n"/>
    </row>
    <row r="32" outlineLevel="1" ht="15" customHeight="1" s="986">
      <c r="B32" s="105" t="inlineStr">
        <is>
          <t>Procultura 0.5%</t>
        </is>
      </c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>
        <f>L13*0.5%</f>
        <v/>
      </c>
      <c r="M32" s="43" t="n"/>
      <c r="N32" s="1045" t="n"/>
      <c r="O32" s="1062">
        <f>O13*0.5%</f>
        <v/>
      </c>
      <c r="P32" s="43" t="n"/>
      <c r="Q32" s="1045" t="n"/>
      <c r="R32" s="1062">
        <f>R13*0.5%</f>
        <v/>
      </c>
      <c r="S32" s="43" t="n"/>
      <c r="T32" s="1045" t="n"/>
      <c r="U32" s="1062">
        <f>U13*0.5%</f>
        <v/>
      </c>
      <c r="V32" s="43" t="n"/>
      <c r="W32" s="1045" t="n"/>
      <c r="X32" s="1062">
        <f>X13*0.5%</f>
        <v/>
      </c>
      <c r="Y32" s="43" t="n"/>
      <c r="Z32" s="1045" t="n"/>
      <c r="AA32" s="1062">
        <f>AA13*0.5%</f>
        <v/>
      </c>
      <c r="AB32" s="43" t="n"/>
      <c r="AC32" s="1045" t="n"/>
      <c r="AD32" s="1062">
        <f>AD13*0.5%</f>
        <v/>
      </c>
      <c r="AE32" s="43" t="n"/>
      <c r="AF32" s="1045" t="n"/>
      <c r="AG32" s="1062">
        <f>AG13*0.5%</f>
        <v/>
      </c>
      <c r="AH32" s="43" t="n"/>
      <c r="AI32" s="1045" t="n"/>
      <c r="AJ32" s="1062">
        <f>AJ13*0.5%</f>
        <v/>
      </c>
      <c r="AK32" s="43" t="n"/>
      <c r="AL32" s="57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  <c r="AT32" s="823" t="n"/>
    </row>
    <row r="33" outlineLevel="1" ht="15" customHeight="1" s="986">
      <c r="B33" s="105" t="inlineStr">
        <is>
          <t>Adulto Mayor 2%</t>
        </is>
      </c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1062">
        <f>L13*2%</f>
        <v/>
      </c>
      <c r="M33" s="43" t="n"/>
      <c r="N33" s="1045" t="n"/>
      <c r="O33" s="1062">
        <f>O13*2%</f>
        <v/>
      </c>
      <c r="P33" s="43" t="n"/>
      <c r="Q33" s="1045" t="n"/>
      <c r="R33" s="1062">
        <f>R13*2%</f>
        <v/>
      </c>
      <c r="S33" s="43" t="n"/>
      <c r="T33" s="1045" t="n"/>
      <c r="U33" s="1062">
        <f>U13*2%</f>
        <v/>
      </c>
      <c r="V33" s="43" t="n"/>
      <c r="W33" s="1045" t="n"/>
      <c r="X33" s="1062">
        <f>X13*2%</f>
        <v/>
      </c>
      <c r="Y33" s="43" t="n"/>
      <c r="Z33" s="1045" t="n"/>
      <c r="AA33" s="1062">
        <f>AA13*2%</f>
        <v/>
      </c>
      <c r="AB33" s="43" t="n"/>
      <c r="AC33" s="1045" t="n"/>
      <c r="AD33" s="1062">
        <f>AD13*2%</f>
        <v/>
      </c>
      <c r="AE33" s="43" t="n"/>
      <c r="AF33" s="1045" t="n"/>
      <c r="AG33" s="1062">
        <f>AG13*2%</f>
        <v/>
      </c>
      <c r="AH33" s="43" t="n"/>
      <c r="AI33" s="1045" t="n"/>
      <c r="AJ33" s="1062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  <c r="AT33" s="823" t="n"/>
    </row>
    <row r="34" outlineLevel="1" ht="15" customHeight="1" s="986">
      <c r="B34" s="105" t="inlineStr">
        <is>
          <t>Prodeporte 2,5%</t>
        </is>
      </c>
      <c r="C34" s="25">
        <f>(C$13*10%)*3.5%</f>
        <v/>
      </c>
      <c r="D34" s="43" t="n"/>
      <c r="E34" s="1045" t="n"/>
      <c r="F34" s="25">
        <f>F13*2.5%</f>
        <v/>
      </c>
      <c r="G34" s="43" t="n"/>
      <c r="H34" s="1045" t="n"/>
      <c r="I34" s="25">
        <f>I13*2.5%</f>
        <v/>
      </c>
      <c r="J34" s="43" t="n"/>
      <c r="K34" s="1045" t="n"/>
      <c r="L34" s="25">
        <f>L13*2.5%</f>
        <v/>
      </c>
      <c r="M34" s="43" t="n"/>
      <c r="N34" s="1045" t="n"/>
      <c r="O34" s="25">
        <f>O13*2.5%</f>
        <v/>
      </c>
      <c r="P34" s="43" t="n"/>
      <c r="Q34" s="1045" t="n"/>
      <c r="R34" s="25">
        <f>R13*2.5%</f>
        <v/>
      </c>
      <c r="S34" s="43" t="n"/>
      <c r="T34" s="1045" t="n"/>
      <c r="U34" s="25">
        <f>U13*2.5%</f>
        <v/>
      </c>
      <c r="V34" s="43" t="n"/>
      <c r="W34" s="1045" t="n"/>
      <c r="X34" s="25">
        <f>X13*2.5%</f>
        <v/>
      </c>
      <c r="Y34" s="43" t="n"/>
      <c r="Z34" s="1045" t="n"/>
      <c r="AA34" s="25">
        <f>AA13*2.5%</f>
        <v/>
      </c>
      <c r="AB34" s="43" t="n"/>
      <c r="AC34" s="1045" t="n"/>
      <c r="AD34" s="25">
        <f>AD13*2.5%</f>
        <v/>
      </c>
      <c r="AE34" s="43" t="n"/>
      <c r="AF34" s="1045" t="n"/>
      <c r="AG34" s="25">
        <f>AG13*2.5%</f>
        <v/>
      </c>
      <c r="AH34" s="43" t="n"/>
      <c r="AI34" s="1045" t="n"/>
      <c r="AJ34" s="25">
        <f>AJ13*2.5%</f>
        <v/>
      </c>
      <c r="AK34" s="43" t="n"/>
      <c r="AL34" s="57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  <c r="AT34" s="823" t="n"/>
    </row>
    <row r="35" outlineLevel="1" ht="15" customHeight="1" s="986">
      <c r="A35" s="229" t="n"/>
      <c r="B35" s="335" t="inlineStr">
        <is>
          <t>2% Juzgado de Familia</t>
        </is>
      </c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>
        <f>L13*2%</f>
        <v/>
      </c>
      <c r="M35" s="92" t="n"/>
      <c r="N35" s="1063" t="n"/>
      <c r="O35" s="91">
        <f>O13*2%</f>
        <v/>
      </c>
      <c r="P35" s="92" t="n"/>
      <c r="Q35" s="1063" t="n"/>
      <c r="R35" s="91">
        <f>R13*2%</f>
        <v/>
      </c>
      <c r="S35" s="92" t="n"/>
      <c r="T35" s="1063" t="n"/>
      <c r="U35" s="91">
        <f>U13*2%</f>
        <v/>
      </c>
      <c r="V35" s="92" t="n"/>
      <c r="W35" s="1063" t="n"/>
      <c r="X35" s="91">
        <f>X13*2%</f>
        <v/>
      </c>
      <c r="Y35" s="92" t="n"/>
      <c r="Z35" s="1063" t="n"/>
      <c r="AA35" s="91">
        <f>AA13*2%</f>
        <v/>
      </c>
      <c r="AB35" s="92" t="n"/>
      <c r="AC35" s="1063" t="n"/>
      <c r="AD35" s="91">
        <f>AD13*2%</f>
        <v/>
      </c>
      <c r="AE35" s="92" t="n"/>
      <c r="AF35" s="1063" t="n"/>
      <c r="AG35" s="91">
        <f>AG13*2%</f>
        <v/>
      </c>
      <c r="AH35" s="92" t="n"/>
      <c r="AI35" s="1063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064" t="n"/>
      <c r="AP35" s="108" t="n"/>
      <c r="AQ35" s="133" t="n"/>
      <c r="AR35" s="133" t="n"/>
      <c r="AS35" s="133" t="n"/>
      <c r="AT35" s="823" t="n"/>
    </row>
    <row r="36" outlineLevel="1" ht="15" customHeight="1" s="986">
      <c r="A36" s="229" t="n"/>
      <c r="B36" s="105" t="inlineStr">
        <is>
          <t>0,5% Propacifico</t>
        </is>
      </c>
      <c r="C36" s="835" t="n"/>
      <c r="D36" s="836" t="n"/>
      <c r="E36" s="1227" t="n"/>
      <c r="F36" s="835" t="n"/>
      <c r="G36" s="836" t="n"/>
      <c r="H36" s="1227" t="n"/>
      <c r="I36" s="25" t="n"/>
      <c r="J36" s="43" t="n"/>
      <c r="K36" s="1045" t="n"/>
      <c r="L36" s="25">
        <f>L14*0.5%</f>
        <v/>
      </c>
      <c r="M36" s="43" t="n"/>
      <c r="N36" s="1045" t="n"/>
      <c r="O36" s="25">
        <f>O14*0.5%</f>
        <v/>
      </c>
      <c r="P36" s="43" t="n"/>
      <c r="Q36" s="1045" t="n"/>
      <c r="R36" s="25">
        <f>R14*0.5%</f>
        <v/>
      </c>
      <c r="S36" s="43" t="n"/>
      <c r="T36" s="1045" t="n"/>
      <c r="U36" s="25">
        <f>U14*0.5%</f>
        <v/>
      </c>
      <c r="V36" s="43" t="n"/>
      <c r="W36" s="1045" t="n"/>
      <c r="X36" s="25">
        <f>X14*0.5%</f>
        <v/>
      </c>
      <c r="Y36" s="43" t="n"/>
      <c r="Z36" s="1045" t="n"/>
      <c r="AA36" s="25">
        <f>AA14*0.5%</f>
        <v/>
      </c>
      <c r="AB36" s="43" t="n"/>
      <c r="AC36" s="1045" t="n"/>
      <c r="AD36" s="25">
        <f>AD14*0.5%</f>
        <v/>
      </c>
      <c r="AE36" s="43" t="n"/>
      <c r="AF36" s="1045" t="n"/>
      <c r="AG36" s="25">
        <f>AG14*0.5%</f>
        <v/>
      </c>
      <c r="AH36" s="43" t="n"/>
      <c r="AI36" s="1045" t="n"/>
      <c r="AJ36" s="25">
        <f>AJ14*0.5%</f>
        <v/>
      </c>
      <c r="AK36" s="43" t="n"/>
      <c r="AL36" s="57" t="n"/>
      <c r="AM36" s="205">
        <f>C36+F36+I36+L36+O36+R36+U36+X36+AA36+AD36+AG36+AJ36</f>
        <v/>
      </c>
      <c r="AN36" s="43" t="n"/>
      <c r="AO36" s="1046" t="n"/>
      <c r="AP36" s="108" t="n"/>
      <c r="AQ36" s="24" t="n"/>
      <c r="AR36" s="24" t="n"/>
      <c r="AS36" s="24" t="n"/>
      <c r="AT36" s="823" t="n"/>
    </row>
    <row r="37" outlineLevel="1" ht="15" customHeight="1" s="986">
      <c r="B37" s="30" t="inlineStr">
        <is>
          <t>Impuesto de timbre 1%</t>
        </is>
      </c>
      <c r="C37" s="838" t="n"/>
      <c r="D37" s="839" t="n"/>
      <c r="E37" s="1228" t="n"/>
      <c r="F37" s="838" t="n"/>
      <c r="G37" s="839" t="n"/>
      <c r="H37" s="1228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058" t="n"/>
      <c r="AQ37" s="23" t="n"/>
      <c r="AR37" s="23" t="n"/>
      <c r="AS37" s="23" t="n"/>
      <c r="AT37" s="823" t="n"/>
    </row>
    <row r="38" hidden="1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  <c r="AQ38" s="23" t="n"/>
      <c r="AR38" s="23" t="n"/>
      <c r="AS38" s="23" t="n"/>
      <c r="AT38" s="823" t="n"/>
    </row>
    <row r="39" hidden="1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  <c r="AQ39" s="23" t="n"/>
      <c r="AR39" s="23" t="n"/>
      <c r="AS39" s="23" t="n"/>
      <c r="AT39" s="823" t="n"/>
    </row>
    <row r="40" hidden="1" outlineLevel="1" ht="15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  <c r="AQ40" s="23" t="n"/>
      <c r="AR40" s="23" t="n"/>
      <c r="AS40" s="23" t="n"/>
      <c r="AT40" s="823" t="n"/>
    </row>
    <row r="41" hidden="1" outlineLevel="1" ht="15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  <c r="AQ41" s="23" t="n"/>
      <c r="AR41" s="23" t="n"/>
      <c r="AS41" s="23" t="n"/>
      <c r="AT41" s="823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  <c r="AT42" s="700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229">
        <f>(L46+L61)/(L13)</f>
        <v/>
      </c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229">
        <f>(AM46+AM61)/(AM13)</f>
        <v/>
      </c>
      <c r="AQ43" s="136" t="n"/>
      <c r="AR43" s="2" t="n"/>
      <c r="AS43" s="1225">
        <f>(AQ46+AQ61)/(AQ13-AQ20-AQ21-AQ22)</f>
        <v/>
      </c>
      <c r="AT43" s="1102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>
        <f>AQ44/AQ$13</f>
        <v/>
      </c>
      <c r="AT44" s="1100" t="n"/>
    </row>
    <row r="45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49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  <c r="AQ45" s="17">
        <f>+AQ46+AQ57</f>
        <v/>
      </c>
      <c r="AR45" s="17" t="n"/>
      <c r="AS45" s="1105">
        <f>AQ45/AQ13</f>
        <v/>
      </c>
      <c r="AT45" s="1100" t="n"/>
    </row>
    <row r="46" ht="15" customHeight="1" s="986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46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>
        <f>AA46/AA5</f>
        <v/>
      </c>
      <c r="AC46" s="1071" t="n"/>
      <c r="AD46" s="37">
        <f>SUM(AD47:AD56)</f>
        <v/>
      </c>
      <c r="AE46" s="67">
        <f>AD46/AD5</f>
        <v/>
      </c>
      <c r="AF46" s="1071" t="n"/>
      <c r="AG46" s="37">
        <f>SUM(AG47:AG56)</f>
        <v/>
      </c>
      <c r="AH46" s="67">
        <f>AG46/AG5</f>
        <v/>
      </c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  <c r="AQ46" s="38">
        <f>SUM(AQ47:AQ56)</f>
        <v/>
      </c>
      <c r="AR46" s="38" t="n"/>
      <c r="AS46" s="1106" t="n"/>
      <c r="AT46" s="1230" t="n"/>
    </row>
    <row r="47" ht="15" customHeight="1" s="986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057" t="n"/>
      <c r="F47" s="76" t="n"/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AM47/$AM$5</f>
        <v/>
      </c>
      <c r="AO47" s="1058">
        <f>AM47/AM13</f>
        <v/>
      </c>
      <c r="AQ47" s="23" t="n"/>
      <c r="AR47" s="42">
        <f>AQ47/$AM$5</f>
        <v/>
      </c>
      <c r="AS47" s="1058">
        <f>AQ47/AQ13</f>
        <v/>
      </c>
      <c r="AT47" s="1230" t="n"/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AM48/AM12</f>
        <v/>
      </c>
      <c r="AO48" s="1046" t="n"/>
      <c r="AQ48" s="24" t="n"/>
      <c r="AR48" s="43">
        <f>AQ48/AQ12</f>
        <v/>
      </c>
      <c r="AS48" s="1046" t="n"/>
      <c r="AT48" s="1230" t="n"/>
    </row>
    <row r="49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  <c r="AT49" s="1230" t="n"/>
    </row>
    <row r="50" hidden="1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  <c r="AT50" s="1230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  <c r="AT51" s="1230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  <c r="AT52" s="1230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  <c r="AT53" s="1230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  <c r="AQ54" s="24" t="n"/>
      <c r="AR54" s="24" t="n"/>
      <c r="AS54" s="1108" t="n"/>
      <c r="AT54" s="1230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  <c r="AQ55" s="24" t="n"/>
      <c r="AR55" s="24" t="n"/>
      <c r="AS55" s="1108" t="n"/>
      <c r="AT55" s="1230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  <c r="AQ56" s="23" t="n"/>
      <c r="AR56" s="23" t="n"/>
      <c r="AS56" s="1107" t="n"/>
      <c r="AT56" s="1230" t="n"/>
    </row>
    <row r="57" hidden="1" ht="15" customHeight="1" s="986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  <c r="AQ57" s="29" t="n"/>
      <c r="AR57" s="29" t="n"/>
      <c r="AS57" s="1110" t="n"/>
      <c r="AT57" s="1231" t="n"/>
    </row>
    <row r="58" hidden="1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  <c r="AT58" s="1230" t="n"/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349" t="n"/>
      <c r="AR59" s="349" t="n"/>
      <c r="AS59" s="1115" t="n"/>
      <c r="AT59" s="1230" t="n"/>
    </row>
    <row r="60" hidden="1" ht="15" customHeight="1" s="986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+F61+F72+F75+F76+F77</f>
        <v/>
      </c>
      <c r="G60" s="3" t="n"/>
      <c r="H60" s="1053">
        <f>F60/F13</f>
        <v/>
      </c>
      <c r="I60" s="49">
        <f>+I61+I72+I75+I76+I77</f>
        <v/>
      </c>
      <c r="J60" s="3" t="n"/>
      <c r="K60" s="1053">
        <f>I60/I13</f>
        <v/>
      </c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49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  <c r="AQ60" s="17">
        <f>+AQ61+AQ72+AQ75+AQ76+AQ77</f>
        <v/>
      </c>
      <c r="AR60" s="17" t="n"/>
      <c r="AS60" s="1105" t="n"/>
      <c r="AT60" s="1100" t="n"/>
    </row>
    <row r="61" hidden="1" ht="15" customHeight="1" s="986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 t="n"/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  <c r="AQ61" s="38">
        <f>SUM(AQ62:AQ71)</f>
        <v/>
      </c>
      <c r="AR61" s="38" t="n"/>
      <c r="AS61" s="1106" t="n"/>
      <c r="AT61" s="1230" t="n"/>
    </row>
    <row r="62" hidden="1" ht="15" customHeight="1" s="986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  <c r="AQ62" s="81" t="n"/>
      <c r="AR62" s="81">
        <f>AQ62/AQ6</f>
        <v/>
      </c>
      <c r="AS62" s="1116">
        <f>AQ62/AQ17</f>
        <v/>
      </c>
      <c r="AT62" s="1230" t="n"/>
    </row>
    <row r="63" hidden="1" ht="15" customHeight="1" s="986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  <c r="AQ63" s="24" t="n"/>
      <c r="AR63" s="24">
        <f>AQ63/AQ7</f>
        <v/>
      </c>
      <c r="AS63" s="1108">
        <f>AQ63/AQ18</f>
        <v/>
      </c>
      <c r="AT63" s="1230" t="n"/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  <c r="AQ64" s="24" t="n"/>
      <c r="AR64" s="24">
        <f>AQ64/AQ8</f>
        <v/>
      </c>
      <c r="AS64" s="1108">
        <f>AQ64/AQ19</f>
        <v/>
      </c>
      <c r="AT64" s="1230" t="n"/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  <c r="AQ65" s="24" t="n"/>
      <c r="AR65" s="24" t="n"/>
      <c r="AS65" s="1108" t="n"/>
      <c r="AT65" s="1230" t="n"/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  <c r="AQ66" s="24" t="n"/>
      <c r="AR66" s="24" t="n"/>
      <c r="AS66" s="1108" t="n"/>
      <c r="AT66" s="1230" t="n"/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  <c r="AQ67" s="24" t="n"/>
      <c r="AR67" s="24" t="n"/>
      <c r="AS67" s="1108" t="n"/>
      <c r="AT67" s="1230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  <c r="AQ68" s="24" t="n"/>
      <c r="AR68" s="24" t="n"/>
      <c r="AS68" s="1108" t="n"/>
      <c r="AT68" s="1230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  <c r="AQ69" s="24" t="n"/>
      <c r="AR69" s="24" t="n"/>
      <c r="AS69" s="1108" t="n"/>
      <c r="AT69" s="1230" t="n"/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  <c r="AQ70" s="24" t="n"/>
      <c r="AR70" s="24" t="n"/>
      <c r="AS70" s="1108" t="n"/>
      <c r="AT70" s="1230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  <c r="AQ71" s="349" t="n"/>
      <c r="AR71" s="349" t="n"/>
      <c r="AS71" s="1115" t="n"/>
      <c r="AT71" s="1230" t="n"/>
    </row>
    <row r="72" ht="15" customHeight="1" s="986">
      <c r="B72" s="36" t="inlineStr">
        <is>
          <t>FLETES</t>
        </is>
      </c>
      <c r="C72" s="37" t="n"/>
      <c r="D72" s="67" t="n"/>
      <c r="E72" s="1071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 t="n"/>
      <c r="K72" s="1049">
        <f>I72/I13</f>
        <v/>
      </c>
      <c r="L72" s="46">
        <f>SUM(L73:L74)</f>
        <v/>
      </c>
      <c r="M72" s="47" t="n"/>
      <c r="N72" s="1049">
        <f>L72/L13</f>
        <v/>
      </c>
      <c r="O72" s="46">
        <f>SUM(O73:O74)</f>
        <v/>
      </c>
      <c r="P72" s="47" t="n"/>
      <c r="Q72" s="1049">
        <f>O72/O13</f>
        <v/>
      </c>
      <c r="R72" s="46">
        <f>SUM(R73:R74)</f>
        <v/>
      </c>
      <c r="S72" s="47" t="n"/>
      <c r="T72" s="1049">
        <f>R72/R13</f>
        <v/>
      </c>
      <c r="U72" s="46">
        <f>SUM(U73:U74)</f>
        <v/>
      </c>
      <c r="V72" s="47" t="n"/>
      <c r="W72" s="1049">
        <f>U72/U13</f>
        <v/>
      </c>
      <c r="X72" s="46">
        <f>SUM(X73:X74)</f>
        <v/>
      </c>
      <c r="Y72" s="47" t="n"/>
      <c r="Z72" s="1049">
        <f>X72/X13</f>
        <v/>
      </c>
      <c r="AA72" s="46">
        <f>SUM(AA73:AA74)</f>
        <v/>
      </c>
      <c r="AB72" s="47" t="n"/>
      <c r="AC72" s="1049">
        <f>AA72/AA13</f>
        <v/>
      </c>
      <c r="AD72" s="46">
        <f>SUM(AD73:AD74)</f>
        <v/>
      </c>
      <c r="AE72" s="47" t="n"/>
      <c r="AF72" s="1049">
        <f>AD72/AD13</f>
        <v/>
      </c>
      <c r="AG72" s="46">
        <f>SUM(AG73:AG74)</f>
        <v/>
      </c>
      <c r="AH72" s="47" t="n"/>
      <c r="AI72" s="1049">
        <f>AG72/AG13</f>
        <v/>
      </c>
      <c r="AJ72" s="46">
        <f>SUM(AJ73:AJ74)</f>
        <v/>
      </c>
      <c r="AK72" s="67" t="n"/>
      <c r="AL72" s="1049">
        <f>AJ72/AJ13</f>
        <v/>
      </c>
      <c r="AM72" s="207">
        <f>C72+F72+I72+L72+O72+R72+U72+X72+AA72+AD72+AG72+AJ72</f>
        <v/>
      </c>
      <c r="AN72" s="47" t="n"/>
      <c r="AO72" s="1049">
        <f>AM72/AM13</f>
        <v/>
      </c>
      <c r="AQ72" s="29">
        <f>SUM(AQ73:AQ74)</f>
        <v/>
      </c>
      <c r="AR72" s="29" t="n"/>
      <c r="AS72" s="1110">
        <f>AQ72/(AQ$13-AQ$20)</f>
        <v/>
      </c>
      <c r="AT72" s="1231" t="n"/>
    </row>
    <row r="73" ht="15" customHeight="1" s="986">
      <c r="B73" s="412" t="inlineStr">
        <is>
          <t>PREPARADOS PROPIOS</t>
        </is>
      </c>
      <c r="C73" s="37" t="n"/>
      <c r="D73" s="67" t="n"/>
      <c r="E73" s="1071" t="n"/>
      <c r="F73" s="304" t="n"/>
      <c r="G73" s="305" t="n"/>
      <c r="H73" s="1111" t="n"/>
      <c r="I73" s="304" t="n"/>
      <c r="J73" s="305" t="n"/>
      <c r="K73" s="1111" t="n"/>
      <c r="L73" s="304">
        <f>'GASTOS VEHICULOS'!F25*'%DIST'!H28</f>
        <v/>
      </c>
      <c r="M73" s="305" t="n"/>
      <c r="N73" s="1111" t="n"/>
      <c r="O73" s="304">
        <f>'GASTOS VEHICULOS'!G25*'%DIST'!J28</f>
        <v/>
      </c>
      <c r="P73" s="305" t="n"/>
      <c r="Q73" s="1111" t="n"/>
      <c r="R73" s="304">
        <f>'GASTOS VEHICULOS'!H25*'%DIST'!L28</f>
        <v/>
      </c>
      <c r="S73" s="305" t="n"/>
      <c r="T73" s="1111" t="n"/>
      <c r="U73" s="304">
        <f>'GASTOS VEHICULOS'!I25*'%DIST'!N28</f>
        <v/>
      </c>
      <c r="V73" s="305" t="n"/>
      <c r="W73" s="1111" t="n"/>
      <c r="X73" s="304">
        <f>'GASTOS VEHICULOS'!J25*'%DIST'!P28</f>
        <v/>
      </c>
      <c r="Y73" s="305" t="n"/>
      <c r="Z73" s="1111" t="n"/>
      <c r="AA73" s="304">
        <f>'GASTOS VEHICULOS'!K25*'%DIST'!R28</f>
        <v/>
      </c>
      <c r="AB73" s="305" t="n"/>
      <c r="AC73" s="1111" t="n"/>
      <c r="AD73" s="304">
        <f>'GASTOS VEHICULOS'!L25*'%DIST'!T28</f>
        <v/>
      </c>
      <c r="AE73" s="305" t="n"/>
      <c r="AF73" s="1111" t="n"/>
      <c r="AG73" s="304">
        <f>'GASTOS VEHICULOS'!M25*'%DIST'!V28</f>
        <v/>
      </c>
      <c r="AH73" s="305" t="n"/>
      <c r="AI73" s="1111" t="n"/>
      <c r="AJ73" s="304" t="n"/>
      <c r="AK73" s="305" t="n"/>
      <c r="AL73" s="86" t="n"/>
      <c r="AM73" s="414">
        <f>C73+F73+I73+L73+O73+R73+U73+X73+AA73+AD73+AG73+AJ73</f>
        <v/>
      </c>
      <c r="AN73" s="305" t="n"/>
      <c r="AO73" s="1117" t="n"/>
      <c r="AQ73" s="298" t="n"/>
      <c r="AR73" s="298" t="n"/>
      <c r="AS73" s="1113" t="n"/>
      <c r="AT73" s="1230" t="n"/>
    </row>
    <row r="74" ht="15" customHeight="1" s="986">
      <c r="B74" s="416" t="inlineStr">
        <is>
          <t>PREPARADOS TERCEROS</t>
        </is>
      </c>
      <c r="C74" s="37" t="n"/>
      <c r="D74" s="67" t="n"/>
      <c r="E74" s="1071" t="n"/>
      <c r="F74" s="83" t="n"/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14" t="n"/>
      <c r="AQ74" s="349" t="n"/>
      <c r="AR74" s="349" t="n"/>
      <c r="AS74" s="1115" t="n"/>
      <c r="AT74" s="1230" t="n"/>
    </row>
    <row r="75" ht="15" customHeight="1" s="986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  <c r="AQ75" s="38" t="n"/>
      <c r="AR75" s="38" t="n"/>
      <c r="AS75" s="1106" t="n"/>
      <c r="AT75" s="1230" t="n"/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  <c r="AQ76" s="38" t="n"/>
      <c r="AR76" s="38" t="n"/>
      <c r="AS76" s="1106" t="n"/>
      <c r="AT76" s="1230" t="n"/>
    </row>
    <row r="77" ht="15" customHeight="1" s="986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  <c r="AQ77" s="27" t="n"/>
      <c r="AR77" s="27" t="n"/>
      <c r="AS77" s="1119" t="n"/>
      <c r="AT77" s="1230" t="n"/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>
        <f>AQ78/(AQ$12-AQ$9)</f>
        <v/>
      </c>
      <c r="AS78" s="1105">
        <f>AQ78/(AQ$13-AQ$20)</f>
        <v/>
      </c>
      <c r="AT78" s="1100" t="n"/>
    </row>
    <row r="79" ht="15" customHeight="1" s="986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Q79" s="621" t="n"/>
      <c r="AR79" s="621" t="n"/>
      <c r="AS79" s="1120" t="n"/>
      <c r="AT79" s="1067" t="n"/>
    </row>
    <row r="80" ht="15" customHeight="1" s="986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24" t="n"/>
      <c r="AR80" s="24" t="n"/>
      <c r="AS80" s="1108" t="n"/>
      <c r="AT80" s="1230" t="n"/>
    </row>
    <row r="81" ht="15" customHeight="1" s="986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  <c r="AT81" s="123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  <c r="AQ82" s="136" t="n"/>
      <c r="AR82" s="136" t="n"/>
      <c r="AS82" s="1122" t="n"/>
      <c r="AT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 t="n"/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>
        <f>AJ83/(AJ$13)</f>
        <v/>
      </c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>
        <f>AQ83/(AQ$12-AQ$9)</f>
        <v/>
      </c>
      <c r="AS83" s="1104">
        <f>AQ83/(AQ$13-AQ$20)</f>
        <v/>
      </c>
      <c r="AT83" s="1100" t="n"/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 t="n"/>
      <c r="O84" s="49">
        <f>SUM(O85:O88)</f>
        <v/>
      </c>
      <c r="P84" s="3" t="n"/>
      <c r="Q84" s="1053" t="n"/>
      <c r="R84" s="49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>
        <f>AJ84/(AJ$13)</f>
        <v/>
      </c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>
        <f>AQ84/(AQ$12-AQ$9)</f>
        <v/>
      </c>
      <c r="AS84" s="1105">
        <f>AQ84/(AQ$13-AQ$20)</f>
        <v/>
      </c>
      <c r="AT84" s="1100" t="n"/>
    </row>
    <row r="85" ht="15" customHeight="1" s="986">
      <c r="B85" s="39" t="inlineStr">
        <is>
          <t>Costos Indirectos de Personal</t>
        </is>
      </c>
      <c r="C85" s="39" t="n"/>
      <c r="D85" s="69" t="n"/>
      <c r="E85" s="1077" t="n"/>
      <c r="F85" s="39" t="n"/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Q85" s="31" t="n"/>
      <c r="AR85" s="31" t="n"/>
      <c r="AS85" s="1123" t="n"/>
      <c r="AT85" s="1230" t="n"/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  <c r="AQ86" s="24" t="n"/>
      <c r="AR86" s="24" t="n"/>
      <c r="AS86" s="1108" t="n"/>
      <c r="AT86" s="1230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  <c r="AQ87" s="24" t="n"/>
      <c r="AR87" s="24" t="n"/>
      <c r="AS87" s="1108" t="n"/>
      <c r="AT87" s="1230" t="n"/>
    </row>
    <row r="88" ht="15" customHeight="1" s="986">
      <c r="B88" s="206" t="inlineStr">
        <is>
          <t>Inacapacidades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  <c r="AQ88" s="349" t="n"/>
      <c r="AR88" s="349" t="n"/>
      <c r="AS88" s="1115" t="n"/>
      <c r="AT88" s="1230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 t="n"/>
      <c r="O89" s="49">
        <f>SUM(O90:O91)</f>
        <v/>
      </c>
      <c r="P89" s="3" t="n"/>
      <c r="Q89" s="1053" t="n"/>
      <c r="R89" s="49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  <c r="AQ89" s="17">
        <f>SUM(AQ90:AQ91)</f>
        <v/>
      </c>
      <c r="AR89" s="17">
        <f>AQ89/(AQ$12-AQ$9)</f>
        <v/>
      </c>
      <c r="AS89" s="1105">
        <f>AQ89/(AQ$13-AQ$20)</f>
        <v/>
      </c>
      <c r="AT89" s="1100" t="n"/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  <c r="AT90" s="1230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  <c r="AT91" s="1230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 t="n"/>
      <c r="O92" s="49">
        <f>SUM(O93:O95)</f>
        <v/>
      </c>
      <c r="P92" s="3" t="n"/>
      <c r="Q92" s="1053" t="n"/>
      <c r="R92" s="49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  <c r="AQ92" s="17">
        <f>SUM(AQ93:AQ95)</f>
        <v/>
      </c>
      <c r="AR92" s="17">
        <f>AQ92/(AQ$12-AQ$9)</f>
        <v/>
      </c>
      <c r="AS92" s="1105">
        <f>AQ92/(AQ$13-AQ$20)</f>
        <v/>
      </c>
      <c r="AT92" s="1100" t="n"/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  <c r="AQ93" s="31" t="n"/>
      <c r="AR93" s="31" t="n"/>
      <c r="AS93" s="1123" t="n"/>
      <c r="AT93" s="1230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  <c r="AT94" s="1230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  <c r="AT95" s="1230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053" t="n"/>
      <c r="R96" s="49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>
        <f>AQ96/(AQ$12-AQ$9)</f>
        <v/>
      </c>
      <c r="AS96" s="1105">
        <f>AQ96/(AQ$13-AQ$20)</f>
        <v/>
      </c>
      <c r="AT96" s="1100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31" t="n"/>
      <c r="AR97" s="31" t="n"/>
      <c r="AS97" s="1123" t="n"/>
      <c r="AT97" s="1230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79" t="n"/>
      <c r="AR98" s="279" t="n"/>
      <c r="AS98" s="1125" t="n"/>
      <c r="AT98" s="1230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 t="n"/>
      <c r="O99" s="49">
        <f>SUM(O100:O108)</f>
        <v/>
      </c>
      <c r="P99" s="3" t="n"/>
      <c r="Q99" s="1053" t="n"/>
      <c r="R99" s="49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  <c r="AQ99" s="17">
        <f>SUM(AQ100:AQ108)</f>
        <v/>
      </c>
      <c r="AR99" s="17">
        <f>AQ99/(AQ$12-AQ$9)</f>
        <v/>
      </c>
      <c r="AS99" s="1105">
        <f>AQ99/(AQ$13-AQ$20)</f>
        <v/>
      </c>
      <c r="AT99" s="1100" t="n"/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  <c r="AT100" s="1230" t="n"/>
    </row>
    <row r="101" outlineLevel="1" ht="15" customHeight="1" s="986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  <c r="AT101" s="1230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  <c r="AT102" s="1230" t="n"/>
    </row>
    <row r="103" outlineLevel="1" ht="15" customHeight="1" s="986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  <c r="AT103" s="1230" t="n"/>
    </row>
    <row r="104" outlineLevel="1" ht="15" customHeight="1" s="986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  <c r="AT104" s="1230" t="n"/>
    </row>
    <row r="105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  <c r="AT105" s="1230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  <c r="AT106" s="1230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274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  <c r="AQ107" s="24" t="n"/>
      <c r="AR107" s="24" t="n"/>
      <c r="AS107" s="1108" t="n"/>
      <c r="AT107" s="1230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  <c r="AQ108" s="23" t="n"/>
      <c r="AR108" s="23" t="n"/>
      <c r="AS108" s="1107" t="n"/>
      <c r="AT108" s="1230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 t="n"/>
      <c r="O109" s="49">
        <f>SUM(O110:O113)</f>
        <v/>
      </c>
      <c r="P109" s="3" t="n"/>
      <c r="Q109" s="1053" t="n"/>
      <c r="R109" s="49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>
        <f>AQ109/(AQ$12-AQ$9)</f>
        <v/>
      </c>
      <c r="AS109" s="1105">
        <f>AQ109/(AQ$13-AQ$20)</f>
        <v/>
      </c>
      <c r="AT109" s="1100" t="n"/>
    </row>
    <row r="110" outlineLevel="1" ht="15" customHeight="1" s="986"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  <c r="AT110" s="1230" t="n"/>
    </row>
    <row r="111" outlineLevel="1" ht="15" customHeight="1" s="986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  <c r="AT111" s="1230" t="n"/>
    </row>
    <row r="112" outlineLevel="1" ht="15" customHeight="1" s="986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  <c r="AT112" s="1230" t="n"/>
    </row>
    <row r="113" outlineLevel="1" ht="15" customHeight="1" s="986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  <c r="AT113" s="1230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 t="n"/>
      <c r="O114" s="49">
        <f>SUM(O115:O116)</f>
        <v/>
      </c>
      <c r="P114" s="3" t="n"/>
      <c r="Q114" s="1053" t="n"/>
      <c r="R114" s="49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>
        <f>AA114/(AA$13)</f>
        <v/>
      </c>
      <c r="AD114" s="49" t="n"/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>
        <f>AQ114/(AQ$12-AQ$9)</f>
        <v/>
      </c>
      <c r="AS114" s="1105">
        <f>AQ114/(AQ$13-AQ$20)</f>
        <v/>
      </c>
      <c r="AT114" s="1100" t="n"/>
    </row>
    <row r="115" outlineLevel="1" ht="15" customHeight="1" s="986"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  <c r="AT115" s="1230" t="n"/>
    </row>
    <row r="116" outlineLevel="1" ht="15" customHeight="1" s="986"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  <c r="AT116" s="1230" t="n"/>
    </row>
    <row r="117" outlineLevel="1" ht="15" customHeight="1" s="986"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  <c r="AT117" s="1230" t="n"/>
    </row>
    <row r="118" outlineLevel="1" ht="15" customHeight="1" s="986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  <c r="AT118" s="1230" t="n"/>
    </row>
    <row r="119" outlineLevel="1" ht="15" customHeight="1" s="986">
      <c r="B119" s="97" t="inlineStr">
        <is>
          <t xml:space="preserve">Acueductos, planta y redes              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  <c r="AT119" s="1230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 t="n"/>
      <c r="O120" s="49">
        <f>SUM(O121)</f>
        <v/>
      </c>
      <c r="P120" s="3" t="n"/>
      <c r="Q120" s="1053" t="n"/>
      <c r="R120" s="49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>
        <f>AQ120/(AQ$12-AQ$9)</f>
        <v/>
      </c>
      <c r="AS120" s="1105">
        <f>AQ120/(AQ$13-AQ$20)</f>
        <v/>
      </c>
      <c r="AT120" s="1100" t="n"/>
    </row>
    <row r="121" ht="15" customHeight="1" s="986"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  <c r="AT121" s="1230" t="n"/>
    </row>
    <row r="122" ht="15" customHeight="1" s="986"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  <c r="AQ122" s="133" t="n"/>
      <c r="AR122" s="133" t="n"/>
      <c r="AS122" s="1126" t="n"/>
      <c r="AT122" s="1230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 t="n"/>
      <c r="O123" s="49">
        <f>SUM(O124:O126)</f>
        <v/>
      </c>
      <c r="P123" s="3" t="n"/>
      <c r="Q123" s="1053" t="n"/>
      <c r="R123" s="49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>
        <f>AQ123/(AQ$12-AQ$9)</f>
        <v/>
      </c>
      <c r="AS123" s="1105">
        <f>AQ123/(AQ$13-AQ$20)</f>
        <v/>
      </c>
      <c r="AT123" s="1100" t="n"/>
    </row>
    <row r="124" outlineLevel="1" ht="15" customHeight="1" s="986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  <c r="AT124" s="1230" t="n"/>
    </row>
    <row r="125" outlineLevel="1" ht="15" customHeight="1" s="986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  <c r="AT125" s="1230" t="n"/>
    </row>
    <row r="126" outlineLevel="1" ht="15" customHeight="1" s="986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  <c r="AT126" s="1230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 t="n"/>
      <c r="O127" s="49">
        <f>SUM(O128:O142)</f>
        <v/>
      </c>
      <c r="P127" s="3" t="n"/>
      <c r="Q127" s="1053" t="n"/>
      <c r="R127" s="49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>
        <f>AQ127/(AQ$12-AQ$9)</f>
        <v/>
      </c>
      <c r="AS127" s="1105">
        <f>AQ127/(AQ$13-AQ$20)</f>
        <v/>
      </c>
      <c r="AT127" s="1100" t="n"/>
    </row>
    <row r="128" outlineLevel="1" ht="15" customHeight="1" s="986">
      <c r="B128" s="39" t="inlineStr">
        <is>
          <t xml:space="preserve">Bioseguridad 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  <c r="AT128" s="1230" t="n"/>
    </row>
    <row r="129" outlineLevel="1" ht="15" customHeight="1" s="986"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  <c r="AQ129" s="24" t="n"/>
      <c r="AR129" s="24" t="n"/>
      <c r="AS129" s="1108" t="n"/>
      <c r="AT129" s="1230" t="n"/>
    </row>
    <row r="130" outlineLevel="1" ht="15" customHeight="1" s="986"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Q130" s="24" t="n"/>
      <c r="AR130" s="24" t="n"/>
      <c r="AS130" s="1108" t="n"/>
      <c r="AT130" s="1230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  <c r="AT131" s="1230" t="n"/>
    </row>
    <row r="132" outlineLevel="1" ht="15" customHeight="1" s="986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  <c r="AT132" s="1230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  <c r="AT133" s="1230" t="n"/>
    </row>
    <row r="134" outlineLevel="1" ht="15" customHeight="1" s="986"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  <c r="AT134" s="1230" t="n"/>
    </row>
    <row r="135" outlineLevel="1" ht="15" customHeight="1" s="986"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  <c r="AT135" s="1230" t="n"/>
    </row>
    <row r="136" outlineLevel="1" ht="15" customHeight="1" s="986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  <c r="AQ136" s="24" t="n"/>
      <c r="AR136" s="24" t="n"/>
      <c r="AS136" s="1108" t="n"/>
      <c r="AT136" s="1230" t="n"/>
    </row>
    <row r="137" outlineLevel="1" ht="15" customHeight="1" s="986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  <c r="AT137" s="1230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  <c r="AQ138" s="24" t="n"/>
      <c r="AR138" s="24" t="n"/>
      <c r="AS138" s="1108" t="n"/>
      <c r="AT138" s="1230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  <c r="AT139" s="1230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  <c r="AQ140" s="24" t="n"/>
      <c r="AR140" s="24" t="n"/>
      <c r="AS140" s="1108" t="n"/>
      <c r="AT140" s="1230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  <c r="AQ141" s="24" t="n"/>
      <c r="AR141" s="24" t="n"/>
      <c r="AS141" s="1108" t="n"/>
      <c r="AT141" s="1230" t="n"/>
    </row>
    <row r="142" outlineLevel="1" ht="15" customHeight="1" s="986" thickBot="1"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  <c r="AT142" s="1230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  <c r="AQ143" s="136" t="n"/>
      <c r="AR143" s="136" t="n"/>
      <c r="AS143" s="1122" t="n"/>
      <c r="AT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  <c r="AT144" s="1100" t="n"/>
    </row>
    <row r="145" ht="15" customHeight="1" s="986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  <c r="AT145" s="1100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  <c r="AQ146" s="633" t="n"/>
      <c r="AR146" s="633" t="n"/>
      <c r="AS146" s="1132" t="n"/>
      <c r="AT146" s="1102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>
        <f>AQ147/(AQ$13-AQ$20)</f>
        <v/>
      </c>
      <c r="AT147" s="1100" t="n"/>
    </row>
    <row r="148" ht="15" customHeight="1" s="986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P148" s="1068" t="n"/>
      <c r="AQ148" s="31" t="n"/>
      <c r="AR148" s="31" t="n"/>
      <c r="AS148" s="1123" t="n"/>
      <c r="AT148" s="1230" t="n"/>
    </row>
    <row r="149" ht="15" customHeight="1" s="986">
      <c r="B149" s="285" t="inlineStr">
        <is>
          <t>Gastos financieros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  <c r="AT149" s="1230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P150" s="1068" t="n"/>
      <c r="AQ150" s="24" t="n"/>
      <c r="AR150" s="24" t="n"/>
      <c r="AS150" s="1108" t="n"/>
      <c r="AT150" s="1230" t="n"/>
    </row>
    <row r="151" ht="15" customHeight="1" s="986" thickBot="1">
      <c r="B151" s="300" t="inlineStr">
        <is>
          <t>Gastos No Operacionales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  <c r="AT151" s="1230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  <c r="AQ152" s="136" t="n"/>
      <c r="AR152" s="136" t="n"/>
      <c r="AS152" s="1122" t="n"/>
      <c r="AT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>
        <f>AQ153/(AQ$13-AQ$20)</f>
        <v/>
      </c>
      <c r="AT153" s="1100" t="n"/>
    </row>
    <row r="154" ht="15" customHeight="1" s="986" thickTop="1">
      <c r="B154" s="1135" t="inlineStr">
        <is>
          <t>Novedades</t>
        </is>
      </c>
      <c r="C154" s="286" t="n"/>
      <c r="D154" s="230" t="n"/>
      <c r="E154" s="1136" t="n"/>
      <c r="F154" s="286" t="n"/>
      <c r="G154" s="230" t="n"/>
      <c r="H154" s="1136" t="n"/>
      <c r="I154" s="286" t="n"/>
      <c r="J154" s="230" t="n"/>
      <c r="K154" s="1136" t="n"/>
      <c r="L154" s="286" t="n"/>
      <c r="M154" s="230" t="n"/>
      <c r="N154" s="1136" t="n"/>
      <c r="O154" s="1172" t="n"/>
      <c r="P154" s="230" t="n"/>
      <c r="Q154" s="1136" t="n"/>
      <c r="R154" s="636" t="n"/>
      <c r="S154" s="230" t="n"/>
      <c r="T154" s="1136" t="n"/>
      <c r="U154" s="286" t="n"/>
      <c r="V154" s="230" t="n"/>
      <c r="W154" s="1136" t="n"/>
      <c r="X154" s="286" t="n"/>
      <c r="Y154" s="230" t="n"/>
      <c r="Z154" s="1136" t="n"/>
      <c r="AA154" s="1172" t="n"/>
      <c r="AB154" s="230" t="n"/>
      <c r="AC154" s="1136" t="n"/>
      <c r="AD154" s="1172" t="n"/>
      <c r="AE154" s="230" t="n"/>
      <c r="AF154" s="1136" t="n"/>
      <c r="AG154" s="1172" t="n"/>
      <c r="AH154" s="230" t="n"/>
      <c r="AI154" s="1136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  <c r="AQ154" s="724" t="n"/>
      <c r="AR154" s="289" t="n"/>
      <c r="AS154" s="1138" t="n"/>
      <c r="AT154" s="1033" t="n"/>
    </row>
    <row r="155" ht="15" customHeight="1" s="986">
      <c r="B155" s="1139" t="inlineStr">
        <is>
          <t>Donacion</t>
        </is>
      </c>
      <c r="C155" s="693" t="n"/>
      <c r="D155" s="9" t="n"/>
      <c r="E155" s="1140" t="n"/>
      <c r="F155" s="693" t="n"/>
      <c r="G155" s="9" t="n"/>
      <c r="H155" s="1140" t="n"/>
      <c r="I155" s="694" t="n"/>
      <c r="J155" s="9" t="n"/>
      <c r="K155" s="1140" t="n"/>
      <c r="L155" s="694" t="n"/>
      <c r="M155" s="9" t="n"/>
      <c r="N155" s="1140" t="n"/>
      <c r="O155" s="1179" t="n"/>
      <c r="P155" s="9" t="n"/>
      <c r="Q155" s="1140" t="n"/>
      <c r="R155" s="851" t="n"/>
      <c r="S155" s="9" t="n"/>
      <c r="T155" s="1140" t="n"/>
      <c r="U155" s="694" t="n"/>
      <c r="V155" s="9" t="n"/>
      <c r="W155" s="1140" t="n"/>
      <c r="X155" s="694" t="n"/>
      <c r="Y155" s="9" t="n"/>
      <c r="Z155" s="1140" t="n"/>
      <c r="AA155" s="1179" t="n"/>
      <c r="AB155" s="9" t="n"/>
      <c r="AC155" s="1140" t="n"/>
      <c r="AD155" s="1179" t="n"/>
      <c r="AE155" s="9" t="n"/>
      <c r="AF155" s="1140" t="n"/>
      <c r="AG155" s="1179" t="n"/>
      <c r="AH155" s="9" t="n"/>
      <c r="AI155" s="1140" t="n"/>
      <c r="AJ155" s="1179" t="n"/>
      <c r="AK155" s="9" t="n"/>
      <c r="AL155" s="240" t="n"/>
      <c r="AM155" s="567">
        <f>C155+F155+I155+L155+O155+R155+U155+X155+AA155+AD155+AG155+AJ155</f>
        <v/>
      </c>
      <c r="AN155" s="9" t="n"/>
      <c r="AO155" s="1141" t="n"/>
      <c r="AQ155" s="707" t="n"/>
      <c r="AR155" s="248" t="n"/>
      <c r="AS155" s="1142" t="n"/>
      <c r="AT155" s="1033" t="n"/>
    </row>
    <row r="156" ht="15" customHeight="1" s="986">
      <c r="B156" s="1143" t="inlineStr">
        <is>
          <t>Donacion</t>
        </is>
      </c>
      <c r="C156" s="687" t="n"/>
      <c r="D156" s="677" t="n"/>
      <c r="E156" s="1144" t="n"/>
      <c r="F156" s="687" t="n"/>
      <c r="G156" s="677" t="n"/>
      <c r="H156" s="1144" t="n"/>
      <c r="I156" s="688" t="n"/>
      <c r="J156" s="677" t="n"/>
      <c r="K156" s="1144" t="n"/>
      <c r="L156" s="688" t="n"/>
      <c r="M156" s="677" t="n"/>
      <c r="N156" s="1144" t="n"/>
      <c r="O156" s="1199" t="n"/>
      <c r="P156" s="677" t="n"/>
      <c r="Q156" s="1144" t="n"/>
      <c r="R156" s="294" t="n">
        <v>0</v>
      </c>
      <c r="S156" s="677" t="n"/>
      <c r="T156" s="1144" t="n"/>
      <c r="U156" s="688" t="n"/>
      <c r="V156" s="677" t="n"/>
      <c r="W156" s="1144" t="n"/>
      <c r="X156" s="688" t="n"/>
      <c r="Y156" s="677" t="n"/>
      <c r="Z156" s="1144" t="n"/>
      <c r="AA156" s="1199" t="n"/>
      <c r="AB156" s="677" t="n"/>
      <c r="AC156" s="1144" t="n"/>
      <c r="AD156" s="1199" t="n"/>
      <c r="AE156" s="677" t="n"/>
      <c r="AF156" s="1144" t="n"/>
      <c r="AG156" s="1199" t="n"/>
      <c r="AH156" s="677" t="n"/>
      <c r="AI156" s="1144" t="n"/>
      <c r="AJ156" s="1199" t="n"/>
      <c r="AK156" s="677" t="n"/>
      <c r="AL156" s="681" t="n"/>
      <c r="AM156" s="682">
        <f>C156+F156+I156+L156+O156+R156+U156+X156+AA156+AD156+AG156+AJ156</f>
        <v/>
      </c>
      <c r="AN156" s="677" t="n"/>
      <c r="AO156" s="1145" t="n"/>
      <c r="AQ156" s="767" t="n"/>
      <c r="AR156" s="248" t="n"/>
      <c r="AS156" s="1142" t="n"/>
      <c r="AT156" s="1033" t="n"/>
    </row>
    <row r="157" ht="15" customHeight="1" s="986">
      <c r="B157" s="1146" t="inlineStr">
        <is>
          <t>Otros Ajustes</t>
        </is>
      </c>
      <c r="C157" s="563" t="n"/>
      <c r="D157" s="553" t="n"/>
      <c r="E157" s="1147" t="n"/>
      <c r="F157" s="567" t="n"/>
      <c r="G157" s="553" t="n"/>
      <c r="H157" s="1147" t="n"/>
      <c r="I157" s="567" t="n"/>
      <c r="J157" s="553" t="n"/>
      <c r="K157" s="1147" t="n"/>
      <c r="L157" s="567" t="n"/>
      <c r="M157" s="553" t="n"/>
      <c r="N157" s="1147" t="n"/>
      <c r="O157" s="567" t="n"/>
      <c r="P157" s="553" t="n"/>
      <c r="Q157" s="1147" t="n"/>
      <c r="R157" s="567" t="n"/>
      <c r="S157" s="553" t="n"/>
      <c r="T157" s="1147" t="n"/>
      <c r="U157" s="567" t="n"/>
      <c r="V157" s="553" t="n"/>
      <c r="W157" s="1147" t="n"/>
      <c r="X157" s="567" t="n"/>
      <c r="Y157" s="553" t="n"/>
      <c r="Z157" s="1147" t="n"/>
      <c r="AA157" s="567" t="n"/>
      <c r="AB157" s="553" t="n"/>
      <c r="AC157" s="1147" t="n"/>
      <c r="AD157" s="567" t="n"/>
      <c r="AE157" s="553" t="n"/>
      <c r="AF157" s="1147" t="n"/>
      <c r="AG157" s="567" t="n"/>
      <c r="AH157" s="553" t="n"/>
      <c r="AI157" s="1147" t="n"/>
      <c r="AJ157" s="567" t="n"/>
      <c r="AK157" s="553" t="n"/>
      <c r="AL157" s="557" t="n"/>
      <c r="AM157" s="294">
        <f>C157+F157+I157+L157+O157+R157+U157+X157+AA157+AD157+AG157+AJ157</f>
        <v/>
      </c>
      <c r="AN157" s="553" t="n"/>
      <c r="AO157" s="1178">
        <f>AM157/AM42</f>
        <v/>
      </c>
      <c r="AQ157" s="707" t="n"/>
      <c r="AR157" s="561" t="n"/>
      <c r="AS157" s="1149" t="n"/>
      <c r="AT157" s="1033" t="n"/>
    </row>
    <row r="158" ht="15" customHeight="1" s="986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AM158/$AM$42</f>
        <v/>
      </c>
      <c r="AQ158" s="75" t="n"/>
      <c r="AR158" s="296" t="n"/>
      <c r="AS158" s="1153" t="n"/>
      <c r="AT158" s="1033" t="n"/>
    </row>
    <row r="159" ht="15" customHeight="1" s="986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AM159/$AM$42</f>
        <v/>
      </c>
      <c r="AQ159" s="296" t="n"/>
      <c r="AR159" s="296" t="n"/>
      <c r="AS159" s="1153" t="n"/>
      <c r="AT159" s="1033" t="n"/>
    </row>
    <row r="160" ht="15" customHeight="1" s="986" thickBot="1">
      <c r="B160" s="1154" t="inlineStr">
        <is>
          <t>Paquetes de donacion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1148" t="n"/>
      <c r="M160" s="13" t="n"/>
      <c r="N160" s="1151" t="n"/>
      <c r="O160" s="1148" t="n"/>
      <c r="P160" s="13" t="n"/>
      <c r="Q160" s="1151" t="n"/>
      <c r="R160" s="1148" t="n"/>
      <c r="S160" s="233" t="n"/>
      <c r="T160" s="1155" t="n"/>
      <c r="U160" s="1148" t="n"/>
      <c r="V160" s="233" t="n"/>
      <c r="W160" s="1155" t="n"/>
      <c r="X160" s="1148" t="n"/>
      <c r="Y160" s="233" t="n"/>
      <c r="Z160" s="1155" t="n"/>
      <c r="AA160" s="1148" t="n"/>
      <c r="AB160" s="233" t="n"/>
      <c r="AC160" s="1155" t="n"/>
      <c r="AD160" s="1148" t="n"/>
      <c r="AE160" s="233" t="n"/>
      <c r="AF160" s="1155" t="n"/>
      <c r="AG160" s="1148" t="n"/>
      <c r="AH160" s="233" t="n"/>
      <c r="AI160" s="1155" t="n"/>
      <c r="AJ160" s="1148" t="n"/>
      <c r="AK160" s="233" t="n"/>
      <c r="AL160" s="247" t="n"/>
      <c r="AM160" s="292">
        <f>C160+F160+I160+L160+O160+R160+U160+X160+AA160+AD160+AG160+AJ160</f>
        <v/>
      </c>
      <c r="AN160" s="812" t="n"/>
      <c r="AO160" s="1152">
        <f>AM160/AM13</f>
        <v/>
      </c>
      <c r="AQ160" s="622" t="n"/>
      <c r="AR160" s="622" t="n"/>
      <c r="AS160" s="1157" t="n"/>
      <c r="AT160" s="1033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  <c r="AT161" s="1100" t="n"/>
    </row>
    <row r="162" ht="14.4" customHeight="1" s="986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  <c r="AT162" s="1100" t="n"/>
    </row>
    <row r="163" ht="10.8" customHeight="1" s="986" thickTop="1"/>
    <row r="164" hidden="1" customFormat="1" s="153">
      <c r="A164" s="226" t="n"/>
      <c r="C164" s="1000" t="n"/>
      <c r="D164" s="1000" t="n"/>
      <c r="E164" s="1188" t="n"/>
      <c r="F164" s="549" t="n"/>
      <c r="G164" s="1000" t="n"/>
      <c r="H164" s="1188" t="n"/>
      <c r="I164" s="549" t="n"/>
      <c r="J164" s="1000" t="n"/>
      <c r="K164" s="1188" t="n"/>
      <c r="L164" s="618">
        <f>L44+L83-L73-L85</f>
        <v/>
      </c>
      <c r="M164" s="1000" t="n"/>
      <c r="N164" s="1188" t="n"/>
      <c r="O164" s="473">
        <f>O44+O83-O73-O85</f>
        <v/>
      </c>
      <c r="P164" s="1000" t="n"/>
      <c r="Q164" s="1188" t="n"/>
      <c r="R164" s="476">
        <f>R44+R83-R73-R85-R58</f>
        <v/>
      </c>
      <c r="S164" s="1000" t="n"/>
      <c r="T164" s="1188" t="n"/>
      <c r="U164" s="476">
        <f>U44+U83-U73-U85-U58</f>
        <v/>
      </c>
      <c r="V164" s="1000" t="n"/>
      <c r="W164" s="1188" t="n"/>
      <c r="X164" s="476">
        <f>X44+X83-X73-X85-X58</f>
        <v/>
      </c>
      <c r="Y164" s="1000" t="n"/>
      <c r="Z164" s="1188" t="n"/>
      <c r="AA164" s="476">
        <f>AA44+AA83-AA73-AA85-AA58</f>
        <v/>
      </c>
      <c r="AB164" s="1000" t="n"/>
      <c r="AC164" s="1188" t="n"/>
      <c r="AD164" s="476">
        <f>AD44+AD83-AD73-AD85-AD58</f>
        <v/>
      </c>
      <c r="AE164" s="1000" t="n"/>
      <c r="AF164" s="1188" t="n"/>
      <c r="AG164" s="476">
        <f>AG44+AG83-AG73-AG85-AG58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  <c r="AQ164" s="993" t="n"/>
      <c r="AR164" s="993" t="n"/>
      <c r="AS164" s="2" t="n"/>
      <c r="AT164" s="2" t="n"/>
    </row>
    <row r="165" hidden="1" customFormat="1" s="153">
      <c r="A165" s="226" t="n"/>
      <c r="C165" s="1000" t="n"/>
      <c r="D165" s="1000" t="n"/>
      <c r="E165" s="1188" t="n"/>
      <c r="F165" s="549" t="n"/>
      <c r="G165" s="1000" t="n"/>
      <c r="H165" s="1188" t="n"/>
      <c r="I165" s="549" t="n"/>
      <c r="J165" s="1000" t="n"/>
      <c r="K165" s="1188" t="n"/>
      <c r="L165" s="618" t="n">
        <v>248496098.22</v>
      </c>
      <c r="M165" s="1000" t="n"/>
      <c r="N165" s="1188" t="n"/>
      <c r="O165" s="473" t="n">
        <v>232932438</v>
      </c>
      <c r="P165" s="1000" t="n"/>
      <c r="Q165" s="1188" t="n"/>
      <c r="R165" s="476" t="n">
        <v>247608078.26</v>
      </c>
      <c r="S165" s="1000" t="n"/>
      <c r="T165" s="1188" t="n"/>
      <c r="U165" s="476" t="n">
        <v>2469802.02</v>
      </c>
      <c r="V165" s="1000" t="n"/>
      <c r="W165" s="1188" t="n"/>
      <c r="X165" s="476" t="n">
        <v>242923595.62</v>
      </c>
      <c r="Y165" s="1000" t="n"/>
      <c r="Z165" s="1188" t="n"/>
      <c r="AA165" s="476" t="n">
        <v>245927632.57</v>
      </c>
      <c r="AB165" s="1000" t="n"/>
      <c r="AC165" s="1188" t="n"/>
      <c r="AD165" s="476" t="n">
        <v>247341748.46</v>
      </c>
      <c r="AE165" s="1000" t="n"/>
      <c r="AF165" s="1188" t="n"/>
      <c r="AG165" s="476" t="n">
        <v>255609489.48</v>
      </c>
      <c r="AH165" s="1000" t="n"/>
      <c r="AI165" s="1188" t="n"/>
      <c r="AJ165" s="476" t="n">
        <v>251921253.38</v>
      </c>
      <c r="AK165" s="1000" t="n"/>
      <c r="AL165" s="1000" t="n"/>
      <c r="AM165" s="1000" t="n"/>
      <c r="AN165" s="1000" t="n"/>
      <c r="AO165" s="1188" t="n"/>
      <c r="AQ165" s="993" t="n"/>
      <c r="AR165" s="993" t="n"/>
      <c r="AS165" s="2" t="n"/>
      <c r="AT165" s="2" t="n"/>
    </row>
    <row r="166" hidden="1" customFormat="1" s="153">
      <c r="A166" s="226" t="n"/>
      <c r="C166" s="1000" t="n"/>
      <c r="D166" s="1000" t="n"/>
      <c r="E166" s="1188" t="n"/>
      <c r="F166" s="549" t="n"/>
      <c r="G166" s="999" t="n"/>
      <c r="H166" s="1189" t="n"/>
      <c r="I166" s="570" t="n"/>
      <c r="J166" s="1000" t="n"/>
      <c r="K166" s="1189" t="n"/>
      <c r="L166" s="618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6">
        <f>R164-R165</f>
        <v/>
      </c>
      <c r="S166" s="1000" t="n"/>
      <c r="T166" s="1188" t="n"/>
      <c r="U166" s="476">
        <f>U164-U165</f>
        <v/>
      </c>
      <c r="V166" s="1000" t="n"/>
      <c r="W166" s="1188" t="n"/>
      <c r="X166" s="476">
        <f>X164-X165</f>
        <v/>
      </c>
      <c r="Y166" s="1000" t="n"/>
      <c r="Z166" s="1188" t="n"/>
      <c r="AA166" s="476">
        <f>AA164-AA165</f>
        <v/>
      </c>
      <c r="AB166" s="1000" t="n"/>
      <c r="AC166" s="1188" t="n"/>
      <c r="AD166" s="476">
        <f>AD164-AD165</f>
        <v/>
      </c>
      <c r="AE166" s="1000" t="n"/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1000" t="n"/>
      <c r="AL166" s="1000" t="n"/>
      <c r="AM166" s="999" t="n"/>
      <c r="AN166" s="1000" t="n"/>
      <c r="AO166" s="1188" t="n"/>
      <c r="AQ166" s="993" t="n"/>
      <c r="AR166" s="993" t="n"/>
      <c r="AS166" s="2" t="n"/>
      <c r="AT166" s="2" t="n"/>
    </row>
    <row r="167" customFormat="1" s="153">
      <c r="A167" s="226" t="n"/>
      <c r="C167" s="1000" t="n"/>
      <c r="D167" s="1000" t="n"/>
      <c r="E167" s="1188" t="n"/>
      <c r="F167" s="1000" t="n"/>
      <c r="G167" s="1000" t="n"/>
      <c r="H167" s="1188" t="n"/>
      <c r="I167" s="999" t="n"/>
      <c r="J167" s="1000" t="n"/>
      <c r="K167" s="1188" t="n"/>
      <c r="L167" s="1000" t="n"/>
      <c r="M167" s="1000" t="n"/>
      <c r="N167" s="1188" t="n"/>
      <c r="O167" s="1000" t="n"/>
      <c r="P167" s="1000" t="n"/>
      <c r="Q167" s="1188" t="n"/>
      <c r="R167" s="1000" t="n"/>
      <c r="S167" s="1000" t="n"/>
      <c r="T167" s="1188" t="n"/>
      <c r="U167" s="1000" t="n"/>
      <c r="V167" s="1000" t="n"/>
      <c r="W167" s="1188" t="n"/>
      <c r="X167" s="476" t="n"/>
      <c r="Y167" s="1000" t="n"/>
      <c r="Z167" s="1188" t="n"/>
      <c r="AA167" s="1000" t="n"/>
      <c r="AB167" s="1000" t="n"/>
      <c r="AC167" s="1188" t="n"/>
      <c r="AD167" s="1000" t="n"/>
      <c r="AE167" s="1000" t="n"/>
      <c r="AF167" s="1188" t="n"/>
      <c r="AG167" s="402" t="n"/>
      <c r="AH167" s="1000" t="n"/>
      <c r="AI167" s="1188" t="n"/>
      <c r="AJ167" s="993" t="n"/>
      <c r="AK167" s="1000" t="n"/>
      <c r="AL167" s="1000" t="n"/>
      <c r="AM167" s="402" t="n"/>
      <c r="AN167" s="1000" t="n"/>
      <c r="AO167" s="1188" t="n"/>
      <c r="AQ167" s="993" t="n"/>
      <c r="AR167" s="993" t="n"/>
      <c r="AS167" s="2" t="n"/>
      <c r="AT167" s="2" t="n"/>
    </row>
    <row r="170">
      <c r="AD170" s="1215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2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993" min="3" max="3"/>
    <col width="8.6640625" customWidth="1" style="993" min="4" max="5"/>
    <col width="14.44140625" customWidth="1" style="993" min="6" max="6"/>
    <col width="8.6640625" customWidth="1" style="993" min="7" max="8"/>
    <col width="14.44140625" customWidth="1" style="993" min="9" max="9"/>
    <col width="8.6640625" customWidth="1" style="993" min="10" max="11"/>
    <col width="14.44140625" customWidth="1" style="993" min="12" max="12"/>
    <col width="8.6640625" customWidth="1" style="993" min="13" max="13"/>
    <col width="7" customWidth="1" style="993" min="14" max="14"/>
    <col width="14.44140625" customWidth="1" style="993" min="15" max="15"/>
    <col width="8.6640625" customWidth="1" style="993" min="16" max="17"/>
    <col width="14.44140625" customWidth="1" style="993" min="18" max="18"/>
    <col width="8.6640625" customWidth="1" style="993" min="19" max="20"/>
    <col width="14.44140625" customWidth="1" style="993" min="21" max="21"/>
    <col width="8.6640625" customWidth="1" style="993" min="22" max="23"/>
    <col width="15.33203125" customWidth="1" style="993" min="24" max="24"/>
    <col width="8.6640625" customWidth="1" style="993" min="25" max="26"/>
    <col width="16" customWidth="1" style="993" min="27" max="27"/>
    <col width="8.6640625" customWidth="1" style="993" min="28" max="28"/>
    <col width="7.6640625" customWidth="1" style="993" min="29" max="29"/>
    <col width="14.6640625" customWidth="1" style="993" min="30" max="30"/>
    <col width="8.44140625" customWidth="1" style="993" min="31" max="31"/>
    <col width="7.44140625" customWidth="1" style="993" min="32" max="32"/>
    <col width="14.44140625" customWidth="1" style="993" min="33" max="33"/>
    <col width="8.6640625" customWidth="1" style="993" min="34" max="35"/>
    <col width="14.44140625" customWidth="1" style="993" min="36" max="36"/>
    <col width="8.6640625" customWidth="1" style="993" min="37" max="38"/>
    <col width="17.109375" customWidth="1" style="993" min="39" max="39"/>
    <col width="8.44140625" customWidth="1" style="993" min="40" max="40"/>
    <col width="8.6640625" customWidth="1" style="993" min="41" max="41"/>
    <col width="11.44140625" customWidth="1" style="2" min="42" max="52"/>
    <col width="11.44140625" customWidth="1" style="2" min="53" max="16384"/>
  </cols>
  <sheetData>
    <row r="2" ht="20.25" customHeight="1" s="986" thickBot="1">
      <c r="B2" s="236" t="inlineStr">
        <is>
          <t xml:space="preserve">CORPORACIÓN HACIA UN VALLE SOLIDARIO </t>
        </is>
      </c>
      <c r="C2" s="991" t="inlineStr">
        <is>
          <t>PYG  TOTAL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237" t="n"/>
    </row>
    <row r="3" ht="21.75" customHeight="1" s="986" thickBot="1" thickTop="1">
      <c r="B3" s="523" t="inlineStr">
        <is>
          <t xml:space="preserve">DIAS DE ATENCIÓN </t>
        </is>
      </c>
      <c r="C3" s="479" t="n"/>
      <c r="D3" s="505" t="n"/>
      <c r="E3" s="506" t="n"/>
      <c r="F3" s="479" t="n"/>
      <c r="G3" s="505" t="n"/>
      <c r="H3" s="506" t="n"/>
      <c r="I3" s="479" t="n"/>
      <c r="J3" s="505" t="n"/>
      <c r="K3" s="506" t="n"/>
      <c r="L3" s="479" t="n"/>
      <c r="M3" s="505" t="n"/>
      <c r="N3" s="506" t="n"/>
      <c r="O3" s="479" t="n"/>
      <c r="P3" s="505" t="n"/>
      <c r="Q3" s="506" t="n"/>
      <c r="R3" s="479" t="n"/>
      <c r="S3" s="505" t="n"/>
      <c r="T3" s="506" t="n"/>
      <c r="U3" s="479" t="n"/>
      <c r="V3" s="505" t="n"/>
      <c r="W3" s="506" t="n"/>
      <c r="X3" s="479" t="n"/>
      <c r="Y3" s="505" t="n"/>
      <c r="Z3" s="506" t="n"/>
      <c r="AA3" s="479" t="n"/>
      <c r="AB3" s="505" t="n"/>
      <c r="AC3" s="506" t="n"/>
      <c r="AD3" s="479" t="n"/>
      <c r="AE3" s="505" t="n"/>
      <c r="AF3" s="506" t="n"/>
      <c r="AG3" s="479" t="n"/>
      <c r="AH3" s="505" t="n"/>
      <c r="AI3" s="506" t="n"/>
      <c r="AJ3" s="479" t="n"/>
      <c r="AK3" s="505" t="n"/>
      <c r="AL3" s="506" t="n"/>
      <c r="AM3" s="597" t="n"/>
      <c r="AN3" s="598" t="n"/>
      <c r="AO3" s="538" t="n"/>
    </row>
    <row r="4" ht="24.75" customFormat="1" customHeight="1" s="215" thickBot="1" thickTop="1">
      <c r="A4" s="745" t="n"/>
      <c r="B4" s="21" t="n"/>
      <c r="C4" s="482" t="inlineStr">
        <is>
          <t>ENE</t>
        </is>
      </c>
      <c r="D4" s="483" t="inlineStr">
        <is>
          <t>x racion</t>
        </is>
      </c>
      <c r="E4" s="50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50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50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50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50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50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50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50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50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50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50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90" t="inlineStr">
        <is>
          <t>ACUMULADO</t>
        </is>
      </c>
      <c r="AN4" s="591" t="inlineStr">
        <is>
          <t>x racion</t>
        </is>
      </c>
      <c r="AO4" s="507" t="inlineStr">
        <is>
          <t>%</t>
        </is>
      </c>
    </row>
    <row r="5" ht="15" customFormat="1" customHeight="1" s="223" thickTop="1">
      <c r="A5" s="746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>
        <f>CALI!I5+HUNGRIA!I5+YUMBO!I5+'ADULTO MAYOR'!I5+'COMEDORES VALLE'!I5+BUGA!I5+'COMEDORES CALI'!I5+'CTAS EN PPACION'!I5+'COMEDORES PALMIRA'!I5+IMDERTY!I5</f>
        <v/>
      </c>
      <c r="J5" s="42" t="n"/>
      <c r="K5" s="56" t="n"/>
      <c r="L5" s="41">
        <f>CALI!L5+HUNGRIA!L5+YUMBO!L5+'ADULTO MAYOR'!L5+'COMEDORES VALLE'!L5+BUGA!L5+'COMEDORES CALI'!L5+'CTAS EN PPACION'!L5+'COMEDORES PALMIRA'!L5+IMDERTY!L5</f>
        <v/>
      </c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6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>
        <f>CALI!I6+HUNGRIA!I6+YUMBO!I6+'ADULTO MAYOR'!I6+'COMEDORES VALLE'!I6+BUGA!I6+'COMEDORES CALI'!I6+'CTAS EN PPACION'!I6+'COMEDORES PALMIRA'!I6+IMDERTY!I6</f>
        <v/>
      </c>
      <c r="J6" s="43" t="n"/>
      <c r="K6" s="57" t="n"/>
      <c r="L6" s="74">
        <f>CALI!L6+HUNGRIA!L6+YUMBO!L6+'ADULTO MAYOR'!L6+'COMEDORES VALLE'!L6+BUGA!L6+'COMEDORES CALI'!L6+'CTAS EN PPACION'!L6+'COMEDORES PALMIRA'!L6+IMDERTY!L6</f>
        <v/>
      </c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6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>
        <f>CALI!I7+HUNGRIA!I7+YUMBO!I7+'ADULTO MAYOR'!I7+'COMEDORES VALLE'!I7+BUGA!I7+'COMEDORES CALI'!I7+'CTAS EN PPACION'!I7+'COMEDORES PALMIRA'!I7+IMDERTY!I7</f>
        <v/>
      </c>
      <c r="J7" s="43" t="n"/>
      <c r="K7" s="57" t="n"/>
      <c r="L7" s="74">
        <f>CALI!L7+HUNGRIA!L7+YUMBO!L7+'ADULTO MAYOR'!L7+'COMEDORES VALLE'!L7+BUGA!L7+'COMEDORES CALI'!L7+'CTAS EN PPACION'!L7+'COMEDORES PALMIRA'!L7+IMDERTY!L7</f>
        <v/>
      </c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6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>
        <f>CALI!I8+HUNGRIA!I8+YUMBO!I8+'ADULTO MAYOR'!I8+'COMEDORES VALLE'!I8+BUGA!I8+'COMEDORES CALI'!I8+'CTAS EN PPACION'!I8+'COMEDORES PALMIRA'!I8+IMDERTY!I8</f>
        <v/>
      </c>
      <c r="J8" s="42" t="n"/>
      <c r="K8" s="56" t="n"/>
      <c r="L8" s="44">
        <f>CALI!L8+HUNGRIA!L8+YUMBO!L8+'ADULTO MAYOR'!L8+'COMEDORES VALLE'!L8+BUGA!L8+'COMEDORES CALI'!L8+'CTAS EN PPACION'!L8+'COMEDORES PALMIRA'!L8+IMDERTY!L8</f>
        <v/>
      </c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6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>
        <f>CALI!I9+HUNGRIA!I9+YUMBO!I9+'ADULTO MAYOR'!I9+'COMEDORES VALLE'!I9+BUGA!I9+'COMEDORES CALI'!I9+'CTAS EN PPACION'!I9+'COMEDORES PALMIRA'!I9+IMDERTY!I9</f>
        <v/>
      </c>
      <c r="J9" s="43" t="n"/>
      <c r="K9" s="57" t="n"/>
      <c r="L9" s="74">
        <f>CALI!L9+HUNGRIA!L9+YUMBO!L9+'ADULTO MAYOR'!L9+'COMEDORES VALLE'!L9+BUGA!L9+'COMEDORES CALI'!L9+'CTAS EN PPACION'!L9+'COMEDORES PALMIRA'!L9+IMDERTY!L9</f>
        <v/>
      </c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6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>
        <f>CALI!I10+HUNGRIA!I10+YUMBO!I10+'ADULTO MAYOR'!I10+'COMEDORES VALLE'!I10+BUGA!I10+'COMEDORES CALI'!I10+'CTAS EN PPACION'!I10+'COMEDORES PALMIRA'!I10</f>
        <v/>
      </c>
      <c r="J10" s="43" t="n"/>
      <c r="K10" s="57" t="n"/>
      <c r="L10" s="74">
        <f>CALI!L10+HUNGRIA!L10+YUMBO!L10+'ADULTO MAYOR'!L10+'COMEDORES VALLE'!L10+BUGA!L10+'COMEDORES CALI'!L10+'CTAS EN PPACION'!L10+'COMEDORES PALMIRA'!L10</f>
        <v/>
      </c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6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>
        <f>CALI!I11+HUNGRIA!I11+YUMBO!I11+'ADULTO MAYOR'!I11+'COMEDORES VALLE'!I11+BUGA!I11+'COMEDORES CALI'!I11+'CTAS EN PPACION'!I11</f>
        <v/>
      </c>
      <c r="J11" s="42" t="n"/>
      <c r="K11" s="56" t="n"/>
      <c r="L11" s="44">
        <f>CALI!L11+HUNGRIA!L11+YUMBO!L11+'ADULTO MAYOR'!L11+'COMEDORES VALLE'!L11+BUGA!L11+'COMEDORES CALI'!L11+'CTAS EN PPACION'!L11</f>
        <v/>
      </c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6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>
        <f>SUM(I5:I11)</f>
        <v/>
      </c>
      <c r="J12" s="47" t="n"/>
      <c r="K12" s="59" t="n"/>
      <c r="L12" s="46">
        <f>SUM(L5:L11)</f>
        <v/>
      </c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986">
      <c r="B13" s="524" t="inlineStr">
        <is>
          <t>INGRESOS BRUTOS</t>
        </is>
      </c>
      <c r="C13" s="485">
        <f>C14+C23</f>
        <v/>
      </c>
      <c r="D13" s="486" t="n"/>
      <c r="E13" s="508" t="n"/>
      <c r="F13" s="485">
        <f>F14+F23</f>
        <v/>
      </c>
      <c r="G13" s="486" t="n"/>
      <c r="H13" s="508" t="n"/>
      <c r="I13" s="485">
        <f>I14+I23</f>
        <v/>
      </c>
      <c r="J13" s="486" t="n"/>
      <c r="K13" s="508" t="n"/>
      <c r="L13" s="485">
        <f>L14+L23</f>
        <v/>
      </c>
      <c r="M13" s="486" t="n"/>
      <c r="N13" s="508" t="n"/>
      <c r="O13" s="485">
        <f>O14+O23</f>
        <v/>
      </c>
      <c r="P13" s="486" t="n"/>
      <c r="Q13" s="508" t="n"/>
      <c r="R13" s="485">
        <f>R14+R23</f>
        <v/>
      </c>
      <c r="S13" s="486" t="n"/>
      <c r="T13" s="508" t="n"/>
      <c r="U13" s="485">
        <f>U14+U23</f>
        <v/>
      </c>
      <c r="V13" s="486" t="n"/>
      <c r="W13" s="508" t="n"/>
      <c r="X13" s="485">
        <f>X14+X23</f>
        <v/>
      </c>
      <c r="Y13" s="486" t="n"/>
      <c r="Z13" s="508" t="n"/>
      <c r="AA13" s="485">
        <f>AA14+AA23</f>
        <v/>
      </c>
      <c r="AB13" s="486" t="n"/>
      <c r="AC13" s="508" t="n"/>
      <c r="AD13" s="599">
        <f>AD14+AD23</f>
        <v/>
      </c>
      <c r="AE13" s="600" t="n"/>
      <c r="AF13" s="601" t="n"/>
      <c r="AG13" s="599">
        <f>AG14+AG23</f>
        <v/>
      </c>
      <c r="AH13" s="600" t="n"/>
      <c r="AI13" s="601" t="n"/>
      <c r="AJ13" s="599">
        <f>AJ14+AJ23</f>
        <v/>
      </c>
      <c r="AK13" s="600" t="n"/>
      <c r="AL13" s="601" t="n"/>
      <c r="AM13" s="602">
        <f>C13+F13+I13+L13+O13+R13+U13+X13+AA13+AD13+AG13+AJ13</f>
        <v/>
      </c>
      <c r="AN13" s="592" t="n"/>
      <c r="AO13" s="508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>
        <f>I15</f>
        <v/>
      </c>
      <c r="J14" s="3" t="n"/>
      <c r="K14" s="61" t="n"/>
      <c r="L14" s="49">
        <f>L15</f>
        <v/>
      </c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3" t="n"/>
      <c r="Z14" s="869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986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>
        <f>CALI!I15+HUNGRIA!I15+YUMBO!I15+'ADULTO MAYOR'!I15+'COMEDORES VALLE'!I15+BUGA!I15+'COMEDORES CALI'!I15+'CTAS EN PPACION'!I15+'COMEDORES PALMIRA'!I15+IMDERTY!I15</f>
        <v/>
      </c>
      <c r="J15" s="3" t="n"/>
      <c r="K15" s="61" t="n"/>
      <c r="L15" s="49">
        <f>CALI!L15+HUNGRIA!L15+YUMBO!L15+'ADULTO MAYOR'!L15+'COMEDORES VALLE'!L15+BUGA!L15+'COMEDORES CALI'!L15+'CTAS EN PPACION'!L15+'COMEDORES PALMIRA'!L15+IMDERTY!L15</f>
        <v/>
      </c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3" t="n"/>
      <c r="Z15" s="869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986">
      <c r="B16" s="433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>
        <f>CALI!I16+HUNGRIA!I16+YUMBO!I16+'ADULTO MAYOR'!I16+'COMEDORES VALLE'!I16+BUGA!I16+'COMEDORES CALI'!I16+'CTAS EN PPACION'!I16+'COMEDORES PALMIRA'!I16+IMDERTY!I16</f>
        <v/>
      </c>
      <c r="J16" s="42" t="n"/>
      <c r="K16" s="56" t="n"/>
      <c r="L16" s="11">
        <f>CALI!L16+HUNGRIA!L16+YUMBO!L16+'ADULTO MAYOR'!L16+'COMEDORES VALLE'!L16+BUGA!L16+'COMEDORES CALI'!L16+'CTAS EN PPACION'!L16+'COMEDORES PALMIRA'!L16+IMDERTY!L16</f>
        <v/>
      </c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986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>
        <f>CALI!I17+HUNGRIA!I17+YUMBO!I17+'ADULTO MAYOR'!I17+'COMEDORES VALLE'!I17+BUGA!I17+'COMEDORES CALI'!I17+'CTAS EN PPACION'!I17+'COMEDORES PALMIRA'!I17+IMDERTY!I17</f>
        <v/>
      </c>
      <c r="J17" s="43" t="n"/>
      <c r="K17" s="57" t="n"/>
      <c r="L17" s="12">
        <f>CALI!L17+HUNGRIA!L17+YUMBO!L17+'ADULTO MAYOR'!L17+'COMEDORES VALLE'!L17+BUGA!L17+'COMEDORES CALI'!L17+'CTAS EN PPACION'!L17+'COMEDORES PALMIRA'!L17+IMDERTY!L17</f>
        <v/>
      </c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986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>
        <f>CALI!I18+HUNGRIA!I18+YUMBO!I18+'ADULTO MAYOR'!I18+'COMEDORES VALLE'!I18+BUGA!I18+'COMEDORES CALI'!I18+'CTAS EN PPACION'!I18+'COMEDORES PALMIRA'!I18+IMDERTY!I18</f>
        <v/>
      </c>
      <c r="J18" s="43" t="n"/>
      <c r="K18" s="57" t="n"/>
      <c r="L18" s="12">
        <f>CALI!L18+HUNGRIA!L18+YUMBO!L18+'ADULTO MAYOR'!L18+'COMEDORES VALLE'!L18+BUGA!L18+'COMEDORES CALI'!L18+'CTAS EN PPACION'!L18+'COMEDORES PALMIRA'!L18+IMDERTY!L18</f>
        <v/>
      </c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986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>
        <f>CALI!I19+HUNGRIA!I19+YUMBO!I19+'ADULTO MAYOR'!I19+'COMEDORES VALLE'!I19+BUGA!I19+'COMEDORES CALI'!I19+'CTAS EN PPACION'!I19+'COMEDORES PALMIRA'!I19+IMDERTY!I19</f>
        <v/>
      </c>
      <c r="J19" s="43" t="n"/>
      <c r="K19" s="57" t="n"/>
      <c r="L19" s="12">
        <f>CALI!L19+HUNGRIA!L19+YUMBO!L19+'ADULTO MAYOR'!L19+'COMEDORES VALLE'!L19+BUGA!L19+'COMEDORES CALI'!L19+'CTAS EN PPACION'!L19+'COMEDORES PALMIRA'!L19+IMDERTY!L19</f>
        <v/>
      </c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986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>
        <f>CALI!I20+HUNGRIA!I20+YUMBO!I20+'ADULTO MAYOR'!I20+'COMEDORES VALLE'!I20+BUGA!I20+'COMEDORES CALI'!I20+'CTAS EN PPACION'!I20+'COMEDORES PALMIRA'!I20+IMDERTY!I20</f>
        <v/>
      </c>
      <c r="J20" s="42" t="n"/>
      <c r="K20" s="56" t="n"/>
      <c r="L20" s="76">
        <f>CALI!L20+HUNGRIA!L20+YUMBO!L20+'ADULTO MAYOR'!L20+'COMEDORES VALLE'!L20+BUGA!L20+'COMEDORES CALI'!L20+'CTAS EN PPACION'!L20+'COMEDORES PALMIRA'!L20+IMDERTY!L20</f>
        <v/>
      </c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986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>
        <f>CALI!I21+HUNGRIA!I21+YUMBO!I21+'ADULTO MAYOR'!I21+'COMEDORES VALLE'!I21+BUGA!I21+'COMEDORES CALI'!I21+'CTAS EN PPACION'!I21+'COMEDORES PALMIRA'!I21+IMDERTY!I21</f>
        <v/>
      </c>
      <c r="J21" s="43" t="n"/>
      <c r="K21" s="57" t="n"/>
      <c r="L21" s="75">
        <f>CALI!L21+HUNGRIA!L21+YUMBO!L21+'ADULTO MAYOR'!L21+'COMEDORES VALLE'!L21+BUGA!L21+'COMEDORES CALI'!L21+'CTAS EN PPACION'!L21+'COMEDORES PALMIRA'!L21+IMDERTY!L21</f>
        <v/>
      </c>
      <c r="M21" s="43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986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>
        <f>CALI!I22+HUNGRIA!I22+YUMBO!I22+'ADULTO MAYOR'!I22+'COMEDORES VALLE'!I22+BUGA!I22+'COMEDORES CALI'!I22+'CTAS EN PPACION'!I22+'COMEDORES PALMIRA'!I22+IMDERTY!I22</f>
        <v/>
      </c>
      <c r="J22" s="42" t="n"/>
      <c r="K22" s="56" t="n"/>
      <c r="L22" s="51">
        <f>CALI!L22+HUNGRIA!L22+YUMBO!L22+'ADULTO MAYOR'!L22+'COMEDORES VALLE'!L22+BUGA!L22+'COMEDORES CALI'!L22+'CTAS EN PPACION'!L22+'COMEDORES PALMIRA'!L22+IMDERTY!L22</f>
        <v/>
      </c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986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>
        <f>I24</f>
        <v/>
      </c>
      <c r="J23" s="3" t="n"/>
      <c r="K23" s="61" t="n"/>
      <c r="L23" s="49">
        <f>L24</f>
        <v/>
      </c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3" t="n"/>
      <c r="Z23" s="869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986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>
        <f>SUM(I25:I27)</f>
        <v/>
      </c>
      <c r="J24" s="3" t="n"/>
      <c r="K24" s="61" t="n"/>
      <c r="L24" s="49">
        <f>SUM(L25:L27)</f>
        <v/>
      </c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3" t="n"/>
      <c r="Z24" s="869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986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>
        <f>CALI!I25+HUNGRIA!I25+YUMBO!I25+'ADULTO MAYOR'!I25+'COMEDORES VALLE'!I25+BUGA!I25+'COMEDORES CALI'!I25+'CTAS EN PPACION'!I25</f>
        <v/>
      </c>
      <c r="J25" s="52" t="n"/>
      <c r="K25" s="62" t="n"/>
      <c r="L25" s="35">
        <f>CALI!L25+HUNGRIA!L25+YUMBO!L25+'ADULTO MAYOR'!L25+'COMEDORES VALLE'!L25+BUGA!L25+'COMEDORES CALI'!L25+'CTAS EN PPACION'!L25</f>
        <v/>
      </c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986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>
        <f>CALI!I26+HUNGRIA!I26+YUMBO!I26+'ADULTO MAYOR'!I26+'COMEDORES VALLE'!I26+BUGA!I26+'COMEDORES CALI'!I26+'CTAS EN PPACION'!I26</f>
        <v/>
      </c>
      <c r="J26" s="52" t="n"/>
      <c r="K26" s="62" t="n"/>
      <c r="L26" s="35">
        <f>CALI!L26+HUNGRIA!L26+YUMBO!L26+'ADULTO MAYOR'!L26+'COMEDORES VALLE'!L26+BUGA!L26+'COMEDORES CALI'!L26+'CTAS EN PPACION'!L26</f>
        <v/>
      </c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986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>
        <f>CALI!I27+HUNGRIA!I27+YUMBO!I27+'ADULTO MAYOR'!I27+'COMEDORES VALLE'!I27+BUGA!I27+'COMEDORES CALI'!I27+'CTAS EN PPACION'!I27</f>
        <v/>
      </c>
      <c r="J27" s="52" t="n"/>
      <c r="K27" s="62" t="n"/>
      <c r="L27" s="35">
        <f>CALI!L27+HUNGRIA!L27+YUMBO!L27+'ADULTO MAYOR'!L27+'COMEDORES VALLE'!L27+BUGA!L27+'COMEDORES CALI'!L27+'CTAS EN PPACION'!L27</f>
        <v/>
      </c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986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>
        <f>+I29</f>
        <v/>
      </c>
      <c r="J28" s="3" t="n"/>
      <c r="K28" s="61" t="n"/>
      <c r="L28" s="49">
        <f>+L29</f>
        <v/>
      </c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3" t="n"/>
      <c r="Z28" s="869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986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>
        <f>SUM(I30:I41)</f>
        <v/>
      </c>
      <c r="J29" s="3" t="n"/>
      <c r="K29" s="61">
        <f>I29/I13</f>
        <v/>
      </c>
      <c r="L29" s="49">
        <f>SUM(L30:L41)</f>
        <v/>
      </c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3" t="n"/>
      <c r="Z29" s="1159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053">
        <f>AM29/AM13</f>
        <v/>
      </c>
    </row>
    <row r="30" outlineLevel="1" ht="15" customHeight="1" s="986">
      <c r="B30" s="30" t="n"/>
      <c r="C30" s="1232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32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32">
        <f>CALI!I30+HUNGRIA!I30+YUMBO!I30+'ADULTO MAYOR'!I30+'COMEDORES VALLE'!I30+BUGA!I30+'COMEDORES CALI'!I30+'CTAS EN PPACION'!I30+'COMEDORES PALMIRA'!I30+IMDERTY!I30</f>
        <v/>
      </c>
      <c r="J30" s="69" t="n"/>
      <c r="K30" s="56" t="n"/>
      <c r="L30" s="1232">
        <f>CALI!L30+HUNGRIA!L30+YUMBO!L30+'ADULTO MAYOR'!L30+'COMEDORES VALLE'!L30+BUGA!L30+'COMEDORES CALI'!L30+'CTAS EN PPACION'!L30+'COMEDORES PALMIRA'!L30+IMDERTY!L30</f>
        <v/>
      </c>
      <c r="M30" s="69" t="n"/>
      <c r="N30" s="56" t="n"/>
      <c r="O30" s="1232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32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32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32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32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32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32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32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986">
      <c r="B31" s="105" t="n"/>
      <c r="C31" s="1062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062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062">
        <f>CALI!I31+HUNGRIA!I31+YUMBO!I31+'ADULTO MAYOR'!I31+'COMEDORES VALLE'!I31+BUGA!I31+'COMEDORES CALI'!I31+'CTAS EN PPACION'!I31+'COMEDORES PALMIRA'!I31+IMDERTY!I31</f>
        <v/>
      </c>
      <c r="J31" s="43" t="n"/>
      <c r="K31" s="57" t="n"/>
      <c r="L31" s="1062">
        <f>CALI!L31+HUNGRIA!L31+YUMBO!L31+'ADULTO MAYOR'!L31+'COMEDORES VALLE'!L31+BUGA!L31+'COMEDORES CALI'!L31+'CTAS EN PPACION'!L31+'COMEDORES PALMIRA'!L31+IMDERTY!L31</f>
        <v/>
      </c>
      <c r="M31" s="43" t="n"/>
      <c r="N31" s="57" t="n"/>
      <c r="O31" s="1062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062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062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062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062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062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062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062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986">
      <c r="B32" s="105" t="n"/>
      <c r="C32" s="1062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062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062">
        <f>CALI!I32+HUNGRIA!I32+YUMBO!I32+'ADULTO MAYOR'!I32+'COMEDORES VALLE'!I32+BUGA!I32+'COMEDORES CALI'!I32+'CTAS EN PPACION'!I32+'COMEDORES PALMIRA'!I32+IMDERTY!I32</f>
        <v/>
      </c>
      <c r="J32" s="43" t="n"/>
      <c r="K32" s="57" t="n"/>
      <c r="L32" s="1062">
        <f>CALI!L32+HUNGRIA!L32+YUMBO!L32+'ADULTO MAYOR'!L32+'COMEDORES VALLE'!L32+BUGA!L32+'COMEDORES CALI'!L32+'CTAS EN PPACION'!L32+'COMEDORES PALMIRA'!L32+IMDERTY!L32</f>
        <v/>
      </c>
      <c r="M32" s="43" t="n"/>
      <c r="N32" s="57" t="n"/>
      <c r="O32" s="1062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062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062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062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062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062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062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062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986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>
        <f>CALI!I33+HUNGRIA!I33+YUMBO!I33+'ADULTO MAYOR'!I33+'COMEDORES VALLE'!I33+BUGA!I33+'COMEDORES CALI'!I33+'CTAS EN PPACION'!I33+'COMEDORES PALMIRA'!I33+IMDERTY!I33</f>
        <v/>
      </c>
      <c r="J33" s="43" t="n"/>
      <c r="K33" s="57" t="n"/>
      <c r="L33" s="25">
        <f>CALI!L33+HUNGRIA!L33+YUMBO!L33+'ADULTO MAYOR'!L33+'COMEDORES VALLE'!L33+BUGA!L33+'COMEDORES CALI'!L33+'CTAS EN PPACION'!L33+'COMEDORES PALMIRA'!L33+IMDERTY!L33</f>
        <v/>
      </c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986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>
        <f>CALI!I34+HUNGRIA!I34+YUMBO!I34+'ADULTO MAYOR'!I34+'COMEDORES VALLE'!I34+BUGA!I34+'COMEDORES CALI'!I34+'CTAS EN PPACION'!I34+'COMEDORES PALMIRA'!I34+IMDERTY!I34</f>
        <v/>
      </c>
      <c r="J34" s="43" t="n"/>
      <c r="K34" s="57" t="n"/>
      <c r="L34" s="25">
        <f>CALI!L34+HUNGRIA!L34+YUMBO!L34+'ADULTO MAYOR'!L34+'COMEDORES VALLE'!L34+BUGA!L34+'COMEDORES CALI'!L34+'CTAS EN PPACION'!L34+'COMEDORES PALMIRA'!L34+IMDERTY!L34</f>
        <v/>
      </c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986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>
        <f>CALI!I35+HUNGRIA!I35+YUMBO!I35+'ADULTO MAYOR'!I35+'COMEDORES VALLE'!I35+BUGA!I35+'COMEDORES CALI'!I35+'CTAS EN PPACION'!I35+'COMEDORES PALMIRA'!I35+IMDERTY!I35</f>
        <v/>
      </c>
      <c r="J35" s="43" t="n"/>
      <c r="K35" s="57" t="n"/>
      <c r="L35" s="25">
        <f>CALI!L35+HUNGRIA!L35+YUMBO!L35+'ADULTO MAYOR'!L35+'COMEDORES VALLE'!L35+BUGA!L35+'COMEDORES CALI'!L35+'CTAS EN PPACION'!L35+'COMEDORES PALMIRA'!L35+IMDERTY!L35</f>
        <v/>
      </c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986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>
        <f>CALI!I36+HUNGRIA!I36+YUMBO!I36+'ADULTO MAYOR'!I36+'COMEDORES VALLE'!I36+BUGA!I36+'COMEDORES CALI'!I36+'CTAS EN PPACION'!I36+'COMEDORES PALMIRA'!I36+IMDERTY!I36</f>
        <v/>
      </c>
      <c r="J36" s="43" t="n"/>
      <c r="K36" s="57" t="n"/>
      <c r="L36" s="25">
        <f>CALI!L36+HUNGRIA!L36+YUMBO!L36+'ADULTO MAYOR'!L36+'COMEDORES VALLE'!L36+BUGA!L36+'COMEDORES CALI'!L36+'CTAS EN PPACION'!L36+'COMEDORES PALMIRA'!L36+IMDERTY!L36</f>
        <v/>
      </c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986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>
        <f>CALI!I37+HUNGRIA!I37+YUMBO!I37+'ADULTO MAYOR'!I37+'COMEDORES VALLE'!I37+BUGA!I37+'COMEDORES CALI'!I37+'CTAS EN PPACION'!I37+'COMEDORES PALMIRA'!I37+IMDERTY!I37</f>
        <v/>
      </c>
      <c r="J37" s="43" t="n"/>
      <c r="K37" s="57" t="n"/>
      <c r="L37" s="25">
        <f>CALI!L37+HUNGRIA!L37+YUMBO!L37+'ADULTO MAYOR'!L37+'COMEDORES VALLE'!L37+BUGA!L37+'COMEDORES CALI'!L37+'CTAS EN PPACION'!L37+'COMEDORES PALMIRA'!L37+IMDERTY!L37</f>
        <v/>
      </c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986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>
        <f>CALI!I38+HUNGRIA!I38+YUMBO!I38+'ADULTO MAYOR'!I38+'COMEDORES VALLE'!I38+BUGA!I38+'COMEDORES CALI'!I38+'CTAS EN PPACION'!I38+'COMEDORES PALMIRA'!I38+IMDERTY!I38</f>
        <v/>
      </c>
      <c r="J38" s="43" t="n"/>
      <c r="K38" s="57" t="n"/>
      <c r="L38" s="25">
        <f>CALI!L38+HUNGRIA!L38+YUMBO!L38+'ADULTO MAYOR'!L38+'COMEDORES VALLE'!L38+BUGA!L38+'COMEDORES CALI'!L38+'CTAS EN PPACION'!L38+'COMEDORES PALMIRA'!L38+IMDERTY!L38</f>
        <v/>
      </c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986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>
        <f>CALI!I39+HUNGRIA!I39+YUMBO!I39+'ADULTO MAYOR'!I39+'COMEDORES VALLE'!I39+BUGA!I39+'COMEDORES CALI'!I39+'CTAS EN PPACION'!I39+'COMEDORES PALMIRA'!I39+IMDERTY!I39</f>
        <v/>
      </c>
      <c r="J39" s="43" t="n"/>
      <c r="K39" s="57" t="n"/>
      <c r="L39" s="25">
        <f>CALI!L39+HUNGRIA!L39+YUMBO!L39+'ADULTO MAYOR'!L39+'COMEDORES VALLE'!L39+BUGA!L39+'COMEDORES CALI'!L39+'CTAS EN PPACION'!L39+'COMEDORES PALMIRA'!L39+IMDERTY!L39</f>
        <v/>
      </c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986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>
        <f>CALI!I40+HUNGRIA!I40+YUMBO!I40+'ADULTO MAYOR'!I40+'COMEDORES VALLE'!I40+BUGA!I40+'COMEDORES CALI'!I40+'CTAS EN PPACION'!I40+'COMEDORES PALMIRA'!I40+IMDERTY!I40</f>
        <v/>
      </c>
      <c r="J40" s="43" t="n"/>
      <c r="K40" s="57" t="n"/>
      <c r="L40" s="25">
        <f>CALI!L40+HUNGRIA!L40+YUMBO!L40+'ADULTO MAYOR'!L40+'COMEDORES VALLE'!L40+BUGA!L40+'COMEDORES CALI'!L40+'CTAS EN PPACION'!L40+'COMEDORES PALMIRA'!L40+IMDERTY!L40</f>
        <v/>
      </c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986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>
        <f>CALI!I41+HUNGRIA!I41+YUMBO!I41+'ADULTO MAYOR'!I41+'COMEDORES VALLE'!I41+BUGA!I41+'COMEDORES CALI'!I41+'CTAS EN PPACION'!I41+'COMEDORES PALMIRA'!I41+IMDERTY!I41</f>
        <v/>
      </c>
      <c r="J41" s="42" t="n"/>
      <c r="K41" s="56" t="n"/>
      <c r="L41" s="22">
        <f>CALI!L41+HUNGRIA!L41+YUMBO!L41+'ADULTO MAYOR'!L41+'COMEDORES VALLE'!L41+BUGA!L41+'COMEDORES CALI'!L41+'CTAS EN PPACION'!L41+'COMEDORES PALMIRA'!L41+IMDERTY!L41</f>
        <v/>
      </c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510" t="n"/>
      <c r="F42" s="488">
        <f>+F14+F23-F28</f>
        <v/>
      </c>
      <c r="G42" s="489" t="n"/>
      <c r="H42" s="510" t="n"/>
      <c r="I42" s="488">
        <f>+I14+I23-I28</f>
        <v/>
      </c>
      <c r="J42" s="489" t="n"/>
      <c r="K42" s="510" t="n"/>
      <c r="L42" s="488">
        <f>+L14+L23-L28</f>
        <v/>
      </c>
      <c r="M42" s="489" t="n"/>
      <c r="N42" s="510" t="n"/>
      <c r="O42" s="488">
        <f>+O14+O23-O28</f>
        <v/>
      </c>
      <c r="P42" s="489" t="n"/>
      <c r="Q42" s="510" t="n"/>
      <c r="R42" s="488">
        <f>+R14+R23-R28</f>
        <v/>
      </c>
      <c r="S42" s="489" t="n"/>
      <c r="T42" s="510" t="n"/>
      <c r="U42" s="488">
        <f>+U14+U23-U28</f>
        <v/>
      </c>
      <c r="V42" s="489" t="n"/>
      <c r="W42" s="510" t="n"/>
      <c r="X42" s="488">
        <f>+X14+X23-X28</f>
        <v/>
      </c>
      <c r="Y42" s="489" t="n"/>
      <c r="Z42" s="510" t="n"/>
      <c r="AA42" s="488">
        <f>+AA14+AA23-AA28</f>
        <v/>
      </c>
      <c r="AB42" s="489" t="n"/>
      <c r="AC42" s="510" t="n"/>
      <c r="AD42" s="488">
        <f>+AD14+AD23-AD28</f>
        <v/>
      </c>
      <c r="AE42" s="489" t="n"/>
      <c r="AF42" s="510" t="n"/>
      <c r="AG42" s="488">
        <f>+AG14+AG23-AG28</f>
        <v/>
      </c>
      <c r="AH42" s="489" t="n"/>
      <c r="AI42" s="510" t="n"/>
      <c r="AJ42" s="488">
        <f>+AJ14+AJ23-AJ28</f>
        <v/>
      </c>
      <c r="AK42" s="489" t="n"/>
      <c r="AL42" s="510" t="n"/>
      <c r="AM42" s="593">
        <f>C42+F42+I42+L42+O42+R42+U42+X42+AA42+AD42+AG42+AJ42</f>
        <v/>
      </c>
      <c r="AN42" s="594" t="n"/>
      <c r="AO42" s="510" t="n"/>
    </row>
    <row r="43" ht="15" customHeight="1" s="986" thickBot="1" thickTop="1">
      <c r="C43" s="933" t="n"/>
      <c r="D43" s="934" t="n"/>
      <c r="E43" s="935">
        <f>(C46+C61)/(C13-C20-C21-C22)</f>
        <v/>
      </c>
      <c r="F43" s="933" t="n"/>
      <c r="G43" s="933" t="n"/>
      <c r="H43" s="966">
        <f>(F46+F61)/(F13-F20-F21-F22)</f>
        <v/>
      </c>
      <c r="I43" s="933" t="n"/>
      <c r="J43" s="933" t="n"/>
      <c r="K43" s="1233">
        <f>(I46+I61)/(I13-I20-I21-I22)</f>
        <v/>
      </c>
      <c r="L43" s="933" t="n"/>
      <c r="M43" s="933" t="n"/>
      <c r="N43" s="1234">
        <f>(L46+L61)/(L13-L20-L21-L22)</f>
        <v/>
      </c>
      <c r="O43" s="933" t="n"/>
      <c r="P43" s="933" t="n"/>
      <c r="Q43" s="938">
        <f>(O46+O61)/(O13-O20-O21-O22)</f>
        <v/>
      </c>
      <c r="R43" s="933" t="n"/>
      <c r="S43" s="933" t="n"/>
      <c r="T43" s="1234">
        <f>(R46+R61)/(R13-R20-R21-R22)</f>
        <v/>
      </c>
      <c r="U43" s="933" t="n"/>
      <c r="V43" s="933" t="n"/>
      <c r="W43" s="1234">
        <f>(U46+U61)/(U13-U20-U21-U22)</f>
        <v/>
      </c>
      <c r="X43" s="933" t="n"/>
      <c r="Y43" s="933" t="n"/>
      <c r="Z43" s="1234">
        <f>(X46+X61)/(X13-X20-X21-X22)</f>
        <v/>
      </c>
      <c r="AA43" s="933">
        <f>650768778-AA29</f>
        <v/>
      </c>
      <c r="AB43" s="933" t="n"/>
      <c r="AC43" s="1234">
        <f>(AA46+AA61)/(AA13-AA20-AA21-AA22)</f>
        <v/>
      </c>
      <c r="AD43" s="939" t="n"/>
      <c r="AE43" s="940" t="n"/>
      <c r="AF43" s="1234">
        <f>(AD46+AD61)/(AD13-AD20-AD21-AD22)</f>
        <v/>
      </c>
      <c r="AG43" s="940">
        <f>(AG13*AF43)-(AG46+AG61)</f>
        <v/>
      </c>
      <c r="AH43" s="940" t="n"/>
      <c r="AI43" s="1234">
        <f>(AG46+AG61)/(AG13-AG20-AG21-AG22)</f>
        <v/>
      </c>
      <c r="AJ43" s="940">
        <f>(AJ13*AI43)-(AJ46+AJ61)</f>
        <v/>
      </c>
      <c r="AK43" s="940" t="n"/>
      <c r="AL43" s="1234">
        <f>(AJ46+AJ61)/(AJ13-AJ20-AJ21-AJ22)</f>
        <v/>
      </c>
      <c r="AM43" s="870" t="n"/>
      <c r="AN43" s="697" t="n"/>
      <c r="AO43" s="941">
        <f>(AM46+AM61)/(AM13-AM20-AM21-AM22)</f>
        <v/>
      </c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C44/C13</f>
        <v/>
      </c>
      <c r="F44" s="491">
        <f>+F45+F60+F78</f>
        <v/>
      </c>
      <c r="G44" s="492" t="n"/>
      <c r="H44" s="1069">
        <f>F44/F13</f>
        <v/>
      </c>
      <c r="I44" s="491">
        <f>+I45+I60+I78</f>
        <v/>
      </c>
      <c r="J44" s="492" t="n"/>
      <c r="K44" s="1069">
        <f>I44/I13</f>
        <v/>
      </c>
      <c r="L44" s="491">
        <f>+L45+L60+L78</f>
        <v/>
      </c>
      <c r="M44" s="492" t="n"/>
      <c r="N44" s="1069">
        <f>L44/L13</f>
        <v/>
      </c>
      <c r="O44" s="491">
        <f>+O45+O60+O78</f>
        <v/>
      </c>
      <c r="P44" s="492" t="n"/>
      <c r="Q44" s="1069">
        <f>O44/O13</f>
        <v/>
      </c>
      <c r="R44" s="491">
        <f>+R45+R60+R78</f>
        <v/>
      </c>
      <c r="S44" s="492" t="n"/>
      <c r="T44" s="1069">
        <f>R44/R13</f>
        <v/>
      </c>
      <c r="U44" s="491">
        <f>+U45+U60+U78</f>
        <v/>
      </c>
      <c r="V44" s="492" t="n"/>
      <c r="W44" s="1069">
        <f>U44/U13</f>
        <v/>
      </c>
      <c r="X44" s="491">
        <f>+X45+X60+X78</f>
        <v/>
      </c>
      <c r="Y44" s="492" t="n"/>
      <c r="Z44" s="1069">
        <f>X44/X13</f>
        <v/>
      </c>
      <c r="AA44" s="491">
        <f>+AA45+AA60+AA78</f>
        <v/>
      </c>
      <c r="AB44" s="492" t="n"/>
      <c r="AC44" s="1069">
        <f>AA44/AA13</f>
        <v/>
      </c>
      <c r="AD44" s="491">
        <f>+AD45+AD60+AD78</f>
        <v/>
      </c>
      <c r="AE44" s="492" t="n"/>
      <c r="AF44" s="1069">
        <f>AD44/AD13</f>
        <v/>
      </c>
      <c r="AG44" s="491">
        <f>+AG45+AG60+AG78</f>
        <v/>
      </c>
      <c r="AH44" s="492" t="n"/>
      <c r="AI44" s="1069">
        <f>AG44/AG13</f>
        <v/>
      </c>
      <c r="AJ44" s="491">
        <f>+AJ45+AJ60+AJ78</f>
        <v/>
      </c>
      <c r="AK44" s="492" t="n"/>
      <c r="AL44" s="1069">
        <f>AJ44/AJ13</f>
        <v/>
      </c>
      <c r="AM44" s="595">
        <f>C44+F44+I44+L44+O44+R44+U44+X44+AA44+AD44+AG44+AJ44</f>
        <v/>
      </c>
      <c r="AN44" s="596" t="n"/>
      <c r="AO44" s="1069">
        <f>AM44/AM13</f>
        <v/>
      </c>
    </row>
    <row r="45" ht="15" customHeight="1" s="986">
      <c r="B45" s="16" t="inlineStr">
        <is>
          <t>COSTOS INDUSTRIALIZADOS</t>
        </is>
      </c>
      <c r="C45" s="49">
        <f>+C46+C57</f>
        <v/>
      </c>
      <c r="D45" s="3" t="n"/>
      <c r="E45" s="1053">
        <f>C45/C13</f>
        <v/>
      </c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>
        <f>L45/L13</f>
        <v/>
      </c>
      <c r="O45" s="49">
        <f>+O46+O57</f>
        <v/>
      </c>
      <c r="P45" s="3" t="n"/>
      <c r="Q45" s="1053">
        <f>O45/O13</f>
        <v/>
      </c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>
        <f>X45/X13</f>
        <v/>
      </c>
      <c r="AA45" s="90">
        <f>+AA46+AA57</f>
        <v/>
      </c>
      <c r="AB45" s="3" t="n"/>
      <c r="AC45" s="1053">
        <f>AA45/AA13</f>
        <v/>
      </c>
      <c r="AD45" s="49">
        <f>+AD46+AD57</f>
        <v/>
      </c>
      <c r="AE45" s="3" t="n"/>
      <c r="AF45" s="1053">
        <f>AD45/AD13</f>
        <v/>
      </c>
      <c r="AG45" s="49">
        <f>+AG46+AG57</f>
        <v/>
      </c>
      <c r="AH45" s="3" t="n"/>
      <c r="AI45" s="1053">
        <f>AG45/AG13</f>
        <v/>
      </c>
      <c r="AJ45" s="49">
        <f>+AJ46+AJ57</f>
        <v/>
      </c>
      <c r="AK45" s="3" t="n"/>
      <c r="AL45" s="1053">
        <f>AJ45/AJ13</f>
        <v/>
      </c>
      <c r="AM45" s="17">
        <f>C45+F45+I45+L45+O45+R45+U45+X45+AA45+AD45+AG45+AJ45</f>
        <v/>
      </c>
      <c r="AN45" s="197" t="n"/>
      <c r="AO45" s="1053">
        <f>AM45/AM13</f>
        <v/>
      </c>
    </row>
    <row r="46" ht="15" customHeight="1" s="986">
      <c r="B46" s="36" t="inlineStr">
        <is>
          <t>INSUMOS INDUSTRIALIZADOS</t>
        </is>
      </c>
      <c r="C46" s="46">
        <f>SUM(C47:C56)</f>
        <v/>
      </c>
      <c r="D46" s="47" t="n"/>
      <c r="E46" s="1049">
        <f>C46/C13</f>
        <v/>
      </c>
      <c r="F46" s="46">
        <f>SUM(F47:F56)</f>
        <v/>
      </c>
      <c r="G46" s="47" t="n"/>
      <c r="H46" s="1049">
        <f>F46/F13</f>
        <v/>
      </c>
      <c r="I46" s="46">
        <f>SUM(I47:I56)</f>
        <v/>
      </c>
      <c r="J46" s="47" t="n"/>
      <c r="K46" s="1049">
        <f>I46/I13</f>
        <v/>
      </c>
      <c r="L46" s="46">
        <f>SUM(L47:L56)</f>
        <v/>
      </c>
      <c r="M46" s="47" t="n"/>
      <c r="N46" s="1049">
        <f>L46/L13</f>
        <v/>
      </c>
      <c r="O46" s="46">
        <f>SUM(O47:O56)</f>
        <v/>
      </c>
      <c r="P46" s="47" t="n"/>
      <c r="Q46" s="1049">
        <f>O46/O13</f>
        <v/>
      </c>
      <c r="R46" s="46">
        <f>SUM(R47:R56)</f>
        <v/>
      </c>
      <c r="S46" s="47" t="n"/>
      <c r="T46" s="1049">
        <f>R46/R13</f>
        <v/>
      </c>
      <c r="U46" s="46">
        <f>SUM(U47:U56)</f>
        <v/>
      </c>
      <c r="V46" s="47" t="n"/>
      <c r="W46" s="1049">
        <f>U46/U13</f>
        <v/>
      </c>
      <c r="X46" s="46">
        <f>SUM(X47:X56)</f>
        <v/>
      </c>
      <c r="Y46" s="47" t="n"/>
      <c r="Z46" s="1049">
        <f>X46/X13</f>
        <v/>
      </c>
      <c r="AA46" s="46">
        <f>SUM(AA47:AA56)</f>
        <v/>
      </c>
      <c r="AB46" s="47" t="n"/>
      <c r="AC46" s="1049">
        <f>AA46/AA13</f>
        <v/>
      </c>
      <c r="AD46" s="46">
        <f>SUM(AD47:AD56)</f>
        <v/>
      </c>
      <c r="AE46" s="47" t="n"/>
      <c r="AF46" s="1049">
        <f>AD46/AD13</f>
        <v/>
      </c>
      <c r="AG46" s="46">
        <f>SUM(AG47:AG56)</f>
        <v/>
      </c>
      <c r="AH46" s="47" t="n"/>
      <c r="AI46" s="1049">
        <f>AG46/AG13</f>
        <v/>
      </c>
      <c r="AJ46" s="46">
        <f>SUM(AJ47:AJ56)</f>
        <v/>
      </c>
      <c r="AK46" s="47" t="n"/>
      <c r="AL46" s="1049">
        <f>AJ46/AJ13</f>
        <v/>
      </c>
      <c r="AM46" s="29">
        <f>C46+F46+I46+L46+O46+R46+U46+X46+AA46+AD46+AG46+AJ46</f>
        <v/>
      </c>
      <c r="AN46" s="199" t="n"/>
      <c r="AO46" s="1049">
        <f>AM46/AM13</f>
        <v/>
      </c>
    </row>
    <row r="47" ht="15" customHeight="1" s="986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>
        <f>CALI!I47+HUNGRIA!I47+YUMBO!I47+'ADULTO MAYOR'!I47+'COMEDORES VALLE'!I47+BUGA!I47+'COMEDORES CALI'!I47+'CTAS EN PPACION'!I47+'COMEDORES PALMIRA'!I47+IMDERTY!I47</f>
        <v/>
      </c>
      <c r="J47" s="42" t="n"/>
      <c r="K47" s="56" t="n"/>
      <c r="L47" s="50">
        <f>CALI!L47+HUNGRIA!L47+YUMBO!L47+'ADULTO MAYOR'!L47+'COMEDORES VALLE'!L47+BUGA!L47+'COMEDORES CALI'!L47+'CTAS EN PPACION'!L47+'COMEDORES PALMIRA'!L47+IMDERTY!L47</f>
        <v/>
      </c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986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>
        <f>CALI!I48+HUNGRIA!I48+YUMBO!I48+'ADULTO MAYOR'!I48+'COMEDORES VALLE'!I48+BUGA!I48+'COMEDORES CALI'!I48+'CTAS EN PPACION'!I48+'COMEDORES PALMIRA'!I48+IMDERTY!I48</f>
        <v/>
      </c>
      <c r="J48" s="43" t="n"/>
      <c r="K48" s="57" t="n"/>
      <c r="L48" s="25">
        <f>CALI!L48+HUNGRIA!L48+YUMBO!L48+'ADULTO MAYOR'!L48+'COMEDORES VALLE'!L48+BUGA!L48+'COMEDORES CALI'!L48+'CTAS EN PPACION'!L48+'COMEDORES PALMIRA'!L48+IMDERTY!L48</f>
        <v/>
      </c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986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>
        <f>CALI!I49+HUNGRIA!I49+YUMBO!I49+'ADULTO MAYOR'!I49+'COMEDORES VALLE'!I49+BUGA!I49+'COMEDORES CALI'!I49+'CTAS EN PPACION'!I49+'COMEDORES PALMIRA'!I49+IMDERTY!I49</f>
        <v/>
      </c>
      <c r="J49" s="43" t="n"/>
      <c r="K49" s="57" t="n"/>
      <c r="L49" s="25">
        <f>CALI!L49+HUNGRIA!L49+YUMBO!L49+'ADULTO MAYOR'!L49+'COMEDORES VALLE'!L49+BUGA!L49+'COMEDORES CALI'!L49+'CTAS EN PPACION'!L49+'COMEDORES PALMIRA'!L49+IMDERTY!L49</f>
        <v/>
      </c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986">
      <c r="B50" s="431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>
        <f>CALI!I50+HUNGRIA!I50+YUMBO!I50+'ADULTO MAYOR'!I50+'COMEDORES VALLE'!I50+BUGA!I50+'COMEDORES CALI'!I50+'CTAS EN PPACION'!I50+'COMEDORES PALMIRA'!I50+IMDERTY!I50</f>
        <v/>
      </c>
      <c r="J50" s="43" t="n"/>
      <c r="K50" s="57" t="n"/>
      <c r="L50" s="25">
        <f>CALI!L50+HUNGRIA!L50+YUMBO!L50+'ADULTO MAYOR'!L50+'COMEDORES VALLE'!L50+BUGA!L50+'COMEDORES CALI'!L50+'CTAS EN PPACION'!L50+'COMEDORES PALMIRA'!L50+IMDERTY!L50</f>
        <v/>
      </c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986">
      <c r="B51" s="431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>
        <f>CALI!I51+HUNGRIA!I51+YUMBO!I51+'ADULTO MAYOR'!I51+'COMEDORES VALLE'!I51+BUGA!I51+'COMEDORES CALI'!I51+'CTAS EN PPACION'!I51+'COMEDORES PALMIRA'!I51+IMDERTY!I51</f>
        <v/>
      </c>
      <c r="J51" s="43" t="n"/>
      <c r="K51" s="57" t="n"/>
      <c r="L51" s="25">
        <f>CALI!L51+HUNGRIA!L51+YUMBO!L51+'ADULTO MAYOR'!L51+'COMEDORES VALLE'!L51+BUGA!L51+'COMEDORES CALI'!L51+'CTAS EN PPACION'!L51+'COMEDORES PALMIRA'!L51+IMDERTY!L51</f>
        <v/>
      </c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986">
      <c r="B52" s="432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>
        <f>CALI!I52+HUNGRIA!I52+YUMBO!I52+'ADULTO MAYOR'!I52+'COMEDORES VALLE'!I52+BUGA!I52+'COMEDORES CALI'!I52+'CTAS EN PPACION'!I52+'COMEDORES PALMIRA'!I52</f>
        <v/>
      </c>
      <c r="J52" s="43" t="n"/>
      <c r="K52" s="57" t="n"/>
      <c r="L52" s="25">
        <f>CALI!L52+HUNGRIA!L52+YUMBO!L52+'ADULTO MAYOR'!L52+'COMEDORES VALLE'!L52+BUGA!L52+'COMEDORES CALI'!L52+'CTAS EN PPACION'!L52+'COMEDORES PALMIRA'!L52</f>
        <v/>
      </c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986">
      <c r="B53" s="432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>
        <f>CALI!I53+HUNGRIA!I53+YUMBO!I53+'ADULTO MAYOR'!I53+'COMEDORES VALLE'!I53+BUGA!I53+'COMEDORES CALI'!I53+'CTAS EN PPACION'!I53+'COMEDORES PALMIRA'!I53</f>
        <v/>
      </c>
      <c r="J53" s="43" t="n"/>
      <c r="K53" s="57" t="n"/>
      <c r="L53" s="25">
        <f>CALI!L53+HUNGRIA!L53+YUMBO!L53+'ADULTO MAYOR'!L53+'COMEDORES VALLE'!L53+BUGA!L53+'COMEDORES CALI'!L53+'CTAS EN PPACION'!L53+'COMEDORES PALMIRA'!L53</f>
        <v/>
      </c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986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>
        <f>CALI!I54+HUNGRIA!I54+YUMBO!I54+'ADULTO MAYOR'!I54+'COMEDORES VALLE'!I54+BUGA!I54+'COMEDORES CALI'!I54+'CTAS EN PPACION'!I54+'COMEDORES PALMIRA'!I54</f>
        <v/>
      </c>
      <c r="J54" s="43" t="n"/>
      <c r="K54" s="57" t="n"/>
      <c r="L54" s="25">
        <f>CALI!L54+HUNGRIA!L54+YUMBO!L54+'ADULTO MAYOR'!L54+'COMEDORES VALLE'!L54+BUGA!L54+'COMEDORES CALI'!L54+'CTAS EN PPACION'!L54+'COMEDORES PALMIRA'!L54</f>
        <v/>
      </c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986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>
        <f>CALI!I55+HUNGRIA!I55+YUMBO!I55+'ADULTO MAYOR'!I55+'COMEDORES VALLE'!I55+BUGA!I55+'COMEDORES CALI'!I55+'CTAS EN PPACION'!I55+'COMEDORES PALMIRA'!I55</f>
        <v/>
      </c>
      <c r="J55" s="43" t="n"/>
      <c r="K55" s="57" t="n"/>
      <c r="L55" s="25">
        <f>CALI!L55+HUNGRIA!L55+YUMBO!L55+'ADULTO MAYOR'!L55+'COMEDORES VALLE'!L55+BUGA!L55+'COMEDORES CALI'!L55+'CTAS EN PPACION'!L55+'COMEDORES PALMIRA'!L55</f>
        <v/>
      </c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986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>
        <f>CALI!I56+HUNGRIA!I56+YUMBO!I56+'ADULTO MAYOR'!I56+'COMEDORES VALLE'!I56+BUGA!I56+'COMEDORES CALI'!I56+'CTAS EN PPACION'!I56+'COMEDORES PALMIRA'!I56</f>
        <v/>
      </c>
      <c r="J56" s="42" t="n"/>
      <c r="K56" s="56" t="n"/>
      <c r="L56" s="22">
        <f>CALI!L56+HUNGRIA!L56+YUMBO!L56+'ADULTO MAYOR'!L56+'COMEDORES VALLE'!L56+BUGA!L56+'COMEDORES CALI'!L56+'CTAS EN PPACION'!L56+'COMEDORES PALMIRA'!L56</f>
        <v/>
      </c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986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>
        <f>SUM(I58:I59)</f>
        <v/>
      </c>
      <c r="J57" s="47">
        <f>I57/I12</f>
        <v/>
      </c>
      <c r="K57" s="59">
        <f>I57/I13</f>
        <v/>
      </c>
      <c r="L57" s="46">
        <f>SUM(L58:L59)</f>
        <v/>
      </c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986">
      <c r="B58" s="412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>
        <f>CALI!I58+HUNGRIA!I58+YUMBO!I58+'ADULTO MAYOR'!I58+'COMEDORES VALLE'!I58+BUGA!I58+'COMEDORES CALI'!I58+'CTAS EN PPACION'!I58+'COMEDORES PALMIRA'!I58</f>
        <v/>
      </c>
      <c r="J58" s="305" t="n"/>
      <c r="K58" s="86" t="n"/>
      <c r="L58" s="304">
        <f>CALI!L58+HUNGRIA!L58+YUMBO!L58+'ADULTO MAYOR'!L58+'COMEDORES VALLE'!L58+BUGA!L58+'COMEDORES CALI'!L58+'CTAS EN PPACION'!L58+'COMEDORES PALMIRA'!L58</f>
        <v/>
      </c>
      <c r="M58" s="305" t="n"/>
      <c r="N58" s="86" t="n"/>
      <c r="O58" s="304">
        <f>CALI!O58+HUNGRIA!O58+YUMBO!O58+'ADULTO MAYOR'!O58+'COMEDORES VALLE'!O58+BUGA!O58+'COMEDORES CALI'!O58+'CTAS EN PPACION'!O58+'COMEDORES PALMIRA'!O58</f>
        <v/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986">
      <c r="B59" s="416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>
        <f>CALI!I59+HUNGRIA!I59+YUMBO!I59+'ADULTO MAYOR'!I59+'COMEDORES VALLE'!I59+BUGA!I59+'COMEDORES CALI'!I59+'CTAS EN PPACION'!I59+'COMEDORES PALMIRA'!I59</f>
        <v/>
      </c>
      <c r="J59" s="84" t="n"/>
      <c r="K59" s="85" t="n"/>
      <c r="L59" s="83">
        <f>CALI!L59+HUNGRIA!L59+YUMBO!L59+'ADULTO MAYOR'!L59+'COMEDORES VALLE'!L59+BUGA!L59+'COMEDORES CALI'!L59+'CTAS EN PPACION'!L59+'COMEDORES PALMIRA'!L59</f>
        <v/>
      </c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9">
        <f>AM59/AM$13</f>
        <v/>
      </c>
    </row>
    <row r="60" ht="15" customHeight="1" s="986">
      <c r="B60" s="16" t="inlineStr">
        <is>
          <t>COSTOS PREPARADOS</t>
        </is>
      </c>
      <c r="C60" s="90">
        <f>+C61+C72+C75+C76+C77</f>
        <v/>
      </c>
      <c r="D60" s="3" t="n"/>
      <c r="E60" s="1053">
        <f>C60/$C$13</f>
        <v/>
      </c>
      <c r="F60" s="90">
        <f>+F61+F72+F75+F76+F77</f>
        <v/>
      </c>
      <c r="G60" s="3" t="n"/>
      <c r="H60" s="1053">
        <f>F60/F13</f>
        <v/>
      </c>
      <c r="I60" s="90">
        <f>+I61+I72+I75+I76+I77</f>
        <v/>
      </c>
      <c r="J60" s="3" t="n"/>
      <c r="K60" s="1053">
        <f>I60/I13</f>
        <v/>
      </c>
      <c r="L60" s="90">
        <f>+L61+L72+L75+L76+L77</f>
        <v/>
      </c>
      <c r="M60" s="3" t="n"/>
      <c r="N60" s="1053">
        <f>L60/L13</f>
        <v/>
      </c>
      <c r="O60" s="90">
        <f>+O61+O72+O75+O76+O77</f>
        <v/>
      </c>
      <c r="P60" s="3" t="n"/>
      <c r="Q60" s="1053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053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053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51">
        <f>C60+F60+I60+L60+O60+R60+U60+X60+AA60+AD60+AG60+AJ60</f>
        <v/>
      </c>
      <c r="AN60" s="197" t="n"/>
      <c r="AO60" s="1053">
        <f>AM60/$AM$13</f>
        <v/>
      </c>
    </row>
    <row r="61" ht="15" customHeight="1" s="986">
      <c r="B61" s="36" t="inlineStr">
        <is>
          <t>INSUMOS PREPARADOS</t>
        </is>
      </c>
      <c r="C61" s="37">
        <f>SUM(C62:C71)</f>
        <v/>
      </c>
      <c r="D61" s="67" t="n"/>
      <c r="E61" s="1071">
        <f>C61/$C$13</f>
        <v/>
      </c>
      <c r="F61" s="37">
        <f>SUM(F62:F71)</f>
        <v/>
      </c>
      <c r="G61" s="67" t="n"/>
      <c r="H61" s="1049">
        <f>F61/F14</f>
        <v/>
      </c>
      <c r="I61" s="46">
        <f>SUM(I62:I71)</f>
        <v/>
      </c>
      <c r="J61" s="67" t="n"/>
      <c r="K61" s="1049">
        <f>I61/I14</f>
        <v/>
      </c>
      <c r="L61" s="46">
        <f>SUM(L62:L71)</f>
        <v/>
      </c>
      <c r="M61" s="67" t="n"/>
      <c r="N61" s="1049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049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049">
        <f>AM61/$AM$13</f>
        <v/>
      </c>
    </row>
    <row r="62" ht="15" customHeight="1" s="986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>
        <f>CALI!I62+HUNGRIA!I62+YUMBO!I62+'ADULTO MAYOR'!I62+'COMEDORES VALLE'!I62+BUGA!I62+'COMEDORES CALI'!I62+'CTAS EN PPACION'!I62+'COMEDORES PALMIRA'!I62+IMDERTY!I62</f>
        <v/>
      </c>
      <c r="J62" s="79" t="n"/>
      <c r="K62" s="80" t="n"/>
      <c r="L62" s="78">
        <f>CALI!L62+HUNGRIA!L62+YUMBO!L62+'ADULTO MAYOR'!L62+'COMEDORES VALLE'!L62+BUGA!L62+'COMEDORES CALI'!L62+'CTAS EN PPACION'!L62+'COMEDORES PALMIRA'!L62+IMDERTY!L62</f>
        <v/>
      </c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986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>
        <f>CALI!I63+HUNGRIA!I63+YUMBO!I63+'ADULTO MAYOR'!I63+'COMEDORES VALLE'!I63+BUGA!I63+'COMEDORES CALI'!I63+'CTAS EN PPACION'!I63+'COMEDORES PALMIRA'!I63+IMDERTY!I63</f>
        <v/>
      </c>
      <c r="J63" s="43" t="n"/>
      <c r="K63" s="57" t="n"/>
      <c r="L63" s="25">
        <f>CALI!L63+HUNGRIA!L63+YUMBO!L63+'ADULTO MAYOR'!L63+'COMEDORES VALLE'!L63+BUGA!L63+'COMEDORES CALI'!L63+'CTAS EN PPACION'!L63+'COMEDORES PALMIRA'!L63+IMDERTY!L63</f>
        <v/>
      </c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986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>
        <f>CALI!I64+HUNGRIA!I64+YUMBO!I64+'ADULTO MAYOR'!I64+'COMEDORES VALLE'!I64+BUGA!I64+'COMEDORES CALI'!I64+'CTAS EN PPACION'!I64+'COMEDORES PALMIRA'!I64+IMDERTY!I64</f>
        <v/>
      </c>
      <c r="J64" s="43" t="n"/>
      <c r="K64" s="57" t="n"/>
      <c r="L64" s="82">
        <f>CALI!L64+HUNGRIA!L64+YUMBO!L64+'ADULTO MAYOR'!L64+'COMEDORES VALLE'!L64+BUGA!L64+'COMEDORES CALI'!L64+'CTAS EN PPACION'!L64+'COMEDORES PALMIRA'!L64+IMDERTY!L64</f>
        <v/>
      </c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986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>
        <f>CALI!I65+HUNGRIA!I65+YUMBO!I65+'ADULTO MAYOR'!I65+'COMEDORES VALLE'!I65+BUGA!I65+'COMEDORES CALI'!I65+'CTAS EN PPACION'!I65+'COMEDORES PALMIRA'!I65+IMDERTY!I65</f>
        <v/>
      </c>
      <c r="J65" s="43" t="n"/>
      <c r="K65" s="57" t="n"/>
      <c r="L65" s="25">
        <f>CALI!L65+HUNGRIA!L65+YUMBO!L65+'ADULTO MAYOR'!L65+'COMEDORES VALLE'!L65+BUGA!L65+'COMEDORES CALI'!L65+'CTAS EN PPACION'!L65+'COMEDORES PALMIRA'!L65+IMDERTY!L65</f>
        <v/>
      </c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986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>
        <f>CALI!I66+HUNGRIA!I66+YUMBO!I66+'ADULTO MAYOR'!I66+'COMEDORES VALLE'!I66+BUGA!I66+'COMEDORES CALI'!I66+'CTAS EN PPACION'!I66+'COMEDORES PALMIRA'!I66+IMDERTY!I66</f>
        <v/>
      </c>
      <c r="J66" s="43" t="n"/>
      <c r="K66" s="57" t="n"/>
      <c r="L66" s="25">
        <f>CALI!L66+HUNGRIA!L66+YUMBO!L66+'ADULTO MAYOR'!L66+'COMEDORES VALLE'!L66+BUGA!L66+'COMEDORES CALI'!L66+'CTAS EN PPACION'!L66+'COMEDORES PALMIRA'!L66+IMDERTY!L66</f>
        <v/>
      </c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986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>
        <f>CALI!I67+HUNGRIA!I67+YUMBO!I67+'ADULTO MAYOR'!I67+'COMEDORES VALLE'!I67+BUGA!I67+'COMEDORES CALI'!I67+'CTAS EN PPACION'!I67+'COMEDORES PALMIRA'!I67+IMDERTY!I67</f>
        <v/>
      </c>
      <c r="J67" s="43" t="n"/>
      <c r="K67" s="57" t="n"/>
      <c r="L67" s="25">
        <f>CALI!L67+HUNGRIA!L67+YUMBO!L67+'ADULTO MAYOR'!L67+'COMEDORES VALLE'!L67+BUGA!L67+'COMEDORES CALI'!L67+'CTAS EN PPACION'!L67+'COMEDORES PALMIRA'!L67+IMDERTY!L67</f>
        <v/>
      </c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986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>
        <f>CALI!I68+HUNGRIA!I68+YUMBO!I68+'ADULTO MAYOR'!I68+'COMEDORES VALLE'!I68+BUGA!I68+'COMEDORES CALI'!I68+'CTAS EN PPACION'!I68+'COMEDORES PALMIRA'!I68+IMDERTY!I68</f>
        <v/>
      </c>
      <c r="J68" s="43" t="n"/>
      <c r="K68" s="57" t="n"/>
      <c r="L68" s="25">
        <f>CALI!L68+HUNGRIA!L68+YUMBO!L68+'ADULTO MAYOR'!L68+'COMEDORES VALLE'!L68+BUGA!L68+'COMEDORES CALI'!L68+'CTAS EN PPACION'!L68+'COMEDORES PALMIRA'!L68+IMDERTY!L68</f>
        <v/>
      </c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986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>
        <f>CALI!I69+HUNGRIA!I69+YUMBO!I69+'ADULTO MAYOR'!I69+'COMEDORES VALLE'!I69+BUGA!I69+'COMEDORES CALI'!I69+'CTAS EN PPACION'!I69+'COMEDORES PALMIRA'!I69+IMDERTY!I69</f>
        <v/>
      </c>
      <c r="J69" s="43" t="n"/>
      <c r="K69" s="57" t="n"/>
      <c r="L69" s="25">
        <f>CALI!L69+HUNGRIA!L69+YUMBO!L69+'ADULTO MAYOR'!L69+'COMEDORES VALLE'!L69+BUGA!L69+'COMEDORES CALI'!L69+'CTAS EN PPACION'!L69+'COMEDORES PALMIRA'!L69+IMDERTY!L69</f>
        <v/>
      </c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986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>
        <f>CALI!I70+HUNGRIA!I70+YUMBO!I70+'ADULTO MAYOR'!I70+'COMEDORES VALLE'!I70+BUGA!I70+'COMEDORES CALI'!I70+'CTAS EN PPACION'!I70+'COMEDORES PALMIRA'!I70+IMDERTY!I70</f>
        <v/>
      </c>
      <c r="J70" s="43" t="n"/>
      <c r="K70" s="57" t="n"/>
      <c r="L70" s="25">
        <f>CALI!L70+HUNGRIA!L70+YUMBO!L70+'ADULTO MAYOR'!L70+'COMEDORES VALLE'!L70+BUGA!L70+'COMEDORES CALI'!L70+'CTAS EN PPACION'!L70+'COMEDORES PALMIRA'!L70+IMDERTY!L70</f>
        <v/>
      </c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986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>
        <f>CALI!I71+HUNGRIA!I71+YUMBO!I71+'ADULTO MAYOR'!I71+'COMEDORES VALLE'!I71+BUGA!I71+'COMEDORES CALI'!I71+'CTAS EN PPACION'!I71+'COMEDORES PALMIRA'!I71+IMDERTY!I71</f>
        <v/>
      </c>
      <c r="J71" s="84" t="n"/>
      <c r="K71" s="85" t="n"/>
      <c r="L71" s="83">
        <f>CALI!L71+HUNGRIA!L71+YUMBO!L71+'ADULTO MAYOR'!L71+'COMEDORES VALLE'!L71+BUGA!L71+'COMEDORES CALI'!L71+'CTAS EN PPACION'!L71+'COMEDORES PALMIRA'!L71+IMDERTY!L71</f>
        <v/>
      </c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986">
      <c r="B72" s="36" t="inlineStr">
        <is>
          <t>FLETES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 t="n"/>
      <c r="AI72" s="1049">
        <f>AG72/AG13</f>
        <v/>
      </c>
      <c r="AJ72" s="46">
        <f>SUM(AJ73:AJ74)</f>
        <v/>
      </c>
      <c r="AK72" s="47" t="n"/>
      <c r="AL72" s="1049">
        <f>AJ72/AJ13</f>
        <v/>
      </c>
      <c r="AM72" s="29">
        <f>C72+F72+I72+L72+O72+R72+U72+X72+AA72+AD72+AG72+AJ72</f>
        <v/>
      </c>
      <c r="AN72" s="196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>
        <f>CALI!I73+HUNGRIA!I73+YUMBO!I73+'ADULTO MAYOR'!I73+'COMEDORES VALLE'!I73+BUGA!I73+'COMEDORES CALI'!I73+'CTAS EN PPACION'!I73+'COMEDORES PALMIRA'!I73+IMDERTY!I73</f>
        <v/>
      </c>
      <c r="J73" s="305" t="n"/>
      <c r="K73" s="86" t="n"/>
      <c r="L73" s="304">
        <f>CALI!L73+HUNGRIA!L73+YUMBO!L73+'ADULTO MAYOR'!L73+'COMEDORES VALLE'!L73+BUGA!L73+'COMEDORES CALI'!L73+'CTAS EN PPACION'!L73+'COMEDORES PALMIRA'!L73+IMDERTY!L73</f>
        <v/>
      </c>
      <c r="M73" s="305" t="n"/>
      <c r="N73" s="86" t="n"/>
      <c r="O73" s="304">
        <f>CALI!O73+HUNGRIA!O73+YUMBO!O73+'ADULTO MAYOR'!O73+'COMEDORES VALLE'!O73+BUGA!O73+'COMEDORES CALI'!O73+'CTAS EN PPACION'!O73+'COMEDORES PALMIRA'!O73+IMDERTY!O73</f>
        <v/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20" t="n"/>
    </row>
    <row r="74" ht="15" customHeight="1" s="986">
      <c r="B74" s="416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>
        <f>CALI!I74+HUNGRIA!I74+YUMBO!I74+'ADULTO MAYOR'!I74+'COMEDORES VALLE'!I74+BUGA!I74+'COMEDORES CALI'!I74+'CTAS EN PPACION'!I74+'COMEDORES PALMIRA'!I74+IMDERTY!I74</f>
        <v/>
      </c>
      <c r="J74" s="84" t="n"/>
      <c r="K74" s="85" t="n"/>
      <c r="L74" s="83">
        <f>CALI!L74+HUNGRIA!L74+YUMBO!L74+'ADULTO MAYOR'!L74+'COMEDORES VALLE'!L74+BUGA!L74+'COMEDORES CALI'!L74+'CTAS EN PPACION'!L74+'COMEDORES PALMIRA'!L74+IMDERTY!L74</f>
        <v/>
      </c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35" t="n"/>
    </row>
    <row r="75" ht="15" customHeight="1" s="986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071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>
        <f>CALI!I75+HUNGRIA!I75+YUMBO!I75+'ADULTO MAYOR'!I75+'COMEDORES VALLE'!I75+BUGA!I75+'COMEDORES CALI'!I75+'CTAS EN PPACION'!I75+'COMEDORES PALMIRA'!I75+IMDERTY!I75</f>
        <v/>
      </c>
      <c r="J75" s="67" t="n"/>
      <c r="K75" s="68" t="n"/>
      <c r="L75" s="37">
        <f>CALI!L75+HUNGRIA!L75+YUMBO!L75+'ADULTO MAYOR'!L75+'COMEDORES VALLE'!L75+BUGA!L75+'COMEDORES CALI'!L75+'CTAS EN PPACION'!L75+'COMEDORES PALMIRA'!L75+IMDERTY!L75</f>
        <v/>
      </c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071">
        <f>AM75/AM$13</f>
        <v/>
      </c>
    </row>
    <row r="76" ht="15" customHeight="1" s="986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071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>
        <f>CALI!I76+HUNGRIA!I76+YUMBO!I76+'ADULTO MAYOR'!I76+'COMEDORES VALLE'!I76+BUGA!I76+'COMEDORES CALI'!I76+'CTAS EN PPACION'!I76+'COMEDORES PALMIRA'!I76+IMDERTY!I76</f>
        <v/>
      </c>
      <c r="J76" s="67" t="n"/>
      <c r="K76" s="68" t="n"/>
      <c r="L76" s="37">
        <f>CALI!L76+HUNGRIA!L76+YUMBO!L76+'ADULTO MAYOR'!L76+'COMEDORES VALLE'!L76+BUGA!L76+'COMEDORES CALI'!L76+'CTAS EN PPACION'!L76+'COMEDORES PALMIRA'!L76+IMDERTY!L76</f>
        <v/>
      </c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36">
        <f>AM76/$AM$13</f>
        <v/>
      </c>
    </row>
    <row r="77" ht="15" customHeight="1" s="986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073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>
        <f>CALI!I77+HUNGRIA!I77+YUMBO!I77+'ADULTO MAYOR'!I77+'COMEDORES VALLE'!I77+BUGA!I77+'COMEDORES CALI'!I77+'CTAS EN PPACION'!I77+'COMEDORES PALMIRA'!I77+IMDERTY!I77</f>
        <v/>
      </c>
      <c r="J77" s="45" t="n"/>
      <c r="K77" s="58" t="n"/>
      <c r="L77" s="28">
        <f>CALI!L77+HUNGRIA!L77+YUMBO!L77+'ADULTO MAYOR'!L77+'COMEDORES VALLE'!L77+BUGA!L77+'COMEDORES CALI'!L77+'CTAS EN PPACION'!L77+'COMEDORES PALMIRA'!L77+IMDERTY!L77</f>
        <v/>
      </c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36">
        <f>AM77/$AM$13</f>
        <v/>
      </c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>
        <f>C78/C13</f>
        <v/>
      </c>
      <c r="F78" s="49">
        <f>SUM(F79:F81)</f>
        <v/>
      </c>
      <c r="G78" s="3" t="n"/>
      <c r="H78" s="1053">
        <f>F78/F13</f>
        <v/>
      </c>
      <c r="I78" s="49">
        <f>SUM(I79:I81)</f>
        <v/>
      </c>
      <c r="J78" s="3" t="n"/>
      <c r="K78" s="1053">
        <f>I78/I13</f>
        <v/>
      </c>
      <c r="L78" s="49">
        <f>SUM(L79:L81)</f>
        <v/>
      </c>
      <c r="M78" s="3" t="n"/>
      <c r="N78" s="1053">
        <f>L78/L13</f>
        <v/>
      </c>
      <c r="O78" s="49">
        <f>SUM(O79:O81)</f>
        <v/>
      </c>
      <c r="P78" s="3" t="n"/>
      <c r="Q78" s="1053">
        <f>O78/O13</f>
        <v/>
      </c>
      <c r="R78" s="90">
        <f>SUM(R79:R81)</f>
        <v/>
      </c>
      <c r="S78" s="3" t="n"/>
      <c r="T78" s="1053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053">
        <f>X78/X13</f>
        <v/>
      </c>
      <c r="AA78" s="49">
        <f>SUM(AA79:AA81)</f>
        <v/>
      </c>
      <c r="AB78" s="3" t="n"/>
      <c r="AC78" s="1053">
        <f>AA78/AA13</f>
        <v/>
      </c>
      <c r="AD78" s="49">
        <f>SUM(AD79:AD81)</f>
        <v/>
      </c>
      <c r="AE78" s="3" t="n"/>
      <c r="AF78" s="1053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51">
        <f>C78+F78+I78+L78+O78+R78+U78+X78+AA78+AD78+AG78+AJ78</f>
        <v/>
      </c>
      <c r="AN78" s="197" t="n"/>
      <c r="AO78" s="1237">
        <f>AM78/(AM$13)</f>
        <v/>
      </c>
    </row>
    <row r="79" ht="15" customHeight="1" s="986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077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077">
        <f>F79/(F$13)</f>
        <v/>
      </c>
      <c r="I79" s="39">
        <f>CALI!I79+HUNGRIA!I79+YUMBO!I79+'ADULTO MAYOR'!I79+'COMEDORES VALLE'!I79+BUGA!I79+'COMEDORES CALI'!I79+'CTAS EN PPACION'!I79+'COMEDORES PALMIRA'!I79+IMDERTY!I79</f>
        <v/>
      </c>
      <c r="J79" s="69" t="n"/>
      <c r="K79" s="1077">
        <f>I79/(I$13)</f>
        <v/>
      </c>
      <c r="L79" s="39">
        <f>CALI!L79+HUNGRIA!L79+YUMBO!L79+'ADULTO MAYOR'!L79+'COMEDORES VALLE'!L79+BUGA!L79+'COMEDORES CALI'!L79+'CTAS EN PPACION'!L79+'COMEDORES PALMIRA'!L79+IMDERTY!L79</f>
        <v/>
      </c>
      <c r="M79" s="69" t="n"/>
      <c r="N79" s="1077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077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077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38">
        <f>AM79/(AM$13)</f>
        <v/>
      </c>
    </row>
    <row r="80" ht="15" customHeight="1" s="986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45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45">
        <f>F80/(F$13)</f>
        <v/>
      </c>
      <c r="I80" s="25">
        <f>CALI!I80+HUNGRIA!I80+YUMBO!I80+'ADULTO MAYOR'!I80+'COMEDORES VALLE'!I80+BUGA!I80+'COMEDORES CALI'!I80+'CTAS EN PPACION'!I80+'COMEDORES PALMIRA'!I80+IMDERTY!I80</f>
        <v/>
      </c>
      <c r="J80" s="43" t="n"/>
      <c r="K80" s="1045">
        <f>I80/(I$13)</f>
        <v/>
      </c>
      <c r="L80" s="25">
        <f>CALI!L80+HUNGRIA!L80+YUMBO!L80+'ADULTO MAYOR'!L80+'COMEDORES VALLE'!L80+BUGA!L80+'COMEDORES CALI'!L80+'CTAS EN PPACION'!L80+'COMEDORES PALMIRA'!L80+IMDERTY!L80</f>
        <v/>
      </c>
      <c r="M80" s="43" t="n"/>
      <c r="N80" s="1045">
        <f>L80/(L$13)</f>
        <v/>
      </c>
      <c r="O80" s="25">
        <f>CALI!O80+HUNGRIA!O80+YUMBO!O80+'ADULTO MAYOR'!O80+'COMEDORES VALLE'!O80+BUGA!O80+'COMEDORES CALI'!O80+'CTAS EN PPACION'!O80+'COMEDORES PALMIRA'!O80+IMDERTY!O80</f>
        <v/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5" t="n"/>
      <c r="AO80" s="1238">
        <f>AM80/(AM$13)</f>
        <v/>
      </c>
    </row>
    <row r="81" ht="15" customHeight="1" s="986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>
        <f>CALI!I81+HUNGRIA!I81+YUMBO!I81+'ADULTO MAYOR'!I81+'COMEDORES VALLE'!I81+BUGA!I81+'COMEDORES CALI'!I81+'CTAS EN PPACION'!I81+'COMEDORES PALMIRA'!I81</f>
        <v/>
      </c>
      <c r="J81" s="214" t="n"/>
      <c r="K81" s="271">
        <f>I81/I13</f>
        <v/>
      </c>
      <c r="L81" s="269">
        <f>CALI!L81+HUNGRIA!L81+YUMBO!L81+'ADULTO MAYOR'!L81+'COMEDORES VALLE'!L81+BUGA!L81+'COMEDORES CALI'!L81+'CTAS EN PPACION'!L81+'COMEDORES PALMIRA'!L81</f>
        <v/>
      </c>
      <c r="M81" s="214" t="n"/>
      <c r="N81" s="271" t="n"/>
      <c r="O81" s="269">
        <f>CALI!O81+HUNGRIA!O81+YUMBO!O81+'ADULTO MAYOR'!O81+'COMEDORES VALLE'!O81+BUGA!O81+'COMEDORES CALI'!O81+'CTAS EN PPACION'!O81+'COMEDORES PALMIRA'!O81</f>
        <v/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5" t="n"/>
    </row>
    <row r="82" ht="15" customHeight="1" s="986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C83/C13</f>
        <v/>
      </c>
      <c r="F83" s="491">
        <f>+F84+F89+F92+F96+F99+F109+F114+F120+F123+F127</f>
        <v/>
      </c>
      <c r="G83" s="492" t="n"/>
      <c r="H83" s="1069">
        <f>F83/F13</f>
        <v/>
      </c>
      <c r="I83" s="491">
        <f>+I84+I89+I92+I96+I99+I109+I114+I120+I123+I127</f>
        <v/>
      </c>
      <c r="J83" s="492" t="n"/>
      <c r="K83" s="1069">
        <f>I83/I13</f>
        <v/>
      </c>
      <c r="L83" s="491">
        <f>+L84+L89+L92+L96+L99+L109+L114+L120+L123+L127</f>
        <v/>
      </c>
      <c r="M83" s="492" t="n"/>
      <c r="N83" s="1069">
        <f>L83/L13</f>
        <v/>
      </c>
      <c r="O83" s="491">
        <f>+O84+O89+O92+O96+O99+O109+O114+O120+O123+O127</f>
        <v/>
      </c>
      <c r="P83" s="492" t="n"/>
      <c r="Q83" s="1069">
        <f>O83/O13</f>
        <v/>
      </c>
      <c r="R83" s="491">
        <f>+R84+R89+R92+R96+R99+R109+R114+R120+R123+R127</f>
        <v/>
      </c>
      <c r="S83" s="492" t="n"/>
      <c r="T83" s="1069">
        <f>R83/R13</f>
        <v/>
      </c>
      <c r="U83" s="491">
        <f>+U84+U89+U92+U96+U99+U109+U114+U120+U123+U127</f>
        <v/>
      </c>
      <c r="V83" s="492" t="n"/>
      <c r="W83" s="1069">
        <f>U83/U13</f>
        <v/>
      </c>
      <c r="X83" s="491">
        <f>+X84+X89+X92+X96+X99+X109+X114+X120+X123+X127</f>
        <v/>
      </c>
      <c r="Y83" s="492" t="n"/>
      <c r="Z83" s="1069">
        <f>X83/X13</f>
        <v/>
      </c>
      <c r="AA83" s="491">
        <f>+AA84+AA89+AA92+AA96+AA99+AA109+AA114+AA120+AA123+AA127</f>
        <v/>
      </c>
      <c r="AB83" s="492" t="n"/>
      <c r="AC83" s="1069">
        <f>AA83/AA13</f>
        <v/>
      </c>
      <c r="AD83" s="491">
        <f>+AD84+AD89+AD92+AD96+AD99+AD109+AD114+AD120+AD123+AD127</f>
        <v/>
      </c>
      <c r="AE83" s="492" t="n"/>
      <c r="AF83" s="1069">
        <f>AD83/AD13</f>
        <v/>
      </c>
      <c r="AG83" s="491">
        <f>+AG84+AG89+AG92+AG96+AG99+AG109+AG114+AG120+AG123+AG127</f>
        <v/>
      </c>
      <c r="AH83" s="492" t="n"/>
      <c r="AI83" s="511">
        <f>AG83/AG13</f>
        <v/>
      </c>
      <c r="AJ83" s="491">
        <f>+AJ84+AJ89+AJ92+AJ96+AJ99+AJ109+AJ114+AJ120+AJ123+AJ127</f>
        <v/>
      </c>
      <c r="AK83" s="492" t="n"/>
      <c r="AL83" s="1069">
        <f>AJ83/AJ13</f>
        <v/>
      </c>
      <c r="AM83" s="595">
        <f>C83+F83+I83+L83+O83+R83+U83+X83+AA83+AD83+AG83+AJ83</f>
        <v/>
      </c>
      <c r="AN83" s="596" t="n"/>
      <c r="AO83" s="1239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F84/F$13</f>
        <v/>
      </c>
      <c r="I84" s="49">
        <f>SUM(I85:I88)</f>
        <v/>
      </c>
      <c r="J84" s="3" t="n"/>
      <c r="K84" s="1053">
        <f>I84/I$13</f>
        <v/>
      </c>
      <c r="L84" s="49">
        <f>SUM(L85:L88)</f>
        <v/>
      </c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053">
        <f>R84/R$13</f>
        <v/>
      </c>
      <c r="U84" s="49">
        <f>SUM(U85:U88)</f>
        <v/>
      </c>
      <c r="V84" s="3" t="n"/>
      <c r="W84" s="1053">
        <f>U84/U$13</f>
        <v/>
      </c>
      <c r="X84" s="49">
        <f>SUM(X85:X88)</f>
        <v/>
      </c>
      <c r="Y84" s="3" t="n"/>
      <c r="Z84" s="1053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37">
        <f>AM84/(AM$13)</f>
        <v/>
      </c>
    </row>
    <row r="85" ht="15" customHeight="1" s="986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077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077">
        <f>F85/F$13</f>
        <v/>
      </c>
      <c r="I85" s="39">
        <f>CALI!I85+HUNGRIA!I85+YUMBO!I85+'ADULTO MAYOR'!I85+'COMEDORES VALLE'!I85+BUGA!I85+'COMEDORES CALI'!I85+'CTAS EN PPACION'!I85+'COMEDORES PALMIRA'!I85+IMDERTY!I85</f>
        <v/>
      </c>
      <c r="J85" s="69" t="n"/>
      <c r="K85" s="1077">
        <f>I85/I$13</f>
        <v/>
      </c>
      <c r="L85" s="39">
        <f>CALI!L85+HUNGRIA!L85+YUMBO!L85+'ADULTO MAYOR'!L85+'COMEDORES VALLE'!L85+BUGA!L85+'COMEDORES CALI'!L85+'CTAS EN PPACION'!L85+'COMEDORES PALMIRA'!L85+IMDERTY!L85</f>
        <v/>
      </c>
      <c r="M85" s="69" t="n"/>
      <c r="N85" s="1077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077">
        <f>AM85/AM$13</f>
        <v/>
      </c>
    </row>
    <row r="86" ht="15" customHeight="1" s="986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45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45">
        <f>F86/F13</f>
        <v/>
      </c>
      <c r="I86" s="25">
        <f>CALI!I86+HUNGRIA!I86+YUMBO!I86+'ADULTO MAYOR'!I86+'COMEDORES VALLE'!I86+BUGA!I86+'COMEDORES CALI'!I86+'CTAS EN PPACION'!I86+'COMEDORES PALMIRA'!I86+IMDERTY!I86</f>
        <v/>
      </c>
      <c r="J86" s="43" t="n"/>
      <c r="K86" s="1045">
        <f>I86/I13</f>
        <v/>
      </c>
      <c r="L86" s="25">
        <f>CALI!L86+HUNGRIA!L86+YUMBO!L86+'ADULTO MAYOR'!L86+'COMEDORES VALLE'!L86+BUGA!L86+'COMEDORES CALI'!L86+'CTAS EN PPACION'!L86+'COMEDORES PALMIRA'!L86+IMDERTY!L86</f>
        <v/>
      </c>
      <c r="M86" s="43" t="n"/>
      <c r="N86" s="1045">
        <f>L86/L13</f>
        <v/>
      </c>
      <c r="O86" s="25">
        <f>CALI!O86+HUNGRIA!O86+YUMBO!O86+'ADULTO MAYOR'!O86+'COMEDORES VALLE'!O86+BUGA!O86+'COMEDORES CALI'!O86+'CTAS EN PPACION'!O86+'COMEDORES PALMIRA'!O86+IMDERTY!O86</f>
        <v/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5" t="n"/>
      <c r="AO86" s="1045">
        <f>AM86/AM13</f>
        <v/>
      </c>
    </row>
    <row r="87" ht="15" customHeight="1" s="986">
      <c r="A87" s="747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057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057">
        <f>F87/F$13</f>
        <v/>
      </c>
      <c r="I87" s="22">
        <f>CALI!I87+HUNGRIA!I87+YUMBO!I87+'ADULTO MAYOR'!I87+'COMEDORES VALLE'!I87+BUGA!I87+'COMEDORES CALI'!I87+'CTAS EN PPACION'!I87+'COMEDORES PALMIRA'!I87+IMDERTY!I87</f>
        <v/>
      </c>
      <c r="J87" s="42" t="n"/>
      <c r="K87" s="1057">
        <f>I87/I$13</f>
        <v/>
      </c>
      <c r="L87" s="22">
        <f>CALI!L87+HUNGRIA!L87+YUMBO!L87+'ADULTO MAYOR'!L87+'COMEDORES VALLE'!L87+BUGA!L87+'COMEDORES CALI'!L87+'CTAS EN PPACION'!L87+'COMEDORES PALMIRA'!L87+IMDERTY!L87</f>
        <v/>
      </c>
      <c r="M87" s="42" t="n"/>
      <c r="N87" s="1057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057">
        <f>AM87/AM$13</f>
        <v/>
      </c>
    </row>
    <row r="88" ht="15" customHeight="1" s="986">
      <c r="A88" s="747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>
        <f>CALI!I88+HUNGRIA!I88+YUMBO!I88+'ADULTO MAYOR'!I88+'COMEDORES VALLE'!I88+BUGA!I88+'COMEDORES CALI'!I88+'CTAS EN PPACION'!I88+'COMEDORES PALMIRA'!I88+IMDERTY!I88</f>
        <v/>
      </c>
      <c r="J88" s="84" t="n"/>
      <c r="K88" s="85" t="n"/>
      <c r="L88" s="83">
        <f>CALI!L88+HUNGRIA!L88+YUMBO!L88+'ADULTO MAYOR'!L88+'COMEDORES VALLE'!L88+BUGA!L88+'COMEDORES CALI'!L88+'CTAS EN PPACION'!L88+'COMEDORES PALMIRA'!L88+IMDERTY!L88</f>
        <v/>
      </c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>
        <f>SUM(I90:I91)</f>
        <v/>
      </c>
      <c r="J89" s="3" t="n"/>
      <c r="K89" s="61">
        <f>I89/I$13</f>
        <v/>
      </c>
      <c r="L89" s="49">
        <f>SUM(L90:L91)</f>
        <v/>
      </c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37">
        <f>AM89/(AM$13)</f>
        <v/>
      </c>
    </row>
    <row r="90" outlineLevel="1" ht="15" customHeight="1" s="986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>
        <f>CALI!I90+HUNGRIA!I90+YUMBO!I90+'ADULTO MAYOR'!I90+'COMEDORES VALLE'!I90+BUGA!I90+'COMEDORES CALI'!I90+'CTAS EN PPACION'!I90+'COMEDORES PALMIRA'!I90+IMDERTY!I90</f>
        <v/>
      </c>
      <c r="J90" s="69" t="n"/>
      <c r="K90" s="70" t="n"/>
      <c r="L90" s="39">
        <f>CALI!L90+HUNGRIA!L90+YUMBO!L90+'ADULTO MAYOR'!L90+'COMEDORES VALLE'!L90+BUGA!L90+'COMEDORES CALI'!L90+'CTAS EN PPACION'!L90+'COMEDORES PALMIRA'!L90+IMDERTY!L90</f>
        <v/>
      </c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986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>
        <f>CALI!I91+HUNGRIA!I91+YUMBO!I91+'ADULTO MAYOR'!I91+'COMEDORES VALLE'!I91+BUGA!I91+'COMEDORES CALI'!I91+'CTAS EN PPACION'!I91+'COMEDORES PALMIRA'!I91+IMDERTY!I91</f>
        <v/>
      </c>
      <c r="J91" s="84" t="n"/>
      <c r="K91" s="85" t="n"/>
      <c r="L91" s="83">
        <f>CALI!L91+HUNGRIA!L91+YUMBO!L91+'ADULTO MAYOR'!L91+'COMEDORES VALLE'!L91+BUGA!L91+'COMEDORES CALI'!L91+'CTAS EN PPACION'!L91+'COMEDORES PALMIRA'!L91+IMDERTY!L91</f>
        <v/>
      </c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>
        <f>C92/C$13</f>
        <v/>
      </c>
      <c r="F92" s="49">
        <f>SUM(F93:F95)</f>
        <v/>
      </c>
      <c r="G92" s="3" t="n"/>
      <c r="H92" s="61">
        <f>F92/F$13</f>
        <v/>
      </c>
      <c r="I92" s="49">
        <f>SUM(I93:I95)</f>
        <v/>
      </c>
      <c r="J92" s="3" t="n"/>
      <c r="K92" s="61">
        <f>I92/I$13</f>
        <v/>
      </c>
      <c r="L92" s="49">
        <f>SUM(L93:L95)</f>
        <v/>
      </c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37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>
        <f>CALI!I93+HUNGRIA!I93+YUMBO!I93+'ADULTO MAYOR'!I93+'COMEDORES VALLE'!I93+BUGA!I93+'COMEDORES CALI'!I93+'CTAS EN PPACION'!I93+'COMEDORES PALMIRA'!I93+IMDERTY!I93</f>
        <v/>
      </c>
      <c r="J93" s="69" t="n"/>
      <c r="K93" s="70" t="n"/>
      <c r="L93" s="39">
        <f>CALI!L93+HUNGRIA!L93+YUMBO!L93+'ADULTO MAYOR'!L93+'COMEDORES VALLE'!L93+BUGA!L93+'COMEDORES CALI'!L93+'CTAS EN PPACION'!L93+'COMEDORES PALMIRA'!L93+IMDERTY!L93</f>
        <v/>
      </c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986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>
        <f>CALI!I94+HUNGRIA!I94+YUMBO!I94+'ADULTO MAYOR'!I94+'COMEDORES VALLE'!I94+BUGA!I94+'COMEDORES CALI'!I94+'CTAS EN PPACION'!I94+'COMEDORES PALMIRA'!I94+IMDERTY!I94</f>
        <v/>
      </c>
      <c r="J94" s="43" t="n"/>
      <c r="K94" s="57" t="n"/>
      <c r="L94" s="25">
        <f>CALI!L94+HUNGRIA!L94+YUMBO!L94+'ADULTO MAYOR'!L94+'COMEDORES VALLE'!L94+BUGA!L94+'COMEDORES CALI'!L94+'CTAS EN PPACION'!L94+'COMEDORES PALMIRA'!L94+IMDERTY!L94</f>
        <v/>
      </c>
      <c r="M94" s="43" t="n"/>
      <c r="N94" s="57" t="n"/>
      <c r="O94" s="25">
        <f>CALI!O94+HUNGRIA!O94+YUMBO!O94+'ADULTO MAYOR'!O94+'COMEDORES VALLE'!O94+BUGA!O94+'COMEDORES CALI'!O94+'CTAS EN PPACION'!O94+'COMEDORES PALMIRA'!O94+IMDERTY!O94</f>
        <v/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986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>
        <f>CALI!I95+HUNGRIA!I95+YUMBO!I95+'ADULTO MAYOR'!I95+'COMEDORES VALLE'!I95+BUGA!I95+'COMEDORES CALI'!I95+'CTAS EN PPACION'!I95+'COMEDORES PALMIRA'!I95+IMDERTY!I95</f>
        <v/>
      </c>
      <c r="J95" s="45" t="n"/>
      <c r="K95" s="58" t="n"/>
      <c r="L95" s="28">
        <f>CALI!L95+HUNGRIA!L95+YUMBO!L95+'ADULTO MAYOR'!L95+'COMEDORES VALLE'!L95+BUGA!L95+'COMEDORES CALI'!L95+'CTAS EN PPACION'!L95+'COMEDORES PALMIRA'!L95+IMDERTY!L95</f>
        <v/>
      </c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986">
      <c r="B96" s="16" t="inlineStr">
        <is>
          <t>SEGUROS</t>
        </is>
      </c>
      <c r="C96" s="49">
        <f>SUM(C97:C98)</f>
        <v/>
      </c>
      <c r="D96" s="3" t="n"/>
      <c r="E96" s="1053">
        <f>C96/(C$13)</f>
        <v/>
      </c>
      <c r="F96" s="49">
        <f>SUM(F97:F98)</f>
        <v/>
      </c>
      <c r="G96" s="3" t="n"/>
      <c r="H96" s="61">
        <f>F96/F$13</f>
        <v/>
      </c>
      <c r="I96" s="49">
        <f>SUM(I97:I98)</f>
        <v/>
      </c>
      <c r="J96" s="3" t="n"/>
      <c r="K96" s="61">
        <f>I96/I$13</f>
        <v/>
      </c>
      <c r="L96" s="49">
        <f>SUM(L97:L98)</f>
        <v/>
      </c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37">
        <f>AM96/(AM$13)</f>
        <v/>
      </c>
    </row>
    <row r="97" ht="15" customHeight="1" s="986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077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>
        <f>CALI!I97+HUNGRIA!I97+YUMBO!I97+'ADULTO MAYOR'!I97+'COMEDORES VALLE'!I97+BUGA!I97+'COMEDORES CALI'!I97+'CTAS EN PPACION'!I97+'COMEDORES PALMIRA'!I97+IMDERTY!I97</f>
        <v/>
      </c>
      <c r="J97" s="69" t="n"/>
      <c r="K97" s="70" t="n"/>
      <c r="L97" s="39">
        <f>CALI!L97+HUNGRIA!L97+YUMBO!L97+'ADULTO MAYOR'!L97+'COMEDORES VALLE'!L97+BUGA!L97+'COMEDORES CALI'!L97+'CTAS EN PPACION'!L97+'COMEDORES PALMIRA'!L97+IMDERTY!L97</f>
        <v/>
      </c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986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084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>
        <f>CALI!I98+HUNGRIA!I98+YUMBO!I98+'ADULTO MAYOR'!I98+'COMEDORES VALLE'!I98+BUGA!I98+'COMEDORES CALI'!I98+'CTAS EN PPACION'!I98+'COMEDORES PALMIRA'!I98+IMDERTY!I98</f>
        <v/>
      </c>
      <c r="J98" s="276" t="n"/>
      <c r="K98" s="277" t="n"/>
      <c r="L98" s="275">
        <f>CALI!L98+HUNGRIA!L98+YUMBO!L98+'ADULTO MAYOR'!L98+'COMEDORES VALLE'!L98+BUGA!L98+'COMEDORES CALI'!L98+'CTAS EN PPACION'!L98+'COMEDORES PALMIRA'!L98+IMDERTY!L98</f>
        <v/>
      </c>
      <c r="M98" s="276" t="n"/>
      <c r="N98" s="277" t="n"/>
      <c r="O98" s="275">
        <f>CALI!O98+HUNGRIA!O98+YUMBO!O98+'ADULTO MAYOR'!O98+'COMEDORES VALLE'!O98+BUGA!O98+'COMEDORES CALI'!O98+'CTAS EN PPACION'!O98+'COMEDORES PALMIRA'!O98+IMDERTY!O98</f>
        <v/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61">
        <f>F99/F$13</f>
        <v/>
      </c>
      <c r="I99" s="49">
        <f>SUM(I100:I108)</f>
        <v/>
      </c>
      <c r="J99" s="3" t="n"/>
      <c r="K99" s="61">
        <f>I99/I$13</f>
        <v/>
      </c>
      <c r="L99" s="49">
        <f>SUM(L100:L108)</f>
        <v/>
      </c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37">
        <f>AM99/(AM$13)</f>
        <v/>
      </c>
    </row>
    <row r="100" ht="15" customHeight="1" s="986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077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>
        <f>CALI!I100+HUNGRIA!I100+YUMBO!I100+'ADULTO MAYOR'!I100+'COMEDORES VALLE'!I100+BUGA!I100+'COMEDORES CALI'!I100+'CTAS EN PPACION'!I100+'COMEDORES PALMIRA'!I100+IMDERTY!I100</f>
        <v/>
      </c>
      <c r="J100" s="69" t="n"/>
      <c r="K100" s="70" t="n"/>
      <c r="L100" s="39">
        <f>CALI!L100+HUNGRIA!L100+YUMBO!L100+'ADULTO MAYOR'!L100+'COMEDORES VALLE'!L100+BUGA!L100+'COMEDORES CALI'!L100+'CTAS EN PPACION'!L100+'COMEDORES PALMIRA'!L100+IMDERTY!L100</f>
        <v/>
      </c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986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45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>
        <f>CALI!I101+HUNGRIA!I101+YUMBO!I101+'ADULTO MAYOR'!I101+'COMEDORES VALLE'!I101+BUGA!I101+'COMEDORES CALI'!I101+'CTAS EN PPACION'!I101+'COMEDORES PALMIRA'!I101+IMDERTY!I101</f>
        <v/>
      </c>
      <c r="J101" s="43" t="n"/>
      <c r="K101" s="57" t="n"/>
      <c r="L101" s="25">
        <f>CALI!L101+HUNGRIA!L101+YUMBO!L101+'ADULTO MAYOR'!L101+'COMEDORES VALLE'!L101+BUGA!L101+'COMEDORES CALI'!L101+'CTAS EN PPACION'!L101+'COMEDORES PALMIRA'!L101+IMDERTY!L101</f>
        <v/>
      </c>
      <c r="M101" s="43" t="n"/>
      <c r="N101" s="57" t="n"/>
      <c r="O101" s="25">
        <f>CALI!O101+HUNGRIA!O101+YUMBO!O101+'ADULTO MAYOR'!O101+'COMEDORES VALLE'!O101+BUGA!O101+'COMEDORES CALI'!O101+'CTAS EN PPACION'!O101+'COMEDORES PALMIRA'!O101+IMDERTY!O101</f>
        <v/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986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45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>
        <f>CALI!I102+HUNGRIA!I102+YUMBO!I102+'ADULTO MAYOR'!I102+'COMEDORES VALLE'!I102+BUGA!I102+'COMEDORES CALI'!I102+'CTAS EN PPACION'!I102+'COMEDORES PALMIRA'!I102+IMDERTY!I102</f>
        <v/>
      </c>
      <c r="J102" s="43" t="n"/>
      <c r="K102" s="57" t="n"/>
      <c r="L102" s="25">
        <f>CALI!L102+HUNGRIA!L102+YUMBO!L102+'ADULTO MAYOR'!L102+'COMEDORES VALLE'!L102+BUGA!L102+'COMEDORES CALI'!L102+'CTAS EN PPACION'!L102+'COMEDORES PALMIRA'!L102+IMDERTY!L102</f>
        <v/>
      </c>
      <c r="M102" s="43" t="n"/>
      <c r="N102" s="57" t="n"/>
      <c r="O102" s="25">
        <f>CALI!O102+HUNGRIA!O102+YUMBO!O102+'ADULTO MAYOR'!O102+'COMEDORES VALLE'!O102+BUGA!O102+'COMEDORES CALI'!O102+'CTAS EN PPACION'!O102+'COMEDORES PALMIRA'!O102+IMDERTY!O102</f>
        <v/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986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45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>
        <f>CALI!I103+HUNGRIA!I103+YUMBO!I103+'ADULTO MAYOR'!I103+'COMEDORES VALLE'!I103+BUGA!I103+'COMEDORES CALI'!I103+'CTAS EN PPACION'!I103+'COMEDORES PALMIRA'!I103+IMDERTY!I103</f>
        <v/>
      </c>
      <c r="J103" s="43" t="n"/>
      <c r="K103" s="57" t="n"/>
      <c r="L103" s="25">
        <f>CALI!L103+HUNGRIA!L103+YUMBO!L103+'ADULTO MAYOR'!L103+'COMEDORES VALLE'!L103+BUGA!L103+'COMEDORES CALI'!L103+'CTAS EN PPACION'!L103+'COMEDORES PALMIRA'!L103+IMDERTY!L103</f>
        <v/>
      </c>
      <c r="M103" s="43" t="n"/>
      <c r="N103" s="57" t="n"/>
      <c r="O103" s="25">
        <f>CALI!O103+HUNGRIA!O103+YUMBO!O103+'ADULTO MAYOR'!O103+'COMEDORES VALLE'!O103+BUGA!O103+'COMEDORES CALI'!O103+'CTAS EN PPACION'!O103+'COMEDORES PALMIRA'!O103+IMDERTY!O103</f>
        <v/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986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45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>
        <f>CALI!I104+HUNGRIA!I104+YUMBO!I104+'ADULTO MAYOR'!I104+'COMEDORES VALLE'!I104+BUGA!I104+'COMEDORES CALI'!I104+'CTAS EN PPACION'!I104+'COMEDORES PALMIRA'!I104+IMDERTY!I104</f>
        <v/>
      </c>
      <c r="J104" s="43" t="n"/>
      <c r="K104" s="57" t="n"/>
      <c r="L104" s="25">
        <f>CALI!L104+HUNGRIA!L104+YUMBO!L104+'ADULTO MAYOR'!L104+'COMEDORES VALLE'!L104+BUGA!L104+'COMEDORES CALI'!L104+'CTAS EN PPACION'!L104+'COMEDORES PALMIRA'!L104+IMDERTY!L104</f>
        <v/>
      </c>
      <c r="M104" s="43" t="n"/>
      <c r="N104" s="57" t="n"/>
      <c r="O104" s="25">
        <f>CALI!O104+HUNGRIA!O104+YUMBO!O104+'ADULTO MAYOR'!O104+'COMEDORES VALLE'!O104+BUGA!O104+'COMEDORES CALI'!O104+'CTAS EN PPACION'!O104+'COMEDORES PALMIRA'!O104+IMDERTY!O104</f>
        <v/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986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45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>
        <f>CALI!I105+HUNGRIA!I105+YUMBO!I105+'ADULTO MAYOR'!I105+'COMEDORES VALLE'!I105+BUGA!I105+'COMEDORES CALI'!I105+'CTAS EN PPACION'!I105+'COMEDORES PALMIRA'!I105+IMDERTY!I105</f>
        <v/>
      </c>
      <c r="J105" s="43" t="n"/>
      <c r="K105" s="57" t="n"/>
      <c r="L105" s="25">
        <f>CALI!L105+HUNGRIA!L105+YUMBO!L105+'ADULTO MAYOR'!L105+'COMEDORES VALLE'!L105+BUGA!L105+'COMEDORES CALI'!L105+'CTAS EN PPACION'!L105+'COMEDORES PALMIRA'!L105+IMDERTY!L105</f>
        <v/>
      </c>
      <c r="M105" s="43" t="n"/>
      <c r="N105" s="57" t="n"/>
      <c r="O105" s="25">
        <f>CALI!O105+HUNGRIA!O105+YUMBO!O105+'ADULTO MAYOR'!O105+'COMEDORES VALLE'!O105+BUGA!O105+'COMEDORES CALI'!O105+'CTAS EN PPACION'!O105+'COMEDORES PALMIRA'!O105+IMDERTY!O105</f>
        <v/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986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45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>
        <f>CALI!I106+HUNGRIA!I106+YUMBO!I106+'ADULTO MAYOR'!I106+'COMEDORES VALLE'!I106+BUGA!I106+'COMEDORES CALI'!I106+'CTAS EN PPACION'!I106+'COMEDORES PALMIRA'!I106+IMDERTY!I106</f>
        <v/>
      </c>
      <c r="J106" s="43" t="n"/>
      <c r="K106" s="57" t="n"/>
      <c r="L106" s="25">
        <f>CALI!L106+HUNGRIA!L106+YUMBO!L106+'ADULTO MAYOR'!L106+'COMEDORES VALLE'!L106+BUGA!L106+'COMEDORES CALI'!L106+'CTAS EN PPACION'!L106+'COMEDORES PALMIRA'!L106+IMDERTY!L106</f>
        <v/>
      </c>
      <c r="M106" s="43" t="n"/>
      <c r="N106" s="57" t="n"/>
      <c r="O106" s="25">
        <f>CALI!O106+HUNGRIA!O106+YUMBO!O106+'ADULTO MAYOR'!O106+'COMEDORES VALLE'!O106+BUGA!O106+'COMEDORES CALI'!O106+'CTAS EN PPACION'!O106+'COMEDORES PALMIRA'!O106+IMDERTY!O106</f>
        <v/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986">
      <c r="B107" s="205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45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>
        <f>CALI!I107+HUNGRIA!I107+YUMBO!I107+'ADULTO MAYOR'!I107+'COMEDORES VALLE'!I107+BUGA!I107+'COMEDORES CALI'!I107+'CTAS EN PPACION'!I107+'COMEDORES PALMIRA'!I107+IMDERTY!I107</f>
        <v/>
      </c>
      <c r="J107" s="43" t="n"/>
      <c r="K107" s="57" t="n"/>
      <c r="L107" s="25">
        <f>CALI!L107+HUNGRIA!L107+YUMBO!L107+'ADULTO MAYOR'!L107+'COMEDORES VALLE'!L107+BUGA!L107+'COMEDORES CALI'!L107+'CTAS EN PPACION'!L107+'COMEDORES PALMIRA'!L107+IMDERTY!L107</f>
        <v/>
      </c>
      <c r="M107" s="43" t="n"/>
      <c r="N107" s="57" t="n"/>
      <c r="O107" s="25">
        <f>CALI!O107+HUNGRIA!O107+YUMBO!O107+'ADULTO MAYOR'!O107+'COMEDORES VALLE'!O107+BUGA!O107+'COMEDORES CALI'!O107+'CTAS EN PPACION'!O107+'COMEDORES PALMIRA'!O107+IMDERTY!O107</f>
        <v/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986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057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>
        <f>CALI!I108+HUNGRIA!I108+YUMBO!I108+'ADULTO MAYOR'!I108+'COMEDORES VALLE'!I108+BUGA!I108+'COMEDORES CALI'!I108+'CTAS EN PPACION'!I108+'COMEDORES PALMIRA'!I108+IMDERTY!I108</f>
        <v/>
      </c>
      <c r="J108" s="42" t="n"/>
      <c r="K108" s="56" t="n"/>
      <c r="L108" s="28">
        <f>CALI!L108+HUNGRIA!L108+YUMBO!L108+'ADULTO MAYOR'!L108+'COMEDORES VALLE'!L108+BUGA!L108+'COMEDORES CALI'!L108+'CTAS EN PPACION'!L108+'COMEDORES PALMIRA'!L108+IMDERTY!L108</f>
        <v/>
      </c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>
        <f>C109/(C$13)</f>
        <v/>
      </c>
      <c r="F109" s="49">
        <f>SUM(F110:F113)</f>
        <v/>
      </c>
      <c r="G109" s="3" t="n"/>
      <c r="H109" s="61" t="n"/>
      <c r="I109" s="49">
        <f>SUM(I110:I113)</f>
        <v/>
      </c>
      <c r="J109" s="3" t="n"/>
      <c r="K109" s="61" t="n"/>
      <c r="L109" s="49">
        <f>SUM(L110:L113)</f>
        <v/>
      </c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37">
        <f>AM109/(AM$13)</f>
        <v/>
      </c>
    </row>
    <row r="110" ht="15" customHeight="1" s="986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077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>
        <f>CALI!I110+HUNGRIA!I110+YUMBO!I110+'ADULTO MAYOR'!I110+'COMEDORES VALLE'!I110+BUGA!I110+'COMEDORES CALI'!I110+'CTAS EN PPACION'!I110+'COMEDORES PALMIRA'!I110+IMDERTY!I110</f>
        <v/>
      </c>
      <c r="J110" s="69" t="n"/>
      <c r="K110" s="70" t="n"/>
      <c r="L110" s="39">
        <f>CALI!L110+HUNGRIA!L110+YUMBO!L110+'ADULTO MAYOR'!L110+'COMEDORES VALLE'!L110+BUGA!L110+'COMEDORES CALI'!L110+'CTAS EN PPACION'!L110+'COMEDORES PALMIRA'!L110+IMDERTY!L110</f>
        <v/>
      </c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986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45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>
        <f>CALI!I111+HUNGRIA!I111+YUMBO!I111+'ADULTO MAYOR'!I111+'COMEDORES VALLE'!I111+BUGA!I111+'COMEDORES CALI'!I111+'CTAS EN PPACION'!I111+'COMEDORES PALMIRA'!I111+IMDERTY!I111</f>
        <v/>
      </c>
      <c r="J111" s="43" t="n"/>
      <c r="K111" s="57" t="n"/>
      <c r="L111" s="25">
        <f>CALI!L111+HUNGRIA!L111+YUMBO!L111+'ADULTO MAYOR'!L111+'COMEDORES VALLE'!L111+BUGA!L111+'COMEDORES CALI'!L111+'CTAS EN PPACION'!L111+'COMEDORES PALMIRA'!L111+IMDERTY!L111</f>
        <v/>
      </c>
      <c r="M111" s="43" t="n"/>
      <c r="N111" s="57" t="n"/>
      <c r="O111" s="25">
        <f>CALI!O111+HUNGRIA!O111+YUMBO!O111+'ADULTO MAYOR'!O111+'COMEDORES VALLE'!O111+BUGA!O111+'COMEDORES CALI'!O111+'CTAS EN PPACION'!O111+'COMEDORES PALMIRA'!O111+IMDERTY!O111</f>
        <v/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986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45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>
        <f>CALI!I112+HUNGRIA!I112+YUMBO!I112+'ADULTO MAYOR'!I112+'COMEDORES VALLE'!I112+BUGA!I112+'COMEDORES CALI'!I112+'CTAS EN PPACION'!I112+'COMEDORES PALMIRA'!I112+IMDERTY!I112</f>
        <v/>
      </c>
      <c r="J112" s="43" t="n"/>
      <c r="K112" s="57" t="n"/>
      <c r="L112" s="25">
        <f>CALI!L112+HUNGRIA!L112+YUMBO!L112+'ADULTO MAYOR'!L112+'COMEDORES VALLE'!L112+BUGA!L112+'COMEDORES CALI'!L112+'CTAS EN PPACION'!L112+'COMEDORES PALMIRA'!L112+IMDERTY!L112</f>
        <v/>
      </c>
      <c r="M112" s="43" t="n"/>
      <c r="N112" s="57" t="n"/>
      <c r="O112" s="25">
        <f>CALI!O112+HUNGRIA!O112+YUMBO!O112+'ADULTO MAYOR'!O112+'COMEDORES VALLE'!O112+BUGA!O112+'COMEDORES CALI'!O112+'CTAS EN PPACION'!O112+'COMEDORES PALMIRA'!O112+IMDERTY!O112</f>
        <v/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986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073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>
        <f>CALI!I113+HUNGRIA!I113+YUMBO!I113+'ADULTO MAYOR'!I113+'COMEDORES VALLE'!I113+BUGA!I113+'COMEDORES CALI'!I113+'CTAS EN PPACION'!I113+'COMEDORES PALMIRA'!I113+IMDERTY!I113</f>
        <v/>
      </c>
      <c r="J113" s="45" t="n"/>
      <c r="K113" s="58" t="n"/>
      <c r="L113" s="28">
        <f>CALI!L113+HUNGRIA!L113+YUMBO!L113+'ADULTO MAYOR'!L113+'COMEDORES VALLE'!L113+BUGA!L113+'COMEDORES CALI'!L113+'CTAS EN PPACION'!L113+'COMEDORES PALMIRA'!L113+IMDERTY!L113</f>
        <v/>
      </c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98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61">
        <f>F114/F$13</f>
        <v/>
      </c>
      <c r="I114" s="49">
        <f>SUM(I115:I119)</f>
        <v/>
      </c>
      <c r="J114" s="3" t="n"/>
      <c r="K114" s="61">
        <f>I114/I$13</f>
        <v/>
      </c>
      <c r="L114" s="49">
        <f>SUM(L115:L119)</f>
        <v/>
      </c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37">
        <f>AM114/(AM$13)</f>
        <v/>
      </c>
    </row>
    <row r="115" ht="15" customHeight="1" s="986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077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>
        <f>CALI!I115+HUNGRIA!I115+YUMBO!I115+'ADULTO MAYOR'!I115+'COMEDORES VALLE'!I115+BUGA!I115+'COMEDORES CALI'!I115+'CTAS EN PPACION'!I115+'COMEDORES PALMIRA'!I115+IMDERTY!I115</f>
        <v/>
      </c>
      <c r="J115" s="69" t="n"/>
      <c r="K115" s="70" t="n"/>
      <c r="L115" s="39">
        <f>CALI!L115+HUNGRIA!L115+YUMBO!L115+'ADULTO MAYOR'!L115+'COMEDORES VALLE'!L115+BUGA!L115+'COMEDORES CALI'!L115+'CTAS EN PPACION'!L115+'COMEDORES PALMIRA'!L115+IMDERTY!L115</f>
        <v/>
      </c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986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45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>
        <f>CALI!I116+HUNGRIA!I116+YUMBO!I116+'ADULTO MAYOR'!I116+'COMEDORES VALLE'!I116+BUGA!I116+'COMEDORES CALI'!I116+'CTAS EN PPACION'!I116+'COMEDORES PALMIRA'!I116+IMDERTY!I116</f>
        <v/>
      </c>
      <c r="J116" s="43" t="n"/>
      <c r="K116" s="57" t="n"/>
      <c r="L116" s="25">
        <f>CALI!L116+HUNGRIA!L116+YUMBO!L116+'ADULTO MAYOR'!L116+'COMEDORES VALLE'!L116+BUGA!L116+'COMEDORES CALI'!L116+'CTAS EN PPACION'!L116+'COMEDORES PALMIRA'!L116+IMDERTY!L116</f>
        <v/>
      </c>
      <c r="M116" s="43" t="n"/>
      <c r="N116" s="57" t="n"/>
      <c r="O116" s="25">
        <f>CALI!O116+HUNGRIA!O116+YUMBO!O116+'ADULTO MAYOR'!O116+'COMEDORES VALLE'!O116+BUGA!O116+'COMEDORES CALI'!O116+'CTAS EN PPACION'!O116+'COMEDORES PALMIRA'!O116+IMDERTY!O116</f>
        <v/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986">
      <c r="A117" s="153" t="inlineStr">
        <is>
          <t xml:space="preserve">73451502            </t>
        </is>
      </c>
      <c r="B117" s="205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45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>
        <f>CALI!I117+HUNGRIA!I117+YUMBO!I117+'ADULTO MAYOR'!I117+'COMEDORES VALLE'!I117+BUGA!I117+'COMEDORES CALI'!I117+'CTAS EN PPACION'!I117+'COMEDORES PALMIRA'!I117+IMDERTY!I117</f>
        <v/>
      </c>
      <c r="J117" s="43" t="n"/>
      <c r="K117" s="57" t="n"/>
      <c r="L117" s="25">
        <f>CALI!L117+HUNGRIA!L117+YUMBO!L117+'ADULTO MAYOR'!L117+'COMEDORES VALLE'!L117+BUGA!L117+'COMEDORES CALI'!L117+'CTAS EN PPACION'!L117+'COMEDORES PALMIRA'!L117+IMDERTY!L117</f>
        <v/>
      </c>
      <c r="M117" s="43" t="n"/>
      <c r="N117" s="57" t="n"/>
      <c r="O117" s="25">
        <f>CALI!O117+HUNGRIA!O117+YUMBO!O117+'ADULTO MAYOR'!O117+'COMEDORES VALLE'!O117+BUGA!O117+'COMEDORES CALI'!O117+'CTAS EN PPACION'!O117+'COMEDORES PALMIRA'!O117+IMDERTY!O117</f>
        <v/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986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45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>
        <f>CALI!I118+HUNGRIA!I118+YUMBO!I118+'ADULTO MAYOR'!I118+'COMEDORES VALLE'!I118+BUGA!I118+'COMEDORES CALI'!I118+'CTAS EN PPACION'!I118+'COMEDORES PALMIRA'!I118+IMDERTY!I118</f>
        <v/>
      </c>
      <c r="J118" s="43" t="n"/>
      <c r="K118" s="57" t="n"/>
      <c r="L118" s="25">
        <f>CALI!L118+HUNGRIA!L118+YUMBO!L118+'ADULTO MAYOR'!L118+'COMEDORES VALLE'!L118+BUGA!L118+'COMEDORES CALI'!L118+'CTAS EN PPACION'!L118+'COMEDORES PALMIRA'!L118+IMDERTY!L118</f>
        <v/>
      </c>
      <c r="M118" s="43" t="n"/>
      <c r="N118" s="57" t="n"/>
      <c r="O118" s="25">
        <f>CALI!O118+HUNGRIA!O118+YUMBO!O118+'ADULTO MAYOR'!O118+'COMEDORES VALLE'!O118+BUGA!O118+'COMEDORES CALI'!O118+'CTAS EN PPACION'!O118+'COMEDORES PALMIRA'!O118+IMDERTY!O118</f>
        <v/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986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45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>
        <f>CALI!I119+HUNGRIA!I119+YUMBO!I119+'ADULTO MAYOR'!I119+'COMEDORES VALLE'!I119+BUGA!I119+'COMEDORES CALI'!I119+'CTAS EN PPACION'!I119+'COMEDORES PALMIRA'!I119+IMDERTY!I119</f>
        <v/>
      </c>
      <c r="J119" s="43" t="n"/>
      <c r="K119" s="57" t="n"/>
      <c r="L119" s="25">
        <f>CALI!L119+HUNGRIA!L119+YUMBO!L119+'ADULTO MAYOR'!L119+'COMEDORES VALLE'!L119+BUGA!L119+'COMEDORES CALI'!L119+'CTAS EN PPACION'!L119+'COMEDORES PALMIRA'!L119+IMDERTY!L119</f>
        <v/>
      </c>
      <c r="M119" s="42" t="n"/>
      <c r="N119" s="56" t="n"/>
      <c r="O119" s="25">
        <f>CALI!O119+HUNGRIA!O119+YUMBO!O119+'ADULTO MAYOR'!O119+'COMEDORES VALLE'!O119+BUGA!O119+'COMEDORES CALI'!O119+'CTAS EN PPACION'!O119+'COMEDORES PALMIRA'!O119+IMDERTY!O119</f>
        <v/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SUM(F121:F122)</f>
        <v/>
      </c>
      <c r="G120" s="3" t="n"/>
      <c r="H120" s="61">
        <f>F120/F$13</f>
        <v/>
      </c>
      <c r="I120" s="49">
        <f>SUM(I121:I122)</f>
        <v/>
      </c>
      <c r="J120" s="3" t="n"/>
      <c r="K120" s="61">
        <f>I120/I$13</f>
        <v/>
      </c>
      <c r="L120" s="49">
        <f>SUM(L121:L122)</f>
        <v/>
      </c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37">
        <f>AM120/(AM$13)</f>
        <v/>
      </c>
    </row>
    <row r="121" ht="15" customHeight="1" s="986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077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>
        <f>CALI!I121+HUNGRIA!I121+YUMBO!I121+'ADULTO MAYOR'!I121+'COMEDORES VALLE'!I121+BUGA!I121+'COMEDORES CALI'!I121+'CTAS EN PPACION'!I121+'COMEDORES PALMIRA'!I121+IMDERTY!I121</f>
        <v/>
      </c>
      <c r="J121" s="69" t="n"/>
      <c r="K121" s="70" t="n"/>
      <c r="L121" s="39">
        <f>CALI!L121+HUNGRIA!L121+YUMBO!L121+'ADULTO MAYOR'!L121+'COMEDORES VALLE'!L121+BUGA!L121+'COMEDORES CALI'!L121+'CTAS EN PPACION'!L121+'COMEDORES PALMIRA'!L121+IMDERTY!L121</f>
        <v/>
      </c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986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063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>
        <f>CALI!I122+HUNGRIA!I122+YUMBO!I122+'ADULTO MAYOR'!I122+'COMEDORES VALLE'!I122+BUGA!I122+'COMEDORES CALI'!I122+'CTAS EN PPACION'!I122+'COMEDORES PALMIRA'!I122+IMDERTY!I122</f>
        <v/>
      </c>
      <c r="J122" s="92" t="n"/>
      <c r="K122" s="88" t="n"/>
      <c r="L122" s="275">
        <f>CALI!L122+HUNGRIA!L122+YUMBO!L122+'ADULTO MAYOR'!L122+'COMEDORES VALLE'!L122+BUGA!L122+'COMEDORES CALI'!L122+'CTAS EN PPACION'!L122+'COMEDORES PALMIRA'!L122+IMDERTY!L122</f>
        <v/>
      </c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>
        <f>C123/(C$13)</f>
        <v/>
      </c>
      <c r="F123" s="49">
        <f>SUM(F124:F126)</f>
        <v/>
      </c>
      <c r="G123" s="3" t="n"/>
      <c r="H123" s="61">
        <f>F123/F$13</f>
        <v/>
      </c>
      <c r="I123" s="49">
        <f>SUM(I124:I126)</f>
        <v/>
      </c>
      <c r="J123" s="3" t="n"/>
      <c r="K123" s="61">
        <f>I123/I$13</f>
        <v/>
      </c>
      <c r="L123" s="49">
        <f>SUM(L124:L126)</f>
        <v/>
      </c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37">
        <f>AM123/(AM$13)</f>
        <v/>
      </c>
    </row>
    <row r="124" ht="15" customHeight="1" s="986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077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>
        <f>CALI!I124+HUNGRIA!I124+YUMBO!I124+'ADULTO MAYOR'!I124+'COMEDORES VALLE'!I124+BUGA!I124+'COMEDORES CALI'!I124+'CTAS EN PPACION'!I124+'COMEDORES PALMIRA'!I124+IMDERTY!I124</f>
        <v/>
      </c>
      <c r="J124" s="69" t="n"/>
      <c r="K124" s="70" t="n"/>
      <c r="L124" s="39">
        <f>CALI!L124+HUNGRIA!L124+YUMBO!L124+'ADULTO MAYOR'!L124+'COMEDORES VALLE'!L124+BUGA!L124+'COMEDORES CALI'!L124+'CTAS EN PPACION'!L124+'COMEDORES PALMIRA'!L124+IMDERTY!L124</f>
        <v/>
      </c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986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45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>
        <f>CALI!I125+HUNGRIA!I125+YUMBO!I125+'ADULTO MAYOR'!I125+'COMEDORES VALLE'!I125+BUGA!I125+'COMEDORES CALI'!I125+'CTAS EN PPACION'!I125+'COMEDORES PALMIRA'!I125+IMDERTY!I125</f>
        <v/>
      </c>
      <c r="J125" s="43" t="n"/>
      <c r="K125" s="57" t="n"/>
      <c r="L125" s="25">
        <f>CALI!L125+HUNGRIA!L125+YUMBO!L125+'ADULTO MAYOR'!L125+'COMEDORES VALLE'!L125+BUGA!L125+'COMEDORES CALI'!L125+'CTAS EN PPACION'!L125+'COMEDORES PALMIRA'!L125+IMDERTY!L125</f>
        <v/>
      </c>
      <c r="M125" s="43" t="n"/>
      <c r="N125" s="57" t="n"/>
      <c r="O125" s="25">
        <f>CALI!O125+HUNGRIA!O125+YUMBO!O125+'ADULTO MAYOR'!O125+'COMEDORES VALLE'!O125+BUGA!O125+'COMEDORES CALI'!O125+'CTAS EN PPACION'!O125+'COMEDORES PALMIRA'!O125+IMDERTY!O125</f>
        <v/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986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073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>
        <f>CALI!I126+HUNGRIA!I126+YUMBO!I126+'ADULTO MAYOR'!I126+'COMEDORES VALLE'!I126+BUGA!I126+'COMEDORES CALI'!I126+'CTAS EN PPACION'!I126+'COMEDORES PALMIRA'!I126+IMDERTY!I126</f>
        <v/>
      </c>
      <c r="J126" s="45" t="n"/>
      <c r="K126" s="58" t="n"/>
      <c r="L126" s="28">
        <f>CALI!L126+HUNGRIA!L126+YUMBO!L126+'ADULTO MAYOR'!L126+'COMEDORES VALLE'!L126+BUGA!L126+'COMEDORES CALI'!L126+'CTAS EN PPACION'!L126+'COMEDORES PALMIRA'!L126+IMDERTY!L126</f>
        <v/>
      </c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>
        <f>C127/(C$13)</f>
        <v/>
      </c>
      <c r="F127" s="49">
        <f>SUM(F128:F142)</f>
        <v/>
      </c>
      <c r="G127" s="3" t="n"/>
      <c r="H127" s="61">
        <f>F127/F$13</f>
        <v/>
      </c>
      <c r="I127" s="49">
        <f>SUM(I128:I142)</f>
        <v/>
      </c>
      <c r="J127" s="3" t="n"/>
      <c r="K127" s="61">
        <f>I127/I$13</f>
        <v/>
      </c>
      <c r="L127" s="49">
        <f>SUM(L128:L142)</f>
        <v/>
      </c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37">
        <f>AM127/(AM$13)</f>
        <v/>
      </c>
    </row>
    <row r="128" ht="15" customHeight="1" s="986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077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>
        <f>CALI!I128+HUNGRIA!I128+YUMBO!I128+'ADULTO MAYOR'!I128+'COMEDORES VALLE'!I128+BUGA!I128+'COMEDORES CALI'!I128+'CTAS EN PPACION'!I128+'COMEDORES PALMIRA'!I128+IMDERTY!I128</f>
        <v/>
      </c>
      <c r="J128" s="69" t="n"/>
      <c r="K128" s="70" t="n"/>
      <c r="L128" s="39">
        <f>CALI!L128+HUNGRIA!L128+YUMBO!L128+'ADULTO MAYOR'!L128+'COMEDORES VALLE'!L128+BUGA!L128+'COMEDORES CALI'!L128+'CTAS EN PPACION'!L128+'COMEDORES PALMIRA'!L128+IMDERTY!L128</f>
        <v/>
      </c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986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45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>
        <f>CALI!I129+HUNGRIA!I129+YUMBO!I129+'ADULTO MAYOR'!I129+'COMEDORES VALLE'!I129+BUGA!I129+'COMEDORES CALI'!I129+'CTAS EN PPACION'!I129+'COMEDORES PALMIRA'!I129+IMDERTY!I129</f>
        <v/>
      </c>
      <c r="J129" s="43" t="n"/>
      <c r="K129" s="57" t="n"/>
      <c r="L129" s="25">
        <f>CALI!L129+HUNGRIA!L129+YUMBO!L129+'ADULTO MAYOR'!L129+'COMEDORES VALLE'!L129+BUGA!L129+'COMEDORES CALI'!L129+'CTAS EN PPACION'!L129+'COMEDORES PALMIRA'!L129+IMDERTY!L129</f>
        <v/>
      </c>
      <c r="M129" s="43" t="n"/>
      <c r="N129" s="57" t="n"/>
      <c r="O129" s="25">
        <f>CALI!O129+HUNGRIA!O129+YUMBO!O129+'ADULTO MAYOR'!O129+'COMEDORES VALLE'!O129+BUGA!O129+'COMEDORES CALI'!O129+'CTAS EN PPACION'!O129+'COMEDORES PALMIRA'!O129+IMDERTY!O129</f>
        <v/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986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45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45" t="n"/>
      <c r="I130" s="25">
        <f>CALI!I130+HUNGRIA!I130+YUMBO!I130+'ADULTO MAYOR'!I130+'COMEDORES VALLE'!I130+BUGA!I130+'COMEDORES CALI'!I130+'CTAS EN PPACION'!I130+'COMEDORES PALMIRA'!I130+IMDERTY!I130</f>
        <v/>
      </c>
      <c r="J130" s="43" t="n"/>
      <c r="K130" s="1045" t="n"/>
      <c r="L130" s="25">
        <f>CALI!L130+HUNGRIA!L130+YUMBO!L130+'ADULTO MAYOR'!L130+'COMEDORES VALLE'!L130+BUGA!L130+'COMEDORES CALI'!L130+'CTAS EN PPACION'!L130+'COMEDORES PALMIRA'!L130+IMDERTY!L130</f>
        <v/>
      </c>
      <c r="M130" s="43" t="n"/>
      <c r="N130" s="1045" t="n"/>
      <c r="O130" s="25">
        <f>CALI!O130+HUNGRIA!O130+YUMBO!O130+'ADULTO MAYOR'!O130+'COMEDORES VALLE'!O130+BUGA!O130+'COMEDORES CALI'!O130+'CTAS EN PPACION'!O130+'COMEDORES PALMIRA'!O130+IMDERTY!O130</f>
        <v/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5" t="n"/>
      <c r="AO130" s="1045" t="n"/>
    </row>
    <row r="131" ht="15" customHeight="1" s="986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45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>
        <f>CALI!I131+HUNGRIA!I131+YUMBO!I131+'ADULTO MAYOR'!I131+'COMEDORES VALLE'!I131+BUGA!I131+'COMEDORES CALI'!I131+'CTAS EN PPACION'!I131+'COMEDORES PALMIRA'!I131+IMDERTY!I131</f>
        <v/>
      </c>
      <c r="J131" s="43" t="n"/>
      <c r="K131" s="57" t="n"/>
      <c r="L131" s="25">
        <f>CALI!L131+HUNGRIA!L131+YUMBO!L131+'ADULTO MAYOR'!L131+'COMEDORES VALLE'!L131+BUGA!L131+'COMEDORES CALI'!L131+'CTAS EN PPACION'!L131+'COMEDORES PALMIRA'!L131+IMDERTY!L131</f>
        <v/>
      </c>
      <c r="M131" s="43" t="n"/>
      <c r="N131" s="57" t="n"/>
      <c r="O131" s="25">
        <f>CALI!O131+HUNGRIA!O131+YUMBO!O131+'ADULTO MAYOR'!O131+'COMEDORES VALLE'!O131+BUGA!O131+'COMEDORES CALI'!O131+'CTAS EN PPACION'!O131+'COMEDORES PALMIRA'!O131+IMDERTY!O131</f>
        <v/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986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45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>
        <f>CALI!I132+HUNGRIA!I132+YUMBO!I132+'ADULTO MAYOR'!I132+'COMEDORES VALLE'!I132+BUGA!I132+'COMEDORES CALI'!I132+'CTAS EN PPACION'!I132+'COMEDORES PALMIRA'!I132+IMDERTY!I132</f>
        <v/>
      </c>
      <c r="J132" s="43" t="n"/>
      <c r="K132" s="57" t="n"/>
      <c r="L132" s="25">
        <f>CALI!L132+HUNGRIA!L132+YUMBO!L132+'ADULTO MAYOR'!L132+'COMEDORES VALLE'!L132+BUGA!L132+'COMEDORES CALI'!L132+'CTAS EN PPACION'!L132+'COMEDORES PALMIRA'!L132+IMDERTY!L132</f>
        <v/>
      </c>
      <c r="M132" s="43" t="n"/>
      <c r="N132" s="57" t="n"/>
      <c r="O132" s="25">
        <f>CALI!O132+HUNGRIA!O132+YUMBO!O132+'ADULTO MAYOR'!O132+'COMEDORES VALLE'!O132+BUGA!O132+'COMEDORES CALI'!O132+'CTAS EN PPACION'!O132+'COMEDORES PALMIRA'!O132+IMDERTY!O132</f>
        <v/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986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45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>
        <f>CALI!I133+HUNGRIA!I133+YUMBO!I133+'ADULTO MAYOR'!I133+'COMEDORES VALLE'!I133+BUGA!I133+'COMEDORES CALI'!I133+'CTAS EN PPACION'!I133+'COMEDORES PALMIRA'!I133+IMDERTY!I133</f>
        <v/>
      </c>
      <c r="J133" s="43" t="n"/>
      <c r="K133" s="57" t="n"/>
      <c r="L133" s="25">
        <f>CALI!L133+HUNGRIA!L133+YUMBO!L133+'ADULTO MAYOR'!L133+'COMEDORES VALLE'!L133+BUGA!L133+'COMEDORES CALI'!L133+'CTAS EN PPACION'!L133+'COMEDORES PALMIRA'!L133+IMDERTY!L133</f>
        <v/>
      </c>
      <c r="M133" s="43" t="n"/>
      <c r="N133" s="57" t="n"/>
      <c r="O133" s="25">
        <f>CALI!O133+HUNGRIA!O133+YUMBO!O133+'ADULTO MAYOR'!O133+'COMEDORES VALLE'!O133+BUGA!O133+'COMEDORES CALI'!O133+'CTAS EN PPACION'!O133+'COMEDORES PALMIRA'!O133+IMDERTY!O133</f>
        <v/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986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45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>
        <f>CALI!I134+HUNGRIA!I134+YUMBO!I134+'ADULTO MAYOR'!I134+'COMEDORES VALLE'!I134+BUGA!I134+'COMEDORES CALI'!I134+'CTAS EN PPACION'!I134+'COMEDORES PALMIRA'!I134+IMDERTY!I134</f>
        <v/>
      </c>
      <c r="J134" s="43" t="n"/>
      <c r="K134" s="57" t="n"/>
      <c r="L134" s="25">
        <f>CALI!L134+HUNGRIA!L134+YUMBO!L134+'ADULTO MAYOR'!L134+'COMEDORES VALLE'!L134+BUGA!L134+'COMEDORES CALI'!L134+'CTAS EN PPACION'!L134+'COMEDORES PALMIRA'!L134+IMDERTY!L134</f>
        <v/>
      </c>
      <c r="M134" s="43" t="n"/>
      <c r="N134" s="57" t="n"/>
      <c r="O134" s="25">
        <f>CALI!O134+HUNGRIA!O134+YUMBO!O134+'ADULTO MAYOR'!O134+'COMEDORES VALLE'!O134+BUGA!O134+'COMEDORES CALI'!O134+'CTAS EN PPACION'!O134+'COMEDORES PALMIRA'!O134+IMDERTY!O134</f>
        <v/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986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45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>
        <f>CALI!I135+HUNGRIA!I135+YUMBO!I135+'ADULTO MAYOR'!I135+'COMEDORES VALLE'!I135+BUGA!I135+'COMEDORES CALI'!I135+'CTAS EN PPACION'!I135+'COMEDORES PALMIRA'!I135+IMDERTY!I135</f>
        <v/>
      </c>
      <c r="J135" s="43" t="n"/>
      <c r="K135" s="57" t="n"/>
      <c r="L135" s="25">
        <f>CALI!L135+HUNGRIA!L135+YUMBO!L135+'ADULTO MAYOR'!L135+'COMEDORES VALLE'!L135+BUGA!L135+'COMEDORES CALI'!L135+'CTAS EN PPACION'!L135+'COMEDORES PALMIRA'!L135+IMDERTY!L135</f>
        <v/>
      </c>
      <c r="M135" s="43" t="n"/>
      <c r="N135" s="57" t="n"/>
      <c r="O135" s="25">
        <f>CALI!O135+HUNGRIA!O135+YUMBO!O135+'ADULTO MAYOR'!O135+'COMEDORES VALLE'!O135+BUGA!O135+'COMEDORES CALI'!O135+'CTAS EN PPACION'!O135+'COMEDORES PALMIRA'!O135+IMDERTY!O135</f>
        <v/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986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45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>
        <f>CALI!I136+HUNGRIA!I136+YUMBO!I136+'ADULTO MAYOR'!I136+'COMEDORES VALLE'!I136+BUGA!I136+'COMEDORES CALI'!I136+'CTAS EN PPACION'!I136+'COMEDORES PALMIRA'!I136+IMDERTY!I136</f>
        <v/>
      </c>
      <c r="J136" s="43" t="n"/>
      <c r="K136" s="57" t="n"/>
      <c r="L136" s="25">
        <f>CALI!L136+HUNGRIA!L136+YUMBO!L136+'ADULTO MAYOR'!L136+'COMEDORES VALLE'!L136+BUGA!L136+'COMEDORES CALI'!L136+'CTAS EN PPACION'!L136+'COMEDORES PALMIRA'!L136+IMDERTY!L136</f>
        <v/>
      </c>
      <c r="M136" s="43" t="n"/>
      <c r="N136" s="57" t="n"/>
      <c r="O136" s="25">
        <f>CALI!O136+HUNGRIA!O136+YUMBO!O136+'ADULTO MAYOR'!O136+'COMEDORES VALLE'!O136+BUGA!O136+'COMEDORES CALI'!O136+'CTAS EN PPACION'!O136+'COMEDORES PALMIRA'!O136+IMDERTY!O136</f>
        <v/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986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45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>
        <f>CALI!I137+HUNGRIA!I137+YUMBO!I137+'ADULTO MAYOR'!I137+'COMEDORES VALLE'!I137+BUGA!I137+'COMEDORES CALI'!I137+'CTAS EN PPACION'!I137+'COMEDORES PALMIRA'!I137+IMDERTY!I137</f>
        <v/>
      </c>
      <c r="J137" s="43" t="n"/>
      <c r="K137" s="57" t="n"/>
      <c r="L137" s="25">
        <f>CALI!L137+HUNGRIA!L137+YUMBO!L137+'ADULTO MAYOR'!L137+'COMEDORES VALLE'!L137+BUGA!L137+'COMEDORES CALI'!L137+'CTAS EN PPACION'!L137+'COMEDORES PALMIRA'!L137+IMDERTY!L137</f>
        <v/>
      </c>
      <c r="M137" s="43" t="n"/>
      <c r="N137" s="57" t="n"/>
      <c r="O137" s="25">
        <f>CALI!O137+HUNGRIA!O137+YUMBO!O137+'ADULTO MAYOR'!O137+'COMEDORES VALLE'!O137+BUGA!O137+'COMEDORES CALI'!O137+'CTAS EN PPACION'!O137+'COMEDORES PALMIRA'!O137+IMDERTY!O137</f>
        <v/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986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45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>
        <f>CALI!I138+HUNGRIA!I138+YUMBO!I138+'ADULTO MAYOR'!I138+'COMEDORES VALLE'!I138+BUGA!I138+'COMEDORES CALI'!I138+'CTAS EN PPACION'!I138+'COMEDORES PALMIRA'!I138+IMDERTY!I138</f>
        <v/>
      </c>
      <c r="J138" s="43" t="n"/>
      <c r="K138" s="57" t="n"/>
      <c r="L138" s="25">
        <f>CALI!L138+HUNGRIA!L138+YUMBO!L138+'ADULTO MAYOR'!L138+'COMEDORES VALLE'!L138+BUGA!L138+'COMEDORES CALI'!L138+'CTAS EN PPACION'!L138+'COMEDORES PALMIRA'!L138+IMDERTY!L138</f>
        <v/>
      </c>
      <c r="M138" s="43" t="n"/>
      <c r="N138" s="57" t="n"/>
      <c r="O138" s="25">
        <f>CALI!O138+HUNGRIA!O138+YUMBO!O138+'ADULTO MAYOR'!O138+'COMEDORES VALLE'!O138+BUGA!O138+'COMEDORES CALI'!O138+'CTAS EN PPACION'!O138+'COMEDORES PALMIRA'!O138+IMDERTY!O138</f>
        <v/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986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45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>
        <f>CALI!I139+HUNGRIA!I139+YUMBO!I139+'ADULTO MAYOR'!I139+'COMEDORES VALLE'!I139+BUGA!I139+'COMEDORES CALI'!I139+'CTAS EN PPACION'!I139+'COMEDORES PALMIRA'!I139+IMDERTY!I139</f>
        <v/>
      </c>
      <c r="J139" s="43" t="n"/>
      <c r="K139" s="57" t="n"/>
      <c r="L139" s="25">
        <f>CALI!L139+HUNGRIA!L139+YUMBO!L139+'ADULTO MAYOR'!L139+'COMEDORES VALLE'!L139+BUGA!L139+'COMEDORES CALI'!L139+'CTAS EN PPACION'!L139+'COMEDORES PALMIRA'!L139+IMDERTY!L139</f>
        <v/>
      </c>
      <c r="M139" s="43" t="n"/>
      <c r="N139" s="57" t="n"/>
      <c r="O139" s="25">
        <f>CALI!O139+HUNGRIA!O139+YUMBO!O139+'ADULTO MAYOR'!O139+'COMEDORES VALLE'!O139+BUGA!O139+'COMEDORES CALI'!O139+'CTAS EN PPACION'!O139+'COMEDORES PALMIRA'!O139+IMDERTY!O139</f>
        <v/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986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45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>
        <f>CALI!I140+HUNGRIA!I140+YUMBO!I140+'ADULTO MAYOR'!I140+'COMEDORES VALLE'!I140+BUGA!I140+'COMEDORES CALI'!I140+'CTAS EN PPACION'!I140+'COMEDORES PALMIRA'!I140+IMDERTY!I140</f>
        <v/>
      </c>
      <c r="J140" s="43" t="n"/>
      <c r="K140" s="57" t="n"/>
      <c r="L140" s="25">
        <f>CALI!L140+HUNGRIA!L140+YUMBO!L140+'ADULTO MAYOR'!L140+'COMEDORES VALLE'!L140+BUGA!L140+'COMEDORES CALI'!L140+'CTAS EN PPACION'!L140+'COMEDORES PALMIRA'!L140+IMDERTY!L140</f>
        <v/>
      </c>
      <c r="M140" s="43" t="n"/>
      <c r="N140" s="57" t="n"/>
      <c r="O140" s="25">
        <f>CALI!O140+HUNGRIA!O140+YUMBO!O140+'ADULTO MAYOR'!O140+'COMEDORES VALLE'!O140+BUGA!O140+'COMEDORES CALI'!O140+'CTAS EN PPACION'!O140+'COMEDORES PALMIRA'!O140+IMDERTY!O140</f>
        <v/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986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45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>
        <f>CALI!I141+HUNGRIA!I141+YUMBO!I141+'ADULTO MAYOR'!I141+'COMEDORES VALLE'!I141+BUGA!I141+'COMEDORES CALI'!I141+'CTAS EN PPACION'!I141+'COMEDORES PALMIRA'!I141+IMDERTY!I141</f>
        <v/>
      </c>
      <c r="J141" s="43" t="n"/>
      <c r="K141" s="57" t="n"/>
      <c r="L141" s="25">
        <f>CALI!L141+HUNGRIA!L141+YUMBO!L141+'ADULTO MAYOR'!L141+'COMEDORES VALLE'!L141+BUGA!L141+'COMEDORES CALI'!L141+'CTAS EN PPACION'!L141+'COMEDORES PALMIRA'!L141+IMDERTY!L141</f>
        <v/>
      </c>
      <c r="M141" s="43" t="n"/>
      <c r="N141" s="57" t="n"/>
      <c r="O141" s="25">
        <f>CALI!O141+HUNGRIA!O141+YUMBO!O141+'ADULTO MAYOR'!O141+'COMEDORES VALLE'!O141+BUGA!O141+'COMEDORES CALI'!O141+'CTAS EN PPACION'!O141+'COMEDORES PALMIRA'!O141+IMDERTY!O141</f>
        <v/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986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079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>
        <f>CALI!I142+HUNGRIA!I142+YUMBO!I142+'ADULTO MAYOR'!I142+'COMEDORES VALLE'!I142+BUGA!I142+'COMEDORES CALI'!I142+'CTAS EN PPACION'!I142+'COMEDORES PALMIRA'!I142+IMDERTY!I142</f>
        <v/>
      </c>
      <c r="J142" s="214" t="n"/>
      <c r="K142" s="271" t="n"/>
      <c r="L142" s="269">
        <f>CALI!L142+HUNGRIA!L142+YUMBO!L142+'ADULTO MAYOR'!L142+'COMEDORES VALLE'!L142+BUGA!L142+'COMEDORES CALI'!L142+'CTAS EN PPACION'!L142+'COMEDORES PALMIRA'!L142+IMDERTY!L142</f>
        <v/>
      </c>
      <c r="M142" s="214" t="n"/>
      <c r="N142" s="271" t="n"/>
      <c r="O142" s="269">
        <f>CALI!O142+HUNGRIA!O142+YUMBO!O142+'ADULTO MAYOR'!O142+'COMEDORES VALLE'!O142+BUGA!O142+'COMEDORES CALI'!O142+'CTAS EN PPACION'!O142+'COMEDORES PALMIRA'!O142+IMDERTY!O142</f>
        <v/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509" t="n"/>
      <c r="I144" s="494">
        <f>+I42-I44-I83</f>
        <v/>
      </c>
      <c r="J144" s="495" t="n"/>
      <c r="K144" s="509" t="n"/>
      <c r="L144" s="494">
        <f>+L42-L44-L83</f>
        <v/>
      </c>
      <c r="M144" s="495" t="n"/>
      <c r="N144" s="509" t="n"/>
      <c r="O144" s="494">
        <f>+O42-O44-O83</f>
        <v/>
      </c>
      <c r="P144" s="495" t="n"/>
      <c r="Q144" s="509" t="n"/>
      <c r="R144" s="494">
        <f>+R42-R44-R83</f>
        <v/>
      </c>
      <c r="S144" s="495" t="n"/>
      <c r="T144" s="509" t="n"/>
      <c r="U144" s="494">
        <f>+U42-U44-U83</f>
        <v/>
      </c>
      <c r="V144" s="495" t="n"/>
      <c r="W144" s="509" t="n"/>
      <c r="X144" s="494">
        <f>+X42-X44-X83</f>
        <v/>
      </c>
      <c r="Y144" s="495" t="n"/>
      <c r="Z144" s="509" t="n"/>
      <c r="AA144" s="494">
        <f>+AA42-AA44-AA83</f>
        <v/>
      </c>
      <c r="AB144" s="495" t="n"/>
      <c r="AC144" s="509" t="n"/>
      <c r="AD144" s="494">
        <f>+AD42-AD44-AD83</f>
        <v/>
      </c>
      <c r="AE144" s="495" t="n"/>
      <c r="AF144" s="509" t="n"/>
      <c r="AG144" s="494">
        <f>+AG42-AG44-AG83</f>
        <v/>
      </c>
      <c r="AH144" s="495" t="n"/>
      <c r="AI144" s="509" t="n"/>
      <c r="AJ144" s="494">
        <f>+AJ42-AJ44-AJ83</f>
        <v/>
      </c>
      <c r="AK144" s="495" t="n"/>
      <c r="AL144" s="509" t="n"/>
      <c r="AM144" s="604">
        <f>+AM42-AM44-AM83</f>
        <v/>
      </c>
      <c r="AN144" s="605" t="n"/>
      <c r="AO144" s="509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510" t="n"/>
      <c r="I145" s="497">
        <f>IFERROR(I144/I13," ")</f>
        <v/>
      </c>
      <c r="J145" s="489" t="n"/>
      <c r="K145" s="510" t="n"/>
      <c r="L145" s="497">
        <f>IFERROR(L144/L13," ")</f>
        <v/>
      </c>
      <c r="M145" s="489" t="n"/>
      <c r="N145" s="510" t="n"/>
      <c r="O145" s="497">
        <f>IFERROR(O144/O13," ")</f>
        <v/>
      </c>
      <c r="P145" s="489" t="n"/>
      <c r="Q145" s="510" t="n"/>
      <c r="R145" s="497">
        <f>IFERROR(R144/R13," ")</f>
        <v/>
      </c>
      <c r="S145" s="489" t="n"/>
      <c r="T145" s="510" t="n"/>
      <c r="U145" s="497">
        <f>IFERROR(U144/U13," ")</f>
        <v/>
      </c>
      <c r="V145" s="489" t="n"/>
      <c r="W145" s="510" t="n"/>
      <c r="X145" s="497">
        <f>IFERROR(X144/X13," ")</f>
        <v/>
      </c>
      <c r="Y145" s="489" t="n"/>
      <c r="Z145" s="510" t="n"/>
      <c r="AA145" s="497">
        <f>IFERROR(AA144/AA13," ")</f>
        <v/>
      </c>
      <c r="AB145" s="489" t="n"/>
      <c r="AC145" s="510" t="n"/>
      <c r="AD145" s="497">
        <f>IFERROR(AD144/AD13," ")</f>
        <v/>
      </c>
      <c r="AE145" s="489" t="n"/>
      <c r="AF145" s="510" t="n"/>
      <c r="AG145" s="497">
        <f>IFERROR(AG144/AG13," ")</f>
        <v/>
      </c>
      <c r="AH145" s="489" t="n"/>
      <c r="AI145" s="510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606" t="n"/>
      <c r="AO145" s="607" t="n"/>
    </row>
    <row r="146" ht="15" customHeight="1" s="986" thickBot="1" thickTop="1">
      <c r="C146" s="141" t="n"/>
      <c r="D146" s="141" t="n"/>
      <c r="E146" s="1240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5" t="n"/>
      <c r="AN146" s="141" t="n"/>
      <c r="AO146" s="64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F147/F$13</f>
        <v/>
      </c>
      <c r="I147" s="491">
        <f>SUM(I148:I151)</f>
        <v/>
      </c>
      <c r="J147" s="492" t="n"/>
      <c r="K147" s="1069">
        <f>I147/I$13</f>
        <v/>
      </c>
      <c r="L147" s="491">
        <f>SUM(L148:L151)</f>
        <v/>
      </c>
      <c r="M147" s="492" t="n"/>
      <c r="N147" s="1069">
        <f>L147/L$13</f>
        <v/>
      </c>
      <c r="O147" s="491">
        <f>SUM(O148:O151)</f>
        <v/>
      </c>
      <c r="P147" s="492" t="n"/>
      <c r="Q147" s="1069">
        <f>O147/O$13</f>
        <v/>
      </c>
      <c r="R147" s="491">
        <f>SUM(R148:R151)</f>
        <v/>
      </c>
      <c r="S147" s="492" t="n"/>
      <c r="T147" s="1069">
        <f>R147/R$13</f>
        <v/>
      </c>
      <c r="U147" s="491">
        <f>SUM(U148:U151)</f>
        <v/>
      </c>
      <c r="V147" s="492" t="n"/>
      <c r="W147" s="511">
        <f>U147/U$13</f>
        <v/>
      </c>
      <c r="X147" s="491">
        <f>SUM(X148:X151)</f>
        <v/>
      </c>
      <c r="Y147" s="492" t="n"/>
      <c r="Z147" s="511">
        <f>X147/X$13</f>
        <v/>
      </c>
      <c r="AA147" s="491">
        <f>SUM(AA148:AA151)</f>
        <v/>
      </c>
      <c r="AB147" s="492" t="n"/>
      <c r="AC147" s="1069">
        <f>AA147/AA$13</f>
        <v/>
      </c>
      <c r="AD147" s="491">
        <f>SUM(AD148:AD151)</f>
        <v/>
      </c>
      <c r="AE147" s="492" t="n"/>
      <c r="AF147" s="1069">
        <f>AD147/AD$13</f>
        <v/>
      </c>
      <c r="AG147" s="491">
        <f>SUM(AG148:AG151)</f>
        <v/>
      </c>
      <c r="AH147" s="492" t="n"/>
      <c r="AI147" s="511">
        <f>AG147/AG$13</f>
        <v/>
      </c>
      <c r="AJ147" s="491">
        <f>SUM(AJ148:AJ151)</f>
        <v/>
      </c>
      <c r="AK147" s="492" t="n"/>
      <c r="AL147" s="511">
        <f>AJ147/AJ$13</f>
        <v/>
      </c>
      <c r="AM147" s="595">
        <f>C147+F147+I147+L147+O147+R147+U147+X147+AA147+AD147+AG147+AJ147</f>
        <v/>
      </c>
      <c r="AN147" s="596" t="n"/>
      <c r="AO147" s="1069">
        <f>AM147/(AM$13)</f>
        <v/>
      </c>
    </row>
    <row r="148" ht="15" customHeight="1" s="986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077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077">
        <f>F148/(F$13)</f>
        <v/>
      </c>
      <c r="I148" s="39">
        <f>CALI!I148+HUNGRIA!I148+YUMBO!I148+'ADULTO MAYOR'!I148+'COMEDORES VALLE'!I148+BUGA!I148+'COMEDORES CALI'!I148+'CTAS EN PPACION'!I148+'COMEDORES PALMIRA'!I148+IMDERTY!I148</f>
        <v/>
      </c>
      <c r="J148" s="69" t="n"/>
      <c r="K148" s="70" t="n"/>
      <c r="L148" s="39">
        <f>CALI!L148+HUNGRIA!L148+YUMBO!L148+'ADULTO MAYOR'!L148+'COMEDORES VALLE'!L148+BUGA!L148+'COMEDORES CALI'!L148+'CTAS EN PPACION'!L148+'COMEDORES PALMIRA'!L148+IMDERTY!L148</f>
        <v/>
      </c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077">
        <f>AM148/(AM$13)</f>
        <v/>
      </c>
    </row>
    <row r="149" ht="15" customHeight="1" s="986">
      <c r="B149" s="285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45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45" t="n"/>
      <c r="I149" s="25">
        <f>CALI!I149+HUNGRIA!I149+YUMBO!I149+'ADULTO MAYOR'!I149+'COMEDORES VALLE'!I149+BUGA!I149+'COMEDORES CALI'!I149+'CTAS EN PPACION'!I149+'COMEDORES PALMIRA'!I149+IMDERTY!I149</f>
        <v/>
      </c>
      <c r="J149" s="43" t="n"/>
      <c r="K149" s="57" t="n"/>
      <c r="L149" s="25">
        <f>CALI!L149+HUNGRIA!L149+YUMBO!L149+'ADULTO MAYOR'!L149+'COMEDORES VALLE'!L149+BUGA!L149+'COMEDORES CALI'!L149+'CTAS EN PPACION'!L149+'COMEDORES PALMIRA'!L149+IMDERTY!L149</f>
        <v/>
      </c>
      <c r="M149" s="43" t="n"/>
      <c r="N149" s="57" t="n"/>
      <c r="O149" s="25">
        <f>CALI!O149+HUNGRIA!O149+YUMBO!O149+'ADULTO MAYOR'!O149+'COMEDORES VALLE'!O149+BUGA!O149+'COMEDORES CALI'!O149+'CTAS EN PPACION'!O149+'COMEDORES PALMIRA'!O149+IMDERTY!O149</f>
        <v/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5" t="n"/>
      <c r="AO149" s="1045" t="n"/>
    </row>
    <row r="150" ht="15" customHeight="1" s="986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45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45">
        <f>F150/(F$13)</f>
        <v/>
      </c>
      <c r="I150" s="25">
        <f>CALI!I150+HUNGRIA!I150+YUMBO!I150+'ADULTO MAYOR'!I150+'COMEDORES VALLE'!I150+BUGA!I150+'COMEDORES CALI'!I150+'CTAS EN PPACION'!I150+'COMEDORES PALMIRA'!I150+IMDERTY!I150</f>
        <v/>
      </c>
      <c r="J150" s="43" t="n"/>
      <c r="K150" s="57" t="n"/>
      <c r="L150" s="25">
        <f>CALI!L150+HUNGRIA!L150+YUMBO!L150+'ADULTO MAYOR'!L150+'COMEDORES VALLE'!L150+BUGA!L150+'COMEDORES CALI'!L150+'CTAS EN PPACION'!L150+'COMEDORES PALMIRA'!L150+IMDERTY!L150</f>
        <v/>
      </c>
      <c r="M150" s="43" t="n"/>
      <c r="N150" s="57" t="n"/>
      <c r="O150" s="25">
        <f>CALI!O150+HUNGRIA!O150+YUMBO!O150+'ADULTO MAYOR'!O150+'COMEDORES VALLE'!O150+BUGA!O150+'COMEDORES CALI'!O150+'CTAS EN PPACION'!O150+'COMEDORES PALMIRA'!O150+IMDERTY!O150</f>
        <v/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057">
        <f>AM150/(AM$13)</f>
        <v/>
      </c>
    </row>
    <row r="151" ht="15" customHeight="1" s="986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086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>
        <f>CALI!I151+HUNGRIA!I151+YUMBO!I151+'ADULTO MAYOR'!I151+'COMEDORES VALLE'!I151+BUGA!I151+'COMEDORES CALI'!I151+'CTAS EN PPACION'!I151+'COMEDORES PALMIRA'!I151+IMDERTY!I151</f>
        <v/>
      </c>
      <c r="J151" s="72" t="n"/>
      <c r="K151" s="73" t="n"/>
      <c r="L151" s="71">
        <f>CALI!L151+HUNGRIA!L151+YUMBO!L151+'ADULTO MAYOR'!L151+'COMEDORES VALLE'!L151+BUGA!L151+'COMEDORES CALI'!L151+'CTAS EN PPACION'!L151+'COMEDORES PALMIRA'!L151+IMDERTY!L151</f>
        <v/>
      </c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>
        <f>C153/C13</f>
        <v/>
      </c>
      <c r="F153" s="498">
        <f>SUM(F154:F160)</f>
        <v/>
      </c>
      <c r="G153" s="499" t="n"/>
      <c r="H153" s="1093">
        <f>F153/F13</f>
        <v/>
      </c>
      <c r="I153" s="498">
        <f>SUM(I154:I160)</f>
        <v/>
      </c>
      <c r="J153" s="499" t="n"/>
      <c r="K153" s="1093">
        <f>I153/I13</f>
        <v/>
      </c>
      <c r="L153" s="498">
        <f>SUM(L154:L160)</f>
        <v/>
      </c>
      <c r="M153" s="499" t="n"/>
      <c r="N153" s="1093">
        <f>L153/L13</f>
        <v/>
      </c>
      <c r="O153" s="498">
        <f>SUM(O154:O160)</f>
        <v/>
      </c>
      <c r="P153" s="499" t="n"/>
      <c r="Q153" s="1093">
        <f>O153/O13</f>
        <v/>
      </c>
      <c r="R153" s="498">
        <f>SUM(R154:R160)</f>
        <v/>
      </c>
      <c r="S153" s="499" t="n"/>
      <c r="T153" s="1093">
        <f>R153/R13</f>
        <v/>
      </c>
      <c r="U153" s="498">
        <f>SUM(U154:U160)</f>
        <v/>
      </c>
      <c r="V153" s="499" t="n"/>
      <c r="W153" s="512" t="n"/>
      <c r="X153" s="498">
        <f>SUM(X154:X160)</f>
        <v/>
      </c>
      <c r="Y153" s="499" t="n"/>
      <c r="Z153" s="512">
        <f>X153/X13</f>
        <v/>
      </c>
      <c r="AA153" s="498">
        <f>SUM(AA154:AA160)</f>
        <v/>
      </c>
      <c r="AB153" s="499" t="n"/>
      <c r="AC153" s="512">
        <f>AA153/AA13</f>
        <v/>
      </c>
      <c r="AD153" s="498">
        <f>SUM(AD154:AD160)</f>
        <v/>
      </c>
      <c r="AE153" s="499" t="n"/>
      <c r="AF153" s="512">
        <f>AD153/AD13</f>
        <v/>
      </c>
      <c r="AG153" s="498">
        <f>SUM(AG154:AG160)</f>
        <v/>
      </c>
      <c r="AH153" s="499" t="n"/>
      <c r="AI153" s="512" t="n"/>
      <c r="AJ153" s="498">
        <f>SUM(AJ154:AJ160)</f>
        <v/>
      </c>
      <c r="AK153" s="499" t="n"/>
      <c r="AL153" s="512" t="n"/>
      <c r="AM153" s="608">
        <f>C153+F153+I153+L153+O153+R153+U153+X153+AA153+AD153+AG153+AJ153</f>
        <v/>
      </c>
      <c r="AN153" s="609" t="n"/>
      <c r="AO153" s="1093">
        <f>AM153/AM13</f>
        <v/>
      </c>
    </row>
    <row r="154" ht="15" customHeight="1" s="986" thickTop="1">
      <c r="B154" s="1135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36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>
        <f>CALI!I154+HUNGRIA!I154+YUMBO!I154+'ADULTO MAYOR'!I154+BUGA!I154+'COMEDORES CALI'!I154+'CTAS EN PPACION'!I154+'COMEDORES PALMIRA'!I154</f>
        <v/>
      </c>
      <c r="J154" s="230" t="n"/>
      <c r="K154" s="245" t="n"/>
      <c r="L154" s="288">
        <f>CALI!L154+HUNGRIA!L154+YUMBO!L154+'ADULTO MAYOR'!L154+BUGA!L154+'COMEDORES CALI'!L154+'CTAS EN PPACION'!L154+'COMEDORES PALMIRA'!L154</f>
        <v/>
      </c>
      <c r="M154" s="230" t="n"/>
      <c r="N154" s="245" t="n"/>
      <c r="O154" s="288">
        <f>CALI!O154+HUNGRIA!O154+YUMBO!O154+'ADULTO MAYOR'!O154+BUGA!O154+'COMEDORES CALI'!O154+'CTAS EN PPACION'!O154+'COMEDORES PALMIRA'!O154+'COMEDORES VALLE'!O154</f>
        <v/>
      </c>
      <c r="P154" s="230" t="n"/>
      <c r="Q154" s="245" t="n"/>
      <c r="R154" s="849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7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986">
      <c r="B155" s="1139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>
        <f>CALI!I155+HUNGRIA!I155+YUMBO!I155+'ADULTO MAYOR'!I155+BUGA!I155+'COMEDORES CALI'!I155+'CTAS EN PPACION'!I155+'COMEDORES PALMIRA'!I155</f>
        <v/>
      </c>
      <c r="J155" s="9" t="n"/>
      <c r="K155" s="240" t="n"/>
      <c r="L155" s="77">
        <f>CALI!L155+HUNGRIA!L155+YUMBO!L155+'ADULTO MAYOR'!L155+BUGA!L155+'COMEDORES CALI'!L155+'CTAS EN PPACION'!L155+'COMEDORES PALMIRA'!L155</f>
        <v/>
      </c>
      <c r="M155" s="9" t="n"/>
      <c r="N155" s="240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8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986">
      <c r="B156" s="1143" t="inlineStr">
        <is>
          <t>Donacion</t>
        </is>
      </c>
      <c r="C156" s="685">
        <f>CALI!C156+HUNGRIA!C156+YUMBO!C156+'ADULTO MAYOR'!C156+BUGA!C156+'COMEDORES CALI'!C156+'CTAS EN PPACION'!C156+'COMEDORES PALMIRA'!C156</f>
        <v/>
      </c>
      <c r="D156" s="677" t="n"/>
      <c r="E156" s="681" t="n"/>
      <c r="F156" s="685">
        <f>CALI!F156+HUNGRIA!F156+YUMBO!F156+'ADULTO MAYOR'!F156+BUGA!F156+'COMEDORES CALI'!F156+'CTAS EN PPACION'!F156+'COMEDORES PALMIRA'!F156</f>
        <v/>
      </c>
      <c r="G156" s="677" t="n"/>
      <c r="H156" s="681" t="n"/>
      <c r="I156" s="685">
        <f>CALI!I156+HUNGRIA!I156+YUMBO!I156+'ADULTO MAYOR'!I156+BUGA!I156+'COMEDORES CALI'!I156+'CTAS EN PPACION'!I156+'COMEDORES PALMIRA'!I156</f>
        <v/>
      </c>
      <c r="J156" s="677" t="n"/>
      <c r="K156" s="681" t="n"/>
      <c r="L156" s="685">
        <f>CALI!L156+HUNGRIA!L156+YUMBO!L156+'ADULTO MAYOR'!L156+BUGA!L156+'COMEDORES CALI'!L156+'CTAS EN PPACION'!L156+'COMEDORES PALMIRA'!L156</f>
        <v/>
      </c>
      <c r="M156" s="677" t="n"/>
      <c r="N156" s="681" t="n"/>
      <c r="O156" s="685">
        <f>CALI!O156+HUNGRIA!O156+YUMBO!O156+'ADULTO MAYOR'!O156+BUGA!O156+'COMEDORES CALI'!O156+'CTAS EN PPACION'!O156+'COMEDORES PALMIRA'!O156+'COMEDORES VALLE'!O156</f>
        <v/>
      </c>
      <c r="P156" s="677" t="n"/>
      <c r="Q156" s="681" t="n"/>
      <c r="R156" s="76">
        <f>CALI!R156+HUNGRIA!R156+YUMBO!R156+'ADULTO MAYOR'!R156+BUGA!R156+'COMEDORES CALI'!R156+'CTAS EN PPACION'!R156+'COMEDORES PALMIRA'!R156+'COMEDORES VALLE'!R156</f>
        <v/>
      </c>
      <c r="S156" s="677" t="n"/>
      <c r="T156" s="681" t="n"/>
      <c r="U156" s="685">
        <f>CALI!U156+HUNGRIA!U156+YUMBO!U156+'ADULTO MAYOR'!U156+BUGA!U156+'COMEDORES CALI'!U156+'CTAS EN PPACION'!U156+'COMEDORES PALMIRA'!U156+'COMEDORES VALLE'!U156</f>
        <v/>
      </c>
      <c r="V156" s="677" t="n"/>
      <c r="W156" s="681" t="n"/>
      <c r="X156" s="685">
        <f>CALI!X156+HUNGRIA!X156+YUMBO!X156+'ADULTO MAYOR'!X156+BUGA!X156+'COMEDORES CALI'!X156+'CTAS EN PPACION'!X156+'COMEDORES PALMIRA'!X156+'COMEDORES VALLE'!X156</f>
        <v/>
      </c>
      <c r="Y156" s="677" t="n"/>
      <c r="Z156" s="681" t="n"/>
      <c r="AA156" s="685">
        <f>CALI!AA156+HUNGRIA!AA156+YUMBO!AA156+'ADULTO MAYOR'!AA156+BUGA!AA156+'COMEDORES CALI'!AA156+'CTAS EN PPACION'!AA156+'COMEDORES PALMIRA'!AA156+'COMEDORES VALLE'!AA156</f>
        <v/>
      </c>
      <c r="AB156" s="677" t="n"/>
      <c r="AC156" s="681" t="n"/>
      <c r="AD156" s="685">
        <f>CALI!AD156+HUNGRIA!AD156+YUMBO!AD156+'ADULTO MAYOR'!AD156+BUGA!AD156+'COMEDORES CALI'!AD156+'CTAS EN PPACION'!AD156+'COMEDORES PALMIRA'!AD156+'COMEDORES VALLE'!AD156</f>
        <v/>
      </c>
      <c r="AE156" s="677" t="n"/>
      <c r="AF156" s="681" t="n"/>
      <c r="AG156" s="685">
        <f>CALI!AG156+HUNGRIA!AG156+YUMBO!AG156+'ADULTO MAYOR'!AG156+BUGA!AG156+'COMEDORES CALI'!AG156+'CTAS EN PPACION'!AG156+'COMEDORES PALMIRA'!AG156+'COMEDORES VALLE'!AG156</f>
        <v/>
      </c>
      <c r="AH156" s="677" t="n"/>
      <c r="AI156" s="681" t="n"/>
      <c r="AJ156" s="889">
        <f>CALI!AJ156+HUNGRIA!AJ156+YUMBO!AJ156+'ADULTO MAYOR'!AJ156+BUGA!AJ156+'COMEDORES CALI'!AJ156+'CTAS EN PPACION'!AJ156+'COMEDORES PALMIRA'!AJ156+'COMEDORES VALLE'!AJ156</f>
        <v/>
      </c>
      <c r="AK156" s="677" t="n"/>
      <c r="AL156" s="681" t="n"/>
      <c r="AM156" s="684">
        <f>C156+F156+I156+L156+O156+R156+U156+X156+AA156+AD156+AG156+AJ156</f>
        <v/>
      </c>
      <c r="AN156" s="686" t="n"/>
      <c r="AO156" s="681" t="n"/>
    </row>
    <row r="157" ht="15" customHeight="1" s="986">
      <c r="B157" s="1146" t="inlineStr">
        <is>
          <t>Otros Ajustes</t>
        </is>
      </c>
      <c r="C157" s="560">
        <f>CALI!C157+HUNGRIA!C157+YUMBO!C157+'ADULTO MAYOR'!C157+BUGA!C157+'COMEDORES CALI'!C157+'CTAS EN PPACION'!C157+'COMEDORES PALMIRA'!C157</f>
        <v/>
      </c>
      <c r="D157" s="553" t="n"/>
      <c r="E157" s="557" t="n"/>
      <c r="F157" s="560">
        <f>CALI!F157+HUNGRIA!F157+YUMBO!F157+'ADULTO MAYOR'!F157+BUGA!F157+'COMEDORES CALI'!F157+'CTAS EN PPACION'!F157+'COMEDORES PALMIRA'!F157</f>
        <v/>
      </c>
      <c r="G157" s="553" t="n"/>
      <c r="H157" s="557" t="n"/>
      <c r="I157" s="560">
        <f>CALI!I157+HUNGRIA!I157+YUMBO!I157+'ADULTO MAYOR'!I157+BUGA!I157+'COMEDORES CALI'!I157+'CTAS EN PPACION'!I157+'COMEDORES PALMIRA'!I157</f>
        <v/>
      </c>
      <c r="J157" s="553" t="n"/>
      <c r="K157" s="557" t="n"/>
      <c r="L157" s="560">
        <f>CALI!L157+HUNGRIA!L157+YUMBO!L157+'ADULTO MAYOR'!L157+BUGA!L157+'COMEDORES CALI'!L157+'CTAS EN PPACION'!L157+'COMEDORES PALMIRA'!L157</f>
        <v/>
      </c>
      <c r="M157" s="553" t="n"/>
      <c r="N157" s="557" t="n"/>
      <c r="O157" s="560">
        <f>CALI!O157+HUNGRIA!O157+YUMBO!O157+'ADULTO MAYOR'!O157+BUGA!O157+'COMEDORES CALI'!O157+'CTAS EN PPACION'!O157+'COMEDORES PALMIRA'!O157+'COMEDORES VALLE'!O157</f>
        <v/>
      </c>
      <c r="P157" s="553" t="n"/>
      <c r="Q157" s="557" t="n"/>
      <c r="R157" s="850">
        <f>CALI!R157+HUNGRIA!R157+YUMBO!R157+'ADULTO MAYOR'!R157+BUGA!R157+'COMEDORES CALI'!R157+'CTAS EN PPACION'!R157+'COMEDORES PALMIRA'!R157+'COMEDORES VALLE'!R157</f>
        <v/>
      </c>
      <c r="S157" s="553" t="n"/>
      <c r="T157" s="557" t="n"/>
      <c r="U157" s="560">
        <f>CALI!U157+HUNGRIA!U157+YUMBO!U157+'ADULTO MAYOR'!U157+BUGA!U157+'COMEDORES CALI'!U157+'CTAS EN PPACION'!U157+'COMEDORES PALMIRA'!U157+'COMEDORES VALLE'!U157</f>
        <v/>
      </c>
      <c r="V157" s="553" t="n"/>
      <c r="W157" s="557" t="n"/>
      <c r="X157" s="560">
        <f>CALI!X157+HUNGRIA!X157+YUMBO!X157+'ADULTO MAYOR'!X157+BUGA!X157+'COMEDORES CALI'!X157+'CTAS EN PPACION'!X157+'COMEDORES PALMIRA'!X157+'COMEDORES VALLE'!X157</f>
        <v/>
      </c>
      <c r="Y157" s="553" t="n"/>
      <c r="Z157" s="557" t="n"/>
      <c r="AA157" s="560">
        <f>CALI!AA157+HUNGRIA!AA157+YUMBO!AA157+'ADULTO MAYOR'!AA157+BUGA!AA157+'COMEDORES CALI'!AA157+'CTAS EN PPACION'!AA157+'COMEDORES PALMIRA'!AA157+'COMEDORES VALLE'!AA157</f>
        <v/>
      </c>
      <c r="AB157" s="553" t="n"/>
      <c r="AC157" s="557" t="n"/>
      <c r="AD157" s="560">
        <f>CALI!AD157+HUNGRIA!AD157+YUMBO!AD157+'ADULTO MAYOR'!AD157+BUGA!AD157+'COMEDORES CALI'!AD157+'CTAS EN PPACION'!AD157+'COMEDORES PALMIRA'!AD157+'COMEDORES VALLE'!AD157</f>
        <v/>
      </c>
      <c r="AE157" s="553" t="n"/>
      <c r="AF157" s="557" t="n"/>
      <c r="AG157" s="560">
        <f>CALI!AG157+HUNGRIA!AG157+YUMBO!AG157+'ADULTO MAYOR'!AG157+BUGA!AG157+'COMEDORES CALI'!AG157+'CTAS EN PPACION'!AG157+'COMEDORES PALMIRA'!AG157+'COMEDORES VALLE'!AG157</f>
        <v/>
      </c>
      <c r="AH157" s="553" t="n"/>
      <c r="AI157" s="557" t="n"/>
      <c r="AJ157" s="890">
        <f>CALI!AJ157+HUNGRIA!AJ157+YUMBO!AJ157+'ADULTO MAYOR'!AJ157+BUGA!AJ157+'COMEDORES CALI'!AJ157+'CTAS EN PPACION'!AJ157+'COMEDORES PALMIRA'!AJ157+'COMEDORES VALLE'!AJ157</f>
        <v/>
      </c>
      <c r="AK157" s="553" t="n"/>
      <c r="AL157" s="557" t="n"/>
      <c r="AM157" s="561">
        <f>C157+F157+I157+L157+O157+R157+U157+X157+AA157+AD157+AG157+AJ157</f>
        <v/>
      </c>
      <c r="AN157" s="562" t="n"/>
      <c r="AO157" s="557" t="n"/>
    </row>
    <row r="158" ht="15" customHeight="1" s="986">
      <c r="B158" s="1241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>
        <f>CALI!I158+HUNGRIA!I158+YUMBO!I158+'ADULTO MAYOR'!I158+BUGA!I158+'COMEDORES CALI'!I158+'CTAS EN PPACION'!I158+'COMEDORES PALMIRA'!I158</f>
        <v/>
      </c>
      <c r="J158" s="9" t="n"/>
      <c r="K158" s="240" t="n"/>
      <c r="L158" s="77">
        <f>CALI!L158+HUNGRIA!L158+YUMBO!L158+'ADULTO MAYOR'!L158+BUGA!L158+'COMEDORES CALI'!L158+'CTAS EN PPACION'!L158+'COMEDORES PALMIRA'!L158</f>
        <v/>
      </c>
      <c r="M158" s="9" t="n"/>
      <c r="N158" s="240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91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986">
      <c r="B159" s="1241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>
        <f>CALI!I159+HUNGRIA!I159+YUMBO!I159+'ADULTO MAYOR'!I159+BUGA!I159+'COMEDORES CALI'!I159+'CTAS EN PPACION'!I159+'COMEDORES PALMIRA'!I159</f>
        <v/>
      </c>
      <c r="J159" s="9" t="n"/>
      <c r="K159" s="240" t="n"/>
      <c r="L159" s="77">
        <f>CALI!L159+HUNGRIA!L159+YUMBO!L159+'ADULTO MAYOR'!L159+BUGA!L159+'COMEDORES CALI'!L159+'CTAS EN PPACION'!L159+'COMEDORES PALMIRA'!L159</f>
        <v/>
      </c>
      <c r="M159" s="9" t="n"/>
      <c r="N159" s="240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91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986" thickBot="1">
      <c r="B160" s="1154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>
        <f>CALI!I160+HUNGRIA!I160+YUMBO!I160+'ADULTO MAYOR'!I160+BUGA!I160+'COMEDORES CALI'!I160+'CTAS EN PPACION'!I160+'COMEDORES PALMIRA'!I160</f>
        <v/>
      </c>
      <c r="J160" s="242" t="n"/>
      <c r="K160" s="243" t="n"/>
      <c r="L160" s="241">
        <f>CALI!L160+HUNGRIA!L160+YUMBO!L160+'ADULTO MAYOR'!L160+BUGA!L160+'COMEDORES CALI'!L160+'CTAS EN PPACION'!L160+'COMEDORES PALMIRA'!L160</f>
        <v/>
      </c>
      <c r="M160" s="242" t="n"/>
      <c r="N160" s="243" t="n"/>
      <c r="O160" s="241">
        <f>CALI!O160+HUNGRIA!O160+YUMBO!O160+'ADULTO MAYOR'!O160+BUGA!O160+'COMEDORES CALI'!O160+'CTAS EN PPACION'!O160+'COMEDORES PALMIRA'!O160+'COMEDORES VALLE'!O160</f>
        <v/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92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512" t="n"/>
      <c r="F161" s="498">
        <f>F144-F147-F153</f>
        <v/>
      </c>
      <c r="G161" s="499" t="n"/>
      <c r="H161" s="512" t="n"/>
      <c r="I161" s="498">
        <f>I144-I147-I153</f>
        <v/>
      </c>
      <c r="J161" s="499" t="n"/>
      <c r="K161" s="512" t="n"/>
      <c r="L161" s="498">
        <f>L144-L147-L153</f>
        <v/>
      </c>
      <c r="M161" s="499" t="n"/>
      <c r="N161" s="512" t="n"/>
      <c r="O161" s="498">
        <f>O144-O147-O153</f>
        <v/>
      </c>
      <c r="P161" s="499" t="n"/>
      <c r="Q161" s="512" t="n"/>
      <c r="R161" s="498">
        <f>R144-R147-R153</f>
        <v/>
      </c>
      <c r="S161" s="499" t="n"/>
      <c r="T161" s="512" t="n"/>
      <c r="U161" s="498">
        <f>U144-U147-U153</f>
        <v/>
      </c>
      <c r="V161" s="499" t="n"/>
      <c r="W161" s="512" t="n"/>
      <c r="X161" s="498">
        <f>X144-X147-X153</f>
        <v/>
      </c>
      <c r="Y161" s="499" t="n"/>
      <c r="Z161" s="512" t="n"/>
      <c r="AA161" s="498">
        <f>AA144-AA147-AA153</f>
        <v/>
      </c>
      <c r="AB161" s="499" t="n"/>
      <c r="AC161" s="512" t="n"/>
      <c r="AD161" s="498">
        <f>AD144-AD147-AD153</f>
        <v/>
      </c>
      <c r="AE161" s="499" t="n"/>
      <c r="AF161" s="512" t="n"/>
      <c r="AG161" s="498">
        <f>AG144-AG147-AG153</f>
        <v/>
      </c>
      <c r="AH161" s="499" t="n"/>
      <c r="AI161" s="512" t="n"/>
      <c r="AJ161" s="498">
        <f>AJ144-AJ147-AJ153</f>
        <v/>
      </c>
      <c r="AK161" s="499" t="n"/>
      <c r="AL161" s="512" t="n"/>
      <c r="AM161" s="608">
        <f>C161+F161+I161+L161+O161+R161+U161+X161+AA161+AD161+AG161+AJ161</f>
        <v/>
      </c>
      <c r="AN161" s="609" t="n"/>
      <c r="AO161" s="513">
        <f>AM161/AM13</f>
        <v/>
      </c>
    </row>
    <row r="162" hidden="1" ht="15" customHeight="1" s="986" thickBot="1" thickTop="1">
      <c r="A162" s="153" t="inlineStr">
        <is>
          <t xml:space="preserve">42100501            </t>
        </is>
      </c>
      <c r="B162" s="529" t="inlineStr">
        <is>
          <t>(+) DESCUENTOS COMERCIALES</t>
        </is>
      </c>
      <c r="C162" s="498" t="n"/>
      <c r="D162" s="499" t="n"/>
      <c r="E162" s="512" t="n"/>
      <c r="F162" s="498" t="n"/>
      <c r="G162" s="499" t="n"/>
      <c r="H162" s="512" t="n"/>
      <c r="I162" s="498" t="n"/>
      <c r="J162" s="499" t="n"/>
      <c r="K162" s="512" t="n"/>
      <c r="L162" s="498" t="n"/>
      <c r="M162" s="499" t="n"/>
      <c r="N162" s="512" t="n"/>
      <c r="O162" s="498" t="n"/>
      <c r="P162" s="499" t="n"/>
      <c r="Q162" s="512" t="n"/>
      <c r="R162" s="498" t="n"/>
      <c r="S162" s="499" t="n"/>
      <c r="T162" s="512" t="n"/>
      <c r="U162" s="498" t="n"/>
      <c r="V162" s="499" t="n"/>
      <c r="W162" s="512" t="n"/>
      <c r="X162" s="498" t="n"/>
      <c r="Y162" s="499" t="n"/>
      <c r="Z162" s="512" t="n"/>
      <c r="AA162" s="498" t="n"/>
      <c r="AB162" s="499" t="n"/>
      <c r="AC162" s="512" t="n"/>
      <c r="AD162" s="498" t="n"/>
      <c r="AE162" s="499" t="n"/>
      <c r="AF162" s="512" t="n"/>
      <c r="AG162" s="498" t="n"/>
      <c r="AH162" s="499" t="n"/>
      <c r="AI162" s="512" t="n"/>
      <c r="AJ162" s="498" t="n"/>
      <c r="AK162" s="499" t="n"/>
      <c r="AL162" s="512" t="n"/>
      <c r="AM162" s="608">
        <f>C162+F162+I162+L162+O162+R162+U162+X162+AA162+AD162+AG162+AJ162</f>
        <v/>
      </c>
      <c r="AN162" s="609" t="n"/>
      <c r="AO162" s="513" t="n"/>
    </row>
    <row r="163" hidden="1" ht="15" customHeight="1" s="986" thickBot="1" thickTop="1">
      <c r="A163" s="153" t="inlineStr">
        <is>
          <t xml:space="preserve">42950501  -    42958101            </t>
        </is>
      </c>
      <c r="B163" s="529" t="inlineStr">
        <is>
          <t>(+) INGRESOS NO OPERACIONALES</t>
        </is>
      </c>
      <c r="C163" s="498" t="n"/>
      <c r="D163" s="499" t="n"/>
      <c r="E163" s="512" t="n"/>
      <c r="F163" s="498" t="n"/>
      <c r="G163" s="499" t="n"/>
      <c r="H163" s="512" t="n"/>
      <c r="I163" s="498" t="n"/>
      <c r="J163" s="499" t="n"/>
      <c r="K163" s="512" t="n"/>
      <c r="L163" s="498" t="n"/>
      <c r="M163" s="499" t="n"/>
      <c r="N163" s="512" t="n"/>
      <c r="O163" s="498" t="n"/>
      <c r="P163" s="499" t="n"/>
      <c r="Q163" s="512" t="n"/>
      <c r="R163" s="498" t="n"/>
      <c r="S163" s="499" t="n"/>
      <c r="T163" s="512" t="n"/>
      <c r="U163" s="498" t="n"/>
      <c r="V163" s="499" t="n"/>
      <c r="W163" s="512" t="n"/>
      <c r="X163" s="498" t="n"/>
      <c r="Y163" s="499" t="n"/>
      <c r="Z163" s="512" t="n"/>
      <c r="AA163" s="498" t="n"/>
      <c r="AB163" s="499" t="n"/>
      <c r="AC163" s="512" t="n"/>
      <c r="AD163" s="498" t="n"/>
      <c r="AE163" s="499" t="n"/>
      <c r="AF163" s="512" t="n"/>
      <c r="AG163" s="498" t="n"/>
      <c r="AH163" s="499" t="n"/>
      <c r="AI163" s="512" t="n"/>
      <c r="AJ163" s="498" t="n"/>
      <c r="AK163" s="499" t="n"/>
      <c r="AL163" s="512" t="n"/>
      <c r="AM163" s="608">
        <f>C163+F163+I163+L163+O163+R163+U163+X163+AA163+AD163+AG163+AJ163</f>
        <v/>
      </c>
      <c r="AN163" s="609" t="n"/>
      <c r="AO163" s="513" t="n"/>
    </row>
    <row r="164" hidden="1" ht="15" customHeight="1" s="986" thickBot="1" thickTop="1">
      <c r="A164" s="153" t="inlineStr">
        <is>
          <t xml:space="preserve">42950502            </t>
        </is>
      </c>
      <c r="B164" s="529" t="inlineStr">
        <is>
          <t>(+) INGRESOS INCAPACIDADES</t>
        </is>
      </c>
      <c r="C164" s="498" t="n"/>
      <c r="D164" s="499" t="n"/>
      <c r="E164" s="512" t="n"/>
      <c r="F164" s="498" t="n"/>
      <c r="G164" s="499" t="n"/>
      <c r="H164" s="512" t="n"/>
      <c r="I164" s="498" t="n"/>
      <c r="J164" s="499" t="n"/>
      <c r="K164" s="512" t="n"/>
      <c r="L164" s="498" t="n"/>
      <c r="M164" s="499" t="n"/>
      <c r="N164" s="512" t="n"/>
      <c r="O164" s="498" t="n"/>
      <c r="P164" s="499" t="n"/>
      <c r="Q164" s="512" t="n"/>
      <c r="R164" s="498" t="n"/>
      <c r="S164" s="499" t="n"/>
      <c r="T164" s="512" t="n"/>
      <c r="U164" s="498" t="n"/>
      <c r="V164" s="499" t="n"/>
      <c r="W164" s="512" t="n"/>
      <c r="X164" s="498" t="n"/>
      <c r="Y164" s="499" t="n"/>
      <c r="Z164" s="512" t="n"/>
      <c r="AA164" s="498" t="n"/>
      <c r="AB164" s="499" t="n"/>
      <c r="AC164" s="512" t="n"/>
      <c r="AD164" s="498" t="n"/>
      <c r="AE164" s="499" t="n"/>
      <c r="AF164" s="512" t="n"/>
      <c r="AG164" s="498" t="n"/>
      <c r="AH164" s="499" t="n"/>
      <c r="AI164" s="512" t="n"/>
      <c r="AJ164" s="498" t="n"/>
      <c r="AK164" s="499" t="n"/>
      <c r="AL164" s="512" t="n"/>
      <c r="AM164" s="608">
        <f>C164+F164+I164+L164+O164+R164+U164+X164+AA164+AD164+AG164+AJ164</f>
        <v/>
      </c>
      <c r="AN164" s="609" t="n"/>
      <c r="AO164" s="513" t="n"/>
    </row>
    <row r="165" hidden="1" ht="15" customHeight="1" s="986" thickBot="1" thickTop="1">
      <c r="B165" s="529" t="inlineStr">
        <is>
          <t xml:space="preserve">(-)INVERSION </t>
        </is>
      </c>
      <c r="C165" s="498" t="n"/>
      <c r="D165" s="499" t="n"/>
      <c r="E165" s="512" t="n"/>
      <c r="F165" s="498" t="n"/>
      <c r="G165" s="499" t="n"/>
      <c r="H165" s="512" t="n"/>
      <c r="I165" s="498" t="n"/>
      <c r="J165" s="499" t="n"/>
      <c r="K165" s="512" t="n"/>
      <c r="L165" s="498" t="n"/>
      <c r="M165" s="499" t="n"/>
      <c r="N165" s="512" t="n"/>
      <c r="O165" s="498" t="n"/>
      <c r="P165" s="499" t="n"/>
      <c r="Q165" s="512" t="n"/>
      <c r="R165" s="498" t="n"/>
      <c r="S165" s="499" t="n"/>
      <c r="T165" s="512" t="n"/>
      <c r="U165" s="498" t="n"/>
      <c r="V165" s="499" t="n"/>
      <c r="W165" s="512" t="n"/>
      <c r="X165" s="498" t="n"/>
      <c r="Y165" s="499" t="n"/>
      <c r="Z165" s="512" t="n"/>
      <c r="AA165" s="498" t="n"/>
      <c r="AB165" s="499" t="n"/>
      <c r="AC165" s="512" t="n"/>
      <c r="AD165" s="498" t="n"/>
      <c r="AE165" s="499" t="n"/>
      <c r="AF165" s="512" t="n"/>
      <c r="AG165" s="498" t="n"/>
      <c r="AH165" s="499" t="n"/>
      <c r="AI165" s="512" t="n"/>
      <c r="AJ165" s="498" t="n"/>
      <c r="AK165" s="499" t="n"/>
      <c r="AL165" s="512" t="n"/>
      <c r="AM165" s="608">
        <f>C165+F165+I165+L165+O165+R165+U165+X165+AA165+AD165+AG165+AJ165</f>
        <v/>
      </c>
      <c r="AN165" s="609" t="n"/>
      <c r="AO165" s="513" t="n"/>
    </row>
    <row r="166" hidden="1" ht="15" customHeight="1" s="986" thickBot="1" thickTop="1">
      <c r="A166" s="153" t="inlineStr">
        <is>
          <t xml:space="preserve">51103501            </t>
        </is>
      </c>
      <c r="B166" s="529" t="inlineStr">
        <is>
          <t>(-) COSTO FACTURAS</t>
        </is>
      </c>
      <c r="C166" s="498" t="n"/>
      <c r="D166" s="499" t="n"/>
      <c r="E166" s="512" t="n"/>
      <c r="F166" s="498" t="n"/>
      <c r="G166" s="499" t="n"/>
      <c r="H166" s="512" t="n"/>
      <c r="I166" s="512" t="n"/>
      <c r="J166" s="512" t="n"/>
      <c r="K166" s="512" t="n"/>
      <c r="L166" s="512" t="n"/>
      <c r="M166" s="512" t="n"/>
      <c r="N166" s="512" t="n"/>
      <c r="O166" s="512" t="n"/>
      <c r="P166" s="512" t="n"/>
      <c r="Q166" s="512" t="n"/>
      <c r="R166" s="512" t="n"/>
      <c r="S166" s="512" t="n"/>
      <c r="T166" s="512" t="n"/>
      <c r="U166" s="512" t="n"/>
      <c r="V166" s="512" t="n"/>
      <c r="W166" s="512" t="n"/>
      <c r="X166" s="512" t="n"/>
      <c r="Y166" s="512" t="n"/>
      <c r="Z166" s="512" t="n"/>
      <c r="AA166" s="512" t="n"/>
      <c r="AB166" s="512" t="n"/>
      <c r="AC166" s="512" t="n"/>
      <c r="AD166" s="512" t="n"/>
      <c r="AE166" s="512" t="n"/>
      <c r="AF166" s="512" t="n"/>
      <c r="AG166" s="512" t="n"/>
      <c r="AH166" s="512" t="n"/>
      <c r="AI166" s="512" t="n"/>
      <c r="AJ166" s="512" t="n"/>
      <c r="AK166" s="512" t="n"/>
      <c r="AL166" s="512" t="n"/>
      <c r="AM166" s="608">
        <f>C166+F166+I166+L166+O166+R166+U166+X166+AA166+AD166+AG166+AJ166</f>
        <v/>
      </c>
      <c r="AN166" s="609" t="n"/>
      <c r="AO166" s="513" t="n"/>
    </row>
    <row r="167" hidden="1" ht="15" customHeight="1" s="986" thickBot="1" thickTop="1">
      <c r="B167" s="529" t="inlineStr">
        <is>
          <t>(-) RECREARTE</t>
        </is>
      </c>
      <c r="C167" s="498" t="n"/>
      <c r="D167" s="499" t="n"/>
      <c r="E167" s="512" t="n"/>
      <c r="F167" s="498" t="n"/>
      <c r="G167" s="499" t="n"/>
      <c r="H167" s="512" t="n"/>
      <c r="I167" s="498" t="n"/>
      <c r="J167" s="499" t="n"/>
      <c r="K167" s="512" t="n"/>
      <c r="L167" s="498" t="n"/>
      <c r="M167" s="499" t="n"/>
      <c r="N167" s="512" t="n"/>
      <c r="O167" s="498" t="n"/>
      <c r="P167" s="499" t="n"/>
      <c r="Q167" s="512" t="n"/>
      <c r="R167" s="498" t="n"/>
      <c r="S167" s="499" t="n"/>
      <c r="T167" s="512" t="n"/>
      <c r="U167" s="498" t="n"/>
      <c r="V167" s="499" t="n"/>
      <c r="W167" s="512" t="n"/>
      <c r="X167" s="498" t="n"/>
      <c r="Y167" s="499" t="n"/>
      <c r="Z167" s="512" t="n"/>
      <c r="AA167" s="498" t="n"/>
      <c r="AB167" s="499" t="n"/>
      <c r="AC167" s="512" t="n"/>
      <c r="AD167" s="498" t="n"/>
      <c r="AE167" s="499" t="n"/>
      <c r="AF167" s="512" t="n"/>
      <c r="AG167" s="498" t="n"/>
      <c r="AH167" s="499" t="n"/>
      <c r="AI167" s="512" t="n"/>
      <c r="AJ167" s="498" t="n"/>
      <c r="AK167" s="499" t="n"/>
      <c r="AL167" s="512" t="n"/>
      <c r="AM167" s="587">
        <f>C167+F167+I167+L167+O167+R167+U167+X167+AA167+AD167+AG167+AJ167</f>
        <v/>
      </c>
      <c r="AN167" s="608" t="n"/>
      <c r="AO167" s="711" t="n"/>
    </row>
    <row r="168" ht="15" customHeight="1" s="986" thickBot="1" thickTop="1">
      <c r="B168" s="530" t="inlineStr">
        <is>
          <t>UTILIDAD NETA FINAL</t>
        </is>
      </c>
      <c r="C168" s="498">
        <f>C161+C162+C163+C164-C165-C166-C167</f>
        <v/>
      </c>
      <c r="D168" s="499" t="n"/>
      <c r="E168" s="512" t="n"/>
      <c r="F168" s="498">
        <f>F161+F162+F163+F164-F165-F166-F167</f>
        <v/>
      </c>
      <c r="G168" s="499" t="n"/>
      <c r="H168" s="512" t="n"/>
      <c r="I168" s="498">
        <f>I161+I162+I163+I164-I165-I166-I167</f>
        <v/>
      </c>
      <c r="J168" s="499" t="n"/>
      <c r="K168" s="512" t="n"/>
      <c r="L168" s="498">
        <f>L161+L162+L163+L164-L165-L166-L167</f>
        <v/>
      </c>
      <c r="M168" s="499" t="n"/>
      <c r="N168" s="512" t="n"/>
      <c r="O168" s="498">
        <f>O161+O162+O163+O164-O165-O166-O167</f>
        <v/>
      </c>
      <c r="P168" s="499" t="n"/>
      <c r="Q168" s="512" t="n"/>
      <c r="R168" s="498">
        <f>R161+R162+R163+R164-R165-R166-R167</f>
        <v/>
      </c>
      <c r="S168" s="499" t="n"/>
      <c r="T168" s="512" t="n"/>
      <c r="U168" s="498">
        <f>U161+U162+U163+U164-U165-U166-U167</f>
        <v/>
      </c>
      <c r="V168" s="499" t="n"/>
      <c r="W168" s="512" t="n"/>
      <c r="X168" s="498">
        <f>X161+X162+X163+X164-X165-X166-X167</f>
        <v/>
      </c>
      <c r="Y168" s="499" t="n"/>
      <c r="Z168" s="512" t="n"/>
      <c r="AA168" s="498">
        <f>AA161+AA162+AA163+AA164-AA165-AA166-AA167</f>
        <v/>
      </c>
      <c r="AB168" s="499" t="n"/>
      <c r="AC168" s="512" t="n"/>
      <c r="AD168" s="498">
        <f>AD161+AD162+AD163+AD164-AD165-AD166-AD167</f>
        <v/>
      </c>
      <c r="AE168" s="499" t="n"/>
      <c r="AF168" s="512" t="n"/>
      <c r="AG168" s="498">
        <f>AG161+AG162+AG163+AG164-AG165-AG166-AG167</f>
        <v/>
      </c>
      <c r="AH168" s="499" t="n"/>
      <c r="AI168" s="512" t="n"/>
      <c r="AJ168" s="498">
        <f>AJ161+AJ162+AJ163+AJ164-AJ165-AJ166-AJ167</f>
        <v/>
      </c>
      <c r="AK168" s="499" t="n"/>
      <c r="AL168" s="512" t="n"/>
      <c r="AM168" s="755">
        <f>AM161+AM162+AM163+AM164-AM165-AM166-AM167</f>
        <v/>
      </c>
      <c r="AN168" s="608" t="n"/>
      <c r="AO168" s="711" t="n"/>
    </row>
    <row r="169" ht="17.1" customHeight="1" s="986" thickBot="1" thickTop="1">
      <c r="B169" s="525" t="n"/>
      <c r="C169" s="501">
        <f>IFERROR(C168/C13, " ")</f>
        <v/>
      </c>
      <c r="D169" s="502" t="n"/>
      <c r="E169" s="513" t="n"/>
      <c r="F169" s="501">
        <f>IFERROR(F168/F13, " ")</f>
        <v/>
      </c>
      <c r="G169" s="502" t="n"/>
      <c r="H169" s="513" t="n"/>
      <c r="I169" s="501">
        <f>IFERROR(I168/I13, " ")</f>
        <v/>
      </c>
      <c r="J169" s="502" t="n"/>
      <c r="K169" s="513" t="n"/>
      <c r="L169" s="501">
        <f>IFERROR(L168/L13, " ")</f>
        <v/>
      </c>
      <c r="M169" s="502" t="n"/>
      <c r="N169" s="513" t="n"/>
      <c r="O169" s="543">
        <f>IFERROR(O168/O13, " ")</f>
        <v/>
      </c>
      <c r="P169" s="502" t="n"/>
      <c r="Q169" s="513" t="n"/>
      <c r="R169" s="540">
        <f>IFERROR(R168/R13, " ")</f>
        <v/>
      </c>
      <c r="S169" s="499" t="n"/>
      <c r="T169" s="539" t="n"/>
      <c r="U169" s="540">
        <f>IFERROR(U168/U13, " ")</f>
        <v/>
      </c>
      <c r="V169" s="499" t="n"/>
      <c r="W169" s="539" t="n"/>
      <c r="X169" s="540">
        <f>IFERROR(X168/X13, " ")</f>
        <v/>
      </c>
      <c r="Y169" s="499" t="n"/>
      <c r="Z169" s="539" t="n"/>
      <c r="AA169" s="540">
        <f>IFERROR(AA168/AA13, " ")</f>
        <v/>
      </c>
      <c r="AB169" s="499" t="n"/>
      <c r="AC169" s="539" t="n"/>
      <c r="AD169" s="501">
        <f>IFERROR(AD168/AD13, " ")</f>
        <v/>
      </c>
      <c r="AE169" s="499" t="n"/>
      <c r="AF169" s="539" t="n"/>
      <c r="AG169" s="501">
        <f>IFERROR(AG168/AG13, " ")</f>
        <v/>
      </c>
      <c r="AH169" s="499" t="n"/>
      <c r="AI169" s="539" t="n"/>
      <c r="AJ169" s="501">
        <f>IFERROR(AJ168/AJ13, " ")</f>
        <v/>
      </c>
      <c r="AK169" s="499" t="n"/>
      <c r="AL169" s="539" t="n"/>
      <c r="AM169" s="589">
        <f>IFERROR(AM168/AM13, " ")</f>
        <v/>
      </c>
      <c r="AN169" s="712" t="n"/>
      <c r="AO169" s="711" t="n"/>
    </row>
    <row r="170" hidden="1" ht="17.1" customHeight="1" s="986" thickBot="1" thickTop="1">
      <c r="B170" s="529" t="inlineStr">
        <is>
          <t>(-) PROVISION BONIFICACION</t>
        </is>
      </c>
      <c r="C170" s="498" t="n"/>
      <c r="D170" s="499" t="n"/>
      <c r="E170" s="512" t="n"/>
      <c r="F170" s="498" t="n"/>
      <c r="G170" s="499" t="n"/>
      <c r="H170" s="512" t="n"/>
      <c r="I170" s="494" t="n"/>
      <c r="J170" s="499" t="n"/>
      <c r="K170" s="512" t="n"/>
      <c r="L170" s="498" t="n"/>
      <c r="M170" s="499" t="n"/>
      <c r="N170" s="512" t="n"/>
      <c r="O170" s="498" t="n"/>
      <c r="P170" s="499" t="n"/>
      <c r="Q170" s="512" t="n"/>
      <c r="R170" s="498" t="n"/>
      <c r="S170" s="499" t="n"/>
      <c r="T170" s="512" t="n"/>
      <c r="U170" s="498" t="n"/>
      <c r="V170" s="499" t="n"/>
      <c r="W170" s="512" t="n"/>
      <c r="X170" s="498" t="n"/>
      <c r="Y170" s="499" t="n"/>
      <c r="Z170" s="512" t="n"/>
      <c r="AA170" s="498" t="n"/>
      <c r="AB170" s="499" t="n"/>
      <c r="AC170" s="512" t="n"/>
      <c r="AD170" s="498" t="n"/>
      <c r="AE170" s="499" t="n"/>
      <c r="AF170" s="512" t="n"/>
      <c r="AG170" s="498" t="n"/>
      <c r="AH170" s="499" t="n"/>
      <c r="AI170" s="512" t="n"/>
      <c r="AJ170" s="498" t="n"/>
      <c r="AK170" s="499" t="n"/>
      <c r="AL170" s="512" t="n"/>
      <c r="AM170" s="587" t="n"/>
      <c r="AN170" s="608" t="n"/>
      <c r="AO170" s="711" t="n"/>
    </row>
    <row r="171" hidden="1" ht="17.1" customHeight="1" s="986" thickTop="1">
      <c r="B171" s="855" t="inlineStr">
        <is>
          <t>UTILIDAD NETA FINAL</t>
        </is>
      </c>
      <c r="C171" s="494" t="n"/>
      <c r="D171" s="495" t="n"/>
      <c r="E171" s="509" t="n"/>
      <c r="F171" s="494" t="n"/>
      <c r="G171" s="495" t="n"/>
      <c r="H171" s="509" t="n"/>
      <c r="I171" s="494" t="n"/>
      <c r="J171" s="495" t="n"/>
      <c r="K171" s="509" t="n"/>
      <c r="L171" s="494" t="n"/>
      <c r="M171" s="495" t="n"/>
      <c r="N171" s="509" t="n"/>
      <c r="O171" s="494" t="n"/>
      <c r="P171" s="495" t="n"/>
      <c r="Q171" s="509" t="n"/>
      <c r="R171" s="494" t="n"/>
      <c r="S171" s="495" t="n"/>
      <c r="T171" s="509" t="n"/>
      <c r="U171" s="494" t="n"/>
      <c r="V171" s="495" t="n"/>
      <c r="W171" s="509" t="n"/>
      <c r="X171" s="494" t="n"/>
      <c r="Y171" s="495" t="n"/>
      <c r="Z171" s="509" t="n"/>
      <c r="AA171" s="494" t="n"/>
      <c r="AB171" s="495" t="n"/>
      <c r="AC171" s="509" t="n"/>
      <c r="AD171" s="494" t="n"/>
      <c r="AE171" s="495" t="n"/>
      <c r="AF171" s="509" t="n"/>
      <c r="AG171" s="494" t="n"/>
      <c r="AH171" s="495" t="n"/>
      <c r="AI171" s="509" t="n"/>
      <c r="AJ171" s="494" t="n"/>
      <c r="AK171" s="495" t="n"/>
      <c r="AL171" s="509" t="n"/>
      <c r="AM171" s="856">
        <f>AM168-AM170</f>
        <v/>
      </c>
      <c r="AN171" s="604" t="n"/>
      <c r="AO171" s="857" t="n"/>
    </row>
    <row r="172" ht="17.1" customHeight="1" s="986" thickBot="1" thickTop="1">
      <c r="B172" s="852" t="n"/>
      <c r="C172" s="700" t="n"/>
      <c r="D172" s="700" t="n"/>
      <c r="E172" s="853" t="n"/>
      <c r="F172" s="700" t="n"/>
      <c r="G172" s="700" t="n"/>
      <c r="H172" s="853" t="n"/>
      <c r="I172" s="700" t="n"/>
      <c r="J172" s="700" t="n"/>
      <c r="K172" s="853" t="n"/>
      <c r="L172" s="700" t="n"/>
      <c r="M172" s="700" t="n"/>
      <c r="N172" s="853" t="n"/>
      <c r="O172" s="700" t="n"/>
      <c r="P172" s="700" t="n"/>
      <c r="Q172" s="853" t="n"/>
      <c r="R172" s="700" t="n"/>
      <c r="S172" s="700" t="n"/>
      <c r="T172" s="853" t="n"/>
      <c r="U172" s="700" t="n"/>
      <c r="V172" s="700" t="n"/>
      <c r="W172" s="853" t="n"/>
      <c r="X172" s="700" t="n"/>
      <c r="Y172" s="700" t="n"/>
      <c r="Z172" s="853" t="n"/>
      <c r="AA172" s="700" t="n"/>
      <c r="AB172" s="700" t="n"/>
      <c r="AC172" s="853" t="n"/>
      <c r="AD172" s="700" t="n"/>
      <c r="AE172" s="700" t="n"/>
      <c r="AF172" s="853" t="n"/>
      <c r="AG172" s="700" t="n"/>
      <c r="AH172" s="700" t="n"/>
      <c r="AI172" s="853" t="n"/>
      <c r="AJ172" s="700" t="n"/>
      <c r="AK172" s="700" t="n"/>
      <c r="AL172" s="853" t="n"/>
      <c r="AM172" s="854" t="n"/>
      <c r="AN172" s="700" t="n"/>
      <c r="AO172" s="708" t="n"/>
    </row>
    <row r="173" ht="17.1" customFormat="1" customHeight="1" s="108" thickBot="1" thickTop="1">
      <c r="A173" s="153" t="n"/>
      <c r="B173" s="858" t="inlineStr">
        <is>
          <t>UTILIDAD PAE + ADULTO MAYOR</t>
        </is>
      </c>
      <c r="C173" s="859">
        <f>CALI!C161+YUMBO!C161+BUGA!C161+'ADULTO MAYOR'!C161</f>
        <v/>
      </c>
      <c r="D173" s="860" t="n"/>
      <c r="E173" s="861" t="n"/>
      <c r="F173" s="859">
        <f>CALI!F161+YUMBO!F161+BUGA!F161+'ADULTO MAYOR'!F161</f>
        <v/>
      </c>
      <c r="G173" s="860" t="n"/>
      <c r="H173" s="861" t="n"/>
      <c r="I173" s="859">
        <f>CALI!I161+YUMBO!I161+BUGA!I161+'ADULTO MAYOR'!I161</f>
        <v/>
      </c>
      <c r="J173" s="860" t="n"/>
      <c r="K173" s="861" t="n"/>
      <c r="L173" s="859">
        <f>CALI!L161+YUMBO!L161+BUGA!L161+'ADULTO MAYOR'!L161</f>
        <v/>
      </c>
      <c r="M173" s="860" t="n"/>
      <c r="N173" s="861" t="n"/>
      <c r="O173" s="859">
        <f>CALI!O161+YUMBO!O161+BUGA!O161+'ADULTO MAYOR'!O161</f>
        <v/>
      </c>
      <c r="P173" s="860" t="n"/>
      <c r="Q173" s="861" t="n"/>
      <c r="R173" s="859">
        <f>CALI!R161+YUMBO!R161+BUGA!R161+'ADULTO MAYOR'!R161</f>
        <v/>
      </c>
      <c r="S173" s="860" t="n"/>
      <c r="T173" s="861" t="n"/>
      <c r="U173" s="859">
        <f>CALI!U161+YUMBO!U161+BUGA!U161+'ADULTO MAYOR'!U161</f>
        <v/>
      </c>
      <c r="V173" s="860" t="n"/>
      <c r="W173" s="861" t="n"/>
      <c r="X173" s="859">
        <f>CALI!X161+YUMBO!X161+BUGA!X161+'ADULTO MAYOR'!X161</f>
        <v/>
      </c>
      <c r="Y173" s="860" t="n"/>
      <c r="Z173" s="861" t="n"/>
      <c r="AA173" s="859">
        <f>CALI!AA161+YUMBO!AA161+BUGA!AA161+'ADULTO MAYOR'!AA161</f>
        <v/>
      </c>
      <c r="AB173" s="860" t="n"/>
      <c r="AC173" s="861" t="n"/>
      <c r="AD173" s="859">
        <f>CALI!AD161+YUMBO!AD161+BUGA!AD161+'ADULTO MAYOR'!AD161</f>
        <v/>
      </c>
      <c r="AE173" s="860" t="n"/>
      <c r="AF173" s="861" t="n"/>
      <c r="AG173" s="859">
        <f>CALI!AG161+YUMBO!AG161+BUGA!AG161+'ADULTO MAYOR'!AG161</f>
        <v/>
      </c>
      <c r="AH173" s="860" t="n"/>
      <c r="AI173" s="861" t="n"/>
      <c r="AJ173" s="859">
        <f>CALI!AJ161+YUMBO!AJ161+BUGA!AJ161+'ADULTO MAYOR'!AJ161</f>
        <v/>
      </c>
      <c r="AK173" s="860" t="n"/>
      <c r="AL173" s="861" t="n"/>
      <c r="AM173" s="862">
        <f>CALI!AM161+YUMBO!AM161+BUGA!AM161+'ADULTO MAYOR'!AM161</f>
        <v/>
      </c>
      <c r="AN173" s="863" t="n"/>
      <c r="AO173" s="864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986" thickBot="1" thickTop="1">
      <c r="B174" s="852" t="n"/>
      <c r="C174" s="865">
        <f>C173/(CALI!C13+YUMBO!C13+BUGA!C13+'ADULTO MAYOR'!C13)</f>
        <v/>
      </c>
      <c r="D174" s="866" t="n"/>
      <c r="E174" s="867" t="n"/>
      <c r="F174" s="865">
        <f>F173/(CALI!F13+YUMBO!F13+BUGA!F13+'ADULTO MAYOR'!F13)</f>
        <v/>
      </c>
      <c r="G174" s="866" t="n"/>
      <c r="H174" s="867" t="n"/>
      <c r="I174" s="865">
        <f>I173/(CALI!I13+YUMBO!I13+BUGA!I13+'ADULTO MAYOR'!I13)</f>
        <v/>
      </c>
      <c r="J174" s="866" t="n"/>
      <c r="K174" s="867" t="n"/>
      <c r="L174" s="865">
        <f>L173/(CALI!L13+YUMBO!L13+BUGA!L13+'ADULTO MAYOR'!L13)</f>
        <v/>
      </c>
      <c r="M174" s="866" t="n"/>
      <c r="N174" s="867" t="n"/>
      <c r="O174" s="865">
        <f>O173/(CALI!O13+YUMBO!O13+BUGA!O13+'ADULTO MAYOR'!O13)</f>
        <v/>
      </c>
      <c r="P174" s="866" t="n"/>
      <c r="Q174" s="867" t="n"/>
      <c r="R174" s="865">
        <f>R173/(CALI!R13+YUMBO!R13+BUGA!R13+'ADULTO MAYOR'!R13)</f>
        <v/>
      </c>
      <c r="S174" s="866" t="n"/>
      <c r="T174" s="867" t="n"/>
      <c r="U174" s="865">
        <f>U173/(CALI!U13+YUMBO!U13+BUGA!U13+'ADULTO MAYOR'!U13)</f>
        <v/>
      </c>
      <c r="V174" s="866" t="n"/>
      <c r="W174" s="867" t="n"/>
      <c r="X174" s="865">
        <f>X173/(CALI!X13+YUMBO!X13+BUGA!X13+'ADULTO MAYOR'!X13)</f>
        <v/>
      </c>
      <c r="Y174" s="866" t="n"/>
      <c r="Z174" s="867" t="n"/>
      <c r="AA174" s="865">
        <f>AA173/(CALI!AA13+YUMBO!AA13+BUGA!AA13+'ADULTO MAYOR'!AA13)</f>
        <v/>
      </c>
      <c r="AB174" s="866" t="n"/>
      <c r="AC174" s="867" t="n"/>
      <c r="AD174" s="865">
        <f>AD173/(CALI!AD13+YUMBO!AD13+BUGA!AD13+'ADULTO MAYOR'!AD13)</f>
        <v/>
      </c>
      <c r="AE174" s="866" t="n"/>
      <c r="AF174" s="867" t="n"/>
      <c r="AG174" s="865">
        <f>AG173/(CALI!AG13+YUMBO!AG13+BUGA!AG13+'ADULTO MAYOR'!AG13)</f>
        <v/>
      </c>
      <c r="AH174" s="866" t="n"/>
      <c r="AI174" s="867" t="n"/>
      <c r="AJ174" s="865">
        <f>AJ173/(CALI!AJ13+YUMBO!AJ13+BUGA!AJ13+'ADULTO MAYOR'!AJ13)</f>
        <v/>
      </c>
      <c r="AK174" s="866" t="n"/>
      <c r="AL174" s="867" t="n"/>
      <c r="AM174" s="865">
        <f>AM173/(CALI!AM13+YUMBO!AM13+BUGA!AM13+'ADULTO MAYOR'!AM13)</f>
        <v/>
      </c>
      <c r="AN174" s="863" t="n"/>
      <c r="AO174" s="864" t="n"/>
    </row>
    <row r="175" ht="17.1" customHeight="1" s="986" thickTop="1">
      <c r="B175" s="852" t="n"/>
      <c r="C175" s="700" t="n"/>
      <c r="D175" s="700" t="n"/>
      <c r="E175" s="853" t="n"/>
      <c r="F175" s="700" t="n"/>
      <c r="G175" s="700" t="n"/>
      <c r="H175" s="853" t="n"/>
      <c r="I175" s="700" t="n"/>
      <c r="J175" s="700" t="n"/>
      <c r="K175" s="853" t="n"/>
      <c r="L175" s="700" t="n"/>
      <c r="M175" s="700" t="n"/>
      <c r="N175" s="853" t="n"/>
      <c r="O175" s="700" t="n"/>
      <c r="P175" s="700" t="n"/>
      <c r="Q175" s="853" t="n"/>
      <c r="R175" s="700" t="n"/>
      <c r="S175" s="700" t="n"/>
      <c r="T175" s="853" t="n"/>
      <c r="U175" s="700" t="n"/>
      <c r="V175" s="700" t="n"/>
      <c r="W175" s="853" t="n"/>
      <c r="X175" s="700" t="n"/>
      <c r="Y175" s="700" t="n"/>
      <c r="Z175" s="853" t="n"/>
      <c r="AA175" s="700" t="n"/>
      <c r="AB175" s="700" t="n"/>
      <c r="AC175" s="853" t="n"/>
      <c r="AD175" s="700" t="n"/>
      <c r="AE175" s="700" t="n"/>
      <c r="AF175" s="853" t="n"/>
      <c r="AG175" s="700" t="n"/>
      <c r="AH175" s="700" t="n"/>
      <c r="AI175" s="853" t="n"/>
      <c r="AJ175" s="700" t="n"/>
      <c r="AK175" s="700" t="n"/>
      <c r="AL175" s="853" t="n"/>
      <c r="AM175" s="854" t="n"/>
      <c r="AN175" s="700" t="n"/>
      <c r="AO175" s="708" t="n"/>
    </row>
    <row r="176" ht="17.1" customFormat="1" customHeight="1" s="108">
      <c r="A176" s="153" t="n"/>
      <c r="B176" s="956" t="inlineStr">
        <is>
          <t>UTILIDAD VALORES</t>
        </is>
      </c>
      <c r="C176" s="960" t="n"/>
      <c r="D176" s="960" t="n"/>
      <c r="E176" s="960" t="n"/>
      <c r="F176" s="960" t="n"/>
      <c r="G176" s="960" t="n"/>
      <c r="H176" s="960" t="n"/>
      <c r="I176" s="960" t="n"/>
      <c r="J176" s="960" t="n"/>
      <c r="K176" s="960" t="n"/>
      <c r="L176" s="960" t="n"/>
      <c r="M176" s="960" t="n"/>
      <c r="N176" s="960" t="n"/>
      <c r="O176" s="960" t="n"/>
      <c r="P176" s="960" t="n"/>
      <c r="Q176" s="960" t="n"/>
      <c r="R176" s="960" t="n"/>
      <c r="S176" s="960" t="n"/>
      <c r="T176" s="960" t="n"/>
      <c r="U176" s="960" t="n"/>
      <c r="V176" s="960" t="n"/>
      <c r="W176" s="960" t="n"/>
      <c r="X176" s="960" t="n"/>
      <c r="Y176" s="960" t="n"/>
      <c r="Z176" s="960" t="n"/>
      <c r="AA176" s="960" t="n"/>
      <c r="AB176" s="960" t="n"/>
      <c r="AC176" s="960" t="n"/>
      <c r="AD176" s="960" t="n"/>
      <c r="AE176" s="960" t="n"/>
      <c r="AF176" s="960" t="n"/>
      <c r="AG176" s="960" t="n"/>
      <c r="AH176" s="960" t="n"/>
      <c r="AI176" s="960" t="n"/>
      <c r="AJ176" s="960" t="n"/>
      <c r="AK176" s="960" t="n"/>
      <c r="AL176" s="960" t="n"/>
      <c r="AM176" s="960" t="n"/>
      <c r="AN176" s="708" t="n"/>
      <c r="AO176" s="708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986">
      <c r="B177" s="754" t="n"/>
      <c r="C177" s="961" t="n"/>
      <c r="D177" s="961" t="n"/>
      <c r="E177" s="961" t="n"/>
      <c r="F177" s="961" t="n"/>
      <c r="G177" s="961" t="n"/>
      <c r="H177" s="961" t="n"/>
      <c r="I177" s="961" t="n"/>
      <c r="J177" s="961" t="n"/>
      <c r="K177" s="961" t="n"/>
      <c r="L177" s="961" t="n"/>
      <c r="M177" s="961" t="n"/>
      <c r="N177" s="961" t="n"/>
      <c r="O177" s="961" t="n"/>
      <c r="P177" s="961" t="n"/>
      <c r="Q177" s="961" t="n"/>
      <c r="R177" s="961" t="n"/>
      <c r="S177" s="961" t="n"/>
      <c r="T177" s="961" t="n"/>
      <c r="U177" s="961" t="n"/>
      <c r="V177" s="961" t="n"/>
      <c r="W177" s="961" t="n"/>
      <c r="X177" s="961" t="n"/>
      <c r="Y177" s="961" t="n"/>
      <c r="Z177" s="961" t="n"/>
      <c r="AA177" s="961" t="n"/>
      <c r="AB177" s="961" t="n"/>
      <c r="AC177" s="961" t="n"/>
      <c r="AD177" s="961" t="n"/>
      <c r="AE177" s="961" t="n"/>
      <c r="AF177" s="961" t="n"/>
      <c r="AG177" s="961" t="n"/>
      <c r="AH177" s="961" t="n"/>
      <c r="AI177" s="961" t="n"/>
      <c r="AJ177" s="961" t="n"/>
      <c r="AK177" s="961" t="n"/>
      <c r="AL177" s="961" t="n"/>
      <c r="AM177" s="961" t="n"/>
      <c r="AN177" s="708" t="n"/>
      <c r="AO177" s="708" t="n"/>
    </row>
    <row r="178" ht="11.1" customFormat="1" customHeight="1" s="108">
      <c r="A178" s="153" t="n"/>
      <c r="B178" s="955" t="inlineStr">
        <is>
          <t>UTILIDAD</t>
        </is>
      </c>
      <c r="C178" s="957">
        <f>CALI!C161+YUMBO!C161+BUGA!C161+'COMEDORES CALI'!C161+'CTAS EN PPACION'!C161+'COMEDORES VALLE'!C161+'COMEDORES PALMIRA'!C161+'ADULTO MAYOR'!C161</f>
        <v/>
      </c>
      <c r="D178" s="957" t="n"/>
      <c r="E178" s="957" t="n"/>
      <c r="F178" s="957">
        <f>CALI!F161+YUMBO!F161+BUGA!F161+'COMEDORES CALI'!F161+'CTAS EN PPACION'!F161+'COMEDORES VALLE'!F161+'COMEDORES PALMIRA'!F161+'ADULTO MAYOR'!F161</f>
        <v/>
      </c>
      <c r="G178" s="957" t="n"/>
      <c r="H178" s="957" t="n"/>
      <c r="I178" s="957">
        <f>CALI!I161+YUMBO!I161+BUGA!I161+'COMEDORES CALI'!I161+'CTAS EN PPACION'!I161+'COMEDORES VALLE'!I161+'COMEDORES PALMIRA'!I161+'ADULTO MAYOR'!I161</f>
        <v/>
      </c>
      <c r="J178" s="957" t="n"/>
      <c r="K178" s="957" t="n"/>
      <c r="L178" s="957">
        <f>CALI!L161+YUMBO!L161+BUGA!L161+'COMEDORES CALI'!L161+'CTAS EN PPACION'!L161+'COMEDORES VALLE'!L161+'COMEDORES PALMIRA'!L161+'ADULTO MAYOR'!L161</f>
        <v/>
      </c>
      <c r="M178" s="957" t="n"/>
      <c r="N178" s="957">
        <f>CALI!N161+YUMBO!N161+BUGA!N161+'COMEDORES CALI'!N161+'CTAS EN PPACION'!N161+'COMEDORES VALLE'!N161+'COMEDORES PALMIRA'!N161+'ADULTO MAYOR'!N161</f>
        <v/>
      </c>
      <c r="O178" s="957">
        <f>CALI!O161+YUMBO!O161+BUGA!O161+'COMEDORES CALI'!O161+'CTAS EN PPACION'!O161+'COMEDORES VALLE'!O161+'COMEDORES PALMIRA'!O161+'ADULTO MAYOR'!O161</f>
        <v/>
      </c>
      <c r="P178" s="957" t="n"/>
      <c r="Q178" s="957" t="n"/>
      <c r="R178" s="957">
        <f>CALI!R161+YUMBO!R161+BUGA!R161+'COMEDORES CALI'!R161+'CTAS EN PPACION'!R161+'COMEDORES VALLE'!R161+'COMEDORES PALMIRA'!R161+'ADULTO MAYOR'!R161</f>
        <v/>
      </c>
      <c r="S178" s="957" t="n"/>
      <c r="T178" s="957" t="n"/>
      <c r="U178" s="957">
        <f>CALI!U161+YUMBO!U161+BUGA!U161+'COMEDORES CALI'!U161+'CTAS EN PPACION'!U161+'COMEDORES VALLE'!U161+'COMEDORES PALMIRA'!U161+'ADULTO MAYOR'!U161</f>
        <v/>
      </c>
      <c r="V178" s="957" t="n"/>
      <c r="W178" s="957" t="n"/>
      <c r="X178" s="957">
        <f>CALI!X161+YUMBO!X161+BUGA!X161+'COMEDORES CALI'!X161+'CTAS EN PPACION'!X161+'COMEDORES VALLE'!X161+'COMEDORES PALMIRA'!X161+'ADULTO MAYOR'!X161</f>
        <v/>
      </c>
      <c r="Y178" s="957" t="n"/>
      <c r="Z178" s="957" t="n"/>
      <c r="AA178" s="957">
        <f>CALI!AA161+YUMBO!AA161+BUGA!AA161+'COMEDORES CALI'!AA161+'CTAS EN PPACION'!AA161+'COMEDORES VALLE'!AA161+'COMEDORES PALMIRA'!AA161+'ADULTO MAYOR'!AA161</f>
        <v/>
      </c>
      <c r="AB178" s="957" t="n"/>
      <c r="AC178" s="957" t="n"/>
      <c r="AD178" s="957">
        <f>CALI!AD161+YUMBO!AD161+BUGA!AD161+'COMEDORES CALI'!AD161+'CTAS EN PPACION'!AD161+'COMEDORES VALLE'!AD161+'COMEDORES PALMIRA'!AD161+'ADULTO MAYOR'!AD161</f>
        <v/>
      </c>
      <c r="AE178" s="957" t="n"/>
      <c r="AF178" s="957" t="n"/>
      <c r="AG178" s="957">
        <f>CALI!AG161+YUMBO!AG161+BUGA!AG161+'COMEDORES CALI'!AG161+'CTAS EN PPACION'!AG161+'COMEDORES VALLE'!AG161+'COMEDORES PALMIRA'!AG161+'ADULTO MAYOR'!AG161</f>
        <v/>
      </c>
      <c r="AH178" s="957" t="n"/>
      <c r="AI178" s="957" t="n"/>
      <c r="AJ178" s="957">
        <f>CALI!AJ161+YUMBO!AJ161+BUGA!AJ161+'COMEDORES CALI'!AJ161+'CTAS EN PPACION'!AJ161+'COMEDORES VALLE'!AJ161+'COMEDORES PALMIRA'!AJ161+'ADULTO MAYOR'!AJ161</f>
        <v/>
      </c>
      <c r="AK178" s="957" t="n"/>
      <c r="AL178" s="957" t="n"/>
      <c r="AM178" s="957">
        <f>CALI!AM161+YUMBO!AM161+BUGA!AM161+'COMEDORES CALI'!AM161+'CTAS EN PPACION'!AM161+'COMEDORES VALLE'!AM161+'COMEDORES PALMIRA'!AM161+'ADULTO MAYOR'!AM161</f>
        <v/>
      </c>
      <c r="AN178" s="395" t="n"/>
      <c r="AO178" s="395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5" t="inlineStr">
        <is>
          <t>DIFERENCIA</t>
        </is>
      </c>
      <c r="C179" s="957">
        <f>C178-C168</f>
        <v/>
      </c>
      <c r="D179" s="957" t="n"/>
      <c r="E179" s="957" t="n"/>
      <c r="F179" s="957">
        <f>F178-F168</f>
        <v/>
      </c>
      <c r="G179" s="957" t="n"/>
      <c r="H179" s="957" t="n"/>
      <c r="I179" s="957">
        <f>I178-I168</f>
        <v/>
      </c>
      <c r="J179" s="957" t="n"/>
      <c r="K179" s="957" t="n"/>
      <c r="L179" s="957">
        <f>L178-L168</f>
        <v/>
      </c>
      <c r="M179" s="957" t="n"/>
      <c r="N179" s="957">
        <f>N178-N168</f>
        <v/>
      </c>
      <c r="O179" s="957">
        <f>O178-O168</f>
        <v/>
      </c>
      <c r="P179" s="957" t="n"/>
      <c r="Q179" s="957" t="n"/>
      <c r="R179" s="957">
        <f>R178-R168</f>
        <v/>
      </c>
      <c r="S179" s="957" t="n"/>
      <c r="T179" s="957" t="n"/>
      <c r="U179" s="957">
        <f>U178-U168</f>
        <v/>
      </c>
      <c r="V179" s="957" t="n"/>
      <c r="W179" s="957" t="n"/>
      <c r="X179" s="957">
        <f>X178-X168</f>
        <v/>
      </c>
      <c r="Y179" s="957" t="n"/>
      <c r="Z179" s="957" t="n"/>
      <c r="AA179" s="957">
        <f>AA178-AA168</f>
        <v/>
      </c>
      <c r="AB179" s="957" t="n"/>
      <c r="AC179" s="957" t="n"/>
      <c r="AD179" s="957">
        <f>AD178-AD168</f>
        <v/>
      </c>
      <c r="AE179" s="957" t="n"/>
      <c r="AF179" s="957" t="n"/>
      <c r="AG179" s="957">
        <f>AG178-AG168</f>
        <v/>
      </c>
      <c r="AH179" s="957" t="n"/>
      <c r="AI179" s="957" t="n"/>
      <c r="AJ179" s="957">
        <f>AJ178-AJ168</f>
        <v/>
      </c>
      <c r="AK179" s="957" t="n"/>
      <c r="AL179" s="957" t="n"/>
      <c r="AM179" s="957">
        <f>AM178-AM168</f>
        <v/>
      </c>
      <c r="AN179" s="395" t="n"/>
      <c r="AO179" s="395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986">
      <c r="B180" s="954" t="inlineStr">
        <is>
          <t>GASTOS ADMON</t>
        </is>
      </c>
      <c r="C180" s="958">
        <f>'GASTOS ADMINISTRATIVOS'!C96-'PYG TOTAL'!C148</f>
        <v/>
      </c>
      <c r="D180" s="958" t="n"/>
      <c r="E180" s="958" t="n"/>
      <c r="F180" s="958">
        <f>'GASTOS ADMINISTRATIVOS'!D96-'PYG TOTAL'!F148</f>
        <v/>
      </c>
      <c r="G180" s="958" t="n"/>
      <c r="H180" s="958" t="n"/>
      <c r="I180" s="958">
        <f>'GASTOS ADMINISTRATIVOS'!E96-'PYG TOTAL'!I148</f>
        <v/>
      </c>
      <c r="J180" s="958" t="n"/>
      <c r="K180" s="958" t="n"/>
      <c r="L180" s="958">
        <f>'GASTOS ADMINISTRATIVOS'!F96-'PYG TOTAL'!L148</f>
        <v/>
      </c>
      <c r="M180" s="958" t="n"/>
      <c r="N180" s="958" t="n"/>
      <c r="O180" s="958">
        <f>'GASTOS ADMINISTRATIVOS'!G96-'PYG TOTAL'!O148</f>
        <v/>
      </c>
      <c r="P180" s="958" t="n"/>
      <c r="Q180" s="958" t="n"/>
      <c r="R180" s="958">
        <f>'GASTOS ADMINISTRATIVOS'!H96-'PYG TOTAL'!R148</f>
        <v/>
      </c>
      <c r="S180" s="958" t="n"/>
      <c r="T180" s="958" t="n"/>
      <c r="U180" s="958">
        <f>'GASTOS ADMINISTRATIVOS'!I96-'PYG TOTAL'!U148</f>
        <v/>
      </c>
      <c r="V180" s="958" t="n"/>
      <c r="W180" s="958" t="n"/>
      <c r="X180" s="959">
        <f>'GASTOS ADMINISTRATIVOS'!J96-'PYG TOTAL'!X148</f>
        <v/>
      </c>
      <c r="Y180" s="959" t="n"/>
      <c r="Z180" s="959" t="n"/>
      <c r="AA180" s="959">
        <f>'GASTOS ADMINISTRATIVOS'!K96-'PYG TOTAL'!AA148</f>
        <v/>
      </c>
      <c r="AB180" s="959" t="n"/>
      <c r="AC180" s="959" t="n"/>
      <c r="AD180" s="959">
        <f>'GASTOS ADMINISTRATIVOS'!L96-'PYG TOTAL'!AD148</f>
        <v/>
      </c>
      <c r="AE180" s="959" t="n"/>
      <c r="AF180" s="959" t="n"/>
      <c r="AG180" s="959">
        <f>'GASTOS ADMINISTRATIVOS'!M96-'PYG TOTAL'!AG148</f>
        <v/>
      </c>
      <c r="AH180" s="959" t="n"/>
      <c r="AI180" s="959" t="n"/>
      <c r="AJ180" s="959">
        <f>'GASTOS ADMINISTRATIVOS'!N96-'PYG TOTAL'!AJ148</f>
        <v/>
      </c>
      <c r="AK180" s="959" t="n"/>
      <c r="AL180" s="959" t="n"/>
      <c r="AM180" s="959">
        <f>'GASTOS ADMINISTRATIVOS'!O96-'PYG TOTAL'!AM148</f>
        <v/>
      </c>
      <c r="AN180" s="999" t="n"/>
      <c r="AO180" s="999" t="n"/>
    </row>
    <row r="181" ht="11.1" customHeight="1" s="986">
      <c r="B181" s="954" t="inlineStr">
        <is>
          <t>GASTOS OPERATIVOS</t>
        </is>
      </c>
      <c r="C181" s="959">
        <f>'GASTOS OPERATIVOS'!C17+BUGA!C85+'CTAS EN PPACION'!C85+'COMEDORES VALLE'!C85-C85</f>
        <v/>
      </c>
      <c r="D181" s="959" t="n"/>
      <c r="E181" s="959" t="n"/>
      <c r="F181" s="959">
        <f>'GASTOS OPERATIVOS'!D17+BUGA!F85+'CTAS EN PPACION'!F85+'COMEDORES VALLE'!F85-F85</f>
        <v/>
      </c>
      <c r="G181" s="959" t="n"/>
      <c r="H181" s="959" t="n"/>
      <c r="I181" s="959">
        <f>'GASTOS OPERATIVOS'!E17+BUGA!I85+'CTAS EN PPACION'!I85+'COMEDORES VALLE'!I85-I85</f>
        <v/>
      </c>
      <c r="J181" s="959" t="n"/>
      <c r="K181" s="959" t="n"/>
      <c r="L181" s="959">
        <f>'GASTOS OPERATIVOS'!F17+BUGA!L85+'CTAS EN PPACION'!L85+'COMEDORES VALLE'!L85-L85</f>
        <v/>
      </c>
      <c r="M181" s="959" t="n"/>
      <c r="N181" s="959" t="n"/>
      <c r="O181" s="959">
        <f>'GASTOS OPERATIVOS'!G17+BUGA!O85+'CTAS EN PPACION'!O85+'COMEDORES VALLE'!O85-O85</f>
        <v/>
      </c>
      <c r="P181" s="959" t="n"/>
      <c r="Q181" s="959" t="n"/>
      <c r="R181" s="959">
        <f>'GASTOS OPERATIVOS'!H17+BUGA!R85+'CTAS EN PPACION'!R85+'COMEDORES VALLE'!R85-R85</f>
        <v/>
      </c>
      <c r="S181" s="959" t="n"/>
      <c r="T181" s="959" t="n"/>
      <c r="U181" s="959">
        <f>'GASTOS OPERATIVOS'!I17+BUGA!U85+'CTAS EN PPACION'!U85+'COMEDORES VALLE'!U85-U85</f>
        <v/>
      </c>
      <c r="V181" s="959" t="n"/>
      <c r="W181" s="959" t="n"/>
      <c r="X181" s="959">
        <f>'GASTOS OPERATIVOS'!J17+BUGA!X85+'CTAS EN PPACION'!X85+'COMEDORES VALLE'!X85-X85</f>
        <v/>
      </c>
      <c r="Y181" s="959" t="n"/>
      <c r="Z181" s="959" t="n"/>
      <c r="AA181" s="959">
        <f>'GASTOS OPERATIVOS'!K17+BUGA!AA85+'CTAS EN PPACION'!AA85+'COMEDORES VALLE'!AA85-AA85</f>
        <v/>
      </c>
      <c r="AB181" s="959" t="n"/>
      <c r="AC181" s="959" t="n"/>
      <c r="AD181" s="959">
        <f>'GASTOS OPERATIVOS'!L17+BUGA!AD85+'CTAS EN PPACION'!AD85+'COMEDORES VALLE'!AD85-AD85</f>
        <v/>
      </c>
      <c r="AE181" s="959" t="n"/>
      <c r="AF181" s="959" t="n"/>
      <c r="AG181" s="959">
        <f>'GASTOS OPERATIVOS'!M17+BUGA!AG85+'CTAS EN PPACION'!AG85+'COMEDORES VALLE'!AG85-AG85</f>
        <v/>
      </c>
      <c r="AH181" s="959" t="n"/>
      <c r="AI181" s="959" t="n"/>
      <c r="AJ181" s="959">
        <f>'GASTOS OPERATIVOS'!N17+BUGA!AJ85+'CTAS EN PPACION'!AJ85+'COMEDORES VALLE'!AJ85-AJ85</f>
        <v/>
      </c>
      <c r="AK181" s="959" t="n"/>
      <c r="AL181" s="959" t="n"/>
      <c r="AM181" s="959">
        <f>'GASTOS OPERATIVOS'!O17+BUGA!AM85+'CTAS EN PPACION'!AM85+'COMEDORES VALLE'!AM85-AM85</f>
        <v/>
      </c>
      <c r="AN181" s="999" t="n"/>
      <c r="AO181" s="999" t="n"/>
    </row>
    <row r="182" ht="11.1" customHeight="1" s="986">
      <c r="B182" s="954" t="inlineStr">
        <is>
          <t>GASTOS VEHICULOS</t>
        </is>
      </c>
      <c r="C182" s="959">
        <f>'GASTOS VEHICULOS'!C25-'PYG TOTAL'!C73</f>
        <v/>
      </c>
      <c r="D182" s="959" t="n"/>
      <c r="E182" s="959" t="n"/>
      <c r="F182" s="959">
        <f>'GASTOS VEHICULOS'!D25-'PYG TOTAL'!F73</f>
        <v/>
      </c>
      <c r="G182" s="959" t="n"/>
      <c r="H182" s="959" t="n"/>
      <c r="I182" s="959">
        <f>'GASTOS VEHICULOS'!E25-'PYG TOTAL'!I73</f>
        <v/>
      </c>
      <c r="J182" s="959" t="n"/>
      <c r="K182" s="959" t="n"/>
      <c r="L182" s="959">
        <f>'GASTOS VEHICULOS'!F25-'PYG TOTAL'!L73</f>
        <v/>
      </c>
      <c r="M182" s="959" t="n"/>
      <c r="N182" s="959" t="n"/>
      <c r="O182" s="959">
        <f>'GASTOS VEHICULOS'!G25-'PYG TOTAL'!O73</f>
        <v/>
      </c>
      <c r="P182" s="959" t="n"/>
      <c r="Q182" s="959" t="n"/>
      <c r="R182" s="959">
        <f>'GASTOS VEHICULOS'!H25-'PYG TOTAL'!R73</f>
        <v/>
      </c>
      <c r="S182" s="959" t="n"/>
      <c r="T182" s="959" t="n"/>
      <c r="U182" s="959">
        <f>'GASTOS VEHICULOS'!I25-'PYG TOTAL'!U73</f>
        <v/>
      </c>
      <c r="V182" s="959" t="n"/>
      <c r="W182" s="959" t="n"/>
      <c r="X182" s="959">
        <f>'GASTOS VEHICULOS'!J25-'PYG TOTAL'!X73</f>
        <v/>
      </c>
      <c r="Y182" s="959" t="n"/>
      <c r="Z182" s="959" t="n"/>
      <c r="AA182" s="959">
        <f>'GASTOS VEHICULOS'!K25-'PYG TOTAL'!AA73</f>
        <v/>
      </c>
      <c r="AB182" s="959" t="n"/>
      <c r="AC182" s="959" t="n"/>
      <c r="AD182" s="959">
        <f>'GASTOS VEHICULOS'!L25-'PYG TOTAL'!AD73</f>
        <v/>
      </c>
      <c r="AE182" s="959" t="n"/>
      <c r="AF182" s="959" t="n"/>
      <c r="AG182" s="959">
        <f>'GASTOS VEHICULOS'!M25-'PYG TOTAL'!AG73</f>
        <v/>
      </c>
      <c r="AH182" s="959" t="n"/>
      <c r="AI182" s="959" t="n"/>
      <c r="AJ182" s="959">
        <f>'GASTOS VEHICULOS'!N25-'PYG TOTAL'!AJ73</f>
        <v/>
      </c>
      <c r="AK182" s="959" t="n"/>
      <c r="AL182" s="959" t="n"/>
      <c r="AM182" s="959">
        <f>'GASTOS VEHICULOS'!O25-'PYG TOTAL'!AM73</f>
        <v/>
      </c>
      <c r="AN182" s="999" t="n"/>
      <c r="AO182" s="999" t="n"/>
    </row>
    <row r="183">
      <c r="B183" s="954" t="inlineStr">
        <is>
          <t>GASTOS FINANCIEROS</t>
        </is>
      </c>
      <c r="C183" s="959">
        <f>'GASTOS ADMINISTRATIVOS'!C109-'PYG TOTAL'!C149+520117.4+29230.55+40203.2+79552.5+3501.4</f>
        <v/>
      </c>
      <c r="D183" s="959" t="n"/>
      <c r="E183" s="959" t="n"/>
      <c r="F183" s="959">
        <f>'GASTOS ADMINISTRATIVOS'!D109-'PYG TOTAL'!F149+129086.38+6000</f>
        <v/>
      </c>
      <c r="G183" s="959" t="n"/>
      <c r="H183" s="959" t="n"/>
      <c r="I183" s="959">
        <f>'GASTOS ADMINISTRATIVOS'!E109-'PYG TOTAL'!I149</f>
        <v/>
      </c>
      <c r="J183" s="959" t="n"/>
      <c r="K183" s="959" t="n"/>
      <c r="L183" s="959">
        <f>'GASTOS ADMINISTRATIVOS'!F109-'PYG TOTAL'!L149</f>
        <v/>
      </c>
      <c r="M183" s="959" t="n"/>
      <c r="N183" s="959" t="n"/>
      <c r="O183" s="959">
        <f>'GASTOS ADMINISTRATIVOS'!G109-'PYG TOTAL'!O149</f>
        <v/>
      </c>
      <c r="P183" s="959" t="n"/>
      <c r="Q183" s="959" t="n"/>
      <c r="R183" s="959">
        <f>'GASTOS ADMINISTRATIVOS'!H109-'PYG TOTAL'!R149</f>
        <v/>
      </c>
      <c r="S183" s="959" t="n"/>
      <c r="T183" s="959" t="n"/>
      <c r="U183" s="959">
        <f>'GASTOS ADMINISTRATIVOS'!I109-'PYG TOTAL'!U149</f>
        <v/>
      </c>
      <c r="V183" s="959" t="n"/>
      <c r="W183" s="959" t="n"/>
      <c r="X183" s="959">
        <f>'GASTOS ADMINISTRATIVOS'!J109-'PYG TOTAL'!X149</f>
        <v/>
      </c>
      <c r="Y183" s="959" t="n"/>
      <c r="Z183" s="959" t="n"/>
      <c r="AA183" s="959">
        <f>'GASTOS ADMINISTRATIVOS'!K109-'PYG TOTAL'!AA149</f>
        <v/>
      </c>
      <c r="AB183" s="959" t="n"/>
      <c r="AC183" s="959" t="n"/>
      <c r="AD183" s="959">
        <f>'GASTOS ADMINISTRATIVOS'!L109-'PYG TOTAL'!AD149</f>
        <v/>
      </c>
      <c r="AE183" s="959" t="n"/>
      <c r="AF183" s="959" t="n"/>
      <c r="AG183" s="959">
        <f>'GASTOS ADMINISTRATIVOS'!M109-'PYG TOTAL'!AG149</f>
        <v/>
      </c>
      <c r="AH183" s="959" t="n"/>
      <c r="AI183" s="959" t="n"/>
      <c r="AJ183" s="959">
        <f>'GASTOS ADMINISTRATIVOS'!N109-'PYG TOTAL'!AJ149</f>
        <v/>
      </c>
      <c r="AK183" s="959" t="n"/>
      <c r="AL183" s="959" t="n"/>
      <c r="AM183" s="959">
        <f>'GASTOS ADMINISTRATIVOS'!O109-'PYG TOTAL'!AM149+520117.4+29230.55+40203.2+79552.5+3501.4+129086.38+6000</f>
        <v/>
      </c>
      <c r="AN183" s="999" t="n"/>
    </row>
    <row r="184">
      <c r="B184" s="954" t="inlineStr">
        <is>
          <t>GASTOS NO OPERACIONALES</t>
        </is>
      </c>
      <c r="C184" s="959">
        <f>'GASTOS ADMINISTRATIVOS'!C119-'PYG TOTAL'!C151</f>
        <v/>
      </c>
      <c r="D184" s="959" t="n"/>
      <c r="E184" s="959" t="n"/>
      <c r="F184" s="959">
        <f>'GASTOS ADMINISTRATIVOS'!D119-'PYG TOTAL'!F151</f>
        <v/>
      </c>
      <c r="G184" s="959" t="n"/>
      <c r="H184" s="959" t="n"/>
      <c r="I184" s="959">
        <f>'GASTOS ADMINISTRATIVOS'!E119-'PYG TOTAL'!I151</f>
        <v/>
      </c>
      <c r="J184" s="959" t="n"/>
      <c r="K184" s="959" t="n"/>
      <c r="L184" s="959">
        <f>'GASTOS ADMINISTRATIVOS'!F119-'PYG TOTAL'!L151</f>
        <v/>
      </c>
      <c r="M184" s="959" t="n"/>
      <c r="N184" s="959" t="n"/>
      <c r="O184" s="959">
        <f>'GASTOS ADMINISTRATIVOS'!G119-'PYG TOTAL'!O151</f>
        <v/>
      </c>
      <c r="P184" s="959" t="n"/>
      <c r="Q184" s="959" t="n"/>
      <c r="R184" s="959">
        <f>'GASTOS ADMINISTRATIVOS'!H119-'PYG TOTAL'!R151</f>
        <v/>
      </c>
      <c r="S184" s="959" t="n"/>
      <c r="T184" s="959" t="n"/>
      <c r="U184" s="959">
        <f>'GASTOS ADMINISTRATIVOS'!I119-'PYG TOTAL'!U151</f>
        <v/>
      </c>
      <c r="V184" s="959" t="n"/>
      <c r="W184" s="959" t="n"/>
      <c r="X184" s="959">
        <f>'GASTOS ADMINISTRATIVOS'!J119-'PYG TOTAL'!X151</f>
        <v/>
      </c>
      <c r="Y184" s="959" t="n"/>
      <c r="Z184" s="959" t="n"/>
      <c r="AA184" s="959">
        <f>'GASTOS ADMINISTRATIVOS'!K119-'PYG TOTAL'!AA151</f>
        <v/>
      </c>
      <c r="AB184" s="959" t="n"/>
      <c r="AC184" s="959" t="n"/>
      <c r="AD184" s="959">
        <f>'GASTOS ADMINISTRATIVOS'!L119-'PYG TOTAL'!AD151</f>
        <v/>
      </c>
      <c r="AE184" s="959" t="n"/>
      <c r="AF184" s="959" t="n"/>
      <c r="AG184" s="959">
        <f>'GASTOS ADMINISTRATIVOS'!M119-'PYG TOTAL'!AG151</f>
        <v/>
      </c>
      <c r="AH184" s="959" t="n"/>
      <c r="AI184" s="959" t="n"/>
      <c r="AJ184" s="959">
        <f>'GASTOS ADMINISTRATIVOS'!N119-'PYG TOTAL'!AJ151</f>
        <v/>
      </c>
      <c r="AK184" s="959" t="n"/>
      <c r="AL184" s="959" t="n"/>
      <c r="AM184" s="959">
        <f>'GASTOS ADMINISTRATIVOS'!O119-'PYG TOTAL'!AM151</f>
        <v/>
      </c>
      <c r="AN184" s="402" t="n"/>
      <c r="AO184" s="1000" t="n"/>
    </row>
    <row r="185">
      <c r="X185" s="1000" t="n"/>
      <c r="Y185" s="1242" t="n"/>
      <c r="Z185" s="1000" t="n"/>
      <c r="AA185" s="1000" t="n"/>
      <c r="AB185" s="1000" t="n"/>
      <c r="AC185" s="1000" t="n"/>
      <c r="AE185" s="1000" t="n"/>
      <c r="AF185" s="1000" t="n"/>
      <c r="AG185" s="1000" t="n"/>
      <c r="AH185" s="1000" t="n"/>
      <c r="AI185" s="1000" t="n"/>
      <c r="AJ185" s="1000" t="n"/>
      <c r="AK185" s="1000" t="n"/>
      <c r="AL185" s="1000" t="n"/>
      <c r="AM185" s="895" t="n"/>
      <c r="AN185" s="1000" t="n"/>
      <c r="AO185" s="1000" t="n"/>
    </row>
    <row r="186">
      <c r="S186" s="1182" t="n"/>
      <c r="X186" s="1000" t="n"/>
      <c r="Y186" s="1000" t="n"/>
      <c r="Z186" s="1000" t="n"/>
      <c r="AA186" s="1000" t="n"/>
      <c r="AB186" s="1242" t="n"/>
      <c r="AC186" s="1000" t="n"/>
      <c r="AD186" s="1000" t="n"/>
      <c r="AE186" s="1000" t="n"/>
      <c r="AF186" s="1000" t="n"/>
      <c r="AG186" s="1000" t="n"/>
      <c r="AH186" s="1000" t="n"/>
      <c r="AI186" s="1000" t="n"/>
      <c r="AJ186" s="1000" t="n"/>
      <c r="AK186" s="1000" t="n"/>
      <c r="AL186" s="1000" t="n"/>
      <c r="AM186" s="402" t="n"/>
      <c r="AN186" s="1000" t="n"/>
    </row>
    <row r="187">
      <c r="S187" s="1182" t="n"/>
      <c r="X187" s="1000" t="n"/>
      <c r="Y187" s="1242" t="n"/>
      <c r="Z187" s="1000" t="n"/>
      <c r="AA187" s="1000" t="n"/>
      <c r="AB187" s="1242" t="n"/>
      <c r="AC187" s="1000" t="n"/>
      <c r="AD187" s="882" t="n"/>
      <c r="AE187" s="1000" t="n"/>
      <c r="AF187" s="1000" t="n"/>
      <c r="AG187" s="613" t="n"/>
      <c r="AH187" s="1000" t="n"/>
      <c r="AI187" s="1000" t="n"/>
      <c r="AJ187" s="1000" t="n"/>
      <c r="AK187" s="1000" t="n"/>
      <c r="AL187" s="1000" t="n"/>
      <c r="AM187" s="402" t="n"/>
      <c r="AN187" s="1000" t="n"/>
      <c r="AO187" s="1000" t="n"/>
    </row>
    <row r="188">
      <c r="X188" s="1000" t="n"/>
      <c r="Y188" s="1000" t="n"/>
      <c r="Z188" s="1000" t="n"/>
      <c r="AA188" s="1000" t="n"/>
      <c r="AB188" s="1000" t="n"/>
      <c r="AC188" s="1000" t="n"/>
      <c r="AD188" s="1000" t="n"/>
      <c r="AE188" s="1000" t="n"/>
      <c r="AF188" s="1000" t="n"/>
      <c r="AG188" s="1000" t="n"/>
      <c r="AH188" s="1000" t="n"/>
      <c r="AI188" s="1000" t="n"/>
      <c r="AJ188" s="1000" t="n"/>
      <c r="AK188" s="1000" t="n"/>
      <c r="AL188" s="1000" t="n"/>
      <c r="AN188" s="1000" t="n"/>
      <c r="AO188" s="1000" t="n"/>
    </row>
    <row r="189">
      <c r="F189" s="1182" t="n"/>
      <c r="X189" s="1000" t="n"/>
      <c r="Y189" s="1000" t="n"/>
      <c r="Z189" s="1000" t="n"/>
      <c r="AA189" s="1000" t="n"/>
      <c r="AB189" s="1000" t="n"/>
      <c r="AF189" s="613" t="n"/>
      <c r="AG189" s="613" t="n"/>
      <c r="AH189" s="613" t="n"/>
      <c r="AI189" s="613" t="n"/>
      <c r="AJ189" s="613" t="n"/>
      <c r="AK189" s="613" t="n"/>
      <c r="AL189" s="613" t="n"/>
      <c r="AM189" s="613" t="n"/>
      <c r="AN189" s="1000" t="n"/>
      <c r="AO189" s="1000" t="n"/>
    </row>
    <row r="190">
      <c r="X190" s="1000" t="n"/>
      <c r="Y190" s="1000" t="n"/>
      <c r="Z190" s="1000" t="n"/>
      <c r="AA190" s="1000" t="n"/>
      <c r="AB190" s="1000" t="n"/>
      <c r="AC190" s="883" t="n"/>
      <c r="AD190" s="613" t="n"/>
      <c r="AE190" s="613" t="n"/>
      <c r="AF190" s="613" t="n"/>
      <c r="AG190" s="402" t="n"/>
      <c r="AH190" s="613" t="n"/>
      <c r="AI190" s="613" t="n"/>
      <c r="AJ190" s="613" t="n"/>
      <c r="AK190" s="613" t="n"/>
      <c r="AL190" s="613" t="n"/>
      <c r="AM190" s="613" t="n"/>
      <c r="AN190" s="1000" t="n"/>
      <c r="AO190" s="1000" t="n"/>
    </row>
    <row r="191">
      <c r="X191" s="1000" t="n"/>
      <c r="Y191" s="1000" t="n"/>
      <c r="Z191" s="1000" t="n"/>
      <c r="AA191" s="1000" t="n"/>
      <c r="AB191" s="1000" t="n"/>
      <c r="AC191" s="613" t="n"/>
      <c r="AD191" s="613" t="n"/>
      <c r="AE191" s="613" t="n"/>
      <c r="AF191" s="613" t="n"/>
      <c r="AG191" s="613" t="n"/>
      <c r="AH191" s="613" t="n"/>
      <c r="AI191" s="613" t="n"/>
      <c r="AJ191" s="613" t="n"/>
      <c r="AK191" s="613" t="n"/>
      <c r="AL191" s="613" t="n"/>
      <c r="AM191" s="613" t="n"/>
      <c r="AN191" s="1000" t="n"/>
      <c r="AO191" s="1000" t="n"/>
    </row>
    <row r="192">
      <c r="X192" s="1000" t="n"/>
      <c r="Y192" s="1000" t="n"/>
      <c r="Z192" s="1000" t="n"/>
      <c r="AA192" s="1000" t="n"/>
      <c r="AB192" s="1000" t="n"/>
      <c r="AC192" s="613" t="n"/>
      <c r="AD192" s="613" t="n"/>
      <c r="AE192" s="613" t="n"/>
      <c r="AF192" s="613" t="n"/>
      <c r="AG192" s="613" t="n"/>
      <c r="AH192" s="613" t="n"/>
      <c r="AI192" s="613" t="n"/>
      <c r="AJ192" s="613" t="n"/>
      <c r="AK192" s="613" t="n"/>
      <c r="AL192" s="613" t="n"/>
      <c r="AM192" s="613" t="n"/>
      <c r="AN192" s="1000" t="n"/>
      <c r="AO192" s="1000" t="n"/>
    </row>
    <row r="193">
      <c r="X193" s="1000" t="n"/>
      <c r="Y193" s="1000" t="n"/>
      <c r="Z193" s="1000" t="n"/>
      <c r="AA193" s="1000" t="n"/>
      <c r="AB193" s="1000" t="n"/>
      <c r="AC193" s="613" t="n"/>
      <c r="AD193" s="613" t="n"/>
      <c r="AE193" s="613" t="n"/>
      <c r="AF193" s="613" t="n"/>
      <c r="AG193" s="613" t="n"/>
      <c r="AH193" s="613" t="n"/>
      <c r="AI193" s="613" t="n"/>
      <c r="AJ193" s="613" t="n"/>
      <c r="AK193" s="613" t="n"/>
      <c r="AL193" s="613" t="n"/>
      <c r="AM193" s="613" t="n"/>
      <c r="AN193" s="1000" t="n"/>
      <c r="AO193" s="1000" t="n"/>
    </row>
    <row r="194">
      <c r="X194" s="1000" t="n"/>
      <c r="Y194" s="1000" t="n"/>
      <c r="Z194" s="1000" t="n"/>
      <c r="AA194" s="1000" t="n"/>
      <c r="AB194" s="1000" t="n"/>
      <c r="AC194" s="613" t="n"/>
      <c r="AD194" s="613" t="n"/>
      <c r="AE194" s="613" t="n"/>
      <c r="AF194" s="613" t="n"/>
      <c r="AG194" s="613" t="n"/>
      <c r="AH194" s="613" t="n"/>
      <c r="AI194" s="613" t="n"/>
      <c r="AJ194" s="613" t="n"/>
      <c r="AK194" s="613" t="n"/>
      <c r="AL194" s="613" t="n"/>
      <c r="AM194" s="613" t="n"/>
      <c r="AN194" s="1000" t="n"/>
      <c r="AO194" s="1000" t="n"/>
    </row>
    <row r="195">
      <c r="X195" s="1000" t="n"/>
      <c r="Y195" s="1000" t="n"/>
      <c r="Z195" s="1000" t="n"/>
      <c r="AA195" s="1000" t="n"/>
      <c r="AB195" s="1000" t="n"/>
      <c r="AC195" s="613" t="n"/>
      <c r="AD195" s="613" t="n"/>
      <c r="AF195" s="613" t="n"/>
      <c r="AG195" s="613" t="n"/>
      <c r="AH195" s="613" t="n"/>
      <c r="AI195" s="613" t="n"/>
      <c r="AJ195" s="613" t="n"/>
      <c r="AK195" s="613" t="n"/>
      <c r="AL195" s="613" t="n"/>
      <c r="AM195" s="613" t="n"/>
      <c r="AN195" s="1000" t="n"/>
      <c r="AO195" s="1000" t="n"/>
    </row>
    <row r="196">
      <c r="X196" s="1000" t="n"/>
      <c r="Y196" s="1000" t="n"/>
      <c r="Z196" s="1000" t="n"/>
      <c r="AA196" s="1000" t="n"/>
      <c r="AB196" s="1000" t="n"/>
      <c r="AC196" s="613" t="n"/>
      <c r="AD196" s="402" t="n"/>
      <c r="AE196" s="613" t="n"/>
      <c r="AF196" s="613" t="n"/>
      <c r="AG196" s="613" t="n"/>
      <c r="AH196" s="613" t="n"/>
      <c r="AI196" s="613" t="n"/>
      <c r="AJ196" s="613" t="n"/>
      <c r="AK196" s="613" t="n"/>
      <c r="AL196" s="613" t="n"/>
      <c r="AM196" s="613" t="n"/>
      <c r="AN196" s="1000" t="n"/>
      <c r="AO196" s="1000" t="n"/>
    </row>
    <row r="197">
      <c r="X197" s="1000" t="n"/>
      <c r="Y197" s="1000" t="n"/>
      <c r="Z197" s="1000" t="n"/>
      <c r="AA197" s="1000" t="n"/>
      <c r="AB197" s="1000" t="n"/>
      <c r="AC197" s="613" t="n"/>
      <c r="AD197" s="402" t="n"/>
      <c r="AE197" s="613" t="n"/>
      <c r="AF197" s="613" t="n"/>
      <c r="AG197" s="613" t="n"/>
      <c r="AH197" s="613" t="n"/>
      <c r="AI197" s="613" t="n"/>
      <c r="AJ197" s="613" t="n"/>
      <c r="AK197" s="613" t="n"/>
      <c r="AL197" s="613" t="n"/>
      <c r="AM197" s="613" t="n"/>
      <c r="AN197" s="1000" t="n"/>
      <c r="AO197" s="1000" t="n"/>
    </row>
    <row r="198">
      <c r="X198" s="1000" t="n"/>
      <c r="Y198" s="1000" t="n"/>
      <c r="Z198" s="1000" t="n"/>
      <c r="AA198" s="1000" t="n"/>
      <c r="AB198" s="1000" t="n"/>
      <c r="AC198" s="613" t="n"/>
      <c r="AD198" s="402" t="n"/>
      <c r="AE198" s="613" t="n"/>
      <c r="AF198" s="613" t="n"/>
      <c r="AG198" s="613" t="n"/>
      <c r="AH198" s="613" t="n"/>
      <c r="AI198" s="613" t="n"/>
      <c r="AJ198" s="613" t="n"/>
      <c r="AK198" s="613" t="n"/>
      <c r="AL198" s="613" t="n"/>
      <c r="AM198" s="613" t="n"/>
      <c r="AN198" s="1000" t="n"/>
      <c r="AO198" s="1000" t="n"/>
    </row>
    <row r="199">
      <c r="X199" s="1000" t="n"/>
      <c r="Y199" s="1000" t="n"/>
      <c r="Z199" s="1000" t="n"/>
      <c r="AA199" s="1000" t="n"/>
      <c r="AB199" s="1000" t="n"/>
      <c r="AC199" s="613" t="n"/>
      <c r="AD199" s="613" t="n"/>
      <c r="AE199" s="613" t="n"/>
      <c r="AF199" s="613" t="n"/>
      <c r="AG199" s="613" t="n"/>
      <c r="AH199" s="613" t="n"/>
      <c r="AI199" s="613" t="n"/>
      <c r="AJ199" s="613" t="n"/>
      <c r="AK199" s="613" t="n"/>
      <c r="AL199" s="613" t="n"/>
      <c r="AM199" s="613" t="n"/>
      <c r="AN199" s="1000" t="n"/>
      <c r="AO199" s="1000" t="n"/>
    </row>
    <row r="200">
      <c r="X200" s="1000" t="n"/>
      <c r="Y200" s="1000" t="n"/>
      <c r="Z200" s="1000" t="n"/>
      <c r="AA200" s="1000" t="n"/>
      <c r="AB200" s="1000" t="n"/>
      <c r="AC200" s="613" t="n"/>
      <c r="AD200" s="613" t="n"/>
      <c r="AE200" s="613" t="n"/>
      <c r="AF200" s="613" t="n"/>
      <c r="AG200" s="613" t="n"/>
      <c r="AH200" s="613" t="n"/>
      <c r="AI200" s="613" t="n"/>
      <c r="AJ200" s="613" t="n"/>
      <c r="AK200" s="613" t="n"/>
      <c r="AL200" s="613" t="n"/>
      <c r="AM200" s="613" t="n"/>
      <c r="AN200" s="1000" t="n"/>
      <c r="AO200" s="1000" t="n"/>
    </row>
    <row r="201">
      <c r="X201" s="549">
        <f>SUM(X187:X198)</f>
        <v/>
      </c>
      <c r="Y201" s="1000" t="n"/>
      <c r="Z201" s="1000" t="n"/>
      <c r="AA201" s="1000" t="n"/>
      <c r="AB201" s="1000" t="n"/>
      <c r="AC201" s="1000" t="n"/>
      <c r="AD201" s="1000" t="n"/>
      <c r="AE201" s="1000" t="n"/>
      <c r="AF201" s="1000" t="n"/>
      <c r="AG201" s="1000" t="n"/>
      <c r="AH201" s="1000" t="n"/>
      <c r="AI201" s="1000" t="n"/>
      <c r="AJ201" s="1000" t="n"/>
      <c r="AK201" s="1000" t="n"/>
      <c r="AL201" s="1000" t="n"/>
      <c r="AM201" s="1000" t="n"/>
      <c r="AN201" s="1000" t="n"/>
      <c r="AO201" s="1000" t="n"/>
    </row>
    <row r="202">
      <c r="X202" s="1000" t="n"/>
      <c r="Y202" s="1000" t="n"/>
      <c r="Z202" s="1000" t="n"/>
      <c r="AA202" s="1000" t="n"/>
      <c r="AB202" s="1000" t="n"/>
      <c r="AC202" s="1000" t="n"/>
      <c r="AD202" s="1000" t="n"/>
      <c r="AE202" s="1000" t="n"/>
      <c r="AF202" s="1000" t="n"/>
      <c r="AG202" s="1000" t="n"/>
      <c r="AH202" s="1000" t="n"/>
      <c r="AI202" s="1000" t="n"/>
      <c r="AJ202" s="1000" t="n"/>
      <c r="AK202" s="1000" t="n"/>
      <c r="AL202" s="1000" t="n"/>
      <c r="AM202" s="1000" t="n"/>
      <c r="AN202" s="1000" t="n"/>
      <c r="AO202" s="1000" t="n"/>
    </row>
    <row r="203" hidden="1" s="986">
      <c r="I203" s="993">
        <f>I202/15</f>
        <v/>
      </c>
      <c r="X203" s="1000" t="n"/>
      <c r="Y203" s="1000" t="n"/>
      <c r="Z203" s="1000" t="n"/>
      <c r="AA203" s="1000" t="n"/>
      <c r="AB203" s="1000" t="n"/>
      <c r="AC203" s="1000" t="n"/>
      <c r="AD203" s="1000" t="n"/>
      <c r="AE203" s="1000" t="n"/>
      <c r="AF203" s="1000" t="n"/>
      <c r="AG203" s="1000" t="n"/>
      <c r="AH203" s="1000" t="n"/>
      <c r="AI203" s="1000" t="n"/>
      <c r="AJ203" s="1000" t="n"/>
      <c r="AK203" s="1000" t="n"/>
      <c r="AL203" s="1000" t="n"/>
      <c r="AM203" s="1000" t="n"/>
      <c r="AN203" s="1000" t="n"/>
      <c r="AO203" s="1000" t="n"/>
    </row>
    <row r="204">
      <c r="S204" s="1000" t="n"/>
      <c r="T204" s="1000" t="n"/>
      <c r="U204" s="1000">
        <f>U168-#REF!</f>
        <v/>
      </c>
      <c r="V204" s="1000" t="n"/>
      <c r="W204" s="1000" t="n"/>
      <c r="X204" s="1000" t="n"/>
      <c r="Y204" s="1000" t="n"/>
      <c r="Z204" s="1000" t="n"/>
      <c r="AA204" s="1000" t="n"/>
      <c r="AB204" s="1000" t="n"/>
      <c r="AC204" s="1000" t="n"/>
      <c r="AD204" s="1000" t="n"/>
      <c r="AE204" s="1000" t="n"/>
      <c r="AF204" s="1000" t="n"/>
      <c r="AG204" s="1000" t="n"/>
      <c r="AH204" s="1000" t="n"/>
      <c r="AI204" s="1000" t="n"/>
      <c r="AJ204" s="1000" t="n"/>
      <c r="AK204" s="1000" t="n"/>
      <c r="AL204" s="1000" t="n"/>
      <c r="AM204" s="1000" t="n"/>
      <c r="AN204" s="871" t="n"/>
      <c r="AO204" s="1000" t="n"/>
    </row>
    <row r="205">
      <c r="S205" s="1000" t="n"/>
      <c r="T205" s="1000" t="inlineStr">
        <is>
          <t>MP</t>
        </is>
      </c>
      <c r="U205" s="1000">
        <f>V205*U13</f>
        <v/>
      </c>
      <c r="V205" s="1242">
        <f>#REF!-W43</f>
        <v/>
      </c>
      <c r="W205" s="1000" t="n"/>
      <c r="X205" s="1000" t="n"/>
      <c r="Y205" s="1000" t="n"/>
      <c r="Z205" s="1000" t="n"/>
      <c r="AA205" s="1000" t="n"/>
      <c r="AB205" s="1000" t="n"/>
      <c r="AC205" s="1000" t="n"/>
      <c r="AD205" s="1000" t="n"/>
      <c r="AE205" s="1000" t="n"/>
      <c r="AF205" s="1000" t="n"/>
      <c r="AG205" s="1000" t="n"/>
      <c r="AH205" s="1000" t="n"/>
      <c r="AI205" s="1000" t="n"/>
      <c r="AJ205" s="1000" t="n"/>
      <c r="AK205" s="1000" t="n"/>
      <c r="AL205" s="1000" t="n"/>
      <c r="AM205" s="402" t="n"/>
      <c r="AN205" s="993" t="n"/>
    </row>
    <row r="206">
      <c r="S206" s="1000" t="n"/>
      <c r="T206" s="1000" t="inlineStr">
        <is>
          <t>ADMON</t>
        </is>
      </c>
      <c r="U206" s="1000">
        <f>#REF!-U148</f>
        <v/>
      </c>
      <c r="V206" s="1000" t="n"/>
      <c r="W206" s="1000" t="n"/>
      <c r="X206" s="1000" t="n"/>
      <c r="Y206" s="1000" t="n"/>
      <c r="Z206" s="1000" t="n"/>
      <c r="AA206" s="1000" t="n"/>
      <c r="AB206" s="1000" t="n"/>
      <c r="AC206" s="1000" t="n"/>
      <c r="AD206" s="1000" t="n"/>
      <c r="AE206" s="1000" t="n"/>
      <c r="AF206" s="1000" t="n"/>
      <c r="AG206" s="1000" t="n"/>
      <c r="AH206" s="1000" t="n"/>
      <c r="AI206" s="1000" t="n"/>
      <c r="AJ206" s="1000" t="n"/>
      <c r="AK206" s="1000" t="n"/>
      <c r="AL206" s="1000" t="n"/>
    </row>
    <row r="207">
      <c r="S207" s="1000" t="n"/>
      <c r="T207" s="1000" t="inlineStr">
        <is>
          <t>OPERATIVO</t>
        </is>
      </c>
      <c r="U207" s="1000">
        <f>#REF!-U85</f>
        <v/>
      </c>
      <c r="V207" s="1000" t="n"/>
      <c r="W207" s="1000" t="n"/>
      <c r="X207" s="1000" t="n"/>
      <c r="Y207" s="1000" t="n"/>
      <c r="Z207" s="1000" t="n"/>
      <c r="AA207" s="1000" t="n"/>
      <c r="AB207" s="1000" t="n"/>
      <c r="AC207" s="1000" t="n"/>
      <c r="AD207" s="1000" t="n"/>
      <c r="AE207" s="1000" t="n"/>
      <c r="AF207" s="1000" t="n"/>
      <c r="AG207" s="1000" t="n"/>
      <c r="AH207" s="1000" t="n"/>
      <c r="AI207" s="1000" t="n"/>
      <c r="AJ207" s="1000" t="n"/>
      <c r="AK207" s="1000" t="n"/>
      <c r="AL207" s="1000" t="n"/>
      <c r="AM207" s="1000">
        <f>AM204-'COMEDORES PALMIRA'!AM167</f>
        <v/>
      </c>
    </row>
    <row r="208">
      <c r="S208" s="1000" t="n"/>
      <c r="T208" s="1000" t="inlineStr">
        <is>
          <t>INV COM</t>
        </is>
      </c>
      <c r="U208" s="1000" t="n">
        <v>56000000</v>
      </c>
      <c r="V208" s="1000" t="n"/>
      <c r="W208" s="1000" t="n"/>
      <c r="X208" s="1000" t="n"/>
      <c r="Y208" s="1000" t="n"/>
      <c r="Z208" s="1000" t="n"/>
      <c r="AA208" s="1000" t="n"/>
      <c r="AB208" s="1000" t="n"/>
      <c r="AC208" s="1000" t="n"/>
      <c r="AD208" s="1000" t="n"/>
      <c r="AE208" s="1000" t="n"/>
      <c r="AF208" s="1000" t="n"/>
      <c r="AG208" s="1000" t="n"/>
      <c r="AH208" s="1000" t="n"/>
      <c r="AI208" s="1000" t="n"/>
      <c r="AJ208" s="1000" t="n"/>
      <c r="AK208" s="1000" t="n"/>
      <c r="AL208" s="1000" t="n"/>
      <c r="AM208" s="1000" t="n"/>
    </row>
    <row r="209">
      <c r="S209" s="1000" t="n"/>
      <c r="T209" s="1000" t="inlineStr">
        <is>
          <t>TRTANSP</t>
        </is>
      </c>
      <c r="U209" s="1000" t="n">
        <v>44000000</v>
      </c>
      <c r="V209" s="1000" t="n"/>
      <c r="W209" s="1000" t="n"/>
      <c r="X209" s="1000" t="n"/>
      <c r="Y209" s="1000" t="n"/>
      <c r="Z209" s="1000" t="n"/>
      <c r="AA209" s="1000" t="n"/>
      <c r="AB209" s="1000" t="n"/>
      <c r="AC209" s="1000" t="n"/>
      <c r="AD209" s="1000" t="n"/>
      <c r="AE209" s="1000" t="n"/>
      <c r="AF209" s="1000" t="n"/>
      <c r="AG209" s="1000" t="n"/>
      <c r="AH209" s="1000" t="n"/>
      <c r="AI209" s="1000" t="n"/>
      <c r="AJ209" s="1000" t="n"/>
      <c r="AK209" s="1000" t="n"/>
      <c r="AL209" s="1000" t="n"/>
      <c r="AM209" s="1000" t="n"/>
    </row>
    <row r="210">
      <c r="S210" s="1000" t="n"/>
      <c r="T210" s="1000" t="inlineStr">
        <is>
          <t>MANIP</t>
        </is>
      </c>
      <c r="U210" s="1000" t="n">
        <v>74000000</v>
      </c>
      <c r="V210" s="1000" t="n"/>
      <c r="W210" s="1000" t="n"/>
      <c r="X210" s="1000" t="n"/>
      <c r="Y210" s="1000" t="n"/>
      <c r="Z210" s="1000" t="n"/>
      <c r="AA210" s="1000" t="n"/>
      <c r="AB210" s="1000" t="n"/>
      <c r="AC210" s="1000" t="n"/>
      <c r="AD210" s="1000" t="n"/>
      <c r="AE210" s="1000" t="n"/>
      <c r="AF210" s="1000" t="n"/>
      <c r="AG210" s="1000" t="n"/>
      <c r="AH210" s="1000" t="n"/>
      <c r="AI210" s="1000" t="n"/>
      <c r="AJ210" s="1000" t="n"/>
      <c r="AK210" s="1000" t="n"/>
      <c r="AL210" s="1000" t="n"/>
      <c r="AM210" s="1000" t="n"/>
    </row>
    <row r="211">
      <c r="S211" s="1000" t="n"/>
      <c r="T211" s="1000" t="inlineStr">
        <is>
          <t>DOT Y EX</t>
        </is>
      </c>
      <c r="U211" s="1000" t="n">
        <v>43000000</v>
      </c>
      <c r="V211" s="1000" t="n"/>
      <c r="W211" s="1000" t="n"/>
      <c r="X211" s="1000" t="n"/>
      <c r="Y211" s="1000" t="n"/>
      <c r="Z211" s="1000" t="n"/>
      <c r="AA211" s="1000" t="n"/>
      <c r="AB211" s="1000" t="n"/>
      <c r="AC211" s="1000" t="n"/>
      <c r="AD211" s="1000" t="n"/>
      <c r="AE211" s="1000" t="n"/>
      <c r="AF211" s="1000" t="n"/>
      <c r="AG211" s="1000" t="n"/>
      <c r="AH211" s="1000" t="n"/>
      <c r="AI211" s="1000" t="n"/>
      <c r="AJ211" s="1000" t="n"/>
      <c r="AK211" s="1000" t="n"/>
      <c r="AL211" s="1000" t="n"/>
      <c r="AM211" s="1000" t="n"/>
    </row>
    <row r="212">
      <c r="S212" s="1000" t="n"/>
      <c r="T212" s="1000" t="n"/>
      <c r="U212" s="1000" t="n"/>
      <c r="V212" s="1000" t="n"/>
      <c r="W212" s="1000" t="n"/>
      <c r="X212" s="1000" t="n"/>
      <c r="Y212" s="1000" t="n"/>
      <c r="Z212" s="1000" t="n"/>
      <c r="AA212" s="1000" t="n"/>
      <c r="AB212" s="1000" t="n"/>
      <c r="AC212" s="1000" t="n"/>
      <c r="AD212" s="1000" t="n"/>
      <c r="AE212" s="1000" t="n"/>
      <c r="AF212" s="1000" t="n"/>
      <c r="AG212" s="1000" t="n"/>
      <c r="AH212" s="1000" t="n"/>
      <c r="AI212" s="1000" t="n"/>
      <c r="AJ212" s="1000" t="n"/>
      <c r="AK212" s="1000" t="n"/>
      <c r="AL212" s="1000" t="n"/>
      <c r="AM212" s="1000" t="n"/>
    </row>
    <row r="213">
      <c r="S213" s="1000" t="n"/>
      <c r="T213" s="1000" t="n"/>
      <c r="U213" s="1000">
        <f>SUM(U205:U212)</f>
        <v/>
      </c>
      <c r="V213" s="1000" t="n"/>
      <c r="W213" s="1000" t="n"/>
      <c r="X213" s="1000" t="n"/>
      <c r="Y213" s="1000" t="n"/>
      <c r="Z213" s="1000" t="n"/>
      <c r="AA213" s="1000" t="n"/>
      <c r="AB213" s="1000" t="n"/>
      <c r="AC213" s="1000" t="n"/>
      <c r="AD213" s="1000" t="n"/>
      <c r="AE213" s="1000" t="n"/>
      <c r="AF213" s="1000" t="n"/>
      <c r="AG213" s="1000" t="n"/>
      <c r="AH213" s="1000" t="n"/>
      <c r="AI213" s="1000" t="n"/>
      <c r="AJ213" s="1000" t="n"/>
      <c r="AK213" s="1000" t="n"/>
      <c r="AL213" s="1000" t="n"/>
      <c r="AM213" s="1000" t="n"/>
    </row>
    <row r="214">
      <c r="S214" s="1000" t="n"/>
      <c r="T214" s="1000" t="n"/>
      <c r="U214" s="1000" t="n"/>
      <c r="V214" s="1000" t="n"/>
      <c r="W214" s="1000" t="n"/>
      <c r="X214" s="1000" t="n"/>
      <c r="Y214" s="1000" t="n"/>
      <c r="Z214" s="1000" t="n"/>
      <c r="AA214" s="1000" t="n"/>
      <c r="AB214" s="1000" t="n"/>
      <c r="AC214" s="1000" t="n"/>
      <c r="AD214" s="1000" t="n"/>
      <c r="AE214" s="1000" t="n"/>
      <c r="AF214" s="1000" t="n"/>
      <c r="AG214" s="1000" t="n"/>
      <c r="AH214" s="1000" t="n"/>
      <c r="AI214" s="1000" t="n"/>
      <c r="AJ214" s="1000" t="n"/>
      <c r="AK214" s="1000" t="n"/>
      <c r="AL214" s="1000" t="n"/>
      <c r="AM214" s="1000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2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7.88671875" customWidth="1" style="993" min="39" max="39"/>
    <col width="11.33203125" customWidth="1" style="993" min="40" max="40"/>
    <col width="8.6640625" customWidth="1" style="1033" min="41" max="41"/>
    <col width="6.664062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PRESUPUESTO RECREARTE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6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479" t="n"/>
      <c r="J3" s="480" t="n"/>
      <c r="K3" s="1035" t="n"/>
      <c r="L3" s="479" t="n"/>
      <c r="M3" s="480" t="n"/>
      <c r="N3" s="1035" t="n"/>
      <c r="O3" s="479" t="n"/>
      <c r="P3" s="480" t="n"/>
      <c r="Q3" s="1035" t="n"/>
      <c r="R3" s="479" t="n"/>
      <c r="S3" s="480" t="n"/>
      <c r="T3" s="1035" t="n"/>
      <c r="U3" s="479" t="n"/>
      <c r="V3" s="480" t="n"/>
      <c r="W3" s="1035" t="n"/>
      <c r="X3" s="479" t="n"/>
      <c r="Y3" s="480" t="n"/>
      <c r="Z3" s="1035" t="n"/>
      <c r="AA3" s="479" t="n"/>
      <c r="AB3" s="480" t="n"/>
      <c r="AC3" s="1035" t="n"/>
      <c r="AD3" s="479" t="n"/>
      <c r="AE3" s="480" t="n"/>
      <c r="AF3" s="1035" t="n"/>
      <c r="AG3" s="479" t="n"/>
      <c r="AH3" s="480" t="n"/>
      <c r="AI3" s="1035" t="n"/>
      <c r="AJ3" s="479" t="n"/>
      <c r="AK3" s="480" t="n"/>
      <c r="AL3" s="1035" t="n"/>
      <c r="AM3" s="573">
        <f>SUM(F3:AJ3)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idden="1" ht="15" customHeight="1" s="986">
      <c r="B13" s="19" t="inlineStr">
        <is>
          <t>INGRESOS BRUTOS</t>
        </is>
      </c>
      <c r="C13" s="48">
        <f>C14+C23</f>
        <v/>
      </c>
      <c r="D13" s="10" t="n"/>
      <c r="E13" s="1243" t="n"/>
      <c r="F13" s="48">
        <f>F14+F23</f>
        <v/>
      </c>
      <c r="G13" s="10" t="n"/>
      <c r="H13" s="1243" t="n"/>
      <c r="I13" s="48">
        <f>I14+I23</f>
        <v/>
      </c>
      <c r="J13" s="10" t="n"/>
      <c r="K13" s="1243" t="n"/>
      <c r="L13" s="48">
        <f>L14+L23</f>
        <v/>
      </c>
      <c r="M13" s="10" t="n"/>
      <c r="N13" s="1243" t="n"/>
      <c r="O13" s="48">
        <f>O14+O23</f>
        <v/>
      </c>
      <c r="P13" s="10" t="n"/>
      <c r="Q13" s="1243" t="n"/>
      <c r="R13" s="48">
        <f>R14+R23</f>
        <v/>
      </c>
      <c r="S13" s="10" t="n"/>
      <c r="T13" s="1243" t="n"/>
      <c r="U13" s="48">
        <f>U14+U23</f>
        <v/>
      </c>
      <c r="V13" s="10" t="n"/>
      <c r="W13" s="1243" t="n"/>
      <c r="X13" s="48">
        <f>X14+X23</f>
        <v/>
      </c>
      <c r="Y13" s="10" t="n"/>
      <c r="Z13" s="1243" t="n"/>
      <c r="AA13" s="48">
        <f>AA14+AA23</f>
        <v/>
      </c>
      <c r="AB13" s="10" t="n"/>
      <c r="AC13" s="1243" t="n"/>
      <c r="AD13" s="48">
        <f>AD14+AD23</f>
        <v/>
      </c>
      <c r="AE13" s="10" t="n"/>
      <c r="AF13" s="1243" t="n"/>
      <c r="AG13" s="48">
        <f>AG14+AG23</f>
        <v/>
      </c>
      <c r="AH13" s="10" t="n"/>
      <c r="AI13" s="1243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244" t="n"/>
    </row>
    <row r="14" hidden="1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idden="1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49">
        <f>SUM(U16:U22)</f>
        <v/>
      </c>
      <c r="V15" s="3" t="n"/>
      <c r="W15" s="1053" t="n"/>
      <c r="X15" s="49">
        <f>SUM(X16:X22)</f>
        <v/>
      </c>
      <c r="Y15" s="3" t="n"/>
      <c r="Z15" s="1053">
        <f>X15/X15</f>
        <v/>
      </c>
      <c r="AA15" s="49">
        <f>SUM(AA16:AA22)</f>
        <v/>
      </c>
      <c r="AB15" s="61" t="n"/>
      <c r="AC15" s="1053">
        <f>AA15/AA15</f>
        <v/>
      </c>
      <c r="AD15" s="49">
        <f>SUM(AD16:AD22)</f>
        <v/>
      </c>
      <c r="AE15" s="61" t="n"/>
      <c r="AF15" s="1053">
        <f>AD15/AD15</f>
        <v/>
      </c>
      <c r="AG15" s="49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idden="1" ht="15" customHeight="1" s="986">
      <c r="B16" s="262" t="inlineStr">
        <is>
          <t>COMPLEMENTO INDUSTRIALIZADO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56">
        <f>AM16/AM$13</f>
        <v/>
      </c>
    </row>
    <row r="17" hidden="1" ht="15" customHeight="1" s="986">
      <c r="B17" s="104" t="inlineStr">
        <is>
          <t>COMPLEMENTO PREPARADO</t>
        </is>
      </c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>
        <f>AM17/AM6</f>
        <v/>
      </c>
      <c r="AO17" s="1046">
        <f>AM17/AM$13</f>
        <v/>
      </c>
    </row>
    <row r="18" hidden="1" ht="15" customHeight="1" s="986">
      <c r="B18" s="104" t="inlineStr">
        <is>
          <t>ALMUERZO JORNADA UNICA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57" t="n"/>
      <c r="AM18" s="205">
        <f>C18+F18+I18+L18+O18+R18+U18+X18+AA18+AD18+AG18+AJ18</f>
        <v/>
      </c>
      <c r="AN18" s="43">
        <f>AM18/AM7</f>
        <v/>
      </c>
      <c r="AO18" s="1046">
        <f>AM18/AM$13</f>
        <v/>
      </c>
    </row>
    <row r="19" hidden="1" ht="15" customHeight="1" s="986">
      <c r="B19" s="104" t="inlineStr">
        <is>
          <t>NOVEDADES</t>
        </is>
      </c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12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idden="1" ht="15" customHeight="1" s="986">
      <c r="B20" s="263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idden="1" ht="15" customHeight="1" s="986">
      <c r="B21" s="30" t="n"/>
      <c r="C21" s="75" t="n"/>
      <c r="D21" s="43" t="n"/>
      <c r="E21" s="1045" t="n"/>
      <c r="F21" s="2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idden="1" ht="15" customHeight="1" s="986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 t="n"/>
      <c r="AE23" s="3" t="n"/>
      <c r="AF23" s="1053" t="n"/>
      <c r="AG23" s="49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SUM(X25:X27)</f>
        <v/>
      </c>
      <c r="Y24" s="3" t="n"/>
      <c r="Z24" s="1053" t="n"/>
      <c r="AA24" s="49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49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hidden="1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idden="1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49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49">
        <f>SUM(X30:X35)</f>
        <v/>
      </c>
      <c r="Y29" s="3" t="n"/>
      <c r="Z29" s="1053">
        <f>X29/X13</f>
        <v/>
      </c>
      <c r="AA29" s="49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49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hidden="1" outlineLevel="1" ht="15" customHeight="1" s="986"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6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6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6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6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6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hidden="1" outlineLevel="1" ht="15" customHeight="1" s="986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hidden="1" outlineLevel="1" ht="15" customHeight="1" s="986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hidden="1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hidden="1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idden="1" collapsed="1" ht="15" customHeight="1" s="986" thickBot="1">
      <c r="B42" s="20" t="inlineStr">
        <is>
          <t>TOTAL INGRESOS NETOS</t>
        </is>
      </c>
      <c r="C42" s="54">
        <f>+C14+C23-C28</f>
        <v/>
      </c>
      <c r="D42" s="55" t="n"/>
      <c r="E42" s="1245" t="n"/>
      <c r="F42" s="54">
        <f>+F14+F23-F28</f>
        <v/>
      </c>
      <c r="G42" s="55" t="n"/>
      <c r="H42" s="1245" t="n"/>
      <c r="I42" s="54">
        <f>+I14+I23-I28</f>
        <v/>
      </c>
      <c r="J42" s="55" t="n"/>
      <c r="K42" s="1245" t="n"/>
      <c r="L42" s="54">
        <f>+L14+L23-L28</f>
        <v/>
      </c>
      <c r="M42" s="55" t="n"/>
      <c r="N42" s="1245" t="n"/>
      <c r="O42" s="54">
        <f>+O14+O23-O28</f>
        <v/>
      </c>
      <c r="P42" s="55" t="n"/>
      <c r="Q42" s="1245" t="n"/>
      <c r="R42" s="54">
        <f>+R14+R23-R28</f>
        <v/>
      </c>
      <c r="S42" s="55" t="n"/>
      <c r="T42" s="1245" t="n"/>
      <c r="U42" s="54">
        <f>+U14+U23-U28</f>
        <v/>
      </c>
      <c r="V42" s="55" t="n"/>
      <c r="W42" s="1245" t="n"/>
      <c r="X42" s="54">
        <f>+X14+X23-X28</f>
        <v/>
      </c>
      <c r="Y42" s="55" t="n"/>
      <c r="Z42" s="1245" t="n"/>
      <c r="AA42" s="54">
        <f>+AA14+AA23-AA28</f>
        <v/>
      </c>
      <c r="AB42" s="55" t="n"/>
      <c r="AC42" s="1245" t="n"/>
      <c r="AD42" s="54">
        <f>+AD14+AD23-AD28</f>
        <v/>
      </c>
      <c r="AE42" s="55" t="n"/>
      <c r="AF42" s="1245" t="n"/>
      <c r="AG42" s="54">
        <f>+AG14+AG23-AG28</f>
        <v/>
      </c>
      <c r="AH42" s="55" t="n"/>
      <c r="AI42" s="1245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24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8" t="n"/>
      <c r="AA43" s="2" t="n"/>
      <c r="AB43" s="2" t="n"/>
      <c r="AC43" s="1068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6" thickTop="1">
      <c r="B44" s="527" t="inlineStr">
        <is>
          <t>COSTOS DIRECTOS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 t="n"/>
      <c r="I44" s="491">
        <f>+I45+I60+I78</f>
        <v/>
      </c>
      <c r="J44" s="492" t="n"/>
      <c r="K44" s="1069" t="n"/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 t="n"/>
      <c r="R44" s="491">
        <f>+R45+R60+R78</f>
        <v/>
      </c>
      <c r="S44" s="492" t="n"/>
      <c r="T44" s="1069" t="n"/>
      <c r="U44" s="491">
        <f>+U45+U60+U78</f>
        <v/>
      </c>
      <c r="V44" s="492" t="n"/>
      <c r="W44" s="1069" t="n"/>
      <c r="X44" s="491">
        <f>+X45+X60+X78</f>
        <v/>
      </c>
      <c r="Y44" s="492" t="n"/>
      <c r="Z44" s="1069" t="n"/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 t="n"/>
      <c r="AG44" s="441">
        <f>+AG45+AG60+AG78</f>
        <v/>
      </c>
      <c r="AH44" s="442" t="n"/>
      <c r="AI44" s="1103" t="n"/>
      <c r="AJ44" s="441">
        <f>+AJ45+AJ60+AJ78</f>
        <v/>
      </c>
      <c r="AK44" s="442" t="n"/>
      <c r="AL44" s="1247">
        <f>AJ44/AJ$13</f>
        <v/>
      </c>
      <c r="AM44" s="583">
        <f>C44+F44+I44+L44+O44+R44+U44+X44+AA44+AD44+AG44+AJ44</f>
        <v/>
      </c>
      <c r="AN44" s="492" t="n"/>
      <c r="AO44" s="1070" t="n"/>
    </row>
    <row r="45" hidden="1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+F46+F58+F59</f>
        <v/>
      </c>
      <c r="G45" s="3" t="n"/>
      <c r="H45" s="1053" t="n"/>
      <c r="I45" s="49">
        <f>+I46+I58+I59</f>
        <v/>
      </c>
      <c r="J45" s="3" t="n"/>
      <c r="K45" s="1053" t="n"/>
      <c r="L45" s="49">
        <f>+L46+L58+L59</f>
        <v/>
      </c>
      <c r="M45" s="3" t="n"/>
      <c r="N45" s="1053" t="n"/>
      <c r="O45" s="49">
        <f>+O46+O58+O59</f>
        <v/>
      </c>
      <c r="P45" s="3" t="n"/>
      <c r="Q45" s="1053" t="n"/>
      <c r="R45" s="49">
        <f>+R46+R58+R59</f>
        <v/>
      </c>
      <c r="S45" s="3" t="n"/>
      <c r="T45" s="1053" t="n"/>
      <c r="U45" s="49">
        <f>+U46+U58+U59</f>
        <v/>
      </c>
      <c r="V45" s="3" t="n"/>
      <c r="W45" s="1053" t="n"/>
      <c r="X45" s="49">
        <f>+X46+X58+X59</f>
        <v/>
      </c>
      <c r="Y45" s="3" t="n"/>
      <c r="Z45" s="1053" t="n"/>
      <c r="AA45" s="49">
        <f>+AA46+AA58+AA59</f>
        <v/>
      </c>
      <c r="AB45" s="3" t="n"/>
      <c r="AC45" s="1053" t="n"/>
      <c r="AD45" s="49">
        <f>+AD46+AD58+AD59</f>
        <v/>
      </c>
      <c r="AE45" s="3" t="n"/>
      <c r="AF45" s="1053" t="n"/>
      <c r="AG45" s="49">
        <f>+AG46+AG58+AG59</f>
        <v/>
      </c>
      <c r="AH45" s="3" t="n"/>
      <c r="AI45" s="1053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idden="1" ht="15" customHeight="1" s="986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SUM(F47:F56)+F57</f>
        <v/>
      </c>
      <c r="G46" s="67" t="n"/>
      <c r="H46" s="1071" t="n"/>
      <c r="I46" s="37">
        <f>SUM(I47:I56)+I57</f>
        <v/>
      </c>
      <c r="J46" s="67" t="n"/>
      <c r="K46" s="1071" t="n"/>
      <c r="L46" s="37">
        <f>SUM(L47:L56)+L57</f>
        <v/>
      </c>
      <c r="M46" s="67" t="n"/>
      <c r="N46" s="1071" t="n"/>
      <c r="O46" s="37">
        <f>SUM(O47:O56)+O57</f>
        <v/>
      </c>
      <c r="P46" s="67" t="n"/>
      <c r="Q46" s="1071" t="n"/>
      <c r="R46" s="37">
        <f>SUM(R47:R56)+R57</f>
        <v/>
      </c>
      <c r="S46" s="67" t="n"/>
      <c r="T46" s="1071" t="n"/>
      <c r="U46" s="37">
        <f>SUM(U47:U56)+U57</f>
        <v/>
      </c>
      <c r="V46" s="67" t="n"/>
      <c r="W46" s="1071" t="n"/>
      <c r="X46" s="37">
        <f>SUM(X47:X56)+X57</f>
        <v/>
      </c>
      <c r="Y46" s="67" t="n"/>
      <c r="Z46" s="1071" t="n"/>
      <c r="AA46" s="37">
        <f>SUM(AA47:AA56)+AA57</f>
        <v/>
      </c>
      <c r="AB46" s="67" t="n"/>
      <c r="AC46" s="1071" t="n"/>
      <c r="AD46" s="37">
        <f>SUM(AD47:AD56)+AD57</f>
        <v/>
      </c>
      <c r="AE46" s="67" t="n"/>
      <c r="AF46" s="1071" t="n"/>
      <c r="AG46" s="37">
        <f>SUM(AG47:AG56)+AG57</f>
        <v/>
      </c>
      <c r="AH46" s="67" t="n"/>
      <c r="AI46" s="1071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idden="1" ht="15" customHeight="1" s="986">
      <c r="B47" s="97" t="n"/>
      <c r="C47" s="76" t="n"/>
      <c r="D47" s="42" t="n"/>
      <c r="E47" s="1057" t="n"/>
      <c r="F47" s="76" t="n"/>
      <c r="G47" s="42" t="n"/>
      <c r="H47" s="1057" t="n"/>
      <c r="I47" s="76" t="n"/>
      <c r="J47" s="42" t="n"/>
      <c r="K47" s="1057" t="n"/>
      <c r="L47" s="76" t="n"/>
      <c r="M47" s="42" t="n"/>
      <c r="N47" s="1057" t="n"/>
      <c r="O47" s="76" t="n"/>
      <c r="P47" s="42" t="n"/>
      <c r="Q47" s="1057" t="n"/>
      <c r="R47" s="76" t="n"/>
      <c r="S47" s="42" t="n"/>
      <c r="T47" s="1057" t="n"/>
      <c r="U47" s="76" t="n"/>
      <c r="V47" s="42" t="n"/>
      <c r="W47" s="1057" t="n"/>
      <c r="X47" s="76" t="n"/>
      <c r="Y47" s="42" t="n"/>
      <c r="Z47" s="1057" t="n"/>
      <c r="AA47" s="76" t="n"/>
      <c r="AB47" s="42" t="n"/>
      <c r="AC47" s="1057" t="n"/>
      <c r="AD47" s="76" t="n"/>
      <c r="AE47" s="42" t="n"/>
      <c r="AF47" s="1057" t="n"/>
      <c r="AG47" s="76" t="n"/>
      <c r="AH47" s="42" t="n"/>
      <c r="AI47" s="1057" t="n"/>
      <c r="AJ47" s="76" t="n"/>
      <c r="AK47" s="42" t="n"/>
      <c r="AL47" s="1057" t="n"/>
      <c r="AM47" s="97" t="n"/>
      <c r="AN47" s="42">
        <f>AM47/AM5</f>
        <v/>
      </c>
      <c r="AO47" s="1058" t="n"/>
    </row>
    <row r="48" hidden="1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57" t="n"/>
      <c r="AM48" s="205" t="n"/>
      <c r="AN48" s="43" t="n"/>
      <c r="AO48" s="1046" t="n"/>
    </row>
    <row r="49" hidden="1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 t="n"/>
      <c r="AN49" s="43" t="n"/>
      <c r="AO49" s="1046" t="n"/>
    </row>
    <row r="50" hidden="1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 t="n"/>
      <c r="AN50" s="43" t="n"/>
      <c r="AO50" s="1046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 t="n"/>
      <c r="AN51" s="43" t="n"/>
      <c r="AO51" s="1046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 t="n"/>
      <c r="AN52" s="43" t="n"/>
      <c r="AO52" s="1046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 t="n"/>
      <c r="AN53" s="43" t="n"/>
      <c r="AO53" s="1046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idden="1" ht="15" customHeight="1" s="986">
      <c r="B57" s="36" t="n"/>
      <c r="C57" s="37" t="n"/>
      <c r="D57" s="67" t="n"/>
      <c r="E57" s="1071" t="n"/>
      <c r="F57" s="37" t="n"/>
      <c r="G57" s="67" t="n"/>
      <c r="H57" s="1071" t="n"/>
      <c r="I57" s="37" t="n"/>
      <c r="J57" s="67" t="n"/>
      <c r="K57" s="1071" t="n"/>
      <c r="L57" s="37" t="n"/>
      <c r="M57" s="67" t="n"/>
      <c r="N57" s="1071" t="n"/>
      <c r="O57" s="37" t="n"/>
      <c r="P57" s="67" t="n"/>
      <c r="Q57" s="1071" t="n"/>
      <c r="R57" s="37" t="n"/>
      <c r="S57" s="67" t="n"/>
      <c r="T57" s="1071" t="n"/>
      <c r="U57" s="37" t="n"/>
      <c r="V57" s="67" t="n"/>
      <c r="W57" s="1071" t="n"/>
      <c r="X57" s="37" t="n"/>
      <c r="Y57" s="67" t="n"/>
      <c r="Z57" s="1071" t="n"/>
      <c r="AA57" s="37" t="n"/>
      <c r="AB57" s="67" t="n"/>
      <c r="AC57" s="1071" t="n"/>
      <c r="AD57" s="37" t="n"/>
      <c r="AE57" s="67" t="n"/>
      <c r="AF57" s="1071" t="n"/>
      <c r="AG57" s="37" t="n"/>
      <c r="AH57" s="67" t="n"/>
      <c r="AI57" s="1071" t="n"/>
      <c r="AJ57" s="37" t="n"/>
      <c r="AK57" s="67" t="n"/>
      <c r="AL57" s="68" t="n"/>
      <c r="AM57" s="211" t="n"/>
      <c r="AN57" s="67" t="n"/>
      <c r="AO57" s="1072" t="n"/>
    </row>
    <row r="58" hidden="1" ht="15" customHeight="1" s="986">
      <c r="B58" s="36" t="n"/>
      <c r="C58" s="37" t="n"/>
      <c r="D58" s="67" t="n"/>
      <c r="E58" s="1071" t="n"/>
      <c r="F58" s="37" t="n"/>
      <c r="G58" s="67" t="n"/>
      <c r="H58" s="1071" t="n"/>
      <c r="I58" s="37" t="n"/>
      <c r="J58" s="67" t="n"/>
      <c r="K58" s="1071" t="n"/>
      <c r="L58" s="37" t="n"/>
      <c r="M58" s="67" t="n"/>
      <c r="N58" s="1071" t="n"/>
      <c r="O58" s="37" t="n"/>
      <c r="P58" s="67" t="n"/>
      <c r="Q58" s="1071" t="n"/>
      <c r="R58" s="37" t="n"/>
      <c r="S58" s="67" t="n"/>
      <c r="T58" s="1071" t="n"/>
      <c r="U58" s="37" t="n"/>
      <c r="V58" s="67" t="n"/>
      <c r="W58" s="1071" t="n"/>
      <c r="X58" s="37" t="n"/>
      <c r="Y58" s="67" t="n"/>
      <c r="Z58" s="1071" t="n"/>
      <c r="AA58" s="37" t="n"/>
      <c r="AB58" s="67" t="n"/>
      <c r="AC58" s="1071" t="n"/>
      <c r="AD58" s="37" t="n"/>
      <c r="AE58" s="67" t="n"/>
      <c r="AF58" s="1071" t="n"/>
      <c r="AG58" s="37" t="n"/>
      <c r="AH58" s="67" t="n"/>
      <c r="AI58" s="1071" t="n"/>
      <c r="AJ58" s="37" t="n"/>
      <c r="AK58" s="67" t="n"/>
      <c r="AL58" s="68" t="n"/>
      <c r="AM58" s="211" t="n"/>
      <c r="AN58" s="67" t="n"/>
      <c r="AO58" s="1072" t="n"/>
    </row>
    <row r="59" hidden="1" ht="15" customFormat="1" customHeight="1" s="108">
      <c r="A59" s="229" t="n"/>
      <c r="B59" s="36" t="n"/>
      <c r="C59" s="37" t="n"/>
      <c r="D59" s="45" t="n"/>
      <c r="E59" s="1073" t="n"/>
      <c r="F59" s="37" t="n"/>
      <c r="G59" s="45" t="n"/>
      <c r="H59" s="1073" t="n"/>
      <c r="I59" s="37" t="n"/>
      <c r="J59" s="365" t="n"/>
      <c r="K59" s="1073" t="n"/>
      <c r="L59" s="37" t="n"/>
      <c r="M59" s="45" t="n"/>
      <c r="N59" s="1073" t="n"/>
      <c r="O59" s="37" t="n"/>
      <c r="P59" s="45" t="n"/>
      <c r="Q59" s="1073" t="n"/>
      <c r="R59" s="37" t="n"/>
      <c r="S59" s="45" t="n"/>
      <c r="T59" s="1073" t="n"/>
      <c r="U59" s="37" t="n"/>
      <c r="V59" s="45" t="n"/>
      <c r="W59" s="1073" t="n"/>
      <c r="X59" s="37" t="n"/>
      <c r="Y59" s="45" t="n"/>
      <c r="Z59" s="1073" t="n"/>
      <c r="AA59" s="37" t="n"/>
      <c r="AB59" s="45" t="n"/>
      <c r="AC59" s="1073" t="n"/>
      <c r="AD59" s="37" t="n"/>
      <c r="AE59" s="45" t="n"/>
      <c r="AF59" s="1073" t="n"/>
      <c r="AG59" s="37" t="n"/>
      <c r="AH59" s="45" t="n"/>
      <c r="AI59" s="1073" t="n"/>
      <c r="AJ59" s="37" t="n"/>
      <c r="AK59" s="45" t="n"/>
      <c r="AL59" s="1073" t="n"/>
      <c r="AM59" s="211" t="n"/>
      <c r="AN59" s="42" t="n"/>
      <c r="AO59" s="1074" t="n"/>
    </row>
    <row r="60" hidden="1" ht="15" customHeight="1" s="986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+F61+F73+F74+F75+F76+F77</f>
        <v/>
      </c>
      <c r="G60" s="3" t="n"/>
      <c r="H60" s="1053" t="n"/>
      <c r="I60" s="49">
        <f>+I61+I73+I74+I75+I76+I77</f>
        <v/>
      </c>
      <c r="J60" s="3" t="n"/>
      <c r="K60" s="1053" t="n"/>
      <c r="L60" s="49">
        <f>+L61+L73+L74+L75+L76+L77</f>
        <v/>
      </c>
      <c r="M60" s="3" t="n"/>
      <c r="N60" s="1053" t="n"/>
      <c r="O60" s="49">
        <f>+O61+O73+O74+O75+O76+O77</f>
        <v/>
      </c>
      <c r="P60" s="3" t="n"/>
      <c r="Q60" s="1053" t="n"/>
      <c r="R60" s="49">
        <f>+R61+R73+R74+R75+R76+R77</f>
        <v/>
      </c>
      <c r="S60" s="3" t="n"/>
      <c r="T60" s="1053" t="n"/>
      <c r="U60" s="49">
        <f>+U61+U73+U74+U75+U76+U77</f>
        <v/>
      </c>
      <c r="V60" s="3" t="n"/>
      <c r="W60" s="1053" t="n"/>
      <c r="X60" s="49">
        <f>+X61+X73+X74+X75+X76+X77</f>
        <v/>
      </c>
      <c r="Y60" s="3" t="n"/>
      <c r="Z60" s="1053" t="n"/>
      <c r="AA60" s="49">
        <f>+AA61+AA73+AA74+AA75+AA76+AA77</f>
        <v/>
      </c>
      <c r="AB60" s="3" t="n"/>
      <c r="AC60" s="1053" t="n"/>
      <c r="AD60" s="49">
        <f>+AD61+AD73+AD74+AD75+AD76+AD77</f>
        <v/>
      </c>
      <c r="AE60" s="3" t="n"/>
      <c r="AF60" s="1053" t="n"/>
      <c r="AG60" s="49">
        <f>+AG61+AG73+AG74+AG75+AG76+AG77</f>
        <v/>
      </c>
      <c r="AH60" s="3" t="n"/>
      <c r="AI60" s="1053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idden="1" ht="15" customHeight="1" s="986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SUM(F62:F71)+F72</f>
        <v/>
      </c>
      <c r="G61" s="67" t="n"/>
      <c r="H61" s="1071" t="n"/>
      <c r="I61" s="37">
        <f>SUM(I62:I71)+I72</f>
        <v/>
      </c>
      <c r="J61" s="67" t="n"/>
      <c r="K61" s="1071" t="n"/>
      <c r="L61" s="37">
        <f>SUM(L62:L71)+L72</f>
        <v/>
      </c>
      <c r="M61" s="67" t="n"/>
      <c r="N61" s="1071" t="n"/>
      <c r="O61" s="37">
        <f>SUM(O62:O71)+O72</f>
        <v/>
      </c>
      <c r="P61" s="67" t="n"/>
      <c r="Q61" s="1071" t="n"/>
      <c r="R61" s="37">
        <f>SUM(R62:R71)+R72</f>
        <v/>
      </c>
      <c r="S61" s="67" t="n"/>
      <c r="T61" s="1071" t="n"/>
      <c r="U61" s="37">
        <f>SUM(U62:U71)+U72</f>
        <v/>
      </c>
      <c r="V61" s="67" t="n"/>
      <c r="W61" s="1071" t="n"/>
      <c r="X61" s="37">
        <f>SUM(X62:X71)+X72</f>
        <v/>
      </c>
      <c r="Y61" s="67" t="n"/>
      <c r="Z61" s="1071" t="n"/>
      <c r="AA61" s="37">
        <f>SUM(AA62:AA71)+AA72</f>
        <v/>
      </c>
      <c r="AB61" s="67" t="n"/>
      <c r="AC61" s="1071" t="n"/>
      <c r="AD61" s="37">
        <f>SUM(AD62:AD71)+AD72</f>
        <v/>
      </c>
      <c r="AE61" s="67" t="n"/>
      <c r="AF61" s="1071" t="n"/>
      <c r="AG61" s="37">
        <f>SUM(AG62:AG71)+AG72</f>
        <v/>
      </c>
      <c r="AH61" s="67" t="n"/>
      <c r="AI61" s="1071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idden="1" ht="15" customHeight="1" s="986">
      <c r="B62" s="100" t="inlineStr">
        <is>
          <t>Complemento Preparado</t>
        </is>
      </c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1055" t="n"/>
      <c r="AM62" s="212">
        <f>C62+F62+I62+L62+O62+R62+U62+X62+AA62+AD62+AG62+AJ62</f>
        <v/>
      </c>
      <c r="AN62" s="79">
        <f>AM62/AM6</f>
        <v/>
      </c>
      <c r="AO62" s="1055" t="n"/>
    </row>
    <row r="63" hidden="1" ht="15" customHeight="1" s="986">
      <c r="B63" s="101" t="inlineStr">
        <is>
          <t>AlmuerzoJornada Unica</t>
        </is>
      </c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1045" t="n"/>
      <c r="AM63" s="205">
        <f>C63+F63+I63+L63+O63+R63+U63+X63+AA63+AD63+AG63+AJ63</f>
        <v/>
      </c>
      <c r="AN63" s="43">
        <f>AM63/AM7</f>
        <v/>
      </c>
      <c r="AO63" s="1045" t="n"/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46" t="n"/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 t="n"/>
      <c r="AO67" s="1046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idden="1" ht="15" customHeight="1" s="986">
      <c r="B70" s="91" t="inlineStr">
        <is>
          <t>REFRIGERIOS ESPECIALES</t>
        </is>
      </c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idden="1" ht="15" customHeight="1" s="986">
      <c r="B72" s="46" t="inlineStr">
        <is>
          <t>Transporte Materia Prima - Cavasa</t>
        </is>
      </c>
      <c r="C72" s="37" t="n"/>
      <c r="D72" s="67" t="n"/>
      <c r="E72" s="1071" t="n"/>
      <c r="F72" s="37" t="n"/>
      <c r="G72" s="67" t="n"/>
      <c r="H72" s="1071" t="n"/>
      <c r="I72" s="37" t="n"/>
      <c r="J72" s="67" t="n"/>
      <c r="K72" s="1071" t="n"/>
      <c r="L72" s="37" t="n"/>
      <c r="M72" s="67" t="n"/>
      <c r="N72" s="1071" t="n"/>
      <c r="O72" s="37" t="n"/>
      <c r="P72" s="67" t="n"/>
      <c r="Q72" s="1071" t="n"/>
      <c r="R72" s="37" t="n"/>
      <c r="S72" s="67" t="n"/>
      <c r="T72" s="1071" t="n"/>
      <c r="U72" s="37" t="n"/>
      <c r="V72" s="67" t="n"/>
      <c r="W72" s="1071" t="n"/>
      <c r="X72" s="37" t="n"/>
      <c r="Y72" s="67" t="n"/>
      <c r="Z72" s="1071" t="n"/>
      <c r="AA72" s="37" t="n"/>
      <c r="AB72" s="67" t="n"/>
      <c r="AC72" s="1071" t="n"/>
      <c r="AD72" s="37" t="n"/>
      <c r="AE72" s="67" t="n"/>
      <c r="AF72" s="1071" t="n"/>
      <c r="AG72" s="37" t="n"/>
      <c r="AH72" s="67" t="n"/>
      <c r="AI72" s="1071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072" t="n"/>
    </row>
    <row r="73" hidden="1" ht="15" customHeight="1" s="986">
      <c r="B73" s="36" t="inlineStr">
        <is>
          <t>Flete Preparados PROPIOS</t>
        </is>
      </c>
      <c r="C73" s="37" t="n"/>
      <c r="D73" s="67" t="n"/>
      <c r="E73" s="1071" t="n"/>
      <c r="F73" s="37" t="n"/>
      <c r="G73" s="67" t="n"/>
      <c r="H73" s="1071" t="n"/>
      <c r="I73" s="37" t="n"/>
      <c r="J73" s="67" t="n"/>
      <c r="K73" s="1071" t="n"/>
      <c r="L73" s="37" t="n"/>
      <c r="M73" s="67" t="n"/>
      <c r="N73" s="1071" t="n"/>
      <c r="O73" s="37" t="n"/>
      <c r="P73" s="67" t="n"/>
      <c r="Q73" s="1071" t="n"/>
      <c r="R73" s="37" t="n"/>
      <c r="S73" s="67" t="n"/>
      <c r="T73" s="1071" t="n"/>
      <c r="U73" s="37" t="n"/>
      <c r="V73" s="67" t="n"/>
      <c r="W73" s="1071" t="n"/>
      <c r="X73" s="37" t="n"/>
      <c r="Y73" s="67" t="n"/>
      <c r="Z73" s="1071" t="n"/>
      <c r="AA73" s="37" t="n"/>
      <c r="AB73" s="67" t="n"/>
      <c r="AC73" s="1071" t="n"/>
      <c r="AD73" s="37" t="n"/>
      <c r="AE73" s="67" t="n"/>
      <c r="AF73" s="1071" t="n"/>
      <c r="AG73" s="37" t="n"/>
      <c r="AH73" s="67" t="n"/>
      <c r="AI73" s="1071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075" t="n"/>
    </row>
    <row r="74" ht="15" customHeight="1" s="986">
      <c r="B74" s="36" t="inlineStr">
        <is>
          <t>Transporte</t>
        </is>
      </c>
      <c r="C74" s="37" t="n">
        <v>0</v>
      </c>
      <c r="D74" s="67" t="n"/>
      <c r="E74" s="1071" t="n"/>
      <c r="F74" s="37" t="n">
        <v>0</v>
      </c>
      <c r="G74" s="67" t="n"/>
      <c r="H74" s="1071" t="n"/>
      <c r="I74" s="37" t="n"/>
      <c r="J74" s="366" t="n"/>
      <c r="K74" s="1071" t="n"/>
      <c r="L74" s="37" t="n"/>
      <c r="M74" s="67" t="n"/>
      <c r="N74" s="1071" t="n"/>
      <c r="O74" s="37" t="n"/>
      <c r="P74" s="67" t="n"/>
      <c r="Q74" s="1071" t="n"/>
      <c r="R74" s="37" t="n"/>
      <c r="S74" s="67" t="n"/>
      <c r="T74" s="1071" t="n"/>
      <c r="U74" s="37" t="n"/>
      <c r="V74" s="67" t="n"/>
      <c r="W74" s="1071" t="n"/>
      <c r="X74" s="37" t="n"/>
      <c r="Y74" s="67" t="n"/>
      <c r="Z74" s="1071" t="n"/>
      <c r="AA74" s="37" t="n"/>
      <c r="AB74" s="67" t="n"/>
      <c r="AC74" s="1071" t="n"/>
      <c r="AD74" s="37" t="n"/>
      <c r="AE74" s="67" t="n"/>
      <c r="AF74" s="1071" t="n"/>
      <c r="AG74" s="37" t="n"/>
      <c r="AH74" s="67" t="n"/>
      <c r="AI74" s="1071" t="n"/>
      <c r="AJ74" s="37" t="n"/>
      <c r="AK74" s="67" t="n"/>
      <c r="AL74" s="1071" t="n"/>
      <c r="AM74" s="211">
        <f>C74+F74+I74+L74+O74+R74+U74+X74+AA74+AD74+AG74+AJ74</f>
        <v/>
      </c>
      <c r="AN74" s="67" t="n"/>
      <c r="AO74" s="1075" t="n"/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 t="n"/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t="15" customHeight="1" s="986">
      <c r="B77" s="66" t="inlineStr">
        <is>
          <t>Servicio de Gas</t>
        </is>
      </c>
      <c r="C77" s="28" t="n"/>
      <c r="D77" s="45" t="n"/>
      <c r="E77" s="1166" t="n"/>
      <c r="F77" s="367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t="15" customHeight="1" s="986">
      <c r="B78" s="16" t="inlineStr">
        <is>
          <t>GASTOS DE PERSONAL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 t="n"/>
      <c r="I78" s="49">
        <f>SUM(I79:I81)</f>
        <v/>
      </c>
      <c r="J78" s="3" t="n"/>
      <c r="K78" s="1053" t="n"/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 t="n"/>
      <c r="U78" s="49">
        <f>SUM(U79:U81)</f>
        <v/>
      </c>
      <c r="V78" s="3" t="n"/>
      <c r="W78" s="1053" t="n"/>
      <c r="X78" s="93">
        <f>SUM(X79:X81)</f>
        <v/>
      </c>
      <c r="Y78" s="3" t="n"/>
      <c r="Z78" s="1053" t="n"/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 t="n"/>
      <c r="AG78" s="49">
        <f>SUM(AG79:AG81)</f>
        <v/>
      </c>
      <c r="AH78" s="3" t="n"/>
      <c r="AI78" s="1053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 t="n"/>
    </row>
    <row r="79" ht="15" customHeight="1" s="986">
      <c r="B79" s="39" t="inlineStr">
        <is>
          <t>Coordinacion</t>
        </is>
      </c>
      <c r="C79" s="266">
        <f>'[1]Hoja 1'!$D$42</f>
        <v/>
      </c>
      <c r="D79" s="267" t="n"/>
      <c r="E79" s="1077" t="n"/>
      <c r="F79" s="266">
        <f>'[9]Hoja 1'!$H$45</f>
        <v/>
      </c>
      <c r="G79" s="69" t="n"/>
      <c r="H79" s="1077" t="n"/>
      <c r="I79" s="266" t="n"/>
      <c r="J79" s="69" t="n"/>
      <c r="K79" s="1077" t="n"/>
      <c r="L79" s="266" t="n"/>
      <c r="M79" s="69" t="n"/>
      <c r="N79" s="1077" t="n"/>
      <c r="O79" s="266" t="n"/>
      <c r="P79" s="69" t="n"/>
      <c r="Q79" s="1077" t="n"/>
      <c r="R79" s="266" t="n"/>
      <c r="S79" s="69" t="n"/>
      <c r="T79" s="1077" t="n"/>
      <c r="U79" s="266" t="n"/>
      <c r="V79" s="69" t="n"/>
      <c r="W79" s="1077" t="n"/>
      <c r="X79" s="266" t="n"/>
      <c r="Y79" s="69" t="n"/>
      <c r="Z79" s="1077" t="n"/>
      <c r="AA79" s="266" t="n"/>
      <c r="AB79" s="69" t="n"/>
      <c r="AC79" s="1077" t="n"/>
      <c r="AD79" s="266" t="n"/>
      <c r="AE79" s="69" t="n"/>
      <c r="AF79" s="1077" t="n"/>
      <c r="AG79" s="266" t="n"/>
      <c r="AH79" s="69" t="n"/>
      <c r="AI79" s="1077" t="n"/>
      <c r="AJ79" s="266" t="n"/>
      <c r="AK79" s="69" t="n"/>
      <c r="AL79" s="1077" t="n"/>
      <c r="AM79" s="268">
        <f>C79+F79+I79+L79+O79+R79+U79+X79+AA79+AD79+AG79+AJ79</f>
        <v/>
      </c>
      <c r="AN79" s="4" t="n"/>
      <c r="AO79" s="1078" t="n"/>
      <c r="AP79" s="1068" t="n"/>
    </row>
    <row r="80" ht="15" customHeight="1" s="986">
      <c r="B80" s="25" t="inlineStr">
        <is>
          <t xml:space="preserve">Profesores </t>
        </is>
      </c>
      <c r="C80" s="25">
        <f>'[17]Hoja 1'!$C$736</f>
        <v/>
      </c>
      <c r="D80" s="272" t="n"/>
      <c r="E80" s="1045" t="n"/>
      <c r="F80" s="25">
        <f>'[20]Hoja 1'!$C$672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1203" t="n"/>
      <c r="AR80" s="1203" t="n"/>
    </row>
    <row r="81" ht="15" customHeight="1" s="986" thickBot="1">
      <c r="B81" s="98" t="inlineStr">
        <is>
          <t>Servicios Generales</t>
        </is>
      </c>
      <c r="C81" s="71" t="n"/>
      <c r="D81" s="802" t="n"/>
      <c r="E81" s="1086" t="n"/>
      <c r="F81" s="71" t="n"/>
      <c r="G81" s="72" t="n"/>
      <c r="H81" s="1086" t="n"/>
      <c r="I81" s="71" t="n"/>
      <c r="J81" s="72" t="n"/>
      <c r="K81" s="1086" t="n"/>
      <c r="L81" s="71" t="n"/>
      <c r="M81" s="72" t="n"/>
      <c r="N81" s="1086" t="n"/>
      <c r="O81" s="71" t="n"/>
      <c r="P81" s="72" t="n"/>
      <c r="Q81" s="1086" t="n"/>
      <c r="R81" s="71" t="n"/>
      <c r="S81" s="72" t="n"/>
      <c r="T81" s="1086" t="n"/>
      <c r="U81" s="71" t="n"/>
      <c r="V81" s="72" t="n"/>
      <c r="W81" s="1086" t="n"/>
      <c r="X81" s="71" t="n"/>
      <c r="Y81" s="72" t="n"/>
      <c r="Z81" s="1086" t="n"/>
      <c r="AA81" s="71" t="n"/>
      <c r="AB81" s="72" t="n"/>
      <c r="AC81" s="1086" t="n"/>
      <c r="AD81" s="71" t="n"/>
      <c r="AE81" s="72" t="n"/>
      <c r="AF81" s="1086" t="n"/>
      <c r="AG81" s="71" t="n"/>
      <c r="AH81" s="72" t="n"/>
      <c r="AI81" s="1086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51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+C84+C88+C91+C95+C98+C108+C113+C119+C122+C126</f>
        <v/>
      </c>
      <c r="D83" s="492" t="n"/>
      <c r="E83" s="1069" t="n"/>
      <c r="F83" s="491">
        <f>+F84+F88+F91+F95+F98+F108+F113+F119+F122+F126</f>
        <v/>
      </c>
      <c r="G83" s="492" t="n"/>
      <c r="H83" s="1069" t="n"/>
      <c r="I83" s="491">
        <f>+I84+I88+I91+I95+I98+I108+I113+I119+I122+I126</f>
        <v/>
      </c>
      <c r="J83" s="492" t="n"/>
      <c r="K83" s="1069" t="n"/>
      <c r="L83" s="491">
        <f>+L84+L88+L91+L95+L98+L108+L113+L119+L122+L126</f>
        <v/>
      </c>
      <c r="M83" s="492" t="n"/>
      <c r="N83" s="1069" t="n"/>
      <c r="O83" s="491">
        <f>+O84+O88+O91+O95+O98+O108+O113+O119+O122+O126</f>
        <v/>
      </c>
      <c r="P83" s="492" t="n"/>
      <c r="Q83" s="1069" t="n"/>
      <c r="R83" s="491">
        <f>+R84+R88+R91+R95+R98+R108+R113+R119+R122+R126</f>
        <v/>
      </c>
      <c r="S83" s="492" t="n"/>
      <c r="T83" s="1069" t="n"/>
      <c r="U83" s="491">
        <f>+U84+U88+U91+U95+U98+U108+U113+U119+U122+U126</f>
        <v/>
      </c>
      <c r="V83" s="492" t="n"/>
      <c r="W83" s="1069" t="n"/>
      <c r="X83" s="491">
        <f>+X84+X88+X91+X95+X98+X108+X113+X119+X122+X126</f>
        <v/>
      </c>
      <c r="Y83" s="492" t="n"/>
      <c r="Z83" s="1069" t="n"/>
      <c r="AA83" s="491">
        <f>+AA84+AA88+AA91+AA95+AA98+AA108+AA113+AA119+AA122+AA126</f>
        <v/>
      </c>
      <c r="AB83" s="492" t="n"/>
      <c r="AC83" s="1069" t="n"/>
      <c r="AD83" s="441">
        <f>+AD84+AD88+AD91+AD95+AD98+AD108+AD113+AD119+AD122+AD126</f>
        <v/>
      </c>
      <c r="AE83" s="442" t="n"/>
      <c r="AF83" s="1103" t="n"/>
      <c r="AG83" s="441">
        <f>+AG84+AG88+AG91+AG95+AG98+AG108+AG113+AG119+AG122+AG126</f>
        <v/>
      </c>
      <c r="AH83" s="442" t="n"/>
      <c r="AI83" s="1103" t="n"/>
      <c r="AJ83" s="441">
        <f>+AJ84+AJ88+AJ91+AJ95+AJ98+AJ108+AJ113+AJ119+AJ122+AJ126</f>
        <v/>
      </c>
      <c r="AK83" s="442" t="n"/>
      <c r="AL83" s="447" t="n"/>
      <c r="AM83" s="583">
        <f>C83+F83+I83+L83+O83+R83+U83+X83+AA83+AD83+AG83+AJ83</f>
        <v/>
      </c>
      <c r="AN83" s="492" t="n"/>
      <c r="AO83" s="1081" t="n"/>
    </row>
    <row r="84" ht="15" customHeight="1" s="986">
      <c r="B84" s="16" t="inlineStr">
        <is>
          <t>COSTOS DE PERSONAL</t>
        </is>
      </c>
      <c r="C84" s="49">
        <f>SUM(C85:C87)</f>
        <v/>
      </c>
      <c r="D84" s="3" t="n"/>
      <c r="E84" s="1053" t="n"/>
      <c r="F84" s="49">
        <f>SUM(F85:F87)</f>
        <v/>
      </c>
      <c r="G84" s="3" t="n"/>
      <c r="H84" s="1053" t="n"/>
      <c r="I84" s="49">
        <f>SUM(I85:I87)</f>
        <v/>
      </c>
      <c r="J84" s="3" t="n"/>
      <c r="K84" s="1053" t="n"/>
      <c r="L84" s="49">
        <f>SUM(L85:L87)</f>
        <v/>
      </c>
      <c r="M84" s="3" t="n"/>
      <c r="N84" s="1053" t="n"/>
      <c r="O84" s="49">
        <f>SUM(O85:O87)</f>
        <v/>
      </c>
      <c r="P84" s="3" t="n"/>
      <c r="Q84" s="1053" t="n"/>
      <c r="R84" s="49">
        <f>SUM(R85:R87)</f>
        <v/>
      </c>
      <c r="S84" s="3" t="n"/>
      <c r="T84" s="1053" t="n"/>
      <c r="U84" s="49">
        <f>SUM(U85:U87)</f>
        <v/>
      </c>
      <c r="V84" s="3" t="n"/>
      <c r="W84" s="1053" t="n"/>
      <c r="X84" s="49">
        <f>SUM(X85:X87)</f>
        <v/>
      </c>
      <c r="Y84" s="3" t="n"/>
      <c r="Z84" s="1053" t="n"/>
      <c r="AA84" s="49">
        <f>SUM(AA85:AA87)</f>
        <v/>
      </c>
      <c r="AB84" s="3" t="n"/>
      <c r="AC84" s="1053" t="n"/>
      <c r="AD84" s="49">
        <f>SUM(AD85:AD87)</f>
        <v/>
      </c>
      <c r="AE84" s="3" t="n"/>
      <c r="AF84" s="1053" t="n"/>
      <c r="AG84" s="49">
        <f>SUM(AG85:AG87)</f>
        <v/>
      </c>
      <c r="AH84" s="3" t="n"/>
      <c r="AI84" s="1053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076" t="n"/>
    </row>
    <row r="85" ht="15" customHeight="1" s="986">
      <c r="B85" s="39" t="inlineStr">
        <is>
          <t>Costos Indirectos de Personal</t>
        </is>
      </c>
      <c r="C85" s="39" t="n"/>
      <c r="D85" s="69" t="n"/>
      <c r="E85" s="1077" t="n"/>
      <c r="F85" s="353" t="n"/>
      <c r="G85" s="69" t="n"/>
      <c r="H85" s="1077" t="n"/>
      <c r="I85" s="353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 t="n"/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9">
        <f>C86+F86+I86+L86+O86+R86+U86+X86+AA86+AD86+AG86+AJ86</f>
        <v/>
      </c>
      <c r="AN86" s="43" t="n"/>
      <c r="AO86" s="1046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73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058" t="n"/>
    </row>
    <row r="88" ht="15" customHeight="1" s="986">
      <c r="B88" s="16" t="inlineStr">
        <is>
          <t>HONORARIOS</t>
        </is>
      </c>
      <c r="C88" s="49">
        <f>SUM(C89:C90)</f>
        <v/>
      </c>
      <c r="D88" s="3" t="n"/>
      <c r="E88" s="1053" t="n"/>
      <c r="F88" s="49">
        <f>SUM(F89:F90)</f>
        <v/>
      </c>
      <c r="G88" s="3" t="n"/>
      <c r="H88" s="1053" t="n"/>
      <c r="I88" s="90">
        <f>SUM(I89:I90)</f>
        <v/>
      </c>
      <c r="J88" s="3" t="n"/>
      <c r="K88" s="1053" t="n"/>
      <c r="L88" s="49">
        <f>SUM(L89:L90)</f>
        <v/>
      </c>
      <c r="M88" s="3" t="n"/>
      <c r="N88" s="1053" t="n"/>
      <c r="O88" s="49">
        <f>SUM(O89:O90)</f>
        <v/>
      </c>
      <c r="P88" s="3" t="n"/>
      <c r="Q88" s="1053" t="n"/>
      <c r="R88" s="49">
        <f>SUM(R89:R90)</f>
        <v/>
      </c>
      <c r="S88" s="3" t="n"/>
      <c r="T88" s="1053" t="n"/>
      <c r="U88" s="49">
        <f>SUM(U89:U90)</f>
        <v/>
      </c>
      <c r="V88" s="3" t="n"/>
      <c r="W88" s="1053" t="n"/>
      <c r="X88" s="49">
        <f>SUM(X89:X90)</f>
        <v/>
      </c>
      <c r="Y88" s="3" t="n"/>
      <c r="Z88" s="1053" t="n"/>
      <c r="AA88" s="49">
        <f>SUM(AA89:AA90)</f>
        <v/>
      </c>
      <c r="AB88" s="3" t="n"/>
      <c r="AC88" s="1053" t="n"/>
      <c r="AD88" s="49">
        <f>SUM(AD89:AD90)</f>
        <v/>
      </c>
      <c r="AE88" s="3" t="n"/>
      <c r="AF88" s="1053" t="n"/>
      <c r="AG88" s="49">
        <f>SUM(AG89:AG90)</f>
        <v/>
      </c>
      <c r="AH88" s="3" t="n"/>
      <c r="AI88" s="1053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076" t="n"/>
    </row>
    <row r="89" outlineLevel="1" ht="15" customHeight="1" s="986">
      <c r="B89" s="39" t="inlineStr">
        <is>
          <t>Asesoría Juridica</t>
        </is>
      </c>
      <c r="C89" s="39" t="n"/>
      <c r="D89" s="69" t="n"/>
      <c r="E89" s="1077" t="n"/>
      <c r="F89" s="39" t="n"/>
      <c r="G89" s="69" t="n"/>
      <c r="H89" s="1077" t="n"/>
      <c r="I89" s="39" t="n"/>
      <c r="J89" s="69" t="n"/>
      <c r="K89" s="1077" t="n"/>
      <c r="L89" s="39" t="n"/>
      <c r="M89" s="69" t="n"/>
      <c r="N89" s="1077" t="n"/>
      <c r="O89" s="39" t="n"/>
      <c r="P89" s="69" t="n"/>
      <c r="Q89" s="1077" t="n"/>
      <c r="R89" s="39" t="n"/>
      <c r="S89" s="69" t="n"/>
      <c r="T89" s="1077" t="n"/>
      <c r="U89" s="39" t="n"/>
      <c r="V89" s="69" t="n"/>
      <c r="W89" s="1077" t="n"/>
      <c r="X89" s="39" t="n"/>
      <c r="Y89" s="69" t="n"/>
      <c r="Z89" s="1077" t="n"/>
      <c r="AA89" s="39" t="n"/>
      <c r="AB89" s="69" t="n"/>
      <c r="AC89" s="1077" t="n"/>
      <c r="AD89" s="39" t="n"/>
      <c r="AE89" s="69" t="n"/>
      <c r="AF89" s="1077" t="n"/>
      <c r="AG89" s="39" t="n"/>
      <c r="AH89" s="69" t="n"/>
      <c r="AI89" s="1077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082" t="n"/>
    </row>
    <row r="90" outlineLevel="1" ht="15" customHeight="1" s="986">
      <c r="B90" s="83" t="inlineStr">
        <is>
          <t>Capacitacion</t>
        </is>
      </c>
      <c r="C90" s="83" t="n"/>
      <c r="D90" s="84" t="n"/>
      <c r="E90" s="1047" t="n"/>
      <c r="F90" s="83" t="n"/>
      <c r="G90" s="84" t="n"/>
      <c r="H90" s="1047" t="n"/>
      <c r="I90" s="83" t="n"/>
      <c r="J90" s="84" t="n"/>
      <c r="K90" s="1047" t="n"/>
      <c r="L90" s="83" t="n"/>
      <c r="M90" s="84" t="n"/>
      <c r="N90" s="1047" t="n"/>
      <c r="O90" s="83" t="n"/>
      <c r="P90" s="84" t="n"/>
      <c r="Q90" s="1047" t="n"/>
      <c r="R90" s="83" t="n"/>
      <c r="S90" s="84" t="n"/>
      <c r="T90" s="1047" t="n"/>
      <c r="U90" s="83" t="n"/>
      <c r="V90" s="84" t="n"/>
      <c r="W90" s="1047" t="n"/>
      <c r="X90" s="83" t="n"/>
      <c r="Y90" s="84" t="n"/>
      <c r="Z90" s="1047" t="n"/>
      <c r="AA90" s="83" t="n"/>
      <c r="AB90" s="84" t="n"/>
      <c r="AC90" s="1047" t="n"/>
      <c r="AD90" s="83" t="n"/>
      <c r="AE90" s="84" t="n"/>
      <c r="AF90" s="1047" t="n"/>
      <c r="AG90" s="83" t="n"/>
      <c r="AH90" s="84" t="n"/>
      <c r="AI90" s="1047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48" t="n"/>
    </row>
    <row r="91" ht="15" customHeight="1" s="986">
      <c r="B91" s="16" t="inlineStr">
        <is>
          <t>ARRENDAMIENTOS</t>
        </is>
      </c>
      <c r="C91" s="49">
        <f>SUM(C92:C94)</f>
        <v/>
      </c>
      <c r="D91" s="3" t="n"/>
      <c r="E91" s="1053" t="n"/>
      <c r="F91" s="49">
        <f>SUM(F92:F94)</f>
        <v/>
      </c>
      <c r="G91" s="3" t="n"/>
      <c r="H91" s="1053" t="n"/>
      <c r="I91" s="90">
        <f>SUM(I92:I94)</f>
        <v/>
      </c>
      <c r="J91" s="3" t="n"/>
      <c r="K91" s="1053" t="n"/>
      <c r="L91" s="49">
        <f>SUM(L92:L94)</f>
        <v/>
      </c>
      <c r="M91" s="3" t="n"/>
      <c r="N91" s="1053" t="n"/>
      <c r="O91" s="49">
        <f>SUM(O92:O94)</f>
        <v/>
      </c>
      <c r="P91" s="3" t="n"/>
      <c r="Q91" s="1053" t="n"/>
      <c r="R91" s="49">
        <f>SUM(R92:R94)</f>
        <v/>
      </c>
      <c r="S91" s="3" t="n"/>
      <c r="T91" s="1053" t="n"/>
      <c r="U91" s="49">
        <f>SUM(U92:U94)</f>
        <v/>
      </c>
      <c r="V91" s="3" t="n"/>
      <c r="W91" s="1053" t="n"/>
      <c r="X91" s="49">
        <f>SUM(X92:X94)</f>
        <v/>
      </c>
      <c r="Y91" s="3" t="n"/>
      <c r="Z91" s="1053" t="n"/>
      <c r="AA91" s="49">
        <f>SUM(AA92:AA94)</f>
        <v/>
      </c>
      <c r="AB91" s="3" t="n"/>
      <c r="AC91" s="1053" t="n"/>
      <c r="AD91" s="49">
        <f>SUM(AD92:AD94)</f>
        <v/>
      </c>
      <c r="AE91" s="3" t="n"/>
      <c r="AF91" s="1053" t="n"/>
      <c r="AG91" s="49">
        <f>SUM(AG92:AG94)</f>
        <v/>
      </c>
      <c r="AH91" s="3" t="n"/>
      <c r="AI91" s="1053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076" t="n"/>
    </row>
    <row r="92" outlineLevel="1" ht="15" customHeight="1" s="986">
      <c r="B92" s="39" t="inlineStr">
        <is>
          <t>Construcciones y Edificaciones</t>
        </is>
      </c>
      <c r="C92" s="39">
        <f>'[17]Hoja 1'!$C$708</f>
        <v/>
      </c>
      <c r="D92" s="69" t="n"/>
      <c r="E92" s="1077" t="n"/>
      <c r="F92" s="39" t="n"/>
      <c r="G92" s="69" t="n"/>
      <c r="H92" s="1077" t="n"/>
      <c r="I92" s="39" t="n"/>
      <c r="J92" s="69" t="n"/>
      <c r="K92" s="1077" t="n"/>
      <c r="L92" s="39" t="n"/>
      <c r="M92" s="69" t="n"/>
      <c r="N92" s="1077" t="n"/>
      <c r="O92" s="39" t="n"/>
      <c r="P92" s="69" t="n"/>
      <c r="Q92" s="1077" t="n"/>
      <c r="R92" s="39" t="n"/>
      <c r="S92" s="69" t="n"/>
      <c r="T92" s="1077" t="n"/>
      <c r="U92" s="39" t="n"/>
      <c r="V92" s="69" t="n"/>
      <c r="W92" s="1077" t="n"/>
      <c r="X92" s="39" t="n"/>
      <c r="Y92" s="69" t="n"/>
      <c r="Z92" s="1077" t="n"/>
      <c r="AA92" s="39" t="n"/>
      <c r="AB92" s="69" t="n"/>
      <c r="AC92" s="1077" t="n"/>
      <c r="AD92" s="39" t="n"/>
      <c r="AE92" s="69" t="n"/>
      <c r="AF92" s="1077" t="n"/>
      <c r="AG92" s="39" t="n"/>
      <c r="AH92" s="69" t="n"/>
      <c r="AI92" s="1077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082" t="n"/>
    </row>
    <row r="93" outlineLevel="1" ht="15" customHeight="1" s="986">
      <c r="B93" s="25" t="inlineStr">
        <is>
          <t>Maquinaria y Equipo</t>
        </is>
      </c>
      <c r="C93" s="25" t="n"/>
      <c r="D93" s="43" t="n"/>
      <c r="E93" s="1045" t="n"/>
      <c r="F93" s="25" t="n"/>
      <c r="G93" s="43" t="n"/>
      <c r="H93" s="1045" t="n"/>
      <c r="I93" s="25" t="n"/>
      <c r="J93" s="43" t="n"/>
      <c r="K93" s="1045" t="n"/>
      <c r="L93" s="25" t="n"/>
      <c r="M93" s="43" t="n"/>
      <c r="N93" s="1045" t="n"/>
      <c r="O93" s="25" t="n"/>
      <c r="P93" s="43" t="n"/>
      <c r="Q93" s="1045" t="n"/>
      <c r="R93" s="25" t="n"/>
      <c r="S93" s="43" t="n"/>
      <c r="T93" s="1045" t="n"/>
      <c r="U93" s="25" t="n"/>
      <c r="V93" s="43" t="n"/>
      <c r="W93" s="1045" t="n"/>
      <c r="X93" s="25" t="n"/>
      <c r="Y93" s="43" t="n"/>
      <c r="Z93" s="1045" t="n"/>
      <c r="AA93" s="25" t="n"/>
      <c r="AB93" s="43" t="n"/>
      <c r="AC93" s="1045" t="n"/>
      <c r="AD93" s="25" t="n"/>
      <c r="AE93" s="43" t="n"/>
      <c r="AF93" s="1045" t="n"/>
      <c r="AG93" s="25" t="n"/>
      <c r="AH93" s="43" t="n"/>
      <c r="AI93" s="1045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46" t="n"/>
    </row>
    <row r="94" outlineLevel="1" ht="15" customHeight="1" s="986">
      <c r="B94" s="28" t="inlineStr">
        <is>
          <t>Equipo de Oficina</t>
        </is>
      </c>
      <c r="C94" s="28" t="n"/>
      <c r="D94" s="45" t="n"/>
      <c r="E94" s="1073" t="n"/>
      <c r="F94" s="28" t="n"/>
      <c r="G94" s="45" t="n"/>
      <c r="H94" s="1073" t="n"/>
      <c r="I94" s="28" t="n"/>
      <c r="J94" s="45" t="n"/>
      <c r="K94" s="1073" t="n"/>
      <c r="L94" s="28" t="n"/>
      <c r="M94" s="45" t="n"/>
      <c r="N94" s="1073" t="n"/>
      <c r="O94" s="28" t="n"/>
      <c r="P94" s="45" t="n"/>
      <c r="Q94" s="1073" t="n"/>
      <c r="R94" s="28" t="n"/>
      <c r="S94" s="45" t="n"/>
      <c r="T94" s="1073" t="n"/>
      <c r="U94" s="28" t="n"/>
      <c r="V94" s="45" t="n"/>
      <c r="W94" s="1073" t="n"/>
      <c r="X94" s="28" t="n"/>
      <c r="Y94" s="45" t="n"/>
      <c r="Z94" s="1073" t="n"/>
      <c r="AA94" s="28" t="n"/>
      <c r="AB94" s="45" t="n"/>
      <c r="AC94" s="1073" t="n"/>
      <c r="AD94" s="28" t="n"/>
      <c r="AE94" s="45" t="n"/>
      <c r="AF94" s="1073" t="n"/>
      <c r="AG94" s="28" t="n"/>
      <c r="AH94" s="45" t="n"/>
      <c r="AI94" s="1073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083" t="n"/>
    </row>
    <row r="95" hidden="1" ht="15" customHeight="1" s="986">
      <c r="B95" s="106" t="inlineStr">
        <is>
          <t>SEGUROS</t>
        </is>
      </c>
      <c r="C95" s="49">
        <f>SUM(C96:C97)</f>
        <v/>
      </c>
      <c r="D95" s="3" t="n"/>
      <c r="E95" s="1053" t="n"/>
      <c r="F95" s="49">
        <f>SUM(F96:F97)</f>
        <v/>
      </c>
      <c r="G95" s="3" t="n"/>
      <c r="H95" s="1053" t="n"/>
      <c r="I95" s="90">
        <f>SUM(I96:I97)</f>
        <v/>
      </c>
      <c r="J95" s="3" t="n"/>
      <c r="K95" s="1053" t="n"/>
      <c r="L95" s="49">
        <f>SUM(L96:L97)</f>
        <v/>
      </c>
      <c r="M95" s="3" t="n"/>
      <c r="N95" s="1053" t="n"/>
      <c r="O95" s="49">
        <f>SUM(O96:O97)</f>
        <v/>
      </c>
      <c r="P95" s="3" t="n"/>
      <c r="Q95" s="1053" t="n"/>
      <c r="R95" s="49">
        <f>SUM(R96:R97)</f>
        <v/>
      </c>
      <c r="S95" s="3" t="n"/>
      <c r="T95" s="1053" t="n"/>
      <c r="U95" s="49">
        <f>SUM(U96:U97)</f>
        <v/>
      </c>
      <c r="V95" s="3" t="n"/>
      <c r="W95" s="1053" t="n"/>
      <c r="X95" s="49">
        <f>SUM(X96:X97)</f>
        <v/>
      </c>
      <c r="Y95" s="3" t="n"/>
      <c r="Z95" s="1053">
        <f>X95/(X$13)</f>
        <v/>
      </c>
      <c r="AA95" s="49">
        <f>SUM(AA96:AA97)</f>
        <v/>
      </c>
      <c r="AB95" s="3" t="n"/>
      <c r="AC95" s="1053" t="n"/>
      <c r="AD95" s="49">
        <f>SUM(AD96:AD97)</f>
        <v/>
      </c>
      <c r="AE95" s="3" t="n"/>
      <c r="AF95" s="1053" t="n"/>
      <c r="AG95" s="49">
        <f>SUM(AG96:AG97)</f>
        <v/>
      </c>
      <c r="AH95" s="3" t="n"/>
      <c r="AI95" s="1053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076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077" t="n"/>
      <c r="F96" s="39" t="n"/>
      <c r="G96" s="69" t="n"/>
      <c r="H96" s="1077" t="n"/>
      <c r="I96" s="39" t="n"/>
      <c r="J96" s="69" t="n"/>
      <c r="K96" s="1077" t="n"/>
      <c r="L96" s="353" t="n"/>
      <c r="M96" s="69" t="n"/>
      <c r="N96" s="1077" t="n"/>
      <c r="O96" s="39" t="n"/>
      <c r="P96" s="69" t="n"/>
      <c r="Q96" s="1077" t="n"/>
      <c r="R96" s="39" t="n"/>
      <c r="S96" s="69" t="n"/>
      <c r="T96" s="1077" t="n"/>
      <c r="U96" s="39" t="n"/>
      <c r="V96" s="69" t="n"/>
      <c r="W96" s="1077" t="n"/>
      <c r="X96" s="39" t="n"/>
      <c r="Y96" s="69" t="n"/>
      <c r="Z96" s="1077" t="n"/>
      <c r="AA96" s="39" t="n"/>
      <c r="AB96" s="69" t="n"/>
      <c r="AC96" s="1077" t="n"/>
      <c r="AD96" s="39" t="n"/>
      <c r="AE96" s="69" t="n"/>
      <c r="AF96" s="1077" t="n"/>
      <c r="AG96" s="39" t="n"/>
      <c r="AH96" s="69" t="n"/>
      <c r="AI96" s="1077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082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084" t="n"/>
      <c r="F97" s="275" t="n"/>
      <c r="G97" s="276" t="n"/>
      <c r="H97" s="1084" t="n"/>
      <c r="I97" s="275" t="n"/>
      <c r="J97" s="276" t="n"/>
      <c r="K97" s="1084" t="n"/>
      <c r="L97" s="275" t="n"/>
      <c r="M97" s="276" t="n"/>
      <c r="N97" s="1084" t="n"/>
      <c r="O97" s="275" t="n"/>
      <c r="P97" s="276" t="n"/>
      <c r="Q97" s="1084" t="n"/>
      <c r="R97" s="275" t="n"/>
      <c r="S97" s="276" t="n"/>
      <c r="T97" s="1084" t="n"/>
      <c r="U97" s="275" t="n"/>
      <c r="V97" s="276" t="n"/>
      <c r="W97" s="1084" t="n"/>
      <c r="X97" s="275" t="n"/>
      <c r="Y97" s="276" t="n"/>
      <c r="Z97" s="1084" t="n"/>
      <c r="AA97" s="275" t="n"/>
      <c r="AB97" s="276" t="n"/>
      <c r="AC97" s="1084" t="n"/>
      <c r="AD97" s="275" t="n"/>
      <c r="AE97" s="276" t="n"/>
      <c r="AF97" s="1084" t="n"/>
      <c r="AG97" s="275" t="n"/>
      <c r="AH97" s="276" t="n"/>
      <c r="AI97" s="1084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085" t="n"/>
    </row>
    <row r="98" collapsed="1" ht="15" customHeight="1" s="986">
      <c r="B98" s="16" t="inlineStr">
        <is>
          <t>SERVICIOS</t>
        </is>
      </c>
      <c r="C98" s="49">
        <f>SUM(C99:C107)</f>
        <v/>
      </c>
      <c r="D98" s="3" t="n"/>
      <c r="E98" s="1053" t="n"/>
      <c r="F98" s="90">
        <f>SUM(F99:F107)</f>
        <v/>
      </c>
      <c r="G98" s="3" t="n"/>
      <c r="H98" s="1053" t="n"/>
      <c r="I98" s="90">
        <f>SUM(I99:I107)</f>
        <v/>
      </c>
      <c r="J98" s="3" t="n"/>
      <c r="K98" s="1053" t="n"/>
      <c r="L98" s="49">
        <f>SUM(L99:L107)</f>
        <v/>
      </c>
      <c r="M98" s="3" t="n"/>
      <c r="N98" s="1053" t="n"/>
      <c r="O98" s="49">
        <f>SUM(O99:O107)</f>
        <v/>
      </c>
      <c r="P98" s="3" t="n"/>
      <c r="Q98" s="1053" t="n"/>
      <c r="R98" s="49">
        <f>SUM(R99:R107)</f>
        <v/>
      </c>
      <c r="S98" s="3" t="n"/>
      <c r="T98" s="1053" t="n"/>
      <c r="U98" s="49">
        <f>SUM(U99:U107)</f>
        <v/>
      </c>
      <c r="V98" s="3" t="n"/>
      <c r="W98" s="1053" t="n"/>
      <c r="X98" s="49">
        <f>SUM(X99:X107)</f>
        <v/>
      </c>
      <c r="Y98" s="3" t="n"/>
      <c r="Z98" s="1053" t="n"/>
      <c r="AA98" s="49">
        <f>SUM(AA99:AA107)</f>
        <v/>
      </c>
      <c r="AB98" s="3" t="n"/>
      <c r="AC98" s="1053" t="n"/>
      <c r="AD98" s="49">
        <f>SUM(AD99:AD107)</f>
        <v/>
      </c>
      <c r="AE98" s="3" t="n"/>
      <c r="AF98" s="1053" t="n"/>
      <c r="AG98" s="49">
        <f>SUM(AG99:AG107)</f>
        <v/>
      </c>
      <c r="AH98" s="3" t="n"/>
      <c r="AI98" s="1053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076" t="n"/>
    </row>
    <row r="99" outlineLevel="1" ht="15" customHeight="1" s="986">
      <c r="B99" s="39" t="inlineStr">
        <is>
          <t>Aseo y Vigilancia</t>
        </is>
      </c>
      <c r="C99" s="39" t="n"/>
      <c r="D99" s="69" t="n"/>
      <c r="E99" s="1077" t="n"/>
      <c r="F99" s="39" t="n"/>
      <c r="G99" s="69" t="n"/>
      <c r="H99" s="1077" t="n"/>
      <c r="I99" s="39" t="n"/>
      <c r="J99" s="69" t="n"/>
      <c r="K99" s="1077" t="n"/>
      <c r="L99" s="39" t="n"/>
      <c r="M99" s="69" t="n"/>
      <c r="N99" s="1077" t="n"/>
      <c r="O99" s="39" t="n"/>
      <c r="P99" s="69" t="n"/>
      <c r="Q99" s="1077" t="n"/>
      <c r="R99" s="39" t="n"/>
      <c r="S99" s="69" t="n"/>
      <c r="T99" s="1077" t="n"/>
      <c r="U99" s="39" t="n"/>
      <c r="V99" s="69" t="n"/>
      <c r="W99" s="1077" t="n"/>
      <c r="X99" s="39" t="n"/>
      <c r="Y99" s="69" t="n"/>
      <c r="Z99" s="1077" t="n"/>
      <c r="AA99" s="39" t="n"/>
      <c r="AB99" s="69" t="n"/>
      <c r="AC99" s="1077" t="n"/>
      <c r="AD99" s="39" t="n"/>
      <c r="AE99" s="69" t="n"/>
      <c r="AF99" s="1077" t="n"/>
      <c r="AG99" s="39" t="n"/>
      <c r="AH99" s="69" t="n"/>
      <c r="AI99" s="1077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082" t="n"/>
    </row>
    <row r="100" outlineLevel="1" ht="15" customHeight="1" s="986">
      <c r="B100" s="25" t="inlineStr">
        <is>
          <t>Temporales</t>
        </is>
      </c>
      <c r="C100" s="25" t="n"/>
      <c r="D100" s="43" t="n"/>
      <c r="E100" s="1045" t="n"/>
      <c r="F100" s="25" t="n"/>
      <c r="G100" s="43" t="n"/>
      <c r="H100" s="1045" t="n"/>
      <c r="I100" s="25" t="n"/>
      <c r="J100" s="43" t="n"/>
      <c r="K100" s="1045" t="n"/>
      <c r="L100" s="25" t="n"/>
      <c r="M100" s="43" t="n"/>
      <c r="N100" s="1045" t="n"/>
      <c r="O100" s="25" t="n"/>
      <c r="P100" s="43" t="n"/>
      <c r="Q100" s="1045" t="n"/>
      <c r="R100" s="25" t="n"/>
      <c r="S100" s="43" t="n"/>
      <c r="T100" s="1045" t="n"/>
      <c r="U100" s="25" t="n"/>
      <c r="V100" s="43" t="n"/>
      <c r="W100" s="1045" t="n"/>
      <c r="X100" s="25" t="n"/>
      <c r="Y100" s="43" t="n"/>
      <c r="Z100" s="1045" t="n"/>
      <c r="AA100" s="25" t="n"/>
      <c r="AB100" s="43" t="n"/>
      <c r="AC100" s="1045" t="n"/>
      <c r="AD100" s="25" t="n"/>
      <c r="AE100" s="43" t="n"/>
      <c r="AF100" s="1045" t="n"/>
      <c r="AG100" s="25" t="n"/>
      <c r="AH100" s="43" t="n"/>
      <c r="AI100" s="1045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46" t="n"/>
    </row>
    <row r="101" outlineLevel="1" ht="15" customHeight="1" s="986">
      <c r="B101" s="25" t="inlineStr">
        <is>
          <t>Mensajeria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Laboratorio</t>
        </is>
      </c>
      <c r="C102" s="281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B103" s="25" t="inlineStr">
        <is>
          <t>Fumigacion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B104" s="25" t="inlineStr">
        <is>
          <t>Acueducto y Alcantarillado</t>
        </is>
      </c>
      <c r="C104" s="25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B105" s="25" t="inlineStr">
        <is>
          <t>Energia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74" t="n"/>
      <c r="M105" s="43" t="n"/>
      <c r="N105" s="1045" t="n"/>
      <c r="O105" s="274" t="n"/>
      <c r="P105" s="43" t="n"/>
      <c r="Q105" s="1045" t="n"/>
      <c r="R105" s="274" t="n"/>
      <c r="S105" s="43" t="n"/>
      <c r="T105" s="1045" t="n"/>
      <c r="U105" s="274" t="n"/>
      <c r="V105" s="43" t="n"/>
      <c r="W105" s="1045" t="n"/>
      <c r="X105" s="274" t="n"/>
      <c r="Y105" s="43" t="n"/>
      <c r="Z105" s="1045" t="n"/>
      <c r="AA105" s="274" t="n"/>
      <c r="AB105" s="43" t="n"/>
      <c r="AC105" s="1045" t="n"/>
      <c r="AD105" s="282" t="n"/>
      <c r="AE105" s="43" t="n"/>
      <c r="AF105" s="1045" t="n"/>
      <c r="AG105" s="283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274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B107" s="349" t="inlineStr">
        <is>
          <t>Transporte</t>
        </is>
      </c>
      <c r="C107" s="22" t="n"/>
      <c r="D107" s="42" t="n"/>
      <c r="E107" s="1057" t="n"/>
      <c r="F107" s="381" t="n"/>
      <c r="G107" s="42" t="n"/>
      <c r="H107" s="1057" t="n"/>
      <c r="I107" s="2" t="n"/>
      <c r="J107" s="42" t="n"/>
      <c r="K107" s="1057" t="n"/>
      <c r="L107" s="2" t="n"/>
      <c r="M107" s="42" t="n"/>
      <c r="N107" s="1057" t="n"/>
      <c r="O107" s="2" t="n"/>
      <c r="P107" s="42" t="n"/>
      <c r="Q107" s="1057" t="n"/>
      <c r="R107" s="2" t="n"/>
      <c r="S107" s="42" t="n"/>
      <c r="T107" s="1057" t="n"/>
      <c r="U107" s="2" t="n"/>
      <c r="V107" s="42" t="n"/>
      <c r="W107" s="1057" t="n"/>
      <c r="X107" s="2" t="n"/>
      <c r="Y107" s="42" t="n"/>
      <c r="Z107" s="1057" t="n"/>
      <c r="AA107" s="2" t="n"/>
      <c r="AB107" s="42" t="n"/>
      <c r="AC107" s="1057" t="n"/>
      <c r="AD107" s="2" t="n"/>
      <c r="AE107" s="42" t="n"/>
      <c r="AF107" s="1057" t="n"/>
      <c r="AG107" s="2" t="n"/>
      <c r="AH107" s="42" t="n"/>
      <c r="AI107" s="1057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058" t="n"/>
    </row>
    <row r="108" ht="15" customHeight="1" s="986">
      <c r="B108" s="16" t="inlineStr">
        <is>
          <t>GASTOS LEGALES</t>
        </is>
      </c>
      <c r="C108" s="49">
        <f>SUM(C109:C112)</f>
        <v/>
      </c>
      <c r="D108" s="3" t="n"/>
      <c r="E108" s="1053" t="n"/>
      <c r="F108" s="49">
        <f>SUM(F109:F112)</f>
        <v/>
      </c>
      <c r="G108" s="3" t="n"/>
      <c r="H108" s="1053" t="n"/>
      <c r="I108" s="90">
        <f>SUM(I109:I112)</f>
        <v/>
      </c>
      <c r="J108" s="3" t="n"/>
      <c r="K108" s="1053" t="n"/>
      <c r="L108" s="49">
        <f>SUM(L109:L112)</f>
        <v/>
      </c>
      <c r="M108" s="3" t="n"/>
      <c r="N108" s="1053" t="n"/>
      <c r="O108" s="49">
        <f>SUM(O109:O112)</f>
        <v/>
      </c>
      <c r="P108" s="3" t="n"/>
      <c r="Q108" s="1053" t="n"/>
      <c r="R108" s="49">
        <f>SUM(R109:R112)</f>
        <v/>
      </c>
      <c r="S108" s="3" t="n"/>
      <c r="T108" s="1053" t="n"/>
      <c r="U108" s="49">
        <f>SUM(U109:U112)</f>
        <v/>
      </c>
      <c r="V108" s="3" t="n"/>
      <c r="W108" s="1053" t="n"/>
      <c r="X108" s="49">
        <f>SUM(X109:X112)</f>
        <v/>
      </c>
      <c r="Y108" s="3" t="n"/>
      <c r="Z108" s="1053">
        <f>X108/(X$13)</f>
        <v/>
      </c>
      <c r="AA108" s="49">
        <f>SUM(AA109:AA112)</f>
        <v/>
      </c>
      <c r="AB108" s="3" t="n"/>
      <c r="AC108" s="1053">
        <f>AA108/(AA$13)</f>
        <v/>
      </c>
      <c r="AD108" s="49">
        <f>SUM(AD109:AD112)</f>
        <v/>
      </c>
      <c r="AE108" s="3" t="n"/>
      <c r="AF108" s="1053" t="n"/>
      <c r="AG108" s="49">
        <f>SUM(AG109:AG112)</f>
        <v/>
      </c>
      <c r="AH108" s="3" t="n"/>
      <c r="AI108" s="1053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076" t="n"/>
    </row>
    <row r="109" outlineLevel="1" ht="15" customHeight="1" s="986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077" t="n"/>
      <c r="F109" s="39" t="n"/>
      <c r="G109" s="69" t="n"/>
      <c r="H109" s="1077" t="n"/>
      <c r="I109" s="39" t="n"/>
      <c r="J109" s="69" t="n"/>
      <c r="K109" s="1077" t="n"/>
      <c r="L109" s="39" t="n"/>
      <c r="M109" s="69" t="n"/>
      <c r="N109" s="1077" t="n"/>
      <c r="O109" s="39" t="n"/>
      <c r="P109" s="69" t="n"/>
      <c r="Q109" s="1077" t="n"/>
      <c r="R109" s="39" t="n"/>
      <c r="S109" s="69" t="n"/>
      <c r="T109" s="1077" t="n"/>
      <c r="U109" s="39" t="n"/>
      <c r="V109" s="69" t="n"/>
      <c r="W109" s="1077" t="n"/>
      <c r="X109" s="39" t="n"/>
      <c r="Y109" s="69" t="n"/>
      <c r="Z109" s="1077" t="n"/>
      <c r="AA109" s="39" t="n"/>
      <c r="AB109" s="69" t="n"/>
      <c r="AC109" s="1077" t="n"/>
      <c r="AD109" s="39" t="n"/>
      <c r="AE109" s="69" t="n"/>
      <c r="AF109" s="1077" t="n"/>
      <c r="AG109" s="39" t="n"/>
      <c r="AH109" s="69" t="n"/>
      <c r="AI109" s="1077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082" t="n"/>
    </row>
    <row r="110" outlineLevel="1" ht="15" customHeight="1" s="986">
      <c r="A110" s="226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45" t="n"/>
      <c r="F110" s="25" t="n"/>
      <c r="G110" s="43" t="n"/>
      <c r="H110" s="1045" t="n"/>
      <c r="I110" s="25" t="n"/>
      <c r="J110" s="43" t="n"/>
      <c r="K110" s="1045" t="n"/>
      <c r="L110" s="25" t="n"/>
      <c r="M110" s="43" t="n"/>
      <c r="N110" s="1045" t="n"/>
      <c r="O110" s="25" t="n"/>
      <c r="P110" s="43" t="n"/>
      <c r="Q110" s="1045" t="n"/>
      <c r="R110" s="25" t="n"/>
      <c r="S110" s="43" t="n"/>
      <c r="T110" s="1045" t="n"/>
      <c r="U110" s="25" t="n"/>
      <c r="V110" s="43" t="n"/>
      <c r="W110" s="1045" t="n"/>
      <c r="X110" s="25" t="n"/>
      <c r="Y110" s="43" t="n"/>
      <c r="Z110" s="1045" t="n"/>
      <c r="AA110" s="25" t="n"/>
      <c r="AB110" s="43" t="n"/>
      <c r="AC110" s="1045" t="n"/>
      <c r="AD110" s="25" t="n"/>
      <c r="AE110" s="43" t="n"/>
      <c r="AF110" s="1045" t="n"/>
      <c r="AG110" s="25" t="n"/>
      <c r="AH110" s="43" t="n"/>
      <c r="AI110" s="1045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46" t="n"/>
    </row>
    <row r="111" outlineLevel="1" ht="15" customHeight="1" s="986">
      <c r="A111" s="226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073" t="n"/>
      <c r="F112" s="28" t="n"/>
      <c r="G112" s="45" t="n"/>
      <c r="H112" s="1073" t="n"/>
      <c r="I112" s="28" t="n"/>
      <c r="J112" s="45" t="n"/>
      <c r="K112" s="1073" t="n"/>
      <c r="L112" s="28" t="n"/>
      <c r="M112" s="45" t="n"/>
      <c r="N112" s="1073" t="n"/>
      <c r="O112" s="28" t="n"/>
      <c r="P112" s="45" t="n"/>
      <c r="Q112" s="1073" t="n"/>
      <c r="R112" s="28" t="n"/>
      <c r="S112" s="45" t="n"/>
      <c r="T112" s="1073" t="n"/>
      <c r="U112" s="28" t="n"/>
      <c r="V112" s="45" t="n"/>
      <c r="W112" s="1073" t="n"/>
      <c r="X112" s="28" t="n"/>
      <c r="Y112" s="45" t="n"/>
      <c r="Z112" s="1073" t="n"/>
      <c r="AA112" s="28" t="n"/>
      <c r="AB112" s="45" t="n"/>
      <c r="AC112" s="1073" t="n"/>
      <c r="AD112" s="28" t="n"/>
      <c r="AE112" s="45" t="n"/>
      <c r="AF112" s="1073" t="n"/>
      <c r="AG112" s="28" t="n"/>
      <c r="AH112" s="45" t="n"/>
      <c r="AI112" s="1073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083" t="n"/>
    </row>
    <row r="113" ht="15" customHeight="1" s="986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053" t="n"/>
      <c r="F113" s="90">
        <f>SUM(F114:F118)</f>
        <v/>
      </c>
      <c r="G113" s="3" t="n"/>
      <c r="H113" s="1053" t="n"/>
      <c r="I113" s="90">
        <f>SUM(I114:I118)</f>
        <v/>
      </c>
      <c r="J113" s="3" t="n"/>
      <c r="K113" s="1053" t="n"/>
      <c r="L113" s="90">
        <f>SUM(L114:L118)</f>
        <v/>
      </c>
      <c r="M113" s="3" t="n"/>
      <c r="N113" s="1053" t="n"/>
      <c r="O113" s="90">
        <f>SUM(O114:O118)</f>
        <v/>
      </c>
      <c r="P113" s="3" t="n"/>
      <c r="Q113" s="1053" t="n"/>
      <c r="R113" s="90">
        <f>SUM(R114:R118)</f>
        <v/>
      </c>
      <c r="S113" s="3" t="n"/>
      <c r="T113" s="1053" t="n"/>
      <c r="U113" s="90">
        <f>SUM(U114:U118)</f>
        <v/>
      </c>
      <c r="V113" s="3" t="n"/>
      <c r="W113" s="1053" t="n"/>
      <c r="X113" s="90">
        <f>SUM(X114:X118)</f>
        <v/>
      </c>
      <c r="Y113" s="3" t="n"/>
      <c r="Z113" s="1053">
        <f>X113/(X$13)</f>
        <v/>
      </c>
      <c r="AA113" s="90">
        <f>SUM(AA114:AA118)</f>
        <v/>
      </c>
      <c r="AB113" s="3" t="n"/>
      <c r="AC113" s="1053">
        <f>AA113/(AA$13)</f>
        <v/>
      </c>
      <c r="AD113" s="90">
        <f>SUM(AD114:AD118)</f>
        <v/>
      </c>
      <c r="AE113" s="3" t="n"/>
      <c r="AF113" s="1053" t="n"/>
      <c r="AG113" s="90">
        <f>SUM(AG114:AG118)</f>
        <v/>
      </c>
      <c r="AH113" s="3" t="n"/>
      <c r="AI113" s="1053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076" t="n"/>
    </row>
    <row r="114" outlineLevel="1" ht="15" customHeight="1" s="986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077" t="n"/>
      <c r="F114" s="39" t="n"/>
      <c r="G114" s="69" t="n"/>
      <c r="H114" s="1077" t="n"/>
      <c r="I114" s="39" t="n"/>
      <c r="J114" s="69" t="n"/>
      <c r="K114" s="1077" t="n"/>
      <c r="L114" s="39" t="n"/>
      <c r="M114" s="69" t="n"/>
      <c r="N114" s="1077" t="n"/>
      <c r="O114" s="39" t="n"/>
      <c r="P114" s="69" t="n"/>
      <c r="Q114" s="1077" t="n"/>
      <c r="R114" s="39" t="n"/>
      <c r="S114" s="69" t="n"/>
      <c r="T114" s="1077" t="n"/>
      <c r="U114" s="39" t="n"/>
      <c r="V114" s="69" t="n"/>
      <c r="W114" s="1077" t="n"/>
      <c r="X114" s="39" t="n"/>
      <c r="Y114" s="69" t="n"/>
      <c r="Z114" s="1077" t="n"/>
      <c r="AA114" s="39" t="n"/>
      <c r="AB114" s="69" t="n"/>
      <c r="AC114" s="1077" t="n"/>
      <c r="AD114" s="39" t="n"/>
      <c r="AE114" s="69" t="n"/>
      <c r="AF114" s="1077" t="n"/>
      <c r="AG114" s="39" t="n"/>
      <c r="AH114" s="69" t="n"/>
      <c r="AI114" s="1077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082" t="n"/>
    </row>
    <row r="115" outlineLevel="1" ht="15" customHeight="1" s="986">
      <c r="A115" s="226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45" t="n"/>
      <c r="F115" s="25" t="n"/>
      <c r="G115" s="43" t="n"/>
      <c r="H115" s="1045" t="n"/>
      <c r="I115" s="25" t="n"/>
      <c r="J115" s="43" t="n"/>
      <c r="K115" s="1045" t="n"/>
      <c r="L115" s="25" t="n"/>
      <c r="M115" s="43" t="n"/>
      <c r="N115" s="1045" t="n"/>
      <c r="O115" s="25" t="n"/>
      <c r="P115" s="43" t="n"/>
      <c r="Q115" s="1045" t="n"/>
      <c r="R115" s="25" t="n"/>
      <c r="S115" s="43" t="n"/>
      <c r="T115" s="1045" t="n"/>
      <c r="U115" s="25" t="n"/>
      <c r="V115" s="43" t="n"/>
      <c r="W115" s="1045" t="n"/>
      <c r="X115" s="25" t="n"/>
      <c r="Y115" s="43" t="n"/>
      <c r="Z115" s="1045" t="n"/>
      <c r="AA115" s="25" t="n"/>
      <c r="AB115" s="43" t="n"/>
      <c r="AC115" s="1045" t="n"/>
      <c r="AD115" s="25" t="n"/>
      <c r="AE115" s="43" t="n"/>
      <c r="AF115" s="1045" t="n"/>
      <c r="AG115" s="25" t="n"/>
      <c r="AH115" s="43" t="n"/>
      <c r="AI115" s="1045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46" t="n"/>
    </row>
    <row r="116" outlineLevel="1" ht="15" customHeight="1" s="986">
      <c r="A116" s="226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057" t="n"/>
      <c r="F118" s="22" t="n"/>
      <c r="G118" s="42" t="n"/>
      <c r="H118" s="1057" t="n"/>
      <c r="I118" s="22" t="n"/>
      <c r="J118" s="42" t="n"/>
      <c r="K118" s="1057" t="n"/>
      <c r="L118" s="22" t="n"/>
      <c r="M118" s="42" t="n"/>
      <c r="N118" s="1057" t="n"/>
      <c r="O118" s="22" t="n"/>
      <c r="P118" s="42" t="n"/>
      <c r="Q118" s="1057" t="n"/>
      <c r="R118" s="22" t="n"/>
      <c r="S118" s="42" t="n"/>
      <c r="T118" s="1057" t="n"/>
      <c r="U118" s="22" t="n"/>
      <c r="V118" s="42" t="n"/>
      <c r="W118" s="1057" t="n"/>
      <c r="X118" s="22" t="n"/>
      <c r="Y118" s="42" t="n"/>
      <c r="Z118" s="1057" t="n"/>
      <c r="AA118" s="22" t="n"/>
      <c r="AB118" s="42" t="n"/>
      <c r="AC118" s="1057" t="n"/>
      <c r="AD118" s="22" t="n"/>
      <c r="AE118" s="42" t="n"/>
      <c r="AF118" s="1057" t="n"/>
      <c r="AG118" s="22" t="n"/>
      <c r="AH118" s="42" t="n"/>
      <c r="AI118" s="1057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058" t="n"/>
    </row>
    <row r="119" ht="15" customHeight="1" s="986">
      <c r="B119" s="16" t="inlineStr">
        <is>
          <t>ADECUACIONES E INSTALACIONES</t>
        </is>
      </c>
      <c r="C119" s="49">
        <f>SUM(C120:C121)</f>
        <v/>
      </c>
      <c r="D119" s="3" t="n"/>
      <c r="E119" s="1053" t="n"/>
      <c r="F119" s="49">
        <f>SUM(F120)</f>
        <v/>
      </c>
      <c r="G119" s="3" t="n"/>
      <c r="H119" s="1053" t="n"/>
      <c r="I119" s="90">
        <f>SUM(I120)</f>
        <v/>
      </c>
      <c r="J119" s="3" t="n"/>
      <c r="K119" s="1053" t="n"/>
      <c r="L119" s="49">
        <f>SUM(L120)</f>
        <v/>
      </c>
      <c r="M119" s="3" t="n"/>
      <c r="N119" s="1053" t="n"/>
      <c r="O119" s="49">
        <f>SUM(O120)</f>
        <v/>
      </c>
      <c r="P119" s="3" t="n"/>
      <c r="Q119" s="1053" t="n"/>
      <c r="R119" s="49">
        <f>SUM(R120:R121)</f>
        <v/>
      </c>
      <c r="S119" s="3" t="n"/>
      <c r="T119" s="1053" t="n"/>
      <c r="U119" s="49">
        <f>SUM(U120:U121)</f>
        <v/>
      </c>
      <c r="V119" s="3" t="n"/>
      <c r="W119" s="1053" t="n"/>
      <c r="X119" s="49">
        <f>SUM(X120:X121)</f>
        <v/>
      </c>
      <c r="Y119" s="3" t="n"/>
      <c r="Z119" s="1053">
        <f>X119/(X$13)</f>
        <v/>
      </c>
      <c r="AA119" s="49">
        <f>SUM(AA120)</f>
        <v/>
      </c>
      <c r="AB119" s="3" t="n"/>
      <c r="AC119" s="1053">
        <f>AA119/(AA$13)</f>
        <v/>
      </c>
      <c r="AD119" s="49">
        <f>SUM(AD120)</f>
        <v/>
      </c>
      <c r="AE119" s="3" t="n"/>
      <c r="AF119" s="1053" t="n"/>
      <c r="AG119" s="49">
        <f>SUM(AG120)</f>
        <v/>
      </c>
      <c r="AH119" s="3" t="n"/>
      <c r="AI119" s="1053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076" t="n"/>
    </row>
    <row r="120" ht="15" customHeight="1" s="986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077" t="n"/>
      <c r="F120" s="39" t="n"/>
      <c r="G120" s="69" t="n"/>
      <c r="H120" s="1077" t="n"/>
      <c r="I120" s="39" t="n"/>
      <c r="J120" s="69" t="n"/>
      <c r="K120" s="1077" t="n"/>
      <c r="L120" s="39" t="n"/>
      <c r="M120" s="69" t="n"/>
      <c r="N120" s="1077" t="n"/>
      <c r="O120" s="39" t="n"/>
      <c r="P120" s="69" t="n"/>
      <c r="Q120" s="1077" t="n"/>
      <c r="R120" s="39" t="n"/>
      <c r="S120" s="69" t="n"/>
      <c r="T120" s="1077" t="n"/>
      <c r="U120" s="39" t="n"/>
      <c r="V120" s="69" t="n"/>
      <c r="W120" s="1077" t="n"/>
      <c r="X120" s="39" t="n"/>
      <c r="Y120" s="69" t="n"/>
      <c r="Z120" s="1077" t="n"/>
      <c r="AA120" s="39" t="n"/>
      <c r="AB120" s="69" t="n"/>
      <c r="AC120" s="1077" t="n"/>
      <c r="AD120" s="39" t="n"/>
      <c r="AE120" s="69" t="n"/>
      <c r="AF120" s="1077" t="n"/>
      <c r="AG120" s="39" t="n"/>
      <c r="AH120" s="69" t="n"/>
      <c r="AI120" s="1077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082" t="n"/>
    </row>
    <row r="121" ht="15" customHeight="1" s="986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086" t="n"/>
      <c r="F121" s="71" t="n"/>
      <c r="G121" s="72" t="n"/>
      <c r="H121" s="1086" t="n"/>
      <c r="I121" s="71" t="n"/>
      <c r="J121" s="72" t="n"/>
      <c r="K121" s="1086" t="n"/>
      <c r="L121" s="71" t="n"/>
      <c r="M121" s="72" t="n"/>
      <c r="N121" s="1086" t="n"/>
      <c r="O121" s="71" t="n"/>
      <c r="P121" s="72" t="n"/>
      <c r="Q121" s="1086" t="n"/>
      <c r="R121" s="71" t="n"/>
      <c r="S121" s="72" t="n"/>
      <c r="T121" s="1086" t="n"/>
      <c r="U121" s="71" t="n"/>
      <c r="V121" s="72" t="n"/>
      <c r="W121" s="1086" t="n"/>
      <c r="X121" s="71" t="n"/>
      <c r="Y121" s="72" t="n"/>
      <c r="Z121" s="1086" t="n"/>
      <c r="AA121" s="71" t="n"/>
      <c r="AB121" s="72" t="n"/>
      <c r="AC121" s="1086" t="n"/>
      <c r="AD121" s="71" t="n"/>
      <c r="AE121" s="72" t="n"/>
      <c r="AF121" s="1086" t="n"/>
      <c r="AG121" s="71" t="n"/>
      <c r="AH121" s="72" t="n"/>
      <c r="AI121" s="1086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087" t="n"/>
    </row>
    <row r="122" ht="15" customHeight="1" s="986" thickTop="1">
      <c r="B122" s="382" t="inlineStr">
        <is>
          <t>GASTOS DE VIAJE</t>
        </is>
      </c>
      <c r="C122" s="383">
        <f>SUM(C123:C125)</f>
        <v/>
      </c>
      <c r="D122" s="384" t="n"/>
      <c r="E122" s="1088" t="n"/>
      <c r="F122" s="383">
        <f>SUM(F123:F125)</f>
        <v/>
      </c>
      <c r="G122" s="384" t="n"/>
      <c r="H122" s="1088" t="n"/>
      <c r="I122" s="386">
        <f>SUM(I123:I125)</f>
        <v/>
      </c>
      <c r="J122" s="384" t="n"/>
      <c r="K122" s="1088" t="n"/>
      <c r="L122" s="383">
        <f>SUM(L123:L125)</f>
        <v/>
      </c>
      <c r="M122" s="384" t="n"/>
      <c r="N122" s="1088" t="n"/>
      <c r="O122" s="383">
        <f>SUM(O123:O125)</f>
        <v/>
      </c>
      <c r="P122" s="384" t="n"/>
      <c r="Q122" s="1088" t="n"/>
      <c r="R122" s="383">
        <f>SUM(R123:R125)</f>
        <v/>
      </c>
      <c r="S122" s="384" t="n"/>
      <c r="T122" s="1088" t="n"/>
      <c r="U122" s="383">
        <f>SUM(U123:U125)</f>
        <v/>
      </c>
      <c r="V122" s="384" t="n"/>
      <c r="W122" s="1088" t="n"/>
      <c r="X122" s="383">
        <f>SUM(X123:X125)</f>
        <v/>
      </c>
      <c r="Y122" s="384" t="n"/>
      <c r="Z122" s="1088">
        <f>X122/(X$13)</f>
        <v/>
      </c>
      <c r="AA122" s="383">
        <f>SUM(AA123:AA125)</f>
        <v/>
      </c>
      <c r="AB122" s="384" t="n"/>
      <c r="AC122" s="1088">
        <f>AA122/(AA$13)</f>
        <v/>
      </c>
      <c r="AD122" s="383" t="n"/>
      <c r="AE122" s="384" t="n"/>
      <c r="AF122" s="1088" t="n"/>
      <c r="AG122" s="383">
        <f>SUM(AG123:AG125)</f>
        <v/>
      </c>
      <c r="AH122" s="384" t="n"/>
      <c r="AI122" s="1088" t="n"/>
      <c r="AJ122" s="383">
        <f>SUM(AJ123:AJ125)</f>
        <v/>
      </c>
      <c r="AK122" s="384" t="n"/>
      <c r="AL122" s="387" t="n"/>
      <c r="AM122" s="382">
        <f>C122+F122+I122+L122+O122+R122+U122+X122+AA122+AD122+AG122+AJ122</f>
        <v/>
      </c>
      <c r="AN122" s="384" t="n"/>
      <c r="AO122" s="1089" t="n"/>
    </row>
    <row r="123" outlineLevel="1" ht="15" customHeight="1" s="986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077" t="n"/>
      <c r="F123" s="39" t="n"/>
      <c r="G123" s="69" t="n"/>
      <c r="H123" s="1077" t="n"/>
      <c r="I123" s="39" t="n"/>
      <c r="J123" s="69" t="n"/>
      <c r="K123" s="1077" t="n"/>
      <c r="L123" s="39" t="n"/>
      <c r="M123" s="69" t="n"/>
      <c r="N123" s="1077" t="n"/>
      <c r="O123" s="39" t="n"/>
      <c r="P123" s="69" t="n"/>
      <c r="Q123" s="1077" t="n"/>
      <c r="R123" s="39" t="n"/>
      <c r="S123" s="69" t="n"/>
      <c r="T123" s="1077" t="n"/>
      <c r="U123" s="39" t="n"/>
      <c r="V123" s="69" t="n"/>
      <c r="W123" s="1077" t="n"/>
      <c r="X123" s="39" t="n"/>
      <c r="Y123" s="69" t="n"/>
      <c r="Z123" s="1077" t="n"/>
      <c r="AA123" s="39" t="n"/>
      <c r="AB123" s="69" t="n"/>
      <c r="AC123" s="1077" t="n"/>
      <c r="AD123" s="39" t="n"/>
      <c r="AE123" s="69" t="n"/>
      <c r="AF123" s="1077" t="n"/>
      <c r="AG123" s="39" t="n"/>
      <c r="AH123" s="69" t="n"/>
      <c r="AI123" s="1077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082" t="n"/>
    </row>
    <row r="124" outlineLevel="1" ht="15" customHeight="1" s="986">
      <c r="A124" s="226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45" t="n"/>
      <c r="F124" s="25" t="n"/>
      <c r="G124" s="43" t="n"/>
      <c r="H124" s="1045" t="n"/>
      <c r="I124" s="25" t="n"/>
      <c r="J124" s="43" t="n"/>
      <c r="K124" s="1045" t="n"/>
      <c r="L124" s="25" t="n"/>
      <c r="M124" s="43" t="n"/>
      <c r="N124" s="1045" t="n"/>
      <c r="O124" s="25" t="n"/>
      <c r="P124" s="43" t="n"/>
      <c r="Q124" s="1045" t="n"/>
      <c r="R124" s="25" t="n"/>
      <c r="S124" s="43" t="n"/>
      <c r="T124" s="1045" t="n"/>
      <c r="U124" s="25" t="n"/>
      <c r="V124" s="43" t="n"/>
      <c r="W124" s="1045" t="n"/>
      <c r="X124" s="25" t="n"/>
      <c r="Y124" s="43" t="n"/>
      <c r="Z124" s="1045" t="n"/>
      <c r="AA124" s="25" t="n"/>
      <c r="AB124" s="43" t="n"/>
      <c r="AC124" s="1045" t="n"/>
      <c r="AD124" s="25" t="n"/>
      <c r="AE124" s="43" t="n"/>
      <c r="AF124" s="1045" t="n"/>
      <c r="AG124" s="25" t="n"/>
      <c r="AH124" s="43" t="n"/>
      <c r="AI124" s="1045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46" t="n"/>
    </row>
    <row r="125" outlineLevel="1" ht="15" customHeight="1" s="986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073" t="n"/>
      <c r="F125" s="28" t="n"/>
      <c r="G125" s="45" t="n"/>
      <c r="H125" s="1073" t="n"/>
      <c r="I125" s="28" t="n"/>
      <c r="J125" s="45" t="n"/>
      <c r="K125" s="1073" t="n"/>
      <c r="L125" s="28" t="n"/>
      <c r="M125" s="45" t="n"/>
      <c r="N125" s="1073" t="n"/>
      <c r="O125" s="28" t="n"/>
      <c r="P125" s="45" t="n"/>
      <c r="Q125" s="1073" t="n"/>
      <c r="R125" s="28" t="n"/>
      <c r="S125" s="45" t="n"/>
      <c r="T125" s="1073" t="n"/>
      <c r="U125" s="28" t="n"/>
      <c r="V125" s="45" t="n"/>
      <c r="W125" s="1073" t="n"/>
      <c r="X125" s="28" t="n"/>
      <c r="Y125" s="45" t="n"/>
      <c r="Z125" s="1073" t="n"/>
      <c r="AA125" s="28" t="n"/>
      <c r="AB125" s="45" t="n"/>
      <c r="AC125" s="1073" t="n"/>
      <c r="AD125" s="28" t="n"/>
      <c r="AE125" s="45" t="n"/>
      <c r="AF125" s="1073" t="n"/>
      <c r="AG125" s="28" t="n"/>
      <c r="AH125" s="45" t="n"/>
      <c r="AI125" s="1073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083" t="n"/>
    </row>
    <row r="126" ht="15" customHeight="1" s="986">
      <c r="B126" s="16" t="inlineStr">
        <is>
          <t>DIVERSOS</t>
        </is>
      </c>
      <c r="C126" s="49">
        <f>SUM(C127:C139)</f>
        <v/>
      </c>
      <c r="D126" s="3" t="n"/>
      <c r="E126" s="1053" t="n"/>
      <c r="F126" s="49">
        <f>SUM(F127:F139)</f>
        <v/>
      </c>
      <c r="G126" s="3" t="n"/>
      <c r="H126" s="1053" t="n"/>
      <c r="I126" s="90">
        <f>SUM(I127:I139)</f>
        <v/>
      </c>
      <c r="J126" s="3" t="n"/>
      <c r="K126" s="1053" t="n"/>
      <c r="L126" s="49">
        <f>SUM(L127:L139)</f>
        <v/>
      </c>
      <c r="M126" s="3" t="n"/>
      <c r="N126" s="1053" t="n"/>
      <c r="O126" s="49">
        <f>SUM(O127:O139)</f>
        <v/>
      </c>
      <c r="P126" s="3" t="n"/>
      <c r="Q126" s="1053" t="n"/>
      <c r="R126" s="49">
        <f>SUM(R127:R139)</f>
        <v/>
      </c>
      <c r="S126" s="3" t="n"/>
      <c r="T126" s="1053" t="n"/>
      <c r="U126" s="49">
        <f>SUM(U127:U139)</f>
        <v/>
      </c>
      <c r="V126" s="3" t="n"/>
      <c r="W126" s="1053" t="n"/>
      <c r="X126" s="49">
        <f>SUM(X127:X139)</f>
        <v/>
      </c>
      <c r="Y126" s="3" t="n"/>
      <c r="Z126" s="1053" t="n"/>
      <c r="AA126" s="49">
        <f>SUM(AA127:AA139)</f>
        <v/>
      </c>
      <c r="AB126" s="3" t="n"/>
      <c r="AC126" s="1053" t="n"/>
      <c r="AD126" s="49">
        <f>SUM(AD127:AD139)</f>
        <v/>
      </c>
      <c r="AE126" s="3" t="n"/>
      <c r="AF126" s="1053" t="n"/>
      <c r="AG126" s="49">
        <f>SUM(AG127:AG139)</f>
        <v/>
      </c>
      <c r="AH126" s="3" t="n"/>
      <c r="AI126" s="1053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076" t="n"/>
    </row>
    <row r="127" outlineLevel="1" ht="15" customHeight="1" s="986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077" t="n"/>
      <c r="F127" s="39" t="n"/>
      <c r="G127" s="69" t="n"/>
      <c r="H127" s="1077" t="n"/>
      <c r="I127" s="39" t="n"/>
      <c r="J127" s="69" t="n"/>
      <c r="K127" s="1077" t="n"/>
      <c r="L127" s="39" t="n"/>
      <c r="M127" s="69" t="n"/>
      <c r="N127" s="1077" t="n"/>
      <c r="O127" s="39" t="n"/>
      <c r="P127" s="69" t="n"/>
      <c r="Q127" s="1077" t="n"/>
      <c r="R127" s="39" t="n"/>
      <c r="S127" s="69" t="n"/>
      <c r="T127" s="1077" t="n"/>
      <c r="U127" s="39" t="n"/>
      <c r="V127" s="69" t="n"/>
      <c r="W127" s="1077" t="n"/>
      <c r="X127" s="39" t="n"/>
      <c r="Y127" s="69" t="n"/>
      <c r="Z127" s="1077" t="n"/>
      <c r="AA127" s="39" t="n"/>
      <c r="AB127" s="69" t="n"/>
      <c r="AC127" s="1077" t="n"/>
      <c r="AD127" s="39" t="n"/>
      <c r="AE127" s="69" t="n"/>
      <c r="AF127" s="1077" t="n"/>
      <c r="AG127" s="39" t="n"/>
      <c r="AH127" s="69" t="n"/>
      <c r="AI127" s="1077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090" t="n"/>
    </row>
    <row r="128" outlineLevel="1" ht="15" customHeight="1" s="986">
      <c r="A128" s="226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45" t="n"/>
      <c r="F128" s="25" t="n"/>
      <c r="G128" s="43" t="n"/>
      <c r="H128" s="1045" t="n"/>
      <c r="I128" s="25" t="n"/>
      <c r="J128" s="43" t="n"/>
      <c r="K128" s="1045" t="n"/>
      <c r="L128" s="25" t="n"/>
      <c r="M128" s="43" t="n"/>
      <c r="N128" s="1045" t="n"/>
      <c r="O128" s="25" t="n"/>
      <c r="P128" s="43" t="n"/>
      <c r="Q128" s="1045" t="n"/>
      <c r="R128" s="25" t="n"/>
      <c r="S128" s="43" t="n"/>
      <c r="T128" s="1045" t="n"/>
      <c r="U128" s="25" t="n"/>
      <c r="V128" s="43" t="n"/>
      <c r="W128" s="1045" t="n"/>
      <c r="X128" s="25" t="n"/>
      <c r="Y128" s="43" t="n"/>
      <c r="Z128" s="1045" t="n"/>
      <c r="AA128" s="25" t="n"/>
      <c r="AB128" s="43" t="n"/>
      <c r="AC128" s="1045" t="n"/>
      <c r="AD128" s="25" t="n"/>
      <c r="AE128" s="43" t="n"/>
      <c r="AF128" s="1045" t="n"/>
      <c r="AG128" s="25" t="n"/>
      <c r="AH128" s="43" t="n"/>
      <c r="AI128" s="1045" t="n"/>
      <c r="AJ128" s="25" t="n"/>
      <c r="AK128" s="43" t="n"/>
      <c r="AL128" s="57" t="n"/>
      <c r="AM128" s="205" t="n"/>
      <c r="AN128" s="43" t="n"/>
      <c r="AO128" s="1091" t="n"/>
    </row>
    <row r="129" outlineLevel="1" ht="15" customHeight="1" s="986">
      <c r="A129" s="226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6">
      <c r="A130" s="226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45" t="n"/>
      <c r="F130" s="25">
        <f>'[20]Hoja 1'!$C$677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P130" s="1099" t="n"/>
    </row>
    <row r="131" outlineLevel="1" ht="15" customHeight="1" s="986">
      <c r="A131" s="226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46" t="n"/>
      <c r="AP131" s="1099" t="n"/>
    </row>
    <row r="132" outlineLevel="1" ht="15" customHeight="1" s="986">
      <c r="A132" s="226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1099" t="n"/>
      <c r="AR133" s="1099" t="n"/>
    </row>
    <row r="134" outlineLevel="1" ht="15" customHeight="1" s="986">
      <c r="A134" s="226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A135" s="226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A136" s="226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B137" s="25" t="inlineStr">
        <is>
          <t>Compra Instrumentos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952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Herramienrtas y Articulos de ferreteria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6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'[17]Hoja 1'!$C$741</f>
        <v/>
      </c>
      <c r="D139" s="214" t="n"/>
      <c r="E139" s="1079" t="n"/>
      <c r="F139" s="269" t="n"/>
      <c r="G139" s="214" t="n"/>
      <c r="H139" s="1079" t="n"/>
      <c r="I139" s="269" t="n"/>
      <c r="J139" s="214" t="n"/>
      <c r="K139" s="1079" t="n"/>
      <c r="L139" s="269" t="n"/>
      <c r="M139" s="214" t="n"/>
      <c r="N139" s="1079" t="n"/>
      <c r="O139" s="269" t="n"/>
      <c r="P139" s="214" t="n"/>
      <c r="Q139" s="1079" t="n"/>
      <c r="R139" s="269" t="n"/>
      <c r="S139" s="214" t="n"/>
      <c r="T139" s="1079" t="n"/>
      <c r="U139" s="269" t="n"/>
      <c r="V139" s="214" t="n"/>
      <c r="W139" s="1079" t="n"/>
      <c r="X139" s="269" t="n"/>
      <c r="Y139" s="214" t="n"/>
      <c r="Z139" s="1079" t="n"/>
      <c r="AA139" s="269" t="n"/>
      <c r="AB139" s="214" t="n"/>
      <c r="AC139" s="1079" t="n"/>
      <c r="AD139" s="269" t="n"/>
      <c r="AE139" s="214" t="n"/>
      <c r="AF139" s="1079" t="n"/>
      <c r="AG139" s="269" t="n"/>
      <c r="AH139" s="214" t="n"/>
      <c r="AI139" s="1079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092" t="n"/>
    </row>
    <row r="140" ht="15" customHeight="1" s="986" thickBot="1" thickTop="1">
      <c r="C140" s="2" t="n"/>
      <c r="D140" s="2" t="n"/>
      <c r="E140" s="1067" t="n"/>
      <c r="F140" s="2" t="n"/>
      <c r="G140" s="2" t="n"/>
      <c r="H140" s="1067" t="n"/>
      <c r="I140" s="2" t="n"/>
      <c r="J140" s="2" t="n"/>
      <c r="K140" s="1067" t="n"/>
      <c r="L140" s="2" t="n"/>
      <c r="M140" s="2" t="n"/>
      <c r="N140" s="1067" t="n"/>
      <c r="O140" s="2" t="n"/>
      <c r="P140" s="2" t="n"/>
      <c r="Q140" s="1067" t="n"/>
      <c r="R140" s="2" t="n"/>
      <c r="S140" s="2" t="n"/>
      <c r="T140" s="1067" t="n"/>
      <c r="U140" s="2" t="n"/>
      <c r="V140" s="2" t="n"/>
      <c r="W140" s="1067" t="n"/>
      <c r="X140" s="2" t="n"/>
      <c r="Y140" s="2" t="n"/>
      <c r="Z140" s="1067" t="n"/>
      <c r="AA140" s="2" t="n"/>
      <c r="AB140" s="2" t="n"/>
      <c r="AC140" s="1067" t="n"/>
      <c r="AD140" s="2" t="n"/>
      <c r="AE140" s="2" t="n"/>
      <c r="AF140" s="1067" t="n"/>
      <c r="AG140" s="2" t="n"/>
      <c r="AH140" s="2" t="n"/>
      <c r="AI140" s="1067" t="n"/>
      <c r="AJ140" s="2" t="n"/>
      <c r="AK140" s="2" t="n"/>
      <c r="AL140" s="64" t="n"/>
      <c r="AM140" s="151" t="n"/>
      <c r="AN140" s="2" t="n"/>
      <c r="AO140" s="1067" t="n"/>
    </row>
    <row r="141" ht="15" customHeight="1" s="986" thickBot="1" thickTop="1">
      <c r="B141" s="526" t="inlineStr">
        <is>
          <t>TOTAL GASTOS</t>
        </is>
      </c>
      <c r="C141" s="494">
        <f>C44+C83</f>
        <v/>
      </c>
      <c r="D141" s="495" t="n"/>
      <c r="E141" s="1128" t="n"/>
      <c r="F141" s="494">
        <f>F44+F83</f>
        <v/>
      </c>
      <c r="G141" s="495" t="n"/>
      <c r="H141" s="1128" t="n"/>
      <c r="I141" s="494">
        <f>I44+I83</f>
        <v/>
      </c>
      <c r="J141" s="495" t="n"/>
      <c r="K141" s="1128" t="n"/>
      <c r="L141" s="494">
        <f>L44+L83</f>
        <v/>
      </c>
      <c r="M141" s="495" t="n"/>
      <c r="N141" s="1128" t="n"/>
      <c r="O141" s="494">
        <f>O44+O83</f>
        <v/>
      </c>
      <c r="P141" s="495" t="n"/>
      <c r="Q141" s="1128" t="n"/>
      <c r="R141" s="494">
        <f>R44+R83</f>
        <v/>
      </c>
      <c r="S141" s="495" t="n"/>
      <c r="T141" s="1128" t="n"/>
      <c r="U141" s="494">
        <f>U44+U83</f>
        <v/>
      </c>
      <c r="V141" s="495" t="n"/>
      <c r="W141" s="1128" t="n"/>
      <c r="X141" s="494">
        <f>X44+X83</f>
        <v/>
      </c>
      <c r="Y141" s="495" t="n"/>
      <c r="Z141" s="1128" t="n"/>
      <c r="AA141" s="494">
        <f>AA44+AA83</f>
        <v/>
      </c>
      <c r="AB141" s="495" t="n"/>
      <c r="AC141" s="1128" t="n"/>
      <c r="AD141" s="494">
        <f>AD44+AD83</f>
        <v/>
      </c>
      <c r="AE141" s="495" t="n"/>
      <c r="AF141" s="1128" t="n"/>
      <c r="AG141" s="494">
        <f>AG44+AG83</f>
        <v/>
      </c>
      <c r="AH141" s="495" t="n"/>
      <c r="AI141" s="1128" t="n"/>
      <c r="AJ141" s="494">
        <f>AJ44+AJ83</f>
        <v/>
      </c>
      <c r="AK141" s="495" t="n"/>
      <c r="AL141" s="509" t="n"/>
      <c r="AM141" s="585">
        <f>C141+F141+I141+L141+O141+R141+U141+X141+AA141+AD141+AG141+AJ141</f>
        <v/>
      </c>
      <c r="AN141" s="495" t="n"/>
      <c r="AO141" s="1129" t="n"/>
    </row>
    <row r="142" ht="15" customHeight="1" s="986" thickBot="1" thickTop="1">
      <c r="B142" s="193" t="n"/>
      <c r="C142" s="497">
        <f>IFERROR(C141/C13," ")</f>
        <v/>
      </c>
      <c r="D142" s="489" t="n"/>
      <c r="E142" s="1065" t="n"/>
      <c r="F142" s="497">
        <f>IFERROR(F141/F13," ")</f>
        <v/>
      </c>
      <c r="G142" s="489" t="n"/>
      <c r="H142" s="1065" t="n"/>
      <c r="I142" s="497">
        <f>IFERROR(I141/I13," ")</f>
        <v/>
      </c>
      <c r="J142" s="489" t="n"/>
      <c r="K142" s="1065" t="n"/>
      <c r="L142" s="497">
        <f>IFERROR(L141/L13," ")</f>
        <v/>
      </c>
      <c r="M142" s="489" t="n"/>
      <c r="N142" s="1065" t="n"/>
      <c r="O142" s="497">
        <f>IFERROR(O141/O13," ")</f>
        <v/>
      </c>
      <c r="P142" s="489" t="n"/>
      <c r="Q142" s="1065" t="n"/>
      <c r="R142" s="497">
        <f>IFERROR(R141/R13," ")</f>
        <v/>
      </c>
      <c r="S142" s="489" t="n"/>
      <c r="T142" s="1065" t="n"/>
      <c r="U142" s="497">
        <f>IFERROR(U141/U13," ")</f>
        <v/>
      </c>
      <c r="V142" s="489" t="n"/>
      <c r="W142" s="1065" t="n"/>
      <c r="X142" s="497">
        <f>IFERROR(X141/X13," ")</f>
        <v/>
      </c>
      <c r="Y142" s="489" t="n"/>
      <c r="Z142" s="1065" t="n"/>
      <c r="AA142" s="497">
        <f>IFERROR(AA141/AA13," ")</f>
        <v/>
      </c>
      <c r="AB142" s="489" t="n"/>
      <c r="AC142" s="1065" t="n"/>
      <c r="AD142" s="497">
        <f>IFERROR(AD141/AD13," ")</f>
        <v/>
      </c>
      <c r="AE142" s="489" t="n"/>
      <c r="AF142" s="1065" t="n"/>
      <c r="AG142" s="497">
        <f>IFERROR(AG141/AG13," ")</f>
        <v/>
      </c>
      <c r="AH142" s="489" t="n"/>
      <c r="AI142" s="1065" t="n"/>
      <c r="AJ142" s="497">
        <f>IFERROR(AJ141/AJ13," ")</f>
        <v/>
      </c>
      <c r="AK142" s="489" t="n"/>
      <c r="AL142" s="510" t="n"/>
      <c r="AM142" s="497">
        <f>IFERROR(AM141/AM13," ")</f>
        <v/>
      </c>
      <c r="AN142" s="489" t="n"/>
      <c r="AO142" s="1066" t="n"/>
    </row>
    <row r="143" ht="10.8" customHeight="1" s="986" thickTop="1"/>
    <row r="144">
      <c r="C144" s="613" t="n"/>
      <c r="F144" s="613" t="n"/>
      <c r="I144" s="613" t="n"/>
      <c r="L144" s="613" t="n"/>
      <c r="O144" s="613" t="n"/>
      <c r="R144" s="613" t="n"/>
      <c r="U144" s="613" t="n"/>
      <c r="X144" s="613" t="n"/>
      <c r="AA144" s="613" t="n"/>
      <c r="AD144" s="613" t="n"/>
      <c r="AG144" s="613" t="n"/>
      <c r="AJ144" s="613" t="n"/>
    </row>
    <row r="145">
      <c r="C145" s="613">
        <f>C141</f>
        <v/>
      </c>
      <c r="F145" s="613">
        <f>F141</f>
        <v/>
      </c>
      <c r="I145" s="613">
        <f>I141</f>
        <v/>
      </c>
      <c r="L145" s="613">
        <f>L141</f>
        <v/>
      </c>
      <c r="O145" s="613">
        <f>O141</f>
        <v/>
      </c>
      <c r="R145" s="613">
        <f>R141</f>
        <v/>
      </c>
      <c r="U145" s="613">
        <f>U141</f>
        <v/>
      </c>
      <c r="X145" s="613">
        <f>X141</f>
        <v/>
      </c>
      <c r="AA145" s="613">
        <f>AA141</f>
        <v/>
      </c>
      <c r="AD145" s="613">
        <f>AD141</f>
        <v/>
      </c>
      <c r="AG145" s="613">
        <f>AG141</f>
        <v/>
      </c>
      <c r="AJ145" s="613">
        <f>AJ141</f>
        <v/>
      </c>
    </row>
    <row r="146">
      <c r="C146" s="613">
        <f>'[17]Hoja 1'!$C$702-'[17]Hoja 1'!$C$738</f>
        <v/>
      </c>
      <c r="F146" s="613">
        <f>'[20]Hoja 1'!$C$642-'[20]Hoja 1'!$C$674</f>
        <v/>
      </c>
      <c r="I146" s="613" t="n">
        <v>21290472</v>
      </c>
      <c r="L146" s="613" t="n">
        <v>11834112.8</v>
      </c>
      <c r="O146" s="613" t="n">
        <v>42204201.3</v>
      </c>
      <c r="R146" s="613" t="n">
        <v>18032082.9</v>
      </c>
      <c r="U146" s="613" t="n">
        <v>18399775.92</v>
      </c>
      <c r="X146" s="613" t="n">
        <v>17628868.46</v>
      </c>
      <c r="AA146" s="613" t="n">
        <v>18247022.89</v>
      </c>
      <c r="AD146" s="613" t="n">
        <v>17289109.42</v>
      </c>
      <c r="AG146" s="613" t="n">
        <v>21006738.7</v>
      </c>
      <c r="AJ146" s="613" t="n">
        <v>26761957</v>
      </c>
    </row>
    <row r="147">
      <c r="C147" s="993">
        <f>C145-C146</f>
        <v/>
      </c>
      <c r="F147" s="993">
        <f>F145-F146</f>
        <v/>
      </c>
      <c r="I147" s="993">
        <f>I145-I146</f>
        <v/>
      </c>
      <c r="L147" s="993">
        <f>L145-L146</f>
        <v/>
      </c>
      <c r="O147" s="993">
        <f>O145-O146</f>
        <v/>
      </c>
      <c r="R147" s="993">
        <f>R145-R146</f>
        <v/>
      </c>
      <c r="U147" s="993">
        <f>U145-U146</f>
        <v/>
      </c>
      <c r="X147" s="993">
        <f>X145-X146</f>
        <v/>
      </c>
      <c r="AA147" s="993">
        <f>AA145-AA146</f>
        <v/>
      </c>
      <c r="AD147" s="993">
        <f>AD145-AD146</f>
        <v/>
      </c>
      <c r="AG147" s="993">
        <f>AG145-AG146</f>
        <v/>
      </c>
      <c r="AJ147" s="993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2026-03-30T19:27:56Z</dcterms:modified>
  <cp:lastModifiedBy>diego lopez</cp:lastModifiedBy>
  <cp:lastPrinted>2025-03-07T14:18:05Z</cp:lastPrinted>
</cp:coreProperties>
</file>