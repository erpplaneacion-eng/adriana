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3D3CB849-14B1-4A56-BE9E-3B5CFB906219}" xr6:coauthVersionLast="47" xr6:coauthVersionMax="47" xr10:uidLastSave="{00000000-0000-0000-0000-000000000000}"/>
  <bookViews>
    <workbookView xWindow="-96" yWindow="0" windowWidth="11712" windowHeight="12336" tabRatio="866" firstSheet="2" activeTab="4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OMEDORES PALMIRA" sheetId="12" r:id="rId12"/>
    <sheet name="CTAS EN PPACION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1">'GASTOS ADMINISTRATIVOS'!#REF!</definedName>
    <definedName name="AUMENTO" localSheetId="9">'GASTOS ADMINISTRATIVOS'!#REF!</definedName>
    <definedName name="AUMENTO">'GASTOS ADMINISTRATIVOS'!#REF!</definedName>
    <definedName name="FACT" localSheetId="11">'COMEDORES VALLE'!#REF!</definedName>
    <definedName name="FACT" localSheetId="9">'COMEDORES VALLE'!#REF!</definedName>
    <definedName name="FACT">'COMEDORES VALLE'!#REF!</definedName>
    <definedName name="INCREMENTO" localSheetId="11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07" i="16" l="1"/>
  <c r="I203" i="16"/>
  <c r="X201" i="16"/>
  <c r="N179" i="16"/>
  <c r="N178" i="16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F160" i="16"/>
  <c r="C160" i="16"/>
  <c r="AM160" i="16" s="1"/>
  <c r="F159" i="16"/>
  <c r="C159" i="16"/>
  <c r="F158" i="16"/>
  <c r="C158" i="16"/>
  <c r="AJ154" i="16"/>
  <c r="AD154" i="16"/>
  <c r="AA154" i="16"/>
  <c r="X154" i="16"/>
  <c r="U154" i="16"/>
  <c r="R154" i="16"/>
  <c r="F154" i="16"/>
  <c r="C154" i="16"/>
  <c r="O153" i="16"/>
  <c r="N153" i="16"/>
  <c r="AJ150" i="16"/>
  <c r="AG150" i="16"/>
  <c r="AD150" i="16"/>
  <c r="AA150" i="16"/>
  <c r="X150" i="16"/>
  <c r="U150" i="16"/>
  <c r="R150" i="16"/>
  <c r="F150" i="16"/>
  <c r="C150" i="16"/>
  <c r="AJ149" i="16"/>
  <c r="AG149" i="16"/>
  <c r="AD149" i="16"/>
  <c r="AA149" i="16"/>
  <c r="X149" i="16"/>
  <c r="U149" i="16"/>
  <c r="R149" i="16"/>
  <c r="O147" i="16"/>
  <c r="N147" i="16"/>
  <c r="AJ142" i="16"/>
  <c r="AG142" i="16"/>
  <c r="AD142" i="16"/>
  <c r="AA142" i="16"/>
  <c r="X142" i="16"/>
  <c r="U142" i="16"/>
  <c r="R142" i="16"/>
  <c r="F142" i="16"/>
  <c r="C142" i="16"/>
  <c r="AM142" i="16" s="1"/>
  <c r="AJ141" i="16"/>
  <c r="AG141" i="16"/>
  <c r="AD141" i="16"/>
  <c r="AA141" i="16"/>
  <c r="X141" i="16"/>
  <c r="U141" i="16"/>
  <c r="R141" i="16"/>
  <c r="F141" i="16"/>
  <c r="AJ140" i="16"/>
  <c r="AG140" i="16"/>
  <c r="AD140" i="16"/>
  <c r="AA140" i="16"/>
  <c r="X140" i="16"/>
  <c r="U140" i="16"/>
  <c r="R140" i="16"/>
  <c r="C140" i="16"/>
  <c r="AJ139" i="16"/>
  <c r="AG139" i="16"/>
  <c r="AD139" i="16"/>
  <c r="AA139" i="16"/>
  <c r="X139" i="16"/>
  <c r="U139" i="16"/>
  <c r="R139" i="16"/>
  <c r="AJ138" i="16"/>
  <c r="AG138" i="16"/>
  <c r="AD138" i="16"/>
  <c r="AA138" i="16"/>
  <c r="X138" i="16"/>
  <c r="U138" i="16"/>
  <c r="R138" i="16"/>
  <c r="F138" i="16"/>
  <c r="AJ137" i="16"/>
  <c r="AG137" i="16"/>
  <c r="AD137" i="16"/>
  <c r="AA137" i="16"/>
  <c r="X137" i="16"/>
  <c r="U137" i="16"/>
  <c r="R137" i="16"/>
  <c r="AJ136" i="16"/>
  <c r="AG136" i="16"/>
  <c r="AD136" i="16"/>
  <c r="AA136" i="16"/>
  <c r="X136" i="16"/>
  <c r="U136" i="16"/>
  <c r="R136" i="16"/>
  <c r="C136" i="16"/>
  <c r="AJ135" i="16"/>
  <c r="AG135" i="16"/>
  <c r="AD135" i="16"/>
  <c r="AA135" i="16"/>
  <c r="X135" i="16"/>
  <c r="U135" i="16"/>
  <c r="R135" i="16"/>
  <c r="F135" i="16"/>
  <c r="AJ134" i="16"/>
  <c r="AG134" i="16"/>
  <c r="AD134" i="16"/>
  <c r="AA134" i="16"/>
  <c r="X134" i="16"/>
  <c r="U134" i="16"/>
  <c r="R134" i="16"/>
  <c r="AJ133" i="16"/>
  <c r="AG133" i="16"/>
  <c r="AD133" i="16"/>
  <c r="AA133" i="16"/>
  <c r="X133" i="16"/>
  <c r="U133" i="16"/>
  <c r="R133" i="16"/>
  <c r="AJ132" i="16"/>
  <c r="AG132" i="16"/>
  <c r="AD132" i="16"/>
  <c r="AA132" i="16"/>
  <c r="X132" i="16"/>
  <c r="U132" i="16"/>
  <c r="R132" i="16"/>
  <c r="F132" i="16"/>
  <c r="C132" i="16"/>
  <c r="AJ131" i="16"/>
  <c r="AG131" i="16"/>
  <c r="AD131" i="16"/>
  <c r="AA131" i="16"/>
  <c r="X131" i="16"/>
  <c r="U131" i="16"/>
  <c r="R131" i="16"/>
  <c r="R127" i="16" s="1"/>
  <c r="AJ130" i="16"/>
  <c r="AG130" i="16"/>
  <c r="AD130" i="16"/>
  <c r="AA130" i="16"/>
  <c r="X130" i="16"/>
  <c r="U130" i="16"/>
  <c r="R130" i="16"/>
  <c r="AJ129" i="16"/>
  <c r="AG129" i="16"/>
  <c r="AD129" i="16"/>
  <c r="AA129" i="16"/>
  <c r="X129" i="16"/>
  <c r="U129" i="16"/>
  <c r="R129" i="16"/>
  <c r="C129" i="16"/>
  <c r="AJ128" i="16"/>
  <c r="AJ127" i="16" s="1"/>
  <c r="AG128" i="16"/>
  <c r="AG127" i="16" s="1"/>
  <c r="AD128" i="16"/>
  <c r="AD127" i="16" s="1"/>
  <c r="AA128" i="16"/>
  <c r="X128" i="16"/>
  <c r="U128" i="16"/>
  <c r="R128" i="16"/>
  <c r="O127" i="16"/>
  <c r="N127" i="16"/>
  <c r="AJ126" i="16"/>
  <c r="AG126" i="16"/>
  <c r="AD126" i="16"/>
  <c r="AA126" i="16"/>
  <c r="AA123" i="16" s="1"/>
  <c r="X126" i="16"/>
  <c r="X123" i="16" s="1"/>
  <c r="U126" i="16"/>
  <c r="R126" i="16"/>
  <c r="F126" i="16"/>
  <c r="C126" i="16"/>
  <c r="AJ125" i="16"/>
  <c r="AG125" i="16"/>
  <c r="AG123" i="16" s="1"/>
  <c r="AD125" i="16"/>
  <c r="AA125" i="16"/>
  <c r="X125" i="16"/>
  <c r="U125" i="16"/>
  <c r="R125" i="16"/>
  <c r="F125" i="16"/>
  <c r="C125" i="16"/>
  <c r="AM125" i="16" s="1"/>
  <c r="AJ124" i="16"/>
  <c r="AJ123" i="16" s="1"/>
  <c r="AG124" i="16"/>
  <c r="AD124" i="16"/>
  <c r="AD123" i="16" s="1"/>
  <c r="AA124" i="16"/>
  <c r="X124" i="16"/>
  <c r="U124" i="16"/>
  <c r="R124" i="16"/>
  <c r="R123" i="16" s="1"/>
  <c r="F124" i="16"/>
  <c r="F123" i="16" s="1"/>
  <c r="C124" i="16"/>
  <c r="U123" i="16"/>
  <c r="O123" i="16"/>
  <c r="N123" i="16"/>
  <c r="AJ122" i="16"/>
  <c r="AG122" i="16"/>
  <c r="AD122" i="16"/>
  <c r="AA122" i="16"/>
  <c r="X122" i="16"/>
  <c r="U122" i="16"/>
  <c r="R122" i="16"/>
  <c r="F122" i="16"/>
  <c r="C122" i="16"/>
  <c r="AJ121" i="16"/>
  <c r="AJ120" i="16" s="1"/>
  <c r="AG121" i="16"/>
  <c r="AD121" i="16"/>
  <c r="AD120" i="16" s="1"/>
  <c r="AA121" i="16"/>
  <c r="AA120" i="16" s="1"/>
  <c r="X121" i="16"/>
  <c r="X120" i="16" s="1"/>
  <c r="U121" i="16"/>
  <c r="R121" i="16"/>
  <c r="R120" i="16" s="1"/>
  <c r="F121" i="16"/>
  <c r="C121" i="16"/>
  <c r="C120" i="16" s="1"/>
  <c r="U120" i="16"/>
  <c r="O120" i="16"/>
  <c r="N120" i="16"/>
  <c r="F120" i="16"/>
  <c r="AJ119" i="16"/>
  <c r="AG119" i="16"/>
  <c r="AD119" i="16"/>
  <c r="AA119" i="16"/>
  <c r="X119" i="16"/>
  <c r="U119" i="16"/>
  <c r="U114" i="16" s="1"/>
  <c r="R119" i="16"/>
  <c r="C119" i="16"/>
  <c r="AJ118" i="16"/>
  <c r="AG118" i="16"/>
  <c r="AD118" i="16"/>
  <c r="AA118" i="16"/>
  <c r="X118" i="16"/>
  <c r="U118" i="16"/>
  <c r="R118" i="16"/>
  <c r="F118" i="16"/>
  <c r="C118" i="16"/>
  <c r="AM118" i="16" s="1"/>
  <c r="AJ117" i="16"/>
  <c r="AG117" i="16"/>
  <c r="AD117" i="16"/>
  <c r="AA117" i="16"/>
  <c r="X117" i="16"/>
  <c r="U117" i="16"/>
  <c r="R117" i="16"/>
  <c r="AJ116" i="16"/>
  <c r="AG116" i="16"/>
  <c r="AD116" i="16"/>
  <c r="AA116" i="16"/>
  <c r="X116" i="16"/>
  <c r="U116" i="16"/>
  <c r="R116" i="16"/>
  <c r="F116" i="16"/>
  <c r="C116" i="16"/>
  <c r="AJ115" i="16"/>
  <c r="AG115" i="16"/>
  <c r="AD115" i="16"/>
  <c r="AA115" i="16"/>
  <c r="AA114" i="16" s="1"/>
  <c r="X115" i="16"/>
  <c r="X114" i="16" s="1"/>
  <c r="U115" i="16"/>
  <c r="R115" i="16"/>
  <c r="R114" i="16" s="1"/>
  <c r="F115" i="16"/>
  <c r="C115" i="16"/>
  <c r="AD114" i="16"/>
  <c r="O114" i="16"/>
  <c r="N114" i="16"/>
  <c r="AJ113" i="16"/>
  <c r="AG113" i="16"/>
  <c r="AD113" i="16"/>
  <c r="AA113" i="16"/>
  <c r="X113" i="16"/>
  <c r="U113" i="16"/>
  <c r="U109" i="16" s="1"/>
  <c r="R113" i="16"/>
  <c r="F113" i="16"/>
  <c r="AJ112" i="16"/>
  <c r="AG112" i="16"/>
  <c r="AD112" i="16"/>
  <c r="AA112" i="16"/>
  <c r="X112" i="16"/>
  <c r="U112" i="16"/>
  <c r="R112" i="16"/>
  <c r="F112" i="16"/>
  <c r="C112" i="16"/>
  <c r="AM112" i="16" s="1"/>
  <c r="AM111" i="16"/>
  <c r="AJ111" i="16"/>
  <c r="AG111" i="16"/>
  <c r="AD111" i="16"/>
  <c r="AA111" i="16"/>
  <c r="X111" i="16"/>
  <c r="U111" i="16"/>
  <c r="R111" i="16"/>
  <c r="F111" i="16"/>
  <c r="C111" i="16"/>
  <c r="AJ110" i="16"/>
  <c r="AJ109" i="16" s="1"/>
  <c r="AG110" i="16"/>
  <c r="AG109" i="16" s="1"/>
  <c r="AD110" i="16"/>
  <c r="AA110" i="16"/>
  <c r="X110" i="16"/>
  <c r="X109" i="16" s="1"/>
  <c r="U110" i="16"/>
  <c r="R110" i="16"/>
  <c r="R109" i="16" s="1"/>
  <c r="AD109" i="16"/>
  <c r="AA109" i="16"/>
  <c r="O109" i="16"/>
  <c r="AJ108" i="16"/>
  <c r="AG108" i="16"/>
  <c r="AD108" i="16"/>
  <c r="AA108" i="16"/>
  <c r="X108" i="16"/>
  <c r="U108" i="16"/>
  <c r="R108" i="16"/>
  <c r="AJ107" i="16"/>
  <c r="AG107" i="16"/>
  <c r="AD107" i="16"/>
  <c r="AA107" i="16"/>
  <c r="X107" i="16"/>
  <c r="U107" i="16"/>
  <c r="R107" i="16"/>
  <c r="AJ106" i="16"/>
  <c r="AG106" i="16"/>
  <c r="AD106" i="16"/>
  <c r="AA106" i="16"/>
  <c r="X106" i="16"/>
  <c r="U106" i="16"/>
  <c r="R106" i="16"/>
  <c r="AJ105" i="16"/>
  <c r="AG105" i="16"/>
  <c r="AD105" i="16"/>
  <c r="AA105" i="16"/>
  <c r="X105" i="16"/>
  <c r="U105" i="16"/>
  <c r="R105" i="16"/>
  <c r="AJ104" i="16"/>
  <c r="AG104" i="16"/>
  <c r="AD104" i="16"/>
  <c r="AA104" i="16"/>
  <c r="X104" i="16"/>
  <c r="U104" i="16"/>
  <c r="R104" i="16"/>
  <c r="AJ103" i="16"/>
  <c r="AG103" i="16"/>
  <c r="AD103" i="16"/>
  <c r="AA103" i="16"/>
  <c r="X103" i="16"/>
  <c r="U103" i="16"/>
  <c r="R103" i="16"/>
  <c r="C103" i="16"/>
  <c r="AJ102" i="16"/>
  <c r="AG102" i="16"/>
  <c r="AD102" i="16"/>
  <c r="AA102" i="16"/>
  <c r="X102" i="16"/>
  <c r="U102" i="16"/>
  <c r="R102" i="16"/>
  <c r="F102" i="16"/>
  <c r="C102" i="16"/>
  <c r="AJ101" i="16"/>
  <c r="AG101" i="16"/>
  <c r="AD101" i="16"/>
  <c r="AA101" i="16"/>
  <c r="X101" i="16"/>
  <c r="U101" i="16"/>
  <c r="R101" i="16"/>
  <c r="F101" i="16"/>
  <c r="AJ100" i="16"/>
  <c r="AG100" i="16"/>
  <c r="AD100" i="16"/>
  <c r="AA100" i="16"/>
  <c r="X100" i="16"/>
  <c r="X99" i="16" s="1"/>
  <c r="U100" i="16"/>
  <c r="R100" i="16"/>
  <c r="F100" i="16"/>
  <c r="C100" i="16"/>
  <c r="AA99" i="16"/>
  <c r="O99" i="16"/>
  <c r="N99" i="16"/>
  <c r="AJ98" i="16"/>
  <c r="AG98" i="16"/>
  <c r="AD98" i="16"/>
  <c r="AA98" i="16"/>
  <c r="X98" i="16"/>
  <c r="U98" i="16"/>
  <c r="R98" i="16"/>
  <c r="AJ97" i="16"/>
  <c r="AJ96" i="16" s="1"/>
  <c r="AG97" i="16"/>
  <c r="AD97" i="16"/>
  <c r="AA97" i="16"/>
  <c r="X97" i="16"/>
  <c r="U97" i="16"/>
  <c r="U96" i="16" s="1"/>
  <c r="R97" i="16"/>
  <c r="AG96" i="16"/>
  <c r="AD96" i="16"/>
  <c r="AA96" i="16"/>
  <c r="X96" i="16"/>
  <c r="R96" i="16"/>
  <c r="O96" i="16"/>
  <c r="N96" i="16"/>
  <c r="AJ95" i="16"/>
  <c r="AG95" i="16"/>
  <c r="AD95" i="16"/>
  <c r="AA95" i="16"/>
  <c r="AA92" i="16" s="1"/>
  <c r="X95" i="16"/>
  <c r="U95" i="16"/>
  <c r="R95" i="16"/>
  <c r="F95" i="16"/>
  <c r="AM95" i="16" s="1"/>
  <c r="C95" i="16"/>
  <c r="AJ94" i="16"/>
  <c r="AG94" i="16"/>
  <c r="AD94" i="16"/>
  <c r="AD92" i="16" s="1"/>
  <c r="AA94" i="16"/>
  <c r="X94" i="16"/>
  <c r="U94" i="16"/>
  <c r="R94" i="16"/>
  <c r="AM94" i="16" s="1"/>
  <c r="F94" i="16"/>
  <c r="C94" i="16"/>
  <c r="AJ93" i="16"/>
  <c r="AG93" i="16"/>
  <c r="AD93" i="16"/>
  <c r="AA93" i="16"/>
  <c r="X93" i="16"/>
  <c r="U93" i="16"/>
  <c r="U92" i="16" s="1"/>
  <c r="R93" i="16"/>
  <c r="R92" i="16" s="1"/>
  <c r="AJ92" i="16"/>
  <c r="AG92" i="16"/>
  <c r="X92" i="16"/>
  <c r="O92" i="16"/>
  <c r="N92" i="16"/>
  <c r="AJ91" i="16"/>
  <c r="AM91" i="16" s="1"/>
  <c r="AG91" i="16"/>
  <c r="AD91" i="16"/>
  <c r="AA91" i="16"/>
  <c r="X91" i="16"/>
  <c r="U91" i="16"/>
  <c r="R91" i="16"/>
  <c r="F91" i="16"/>
  <c r="C91" i="16"/>
  <c r="AJ90" i="16"/>
  <c r="AJ89" i="16" s="1"/>
  <c r="AG90" i="16"/>
  <c r="AD90" i="16"/>
  <c r="AD89" i="16" s="1"/>
  <c r="AA90" i="16"/>
  <c r="AA89" i="16" s="1"/>
  <c r="X90" i="16"/>
  <c r="U90" i="16"/>
  <c r="U89" i="16" s="1"/>
  <c r="R90" i="16"/>
  <c r="F90" i="16"/>
  <c r="F89" i="16" s="1"/>
  <c r="AG89" i="16"/>
  <c r="X89" i="16"/>
  <c r="R89" i="16"/>
  <c r="O89" i="16"/>
  <c r="N89" i="16"/>
  <c r="AJ88" i="16"/>
  <c r="AG88" i="16"/>
  <c r="AD88" i="16"/>
  <c r="AA88" i="16"/>
  <c r="X88" i="16"/>
  <c r="U88" i="16"/>
  <c r="R88" i="16"/>
  <c r="AJ87" i="16"/>
  <c r="AG87" i="16"/>
  <c r="AD87" i="16"/>
  <c r="AA87" i="16"/>
  <c r="X87" i="16"/>
  <c r="U87" i="16"/>
  <c r="R87" i="16"/>
  <c r="N87" i="16"/>
  <c r="AJ86" i="16"/>
  <c r="AG86" i="16"/>
  <c r="AD86" i="16"/>
  <c r="AA86" i="16"/>
  <c r="X86" i="16"/>
  <c r="U86" i="16"/>
  <c r="R86" i="16"/>
  <c r="N86" i="16"/>
  <c r="C86" i="16"/>
  <c r="N85" i="16"/>
  <c r="O84" i="16"/>
  <c r="N84" i="16"/>
  <c r="N83" i="16"/>
  <c r="AJ81" i="16"/>
  <c r="AG81" i="16"/>
  <c r="AD81" i="16"/>
  <c r="AA81" i="16"/>
  <c r="X81" i="16"/>
  <c r="U81" i="16"/>
  <c r="R81" i="16"/>
  <c r="AJ80" i="16"/>
  <c r="AG80" i="16"/>
  <c r="AD80" i="16"/>
  <c r="AA80" i="16"/>
  <c r="X80" i="16"/>
  <c r="U80" i="16"/>
  <c r="R80" i="16"/>
  <c r="N80" i="16"/>
  <c r="AJ79" i="16"/>
  <c r="AJ78" i="16" s="1"/>
  <c r="AG79" i="16"/>
  <c r="AG78" i="16" s="1"/>
  <c r="AD79" i="16"/>
  <c r="AD78" i="16" s="1"/>
  <c r="AA79" i="16"/>
  <c r="AA78" i="16" s="1"/>
  <c r="X79" i="16"/>
  <c r="U79" i="16"/>
  <c r="R79" i="16"/>
  <c r="N79" i="16"/>
  <c r="U78" i="16"/>
  <c r="R78" i="16"/>
  <c r="O78" i="16"/>
  <c r="N78" i="16"/>
  <c r="AJ77" i="16"/>
  <c r="AG77" i="16"/>
  <c r="AD77" i="16"/>
  <c r="AA77" i="16"/>
  <c r="X77" i="16"/>
  <c r="U77" i="16"/>
  <c r="R77" i="16"/>
  <c r="AJ76" i="16"/>
  <c r="AG76" i="16"/>
  <c r="AD76" i="16"/>
  <c r="AA76" i="16"/>
  <c r="X76" i="16"/>
  <c r="U76" i="16"/>
  <c r="R76" i="16"/>
  <c r="AJ75" i="16"/>
  <c r="AG75" i="16"/>
  <c r="AD75" i="16"/>
  <c r="AA75" i="16"/>
  <c r="X75" i="16"/>
  <c r="U75" i="16"/>
  <c r="R75" i="16"/>
  <c r="AJ74" i="16"/>
  <c r="AG74" i="16"/>
  <c r="AD74" i="16"/>
  <c r="AA74" i="16"/>
  <c r="X74" i="16"/>
  <c r="U74" i="16"/>
  <c r="R74" i="16"/>
  <c r="O72" i="16"/>
  <c r="N72" i="16"/>
  <c r="M72" i="16"/>
  <c r="AJ71" i="16"/>
  <c r="AG71" i="16"/>
  <c r="AD71" i="16"/>
  <c r="AA71" i="16"/>
  <c r="X71" i="16"/>
  <c r="U71" i="16"/>
  <c r="R71" i="16"/>
  <c r="O71" i="16"/>
  <c r="F71" i="16"/>
  <c r="C71" i="16"/>
  <c r="AM71" i="16" s="1"/>
  <c r="AJ70" i="16"/>
  <c r="AG70" i="16"/>
  <c r="AD70" i="16"/>
  <c r="AA70" i="16"/>
  <c r="X70" i="16"/>
  <c r="U70" i="16"/>
  <c r="R70" i="16"/>
  <c r="O70" i="16"/>
  <c r="O61" i="16" s="1"/>
  <c r="O60" i="16" s="1"/>
  <c r="F70" i="16"/>
  <c r="C70" i="16"/>
  <c r="AJ69" i="16"/>
  <c r="AG69" i="16"/>
  <c r="AD69" i="16"/>
  <c r="AA69" i="16"/>
  <c r="X69" i="16"/>
  <c r="U69" i="16"/>
  <c r="R69" i="16"/>
  <c r="O69" i="16"/>
  <c r="F69" i="16"/>
  <c r="C69" i="16"/>
  <c r="AM69" i="16" s="1"/>
  <c r="AJ68" i="16"/>
  <c r="AG68" i="16"/>
  <c r="AD68" i="16"/>
  <c r="AA68" i="16"/>
  <c r="X68" i="16"/>
  <c r="U68" i="16"/>
  <c r="R68" i="16"/>
  <c r="O68" i="16"/>
  <c r="F68" i="16"/>
  <c r="C68" i="16"/>
  <c r="AM68" i="16" s="1"/>
  <c r="AM67" i="16"/>
  <c r="AJ67" i="16"/>
  <c r="AG67" i="16"/>
  <c r="AD67" i="16"/>
  <c r="AA67" i="16"/>
  <c r="X67" i="16"/>
  <c r="U67" i="16"/>
  <c r="R67" i="16"/>
  <c r="O67" i="16"/>
  <c r="F67" i="16"/>
  <c r="C67" i="16"/>
  <c r="AM66" i="16"/>
  <c r="AJ66" i="16"/>
  <c r="AG66" i="16"/>
  <c r="AD66" i="16"/>
  <c r="AA66" i="16"/>
  <c r="X66" i="16"/>
  <c r="U66" i="16"/>
  <c r="R66" i="16"/>
  <c r="O66" i="16"/>
  <c r="F66" i="16"/>
  <c r="C66" i="16"/>
  <c r="AJ65" i="16"/>
  <c r="AG65" i="16"/>
  <c r="AD65" i="16"/>
  <c r="AA65" i="16"/>
  <c r="X65" i="16"/>
  <c r="U65" i="16"/>
  <c r="R65" i="16"/>
  <c r="O65" i="16"/>
  <c r="F65" i="16"/>
  <c r="C65" i="16"/>
  <c r="AJ64" i="16"/>
  <c r="AG64" i="16"/>
  <c r="AD64" i="16"/>
  <c r="AA64" i="16"/>
  <c r="AA61" i="16" s="1"/>
  <c r="X64" i="16"/>
  <c r="U64" i="16"/>
  <c r="R64" i="16"/>
  <c r="O64" i="16"/>
  <c r="AJ63" i="16"/>
  <c r="AG63" i="16"/>
  <c r="AD63" i="16"/>
  <c r="AA63" i="16"/>
  <c r="X63" i="16"/>
  <c r="U63" i="16"/>
  <c r="R63" i="16"/>
  <c r="O63" i="16"/>
  <c r="AJ62" i="16"/>
  <c r="AG62" i="16"/>
  <c r="AD62" i="16"/>
  <c r="AA62" i="16"/>
  <c r="X62" i="16"/>
  <c r="U62" i="16"/>
  <c r="U61" i="16" s="1"/>
  <c r="R62" i="16"/>
  <c r="O62" i="16"/>
  <c r="X61" i="16"/>
  <c r="N61" i="16"/>
  <c r="N60" i="16"/>
  <c r="AJ59" i="16"/>
  <c r="AM59" i="16" s="1"/>
  <c r="AG59" i="16"/>
  <c r="AD59" i="16"/>
  <c r="AA59" i="16"/>
  <c r="AA57" i="16" s="1"/>
  <c r="X59" i="16"/>
  <c r="U59" i="16"/>
  <c r="R59" i="16"/>
  <c r="F59" i="16"/>
  <c r="C59" i="16"/>
  <c r="AG58" i="16"/>
  <c r="AG57" i="16" s="1"/>
  <c r="AD58" i="16"/>
  <c r="AA58" i="16"/>
  <c r="X58" i="16"/>
  <c r="X57" i="16" s="1"/>
  <c r="X45" i="16" s="1"/>
  <c r="R58" i="16"/>
  <c r="AD57" i="16"/>
  <c r="R57" i="16"/>
  <c r="O57" i="16"/>
  <c r="AJ56" i="16"/>
  <c r="AM56" i="16" s="1"/>
  <c r="AG56" i="16"/>
  <c r="AD56" i="16"/>
  <c r="AA56" i="16"/>
  <c r="X56" i="16"/>
  <c r="U56" i="16"/>
  <c r="R56" i="16"/>
  <c r="O56" i="16"/>
  <c r="F56" i="16"/>
  <c r="C56" i="16"/>
  <c r="AJ55" i="16"/>
  <c r="AG55" i="16"/>
  <c r="AM55" i="16" s="1"/>
  <c r="AD55" i="16"/>
  <c r="AA55" i="16"/>
  <c r="X55" i="16"/>
  <c r="U55" i="16"/>
  <c r="R55" i="16"/>
  <c r="O55" i="16"/>
  <c r="F55" i="16"/>
  <c r="C55" i="16"/>
  <c r="AJ54" i="16"/>
  <c r="AG54" i="16"/>
  <c r="AD54" i="16"/>
  <c r="AA54" i="16"/>
  <c r="X54" i="16"/>
  <c r="U54" i="16"/>
  <c r="R54" i="16"/>
  <c r="O54" i="16"/>
  <c r="F54" i="16"/>
  <c r="C54" i="16"/>
  <c r="AJ53" i="16"/>
  <c r="AG53" i="16"/>
  <c r="AD53" i="16"/>
  <c r="AA53" i="16"/>
  <c r="X53" i="16"/>
  <c r="U53" i="16"/>
  <c r="R53" i="16"/>
  <c r="O53" i="16"/>
  <c r="F53" i="16"/>
  <c r="C53" i="16"/>
  <c r="AJ52" i="16"/>
  <c r="AG52" i="16"/>
  <c r="AD52" i="16"/>
  <c r="AA52" i="16"/>
  <c r="AA46" i="16" s="1"/>
  <c r="X52" i="16"/>
  <c r="U52" i="16"/>
  <c r="R52" i="16"/>
  <c r="O52" i="16"/>
  <c r="F52" i="16"/>
  <c r="C52" i="16"/>
  <c r="AJ51" i="16"/>
  <c r="AG51" i="16"/>
  <c r="AD51" i="16"/>
  <c r="AA51" i="16"/>
  <c r="X51" i="16"/>
  <c r="U51" i="16"/>
  <c r="R51" i="16"/>
  <c r="O51" i="16"/>
  <c r="F51" i="16"/>
  <c r="AM51" i="16" s="1"/>
  <c r="C51" i="16"/>
  <c r="AJ50" i="16"/>
  <c r="AG50" i="16"/>
  <c r="AD50" i="16"/>
  <c r="AA50" i="16"/>
  <c r="X50" i="16"/>
  <c r="X46" i="16" s="1"/>
  <c r="U50" i="16"/>
  <c r="R50" i="16"/>
  <c r="O50" i="16"/>
  <c r="F50" i="16"/>
  <c r="C50" i="16"/>
  <c r="AJ49" i="16"/>
  <c r="AG49" i="16"/>
  <c r="AD49" i="16"/>
  <c r="AA49" i="16"/>
  <c r="X49" i="16"/>
  <c r="U49" i="16"/>
  <c r="R49" i="16"/>
  <c r="O49" i="16"/>
  <c r="F49" i="16"/>
  <c r="C49" i="16"/>
  <c r="AJ48" i="16"/>
  <c r="AG48" i="16"/>
  <c r="AD48" i="16"/>
  <c r="AA48" i="16"/>
  <c r="X48" i="16"/>
  <c r="U48" i="16"/>
  <c r="R48" i="16"/>
  <c r="O48" i="16"/>
  <c r="AM48" i="16" s="1"/>
  <c r="F48" i="16"/>
  <c r="C48" i="16"/>
  <c r="AG47" i="16"/>
  <c r="AD47" i="16"/>
  <c r="AD46" i="16" s="1"/>
  <c r="AA47" i="16"/>
  <c r="X47" i="16"/>
  <c r="U47" i="16"/>
  <c r="U46" i="16" s="1"/>
  <c r="R47" i="16"/>
  <c r="O47" i="16"/>
  <c r="N46" i="16"/>
  <c r="N45" i="16"/>
  <c r="N44" i="16"/>
  <c r="N43" i="16"/>
  <c r="AM41" i="16"/>
  <c r="AJ41" i="16"/>
  <c r="AG41" i="16"/>
  <c r="AD41" i="16"/>
  <c r="AA41" i="16"/>
  <c r="X41" i="16"/>
  <c r="U41" i="16"/>
  <c r="R41" i="16"/>
  <c r="O41" i="16"/>
  <c r="F41" i="16"/>
  <c r="C41" i="16"/>
  <c r="AJ40" i="16"/>
  <c r="AM40" i="16" s="1"/>
  <c r="AG40" i="16"/>
  <c r="AD40" i="16"/>
  <c r="AA40" i="16"/>
  <c r="X40" i="16"/>
  <c r="U40" i="16"/>
  <c r="R40" i="16"/>
  <c r="O40" i="16"/>
  <c r="F40" i="16"/>
  <c r="C40" i="16"/>
  <c r="AJ39" i="16"/>
  <c r="AG39" i="16"/>
  <c r="AD39" i="16"/>
  <c r="AA39" i="16"/>
  <c r="X39" i="16"/>
  <c r="AM39" i="16" s="1"/>
  <c r="U39" i="16"/>
  <c r="R39" i="16"/>
  <c r="O39" i="16"/>
  <c r="F39" i="16"/>
  <c r="C39" i="16"/>
  <c r="AJ38" i="16"/>
  <c r="AG38" i="16"/>
  <c r="AD38" i="16"/>
  <c r="AA38" i="16"/>
  <c r="X38" i="16"/>
  <c r="U38" i="16"/>
  <c r="R38" i="16"/>
  <c r="O38" i="16"/>
  <c r="F38" i="16"/>
  <c r="C38" i="16"/>
  <c r="AM38" i="16" s="1"/>
  <c r="N29" i="16"/>
  <c r="AJ27" i="16"/>
  <c r="AG27" i="16"/>
  <c r="AD27" i="16"/>
  <c r="AA27" i="16"/>
  <c r="AA24" i="16" s="1"/>
  <c r="AA23" i="16" s="1"/>
  <c r="X27" i="16"/>
  <c r="U27" i="16"/>
  <c r="R27" i="16"/>
  <c r="F27" i="16"/>
  <c r="C27" i="16"/>
  <c r="AJ26" i="16"/>
  <c r="AG26" i="16"/>
  <c r="AD26" i="16"/>
  <c r="AA26" i="16"/>
  <c r="X26" i="16"/>
  <c r="U26" i="16"/>
  <c r="U24" i="16" s="1"/>
  <c r="R26" i="16"/>
  <c r="F26" i="16"/>
  <c r="C26" i="16"/>
  <c r="AJ25" i="16"/>
  <c r="AG25" i="16"/>
  <c r="AG24" i="16" s="1"/>
  <c r="AG23" i="16" s="1"/>
  <c r="AD25" i="16"/>
  <c r="AD24" i="16" s="1"/>
  <c r="AD23" i="16" s="1"/>
  <c r="AA25" i="16"/>
  <c r="X25" i="16"/>
  <c r="U25" i="16"/>
  <c r="R25" i="16"/>
  <c r="R24" i="16" s="1"/>
  <c r="R23" i="16" s="1"/>
  <c r="F25" i="16"/>
  <c r="C25" i="16"/>
  <c r="X24" i="16"/>
  <c r="O24" i="16"/>
  <c r="O23" i="16" s="1"/>
  <c r="O13" i="16" s="1"/>
  <c r="C24" i="16"/>
  <c r="X23" i="16"/>
  <c r="U23" i="16"/>
  <c r="AJ22" i="16"/>
  <c r="AG22" i="16"/>
  <c r="AD22" i="16"/>
  <c r="AA22" i="16"/>
  <c r="X22" i="16"/>
  <c r="U22" i="16"/>
  <c r="R22" i="16"/>
  <c r="AM22" i="16" s="1"/>
  <c r="O22" i="16"/>
  <c r="F22" i="16"/>
  <c r="C22" i="16"/>
  <c r="AJ21" i="16"/>
  <c r="AG21" i="16"/>
  <c r="AD21" i="16"/>
  <c r="AA21" i="16"/>
  <c r="X21" i="16"/>
  <c r="U21" i="16"/>
  <c r="R21" i="16"/>
  <c r="F21" i="16"/>
  <c r="C21" i="16"/>
  <c r="AM21" i="16" s="1"/>
  <c r="AJ20" i="16"/>
  <c r="AD20" i="16"/>
  <c r="AA20" i="16"/>
  <c r="X20" i="16"/>
  <c r="U20" i="16"/>
  <c r="R20" i="16"/>
  <c r="F20" i="16"/>
  <c r="C20" i="16"/>
  <c r="AJ19" i="16"/>
  <c r="AG19" i="16"/>
  <c r="AD19" i="16"/>
  <c r="AA19" i="16"/>
  <c r="X19" i="16"/>
  <c r="U19" i="16"/>
  <c r="R19" i="16"/>
  <c r="O19" i="16"/>
  <c r="F19" i="16"/>
  <c r="C19" i="16"/>
  <c r="AM19" i="16" s="1"/>
  <c r="AJ18" i="16"/>
  <c r="AG18" i="16"/>
  <c r="AD18" i="16"/>
  <c r="AA18" i="16"/>
  <c r="X18" i="16"/>
  <c r="U18" i="16"/>
  <c r="R18" i="16"/>
  <c r="O18" i="16"/>
  <c r="F18" i="16"/>
  <c r="C18" i="16"/>
  <c r="AM18" i="16" s="1"/>
  <c r="AJ17" i="16"/>
  <c r="AG17" i="16"/>
  <c r="AD17" i="16"/>
  <c r="AA17" i="16"/>
  <c r="X17" i="16"/>
  <c r="U17" i="16"/>
  <c r="R17" i="16"/>
  <c r="AM17" i="16" s="1"/>
  <c r="O17" i="16"/>
  <c r="F17" i="16"/>
  <c r="C17" i="16"/>
  <c r="AM16" i="16"/>
  <c r="AJ16" i="16"/>
  <c r="AG16" i="16"/>
  <c r="AD16" i="16"/>
  <c r="AA16" i="16"/>
  <c r="X16" i="16"/>
  <c r="U16" i="16"/>
  <c r="R16" i="16"/>
  <c r="O16" i="16"/>
  <c r="F16" i="16"/>
  <c r="C16" i="16"/>
  <c r="O14" i="16"/>
  <c r="AJ11" i="16"/>
  <c r="AG11" i="16"/>
  <c r="AD11" i="16"/>
  <c r="AA11" i="16"/>
  <c r="X11" i="16"/>
  <c r="U11" i="16"/>
  <c r="R11" i="16"/>
  <c r="O11" i="16"/>
  <c r="F11" i="16"/>
  <c r="C11" i="16"/>
  <c r="AJ10" i="16"/>
  <c r="AG10" i="16"/>
  <c r="AD10" i="16"/>
  <c r="AA10" i="16"/>
  <c r="X10" i="16"/>
  <c r="U10" i="16"/>
  <c r="R10" i="16"/>
  <c r="O10" i="16"/>
  <c r="F10" i="16"/>
  <c r="C10" i="16"/>
  <c r="AJ9" i="16"/>
  <c r="AG9" i="16"/>
  <c r="AD9" i="16"/>
  <c r="AA9" i="16"/>
  <c r="X9" i="16"/>
  <c r="U9" i="16"/>
  <c r="R9" i="16"/>
  <c r="O9" i="16"/>
  <c r="F9" i="16"/>
  <c r="C9" i="16"/>
  <c r="AJ8" i="16"/>
  <c r="AG8" i="16"/>
  <c r="AD8" i="16"/>
  <c r="AA8" i="16"/>
  <c r="X8" i="16"/>
  <c r="X12" i="16" s="1"/>
  <c r="U8" i="16"/>
  <c r="R8" i="16"/>
  <c r="O8" i="16"/>
  <c r="F8" i="16"/>
  <c r="C8" i="16"/>
  <c r="AJ7" i="16"/>
  <c r="AG7" i="16"/>
  <c r="AD7" i="16"/>
  <c r="AA7" i="16"/>
  <c r="X7" i="16"/>
  <c r="U7" i="16"/>
  <c r="U12" i="16" s="1"/>
  <c r="R7" i="16"/>
  <c r="O7" i="16"/>
  <c r="F7" i="16"/>
  <c r="C7" i="16"/>
  <c r="AJ6" i="16"/>
  <c r="AG6" i="16"/>
  <c r="AD6" i="16"/>
  <c r="AA6" i="16"/>
  <c r="X6" i="16"/>
  <c r="U6" i="16"/>
  <c r="R6" i="16"/>
  <c r="O6" i="16"/>
  <c r="F6" i="16"/>
  <c r="C6" i="16"/>
  <c r="AJ5" i="16"/>
  <c r="AJ12" i="16" s="1"/>
  <c r="AG5" i="16"/>
  <c r="AG12" i="16" s="1"/>
  <c r="AD5" i="16"/>
  <c r="AD12" i="16" s="1"/>
  <c r="AA5" i="16"/>
  <c r="X5" i="16"/>
  <c r="U5" i="16"/>
  <c r="R5" i="16"/>
  <c r="O5" i="16"/>
  <c r="F5" i="16"/>
  <c r="C5" i="16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3" i="15" s="1"/>
  <c r="AM151" i="15"/>
  <c r="AM150" i="15"/>
  <c r="AM149" i="15"/>
  <c r="AM148" i="15"/>
  <c r="AQ147" i="15"/>
  <c r="AJ147" i="15"/>
  <c r="AI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I127" i="15"/>
  <c r="AG127" i="15"/>
  <c r="AD127" i="15"/>
  <c r="AA127" i="15"/>
  <c r="X127" i="15"/>
  <c r="U127" i="15"/>
  <c r="R127" i="15"/>
  <c r="O127" i="15"/>
  <c r="L127" i="15"/>
  <c r="I127" i="15"/>
  <c r="F127" i="15"/>
  <c r="C127" i="15"/>
  <c r="AM126" i="15"/>
  <c r="AM125" i="15"/>
  <c r="AM124" i="15"/>
  <c r="AQ123" i="15"/>
  <c r="AJ123" i="15"/>
  <c r="AI123" i="15"/>
  <c r="AG123" i="15"/>
  <c r="AA123" i="15"/>
  <c r="X123" i="15"/>
  <c r="U123" i="15"/>
  <c r="R123" i="15"/>
  <c r="O123" i="15"/>
  <c r="L123" i="15"/>
  <c r="I123" i="15"/>
  <c r="F123" i="15"/>
  <c r="C123" i="15"/>
  <c r="AM123" i="15" s="1"/>
  <c r="AM122" i="15"/>
  <c r="AM121" i="15"/>
  <c r="AQ120" i="15"/>
  <c r="AJ120" i="15"/>
  <c r="AG120" i="15"/>
  <c r="AD120" i="15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R114" i="15"/>
  <c r="AQ114" i="15"/>
  <c r="AJ114" i="15"/>
  <c r="AG114" i="15"/>
  <c r="AA114" i="15"/>
  <c r="X114" i="15"/>
  <c r="U114" i="15"/>
  <c r="R114" i="15"/>
  <c r="O114" i="15"/>
  <c r="L114" i="15"/>
  <c r="I114" i="15"/>
  <c r="F114" i="15"/>
  <c r="H114" i="15" s="1"/>
  <c r="C114" i="15"/>
  <c r="AM113" i="15"/>
  <c r="AM112" i="15"/>
  <c r="AM111" i="15"/>
  <c r="AM110" i="15"/>
  <c r="AQ109" i="15"/>
  <c r="AJ109" i="15"/>
  <c r="AG109" i="15"/>
  <c r="AI109" i="15" s="1"/>
  <c r="AD109" i="15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J99" i="15"/>
  <c r="AG99" i="15"/>
  <c r="AI99" i="15" s="1"/>
  <c r="AD99" i="15"/>
  <c r="AA99" i="15"/>
  <c r="X99" i="15"/>
  <c r="U99" i="15"/>
  <c r="R99" i="15"/>
  <c r="O99" i="15"/>
  <c r="L99" i="15"/>
  <c r="I99" i="15"/>
  <c r="AM99" i="15" s="1"/>
  <c r="F99" i="15"/>
  <c r="C99" i="15"/>
  <c r="AM98" i="15"/>
  <c r="AM97" i="15"/>
  <c r="AQ96" i="15"/>
  <c r="AJ96" i="15"/>
  <c r="AG96" i="15"/>
  <c r="AI96" i="15" s="1"/>
  <c r="AD96" i="15"/>
  <c r="AA96" i="15"/>
  <c r="X96" i="15"/>
  <c r="U96" i="15"/>
  <c r="R96" i="15"/>
  <c r="O96" i="15"/>
  <c r="L96" i="15"/>
  <c r="I96" i="15"/>
  <c r="F96" i="15"/>
  <c r="C96" i="15"/>
  <c r="AM95" i="15"/>
  <c r="AM94" i="15"/>
  <c r="AM93" i="15"/>
  <c r="AQ92" i="15"/>
  <c r="AJ92" i="15"/>
  <c r="AI92" i="15"/>
  <c r="AG92" i="15"/>
  <c r="AD92" i="15"/>
  <c r="AA92" i="15"/>
  <c r="X92" i="15"/>
  <c r="U92" i="15"/>
  <c r="R92" i="15"/>
  <c r="O92" i="15"/>
  <c r="L92" i="15"/>
  <c r="I92" i="15"/>
  <c r="F92" i="15"/>
  <c r="C92" i="15"/>
  <c r="AM91" i="15"/>
  <c r="AM90" i="15"/>
  <c r="AQ89" i="15"/>
  <c r="AJ89" i="15"/>
  <c r="AI89" i="15"/>
  <c r="AG89" i="15"/>
  <c r="AD89" i="15"/>
  <c r="AA89" i="15"/>
  <c r="X89" i="15"/>
  <c r="U89" i="15"/>
  <c r="R89" i="15"/>
  <c r="O89" i="15"/>
  <c r="L89" i="15"/>
  <c r="I89" i="15"/>
  <c r="F89" i="15"/>
  <c r="H89" i="15" s="1"/>
  <c r="C89" i="15"/>
  <c r="AM88" i="15"/>
  <c r="AM87" i="15"/>
  <c r="AM86" i="15"/>
  <c r="AM85" i="15"/>
  <c r="AQ84" i="15"/>
  <c r="AJ84" i="15"/>
  <c r="AG84" i="15"/>
  <c r="AD84" i="15"/>
  <c r="AA84" i="15"/>
  <c r="X84" i="15"/>
  <c r="U84" i="15"/>
  <c r="R84" i="15"/>
  <c r="O84" i="15"/>
  <c r="L84" i="15"/>
  <c r="I84" i="15"/>
  <c r="F84" i="15"/>
  <c r="C84" i="15"/>
  <c r="AM84" i="15" s="1"/>
  <c r="AD83" i="15"/>
  <c r="F83" i="15"/>
  <c r="AM81" i="15"/>
  <c r="AM80" i="15"/>
  <c r="AM79" i="15"/>
  <c r="AQ78" i="15"/>
  <c r="AR78" i="15" s="1"/>
  <c r="AJ78" i="15"/>
  <c r="AI78" i="15"/>
  <c r="AG78" i="15"/>
  <c r="AD78" i="15"/>
  <c r="AA78" i="15"/>
  <c r="X78" i="15"/>
  <c r="U78" i="15"/>
  <c r="R78" i="15"/>
  <c r="O78" i="15"/>
  <c r="L78" i="15"/>
  <c r="I78" i="15"/>
  <c r="F78" i="15"/>
  <c r="C78" i="15"/>
  <c r="AM77" i="15"/>
  <c r="AM76" i="15"/>
  <c r="AM75" i="15"/>
  <c r="AM74" i="15"/>
  <c r="AQ72" i="15"/>
  <c r="AJ72" i="15"/>
  <c r="I72" i="15"/>
  <c r="F72" i="15"/>
  <c r="AM71" i="15"/>
  <c r="AN70" i="15"/>
  <c r="AN69" i="15"/>
  <c r="AN68" i="15"/>
  <c r="AN67" i="15"/>
  <c r="AM66" i="15"/>
  <c r="AN66" i="15" s="1"/>
  <c r="AN65" i="15"/>
  <c r="AM65" i="15"/>
  <c r="AS64" i="15"/>
  <c r="AR64" i="15"/>
  <c r="AM64" i="15"/>
  <c r="AO64" i="15" s="1"/>
  <c r="AS63" i="15"/>
  <c r="AR63" i="15"/>
  <c r="AM63" i="15"/>
  <c r="AS62" i="15"/>
  <c r="AR62" i="15"/>
  <c r="AM62" i="15"/>
  <c r="AN62" i="15" s="1"/>
  <c r="AQ61" i="15"/>
  <c r="AJ61" i="15"/>
  <c r="AG61" i="15"/>
  <c r="AD61" i="15"/>
  <c r="AA61" i="15"/>
  <c r="X61" i="15"/>
  <c r="U61" i="15"/>
  <c r="R61" i="15"/>
  <c r="AM61" i="15" s="1"/>
  <c r="P61" i="15"/>
  <c r="O61" i="15"/>
  <c r="L61" i="15"/>
  <c r="I61" i="15"/>
  <c r="F61" i="15"/>
  <c r="F60" i="15" s="1"/>
  <c r="C61" i="15"/>
  <c r="AQ60" i="15"/>
  <c r="I60" i="15"/>
  <c r="C60" i="15"/>
  <c r="AM59" i="15"/>
  <c r="AM58" i="15"/>
  <c r="AJ57" i="15"/>
  <c r="AG57" i="15"/>
  <c r="AD57" i="15"/>
  <c r="AA57" i="15"/>
  <c r="X57" i="15"/>
  <c r="U57" i="15"/>
  <c r="R57" i="15"/>
  <c r="O57" i="15"/>
  <c r="L57" i="15"/>
  <c r="I57" i="15"/>
  <c r="F57" i="15"/>
  <c r="AM53" i="15"/>
  <c r="AM52" i="15"/>
  <c r="AM51" i="15"/>
  <c r="AM50" i="15"/>
  <c r="AM49" i="15"/>
  <c r="AM48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J46" i="15"/>
  <c r="AJ45" i="15" s="1"/>
  <c r="AG46" i="15"/>
  <c r="AD46" i="15"/>
  <c r="AD45" i="15" s="1"/>
  <c r="AB46" i="15"/>
  <c r="AA46" i="15"/>
  <c r="X46" i="15"/>
  <c r="U46" i="15"/>
  <c r="R46" i="15"/>
  <c r="R45" i="15" s="1"/>
  <c r="O46" i="15"/>
  <c r="L46" i="15"/>
  <c r="I46" i="15"/>
  <c r="I45" i="15" s="1"/>
  <c r="I44" i="15" s="1"/>
  <c r="F46" i="15"/>
  <c r="C46" i="15"/>
  <c r="X45" i="15"/>
  <c r="U45" i="15"/>
  <c r="O45" i="15"/>
  <c r="L45" i="15"/>
  <c r="AM37" i="15"/>
  <c r="AG35" i="15"/>
  <c r="AG34" i="15"/>
  <c r="O34" i="15"/>
  <c r="AG33" i="15"/>
  <c r="AG32" i="15"/>
  <c r="AG30" i="15"/>
  <c r="AQ29" i="15"/>
  <c r="AQ28" i="15" s="1"/>
  <c r="AM27" i="15"/>
  <c r="AM26" i="15"/>
  <c r="AM25" i="15"/>
  <c r="AJ24" i="15"/>
  <c r="AG24" i="15"/>
  <c r="AD24" i="15"/>
  <c r="AA24" i="15"/>
  <c r="AA23" i="15" s="1"/>
  <c r="X24" i="15"/>
  <c r="X23" i="15" s="1"/>
  <c r="U24" i="15"/>
  <c r="U23" i="15" s="1"/>
  <c r="U13" i="15" s="1"/>
  <c r="R24" i="15"/>
  <c r="R23" i="15" s="1"/>
  <c r="O24" i="15"/>
  <c r="O23" i="15" s="1"/>
  <c r="O13" i="15" s="1"/>
  <c r="L24" i="15"/>
  <c r="L23" i="15" s="1"/>
  <c r="I24" i="15"/>
  <c r="I23" i="15" s="1"/>
  <c r="F24" i="15"/>
  <c r="F23" i="15" s="1"/>
  <c r="F13" i="15" s="1"/>
  <c r="C24" i="15"/>
  <c r="C23" i="15"/>
  <c r="AM22" i="15"/>
  <c r="AM21" i="15"/>
  <c r="AM20" i="15"/>
  <c r="AM19" i="15"/>
  <c r="AM18" i="15"/>
  <c r="AM17" i="15"/>
  <c r="AR16" i="15"/>
  <c r="AM16" i="15"/>
  <c r="M16" i="15"/>
  <c r="AQ15" i="15"/>
  <c r="AQ14" i="15" s="1"/>
  <c r="AJ15" i="15"/>
  <c r="AJ14" i="15" s="1"/>
  <c r="AI15" i="15"/>
  <c r="AG15" i="15"/>
  <c r="AD15" i="15"/>
  <c r="AF15" i="15" s="1"/>
  <c r="AC15" i="15"/>
  <c r="AA15" i="15"/>
  <c r="X15" i="15"/>
  <c r="Z15" i="15" s="1"/>
  <c r="U15" i="15"/>
  <c r="U14" i="15" s="1"/>
  <c r="U36" i="15" s="1"/>
  <c r="R15" i="15"/>
  <c r="R14" i="15" s="1"/>
  <c r="O15" i="15"/>
  <c r="L15" i="15"/>
  <c r="I15" i="15"/>
  <c r="I14" i="15" s="1"/>
  <c r="F15" i="15"/>
  <c r="C15" i="15"/>
  <c r="AG14" i="15"/>
  <c r="AG36" i="15" s="1"/>
  <c r="AD14" i="15"/>
  <c r="AD36" i="15" s="1"/>
  <c r="AA14" i="15"/>
  <c r="O14" i="15"/>
  <c r="L14" i="15"/>
  <c r="F14" i="15"/>
  <c r="C14" i="15"/>
  <c r="AG13" i="15"/>
  <c r="AI120" i="15" s="1"/>
  <c r="C13" i="15"/>
  <c r="AQ12" i="15"/>
  <c r="AJ12" i="15"/>
  <c r="AG12" i="15"/>
  <c r="AD12" i="15"/>
  <c r="AA12" i="15"/>
  <c r="X12" i="15"/>
  <c r="U12" i="15"/>
  <c r="R12" i="15"/>
  <c r="O12" i="15"/>
  <c r="L12" i="15"/>
  <c r="I12" i="15"/>
  <c r="F12" i="15"/>
  <c r="G72" i="15" s="1"/>
  <c r="C12" i="15"/>
  <c r="AM11" i="15"/>
  <c r="AM10" i="15"/>
  <c r="AM9" i="15"/>
  <c r="AM8" i="15"/>
  <c r="AM7" i="15"/>
  <c r="AM6" i="15"/>
  <c r="AM5" i="15"/>
  <c r="AM3" i="15"/>
  <c r="AM160" i="14"/>
  <c r="AD159" i="14"/>
  <c r="AD159" i="16" s="1"/>
  <c r="U159" i="14"/>
  <c r="U159" i="16" s="1"/>
  <c r="AM156" i="14"/>
  <c r="AM155" i="14"/>
  <c r="AM154" i="14"/>
  <c r="AG154" i="14"/>
  <c r="AQ153" i="14"/>
  <c r="L153" i="14"/>
  <c r="I153" i="14"/>
  <c r="F153" i="14"/>
  <c r="C153" i="14"/>
  <c r="AM151" i="14"/>
  <c r="AM150" i="14"/>
  <c r="AM149" i="14"/>
  <c r="AM148" i="14"/>
  <c r="AQ147" i="14"/>
  <c r="AJ147" i="14"/>
  <c r="AG147" i="14"/>
  <c r="AD147" i="14"/>
  <c r="AA147" i="14"/>
  <c r="X147" i="14"/>
  <c r="U147" i="14"/>
  <c r="W147" i="14" s="1"/>
  <c r="R147" i="14"/>
  <c r="O147" i="14"/>
  <c r="L147" i="14"/>
  <c r="I147" i="14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S127" i="14"/>
  <c r="AQ127" i="14"/>
  <c r="AR127" i="14" s="1"/>
  <c r="AJ127" i="14"/>
  <c r="AG127" i="14"/>
  <c r="AD127" i="14"/>
  <c r="AA127" i="14"/>
  <c r="X127" i="14"/>
  <c r="U127" i="14"/>
  <c r="R127" i="14"/>
  <c r="O127" i="14"/>
  <c r="L127" i="14"/>
  <c r="I127" i="14"/>
  <c r="F127" i="14"/>
  <c r="C127" i="14"/>
  <c r="AM126" i="14"/>
  <c r="AM125" i="14"/>
  <c r="AM124" i="14"/>
  <c r="AQ123" i="14"/>
  <c r="AJ123" i="14"/>
  <c r="AG123" i="14"/>
  <c r="AA123" i="14"/>
  <c r="X123" i="14"/>
  <c r="U123" i="14"/>
  <c r="R123" i="14"/>
  <c r="O123" i="14"/>
  <c r="L123" i="14"/>
  <c r="K123" i="14"/>
  <c r="I123" i="14"/>
  <c r="F123" i="14"/>
  <c r="C123" i="14"/>
  <c r="AM122" i="14"/>
  <c r="AM121" i="14"/>
  <c r="AQ120" i="14"/>
  <c r="AJ120" i="14"/>
  <c r="AG120" i="14"/>
  <c r="AD120" i="14"/>
  <c r="AA120" i="14"/>
  <c r="X120" i="14"/>
  <c r="U120" i="14"/>
  <c r="R120" i="14"/>
  <c r="O120" i="14"/>
  <c r="L120" i="14"/>
  <c r="K120" i="14"/>
  <c r="I120" i="14"/>
  <c r="F120" i="14"/>
  <c r="C120" i="14"/>
  <c r="AM119" i="14"/>
  <c r="AM118" i="14"/>
  <c r="AM117" i="14"/>
  <c r="AM116" i="14"/>
  <c r="AM115" i="14"/>
  <c r="AQ114" i="14"/>
  <c r="AJ114" i="14"/>
  <c r="AG114" i="14"/>
  <c r="AA114" i="14"/>
  <c r="X114" i="14"/>
  <c r="U114" i="14"/>
  <c r="R114" i="14"/>
  <c r="O114" i="14"/>
  <c r="L114" i="14"/>
  <c r="I114" i="14"/>
  <c r="F114" i="14"/>
  <c r="C114" i="14"/>
  <c r="AM113" i="14"/>
  <c r="AM112" i="14"/>
  <c r="AM111" i="14"/>
  <c r="AM110" i="14"/>
  <c r="AR109" i="14"/>
  <c r="AQ109" i="14"/>
  <c r="AJ109" i="14"/>
  <c r="AG109" i="14"/>
  <c r="AD109" i="14"/>
  <c r="AA109" i="14"/>
  <c r="X109" i="14"/>
  <c r="U109" i="14"/>
  <c r="R109" i="14"/>
  <c r="O109" i="14"/>
  <c r="L109" i="14"/>
  <c r="K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Q99" i="14"/>
  <c r="AJ99" i="14"/>
  <c r="AG99" i="14"/>
  <c r="AD99" i="14"/>
  <c r="AA99" i="14"/>
  <c r="X99" i="14"/>
  <c r="U99" i="14"/>
  <c r="W99" i="14" s="1"/>
  <c r="R99" i="14"/>
  <c r="T99" i="14" s="1"/>
  <c r="O99" i="14"/>
  <c r="L99" i="14"/>
  <c r="I99" i="14"/>
  <c r="F99" i="14"/>
  <c r="C99" i="14"/>
  <c r="AM98" i="14"/>
  <c r="AM97" i="14"/>
  <c r="AQ96" i="14"/>
  <c r="AS96" i="14" s="1"/>
  <c r="AJ96" i="14"/>
  <c r="AJ83" i="14" s="1"/>
  <c r="AG96" i="14"/>
  <c r="AD96" i="14"/>
  <c r="AA96" i="14"/>
  <c r="X96" i="14"/>
  <c r="U96" i="14"/>
  <c r="R96" i="14"/>
  <c r="T96" i="14" s="1"/>
  <c r="O96" i="14"/>
  <c r="L96" i="14"/>
  <c r="I96" i="14"/>
  <c r="F96" i="14"/>
  <c r="C96" i="14"/>
  <c r="AM95" i="14"/>
  <c r="AM94" i="14"/>
  <c r="AM93" i="14"/>
  <c r="AQ92" i="14"/>
  <c r="AM92" i="14"/>
  <c r="AJ92" i="14"/>
  <c r="AG92" i="14"/>
  <c r="AD92" i="14"/>
  <c r="AA92" i="14"/>
  <c r="X92" i="14"/>
  <c r="U92" i="14"/>
  <c r="R92" i="14"/>
  <c r="O92" i="14"/>
  <c r="L92" i="14"/>
  <c r="I92" i="14"/>
  <c r="F92" i="14"/>
  <c r="C92" i="14"/>
  <c r="AM91" i="14"/>
  <c r="AM90" i="14"/>
  <c r="AQ89" i="14"/>
  <c r="AJ89" i="14"/>
  <c r="AG89" i="14"/>
  <c r="AD89" i="14"/>
  <c r="AA89" i="14"/>
  <c r="X89" i="14"/>
  <c r="U89" i="14"/>
  <c r="R89" i="14"/>
  <c r="O89" i="14"/>
  <c r="L89" i="14"/>
  <c r="I89" i="14"/>
  <c r="F89" i="14"/>
  <c r="C89" i="14"/>
  <c r="AM88" i="14"/>
  <c r="AM87" i="14"/>
  <c r="AM86" i="14"/>
  <c r="AM85" i="14"/>
  <c r="E85" i="14"/>
  <c r="D85" i="14"/>
  <c r="AS84" i="14"/>
  <c r="AQ84" i="14"/>
  <c r="AJ84" i="14"/>
  <c r="AG84" i="14"/>
  <c r="AD84" i="14"/>
  <c r="AA84" i="14"/>
  <c r="X84" i="14"/>
  <c r="X83" i="14" s="1"/>
  <c r="U84" i="14"/>
  <c r="R84" i="14"/>
  <c r="O84" i="14"/>
  <c r="L84" i="14"/>
  <c r="K84" i="14"/>
  <c r="I84" i="14"/>
  <c r="F84" i="14"/>
  <c r="C84" i="14"/>
  <c r="R83" i="14"/>
  <c r="T83" i="14" s="1"/>
  <c r="O83" i="14"/>
  <c r="AM81" i="14"/>
  <c r="AM80" i="14"/>
  <c r="AM79" i="14"/>
  <c r="AQ78" i="14"/>
  <c r="AR78" i="14" s="1"/>
  <c r="AJ78" i="14"/>
  <c r="AG78" i="14"/>
  <c r="AD78" i="14"/>
  <c r="AA78" i="14"/>
  <c r="X78" i="14"/>
  <c r="U78" i="14"/>
  <c r="R78" i="14"/>
  <c r="O78" i="14"/>
  <c r="N78" i="14"/>
  <c r="L78" i="14"/>
  <c r="I78" i="14"/>
  <c r="F78" i="14"/>
  <c r="C78" i="14"/>
  <c r="AM77" i="14"/>
  <c r="AM76" i="14"/>
  <c r="AM75" i="14"/>
  <c r="AU74" i="14"/>
  <c r="AM74" i="14"/>
  <c r="AQ72" i="14"/>
  <c r="AJ72" i="14"/>
  <c r="L72" i="14"/>
  <c r="M72" i="14" s="1"/>
  <c r="J72" i="14"/>
  <c r="I72" i="14"/>
  <c r="F72" i="14"/>
  <c r="E72" i="14"/>
  <c r="D72" i="14"/>
  <c r="C72" i="14"/>
  <c r="AN71" i="14"/>
  <c r="AM71" i="14"/>
  <c r="AN70" i="14"/>
  <c r="AN69" i="14"/>
  <c r="AN68" i="14"/>
  <c r="AN67" i="14"/>
  <c r="AN66" i="14"/>
  <c r="AM66" i="14"/>
  <c r="AN65" i="14"/>
  <c r="AM65" i="14"/>
  <c r="AS64" i="14"/>
  <c r="AR64" i="14"/>
  <c r="AM64" i="14"/>
  <c r="AS63" i="14"/>
  <c r="AR63" i="14"/>
  <c r="AN63" i="14"/>
  <c r="AM63" i="14"/>
  <c r="AS62" i="14"/>
  <c r="AR62" i="14"/>
  <c r="AN62" i="14"/>
  <c r="AM62" i="14"/>
  <c r="AQ61" i="14"/>
  <c r="AJ61" i="14"/>
  <c r="AJ60" i="14" s="1"/>
  <c r="AG61" i="14"/>
  <c r="AD61" i="14"/>
  <c r="AA61" i="14"/>
  <c r="X61" i="14"/>
  <c r="V61" i="14"/>
  <c r="U61" i="14"/>
  <c r="R61" i="14"/>
  <c r="O61" i="14"/>
  <c r="L61" i="14"/>
  <c r="L60" i="14" s="1"/>
  <c r="I61" i="14"/>
  <c r="F61" i="14"/>
  <c r="F60" i="14" s="1"/>
  <c r="C61" i="14"/>
  <c r="C60" i="14" s="1"/>
  <c r="I60" i="14"/>
  <c r="AM59" i="14"/>
  <c r="AM58" i="14"/>
  <c r="AM57" i="14"/>
  <c r="AJ57" i="14"/>
  <c r="AG57" i="14"/>
  <c r="AD57" i="14"/>
  <c r="AA57" i="14"/>
  <c r="X57" i="14"/>
  <c r="U57" i="14"/>
  <c r="R57" i="14"/>
  <c r="O57" i="14"/>
  <c r="L57" i="14"/>
  <c r="I57" i="14"/>
  <c r="F57" i="14"/>
  <c r="AM53" i="14"/>
  <c r="AM52" i="14"/>
  <c r="AM51" i="14"/>
  <c r="AM50" i="14"/>
  <c r="AM49" i="14"/>
  <c r="AM48" i="14"/>
  <c r="AS47" i="14"/>
  <c r="AR47" i="14"/>
  <c r="AJ47" i="14"/>
  <c r="AI47" i="14"/>
  <c r="AH47" i="14"/>
  <c r="AF47" i="14"/>
  <c r="AE47" i="14"/>
  <c r="AC47" i="14"/>
  <c r="Z47" i="14"/>
  <c r="Y47" i="14"/>
  <c r="W47" i="14"/>
  <c r="V47" i="14"/>
  <c r="T47" i="14"/>
  <c r="S47" i="14"/>
  <c r="Q47" i="14"/>
  <c r="P47" i="14"/>
  <c r="L47" i="14"/>
  <c r="N47" i="14" s="1"/>
  <c r="K47" i="14"/>
  <c r="I47" i="14"/>
  <c r="J47" i="14" s="1"/>
  <c r="H47" i="14"/>
  <c r="G47" i="14"/>
  <c r="E47" i="14"/>
  <c r="D47" i="14"/>
  <c r="AQ46" i="14"/>
  <c r="AQ45" i="14" s="1"/>
  <c r="AG46" i="14"/>
  <c r="AG45" i="14" s="1"/>
  <c r="AD46" i="14"/>
  <c r="AA46" i="14"/>
  <c r="X46" i="14"/>
  <c r="X45" i="14" s="1"/>
  <c r="U46" i="14"/>
  <c r="R46" i="14"/>
  <c r="O46" i="14"/>
  <c r="I46" i="14"/>
  <c r="F46" i="14"/>
  <c r="C46" i="14"/>
  <c r="U45" i="14"/>
  <c r="W45" i="14" s="1"/>
  <c r="I45" i="14"/>
  <c r="C45" i="14"/>
  <c r="C44" i="14"/>
  <c r="AS43" i="14"/>
  <c r="AM35" i="14"/>
  <c r="AM34" i="14"/>
  <c r="AM33" i="14"/>
  <c r="AM32" i="14"/>
  <c r="AM31" i="14"/>
  <c r="AM30" i="14"/>
  <c r="AQ29" i="14"/>
  <c r="AQ28" i="14" s="1"/>
  <c r="AQ42" i="14" s="1"/>
  <c r="AJ29" i="14"/>
  <c r="AG29" i="14"/>
  <c r="AD29" i="14"/>
  <c r="AA29" i="14"/>
  <c r="AA28" i="14" s="1"/>
  <c r="X29" i="14"/>
  <c r="U29" i="14"/>
  <c r="W29" i="14" s="1"/>
  <c r="T29" i="14"/>
  <c r="R29" i="14"/>
  <c r="O29" i="14"/>
  <c r="L29" i="14"/>
  <c r="I29" i="14"/>
  <c r="F29" i="14"/>
  <c r="C29" i="14"/>
  <c r="AJ28" i="14"/>
  <c r="AG28" i="14"/>
  <c r="X28" i="14"/>
  <c r="U28" i="14"/>
  <c r="R28" i="14"/>
  <c r="O28" i="14"/>
  <c r="F28" i="14"/>
  <c r="C28" i="14"/>
  <c r="AM27" i="14"/>
  <c r="AM26" i="14"/>
  <c r="AM25" i="14"/>
  <c r="AJ24" i="14"/>
  <c r="AG24" i="14"/>
  <c r="AD24" i="14"/>
  <c r="AA24" i="14"/>
  <c r="AA23" i="14" s="1"/>
  <c r="X24" i="14"/>
  <c r="U24" i="14"/>
  <c r="R24" i="14"/>
  <c r="O24" i="14"/>
  <c r="L24" i="14"/>
  <c r="I24" i="14"/>
  <c r="F24" i="14"/>
  <c r="C24" i="14"/>
  <c r="X23" i="14"/>
  <c r="U23" i="14"/>
  <c r="U13" i="14" s="1"/>
  <c r="R23" i="14"/>
  <c r="R13" i="14" s="1"/>
  <c r="O23" i="14"/>
  <c r="L23" i="14"/>
  <c r="L13" i="14" s="1"/>
  <c r="I23" i="14"/>
  <c r="F23" i="14"/>
  <c r="C23" i="14"/>
  <c r="AM22" i="14"/>
  <c r="AM21" i="14"/>
  <c r="AM20" i="14"/>
  <c r="AM19" i="14"/>
  <c r="AM18" i="14"/>
  <c r="AM17" i="14"/>
  <c r="AN17" i="14" s="1"/>
  <c r="D17" i="14"/>
  <c r="AN16" i="14"/>
  <c r="AM16" i="14"/>
  <c r="D16" i="14"/>
  <c r="AQ15" i="14"/>
  <c r="AJ15" i="14"/>
  <c r="AI15" i="14"/>
  <c r="AG15" i="14"/>
  <c r="AD15" i="14"/>
  <c r="AF15" i="14" s="1"/>
  <c r="AA15" i="14"/>
  <c r="AA14" i="14" s="1"/>
  <c r="X15" i="14"/>
  <c r="X14" i="14" s="1"/>
  <c r="U15" i="14"/>
  <c r="U14" i="14" s="1"/>
  <c r="U42" i="14" s="1"/>
  <c r="R15" i="14"/>
  <c r="R14" i="14" s="1"/>
  <c r="O15" i="14"/>
  <c r="L15" i="14"/>
  <c r="I15" i="14"/>
  <c r="F15" i="14"/>
  <c r="F14" i="14" s="1"/>
  <c r="C15" i="14"/>
  <c r="AQ14" i="14"/>
  <c r="AJ14" i="14"/>
  <c r="AG14" i="14"/>
  <c r="AG42" i="14" s="1"/>
  <c r="AD14" i="14"/>
  <c r="O14" i="14"/>
  <c r="L14" i="14"/>
  <c r="I14" i="14"/>
  <c r="C14" i="14"/>
  <c r="C42" i="14" s="1"/>
  <c r="AQ13" i="14"/>
  <c r="AS123" i="14" s="1"/>
  <c r="AD13" i="14"/>
  <c r="I13" i="14"/>
  <c r="F13" i="14"/>
  <c r="C13" i="14"/>
  <c r="E147" i="14" s="1"/>
  <c r="AQ12" i="14"/>
  <c r="AJ12" i="14"/>
  <c r="AJ159" i="14" s="1"/>
  <c r="AJ159" i="16" s="1"/>
  <c r="AG12" i="14"/>
  <c r="AG159" i="14" s="1"/>
  <c r="AG159" i="16" s="1"/>
  <c r="AD12" i="14"/>
  <c r="AA12" i="14"/>
  <c r="AA159" i="14" s="1"/>
  <c r="AA159" i="16" s="1"/>
  <c r="X12" i="14"/>
  <c r="X159" i="14" s="1"/>
  <c r="X159" i="16" s="1"/>
  <c r="U12" i="14"/>
  <c r="R12" i="14"/>
  <c r="R159" i="14" s="1"/>
  <c r="R159" i="16" s="1"/>
  <c r="O12" i="14"/>
  <c r="O159" i="14" s="1"/>
  <c r="L12" i="14"/>
  <c r="M47" i="14" s="1"/>
  <c r="I12" i="14"/>
  <c r="F12" i="14"/>
  <c r="G72" i="14" s="1"/>
  <c r="C12" i="14"/>
  <c r="AM12" i="14" s="1"/>
  <c r="AM11" i="14"/>
  <c r="AM10" i="14"/>
  <c r="AM9" i="14"/>
  <c r="AM8" i="14"/>
  <c r="AM7" i="14"/>
  <c r="AM6" i="14"/>
  <c r="AV5" i="14"/>
  <c r="AM5" i="14"/>
  <c r="AM3" i="14"/>
  <c r="AM216" i="13"/>
  <c r="AM160" i="13"/>
  <c r="AM159" i="13"/>
  <c r="AM158" i="13"/>
  <c r="AM157" i="13"/>
  <c r="AM156" i="13"/>
  <c r="AM155" i="13"/>
  <c r="AM154" i="13"/>
  <c r="AJ153" i="13"/>
  <c r="AG153" i="13"/>
  <c r="AD153" i="13"/>
  <c r="AA153" i="13"/>
  <c r="X153" i="13"/>
  <c r="U153" i="13"/>
  <c r="R153" i="13"/>
  <c r="O153" i="13"/>
  <c r="L153" i="13"/>
  <c r="I153" i="13"/>
  <c r="F153" i="13"/>
  <c r="C153" i="13"/>
  <c r="AM151" i="13"/>
  <c r="AM150" i="13"/>
  <c r="AM149" i="13"/>
  <c r="AJ147" i="13"/>
  <c r="AG147" i="13"/>
  <c r="AD147" i="13"/>
  <c r="AA147" i="13"/>
  <c r="X147" i="13"/>
  <c r="U147" i="13"/>
  <c r="R147" i="13"/>
  <c r="O147" i="13"/>
  <c r="L147" i="13"/>
  <c r="N147" i="13" s="1"/>
  <c r="I147" i="13"/>
  <c r="AM142" i="13"/>
  <c r="AM141" i="13"/>
  <c r="AM140" i="13"/>
  <c r="AM139" i="13"/>
  <c r="AM138" i="13"/>
  <c r="AM137" i="13"/>
  <c r="AM136" i="13"/>
  <c r="AM135" i="13"/>
  <c r="AM134" i="13"/>
  <c r="AM133" i="13"/>
  <c r="AM132" i="13"/>
  <c r="AM131" i="13"/>
  <c r="AM130" i="13"/>
  <c r="AM129" i="13"/>
  <c r="AM128" i="13"/>
  <c r="AJ127" i="13"/>
  <c r="AG127" i="13"/>
  <c r="AD127" i="13"/>
  <c r="AF127" i="13" s="1"/>
  <c r="AA127" i="13"/>
  <c r="X127" i="13"/>
  <c r="U127" i="13"/>
  <c r="R127" i="13"/>
  <c r="O127" i="13"/>
  <c r="Q127" i="13" s="1"/>
  <c r="N127" i="13"/>
  <c r="L127" i="13"/>
  <c r="I127" i="13"/>
  <c r="F127" i="13"/>
  <c r="C127" i="13"/>
  <c r="AM126" i="13"/>
  <c r="AM125" i="13"/>
  <c r="AM124" i="13"/>
  <c r="AJ123" i="13"/>
  <c r="AG123" i="13"/>
  <c r="AA123" i="13"/>
  <c r="X123" i="13"/>
  <c r="U123" i="13"/>
  <c r="R123" i="13"/>
  <c r="Q123" i="13"/>
  <c r="O123" i="13"/>
  <c r="L123" i="13"/>
  <c r="I123" i="13"/>
  <c r="F123" i="13"/>
  <c r="C123" i="13"/>
  <c r="AM122" i="13"/>
  <c r="AM121" i="13"/>
  <c r="AJ120" i="13"/>
  <c r="AM120" i="13" s="1"/>
  <c r="AG120" i="13"/>
  <c r="AD120" i="13"/>
  <c r="AA120" i="13"/>
  <c r="X120" i="13"/>
  <c r="U120" i="13"/>
  <c r="R120" i="13"/>
  <c r="Q120" i="13"/>
  <c r="O120" i="13"/>
  <c r="L120" i="13"/>
  <c r="N120" i="13" s="1"/>
  <c r="I120" i="13"/>
  <c r="F120" i="13"/>
  <c r="C120" i="13"/>
  <c r="AM119" i="13"/>
  <c r="AM118" i="13"/>
  <c r="AM117" i="13"/>
  <c r="AM116" i="13"/>
  <c r="AM115" i="13"/>
  <c r="AJ114" i="13"/>
  <c r="AG114" i="13"/>
  <c r="AD114" i="13"/>
  <c r="AA114" i="13"/>
  <c r="X114" i="13"/>
  <c r="U114" i="13"/>
  <c r="R114" i="13"/>
  <c r="O114" i="13"/>
  <c r="Q114" i="13" s="1"/>
  <c r="L114" i="13"/>
  <c r="I114" i="13"/>
  <c r="F114" i="13"/>
  <c r="C114" i="13"/>
  <c r="AM113" i="13"/>
  <c r="AM112" i="13"/>
  <c r="AM111" i="13"/>
  <c r="AM110" i="13"/>
  <c r="AJ109" i="13"/>
  <c r="AG109" i="13"/>
  <c r="AD109" i="13"/>
  <c r="AF109" i="13" s="1"/>
  <c r="AA109" i="13"/>
  <c r="X109" i="13"/>
  <c r="U109" i="13"/>
  <c r="R109" i="13"/>
  <c r="O109" i="13"/>
  <c r="L109" i="13"/>
  <c r="I109" i="13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D99" i="13"/>
  <c r="AF99" i="13" s="1"/>
  <c r="AA99" i="13"/>
  <c r="X99" i="13"/>
  <c r="U99" i="13"/>
  <c r="R99" i="13"/>
  <c r="O99" i="13"/>
  <c r="L99" i="13"/>
  <c r="N99" i="13" s="1"/>
  <c r="I99" i="13"/>
  <c r="F99" i="13"/>
  <c r="C99" i="13"/>
  <c r="AM98" i="13"/>
  <c r="AM97" i="13"/>
  <c r="AJ96" i="13"/>
  <c r="AG96" i="13"/>
  <c r="AD96" i="13"/>
  <c r="AF96" i="13" s="1"/>
  <c r="AA96" i="13"/>
  <c r="X96" i="13"/>
  <c r="U96" i="13"/>
  <c r="R96" i="13"/>
  <c r="Q96" i="13"/>
  <c r="O96" i="13"/>
  <c r="O83" i="13" s="1"/>
  <c r="L96" i="13"/>
  <c r="I96" i="13"/>
  <c r="K96" i="13" s="1"/>
  <c r="F96" i="13"/>
  <c r="C96" i="13"/>
  <c r="AM95" i="13"/>
  <c r="AM94" i="13"/>
  <c r="AM93" i="13"/>
  <c r="AJ92" i="13"/>
  <c r="AG92" i="13"/>
  <c r="AF92" i="13"/>
  <c r="AD92" i="13"/>
  <c r="AA92" i="13"/>
  <c r="X92" i="13"/>
  <c r="U92" i="13"/>
  <c r="R92" i="13"/>
  <c r="Q92" i="13"/>
  <c r="O92" i="13"/>
  <c r="L92" i="13"/>
  <c r="N92" i="13" s="1"/>
  <c r="I92" i="13"/>
  <c r="F92" i="13"/>
  <c r="C92" i="13"/>
  <c r="AM91" i="13"/>
  <c r="AM90" i="13"/>
  <c r="AM89" i="13"/>
  <c r="AJ89" i="13"/>
  <c r="AG89" i="13"/>
  <c r="AD89" i="13"/>
  <c r="AF89" i="13" s="1"/>
  <c r="AA89" i="13"/>
  <c r="X89" i="13"/>
  <c r="U89" i="13"/>
  <c r="R89" i="13"/>
  <c r="Q89" i="13"/>
  <c r="O89" i="13"/>
  <c r="L89" i="13"/>
  <c r="N89" i="13" s="1"/>
  <c r="I89" i="13"/>
  <c r="F89" i="13"/>
  <c r="F83" i="13" s="1"/>
  <c r="C89" i="13"/>
  <c r="AM88" i="13"/>
  <c r="AM87" i="13"/>
  <c r="AM86" i="13"/>
  <c r="AM85" i="13"/>
  <c r="AN85" i="13" s="1"/>
  <c r="F85" i="13"/>
  <c r="C85" i="13"/>
  <c r="AJ84" i="13"/>
  <c r="AG84" i="13"/>
  <c r="AD84" i="13"/>
  <c r="AA84" i="13"/>
  <c r="X84" i="13"/>
  <c r="U84" i="13"/>
  <c r="R84" i="13"/>
  <c r="Q84" i="13"/>
  <c r="O84" i="13"/>
  <c r="L84" i="13"/>
  <c r="I84" i="13"/>
  <c r="F84" i="13"/>
  <c r="C84" i="13"/>
  <c r="AA83" i="13"/>
  <c r="Q83" i="13"/>
  <c r="U82" i="13"/>
  <c r="R82" i="13"/>
  <c r="O82" i="13"/>
  <c r="L82" i="13"/>
  <c r="I82" i="13"/>
  <c r="AM81" i="13"/>
  <c r="AM80" i="13"/>
  <c r="AM79" i="13"/>
  <c r="AM78" i="13"/>
  <c r="AJ78" i="13"/>
  <c r="AG78" i="13"/>
  <c r="AD78" i="13"/>
  <c r="AF78" i="13" s="1"/>
  <c r="AA78" i="13"/>
  <c r="X78" i="13"/>
  <c r="U78" i="13"/>
  <c r="R78" i="13"/>
  <c r="O78" i="13"/>
  <c r="L78" i="13"/>
  <c r="N78" i="13" s="1"/>
  <c r="I78" i="13"/>
  <c r="F78" i="13"/>
  <c r="C78" i="13"/>
  <c r="AM77" i="13"/>
  <c r="AM76" i="13"/>
  <c r="AM75" i="13"/>
  <c r="AM74" i="13"/>
  <c r="AM73" i="13"/>
  <c r="AJ72" i="13"/>
  <c r="AG72" i="13"/>
  <c r="AH72" i="13" s="1"/>
  <c r="AE72" i="13"/>
  <c r="AD72" i="13"/>
  <c r="AA72" i="13"/>
  <c r="X72" i="13"/>
  <c r="Y72" i="13" s="1"/>
  <c r="U72" i="13"/>
  <c r="R72" i="13"/>
  <c r="O72" i="13"/>
  <c r="L72" i="13"/>
  <c r="I72" i="13"/>
  <c r="G72" i="13"/>
  <c r="F72" i="13"/>
  <c r="AM71" i="13"/>
  <c r="AM66" i="13"/>
  <c r="AM65" i="13"/>
  <c r="AM64" i="13"/>
  <c r="AM63" i="13"/>
  <c r="AM62" i="13"/>
  <c r="AJ61" i="13"/>
  <c r="AG61" i="13"/>
  <c r="AD61" i="13"/>
  <c r="AD60" i="13" s="1"/>
  <c r="AA61" i="13"/>
  <c r="X61" i="13"/>
  <c r="X60" i="13" s="1"/>
  <c r="W61" i="13"/>
  <c r="V61" i="13"/>
  <c r="U61" i="13"/>
  <c r="U60" i="13" s="1"/>
  <c r="R61" i="13"/>
  <c r="S61" i="13" s="1"/>
  <c r="P61" i="13"/>
  <c r="O61" i="13"/>
  <c r="Q61" i="13" s="1"/>
  <c r="L61" i="13"/>
  <c r="L60" i="13" s="1"/>
  <c r="N60" i="13" s="1"/>
  <c r="I61" i="13"/>
  <c r="F61" i="13"/>
  <c r="C61" i="13"/>
  <c r="AJ60" i="13"/>
  <c r="AG60" i="13"/>
  <c r="T60" i="13"/>
  <c r="R60" i="13"/>
  <c r="AM59" i="13"/>
  <c r="AM58" i="13"/>
  <c r="F58" i="13"/>
  <c r="C58" i="13"/>
  <c r="C58" i="16" s="1"/>
  <c r="AK57" i="13"/>
  <c r="AJ57" i="13"/>
  <c r="AG57" i="13"/>
  <c r="AD57" i="13"/>
  <c r="AA57" i="13"/>
  <c r="Y57" i="13"/>
  <c r="X57" i="13"/>
  <c r="U57" i="13"/>
  <c r="S57" i="13"/>
  <c r="R57" i="13"/>
  <c r="Q57" i="13"/>
  <c r="P57" i="13"/>
  <c r="O57" i="13"/>
  <c r="O45" i="13" s="1"/>
  <c r="L57" i="13"/>
  <c r="I57" i="13"/>
  <c r="C57" i="13"/>
  <c r="AM53" i="13"/>
  <c r="AM52" i="13"/>
  <c r="AM51" i="13"/>
  <c r="AM50" i="13"/>
  <c r="AM49" i="13"/>
  <c r="AM48" i="13"/>
  <c r="AM47" i="13"/>
  <c r="AK47" i="13"/>
  <c r="AH47" i="13"/>
  <c r="AE47" i="13"/>
  <c r="Y47" i="13"/>
  <c r="V47" i="13"/>
  <c r="Q47" i="13"/>
  <c r="M47" i="13"/>
  <c r="G47" i="13"/>
  <c r="AJ46" i="13"/>
  <c r="AJ45" i="13" s="1"/>
  <c r="AJ44" i="13" s="1"/>
  <c r="AG46" i="13"/>
  <c r="AD46" i="13"/>
  <c r="AD45" i="13" s="1"/>
  <c r="AD44" i="13" s="1"/>
  <c r="AA46" i="13"/>
  <c r="X46" i="13"/>
  <c r="U46" i="13"/>
  <c r="U45" i="13" s="1"/>
  <c r="R46" i="13"/>
  <c r="O46" i="13"/>
  <c r="L46" i="13"/>
  <c r="I46" i="13"/>
  <c r="I45" i="13" s="1"/>
  <c r="F46" i="13"/>
  <c r="C46" i="13"/>
  <c r="AG45" i="13"/>
  <c r="AG44" i="13" s="1"/>
  <c r="X45" i="13"/>
  <c r="R45" i="13"/>
  <c r="L45" i="13"/>
  <c r="U44" i="13"/>
  <c r="O42" i="13"/>
  <c r="AM35" i="13"/>
  <c r="AM34" i="13"/>
  <c r="AM33" i="13"/>
  <c r="AM32" i="13"/>
  <c r="AM31" i="13"/>
  <c r="AM30" i="13"/>
  <c r="AJ29" i="13"/>
  <c r="AG29" i="13"/>
  <c r="AG28" i="13" s="1"/>
  <c r="AF29" i="13"/>
  <c r="AD29" i="13"/>
  <c r="AD28" i="13" s="1"/>
  <c r="AD42" i="13" s="1"/>
  <c r="AA29" i="13"/>
  <c r="X29" i="13"/>
  <c r="U29" i="13"/>
  <c r="R29" i="13"/>
  <c r="O29" i="13"/>
  <c r="O28" i="13" s="1"/>
  <c r="L29" i="13"/>
  <c r="I29" i="13"/>
  <c r="I28" i="13" s="1"/>
  <c r="F29" i="13"/>
  <c r="C29" i="13"/>
  <c r="AJ28" i="13"/>
  <c r="AA28" i="13"/>
  <c r="X28" i="13"/>
  <c r="R28" i="13"/>
  <c r="L28" i="13"/>
  <c r="F28" i="13"/>
  <c r="C28" i="13"/>
  <c r="AM27" i="13"/>
  <c r="AM26" i="13"/>
  <c r="AM25" i="13"/>
  <c r="AJ24" i="13"/>
  <c r="AG24" i="13"/>
  <c r="AD24" i="13"/>
  <c r="AA24" i="13"/>
  <c r="X24" i="13"/>
  <c r="U24" i="13"/>
  <c r="R24" i="13"/>
  <c r="O24" i="13"/>
  <c r="L24" i="13"/>
  <c r="L23" i="13" s="1"/>
  <c r="I24" i="13"/>
  <c r="F24" i="13"/>
  <c r="C24" i="13"/>
  <c r="C23" i="13" s="1"/>
  <c r="AA23" i="13"/>
  <c r="X23" i="13"/>
  <c r="U23" i="13"/>
  <c r="R23" i="13"/>
  <c r="O23" i="13"/>
  <c r="I23" i="13"/>
  <c r="F23" i="13"/>
  <c r="AM23" i="13" s="1"/>
  <c r="AM22" i="13"/>
  <c r="AM21" i="13"/>
  <c r="AM20" i="13"/>
  <c r="AM19" i="13"/>
  <c r="AM18" i="13"/>
  <c r="AH18" i="13"/>
  <c r="AE18" i="13"/>
  <c r="AB18" i="13"/>
  <c r="Y18" i="13"/>
  <c r="V18" i="13"/>
  <c r="S18" i="13"/>
  <c r="P18" i="13"/>
  <c r="M18" i="13"/>
  <c r="J18" i="13"/>
  <c r="AM17" i="13"/>
  <c r="AK17" i="13"/>
  <c r="AH17" i="13"/>
  <c r="AE17" i="13"/>
  <c r="AB17" i="13"/>
  <c r="Y17" i="13"/>
  <c r="V17" i="13"/>
  <c r="S17" i="13"/>
  <c r="P17" i="13"/>
  <c r="M17" i="13"/>
  <c r="J17" i="13"/>
  <c r="AM16" i="13"/>
  <c r="AJ15" i="13"/>
  <c r="AJ14" i="13" s="1"/>
  <c r="AI15" i="13"/>
  <c r="AG15" i="13"/>
  <c r="AG14" i="13" s="1"/>
  <c r="AF15" i="13"/>
  <c r="AD15" i="13"/>
  <c r="AD14" i="13" s="1"/>
  <c r="AD13" i="13" s="1"/>
  <c r="AF72" i="13" s="1"/>
  <c r="AA15" i="13"/>
  <c r="AC15" i="13" s="1"/>
  <c r="X15" i="13"/>
  <c r="U15" i="13"/>
  <c r="R15" i="13"/>
  <c r="O15" i="13"/>
  <c r="L15" i="13"/>
  <c r="L14" i="13" s="1"/>
  <c r="I15" i="13"/>
  <c r="I14" i="13" s="1"/>
  <c r="I42" i="13" s="1"/>
  <c r="F15" i="13"/>
  <c r="C15" i="13"/>
  <c r="AA14" i="13"/>
  <c r="U14" i="13"/>
  <c r="R14" i="13"/>
  <c r="O14" i="13"/>
  <c r="O13" i="13" s="1"/>
  <c r="F14" i="13"/>
  <c r="L13" i="13"/>
  <c r="I13" i="13"/>
  <c r="AJ12" i="13"/>
  <c r="AG12" i="13"/>
  <c r="AD12" i="13"/>
  <c r="AA12" i="13"/>
  <c r="AB47" i="13" s="1"/>
  <c r="X12" i="13"/>
  <c r="U12" i="13"/>
  <c r="V72" i="13" s="1"/>
  <c r="R12" i="13"/>
  <c r="S47" i="13" s="1"/>
  <c r="O12" i="13"/>
  <c r="P47" i="13" s="1"/>
  <c r="L12" i="13"/>
  <c r="M57" i="13" s="1"/>
  <c r="I12" i="13"/>
  <c r="J47" i="13" s="1"/>
  <c r="F12" i="13"/>
  <c r="C12" i="13"/>
  <c r="D47" i="13" s="1"/>
  <c r="AM11" i="13"/>
  <c r="AM10" i="13"/>
  <c r="AM9" i="13"/>
  <c r="AM8" i="13"/>
  <c r="AM7" i="13"/>
  <c r="AM6" i="13"/>
  <c r="AM5" i="13"/>
  <c r="AM3" i="13"/>
  <c r="F165" i="12"/>
  <c r="C165" i="12"/>
  <c r="AM160" i="12"/>
  <c r="AM159" i="12"/>
  <c r="AM158" i="12"/>
  <c r="AJ157" i="12"/>
  <c r="AG157" i="12"/>
  <c r="AD157" i="12"/>
  <c r="AA157" i="12"/>
  <c r="X157" i="12"/>
  <c r="U157" i="12"/>
  <c r="R157" i="12"/>
  <c r="O157" i="12"/>
  <c r="F157" i="12"/>
  <c r="F157" i="16" s="1"/>
  <c r="C157" i="12"/>
  <c r="AJ156" i="12"/>
  <c r="AJ156" i="16" s="1"/>
  <c r="AG156" i="12"/>
  <c r="AG156" i="16" s="1"/>
  <c r="AD156" i="12"/>
  <c r="AD156" i="16" s="1"/>
  <c r="AA156" i="12"/>
  <c r="AA156" i="16" s="1"/>
  <c r="X156" i="12"/>
  <c r="X156" i="16" s="1"/>
  <c r="U156" i="12"/>
  <c r="R156" i="12"/>
  <c r="R156" i="16" s="1"/>
  <c r="O156" i="12"/>
  <c r="L156" i="12"/>
  <c r="I156" i="12"/>
  <c r="F156" i="12"/>
  <c r="F156" i="16" s="1"/>
  <c r="C156" i="12"/>
  <c r="C156" i="16" s="1"/>
  <c r="AJ155" i="12"/>
  <c r="AJ155" i="16" s="1"/>
  <c r="AG155" i="12"/>
  <c r="AG155" i="16" s="1"/>
  <c r="AD155" i="12"/>
  <c r="AA155" i="12"/>
  <c r="X155" i="12"/>
  <c r="U155" i="12"/>
  <c r="U155" i="16" s="1"/>
  <c r="R155" i="12"/>
  <c r="R155" i="16" s="1"/>
  <c r="O155" i="12"/>
  <c r="O168" i="12" s="1"/>
  <c r="O169" i="12" s="1"/>
  <c r="L155" i="12"/>
  <c r="I155" i="12"/>
  <c r="I153" i="12" s="1"/>
  <c r="F155" i="12"/>
  <c r="C155" i="12"/>
  <c r="C155" i="16" s="1"/>
  <c r="AM154" i="12"/>
  <c r="AJ153" i="12"/>
  <c r="AG153" i="12"/>
  <c r="R153" i="12"/>
  <c r="O153" i="12"/>
  <c r="L153" i="12"/>
  <c r="AM150" i="12"/>
  <c r="AJ147" i="12"/>
  <c r="AG147" i="12"/>
  <c r="AD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F136" i="12"/>
  <c r="AM135" i="12"/>
  <c r="AM134" i="12"/>
  <c r="F134" i="12"/>
  <c r="F133" i="12"/>
  <c r="F127" i="12" s="1"/>
  <c r="AM132" i="12"/>
  <c r="C131" i="12"/>
  <c r="AM131" i="12" s="1"/>
  <c r="AM130" i="12"/>
  <c r="AM129" i="12"/>
  <c r="AM128" i="12"/>
  <c r="AJ127" i="12"/>
  <c r="AG127" i="12"/>
  <c r="AD127" i="12"/>
  <c r="AA127" i="12"/>
  <c r="X127" i="12"/>
  <c r="U127" i="12"/>
  <c r="R127" i="12"/>
  <c r="O127" i="12"/>
  <c r="L127" i="12"/>
  <c r="I127" i="12"/>
  <c r="C127" i="12"/>
  <c r="AM127" i="12" s="1"/>
  <c r="AM126" i="12"/>
  <c r="AM125" i="12"/>
  <c r="AM124" i="12"/>
  <c r="AM123" i="12"/>
  <c r="AJ123" i="12"/>
  <c r="AG123" i="12"/>
  <c r="AA123" i="12"/>
  <c r="X123" i="12"/>
  <c r="U123" i="12"/>
  <c r="R123" i="12"/>
  <c r="O123" i="12"/>
  <c r="L123" i="12"/>
  <c r="I123" i="12"/>
  <c r="F123" i="12"/>
  <c r="C123" i="12"/>
  <c r="AM122" i="12"/>
  <c r="AM121" i="12"/>
  <c r="AJ120" i="12"/>
  <c r="AG120" i="12"/>
  <c r="AD120" i="12"/>
  <c r="AA120" i="12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M114" i="12"/>
  <c r="AJ114" i="12"/>
  <c r="AG114" i="12"/>
  <c r="AA114" i="12"/>
  <c r="X114" i="12"/>
  <c r="U114" i="12"/>
  <c r="R114" i="12"/>
  <c r="O114" i="12"/>
  <c r="L114" i="12"/>
  <c r="I114" i="12"/>
  <c r="F114" i="12"/>
  <c r="C114" i="12"/>
  <c r="AM113" i="12"/>
  <c r="AM112" i="12"/>
  <c r="AM111" i="12"/>
  <c r="AM110" i="12"/>
  <c r="AJ109" i="12"/>
  <c r="AG109" i="12"/>
  <c r="AD109" i="12"/>
  <c r="AA109" i="12"/>
  <c r="X109" i="12"/>
  <c r="U109" i="12"/>
  <c r="R109" i="12"/>
  <c r="O109" i="12"/>
  <c r="L109" i="12"/>
  <c r="I109" i="12"/>
  <c r="F109" i="12"/>
  <c r="C109" i="12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U99" i="12"/>
  <c r="R99" i="12"/>
  <c r="O99" i="12"/>
  <c r="L99" i="12"/>
  <c r="I99" i="12"/>
  <c r="F99" i="12"/>
  <c r="C99" i="12"/>
  <c r="AM98" i="12"/>
  <c r="AM97" i="12"/>
  <c r="AJ96" i="12"/>
  <c r="AG96" i="12"/>
  <c r="AG83" i="12" s="1"/>
  <c r="AD96" i="12"/>
  <c r="AA96" i="12"/>
  <c r="X96" i="12"/>
  <c r="U96" i="12"/>
  <c r="R96" i="12"/>
  <c r="O96" i="12"/>
  <c r="L96" i="12"/>
  <c r="I96" i="12"/>
  <c r="F96" i="12"/>
  <c r="C96" i="12"/>
  <c r="AM95" i="12"/>
  <c r="AM94" i="12"/>
  <c r="AM93" i="12"/>
  <c r="AM92" i="12"/>
  <c r="AJ92" i="12"/>
  <c r="AG92" i="12"/>
  <c r="AD92" i="12"/>
  <c r="AA92" i="12"/>
  <c r="X92" i="12"/>
  <c r="U92" i="12"/>
  <c r="R92" i="12"/>
  <c r="O92" i="12"/>
  <c r="L92" i="12"/>
  <c r="I92" i="12"/>
  <c r="F92" i="12"/>
  <c r="C92" i="12"/>
  <c r="AM91" i="12"/>
  <c r="AM90" i="12"/>
  <c r="AJ89" i="12"/>
  <c r="AI89" i="12"/>
  <c r="AG89" i="12"/>
  <c r="AD89" i="12"/>
  <c r="AA89" i="12"/>
  <c r="X89" i="12"/>
  <c r="U89" i="12"/>
  <c r="R89" i="12"/>
  <c r="T89" i="12" s="1"/>
  <c r="O89" i="12"/>
  <c r="L89" i="12"/>
  <c r="I89" i="12"/>
  <c r="F89" i="12"/>
  <c r="C89" i="12"/>
  <c r="AM88" i="12"/>
  <c r="AM87" i="12"/>
  <c r="AM86" i="12"/>
  <c r="D85" i="12"/>
  <c r="AJ84" i="12"/>
  <c r="AG84" i="12"/>
  <c r="AD84" i="12"/>
  <c r="AA84" i="12"/>
  <c r="X84" i="12"/>
  <c r="U84" i="12"/>
  <c r="R84" i="12"/>
  <c r="O84" i="12"/>
  <c r="L84" i="12"/>
  <c r="I84" i="12"/>
  <c r="I83" i="12"/>
  <c r="AM81" i="12"/>
  <c r="AM80" i="12"/>
  <c r="AM79" i="12"/>
  <c r="AJ78" i="12"/>
  <c r="AG78" i="12"/>
  <c r="AD78" i="12"/>
  <c r="AF78" i="12" s="1"/>
  <c r="AA78" i="12"/>
  <c r="X78" i="12"/>
  <c r="U78" i="12"/>
  <c r="R78" i="12"/>
  <c r="O78" i="12"/>
  <c r="L78" i="12"/>
  <c r="I78" i="12"/>
  <c r="F78" i="12"/>
  <c r="C78" i="12"/>
  <c r="AM77" i="12"/>
  <c r="AM76" i="12"/>
  <c r="F75" i="12"/>
  <c r="AM75" i="12" s="1"/>
  <c r="F74" i="12"/>
  <c r="C74" i="12"/>
  <c r="AM74" i="12" s="1"/>
  <c r="R72" i="12"/>
  <c r="O72" i="12"/>
  <c r="P72" i="12" s="1"/>
  <c r="L72" i="12"/>
  <c r="M72" i="12" s="1"/>
  <c r="J72" i="12"/>
  <c r="I72" i="12"/>
  <c r="AN71" i="12"/>
  <c r="AM71" i="12"/>
  <c r="AN70" i="12"/>
  <c r="AN69" i="12"/>
  <c r="AN68" i="12"/>
  <c r="AN67" i="12"/>
  <c r="AM66" i="12"/>
  <c r="AN66" i="12" s="1"/>
  <c r="AM65" i="12"/>
  <c r="AM64" i="12"/>
  <c r="AN64" i="12" s="1"/>
  <c r="AM63" i="12"/>
  <c r="AM62" i="12"/>
  <c r="AN62" i="12" s="1"/>
  <c r="AJ61" i="12"/>
  <c r="AG61" i="12"/>
  <c r="AD61" i="12"/>
  <c r="AA61" i="12"/>
  <c r="X61" i="12"/>
  <c r="V61" i="12"/>
  <c r="U61" i="12"/>
  <c r="S61" i="12"/>
  <c r="R61" i="12"/>
  <c r="P61" i="12"/>
  <c r="O61" i="12"/>
  <c r="L61" i="12"/>
  <c r="I61" i="12"/>
  <c r="F61" i="12"/>
  <c r="C61" i="12"/>
  <c r="R60" i="12"/>
  <c r="L60" i="12"/>
  <c r="I60" i="12"/>
  <c r="I44" i="12" s="1"/>
  <c r="AM59" i="12"/>
  <c r="AM58" i="12"/>
  <c r="AJ57" i="12"/>
  <c r="AG57" i="12"/>
  <c r="AD57" i="12"/>
  <c r="AD45" i="12" s="1"/>
  <c r="AA57" i="12"/>
  <c r="AA45" i="12" s="1"/>
  <c r="X57" i="12"/>
  <c r="U57" i="12"/>
  <c r="R57" i="12"/>
  <c r="O57" i="12"/>
  <c r="L57" i="12"/>
  <c r="J57" i="12"/>
  <c r="I57" i="12"/>
  <c r="F57" i="12"/>
  <c r="AM53" i="12"/>
  <c r="AM52" i="12"/>
  <c r="AM51" i="12"/>
  <c r="AM50" i="12"/>
  <c r="AM49" i="12"/>
  <c r="AM48" i="12"/>
  <c r="AL47" i="12"/>
  <c r="AK47" i="12"/>
  <c r="AI47" i="12"/>
  <c r="AH47" i="12"/>
  <c r="AF47" i="12"/>
  <c r="AE47" i="12"/>
  <c r="AC47" i="12"/>
  <c r="AB47" i="12"/>
  <c r="Z47" i="12"/>
  <c r="Y47" i="12"/>
  <c r="W47" i="12"/>
  <c r="V47" i="12"/>
  <c r="T47" i="12"/>
  <c r="S47" i="12"/>
  <c r="Q47" i="12"/>
  <c r="P47" i="12"/>
  <c r="N47" i="12"/>
  <c r="M47" i="12"/>
  <c r="K47" i="12"/>
  <c r="J47" i="12"/>
  <c r="G47" i="12"/>
  <c r="F47" i="12"/>
  <c r="F46" i="12" s="1"/>
  <c r="F45" i="12" s="1"/>
  <c r="C47" i="12"/>
  <c r="AJ46" i="12"/>
  <c r="AJ45" i="12" s="1"/>
  <c r="AG46" i="12"/>
  <c r="AD46" i="12"/>
  <c r="AA46" i="12"/>
  <c r="X46" i="12"/>
  <c r="U46" i="12"/>
  <c r="U45" i="12" s="1"/>
  <c r="R46" i="12"/>
  <c r="O46" i="12"/>
  <c r="L46" i="12"/>
  <c r="I46" i="12"/>
  <c r="C46" i="12"/>
  <c r="C45" i="12" s="1"/>
  <c r="X45" i="12"/>
  <c r="R45" i="12"/>
  <c r="I45" i="12"/>
  <c r="AJ42" i="12"/>
  <c r="R42" i="12"/>
  <c r="AM35" i="12"/>
  <c r="AM34" i="12"/>
  <c r="AM33" i="12"/>
  <c r="AM32" i="12"/>
  <c r="AM31" i="12"/>
  <c r="AM30" i="12"/>
  <c r="AJ29" i="12"/>
  <c r="AJ28" i="12" s="1"/>
  <c r="AG29" i="12"/>
  <c r="AF29" i="12"/>
  <c r="AD29" i="12"/>
  <c r="AA29" i="12"/>
  <c r="X29" i="12"/>
  <c r="U29" i="12"/>
  <c r="R29" i="12"/>
  <c r="O29" i="12"/>
  <c r="O28" i="12" s="1"/>
  <c r="L29" i="12"/>
  <c r="I29" i="12"/>
  <c r="F29" i="12"/>
  <c r="C29" i="12"/>
  <c r="AD28" i="12"/>
  <c r="AA28" i="12"/>
  <c r="U28" i="12"/>
  <c r="R28" i="12"/>
  <c r="I28" i="12"/>
  <c r="AM27" i="12"/>
  <c r="AM26" i="12"/>
  <c r="AM25" i="12"/>
  <c r="AJ24" i="12"/>
  <c r="AG24" i="12"/>
  <c r="AD24" i="12"/>
  <c r="AA24" i="12"/>
  <c r="X24" i="12"/>
  <c r="U24" i="12"/>
  <c r="R24" i="12"/>
  <c r="O24" i="12"/>
  <c r="O23" i="12" s="1"/>
  <c r="L24" i="12"/>
  <c r="I24" i="12"/>
  <c r="F24" i="12"/>
  <c r="F23" i="12" s="1"/>
  <c r="C24" i="12"/>
  <c r="C23" i="12" s="1"/>
  <c r="AA23" i="12"/>
  <c r="X23" i="12"/>
  <c r="U23" i="12"/>
  <c r="R23" i="12"/>
  <c r="L23" i="12"/>
  <c r="I23" i="12"/>
  <c r="AM22" i="12"/>
  <c r="AM21" i="12"/>
  <c r="AM20" i="12"/>
  <c r="AM19" i="12"/>
  <c r="AM18" i="12"/>
  <c r="AM17" i="12"/>
  <c r="AN17" i="12" s="1"/>
  <c r="AK17" i="12"/>
  <c r="AH17" i="12"/>
  <c r="AE17" i="12"/>
  <c r="AB17" i="12"/>
  <c r="Y17" i="12"/>
  <c r="V17" i="12"/>
  <c r="S17" i="12"/>
  <c r="P17" i="12"/>
  <c r="M17" i="12"/>
  <c r="J17" i="12"/>
  <c r="AM16" i="12"/>
  <c r="AN16" i="12" s="1"/>
  <c r="AK16" i="12"/>
  <c r="AH16" i="12"/>
  <c r="AE16" i="12"/>
  <c r="AB16" i="12"/>
  <c r="Y16" i="12"/>
  <c r="V16" i="12"/>
  <c r="S16" i="12"/>
  <c r="P16" i="12"/>
  <c r="M16" i="12"/>
  <c r="J16" i="12"/>
  <c r="AJ15" i="12"/>
  <c r="AJ14" i="12" s="1"/>
  <c r="AJ13" i="12" s="1"/>
  <c r="AL84" i="12" s="1"/>
  <c r="AI15" i="12"/>
  <c r="AG15" i="12"/>
  <c r="AD15" i="12"/>
  <c r="AF15" i="12" s="1"/>
  <c r="AA15" i="12"/>
  <c r="X15" i="12"/>
  <c r="U15" i="12"/>
  <c r="U14" i="12" s="1"/>
  <c r="R15" i="12"/>
  <c r="R14" i="12" s="1"/>
  <c r="R13" i="12" s="1"/>
  <c r="O15" i="12"/>
  <c r="L15" i="12"/>
  <c r="I15" i="12"/>
  <c r="I14" i="12" s="1"/>
  <c r="F15" i="12"/>
  <c r="F14" i="12" s="1"/>
  <c r="C15" i="12"/>
  <c r="AG14" i="12"/>
  <c r="AD14" i="12"/>
  <c r="AD13" i="12" s="1"/>
  <c r="AF114" i="12" s="1"/>
  <c r="AA14" i="12"/>
  <c r="O14" i="12"/>
  <c r="L14" i="12"/>
  <c r="C14" i="12"/>
  <c r="AG13" i="12"/>
  <c r="AI147" i="12" s="1"/>
  <c r="C13" i="12"/>
  <c r="AJ12" i="12"/>
  <c r="AG12" i="12"/>
  <c r="AD12" i="12"/>
  <c r="AA12" i="12"/>
  <c r="X12" i="12"/>
  <c r="U12" i="12"/>
  <c r="R12" i="12"/>
  <c r="O12" i="12"/>
  <c r="L12" i="12"/>
  <c r="I12" i="12"/>
  <c r="F12" i="12"/>
  <c r="C12" i="12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E153" i="11"/>
  <c r="C153" i="11"/>
  <c r="AM153" i="11" s="1"/>
  <c r="AM150" i="11"/>
  <c r="AJ147" i="11"/>
  <c r="AG147" i="11"/>
  <c r="AD147" i="11"/>
  <c r="AA147" i="11"/>
  <c r="X147" i="11"/>
  <c r="U147" i="11"/>
  <c r="R147" i="11"/>
  <c r="O147" i="11"/>
  <c r="Q147" i="11" s="1"/>
  <c r="L147" i="11"/>
  <c r="I147" i="11"/>
  <c r="AM142" i="11"/>
  <c r="AM141" i="11"/>
  <c r="AM140" i="11"/>
  <c r="AM139" i="11"/>
  <c r="AM138" i="11"/>
  <c r="AM137" i="11"/>
  <c r="AM136" i="11"/>
  <c r="AM135" i="11"/>
  <c r="AM134" i="11"/>
  <c r="C133" i="11"/>
  <c r="AM132" i="11"/>
  <c r="AM131" i="11"/>
  <c r="F130" i="11"/>
  <c r="C130" i="11"/>
  <c r="AM129" i="11"/>
  <c r="AM128" i="11"/>
  <c r="AJ127" i="11"/>
  <c r="AG127" i="11"/>
  <c r="AD127" i="11"/>
  <c r="AA127" i="11"/>
  <c r="X127" i="11"/>
  <c r="U127" i="11"/>
  <c r="R127" i="11"/>
  <c r="O127" i="11"/>
  <c r="Q127" i="11" s="1"/>
  <c r="L127" i="11"/>
  <c r="I127" i="11"/>
  <c r="AM126" i="11"/>
  <c r="AM125" i="11"/>
  <c r="AM124" i="11"/>
  <c r="AJ123" i="11"/>
  <c r="AG123" i="11"/>
  <c r="AA123" i="11"/>
  <c r="X123" i="11"/>
  <c r="U123" i="11"/>
  <c r="T123" i="11"/>
  <c r="R123" i="11"/>
  <c r="O123" i="11"/>
  <c r="L123" i="11"/>
  <c r="I123" i="11"/>
  <c r="F123" i="11"/>
  <c r="C123" i="11"/>
  <c r="AM122" i="11"/>
  <c r="AM121" i="11"/>
  <c r="AJ120" i="11"/>
  <c r="AG120" i="11"/>
  <c r="AD120" i="11"/>
  <c r="AA120" i="11"/>
  <c r="X120" i="11"/>
  <c r="U120" i="11"/>
  <c r="R120" i="11"/>
  <c r="O120" i="11"/>
  <c r="L120" i="11"/>
  <c r="I120" i="1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Q114" i="11"/>
  <c r="O114" i="11"/>
  <c r="L114" i="11"/>
  <c r="I114" i="11"/>
  <c r="F114" i="11"/>
  <c r="C114" i="11"/>
  <c r="AM113" i="11"/>
  <c r="AM112" i="11"/>
  <c r="AM111" i="11"/>
  <c r="AM110" i="11"/>
  <c r="AJ109" i="11"/>
  <c r="AG109" i="11"/>
  <c r="AD109" i="11"/>
  <c r="AA109" i="11"/>
  <c r="X109" i="11"/>
  <c r="U109" i="11"/>
  <c r="T109" i="11"/>
  <c r="R109" i="11"/>
  <c r="Q109" i="11"/>
  <c r="O109" i="11"/>
  <c r="L109" i="11"/>
  <c r="I109" i="11"/>
  <c r="F109" i="11"/>
  <c r="E109" i="11"/>
  <c r="C109" i="11"/>
  <c r="AM108" i="11"/>
  <c r="AM107" i="11"/>
  <c r="AM106" i="11"/>
  <c r="AM105" i="11"/>
  <c r="AM104" i="11"/>
  <c r="AM103" i="11"/>
  <c r="AM102" i="11"/>
  <c r="AM101" i="11"/>
  <c r="AM100" i="11"/>
  <c r="AM99" i="11"/>
  <c r="AJ99" i="11"/>
  <c r="AG99" i="11"/>
  <c r="AD99" i="11"/>
  <c r="AA99" i="11"/>
  <c r="X99" i="11"/>
  <c r="U99" i="11"/>
  <c r="R99" i="11"/>
  <c r="Q99" i="11"/>
  <c r="O99" i="11"/>
  <c r="L99" i="11"/>
  <c r="I99" i="11"/>
  <c r="F99" i="11"/>
  <c r="C99" i="11"/>
  <c r="AM98" i="11"/>
  <c r="AM97" i="11"/>
  <c r="AM96" i="11"/>
  <c r="AJ96" i="11"/>
  <c r="AG96" i="11"/>
  <c r="AD96" i="11"/>
  <c r="AA96" i="11"/>
  <c r="X96" i="11"/>
  <c r="U96" i="11"/>
  <c r="R96" i="11"/>
  <c r="O96" i="11"/>
  <c r="Q96" i="11" s="1"/>
  <c r="L96" i="11"/>
  <c r="I96" i="11"/>
  <c r="F96" i="11"/>
  <c r="C96" i="11"/>
  <c r="AM95" i="11"/>
  <c r="AM94" i="11"/>
  <c r="AM93" i="11"/>
  <c r="AM92" i="11"/>
  <c r="AJ92" i="11"/>
  <c r="AG92" i="11"/>
  <c r="AD92" i="11"/>
  <c r="AA92" i="11"/>
  <c r="X92" i="11"/>
  <c r="U92" i="11"/>
  <c r="R92" i="11"/>
  <c r="O92" i="11"/>
  <c r="Q92" i="11" s="1"/>
  <c r="L92" i="11"/>
  <c r="I92" i="11"/>
  <c r="F92" i="11"/>
  <c r="C92" i="11"/>
  <c r="AM91" i="11"/>
  <c r="AM90" i="11"/>
  <c r="AJ89" i="11"/>
  <c r="AG89" i="11"/>
  <c r="AD89" i="11"/>
  <c r="AA89" i="11"/>
  <c r="X89" i="11"/>
  <c r="U89" i="11"/>
  <c r="R89" i="11"/>
  <c r="T89" i="11" s="1"/>
  <c r="O89" i="11"/>
  <c r="Q89" i="11" s="1"/>
  <c r="L89" i="11"/>
  <c r="I89" i="11"/>
  <c r="F89" i="11"/>
  <c r="C89" i="11"/>
  <c r="AM87" i="11"/>
  <c r="AM86" i="11"/>
  <c r="AJ84" i="11"/>
  <c r="AG84" i="11"/>
  <c r="AD84" i="11"/>
  <c r="AA84" i="11"/>
  <c r="X84" i="11"/>
  <c r="U84" i="11"/>
  <c r="R84" i="11"/>
  <c r="Q84" i="11"/>
  <c r="O84" i="11"/>
  <c r="L84" i="11"/>
  <c r="I84" i="11"/>
  <c r="AM81" i="11"/>
  <c r="F80" i="11"/>
  <c r="C80" i="11"/>
  <c r="AM79" i="11"/>
  <c r="AJ78" i="11"/>
  <c r="AG78" i="11"/>
  <c r="AD78" i="11"/>
  <c r="AA78" i="11"/>
  <c r="X78" i="11"/>
  <c r="U78" i="11"/>
  <c r="R78" i="11"/>
  <c r="T78" i="11" s="1"/>
  <c r="Q78" i="11"/>
  <c r="O78" i="11"/>
  <c r="N78" i="11"/>
  <c r="L78" i="11"/>
  <c r="I78" i="11"/>
  <c r="F78" i="11"/>
  <c r="AM77" i="11"/>
  <c r="AM76" i="11"/>
  <c r="F75" i="11"/>
  <c r="F75" i="16" s="1"/>
  <c r="C75" i="11"/>
  <c r="F74" i="11"/>
  <c r="C74" i="11"/>
  <c r="AM74" i="11" s="1"/>
  <c r="O72" i="11"/>
  <c r="P72" i="11" s="1"/>
  <c r="I72" i="11"/>
  <c r="AO71" i="11"/>
  <c r="AN71" i="11"/>
  <c r="AM71" i="11"/>
  <c r="AO70" i="11"/>
  <c r="AN70" i="11"/>
  <c r="AO69" i="11"/>
  <c r="AN69" i="11"/>
  <c r="AO68" i="11"/>
  <c r="AN68" i="11"/>
  <c r="AO67" i="11"/>
  <c r="AN67" i="11"/>
  <c r="AM66" i="11"/>
  <c r="AO66" i="11" s="1"/>
  <c r="AN65" i="11"/>
  <c r="AM65" i="11"/>
  <c r="AM64" i="11"/>
  <c r="AO63" i="11"/>
  <c r="AN63" i="11"/>
  <c r="AM63" i="11"/>
  <c r="AM62" i="11"/>
  <c r="AO62" i="11" s="1"/>
  <c r="AJ61" i="11"/>
  <c r="AG61" i="11"/>
  <c r="AD61" i="11"/>
  <c r="AA61" i="11"/>
  <c r="X61" i="11"/>
  <c r="W61" i="11"/>
  <c r="V61" i="11"/>
  <c r="U61" i="11"/>
  <c r="S61" i="11"/>
  <c r="R61" i="11"/>
  <c r="O61" i="11"/>
  <c r="Q61" i="11" s="1"/>
  <c r="L61" i="11"/>
  <c r="I61" i="11"/>
  <c r="F61" i="11"/>
  <c r="C61" i="11"/>
  <c r="AM59" i="11"/>
  <c r="AM58" i="11"/>
  <c r="AJ57" i="11"/>
  <c r="AG57" i="11"/>
  <c r="AD57" i="11"/>
  <c r="AA57" i="11"/>
  <c r="X57" i="11"/>
  <c r="U57" i="11"/>
  <c r="R57" i="11"/>
  <c r="O57" i="11"/>
  <c r="L57" i="11"/>
  <c r="L45" i="11" s="1"/>
  <c r="J57" i="11"/>
  <c r="I57" i="11"/>
  <c r="F57" i="11"/>
  <c r="AM53" i="11"/>
  <c r="AM52" i="11"/>
  <c r="AM51" i="11"/>
  <c r="AM50" i="11"/>
  <c r="AM49" i="11"/>
  <c r="AO49" i="11" s="1"/>
  <c r="AM48" i="11"/>
  <c r="AO47" i="11"/>
  <c r="AM47" i="11"/>
  <c r="AL47" i="11"/>
  <c r="AK47" i="11"/>
  <c r="AI47" i="11"/>
  <c r="AF47" i="11"/>
  <c r="AC47" i="11"/>
  <c r="Z47" i="11"/>
  <c r="W47" i="11"/>
  <c r="V47" i="11"/>
  <c r="T47" i="11"/>
  <c r="Q47" i="11"/>
  <c r="P47" i="11"/>
  <c r="N47" i="11"/>
  <c r="K47" i="11"/>
  <c r="H47" i="11"/>
  <c r="AJ46" i="11"/>
  <c r="AG46" i="11"/>
  <c r="AG45" i="11" s="1"/>
  <c r="AD46" i="11"/>
  <c r="AD45" i="11" s="1"/>
  <c r="AA46" i="11"/>
  <c r="X46" i="11"/>
  <c r="U46" i="11"/>
  <c r="U45" i="11" s="1"/>
  <c r="R46" i="11"/>
  <c r="O46" i="11"/>
  <c r="L46" i="11"/>
  <c r="I46" i="11"/>
  <c r="F46" i="11"/>
  <c r="C46" i="11"/>
  <c r="AJ45" i="11"/>
  <c r="AA45" i="11"/>
  <c r="X45" i="11"/>
  <c r="R45" i="11"/>
  <c r="O45" i="11"/>
  <c r="C45" i="11"/>
  <c r="L42" i="11"/>
  <c r="AM35" i="11"/>
  <c r="AM34" i="11"/>
  <c r="AM33" i="11"/>
  <c r="AM32" i="11"/>
  <c r="AM31" i="11"/>
  <c r="AM30" i="11"/>
  <c r="AJ29" i="11"/>
  <c r="AJ28" i="11" s="1"/>
  <c r="AJ42" i="11" s="1"/>
  <c r="AG29" i="11"/>
  <c r="AG28" i="11" s="1"/>
  <c r="AD29" i="11"/>
  <c r="AA29" i="11"/>
  <c r="X29" i="11"/>
  <c r="X28" i="11" s="1"/>
  <c r="U29" i="11"/>
  <c r="R29" i="11"/>
  <c r="Q29" i="11"/>
  <c r="O29" i="11"/>
  <c r="L29" i="11"/>
  <c r="L28" i="11" s="1"/>
  <c r="I29" i="11"/>
  <c r="F29" i="11"/>
  <c r="C29" i="11"/>
  <c r="C28" i="11" s="1"/>
  <c r="AD28" i="11"/>
  <c r="AA28" i="11"/>
  <c r="U28" i="11"/>
  <c r="O28" i="11"/>
  <c r="I28" i="11"/>
  <c r="AM27" i="11"/>
  <c r="AM26" i="11"/>
  <c r="AM25" i="11"/>
  <c r="AJ24" i="11"/>
  <c r="AG24" i="11"/>
  <c r="AD24" i="11"/>
  <c r="AA24" i="11"/>
  <c r="X24" i="11"/>
  <c r="X23" i="11" s="1"/>
  <c r="U24" i="11"/>
  <c r="R24" i="11"/>
  <c r="R23" i="11" s="1"/>
  <c r="O24" i="11"/>
  <c r="L24" i="11"/>
  <c r="I24" i="11"/>
  <c r="I23" i="11" s="1"/>
  <c r="F24" i="11"/>
  <c r="F23" i="11" s="1"/>
  <c r="C24" i="11"/>
  <c r="C23" i="11" s="1"/>
  <c r="AM23" i="11"/>
  <c r="AA23" i="11"/>
  <c r="U23" i="11"/>
  <c r="O23" i="11"/>
  <c r="L23" i="11"/>
  <c r="L13" i="11" s="1"/>
  <c r="AM22" i="11"/>
  <c r="AM21" i="11"/>
  <c r="AM20" i="11"/>
  <c r="AM19" i="11"/>
  <c r="AN18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I15" i="11"/>
  <c r="AG15" i="11"/>
  <c r="AD15" i="11"/>
  <c r="AF15" i="11" s="1"/>
  <c r="AA15" i="11"/>
  <c r="Z15" i="11"/>
  <c r="X15" i="11"/>
  <c r="U15" i="11"/>
  <c r="U14" i="11" s="1"/>
  <c r="U42" i="11" s="1"/>
  <c r="R15" i="11"/>
  <c r="R14" i="11" s="1"/>
  <c r="R13" i="11" s="1"/>
  <c r="O15" i="11"/>
  <c r="L15" i="11"/>
  <c r="I15" i="11"/>
  <c r="F15" i="11"/>
  <c r="C15" i="11"/>
  <c r="AJ14" i="11"/>
  <c r="AG14" i="11"/>
  <c r="AG42" i="11" s="1"/>
  <c r="AD14" i="11"/>
  <c r="X14" i="11"/>
  <c r="O14" i="11"/>
  <c r="L14" i="11"/>
  <c r="I14" i="11"/>
  <c r="F14" i="11"/>
  <c r="C14" i="11"/>
  <c r="C42" i="11" s="1"/>
  <c r="AJ13" i="11"/>
  <c r="U13" i="11"/>
  <c r="O13" i="11"/>
  <c r="AO65" i="11" s="1"/>
  <c r="C13" i="11"/>
  <c r="AJ12" i="11"/>
  <c r="AG12" i="11"/>
  <c r="AH47" i="11" s="1"/>
  <c r="AD12" i="11"/>
  <c r="AE47" i="11" s="1"/>
  <c r="AA12" i="11"/>
  <c r="AB47" i="11" s="1"/>
  <c r="X12" i="11"/>
  <c r="Y47" i="11" s="1"/>
  <c r="U12" i="11"/>
  <c r="R12" i="11"/>
  <c r="S47" i="11" s="1"/>
  <c r="O12" i="11"/>
  <c r="L12" i="11"/>
  <c r="M47" i="11" s="1"/>
  <c r="I12" i="11"/>
  <c r="J47" i="11" s="1"/>
  <c r="F12" i="11"/>
  <c r="G47" i="11" s="1"/>
  <c r="C12" i="11"/>
  <c r="D47" i="11" s="1"/>
  <c r="AM11" i="11"/>
  <c r="AM10" i="11"/>
  <c r="AM9" i="11"/>
  <c r="AM8" i="11"/>
  <c r="AN47" i="11" s="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3" i="10" s="1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A127" i="10"/>
  <c r="X127" i="10"/>
  <c r="U127" i="10"/>
  <c r="R127" i="10"/>
  <c r="O127" i="10"/>
  <c r="L127" i="10"/>
  <c r="I127" i="10"/>
  <c r="F127" i="10"/>
  <c r="C127" i="10"/>
  <c r="AM127" i="10" s="1"/>
  <c r="AM126" i="10"/>
  <c r="AM125" i="10"/>
  <c r="AM124" i="10"/>
  <c r="AQ123" i="10"/>
  <c r="AJ123" i="10"/>
  <c r="AG123" i="10"/>
  <c r="AA123" i="10"/>
  <c r="X123" i="10"/>
  <c r="U123" i="10"/>
  <c r="R123" i="10"/>
  <c r="O123" i="10"/>
  <c r="L123" i="10"/>
  <c r="I123" i="10"/>
  <c r="K123" i="10" s="1"/>
  <c r="F123" i="10"/>
  <c r="C123" i="10"/>
  <c r="AM122" i="10"/>
  <c r="AM121" i="10"/>
  <c r="AQ120" i="10"/>
  <c r="AJ120" i="10"/>
  <c r="AG120" i="10"/>
  <c r="AD120" i="10"/>
  <c r="AA120" i="10"/>
  <c r="X120" i="10"/>
  <c r="U120" i="10"/>
  <c r="R120" i="10"/>
  <c r="O120" i="10"/>
  <c r="L120" i="10"/>
  <c r="I120" i="10"/>
  <c r="F120" i="10"/>
  <c r="H120" i="10" s="1"/>
  <c r="C120" i="10"/>
  <c r="AM119" i="10"/>
  <c r="AM118" i="10"/>
  <c r="AM117" i="10"/>
  <c r="AM116" i="10"/>
  <c r="AM115" i="10"/>
  <c r="AQ114" i="10"/>
  <c r="AJ114" i="10"/>
  <c r="AG114" i="10"/>
  <c r="AD114" i="10"/>
  <c r="AA114" i="10"/>
  <c r="X114" i="10"/>
  <c r="U114" i="10"/>
  <c r="R114" i="10"/>
  <c r="O114" i="10"/>
  <c r="L114" i="10"/>
  <c r="I114" i="10"/>
  <c r="K114" i="10" s="1"/>
  <c r="H114" i="10"/>
  <c r="F114" i="10"/>
  <c r="C114" i="10"/>
  <c r="AM113" i="10"/>
  <c r="AM112" i="10"/>
  <c r="AM111" i="10"/>
  <c r="AM110" i="10"/>
  <c r="AQ109" i="10"/>
  <c r="AJ109" i="10"/>
  <c r="AG109" i="10"/>
  <c r="AD109" i="10"/>
  <c r="AF109" i="10" s="1"/>
  <c r="AA109" i="10"/>
  <c r="X109" i="10"/>
  <c r="U109" i="10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D99" i="10"/>
  <c r="AA99" i="10"/>
  <c r="X99" i="10"/>
  <c r="U99" i="10"/>
  <c r="W99" i="10" s="1"/>
  <c r="R99" i="10"/>
  <c r="O99" i="10"/>
  <c r="L99" i="10"/>
  <c r="I99" i="10"/>
  <c r="F99" i="10"/>
  <c r="C99" i="10"/>
  <c r="AM98" i="10"/>
  <c r="AM97" i="10"/>
  <c r="AQ96" i="10"/>
  <c r="AJ96" i="10"/>
  <c r="AG96" i="10"/>
  <c r="AF96" i="10"/>
  <c r="AD96" i="10"/>
  <c r="AA96" i="10"/>
  <c r="X96" i="10"/>
  <c r="U96" i="10"/>
  <c r="R96" i="10"/>
  <c r="O96" i="10"/>
  <c r="AM96" i="10" s="1"/>
  <c r="L96" i="10"/>
  <c r="I96" i="10"/>
  <c r="F96" i="10"/>
  <c r="C96" i="10"/>
  <c r="AM95" i="10"/>
  <c r="AM94" i="10"/>
  <c r="AM93" i="10"/>
  <c r="AJ92" i="10"/>
  <c r="AG92" i="10"/>
  <c r="AD92" i="10"/>
  <c r="AA92" i="10"/>
  <c r="X92" i="10"/>
  <c r="U92" i="10"/>
  <c r="R92" i="10"/>
  <c r="O92" i="10"/>
  <c r="O83" i="10" s="1"/>
  <c r="L92" i="10"/>
  <c r="L83" i="10" s="1"/>
  <c r="I92" i="10"/>
  <c r="F92" i="10"/>
  <c r="C92" i="10"/>
  <c r="AM91" i="10"/>
  <c r="AM90" i="10"/>
  <c r="AJ89" i="10"/>
  <c r="AG89" i="10"/>
  <c r="AD89" i="10"/>
  <c r="AF89" i="10" s="1"/>
  <c r="AA89" i="10"/>
  <c r="X89" i="10"/>
  <c r="U89" i="10"/>
  <c r="R89" i="10"/>
  <c r="O89" i="10"/>
  <c r="L89" i="10"/>
  <c r="I89" i="10"/>
  <c r="H89" i="10"/>
  <c r="F89" i="10"/>
  <c r="C89" i="10"/>
  <c r="AM88" i="10"/>
  <c r="AM87" i="10"/>
  <c r="AM86" i="10"/>
  <c r="AM85" i="10"/>
  <c r="AQ84" i="10"/>
  <c r="AJ84" i="10"/>
  <c r="AG84" i="10"/>
  <c r="AD84" i="10"/>
  <c r="AA84" i="10"/>
  <c r="X84" i="10"/>
  <c r="U84" i="10"/>
  <c r="R84" i="10"/>
  <c r="O84" i="10"/>
  <c r="L84" i="10"/>
  <c r="I84" i="10"/>
  <c r="F84" i="10"/>
  <c r="C84" i="10"/>
  <c r="AQ83" i="10"/>
  <c r="AG83" i="10"/>
  <c r="R83" i="10"/>
  <c r="C83" i="10"/>
  <c r="AM81" i="10"/>
  <c r="AM80" i="10"/>
  <c r="AM79" i="10"/>
  <c r="AQ78" i="10"/>
  <c r="AM78" i="10"/>
  <c r="AJ78" i="10"/>
  <c r="AG78" i="10"/>
  <c r="AD78" i="10"/>
  <c r="AA78" i="10"/>
  <c r="X78" i="10"/>
  <c r="U78" i="10"/>
  <c r="R78" i="10"/>
  <c r="O78" i="10"/>
  <c r="L78" i="10"/>
  <c r="K78" i="10"/>
  <c r="I78" i="10"/>
  <c r="F78" i="10"/>
  <c r="C78" i="10"/>
  <c r="AM77" i="10"/>
  <c r="AM76" i="10"/>
  <c r="AM75" i="10"/>
  <c r="AM74" i="10"/>
  <c r="AM73" i="10"/>
  <c r="AQ72" i="10"/>
  <c r="AJ72" i="10"/>
  <c r="AG72" i="10"/>
  <c r="AD72" i="10"/>
  <c r="AB72" i="10"/>
  <c r="AA72" i="10"/>
  <c r="X72" i="10"/>
  <c r="U72" i="10"/>
  <c r="R72" i="10"/>
  <c r="S72" i="10" s="1"/>
  <c r="O72" i="10"/>
  <c r="L72" i="10"/>
  <c r="I72" i="10"/>
  <c r="J72" i="10" s="1"/>
  <c r="F72" i="10"/>
  <c r="AM71" i="10"/>
  <c r="AN70" i="10"/>
  <c r="AN69" i="10"/>
  <c r="AN68" i="10"/>
  <c r="AN67" i="10"/>
  <c r="AM66" i="10"/>
  <c r="AM65" i="10"/>
  <c r="AN65" i="10" s="1"/>
  <c r="AN64" i="10"/>
  <c r="AM64" i="10"/>
  <c r="AN63" i="10"/>
  <c r="AM63" i="10"/>
  <c r="AN62" i="10"/>
  <c r="AM62" i="10"/>
  <c r="AQ61" i="10"/>
  <c r="AQ60" i="10" s="1"/>
  <c r="AJ61" i="10"/>
  <c r="AG61" i="10"/>
  <c r="AD61" i="10"/>
  <c r="AA61" i="10"/>
  <c r="AA60" i="10" s="1"/>
  <c r="AA44" i="10" s="1"/>
  <c r="X61" i="10"/>
  <c r="U61" i="10"/>
  <c r="S61" i="10"/>
  <c r="R61" i="10"/>
  <c r="O61" i="10"/>
  <c r="L61" i="10"/>
  <c r="I61" i="10"/>
  <c r="F61" i="10"/>
  <c r="C61" i="10"/>
  <c r="AJ60" i="10"/>
  <c r="AG60" i="10"/>
  <c r="X60" i="10"/>
  <c r="U60" i="10"/>
  <c r="L60" i="10"/>
  <c r="C60" i="10"/>
  <c r="AM59" i="10"/>
  <c r="AM58" i="10"/>
  <c r="AJ57" i="10"/>
  <c r="AJ45" i="10" s="1"/>
  <c r="AJ44" i="10" s="1"/>
  <c r="AL44" i="10" s="1"/>
  <c r="AG57" i="10"/>
  <c r="AD57" i="10"/>
  <c r="AA57" i="10"/>
  <c r="X57" i="10"/>
  <c r="U57" i="10"/>
  <c r="R57" i="10"/>
  <c r="O57" i="10"/>
  <c r="O45" i="10" s="1"/>
  <c r="L57" i="10"/>
  <c r="I57" i="10"/>
  <c r="F57" i="10"/>
  <c r="AM53" i="10"/>
  <c r="AM52" i="10"/>
  <c r="AM51" i="10"/>
  <c r="AM50" i="10"/>
  <c r="AM49" i="10"/>
  <c r="AM48" i="10"/>
  <c r="AN47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Q45" i="10" s="1"/>
  <c r="AJ46" i="10"/>
  <c r="AG46" i="10"/>
  <c r="AG45" i="10" s="1"/>
  <c r="AD46" i="10"/>
  <c r="AD45" i="10" s="1"/>
  <c r="AA46" i="10"/>
  <c r="X46" i="10"/>
  <c r="X45" i="10" s="1"/>
  <c r="X44" i="10" s="1"/>
  <c r="U46" i="10"/>
  <c r="U45" i="10" s="1"/>
  <c r="R46" i="10"/>
  <c r="O46" i="10"/>
  <c r="L46" i="10"/>
  <c r="L45" i="10" s="1"/>
  <c r="I46" i="10"/>
  <c r="F46" i="10"/>
  <c r="F45" i="10" s="1"/>
  <c r="C46" i="10"/>
  <c r="C45" i="10" s="1"/>
  <c r="AA45" i="10"/>
  <c r="T45" i="10"/>
  <c r="R45" i="10"/>
  <c r="AQ44" i="10"/>
  <c r="L44" i="10"/>
  <c r="C44" i="10"/>
  <c r="AM35" i="10"/>
  <c r="AM33" i="10"/>
  <c r="AM32" i="10"/>
  <c r="AD30" i="10"/>
  <c r="AD29" i="10" s="1"/>
  <c r="AQ29" i="10"/>
  <c r="AQ28" i="10" s="1"/>
  <c r="R29" i="10"/>
  <c r="O29" i="10"/>
  <c r="L29" i="10"/>
  <c r="H29" i="10"/>
  <c r="F29" i="10"/>
  <c r="F28" i="10" s="1"/>
  <c r="O28" i="10"/>
  <c r="L28" i="10"/>
  <c r="AM27" i="10"/>
  <c r="AM26" i="10"/>
  <c r="AM25" i="10"/>
  <c r="AJ24" i="10"/>
  <c r="AG24" i="10"/>
  <c r="AD24" i="10"/>
  <c r="AA24" i="10"/>
  <c r="AA23" i="10" s="1"/>
  <c r="X24" i="10"/>
  <c r="X23" i="10" s="1"/>
  <c r="U24" i="10"/>
  <c r="U23" i="10" s="1"/>
  <c r="R24" i="10"/>
  <c r="O24" i="10"/>
  <c r="L24" i="10"/>
  <c r="L23" i="10" s="1"/>
  <c r="I24" i="10"/>
  <c r="I23" i="10" s="1"/>
  <c r="I13" i="10" s="1"/>
  <c r="I31" i="10" s="1"/>
  <c r="AM31" i="10" s="1"/>
  <c r="F24" i="10"/>
  <c r="C24" i="10"/>
  <c r="AM24" i="10" s="1"/>
  <c r="R23" i="10"/>
  <c r="R13" i="10" s="1"/>
  <c r="O23" i="10"/>
  <c r="F23" i="10"/>
  <c r="C23" i="10"/>
  <c r="AM23" i="10" s="1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J15" i="10"/>
  <c r="AG15" i="10"/>
  <c r="AF15" i="10"/>
  <c r="AD15" i="10"/>
  <c r="AC15" i="10"/>
  <c r="AA15" i="10"/>
  <c r="X15" i="10"/>
  <c r="Z15" i="10" s="1"/>
  <c r="U15" i="10"/>
  <c r="U14" i="10" s="1"/>
  <c r="R15" i="10"/>
  <c r="O15" i="10"/>
  <c r="L15" i="10"/>
  <c r="L14" i="10" s="1"/>
  <c r="I15" i="10"/>
  <c r="F15" i="10"/>
  <c r="C15" i="10"/>
  <c r="AM15" i="10" s="1"/>
  <c r="AO15" i="10" s="1"/>
  <c r="AQ14" i="10"/>
  <c r="AJ14" i="10"/>
  <c r="AD14" i="10"/>
  <c r="AA14" i="10"/>
  <c r="X14" i="10"/>
  <c r="R14" i="10"/>
  <c r="O14" i="10"/>
  <c r="I14" i="10"/>
  <c r="F14" i="10"/>
  <c r="AJ13" i="10"/>
  <c r="AD13" i="10"/>
  <c r="AF123" i="10" s="1"/>
  <c r="U13" i="10"/>
  <c r="F13" i="10"/>
  <c r="H84" i="10" s="1"/>
  <c r="AQ12" i="10"/>
  <c r="AJ12" i="10"/>
  <c r="AG12" i="10"/>
  <c r="AD12" i="10"/>
  <c r="AA12" i="10"/>
  <c r="X12" i="10"/>
  <c r="Y72" i="10" s="1"/>
  <c r="U12" i="10"/>
  <c r="R12" i="10"/>
  <c r="O12" i="10"/>
  <c r="L12" i="10"/>
  <c r="I12" i="10"/>
  <c r="F12" i="10"/>
  <c r="C12" i="10"/>
  <c r="AM12" i="10" s="1"/>
  <c r="AO5" i="10" s="1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0" i="9"/>
  <c r="AM142" i="9"/>
  <c r="C141" i="9"/>
  <c r="AM140" i="9"/>
  <c r="F140" i="9"/>
  <c r="F139" i="9"/>
  <c r="C139" i="9"/>
  <c r="AM139" i="9" s="1"/>
  <c r="C138" i="9"/>
  <c r="F137" i="9"/>
  <c r="C137" i="9"/>
  <c r="C137" i="16" s="1"/>
  <c r="AM136" i="9"/>
  <c r="F136" i="9"/>
  <c r="F136" i="16" s="1"/>
  <c r="AM135" i="9"/>
  <c r="AM134" i="9"/>
  <c r="F134" i="9"/>
  <c r="C134" i="9"/>
  <c r="F133" i="9"/>
  <c r="C133" i="9"/>
  <c r="AM133" i="9" s="1"/>
  <c r="AM132" i="9"/>
  <c r="AM131" i="9"/>
  <c r="F131" i="9"/>
  <c r="C131" i="9"/>
  <c r="C131" i="16" s="1"/>
  <c r="F130" i="9"/>
  <c r="AM130" i="9" s="1"/>
  <c r="C130" i="9"/>
  <c r="F129" i="9"/>
  <c r="AM129" i="9" s="1"/>
  <c r="F128" i="9"/>
  <c r="C128" i="9"/>
  <c r="C128" i="16" s="1"/>
  <c r="AJ127" i="9"/>
  <c r="AG127" i="9"/>
  <c r="AD127" i="9"/>
  <c r="AA127" i="9"/>
  <c r="X127" i="9"/>
  <c r="U127" i="9"/>
  <c r="R127" i="9"/>
  <c r="T127" i="9" s="1"/>
  <c r="O127" i="9"/>
  <c r="L127" i="9"/>
  <c r="I127" i="9"/>
  <c r="C127" i="9"/>
  <c r="AM126" i="9"/>
  <c r="AM125" i="9"/>
  <c r="AM124" i="9"/>
  <c r="AJ123" i="9"/>
  <c r="AG123" i="9"/>
  <c r="AD123" i="9"/>
  <c r="AA123" i="9"/>
  <c r="X123" i="9"/>
  <c r="Z123" i="9" s="1"/>
  <c r="U123" i="9"/>
  <c r="R123" i="9"/>
  <c r="O123" i="9"/>
  <c r="L123" i="9"/>
  <c r="I123" i="9"/>
  <c r="F123" i="9"/>
  <c r="C123" i="9"/>
  <c r="AM122" i="9"/>
  <c r="AM121" i="9"/>
  <c r="AM120" i="9"/>
  <c r="AJ120" i="9"/>
  <c r="AG120" i="9"/>
  <c r="AD120" i="9"/>
  <c r="AA120" i="9"/>
  <c r="X120" i="9"/>
  <c r="U120" i="9"/>
  <c r="R120" i="9"/>
  <c r="T120" i="9" s="1"/>
  <c r="O120" i="9"/>
  <c r="L120" i="9"/>
  <c r="I120" i="9"/>
  <c r="F120" i="9"/>
  <c r="C120" i="9"/>
  <c r="AM119" i="9"/>
  <c r="AM118" i="9"/>
  <c r="AM117" i="9"/>
  <c r="F117" i="9"/>
  <c r="C117" i="9"/>
  <c r="AM116" i="9"/>
  <c r="AM115" i="9"/>
  <c r="AJ114" i="9"/>
  <c r="AG114" i="9"/>
  <c r="AD114" i="9"/>
  <c r="AA114" i="9"/>
  <c r="AC114" i="9" s="1"/>
  <c r="X114" i="9"/>
  <c r="U114" i="9"/>
  <c r="R114" i="9"/>
  <c r="T114" i="9" s="1"/>
  <c r="O114" i="9"/>
  <c r="L114" i="9"/>
  <c r="I114" i="9"/>
  <c r="F114" i="9"/>
  <c r="C114" i="9"/>
  <c r="C113" i="9"/>
  <c r="AM112" i="9"/>
  <c r="AM111" i="9"/>
  <c r="AM110" i="9"/>
  <c r="AJ109" i="9"/>
  <c r="AG109" i="9"/>
  <c r="AD109" i="9"/>
  <c r="AA109" i="9"/>
  <c r="X109" i="9"/>
  <c r="Z109" i="9" s="1"/>
  <c r="U109" i="9"/>
  <c r="T109" i="9"/>
  <c r="R109" i="9"/>
  <c r="O109" i="9"/>
  <c r="L109" i="9"/>
  <c r="I109" i="9"/>
  <c r="F109" i="9"/>
  <c r="AM108" i="9"/>
  <c r="F108" i="9"/>
  <c r="F108" i="16" s="1"/>
  <c r="C108" i="9"/>
  <c r="C108" i="16" s="1"/>
  <c r="F107" i="9"/>
  <c r="F107" i="16" s="1"/>
  <c r="C107" i="9"/>
  <c r="F106" i="9"/>
  <c r="F106" i="16" s="1"/>
  <c r="C106" i="9"/>
  <c r="F105" i="9"/>
  <c r="F105" i="16" s="1"/>
  <c r="C105" i="9"/>
  <c r="C105" i="16" s="1"/>
  <c r="AM105" i="16" s="1"/>
  <c r="F104" i="9"/>
  <c r="C104" i="9"/>
  <c r="F103" i="9"/>
  <c r="AM103" i="9" s="1"/>
  <c r="AM102" i="9"/>
  <c r="AM101" i="9"/>
  <c r="AM100" i="9"/>
  <c r="AJ99" i="9"/>
  <c r="AG99" i="9"/>
  <c r="AD99" i="9"/>
  <c r="AA99" i="9"/>
  <c r="X99" i="9"/>
  <c r="Z99" i="9" s="1"/>
  <c r="U99" i="9"/>
  <c r="R99" i="9"/>
  <c r="T99" i="9" s="1"/>
  <c r="O99" i="9"/>
  <c r="L99" i="9"/>
  <c r="I99" i="9"/>
  <c r="C98" i="9"/>
  <c r="AM98" i="9" s="1"/>
  <c r="AM97" i="9"/>
  <c r="C97" i="9"/>
  <c r="C96" i="9" s="1"/>
  <c r="AM96" i="9"/>
  <c r="AJ96" i="9"/>
  <c r="AG96" i="9"/>
  <c r="AD96" i="9"/>
  <c r="AA96" i="9"/>
  <c r="X96" i="9"/>
  <c r="Z96" i="9" s="1"/>
  <c r="U96" i="9"/>
  <c r="T96" i="9"/>
  <c r="R96" i="9"/>
  <c r="O96" i="9"/>
  <c r="L96" i="9"/>
  <c r="I96" i="9"/>
  <c r="F96" i="9"/>
  <c r="AM95" i="9"/>
  <c r="AM94" i="9"/>
  <c r="AM93" i="9"/>
  <c r="F93" i="9"/>
  <c r="C93" i="9"/>
  <c r="C93" i="16" s="1"/>
  <c r="AJ92" i="9"/>
  <c r="AG92" i="9"/>
  <c r="AD92" i="9"/>
  <c r="AA92" i="9"/>
  <c r="X92" i="9"/>
  <c r="U92" i="9"/>
  <c r="R92" i="9"/>
  <c r="T92" i="9" s="1"/>
  <c r="O92" i="9"/>
  <c r="L92" i="9"/>
  <c r="I92" i="9"/>
  <c r="C92" i="9"/>
  <c r="AM91" i="9"/>
  <c r="AM90" i="9"/>
  <c r="AJ89" i="9"/>
  <c r="AG89" i="9"/>
  <c r="AD89" i="9"/>
  <c r="AA89" i="9"/>
  <c r="X89" i="9"/>
  <c r="U89" i="9"/>
  <c r="R89" i="9"/>
  <c r="O89" i="9"/>
  <c r="L89" i="9"/>
  <c r="AM89" i="9" s="1"/>
  <c r="I89" i="9"/>
  <c r="F89" i="9"/>
  <c r="C89" i="9"/>
  <c r="AM88" i="9"/>
  <c r="F88" i="9"/>
  <c r="AM87" i="9"/>
  <c r="F87" i="9"/>
  <c r="C87" i="9"/>
  <c r="AM86" i="9"/>
  <c r="F86" i="9"/>
  <c r="F85" i="9"/>
  <c r="F84" i="9" s="1"/>
  <c r="C85" i="9"/>
  <c r="AJ84" i="9"/>
  <c r="AJ83" i="9" s="1"/>
  <c r="AG84" i="9"/>
  <c r="AD84" i="9"/>
  <c r="AA84" i="9"/>
  <c r="AA83" i="9" s="1"/>
  <c r="Z84" i="9"/>
  <c r="X84" i="9"/>
  <c r="U84" i="9"/>
  <c r="T84" i="9"/>
  <c r="R84" i="9"/>
  <c r="O84" i="9"/>
  <c r="L84" i="9"/>
  <c r="I84" i="9"/>
  <c r="C84" i="9"/>
  <c r="AC83" i="9"/>
  <c r="AM81" i="9"/>
  <c r="F81" i="9"/>
  <c r="F81" i="16" s="1"/>
  <c r="C81" i="9"/>
  <c r="C81" i="16" s="1"/>
  <c r="AM80" i="9"/>
  <c r="F80" i="9"/>
  <c r="C80" i="9"/>
  <c r="AM79" i="9"/>
  <c r="F79" i="9"/>
  <c r="F78" i="9" s="1"/>
  <c r="C79" i="9"/>
  <c r="AJ78" i="9"/>
  <c r="AG78" i="9"/>
  <c r="AD78" i="9"/>
  <c r="AB78" i="9"/>
  <c r="AA78" i="9"/>
  <c r="Z78" i="9"/>
  <c r="Y78" i="9"/>
  <c r="X78" i="9"/>
  <c r="U78" i="9"/>
  <c r="R78" i="9"/>
  <c r="O78" i="9"/>
  <c r="P78" i="9" s="1"/>
  <c r="M78" i="9"/>
  <c r="L78" i="9"/>
  <c r="I78" i="9"/>
  <c r="C78" i="9"/>
  <c r="AM77" i="9"/>
  <c r="F77" i="9"/>
  <c r="C77" i="9"/>
  <c r="AM76" i="9"/>
  <c r="F76" i="9"/>
  <c r="C76" i="9"/>
  <c r="AM75" i="9"/>
  <c r="AM74" i="9"/>
  <c r="F74" i="9"/>
  <c r="C74" i="9"/>
  <c r="AM71" i="9"/>
  <c r="AM66" i="9"/>
  <c r="AM65" i="9"/>
  <c r="AM64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H63" i="9"/>
  <c r="F63" i="9"/>
  <c r="G63" i="9" s="1"/>
  <c r="E63" i="9"/>
  <c r="C63" i="9"/>
  <c r="D63" i="9" s="1"/>
  <c r="AO62" i="9"/>
  <c r="AM62" i="9"/>
  <c r="AN62" i="9" s="1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H62" i="9"/>
  <c r="F62" i="9"/>
  <c r="G62" i="9" s="1"/>
  <c r="D62" i="9"/>
  <c r="C62" i="9"/>
  <c r="AJ61" i="9"/>
  <c r="AG61" i="9"/>
  <c r="AD61" i="9"/>
  <c r="AA61" i="9"/>
  <c r="X61" i="9"/>
  <c r="U61" i="9"/>
  <c r="R61" i="9"/>
  <c r="O61" i="9"/>
  <c r="L61" i="9"/>
  <c r="I61" i="9"/>
  <c r="F61" i="9"/>
  <c r="AM59" i="9"/>
  <c r="S59" i="9"/>
  <c r="Q59" i="9"/>
  <c r="P59" i="9"/>
  <c r="M59" i="9"/>
  <c r="J59" i="9"/>
  <c r="AM58" i="9"/>
  <c r="AJ57" i="9"/>
  <c r="AG57" i="9"/>
  <c r="AD57" i="9"/>
  <c r="AA57" i="9"/>
  <c r="Y57" i="9"/>
  <c r="X57" i="9"/>
  <c r="Z57" i="9" s="1"/>
  <c r="U57" i="9"/>
  <c r="R57" i="9"/>
  <c r="T57" i="9" s="1"/>
  <c r="O57" i="9"/>
  <c r="L57" i="9"/>
  <c r="J57" i="9"/>
  <c r="I57" i="9"/>
  <c r="F57" i="9"/>
  <c r="AM55" i="9"/>
  <c r="AM54" i="9"/>
  <c r="AM53" i="9"/>
  <c r="AM52" i="9"/>
  <c r="AM51" i="9"/>
  <c r="AM50" i="9"/>
  <c r="AM49" i="9"/>
  <c r="AM48" i="9"/>
  <c r="F47" i="9"/>
  <c r="C47" i="9"/>
  <c r="AJ46" i="9"/>
  <c r="AG46" i="9"/>
  <c r="AD46" i="9"/>
  <c r="AC46" i="9"/>
  <c r="AA46" i="9"/>
  <c r="X46" i="9"/>
  <c r="U46" i="9"/>
  <c r="R46" i="9"/>
  <c r="O46" i="9"/>
  <c r="L46" i="9"/>
  <c r="I46" i="9"/>
  <c r="F46" i="9"/>
  <c r="AJ45" i="9"/>
  <c r="AD45" i="9"/>
  <c r="X45" i="9"/>
  <c r="U45" i="9"/>
  <c r="I45" i="9"/>
  <c r="Z43" i="9"/>
  <c r="AM38" i="9"/>
  <c r="X37" i="9"/>
  <c r="C36" i="9"/>
  <c r="R35" i="9"/>
  <c r="O35" i="9"/>
  <c r="R34" i="9"/>
  <c r="R33" i="9"/>
  <c r="AJ32" i="9"/>
  <c r="X32" i="9"/>
  <c r="X31" i="9"/>
  <c r="R31" i="9"/>
  <c r="R30" i="9"/>
  <c r="AM27" i="9"/>
  <c r="AM26" i="9"/>
  <c r="AM25" i="9"/>
  <c r="AJ24" i="9"/>
  <c r="AJ23" i="9" s="1"/>
  <c r="AG24" i="9"/>
  <c r="AD24" i="9"/>
  <c r="AD23" i="9" s="1"/>
  <c r="AA24" i="9"/>
  <c r="X24" i="9"/>
  <c r="U24" i="9"/>
  <c r="U23" i="9" s="1"/>
  <c r="R24" i="9"/>
  <c r="O24" i="9"/>
  <c r="L24" i="9"/>
  <c r="I24" i="9"/>
  <c r="I23" i="9" s="1"/>
  <c r="AM23" i="9" s="1"/>
  <c r="F24" i="9"/>
  <c r="C24" i="9"/>
  <c r="C23" i="9" s="1"/>
  <c r="AG23" i="9"/>
  <c r="AA23" i="9"/>
  <c r="X23" i="9"/>
  <c r="R23" i="9"/>
  <c r="O23" i="9"/>
  <c r="O13" i="9" s="1"/>
  <c r="Q127" i="9" s="1"/>
  <c r="L23" i="9"/>
  <c r="F23" i="9"/>
  <c r="AM22" i="9"/>
  <c r="AM21" i="9"/>
  <c r="AM20" i="9"/>
  <c r="AM19" i="9"/>
  <c r="AM18" i="9"/>
  <c r="G18" i="9"/>
  <c r="D18" i="9"/>
  <c r="AM17" i="9"/>
  <c r="AN17" i="9" s="1"/>
  <c r="G17" i="9"/>
  <c r="D17" i="9"/>
  <c r="AM16" i="9"/>
  <c r="G16" i="9"/>
  <c r="D16" i="9"/>
  <c r="AJ15" i="9"/>
  <c r="AJ14" i="9" s="1"/>
  <c r="AJ13" i="9" s="1"/>
  <c r="AG15" i="9"/>
  <c r="AD15" i="9"/>
  <c r="AD14" i="9" s="1"/>
  <c r="AD13" i="9" s="1"/>
  <c r="AD34" i="9" s="1"/>
  <c r="AA15" i="9"/>
  <c r="AA14" i="9" s="1"/>
  <c r="AA13" i="9" s="1"/>
  <c r="X15" i="9"/>
  <c r="X14" i="9" s="1"/>
  <c r="U15" i="9"/>
  <c r="R15" i="9"/>
  <c r="R14" i="9" s="1"/>
  <c r="R13" i="9" s="1"/>
  <c r="O15" i="9"/>
  <c r="L15" i="9"/>
  <c r="L14" i="9" s="1"/>
  <c r="I15" i="9"/>
  <c r="I14" i="9" s="1"/>
  <c r="F15" i="9"/>
  <c r="C15" i="9"/>
  <c r="AM15" i="9" s="1"/>
  <c r="AO15" i="9" s="1"/>
  <c r="AG14" i="9"/>
  <c r="U14" i="9"/>
  <c r="O14" i="9"/>
  <c r="F14" i="9"/>
  <c r="C14" i="9"/>
  <c r="AG13" i="9"/>
  <c r="X13" i="9"/>
  <c r="Z59" i="9" s="1"/>
  <c r="C13" i="9"/>
  <c r="AJ12" i="9"/>
  <c r="AG12" i="9"/>
  <c r="AH59" i="9" s="1"/>
  <c r="AD12" i="9"/>
  <c r="AE59" i="9" s="1"/>
  <c r="AA12" i="9"/>
  <c r="AB59" i="9" s="1"/>
  <c r="X12" i="9"/>
  <c r="Y59" i="9" s="1"/>
  <c r="U12" i="9"/>
  <c r="R12" i="9"/>
  <c r="O12" i="9"/>
  <c r="L12" i="9"/>
  <c r="I12" i="9"/>
  <c r="F12" i="9"/>
  <c r="G59" i="9" s="1"/>
  <c r="C12" i="9"/>
  <c r="AM11" i="9"/>
  <c r="AM10" i="9"/>
  <c r="AM9" i="9"/>
  <c r="AM8" i="9"/>
  <c r="AM7" i="9"/>
  <c r="AM6" i="9"/>
  <c r="AM5" i="9"/>
  <c r="AM3" i="9"/>
  <c r="X182" i="8"/>
  <c r="AD173" i="8"/>
  <c r="AD172" i="8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0" i="8"/>
  <c r="AM142" i="8"/>
  <c r="AM141" i="8"/>
  <c r="F140" i="8"/>
  <c r="AM140" i="8" s="1"/>
  <c r="F139" i="8"/>
  <c r="C139" i="8"/>
  <c r="AM138" i="8"/>
  <c r="AM137" i="8"/>
  <c r="AM136" i="8"/>
  <c r="C135" i="8"/>
  <c r="C135" i="16" s="1"/>
  <c r="AM135" i="16" s="1"/>
  <c r="F134" i="8"/>
  <c r="AM134" i="8" s="1"/>
  <c r="F133" i="8"/>
  <c r="AM133" i="8" s="1"/>
  <c r="C133" i="8"/>
  <c r="AM132" i="8"/>
  <c r="AM131" i="8"/>
  <c r="F131" i="8"/>
  <c r="F130" i="8"/>
  <c r="AM130" i="8" s="1"/>
  <c r="F129" i="8"/>
  <c r="AM129" i="8" s="1"/>
  <c r="F128" i="8"/>
  <c r="AJ127" i="8"/>
  <c r="AG127" i="8"/>
  <c r="AD127" i="8"/>
  <c r="AA127" i="8"/>
  <c r="X127" i="8"/>
  <c r="U127" i="8"/>
  <c r="R127" i="8"/>
  <c r="O127" i="8"/>
  <c r="L127" i="8"/>
  <c r="I127" i="8"/>
  <c r="C127" i="8"/>
  <c r="AM126" i="8"/>
  <c r="AM125" i="8"/>
  <c r="AM124" i="8"/>
  <c r="AJ123" i="8"/>
  <c r="AG123" i="8"/>
  <c r="AD123" i="8"/>
  <c r="AA123" i="8"/>
  <c r="X123" i="8"/>
  <c r="U123" i="8"/>
  <c r="AM123" i="8" s="1"/>
  <c r="R123" i="8"/>
  <c r="Q123" i="8"/>
  <c r="O123" i="8"/>
  <c r="L123" i="8"/>
  <c r="I123" i="8"/>
  <c r="F123" i="8"/>
  <c r="C123" i="8"/>
  <c r="AM122" i="8"/>
  <c r="AM121" i="8"/>
  <c r="AJ120" i="8"/>
  <c r="AG120" i="8"/>
  <c r="AD120" i="8"/>
  <c r="AA120" i="8"/>
  <c r="X120" i="8"/>
  <c r="U120" i="8"/>
  <c r="R120" i="8"/>
  <c r="O120" i="8"/>
  <c r="L120" i="8"/>
  <c r="I120" i="8"/>
  <c r="F120" i="8"/>
  <c r="AM120" i="8" s="1"/>
  <c r="C120" i="8"/>
  <c r="AM119" i="8"/>
  <c r="AM118" i="8"/>
  <c r="F117" i="8"/>
  <c r="C117" i="8"/>
  <c r="AM116" i="8"/>
  <c r="AM115" i="8"/>
  <c r="AJ114" i="8"/>
  <c r="AG114" i="8"/>
  <c r="AD114" i="8"/>
  <c r="AA114" i="8"/>
  <c r="X114" i="8"/>
  <c r="U114" i="8"/>
  <c r="R114" i="8"/>
  <c r="O114" i="8"/>
  <c r="L114" i="8"/>
  <c r="I114" i="8"/>
  <c r="F114" i="8"/>
  <c r="AM113" i="8"/>
  <c r="AM112" i="8"/>
  <c r="AM111" i="8"/>
  <c r="AM110" i="8"/>
  <c r="C110" i="8"/>
  <c r="C109" i="8" s="1"/>
  <c r="AJ109" i="8"/>
  <c r="AG109" i="8"/>
  <c r="AD109" i="8"/>
  <c r="AA109" i="8"/>
  <c r="X109" i="8"/>
  <c r="U109" i="8"/>
  <c r="R109" i="8"/>
  <c r="O109" i="8"/>
  <c r="Q109" i="8" s="1"/>
  <c r="L109" i="8"/>
  <c r="I109" i="8"/>
  <c r="F109" i="8"/>
  <c r="AM108" i="8"/>
  <c r="AM107" i="8"/>
  <c r="AM106" i="8"/>
  <c r="AM105" i="8"/>
  <c r="F104" i="8"/>
  <c r="F99" i="8" s="1"/>
  <c r="AM99" i="8" s="1"/>
  <c r="C104" i="8"/>
  <c r="C99" i="8" s="1"/>
  <c r="AM103" i="8"/>
  <c r="F103" i="8"/>
  <c r="AM102" i="8"/>
  <c r="AM101" i="8"/>
  <c r="C101" i="8"/>
  <c r="C101" i="16" s="1"/>
  <c r="AM100" i="8"/>
  <c r="AJ99" i="8"/>
  <c r="AG99" i="8"/>
  <c r="AD99" i="8"/>
  <c r="AA99" i="8"/>
  <c r="X99" i="8"/>
  <c r="U99" i="8"/>
  <c r="R99" i="8"/>
  <c r="O99" i="8"/>
  <c r="L99" i="8"/>
  <c r="I99" i="8"/>
  <c r="AM98" i="8"/>
  <c r="C98" i="8"/>
  <c r="C97" i="8"/>
  <c r="AM97" i="8" s="1"/>
  <c r="AJ96" i="8"/>
  <c r="AG96" i="8"/>
  <c r="AD96" i="8"/>
  <c r="AA96" i="8"/>
  <c r="X96" i="8"/>
  <c r="U96" i="8"/>
  <c r="R96" i="8"/>
  <c r="O96" i="8"/>
  <c r="L96" i="8"/>
  <c r="I96" i="8"/>
  <c r="F96" i="8"/>
  <c r="C96" i="8"/>
  <c r="AM96" i="8" s="1"/>
  <c r="AM95" i="8"/>
  <c r="AM94" i="8"/>
  <c r="AM93" i="8"/>
  <c r="AJ92" i="8"/>
  <c r="AG92" i="8"/>
  <c r="AD92" i="8"/>
  <c r="AA92" i="8"/>
  <c r="X92" i="8"/>
  <c r="U92" i="8"/>
  <c r="R92" i="8"/>
  <c r="O92" i="8"/>
  <c r="L92" i="8"/>
  <c r="I92" i="8"/>
  <c r="F92" i="8"/>
  <c r="C92" i="8"/>
  <c r="AM91" i="8"/>
  <c r="AM90" i="8"/>
  <c r="AJ89" i="8"/>
  <c r="AG89" i="8"/>
  <c r="AD89" i="8"/>
  <c r="AA89" i="8"/>
  <c r="X89" i="8"/>
  <c r="U89" i="8"/>
  <c r="R89" i="8"/>
  <c r="O89" i="8"/>
  <c r="L89" i="8"/>
  <c r="I89" i="8"/>
  <c r="F89" i="8"/>
  <c r="C89" i="8"/>
  <c r="F88" i="8"/>
  <c r="C88" i="8"/>
  <c r="F87" i="8"/>
  <c r="AM87" i="8" s="1"/>
  <c r="F86" i="8"/>
  <c r="AM86" i="8" s="1"/>
  <c r="AM81" i="8"/>
  <c r="F80" i="8"/>
  <c r="F78" i="8" s="1"/>
  <c r="G78" i="8" s="1"/>
  <c r="C80" i="8"/>
  <c r="F79" i="8"/>
  <c r="C79" i="8"/>
  <c r="AM79" i="8" s="1"/>
  <c r="AJ78" i="8"/>
  <c r="AG78" i="8"/>
  <c r="AD78" i="8"/>
  <c r="AA78" i="8"/>
  <c r="X78" i="8"/>
  <c r="U78" i="8"/>
  <c r="R78" i="8"/>
  <c r="Q78" i="8"/>
  <c r="O78" i="8"/>
  <c r="P78" i="8" s="1"/>
  <c r="L78" i="8"/>
  <c r="J78" i="8"/>
  <c r="I78" i="8"/>
  <c r="C78" i="8"/>
  <c r="D78" i="8" s="1"/>
  <c r="F77" i="8"/>
  <c r="C77" i="8"/>
  <c r="AM76" i="8"/>
  <c r="F76" i="8"/>
  <c r="AM75" i="8"/>
  <c r="AM74" i="8"/>
  <c r="F74" i="8"/>
  <c r="C74" i="8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F64" i="8"/>
  <c r="H64" i="8" s="1"/>
  <c r="D64" i="8"/>
  <c r="C64" i="8"/>
  <c r="AM63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H63" i="8"/>
  <c r="G63" i="8"/>
  <c r="F63" i="8"/>
  <c r="E63" i="8"/>
  <c r="C63" i="8"/>
  <c r="D63" i="8" s="1"/>
  <c r="AM62" i="8"/>
  <c r="AN62" i="8" s="1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H62" i="8"/>
  <c r="G62" i="8"/>
  <c r="F62" i="8"/>
  <c r="E62" i="8"/>
  <c r="D62" i="8"/>
  <c r="C62" i="8"/>
  <c r="AJ61" i="8"/>
  <c r="AG61" i="8"/>
  <c r="AD61" i="8"/>
  <c r="AA61" i="8"/>
  <c r="X61" i="8"/>
  <c r="U61" i="8"/>
  <c r="R61" i="8"/>
  <c r="T61" i="8" s="1"/>
  <c r="Q61" i="8"/>
  <c r="O61" i="8"/>
  <c r="L61" i="8"/>
  <c r="I61" i="8"/>
  <c r="C61" i="8"/>
  <c r="AO59" i="8"/>
  <c r="AM59" i="8"/>
  <c r="AH59" i="8"/>
  <c r="Y59" i="8"/>
  <c r="V59" i="8"/>
  <c r="T59" i="8"/>
  <c r="S59" i="8"/>
  <c r="M59" i="8"/>
  <c r="J59" i="8"/>
  <c r="G59" i="8"/>
  <c r="AM58" i="8"/>
  <c r="AB58" i="8"/>
  <c r="Y58" i="8"/>
  <c r="V58" i="8"/>
  <c r="S58" i="8"/>
  <c r="M58" i="8"/>
  <c r="J58" i="8"/>
  <c r="G58" i="8"/>
  <c r="AJ57" i="8"/>
  <c r="AH57" i="8"/>
  <c r="AG57" i="8"/>
  <c r="AD57" i="8"/>
  <c r="AA57" i="8"/>
  <c r="X57" i="8"/>
  <c r="V57" i="8"/>
  <c r="U57" i="8"/>
  <c r="R57" i="8"/>
  <c r="O57" i="8"/>
  <c r="L57" i="8"/>
  <c r="I57" i="8"/>
  <c r="J57" i="8" s="1"/>
  <c r="F57" i="8"/>
  <c r="G57" i="8" s="1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M47" i="8"/>
  <c r="Y47" i="8"/>
  <c r="V47" i="8"/>
  <c r="T47" i="8"/>
  <c r="S47" i="8"/>
  <c r="M47" i="8"/>
  <c r="J47" i="8"/>
  <c r="G47" i="8"/>
  <c r="AJ46" i="8"/>
  <c r="AG46" i="8"/>
  <c r="AD46" i="8"/>
  <c r="AD45" i="8" s="1"/>
  <c r="AA46" i="8"/>
  <c r="AA45" i="8" s="1"/>
  <c r="X46" i="8"/>
  <c r="U46" i="8"/>
  <c r="U45" i="8" s="1"/>
  <c r="R46" i="8"/>
  <c r="O46" i="8"/>
  <c r="O45" i="8" s="1"/>
  <c r="L46" i="8"/>
  <c r="L45" i="8" s="1"/>
  <c r="I46" i="8"/>
  <c r="F46" i="8"/>
  <c r="C46" i="8"/>
  <c r="AM46" i="8" s="1"/>
  <c r="AJ45" i="8"/>
  <c r="AG45" i="8"/>
  <c r="X45" i="8"/>
  <c r="I45" i="8"/>
  <c r="AM38" i="8"/>
  <c r="AD35" i="8"/>
  <c r="R34" i="8"/>
  <c r="O34" i="8"/>
  <c r="U31" i="8"/>
  <c r="O30" i="8"/>
  <c r="L30" i="8"/>
  <c r="AM27" i="8"/>
  <c r="AM26" i="8"/>
  <c r="AM25" i="8"/>
  <c r="AJ24" i="8"/>
  <c r="AG24" i="8"/>
  <c r="AD24" i="8"/>
  <c r="AA24" i="8"/>
  <c r="X24" i="8"/>
  <c r="U24" i="8"/>
  <c r="U23" i="8" s="1"/>
  <c r="R24" i="8"/>
  <c r="O24" i="8"/>
  <c r="L24" i="8"/>
  <c r="I24" i="8"/>
  <c r="I23" i="8" s="1"/>
  <c r="F24" i="8"/>
  <c r="C24" i="8"/>
  <c r="C23" i="8" s="1"/>
  <c r="AJ23" i="8"/>
  <c r="AG23" i="8"/>
  <c r="AD23" i="8"/>
  <c r="AA23" i="8"/>
  <c r="X23" i="8"/>
  <c r="R23" i="8"/>
  <c r="O23" i="8"/>
  <c r="O13" i="8" s="1"/>
  <c r="Q114" i="8" s="1"/>
  <c r="L23" i="8"/>
  <c r="F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G15" i="8"/>
  <c r="AG14" i="8" s="1"/>
  <c r="AD15" i="8"/>
  <c r="AA15" i="8"/>
  <c r="X15" i="8"/>
  <c r="X14" i="8" s="1"/>
  <c r="U15" i="8"/>
  <c r="R15" i="8"/>
  <c r="O15" i="8"/>
  <c r="L15" i="8"/>
  <c r="I15" i="8"/>
  <c r="I14" i="8" s="1"/>
  <c r="F15" i="8"/>
  <c r="F14" i="8" s="1"/>
  <c r="C15" i="8"/>
  <c r="AM15" i="8" s="1"/>
  <c r="AO15" i="8" s="1"/>
  <c r="AJ14" i="8"/>
  <c r="AD14" i="8"/>
  <c r="AA14" i="8"/>
  <c r="U14" i="8"/>
  <c r="U13" i="8" s="1"/>
  <c r="R14" i="8"/>
  <c r="O14" i="8"/>
  <c r="L14" i="8"/>
  <c r="L13" i="8" s="1"/>
  <c r="C14" i="8"/>
  <c r="AD13" i="8"/>
  <c r="AA13" i="8"/>
  <c r="R13" i="8"/>
  <c r="R36" i="8" s="1"/>
  <c r="AJ12" i="8"/>
  <c r="AG12" i="8"/>
  <c r="AH58" i="8" s="1"/>
  <c r="AD12" i="8"/>
  <c r="AE59" i="8" s="1"/>
  <c r="AA12" i="8"/>
  <c r="AB59" i="8" s="1"/>
  <c r="X12" i="8"/>
  <c r="Y57" i="8" s="1"/>
  <c r="U12" i="8"/>
  <c r="V78" i="8" s="1"/>
  <c r="R12" i="8"/>
  <c r="O12" i="8"/>
  <c r="L12" i="8"/>
  <c r="M57" i="8" s="1"/>
  <c r="I12" i="8"/>
  <c r="F12" i="8"/>
  <c r="C12" i="8"/>
  <c r="AM11" i="8"/>
  <c r="AM10" i="8"/>
  <c r="AM9" i="8"/>
  <c r="AM8" i="8"/>
  <c r="AM7" i="8"/>
  <c r="AM6" i="8"/>
  <c r="AM5" i="8"/>
  <c r="AM3" i="8"/>
  <c r="AC188" i="7"/>
  <c r="AC189" i="7" s="1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3" i="7" s="1"/>
  <c r="AM150" i="7"/>
  <c r="AM142" i="7"/>
  <c r="AM141" i="7"/>
  <c r="AM140" i="7"/>
  <c r="F140" i="7"/>
  <c r="F139" i="7"/>
  <c r="AM138" i="7"/>
  <c r="AM137" i="7"/>
  <c r="AM136" i="7"/>
  <c r="AM135" i="7"/>
  <c r="F134" i="7"/>
  <c r="F134" i="16" s="1"/>
  <c r="C134" i="7"/>
  <c r="C134" i="16" s="1"/>
  <c r="AM134" i="16" s="1"/>
  <c r="F133" i="7"/>
  <c r="F133" i="16" s="1"/>
  <c r="C133" i="7"/>
  <c r="C133" i="16" s="1"/>
  <c r="AM132" i="7"/>
  <c r="AM131" i="7"/>
  <c r="F131" i="7"/>
  <c r="F131" i="16" s="1"/>
  <c r="AM130" i="7"/>
  <c r="F130" i="7"/>
  <c r="C130" i="7"/>
  <c r="C130" i="16" s="1"/>
  <c r="F129" i="7"/>
  <c r="F129" i="16" s="1"/>
  <c r="AM129" i="16" s="1"/>
  <c r="AM128" i="7"/>
  <c r="F128" i="7"/>
  <c r="F128" i="16" s="1"/>
  <c r="AJ127" i="7"/>
  <c r="AG127" i="7"/>
  <c r="AD127" i="7"/>
  <c r="AA127" i="7"/>
  <c r="X127" i="7"/>
  <c r="U127" i="7"/>
  <c r="R127" i="7"/>
  <c r="O127" i="7"/>
  <c r="L127" i="7"/>
  <c r="I127" i="7"/>
  <c r="F127" i="7"/>
  <c r="H127" i="7" s="1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C123" i="7"/>
  <c r="AM122" i="7"/>
  <c r="AM121" i="7"/>
  <c r="AJ120" i="7"/>
  <c r="AG120" i="7"/>
  <c r="AD120" i="7"/>
  <c r="AA120" i="7"/>
  <c r="X120" i="7"/>
  <c r="U120" i="7"/>
  <c r="R120" i="7"/>
  <c r="O120" i="7"/>
  <c r="L120" i="7"/>
  <c r="I120" i="7"/>
  <c r="F120" i="7"/>
  <c r="C120" i="7"/>
  <c r="F119" i="7"/>
  <c r="AM118" i="7"/>
  <c r="F117" i="7"/>
  <c r="F117" i="16" s="1"/>
  <c r="C117" i="7"/>
  <c r="C117" i="16" s="1"/>
  <c r="AM117" i="16" s="1"/>
  <c r="AM116" i="7"/>
  <c r="AM115" i="7"/>
  <c r="AJ114" i="7"/>
  <c r="AG114" i="7"/>
  <c r="AD114" i="7"/>
  <c r="AA114" i="7"/>
  <c r="X114" i="7"/>
  <c r="U114" i="7"/>
  <c r="R114" i="7"/>
  <c r="O114" i="7"/>
  <c r="L114" i="7"/>
  <c r="I114" i="7"/>
  <c r="F114" i="7"/>
  <c r="AM113" i="7"/>
  <c r="AM112" i="7"/>
  <c r="AM111" i="7"/>
  <c r="AM110" i="7"/>
  <c r="F110" i="7"/>
  <c r="F110" i="16" s="1"/>
  <c r="F109" i="16" s="1"/>
  <c r="C110" i="7"/>
  <c r="AJ109" i="7"/>
  <c r="AG109" i="7"/>
  <c r="AD109" i="7"/>
  <c r="AA109" i="7"/>
  <c r="X109" i="7"/>
  <c r="U109" i="7"/>
  <c r="R109" i="7"/>
  <c r="O109" i="7"/>
  <c r="L109" i="7"/>
  <c r="I109" i="7"/>
  <c r="F109" i="7"/>
  <c r="C109" i="7"/>
  <c r="AM108" i="7"/>
  <c r="AM107" i="7"/>
  <c r="AM106" i="7"/>
  <c r="AM105" i="7"/>
  <c r="AM104" i="7"/>
  <c r="F104" i="7"/>
  <c r="C104" i="7"/>
  <c r="AM103" i="7"/>
  <c r="F103" i="7"/>
  <c r="AM102" i="7"/>
  <c r="AM101" i="7"/>
  <c r="AM100" i="7"/>
  <c r="AJ99" i="7"/>
  <c r="AG99" i="7"/>
  <c r="AD99" i="7"/>
  <c r="AA99" i="7"/>
  <c r="X99" i="7"/>
  <c r="U99" i="7"/>
  <c r="R99" i="7"/>
  <c r="O99" i="7"/>
  <c r="L99" i="7"/>
  <c r="I99" i="7"/>
  <c r="F98" i="7"/>
  <c r="F98" i="16" s="1"/>
  <c r="C98" i="7"/>
  <c r="F97" i="7"/>
  <c r="C97" i="7"/>
  <c r="C97" i="16" s="1"/>
  <c r="AJ96" i="7"/>
  <c r="AG96" i="7"/>
  <c r="AD96" i="7"/>
  <c r="AA96" i="7"/>
  <c r="X96" i="7"/>
  <c r="U96" i="7"/>
  <c r="R96" i="7"/>
  <c r="O96" i="7"/>
  <c r="L96" i="7"/>
  <c r="I96" i="7"/>
  <c r="C96" i="7"/>
  <c r="AM95" i="7"/>
  <c r="AM94" i="7"/>
  <c r="AM93" i="7"/>
  <c r="AJ92" i="7"/>
  <c r="AG92" i="7"/>
  <c r="AD92" i="7"/>
  <c r="AA92" i="7"/>
  <c r="X92" i="7"/>
  <c r="U92" i="7"/>
  <c r="R92" i="7"/>
  <c r="O92" i="7"/>
  <c r="L92" i="7"/>
  <c r="AM92" i="7" s="1"/>
  <c r="I92" i="7"/>
  <c r="F92" i="7"/>
  <c r="C92" i="7"/>
  <c r="AM91" i="7"/>
  <c r="C90" i="7"/>
  <c r="AJ89" i="7"/>
  <c r="AG89" i="7"/>
  <c r="AD89" i="7"/>
  <c r="AA89" i="7"/>
  <c r="X89" i="7"/>
  <c r="U89" i="7"/>
  <c r="R89" i="7"/>
  <c r="O89" i="7"/>
  <c r="L89" i="7"/>
  <c r="I89" i="7"/>
  <c r="F89" i="7"/>
  <c r="F88" i="7"/>
  <c r="F88" i="16" s="1"/>
  <c r="AM87" i="7"/>
  <c r="F87" i="7"/>
  <c r="F87" i="16" s="1"/>
  <c r="C87" i="7"/>
  <c r="C87" i="16" s="1"/>
  <c r="F86" i="7"/>
  <c r="AM81" i="7"/>
  <c r="F80" i="7"/>
  <c r="C80" i="7"/>
  <c r="C80" i="16" s="1"/>
  <c r="F79" i="7"/>
  <c r="F79" i="16" s="1"/>
  <c r="C79" i="7"/>
  <c r="C79" i="16" s="1"/>
  <c r="AJ78" i="7"/>
  <c r="AG78" i="7"/>
  <c r="AD78" i="7"/>
  <c r="AA78" i="7"/>
  <c r="X78" i="7"/>
  <c r="U78" i="7"/>
  <c r="R78" i="7"/>
  <c r="O78" i="7"/>
  <c r="L78" i="7"/>
  <c r="I78" i="7"/>
  <c r="F77" i="7"/>
  <c r="C77" i="7"/>
  <c r="AM76" i="7"/>
  <c r="F76" i="7"/>
  <c r="F76" i="16" s="1"/>
  <c r="C76" i="7"/>
  <c r="C76" i="16" s="1"/>
  <c r="AM75" i="7"/>
  <c r="F74" i="7"/>
  <c r="F74" i="16" s="1"/>
  <c r="C74" i="7"/>
  <c r="C74" i="16" s="1"/>
  <c r="AM71" i="7"/>
  <c r="AM67" i="7"/>
  <c r="AM66" i="7"/>
  <c r="AM65" i="7"/>
  <c r="AO64" i="7"/>
  <c r="AM64" i="7"/>
  <c r="AN64" i="7" s="1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H64" i="7"/>
  <c r="G64" i="7"/>
  <c r="F64" i="7"/>
  <c r="F64" i="16" s="1"/>
  <c r="E64" i="7"/>
  <c r="D64" i="7"/>
  <c r="C64" i="7"/>
  <c r="C64" i="16" s="1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F63" i="7"/>
  <c r="E63" i="7"/>
  <c r="D63" i="7"/>
  <c r="C63" i="7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G62" i="7"/>
  <c r="F62" i="7"/>
  <c r="C62" i="7"/>
  <c r="AJ61" i="7"/>
  <c r="AG61" i="7"/>
  <c r="AD61" i="7"/>
  <c r="AA61" i="7"/>
  <c r="X61" i="7"/>
  <c r="U61" i="7"/>
  <c r="W61" i="7" s="1"/>
  <c r="R61" i="7"/>
  <c r="O61" i="7"/>
  <c r="L61" i="7"/>
  <c r="I61" i="7"/>
  <c r="F61" i="7"/>
  <c r="AM59" i="7"/>
  <c r="AM58" i="7"/>
  <c r="AJ57" i="7"/>
  <c r="AH57" i="7"/>
  <c r="AG57" i="7"/>
  <c r="AD57" i="7"/>
  <c r="AE57" i="7" s="1"/>
  <c r="AB57" i="7"/>
  <c r="AA57" i="7"/>
  <c r="X57" i="7"/>
  <c r="Y57" i="7" s="1"/>
  <c r="W57" i="7"/>
  <c r="V57" i="7"/>
  <c r="U57" i="7"/>
  <c r="T57" i="7"/>
  <c r="S57" i="7"/>
  <c r="R57" i="7"/>
  <c r="O57" i="7"/>
  <c r="L57" i="7"/>
  <c r="N57" i="7" s="1"/>
  <c r="K57" i="7"/>
  <c r="J57" i="7"/>
  <c r="I57" i="7"/>
  <c r="H57" i="7"/>
  <c r="G57" i="7"/>
  <c r="F57" i="7"/>
  <c r="C57" i="7"/>
  <c r="AM56" i="7"/>
  <c r="AM55" i="7"/>
  <c r="AM54" i="7"/>
  <c r="AM53" i="7"/>
  <c r="AM52" i="7"/>
  <c r="AM51" i="7"/>
  <c r="AM50" i="7"/>
  <c r="AM49" i="7"/>
  <c r="AM48" i="7"/>
  <c r="AN48" i="7" s="1"/>
  <c r="AM47" i="7"/>
  <c r="AO47" i="7" s="1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H47" i="7"/>
  <c r="F47" i="7"/>
  <c r="E47" i="7"/>
  <c r="C47" i="7"/>
  <c r="C47" i="16" s="1"/>
  <c r="AJ46" i="7"/>
  <c r="AG46" i="7"/>
  <c r="AD46" i="7"/>
  <c r="AA46" i="7"/>
  <c r="X46" i="7"/>
  <c r="X45" i="7" s="1"/>
  <c r="U46" i="7"/>
  <c r="U45" i="7" s="1"/>
  <c r="R46" i="7"/>
  <c r="O46" i="7"/>
  <c r="L46" i="7"/>
  <c r="I46" i="7"/>
  <c r="C46" i="7"/>
  <c r="AG45" i="7"/>
  <c r="AD45" i="7"/>
  <c r="L45" i="7"/>
  <c r="I45" i="7"/>
  <c r="AM36" i="7"/>
  <c r="F33" i="7"/>
  <c r="F32" i="7"/>
  <c r="F31" i="7"/>
  <c r="O30" i="7"/>
  <c r="AM27" i="7"/>
  <c r="AM26" i="7"/>
  <c r="AM25" i="7"/>
  <c r="AJ24" i="7"/>
  <c r="AJ23" i="7" s="1"/>
  <c r="AG24" i="7"/>
  <c r="AD24" i="7"/>
  <c r="AD23" i="7" s="1"/>
  <c r="AD13" i="7" s="1"/>
  <c r="AA24" i="7"/>
  <c r="AA23" i="7" s="1"/>
  <c r="X24" i="7"/>
  <c r="X23" i="7" s="1"/>
  <c r="U24" i="7"/>
  <c r="R24" i="7"/>
  <c r="R23" i="7" s="1"/>
  <c r="O24" i="7"/>
  <c r="O23" i="7" s="1"/>
  <c r="L24" i="7"/>
  <c r="L23" i="7" s="1"/>
  <c r="I24" i="7"/>
  <c r="F24" i="7"/>
  <c r="C24" i="7"/>
  <c r="C23" i="7" s="1"/>
  <c r="AG23" i="7"/>
  <c r="U23" i="7"/>
  <c r="I23" i="7"/>
  <c r="F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J15" i="16" s="1"/>
  <c r="AJ14" i="16" s="1"/>
  <c r="AG15" i="7"/>
  <c r="AD15" i="7"/>
  <c r="AC15" i="7"/>
  <c r="AA15" i="7"/>
  <c r="X15" i="7"/>
  <c r="U15" i="7"/>
  <c r="R15" i="7"/>
  <c r="R14" i="7" s="1"/>
  <c r="O15" i="7"/>
  <c r="L15" i="7"/>
  <c r="L14" i="7" s="1"/>
  <c r="I15" i="7"/>
  <c r="F15" i="7"/>
  <c r="F14" i="7" s="1"/>
  <c r="C15" i="7"/>
  <c r="AD14" i="7"/>
  <c r="X14" i="7"/>
  <c r="O14" i="7"/>
  <c r="O13" i="7" s="1"/>
  <c r="I14" i="7"/>
  <c r="C14" i="7"/>
  <c r="F13" i="7"/>
  <c r="AJ12" i="7"/>
  <c r="AG12" i="7"/>
  <c r="AD12" i="7"/>
  <c r="T4" i="1" s="1"/>
  <c r="AA12" i="7"/>
  <c r="X12" i="7"/>
  <c r="U12" i="7"/>
  <c r="R12" i="7"/>
  <c r="O12" i="7"/>
  <c r="L12" i="7"/>
  <c r="H4" i="1" s="1"/>
  <c r="I12" i="7"/>
  <c r="F12" i="7"/>
  <c r="C12" i="7"/>
  <c r="AM12" i="7" s="1"/>
  <c r="AN75" i="7" s="1"/>
  <c r="AM11" i="7"/>
  <c r="AM10" i="7"/>
  <c r="AM9" i="7"/>
  <c r="AM8" i="7"/>
  <c r="AM7" i="7"/>
  <c r="AM6" i="7"/>
  <c r="AM5" i="7"/>
  <c r="AM3" i="7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1" i="6"/>
  <c r="AM150" i="6"/>
  <c r="AM149" i="6"/>
  <c r="AM148" i="6"/>
  <c r="AQ147" i="6"/>
  <c r="AJ147" i="6"/>
  <c r="AG147" i="6"/>
  <c r="AD147" i="6"/>
  <c r="AA147" i="6"/>
  <c r="X147" i="6"/>
  <c r="U147" i="6"/>
  <c r="R147" i="6"/>
  <c r="O147" i="6"/>
  <c r="L147" i="6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G127" i="6"/>
  <c r="AD127" i="6"/>
  <c r="AA127" i="6"/>
  <c r="X127" i="6"/>
  <c r="U127" i="6"/>
  <c r="R127" i="6"/>
  <c r="O127" i="6"/>
  <c r="L127" i="6"/>
  <c r="I127" i="6"/>
  <c r="F127" i="6"/>
  <c r="C127" i="6"/>
  <c r="AM126" i="6"/>
  <c r="AM125" i="6"/>
  <c r="AM124" i="6"/>
  <c r="AQ123" i="6"/>
  <c r="AM123" i="6"/>
  <c r="AA123" i="6"/>
  <c r="X123" i="6"/>
  <c r="U123" i="6"/>
  <c r="R123" i="6"/>
  <c r="O123" i="6"/>
  <c r="L123" i="6"/>
  <c r="I123" i="6"/>
  <c r="F123" i="6"/>
  <c r="C123" i="6"/>
  <c r="AM121" i="6"/>
  <c r="AQ120" i="6"/>
  <c r="AG120" i="6"/>
  <c r="AD120" i="6"/>
  <c r="AD83" i="6" s="1"/>
  <c r="AA120" i="6"/>
  <c r="X120" i="6"/>
  <c r="U120" i="6"/>
  <c r="R120" i="6"/>
  <c r="O120" i="6"/>
  <c r="L120" i="6"/>
  <c r="I120" i="6"/>
  <c r="K120" i="6" s="1"/>
  <c r="F120" i="6"/>
  <c r="C120" i="6"/>
  <c r="AM119" i="6"/>
  <c r="AM118" i="6"/>
  <c r="AM117" i="6"/>
  <c r="AM116" i="6"/>
  <c r="AM115" i="6"/>
  <c r="AQ114" i="6"/>
  <c r="AA114" i="6"/>
  <c r="X114" i="6"/>
  <c r="U114" i="6"/>
  <c r="R114" i="6"/>
  <c r="O114" i="6"/>
  <c r="L114" i="6"/>
  <c r="I114" i="6"/>
  <c r="K114" i="6" s="1"/>
  <c r="F114" i="6"/>
  <c r="AM114" i="6" s="1"/>
  <c r="C114" i="6"/>
  <c r="AM113" i="6"/>
  <c r="AM112" i="6"/>
  <c r="AM111" i="6"/>
  <c r="AM110" i="6"/>
  <c r="AQ109" i="6"/>
  <c r="AA109" i="6"/>
  <c r="X109" i="6"/>
  <c r="U109" i="6"/>
  <c r="U83" i="6" s="1"/>
  <c r="R109" i="6"/>
  <c r="O109" i="6"/>
  <c r="AM109" i="6" s="1"/>
  <c r="L109" i="6"/>
  <c r="I109" i="6"/>
  <c r="F109" i="6"/>
  <c r="C109" i="6"/>
  <c r="AM106" i="6"/>
  <c r="AM105" i="6"/>
  <c r="AM104" i="6"/>
  <c r="AM103" i="6"/>
  <c r="AM102" i="6"/>
  <c r="AM101" i="6"/>
  <c r="AM100" i="6"/>
  <c r="AQ99" i="6"/>
  <c r="AA99" i="6"/>
  <c r="X99" i="6"/>
  <c r="U99" i="6"/>
  <c r="R99" i="6"/>
  <c r="O99" i="6"/>
  <c r="L99" i="6"/>
  <c r="I99" i="6"/>
  <c r="F99" i="6"/>
  <c r="C99" i="6"/>
  <c r="AM98" i="6"/>
  <c r="AM97" i="6"/>
  <c r="AQ96" i="6"/>
  <c r="AG96" i="6"/>
  <c r="AA96" i="6"/>
  <c r="X96" i="6"/>
  <c r="U96" i="6"/>
  <c r="R96" i="6"/>
  <c r="O96" i="6"/>
  <c r="L96" i="6"/>
  <c r="I96" i="6"/>
  <c r="K96" i="6" s="1"/>
  <c r="F96" i="6"/>
  <c r="C96" i="6"/>
  <c r="AM95" i="6"/>
  <c r="AM94" i="6"/>
  <c r="AM93" i="6"/>
  <c r="AA92" i="6"/>
  <c r="X92" i="6"/>
  <c r="U92" i="6"/>
  <c r="R92" i="6"/>
  <c r="O92" i="6"/>
  <c r="L92" i="6"/>
  <c r="I92" i="6"/>
  <c r="F92" i="6"/>
  <c r="C92" i="6"/>
  <c r="AM91" i="6"/>
  <c r="AM90" i="6"/>
  <c r="AA89" i="6"/>
  <c r="AA83" i="6" s="1"/>
  <c r="X89" i="6"/>
  <c r="U89" i="6"/>
  <c r="R89" i="6"/>
  <c r="O89" i="6"/>
  <c r="L89" i="6"/>
  <c r="L83" i="6" s="1"/>
  <c r="I89" i="6"/>
  <c r="F89" i="6"/>
  <c r="C89" i="6"/>
  <c r="AM87" i="6"/>
  <c r="AM86" i="6"/>
  <c r="AM85" i="6"/>
  <c r="AQ84" i="6"/>
  <c r="AJ84" i="6"/>
  <c r="AG84" i="6"/>
  <c r="AD84" i="6"/>
  <c r="AA84" i="6"/>
  <c r="X84" i="6"/>
  <c r="U84" i="6"/>
  <c r="R84" i="6"/>
  <c r="O84" i="6"/>
  <c r="L84" i="6"/>
  <c r="I84" i="6"/>
  <c r="F84" i="6"/>
  <c r="C84" i="6"/>
  <c r="AQ83" i="6"/>
  <c r="AJ83" i="6"/>
  <c r="X83" i="6"/>
  <c r="O83" i="6"/>
  <c r="I83" i="6"/>
  <c r="K83" i="6" s="1"/>
  <c r="AM81" i="6"/>
  <c r="AM80" i="6"/>
  <c r="AM79" i="6"/>
  <c r="AQ78" i="6"/>
  <c r="AG78" i="6"/>
  <c r="AD78" i="6"/>
  <c r="AA78" i="6"/>
  <c r="X78" i="6"/>
  <c r="U78" i="6"/>
  <c r="R78" i="6"/>
  <c r="O78" i="6"/>
  <c r="L78" i="6"/>
  <c r="I78" i="6"/>
  <c r="K78" i="6" s="1"/>
  <c r="F78" i="6"/>
  <c r="C78" i="6"/>
  <c r="AM77" i="6"/>
  <c r="AM76" i="6"/>
  <c r="AM75" i="6"/>
  <c r="AM74" i="6"/>
  <c r="AM73" i="6"/>
  <c r="AQ72" i="6"/>
  <c r="AJ72" i="6"/>
  <c r="AH72" i="6"/>
  <c r="AG72" i="6"/>
  <c r="AD72" i="6"/>
  <c r="AA72" i="6"/>
  <c r="X72" i="6"/>
  <c r="U72" i="6"/>
  <c r="R72" i="6"/>
  <c r="P72" i="6"/>
  <c r="O72" i="6"/>
  <c r="M72" i="6"/>
  <c r="L72" i="6"/>
  <c r="K72" i="6"/>
  <c r="I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M61" i="6"/>
  <c r="AJ61" i="6"/>
  <c r="AG61" i="6"/>
  <c r="AG60" i="6" s="1"/>
  <c r="AD61" i="6"/>
  <c r="AA61" i="6"/>
  <c r="X61" i="6"/>
  <c r="U61" i="6"/>
  <c r="U60" i="6" s="1"/>
  <c r="R61" i="6"/>
  <c r="O61" i="6"/>
  <c r="L61" i="6"/>
  <c r="L60" i="6" s="1"/>
  <c r="I61" i="6"/>
  <c r="F61" i="6"/>
  <c r="F60" i="6" s="1"/>
  <c r="C61" i="6"/>
  <c r="C60" i="6" s="1"/>
  <c r="AJ60" i="6"/>
  <c r="O60" i="6"/>
  <c r="I60" i="6"/>
  <c r="AM59" i="6"/>
  <c r="AJ58" i="6"/>
  <c r="AJ58" i="16" s="1"/>
  <c r="AJ57" i="16" s="1"/>
  <c r="AJ57" i="6"/>
  <c r="AG57" i="6"/>
  <c r="AI57" i="6" s="1"/>
  <c r="AF57" i="6"/>
  <c r="AE57" i="6"/>
  <c r="AD57" i="6"/>
  <c r="AC57" i="6"/>
  <c r="AB57" i="6"/>
  <c r="AA57" i="6"/>
  <c r="X57" i="6"/>
  <c r="Z57" i="6" s="1"/>
  <c r="R57" i="6"/>
  <c r="S57" i="6" s="1"/>
  <c r="P57" i="6"/>
  <c r="O57" i="6"/>
  <c r="Q57" i="6" s="1"/>
  <c r="M57" i="6"/>
  <c r="L57" i="6"/>
  <c r="I57" i="6"/>
  <c r="F57" i="6"/>
  <c r="AM56" i="6"/>
  <c r="AM53" i="6"/>
  <c r="AM52" i="6"/>
  <c r="AM51" i="6"/>
  <c r="AM50" i="6"/>
  <c r="AM49" i="6"/>
  <c r="AM48" i="6"/>
  <c r="AS47" i="6"/>
  <c r="AR47" i="6"/>
  <c r="AM47" i="6"/>
  <c r="AI47" i="6"/>
  <c r="AH47" i="6"/>
  <c r="AF47" i="6"/>
  <c r="Z47" i="6"/>
  <c r="Y47" i="6"/>
  <c r="T47" i="6"/>
  <c r="S47" i="6"/>
  <c r="P47" i="6"/>
  <c r="N47" i="6"/>
  <c r="M47" i="6"/>
  <c r="K47" i="6"/>
  <c r="J47" i="6"/>
  <c r="H47" i="6"/>
  <c r="G47" i="6"/>
  <c r="AQ46" i="6"/>
  <c r="AJ46" i="6"/>
  <c r="AG46" i="6"/>
  <c r="AD46" i="6"/>
  <c r="AD45" i="6" s="1"/>
  <c r="AA46" i="6"/>
  <c r="AA45" i="6" s="1"/>
  <c r="X46" i="6"/>
  <c r="U46" i="6"/>
  <c r="R46" i="6"/>
  <c r="R45" i="6" s="1"/>
  <c r="O46" i="6"/>
  <c r="L46" i="6"/>
  <c r="I46" i="6"/>
  <c r="F46" i="6"/>
  <c r="C46" i="6"/>
  <c r="AM46" i="6" s="1"/>
  <c r="AQ45" i="6"/>
  <c r="AJ45" i="6"/>
  <c r="AJ44" i="6" s="1"/>
  <c r="AJ144" i="6" s="1"/>
  <c r="AG45" i="6"/>
  <c r="AG44" i="6" s="1"/>
  <c r="O45" i="6"/>
  <c r="O44" i="6" s="1"/>
  <c r="I45" i="6"/>
  <c r="I44" i="6" s="1"/>
  <c r="K44" i="6" s="1"/>
  <c r="C45" i="6"/>
  <c r="AM35" i="6"/>
  <c r="AM34" i="6"/>
  <c r="AM33" i="6"/>
  <c r="AM32" i="6"/>
  <c r="AM31" i="6"/>
  <c r="C30" i="6"/>
  <c r="AQ29" i="6"/>
  <c r="AQ28" i="6" s="1"/>
  <c r="X29" i="6"/>
  <c r="X28" i="6"/>
  <c r="AM27" i="6"/>
  <c r="AM26" i="6"/>
  <c r="AM25" i="6"/>
  <c r="AG24" i="6"/>
  <c r="AD24" i="6"/>
  <c r="AA24" i="6"/>
  <c r="X24" i="6"/>
  <c r="U24" i="6"/>
  <c r="R24" i="6"/>
  <c r="O24" i="6"/>
  <c r="L24" i="6"/>
  <c r="I24" i="6"/>
  <c r="F24" i="6"/>
  <c r="C24" i="6"/>
  <c r="AG23" i="6"/>
  <c r="AD23" i="6"/>
  <c r="AA23" i="6"/>
  <c r="X23" i="6"/>
  <c r="U23" i="6"/>
  <c r="R23" i="6"/>
  <c r="O23" i="6"/>
  <c r="L23" i="6"/>
  <c r="I23" i="6"/>
  <c r="F23" i="6"/>
  <c r="C23" i="6"/>
  <c r="AM20" i="6"/>
  <c r="AG20" i="6"/>
  <c r="AG20" i="16" s="1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Q14" i="6" s="1"/>
  <c r="AG15" i="6"/>
  <c r="AD15" i="6"/>
  <c r="AD14" i="6" s="1"/>
  <c r="AA15" i="6"/>
  <c r="AC47" i="6" s="1"/>
  <c r="Z15" i="6"/>
  <c r="X15" i="6"/>
  <c r="U15" i="6"/>
  <c r="T15" i="6"/>
  <c r="R15" i="6"/>
  <c r="O15" i="6"/>
  <c r="N15" i="6"/>
  <c r="L15" i="6"/>
  <c r="K15" i="6"/>
  <c r="I15" i="6"/>
  <c r="F15" i="6"/>
  <c r="C15" i="6"/>
  <c r="AG14" i="6"/>
  <c r="AG13" i="6" s="1"/>
  <c r="AG30" i="6" s="1"/>
  <c r="AG29" i="6" s="1"/>
  <c r="AG28" i="6" s="1"/>
  <c r="AA14" i="6"/>
  <c r="X14" i="6"/>
  <c r="R14" i="6"/>
  <c r="R13" i="6" s="1"/>
  <c r="L14" i="6"/>
  <c r="L13" i="6" s="1"/>
  <c r="I14" i="6"/>
  <c r="I13" i="6" s="1"/>
  <c r="I30" i="6" s="1"/>
  <c r="I29" i="6" s="1"/>
  <c r="C14" i="6"/>
  <c r="C13" i="6"/>
  <c r="AQ12" i="6"/>
  <c r="AJ12" i="6"/>
  <c r="X8" i="1" s="1"/>
  <c r="AG12" i="6"/>
  <c r="AD12" i="6"/>
  <c r="AA12" i="6"/>
  <c r="AB47" i="6" s="1"/>
  <c r="X12" i="6"/>
  <c r="U12" i="6"/>
  <c r="V47" i="6" s="1"/>
  <c r="R12" i="6"/>
  <c r="O12" i="6"/>
  <c r="L12" i="6"/>
  <c r="I12" i="6"/>
  <c r="J72" i="6" s="1"/>
  <c r="F12" i="6"/>
  <c r="C12" i="6"/>
  <c r="AM12" i="6" s="1"/>
  <c r="AM9" i="6"/>
  <c r="AM8" i="6"/>
  <c r="AM7" i="6"/>
  <c r="AM6" i="6"/>
  <c r="AM5" i="6"/>
  <c r="AM3" i="6"/>
  <c r="M200" i="5"/>
  <c r="M198" i="5"/>
  <c r="M197" i="5"/>
  <c r="AM142" i="5"/>
  <c r="F142" i="5"/>
  <c r="C142" i="5"/>
  <c r="AM138" i="5"/>
  <c r="AM137" i="5"/>
  <c r="AM136" i="5"/>
  <c r="AM135" i="5"/>
  <c r="AM134" i="5"/>
  <c r="AM133" i="5"/>
  <c r="F133" i="5"/>
  <c r="C133" i="5"/>
  <c r="AM132" i="5"/>
  <c r="AM131" i="5"/>
  <c r="AM130" i="5"/>
  <c r="F129" i="5"/>
  <c r="C129" i="5"/>
  <c r="C126" i="5" s="1"/>
  <c r="AM127" i="5"/>
  <c r="AJ126" i="5"/>
  <c r="AI126" i="5"/>
  <c r="AG126" i="5"/>
  <c r="AD126" i="5"/>
  <c r="AA126" i="5"/>
  <c r="X126" i="5"/>
  <c r="Z126" i="5" s="1"/>
  <c r="U126" i="5"/>
  <c r="R126" i="5"/>
  <c r="O126" i="5"/>
  <c r="N126" i="5"/>
  <c r="L126" i="5"/>
  <c r="I126" i="5"/>
  <c r="AM125" i="5"/>
  <c r="AM124" i="5"/>
  <c r="AM123" i="5"/>
  <c r="AJ122" i="5"/>
  <c r="AI122" i="5"/>
  <c r="AG122" i="5"/>
  <c r="AF122" i="5"/>
  <c r="AA122" i="5"/>
  <c r="Z122" i="5"/>
  <c r="X122" i="5"/>
  <c r="U122" i="5"/>
  <c r="R122" i="5"/>
  <c r="O122" i="5"/>
  <c r="L122" i="5"/>
  <c r="I122" i="5"/>
  <c r="AM122" i="5" s="1"/>
  <c r="F122" i="5"/>
  <c r="C122" i="5"/>
  <c r="AM121" i="5"/>
  <c r="AM120" i="5"/>
  <c r="AJ119" i="5"/>
  <c r="AI119" i="5"/>
  <c r="AG119" i="5"/>
  <c r="AD119" i="5"/>
  <c r="AF119" i="5" s="1"/>
  <c r="AA119" i="5"/>
  <c r="X119" i="5"/>
  <c r="Z119" i="5" s="1"/>
  <c r="U119" i="5"/>
  <c r="R119" i="5"/>
  <c r="O119" i="5"/>
  <c r="L119" i="5"/>
  <c r="I119" i="5"/>
  <c r="F119" i="5"/>
  <c r="C119" i="5"/>
  <c r="AM118" i="5"/>
  <c r="AM117" i="5"/>
  <c r="AM116" i="5"/>
  <c r="AM115" i="5"/>
  <c r="AM114" i="5"/>
  <c r="AM113" i="5"/>
  <c r="AJ113" i="5"/>
  <c r="AI113" i="5"/>
  <c r="AG113" i="5"/>
  <c r="AD113" i="5"/>
  <c r="AA113" i="5"/>
  <c r="Z113" i="5"/>
  <c r="X113" i="5"/>
  <c r="X83" i="5" s="1"/>
  <c r="Z83" i="5" s="1"/>
  <c r="U113" i="5"/>
  <c r="R113" i="5"/>
  <c r="O113" i="5"/>
  <c r="N113" i="5"/>
  <c r="L113" i="5"/>
  <c r="I113" i="5"/>
  <c r="F113" i="5"/>
  <c r="C113" i="5"/>
  <c r="AM112" i="5"/>
  <c r="AM111" i="5"/>
  <c r="AM110" i="5"/>
  <c r="AM109" i="5"/>
  <c r="AJ108" i="5"/>
  <c r="AI108" i="5"/>
  <c r="AG108" i="5"/>
  <c r="AD108" i="5"/>
  <c r="AA108" i="5"/>
  <c r="X108" i="5"/>
  <c r="U108" i="5"/>
  <c r="R108" i="5"/>
  <c r="O108" i="5"/>
  <c r="L108" i="5"/>
  <c r="AM108" i="5" s="1"/>
  <c r="I108" i="5"/>
  <c r="F108" i="5"/>
  <c r="C108" i="5"/>
  <c r="AM107" i="5"/>
  <c r="AM106" i="5"/>
  <c r="AM105" i="5"/>
  <c r="AM104" i="5"/>
  <c r="AM103" i="5"/>
  <c r="AM102" i="5"/>
  <c r="AM101" i="5"/>
  <c r="AM100" i="5"/>
  <c r="AM99" i="5"/>
  <c r="AJ98" i="5"/>
  <c r="AG98" i="5"/>
  <c r="AI98" i="5" s="1"/>
  <c r="AF98" i="5"/>
  <c r="AD98" i="5"/>
  <c r="AA98" i="5"/>
  <c r="X98" i="5"/>
  <c r="Z98" i="5" s="1"/>
  <c r="U98" i="5"/>
  <c r="R98" i="5"/>
  <c r="R83" i="5" s="1"/>
  <c r="O98" i="5"/>
  <c r="L98" i="5"/>
  <c r="I98" i="5"/>
  <c r="F98" i="5"/>
  <c r="C98" i="5"/>
  <c r="AM98" i="5" s="1"/>
  <c r="AM97" i="5"/>
  <c r="AM96" i="5"/>
  <c r="AJ95" i="5"/>
  <c r="AG95" i="5"/>
  <c r="AI95" i="5" s="1"/>
  <c r="AD95" i="5"/>
  <c r="AF95" i="5" s="1"/>
  <c r="AA95" i="5"/>
  <c r="Z95" i="5"/>
  <c r="X95" i="5"/>
  <c r="U95" i="5"/>
  <c r="W95" i="5" s="1"/>
  <c r="R95" i="5"/>
  <c r="O95" i="5"/>
  <c r="L95" i="5"/>
  <c r="I95" i="5"/>
  <c r="F95" i="5"/>
  <c r="H95" i="5" s="1"/>
  <c r="C95" i="5"/>
  <c r="AM94" i="5"/>
  <c r="AM93" i="5"/>
  <c r="AM92" i="5"/>
  <c r="AJ91" i="5"/>
  <c r="AG91" i="5"/>
  <c r="AI91" i="5" s="1"/>
  <c r="AF91" i="5"/>
  <c r="AD91" i="5"/>
  <c r="AA91" i="5"/>
  <c r="X91" i="5"/>
  <c r="U91" i="5"/>
  <c r="R91" i="5"/>
  <c r="O91" i="5"/>
  <c r="N91" i="5"/>
  <c r="L91" i="5"/>
  <c r="I91" i="5"/>
  <c r="F91" i="5"/>
  <c r="C91" i="5"/>
  <c r="AM90" i="5"/>
  <c r="AM89" i="5"/>
  <c r="AJ88" i="5"/>
  <c r="AI88" i="5"/>
  <c r="AG88" i="5"/>
  <c r="AD88" i="5"/>
  <c r="AA88" i="5"/>
  <c r="Z88" i="5"/>
  <c r="X88" i="5"/>
  <c r="U88" i="5"/>
  <c r="R88" i="5"/>
  <c r="O88" i="5"/>
  <c r="L88" i="5"/>
  <c r="AM88" i="5" s="1"/>
  <c r="I88" i="5"/>
  <c r="F88" i="5"/>
  <c r="C88" i="5"/>
  <c r="AM87" i="5"/>
  <c r="AM86" i="5"/>
  <c r="AM85" i="5"/>
  <c r="AJ84" i="5"/>
  <c r="AG84" i="5"/>
  <c r="AG83" i="5" s="1"/>
  <c r="AF84" i="5"/>
  <c r="AD84" i="5"/>
  <c r="AA84" i="5"/>
  <c r="Z84" i="5"/>
  <c r="X84" i="5"/>
  <c r="W84" i="5"/>
  <c r="U84" i="5"/>
  <c r="U83" i="5" s="1"/>
  <c r="W83" i="5" s="1"/>
  <c r="R84" i="5"/>
  <c r="O84" i="5"/>
  <c r="L84" i="5"/>
  <c r="I84" i="5"/>
  <c r="F84" i="5"/>
  <c r="C84" i="5"/>
  <c r="AI83" i="5"/>
  <c r="AF83" i="5"/>
  <c r="AD83" i="5"/>
  <c r="AA83" i="5"/>
  <c r="AM81" i="5"/>
  <c r="AM80" i="5"/>
  <c r="F79" i="5"/>
  <c r="C79" i="5"/>
  <c r="AJ78" i="5"/>
  <c r="AG78" i="5"/>
  <c r="AD78" i="5"/>
  <c r="AA78" i="5"/>
  <c r="X78" i="5"/>
  <c r="U78" i="5"/>
  <c r="R78" i="5"/>
  <c r="O78" i="5"/>
  <c r="L78" i="5"/>
  <c r="I78" i="5"/>
  <c r="F78" i="5"/>
  <c r="F77" i="5"/>
  <c r="C77" i="5"/>
  <c r="AM76" i="5"/>
  <c r="F76" i="5"/>
  <c r="C76" i="5"/>
  <c r="AM75" i="5"/>
  <c r="AM74" i="5"/>
  <c r="AM73" i="5"/>
  <c r="AM72" i="5"/>
  <c r="AM71" i="5"/>
  <c r="AM66" i="5"/>
  <c r="AM65" i="5"/>
  <c r="AM64" i="5"/>
  <c r="AM63" i="5"/>
  <c r="F63" i="5"/>
  <c r="C63" i="5"/>
  <c r="F62" i="5"/>
  <c r="AM62" i="5" s="1"/>
  <c r="C62" i="5"/>
  <c r="AJ61" i="5"/>
  <c r="AJ60" i="5" s="1"/>
  <c r="AJ44" i="5" s="1"/>
  <c r="AG61" i="5"/>
  <c r="AD61" i="5"/>
  <c r="AA61" i="5"/>
  <c r="X61" i="5"/>
  <c r="X60" i="5" s="1"/>
  <c r="X44" i="5" s="1"/>
  <c r="U61" i="5"/>
  <c r="U60" i="5" s="1"/>
  <c r="U44" i="5" s="1"/>
  <c r="R61" i="5"/>
  <c r="O61" i="5"/>
  <c r="L61" i="5"/>
  <c r="L60" i="5" s="1"/>
  <c r="L44" i="5" s="1"/>
  <c r="I61" i="5"/>
  <c r="F61" i="5"/>
  <c r="AG60" i="5"/>
  <c r="AD60" i="5"/>
  <c r="AA60" i="5"/>
  <c r="R60" i="5"/>
  <c r="R44" i="5" s="1"/>
  <c r="O60" i="5"/>
  <c r="O44" i="5" s="1"/>
  <c r="I60" i="5"/>
  <c r="AM59" i="5"/>
  <c r="AO58" i="5"/>
  <c r="AM58" i="5"/>
  <c r="AM57" i="5"/>
  <c r="AM53" i="5"/>
  <c r="AM52" i="5"/>
  <c r="AM51" i="5"/>
  <c r="AM50" i="5"/>
  <c r="AM49" i="5"/>
  <c r="AM48" i="5"/>
  <c r="AO47" i="5"/>
  <c r="AM47" i="5"/>
  <c r="AM46" i="5"/>
  <c r="AM45" i="5"/>
  <c r="AG44" i="5"/>
  <c r="AG148" i="5" s="1"/>
  <c r="AG149" i="5" s="1"/>
  <c r="AD44" i="5"/>
  <c r="AD148" i="5" s="1"/>
  <c r="AD149" i="5" s="1"/>
  <c r="AA44" i="5"/>
  <c r="AA148" i="5" s="1"/>
  <c r="AA149" i="5" s="1"/>
  <c r="I44" i="5"/>
  <c r="AM35" i="5"/>
  <c r="AM34" i="5"/>
  <c r="AM33" i="5"/>
  <c r="AM32" i="5"/>
  <c r="AM31" i="5"/>
  <c r="AM30" i="5"/>
  <c r="AJ29" i="5"/>
  <c r="AI29" i="5"/>
  <c r="AG29" i="5"/>
  <c r="AD29" i="5"/>
  <c r="AA29" i="5"/>
  <c r="AA28" i="5" s="1"/>
  <c r="Z29" i="5"/>
  <c r="X29" i="5"/>
  <c r="U29" i="5"/>
  <c r="R29" i="5"/>
  <c r="O29" i="5"/>
  <c r="L29" i="5"/>
  <c r="I29" i="5"/>
  <c r="F29" i="5"/>
  <c r="C29" i="5"/>
  <c r="AJ28" i="5"/>
  <c r="AG28" i="5"/>
  <c r="AG42" i="5" s="1"/>
  <c r="X28" i="5"/>
  <c r="R28" i="5"/>
  <c r="L28" i="5"/>
  <c r="I28" i="5"/>
  <c r="C28" i="5"/>
  <c r="AM27" i="5"/>
  <c r="AM26" i="5"/>
  <c r="AM25" i="5"/>
  <c r="AJ24" i="5"/>
  <c r="AG24" i="5"/>
  <c r="AD24" i="5"/>
  <c r="AA24" i="5"/>
  <c r="AA23" i="5" s="1"/>
  <c r="X24" i="5"/>
  <c r="X23" i="5" s="1"/>
  <c r="X13" i="5" s="1"/>
  <c r="Z108" i="5" s="1"/>
  <c r="U24" i="5"/>
  <c r="U23" i="5" s="1"/>
  <c r="R24" i="5"/>
  <c r="O24" i="5"/>
  <c r="O23" i="5" s="1"/>
  <c r="L24" i="5"/>
  <c r="L23" i="5" s="1"/>
  <c r="I24" i="5"/>
  <c r="I23" i="5" s="1"/>
  <c r="F24" i="5"/>
  <c r="F23" i="5" s="1"/>
  <c r="F13" i="5" s="1"/>
  <c r="H84" i="5" s="1"/>
  <c r="C24" i="5"/>
  <c r="R23" i="5"/>
  <c r="C23" i="5"/>
  <c r="AM22" i="5"/>
  <c r="AM21" i="5"/>
  <c r="AM20" i="5"/>
  <c r="AM19" i="5"/>
  <c r="U18" i="5"/>
  <c r="R18" i="5"/>
  <c r="O18" i="5"/>
  <c r="AM17" i="5"/>
  <c r="F16" i="5"/>
  <c r="C16" i="5"/>
  <c r="AM16" i="5" s="1"/>
  <c r="AJ15" i="5"/>
  <c r="AG15" i="5"/>
  <c r="AD15" i="5"/>
  <c r="AA15" i="5"/>
  <c r="X15" i="5"/>
  <c r="U15" i="5"/>
  <c r="R15" i="5"/>
  <c r="R14" i="5" s="1"/>
  <c r="R42" i="5" s="1"/>
  <c r="L15" i="5"/>
  <c r="I15" i="5"/>
  <c r="F15" i="5"/>
  <c r="C15" i="5"/>
  <c r="AJ14" i="5"/>
  <c r="AJ42" i="5" s="1"/>
  <c r="AG14" i="5"/>
  <c r="AD14" i="5"/>
  <c r="AA14" i="5"/>
  <c r="X14" i="5"/>
  <c r="U14" i="5"/>
  <c r="U13" i="5" s="1"/>
  <c r="W122" i="5" s="1"/>
  <c r="L14" i="5"/>
  <c r="I14" i="5"/>
  <c r="F14" i="5"/>
  <c r="C14" i="5"/>
  <c r="AJ13" i="5"/>
  <c r="AG13" i="5"/>
  <c r="AD13" i="5"/>
  <c r="R13" i="5"/>
  <c r="T29" i="5" s="1"/>
  <c r="L13" i="5"/>
  <c r="N122" i="5" s="1"/>
  <c r="I13" i="5"/>
  <c r="AJ12" i="5"/>
  <c r="AG12" i="5"/>
  <c r="AD12" i="5"/>
  <c r="AA12" i="5"/>
  <c r="X12" i="5"/>
  <c r="U12" i="5"/>
  <c r="R12" i="5"/>
  <c r="O12" i="5"/>
  <c r="L12" i="5"/>
  <c r="I12" i="5"/>
  <c r="F12" i="5"/>
  <c r="AM11" i="5"/>
  <c r="AM10" i="5"/>
  <c r="AM9" i="5"/>
  <c r="AM8" i="5"/>
  <c r="AM7" i="5"/>
  <c r="AM6" i="5"/>
  <c r="L5" i="5"/>
  <c r="I5" i="5"/>
  <c r="C5" i="5"/>
  <c r="C12" i="5" s="1"/>
  <c r="AM3" i="5"/>
  <c r="O24" i="4"/>
  <c r="D23" i="4"/>
  <c r="C23" i="4"/>
  <c r="N22" i="4"/>
  <c r="M22" i="4"/>
  <c r="L22" i="4"/>
  <c r="K22" i="4"/>
  <c r="J22" i="4"/>
  <c r="I22" i="4"/>
  <c r="H22" i="4"/>
  <c r="G22" i="4"/>
  <c r="F22" i="4"/>
  <c r="E22" i="4"/>
  <c r="D22" i="4"/>
  <c r="D21" i="4"/>
  <c r="O21" i="4" s="1"/>
  <c r="D20" i="4"/>
  <c r="O20" i="4" s="1"/>
  <c r="O19" i="4" s="1"/>
  <c r="N19" i="4"/>
  <c r="M19" i="4"/>
  <c r="L19" i="4"/>
  <c r="K19" i="4"/>
  <c r="K25" i="4" s="1"/>
  <c r="J19" i="4"/>
  <c r="I19" i="4"/>
  <c r="H19" i="4"/>
  <c r="G19" i="4"/>
  <c r="F19" i="4"/>
  <c r="E19" i="4"/>
  <c r="C19" i="4"/>
  <c r="D18" i="4"/>
  <c r="C18" i="4"/>
  <c r="C15" i="4" s="1"/>
  <c r="D17" i="4"/>
  <c r="O17" i="4" s="1"/>
  <c r="C17" i="4"/>
  <c r="D16" i="4"/>
  <c r="C16" i="4"/>
  <c r="O16" i="4" s="1"/>
  <c r="N15" i="4"/>
  <c r="M15" i="4"/>
  <c r="L15" i="4"/>
  <c r="K15" i="4"/>
  <c r="J15" i="4"/>
  <c r="I15" i="4"/>
  <c r="H15" i="4"/>
  <c r="H25" i="4" s="1"/>
  <c r="G15" i="4"/>
  <c r="F15" i="4"/>
  <c r="E15" i="4"/>
  <c r="C14" i="4"/>
  <c r="O14" i="4" s="1"/>
  <c r="D13" i="4"/>
  <c r="O12" i="4"/>
  <c r="N11" i="4"/>
  <c r="N25" i="4" s="1"/>
  <c r="M11" i="4"/>
  <c r="L11" i="4"/>
  <c r="K11" i="4"/>
  <c r="J11" i="4"/>
  <c r="I11" i="4"/>
  <c r="H11" i="4"/>
  <c r="G11" i="4"/>
  <c r="F11" i="4"/>
  <c r="E11" i="4"/>
  <c r="C11" i="4"/>
  <c r="C10" i="4"/>
  <c r="C9" i="4" s="1"/>
  <c r="N9" i="4"/>
  <c r="M9" i="4"/>
  <c r="L9" i="4"/>
  <c r="K9" i="4"/>
  <c r="J9" i="4"/>
  <c r="I9" i="4"/>
  <c r="H9" i="4"/>
  <c r="G9" i="4"/>
  <c r="F9" i="4"/>
  <c r="E9" i="4"/>
  <c r="E25" i="4" s="1"/>
  <c r="D9" i="4"/>
  <c r="O8" i="4"/>
  <c r="O7" i="4"/>
  <c r="D6" i="4"/>
  <c r="C6" i="4"/>
  <c r="C5" i="4" s="1"/>
  <c r="N5" i="4"/>
  <c r="M5" i="4"/>
  <c r="L5" i="4"/>
  <c r="L25" i="4" s="1"/>
  <c r="K5" i="4"/>
  <c r="J5" i="4"/>
  <c r="I5" i="4"/>
  <c r="I25" i="4" s="1"/>
  <c r="H5" i="4"/>
  <c r="G5" i="4"/>
  <c r="F5" i="4"/>
  <c r="F25" i="4" s="1"/>
  <c r="E5" i="4"/>
  <c r="D5" i="4"/>
  <c r="K34" i="3"/>
  <c r="K30" i="3"/>
  <c r="K32" i="3" s="1"/>
  <c r="K29" i="3"/>
  <c r="K27" i="3"/>
  <c r="K28" i="3" s="1"/>
  <c r="K25" i="3"/>
  <c r="N22" i="3"/>
  <c r="M22" i="3"/>
  <c r="G22" i="3"/>
  <c r="F22" i="3"/>
  <c r="N21" i="3"/>
  <c r="M21" i="3"/>
  <c r="L21" i="3"/>
  <c r="L22" i="3" s="1"/>
  <c r="K21" i="3"/>
  <c r="K22" i="3" s="1"/>
  <c r="J21" i="3"/>
  <c r="J22" i="3" s="1"/>
  <c r="I21" i="3"/>
  <c r="I22" i="3" s="1"/>
  <c r="G21" i="3"/>
  <c r="F21" i="3"/>
  <c r="E21" i="3"/>
  <c r="E22" i="3" s="1"/>
  <c r="O20" i="3"/>
  <c r="M17" i="3"/>
  <c r="K17" i="3"/>
  <c r="I17" i="3"/>
  <c r="D16" i="3"/>
  <c r="O16" i="3" s="1"/>
  <c r="C16" i="3"/>
  <c r="O15" i="3"/>
  <c r="D14" i="3"/>
  <c r="C14" i="3"/>
  <c r="O14" i="3" s="1"/>
  <c r="D13" i="3"/>
  <c r="C13" i="3"/>
  <c r="N12" i="3"/>
  <c r="N17" i="3" s="1"/>
  <c r="M12" i="3"/>
  <c r="L12" i="3"/>
  <c r="L17" i="3" s="1"/>
  <c r="K12" i="3"/>
  <c r="J12" i="3"/>
  <c r="J17" i="3" s="1"/>
  <c r="I12" i="3"/>
  <c r="H12" i="3"/>
  <c r="G12" i="3"/>
  <c r="F12" i="3"/>
  <c r="E12" i="3"/>
  <c r="D10" i="3"/>
  <c r="O10" i="3" s="1"/>
  <c r="D9" i="3"/>
  <c r="C9" i="3"/>
  <c r="O8" i="3"/>
  <c r="D7" i="3"/>
  <c r="O7" i="3" s="1"/>
  <c r="C7" i="3"/>
  <c r="D6" i="3"/>
  <c r="N5" i="3"/>
  <c r="M5" i="3"/>
  <c r="L5" i="3"/>
  <c r="K5" i="3"/>
  <c r="J5" i="3"/>
  <c r="I5" i="3"/>
  <c r="H5" i="3"/>
  <c r="G5" i="3"/>
  <c r="G17" i="3" s="1"/>
  <c r="F5" i="3"/>
  <c r="F17" i="3" s="1"/>
  <c r="E5" i="3"/>
  <c r="E17" i="3" s="1"/>
  <c r="D128" i="2"/>
  <c r="D122" i="2"/>
  <c r="N119" i="2"/>
  <c r="M119" i="2"/>
  <c r="L119" i="2"/>
  <c r="K119" i="2"/>
  <c r="J119" i="2"/>
  <c r="I119" i="2"/>
  <c r="H119" i="2"/>
  <c r="G119" i="2"/>
  <c r="E119" i="2"/>
  <c r="O118" i="2"/>
  <c r="O117" i="2"/>
  <c r="D117" i="2"/>
  <c r="O116" i="2"/>
  <c r="D116" i="2"/>
  <c r="O115" i="2"/>
  <c r="O113" i="2"/>
  <c r="O111" i="2"/>
  <c r="N109" i="2"/>
  <c r="AJ183" i="16" s="1"/>
  <c r="K109" i="2"/>
  <c r="AA183" i="16" s="1"/>
  <c r="H109" i="2"/>
  <c r="R183" i="16" s="1"/>
  <c r="G109" i="2"/>
  <c r="E109" i="2"/>
  <c r="D108" i="2"/>
  <c r="O108" i="2" s="1"/>
  <c r="C108" i="2"/>
  <c r="C107" i="2"/>
  <c r="O107" i="2" s="1"/>
  <c r="D106" i="2"/>
  <c r="C106" i="2"/>
  <c r="O106" i="2" s="1"/>
  <c r="O105" i="2"/>
  <c r="D104" i="2"/>
  <c r="D98" i="2" s="1"/>
  <c r="D109" i="2" s="1"/>
  <c r="O103" i="2"/>
  <c r="C102" i="2"/>
  <c r="O102" i="2" s="1"/>
  <c r="D101" i="2"/>
  <c r="C101" i="2"/>
  <c r="O101" i="2" s="1"/>
  <c r="O100" i="2"/>
  <c r="D100" i="2"/>
  <c r="C100" i="2"/>
  <c r="D99" i="2"/>
  <c r="C99" i="2"/>
  <c r="O99" i="2" s="1"/>
  <c r="N98" i="2"/>
  <c r="M98" i="2"/>
  <c r="M109" i="2" s="1"/>
  <c r="AG183" i="16" s="1"/>
  <c r="L98" i="2"/>
  <c r="L109" i="2" s="1"/>
  <c r="AD183" i="16" s="1"/>
  <c r="K98" i="2"/>
  <c r="J98" i="2"/>
  <c r="J109" i="2" s="1"/>
  <c r="X183" i="16" s="1"/>
  <c r="I98" i="2"/>
  <c r="I109" i="2" s="1"/>
  <c r="U183" i="16" s="1"/>
  <c r="H98" i="2"/>
  <c r="G98" i="2"/>
  <c r="E98" i="2"/>
  <c r="G96" i="2"/>
  <c r="D95" i="2"/>
  <c r="D90" i="2" s="1"/>
  <c r="C95" i="2"/>
  <c r="D94" i="2"/>
  <c r="C94" i="2"/>
  <c r="O94" i="2" s="1"/>
  <c r="D93" i="2"/>
  <c r="C93" i="2"/>
  <c r="O93" i="2" s="1"/>
  <c r="O92" i="2"/>
  <c r="O91" i="2"/>
  <c r="N90" i="2"/>
  <c r="M90" i="2"/>
  <c r="L90" i="2"/>
  <c r="K90" i="2"/>
  <c r="J90" i="2"/>
  <c r="I90" i="2"/>
  <c r="H90" i="2"/>
  <c r="G90" i="2"/>
  <c r="E90" i="2"/>
  <c r="C90" i="2"/>
  <c r="O88" i="2"/>
  <c r="D88" i="2"/>
  <c r="C88" i="2"/>
  <c r="D87" i="2"/>
  <c r="O87" i="2" s="1"/>
  <c r="O86" i="2"/>
  <c r="D85" i="2"/>
  <c r="C85" i="2"/>
  <c r="O85" i="2" s="1"/>
  <c r="O84" i="2"/>
  <c r="D84" i="2"/>
  <c r="C84" i="2"/>
  <c r="O83" i="2"/>
  <c r="D83" i="2"/>
  <c r="C83" i="2"/>
  <c r="D82" i="2"/>
  <c r="O82" i="2" s="1"/>
  <c r="C82" i="2"/>
  <c r="D81" i="2"/>
  <c r="C81" i="2"/>
  <c r="O81" i="2" s="1"/>
  <c r="O80" i="2"/>
  <c r="D80" i="2"/>
  <c r="C80" i="2"/>
  <c r="O79" i="2"/>
  <c r="D79" i="2"/>
  <c r="C79" i="2"/>
  <c r="D78" i="2"/>
  <c r="O78" i="2" s="1"/>
  <c r="C78" i="2"/>
  <c r="D77" i="2"/>
  <c r="C77" i="2"/>
  <c r="O77" i="2" s="1"/>
  <c r="O76" i="2"/>
  <c r="D76" i="2"/>
  <c r="C76" i="2"/>
  <c r="O75" i="2"/>
  <c r="D75" i="2"/>
  <c r="C75" i="2"/>
  <c r="D74" i="2"/>
  <c r="O74" i="2" s="1"/>
  <c r="C74" i="2"/>
  <c r="D73" i="2"/>
  <c r="C73" i="2"/>
  <c r="O73" i="2" s="1"/>
  <c r="O72" i="2"/>
  <c r="O71" i="2"/>
  <c r="O70" i="2"/>
  <c r="D70" i="2"/>
  <c r="C70" i="2"/>
  <c r="D69" i="2"/>
  <c r="C69" i="2"/>
  <c r="O68" i="2"/>
  <c r="O67" i="2"/>
  <c r="D67" i="2"/>
  <c r="C67" i="2"/>
  <c r="N66" i="2"/>
  <c r="M66" i="2"/>
  <c r="L66" i="2"/>
  <c r="K66" i="2"/>
  <c r="J66" i="2"/>
  <c r="I66" i="2"/>
  <c r="H66" i="2"/>
  <c r="G66" i="2"/>
  <c r="E66" i="2"/>
  <c r="O65" i="2"/>
  <c r="O64" i="2"/>
  <c r="O63" i="2"/>
  <c r="O62" i="2" s="1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N59" i="2"/>
  <c r="M59" i="2"/>
  <c r="L59" i="2"/>
  <c r="K59" i="2"/>
  <c r="J59" i="2"/>
  <c r="I59" i="2"/>
  <c r="H59" i="2"/>
  <c r="G59" i="2"/>
  <c r="E59" i="2"/>
  <c r="D59" i="2"/>
  <c r="C59" i="2"/>
  <c r="C58" i="2"/>
  <c r="O58" i="2" s="1"/>
  <c r="O57" i="2"/>
  <c r="C57" i="2"/>
  <c r="C56" i="2"/>
  <c r="O56" i="2" s="1"/>
  <c r="O55" i="2"/>
  <c r="O54" i="2"/>
  <c r="D54" i="2"/>
  <c r="D53" i="2"/>
  <c r="D52" i="2" s="1"/>
  <c r="C53" i="2"/>
  <c r="O53" i="2" s="1"/>
  <c r="O52" i="2" s="1"/>
  <c r="N52" i="2"/>
  <c r="M52" i="2"/>
  <c r="L52" i="2"/>
  <c r="K52" i="2"/>
  <c r="J52" i="2"/>
  <c r="I52" i="2"/>
  <c r="H52" i="2"/>
  <c r="G52" i="2"/>
  <c r="E52" i="2"/>
  <c r="D51" i="2"/>
  <c r="C51" i="2"/>
  <c r="O51" i="2" s="1"/>
  <c r="O50" i="2"/>
  <c r="C49" i="2"/>
  <c r="O49" i="2" s="1"/>
  <c r="O48" i="2"/>
  <c r="D48" i="2"/>
  <c r="O47" i="2"/>
  <c r="O46" i="2" s="1"/>
  <c r="C47" i="2"/>
  <c r="N46" i="2"/>
  <c r="M46" i="2"/>
  <c r="L46" i="2"/>
  <c r="K46" i="2"/>
  <c r="J46" i="2"/>
  <c r="I46" i="2"/>
  <c r="H46" i="2"/>
  <c r="G46" i="2"/>
  <c r="E46" i="2"/>
  <c r="D46" i="2"/>
  <c r="O45" i="2"/>
  <c r="D45" i="2"/>
  <c r="C45" i="2"/>
  <c r="O44" i="2"/>
  <c r="O43" i="2"/>
  <c r="D43" i="2"/>
  <c r="C43" i="2"/>
  <c r="D42" i="2"/>
  <c r="C42" i="2"/>
  <c r="O42" i="2" s="1"/>
  <c r="O41" i="2"/>
  <c r="D41" i="2"/>
  <c r="C41" i="2"/>
  <c r="O40" i="2"/>
  <c r="D40" i="2"/>
  <c r="C40" i="2"/>
  <c r="O39" i="2"/>
  <c r="D39" i="2"/>
  <c r="C39" i="2"/>
  <c r="D38" i="2"/>
  <c r="C38" i="2"/>
  <c r="D37" i="2"/>
  <c r="D32" i="2" s="1"/>
  <c r="C37" i="2"/>
  <c r="C32" i="2" s="1"/>
  <c r="O36" i="2"/>
  <c r="D36" i="2"/>
  <c r="O35" i="2"/>
  <c r="O34" i="2"/>
  <c r="D34" i="2"/>
  <c r="C34" i="2"/>
  <c r="D33" i="2"/>
  <c r="C33" i="2"/>
  <c r="N32" i="2"/>
  <c r="M32" i="2"/>
  <c r="L32" i="2"/>
  <c r="K32" i="2"/>
  <c r="J32" i="2"/>
  <c r="I32" i="2"/>
  <c r="H32" i="2"/>
  <c r="G32" i="2"/>
  <c r="E32" i="2"/>
  <c r="O31" i="2"/>
  <c r="D31" i="2"/>
  <c r="O30" i="2"/>
  <c r="O29" i="2"/>
  <c r="O28" i="2" s="1"/>
  <c r="N28" i="2"/>
  <c r="M28" i="2"/>
  <c r="L28" i="2"/>
  <c r="K28" i="2"/>
  <c r="J28" i="2"/>
  <c r="I28" i="2"/>
  <c r="H28" i="2"/>
  <c r="G28" i="2"/>
  <c r="E28" i="2"/>
  <c r="D28" i="2"/>
  <c r="C28" i="2"/>
  <c r="O27" i="2"/>
  <c r="O26" i="2"/>
  <c r="D26" i="2"/>
  <c r="D25" i="2"/>
  <c r="D22" i="2" s="1"/>
  <c r="C25" i="2"/>
  <c r="D24" i="2"/>
  <c r="C24" i="2"/>
  <c r="D23" i="2"/>
  <c r="C23" i="2"/>
  <c r="C22" i="2" s="1"/>
  <c r="N22" i="2"/>
  <c r="M22" i="2"/>
  <c r="L22" i="2"/>
  <c r="K22" i="2"/>
  <c r="J22" i="2"/>
  <c r="I22" i="2"/>
  <c r="I96" i="2" s="1"/>
  <c r="H22" i="2"/>
  <c r="G22" i="2"/>
  <c r="E22" i="2"/>
  <c r="O21" i="2"/>
  <c r="O20" i="2"/>
  <c r="O19" i="2" s="1"/>
  <c r="N19" i="2"/>
  <c r="M19" i="2"/>
  <c r="M96" i="2" s="1"/>
  <c r="L19" i="2"/>
  <c r="K19" i="2"/>
  <c r="J19" i="2"/>
  <c r="I19" i="2"/>
  <c r="H19" i="2"/>
  <c r="G19" i="2"/>
  <c r="E19" i="2"/>
  <c r="D19" i="2"/>
  <c r="C19" i="2"/>
  <c r="D18" i="2"/>
  <c r="C18" i="2"/>
  <c r="O18" i="2" s="1"/>
  <c r="O17" i="2"/>
  <c r="O13" i="2" s="1"/>
  <c r="O16" i="2"/>
  <c r="D16" i="2"/>
  <c r="C16" i="2"/>
  <c r="O15" i="2"/>
  <c r="O14" i="2"/>
  <c r="D14" i="2"/>
  <c r="C14" i="2"/>
  <c r="N13" i="2"/>
  <c r="M13" i="2"/>
  <c r="L13" i="2"/>
  <c r="L96" i="2" s="1"/>
  <c r="K13" i="2"/>
  <c r="J13" i="2"/>
  <c r="J96" i="2" s="1"/>
  <c r="I13" i="2"/>
  <c r="H13" i="2"/>
  <c r="G13" i="2"/>
  <c r="E13" i="2"/>
  <c r="D13" i="2"/>
  <c r="O12" i="2"/>
  <c r="D12" i="2"/>
  <c r="D11" i="2"/>
  <c r="C11" i="2"/>
  <c r="O11" i="2" s="1"/>
  <c r="O10" i="2"/>
  <c r="D10" i="2"/>
  <c r="C10" i="2"/>
  <c r="O9" i="2"/>
  <c r="O8" i="2"/>
  <c r="D8" i="2"/>
  <c r="C8" i="2"/>
  <c r="D7" i="2"/>
  <c r="O7" i="2" s="1"/>
  <c r="C7" i="2"/>
  <c r="D6" i="2"/>
  <c r="C6" i="2"/>
  <c r="O6" i="2" s="1"/>
  <c r="O5" i="2" s="1"/>
  <c r="N5" i="2"/>
  <c r="M5" i="2"/>
  <c r="L5" i="2"/>
  <c r="K5" i="2"/>
  <c r="J5" i="2"/>
  <c r="I5" i="2"/>
  <c r="H5" i="2"/>
  <c r="G5" i="2"/>
  <c r="E5" i="2"/>
  <c r="E96" i="2" s="1"/>
  <c r="C5" i="2"/>
  <c r="E62" i="1"/>
  <c r="D62" i="1"/>
  <c r="C62" i="1"/>
  <c r="B62" i="1"/>
  <c r="X59" i="1"/>
  <c r="L59" i="1"/>
  <c r="T58" i="1"/>
  <c r="N58" i="1"/>
  <c r="L58" i="1"/>
  <c r="X56" i="1"/>
  <c r="D4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D36" i="1"/>
  <c r="B36" i="1"/>
  <c r="B46" i="1" s="1"/>
  <c r="X30" i="1"/>
  <c r="V30" i="1"/>
  <c r="T30" i="1"/>
  <c r="R30" i="1"/>
  <c r="P30" i="1"/>
  <c r="N30" i="1"/>
  <c r="L30" i="1"/>
  <c r="J30" i="1"/>
  <c r="H30" i="1"/>
  <c r="F30" i="1"/>
  <c r="D30" i="1"/>
  <c r="B30" i="1"/>
  <c r="X14" i="1"/>
  <c r="Y9" i="1" s="1"/>
  <c r="E14" i="1"/>
  <c r="D14" i="1"/>
  <c r="C14" i="1"/>
  <c r="B14" i="1"/>
  <c r="X13" i="1"/>
  <c r="Y13" i="1" s="1"/>
  <c r="V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M12" i="1" s="1"/>
  <c r="J12" i="1"/>
  <c r="H12" i="1"/>
  <c r="H14" i="1" s="1"/>
  <c r="F12" i="1"/>
  <c r="X11" i="1"/>
  <c r="Y11" i="1" s="1"/>
  <c r="V11" i="1"/>
  <c r="T11" i="1"/>
  <c r="R11" i="1"/>
  <c r="P11" i="1"/>
  <c r="N11" i="1"/>
  <c r="L11" i="1"/>
  <c r="J11" i="1"/>
  <c r="H11" i="1"/>
  <c r="F11" i="1"/>
  <c r="X9" i="1"/>
  <c r="V9" i="1"/>
  <c r="T9" i="1"/>
  <c r="R9" i="1"/>
  <c r="P9" i="1"/>
  <c r="N9" i="1"/>
  <c r="L9" i="1"/>
  <c r="J9" i="1"/>
  <c r="H9" i="1"/>
  <c r="F9" i="1"/>
  <c r="V8" i="1"/>
  <c r="R8" i="1"/>
  <c r="P8" i="1"/>
  <c r="N8" i="1"/>
  <c r="L8" i="1"/>
  <c r="L14" i="1" s="1"/>
  <c r="J8" i="1"/>
  <c r="H8" i="1"/>
  <c r="F8" i="1"/>
  <c r="X5" i="1"/>
  <c r="V5" i="1"/>
  <c r="W5" i="1" s="1"/>
  <c r="W2" i="1" s="1"/>
  <c r="T5" i="1"/>
  <c r="R5" i="1"/>
  <c r="P5" i="1"/>
  <c r="N5" i="1"/>
  <c r="L5" i="1"/>
  <c r="J5" i="1"/>
  <c r="H5" i="1"/>
  <c r="F5" i="1"/>
  <c r="X4" i="1"/>
  <c r="V4" i="1"/>
  <c r="V14" i="1" s="1"/>
  <c r="R4" i="1"/>
  <c r="P4" i="1"/>
  <c r="P14" i="1" s="1"/>
  <c r="N4" i="1"/>
  <c r="L4" i="1"/>
  <c r="J4" i="1"/>
  <c r="F4" i="1"/>
  <c r="E2" i="1"/>
  <c r="F146" i="17"/>
  <c r="C146" i="17"/>
  <c r="C139" i="17"/>
  <c r="AM139" i="17" s="1"/>
  <c r="AM138" i="17"/>
  <c r="AM137" i="17"/>
  <c r="AM136" i="17"/>
  <c r="AM135" i="17"/>
  <c r="AM134" i="17"/>
  <c r="AM133" i="17"/>
  <c r="AM132" i="17"/>
  <c r="AM131" i="17"/>
  <c r="F130" i="17"/>
  <c r="AM130" i="17" s="1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F126" i="17"/>
  <c r="AM125" i="17"/>
  <c r="AM124" i="17"/>
  <c r="AM123" i="17"/>
  <c r="AM122" i="17"/>
  <c r="AJ122" i="17"/>
  <c r="AG122" i="17"/>
  <c r="AA122" i="17"/>
  <c r="X122" i="17"/>
  <c r="U122" i="17"/>
  <c r="R122" i="17"/>
  <c r="O122" i="17"/>
  <c r="L122" i="17"/>
  <c r="I122" i="17"/>
  <c r="F122" i="17"/>
  <c r="C122" i="17"/>
  <c r="AM121" i="17"/>
  <c r="AM120" i="17"/>
  <c r="AJ119" i="17"/>
  <c r="AG119" i="17"/>
  <c r="AD119" i="17"/>
  <c r="AA119" i="17"/>
  <c r="X119" i="17"/>
  <c r="U119" i="17"/>
  <c r="R119" i="17"/>
  <c r="O119" i="17"/>
  <c r="L119" i="17"/>
  <c r="L83" i="17" s="1"/>
  <c r="I119" i="17"/>
  <c r="F119" i="17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R113" i="17"/>
  <c r="O113" i="17"/>
  <c r="L113" i="17"/>
  <c r="I113" i="17"/>
  <c r="F113" i="17"/>
  <c r="C113" i="17"/>
  <c r="AM113" i="17" s="1"/>
  <c r="AM112" i="17"/>
  <c r="AM111" i="17"/>
  <c r="AM110" i="17"/>
  <c r="AM109" i="17"/>
  <c r="AJ108" i="17"/>
  <c r="AG108" i="17"/>
  <c r="AD108" i="17"/>
  <c r="AA108" i="17"/>
  <c r="X108" i="17"/>
  <c r="U108" i="17"/>
  <c r="R108" i="17"/>
  <c r="O108" i="17"/>
  <c r="L108" i="17"/>
  <c r="I108" i="17"/>
  <c r="F108" i="17"/>
  <c r="C108" i="17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8" i="17" s="1"/>
  <c r="AM97" i="17"/>
  <c r="AM96" i="17"/>
  <c r="AJ95" i="17"/>
  <c r="AG95" i="17"/>
  <c r="AD95" i="17"/>
  <c r="AA95" i="17"/>
  <c r="X95" i="17"/>
  <c r="U95" i="17"/>
  <c r="R95" i="17"/>
  <c r="O95" i="17"/>
  <c r="L95" i="17"/>
  <c r="I95" i="17"/>
  <c r="F95" i="17"/>
  <c r="AM95" i="17" s="1"/>
  <c r="C95" i="17"/>
  <c r="AM94" i="17"/>
  <c r="AM93" i="17"/>
  <c r="C92" i="17"/>
  <c r="C91" i="17" s="1"/>
  <c r="AJ91" i="17"/>
  <c r="AG91" i="17"/>
  <c r="AD91" i="17"/>
  <c r="AD83" i="17" s="1"/>
  <c r="AA91" i="17"/>
  <c r="X91" i="17"/>
  <c r="U91" i="17"/>
  <c r="R91" i="17"/>
  <c r="O91" i="17"/>
  <c r="L91" i="17"/>
  <c r="I91" i="17"/>
  <c r="F91" i="17"/>
  <c r="AM90" i="17"/>
  <c r="AM89" i="17"/>
  <c r="AJ88" i="17"/>
  <c r="AG88" i="17"/>
  <c r="AG83" i="17" s="1"/>
  <c r="AG141" i="17" s="1"/>
  <c r="AD88" i="17"/>
  <c r="AA88" i="17"/>
  <c r="X88" i="17"/>
  <c r="X83" i="17" s="1"/>
  <c r="U88" i="17"/>
  <c r="R88" i="17"/>
  <c r="O88" i="17"/>
  <c r="L88" i="17"/>
  <c r="I88" i="17"/>
  <c r="F88" i="17"/>
  <c r="C88" i="17"/>
  <c r="AM87" i="17"/>
  <c r="AM86" i="17"/>
  <c r="AM85" i="17"/>
  <c r="AJ84" i="17"/>
  <c r="AG84" i="17"/>
  <c r="AD84" i="17"/>
  <c r="AA84" i="17"/>
  <c r="X84" i="17"/>
  <c r="U84" i="17"/>
  <c r="U83" i="17" s="1"/>
  <c r="R84" i="17"/>
  <c r="R83" i="17" s="1"/>
  <c r="O84" i="17"/>
  <c r="O83" i="17" s="1"/>
  <c r="L84" i="17"/>
  <c r="I84" i="17"/>
  <c r="I83" i="17" s="1"/>
  <c r="F84" i="17"/>
  <c r="C84" i="17"/>
  <c r="F83" i="17"/>
  <c r="AM81" i="17"/>
  <c r="AM80" i="17"/>
  <c r="F80" i="17"/>
  <c r="F78" i="17" s="1"/>
  <c r="C80" i="17"/>
  <c r="F79" i="17"/>
  <c r="C79" i="17"/>
  <c r="AM79" i="17" s="1"/>
  <c r="AJ78" i="17"/>
  <c r="AJ44" i="17" s="1"/>
  <c r="AG78" i="17"/>
  <c r="AG44" i="17" s="1"/>
  <c r="AD78" i="17"/>
  <c r="AA78" i="17"/>
  <c r="X78" i="17"/>
  <c r="U78" i="17"/>
  <c r="R78" i="17"/>
  <c r="O78" i="17"/>
  <c r="L78" i="17"/>
  <c r="I78" i="17"/>
  <c r="C78" i="17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M62" i="17"/>
  <c r="AN62" i="17" s="1"/>
  <c r="AJ61" i="17"/>
  <c r="AJ60" i="17" s="1"/>
  <c r="AG61" i="17"/>
  <c r="AD61" i="17"/>
  <c r="AA61" i="17"/>
  <c r="AA60" i="17" s="1"/>
  <c r="X61" i="17"/>
  <c r="U61" i="17"/>
  <c r="R61" i="17"/>
  <c r="O61" i="17"/>
  <c r="O60" i="17" s="1"/>
  <c r="L61" i="17"/>
  <c r="L60" i="17" s="1"/>
  <c r="I61" i="17"/>
  <c r="I60" i="17" s="1"/>
  <c r="I44" i="17" s="1"/>
  <c r="I141" i="17" s="1"/>
  <c r="F61" i="17"/>
  <c r="F60" i="17" s="1"/>
  <c r="C61" i="17"/>
  <c r="AM61" i="17" s="1"/>
  <c r="AG60" i="17"/>
  <c r="AD60" i="17"/>
  <c r="X60" i="17"/>
  <c r="U60" i="17"/>
  <c r="R60" i="17"/>
  <c r="C60" i="17"/>
  <c r="AJ46" i="17"/>
  <c r="AJ45" i="17" s="1"/>
  <c r="AG46" i="17"/>
  <c r="AD46" i="17"/>
  <c r="AD45" i="17" s="1"/>
  <c r="AD44" i="17" s="1"/>
  <c r="AD141" i="17" s="1"/>
  <c r="AA46" i="17"/>
  <c r="X46" i="17"/>
  <c r="U46" i="17"/>
  <c r="U45" i="17" s="1"/>
  <c r="U44" i="17" s="1"/>
  <c r="U141" i="17" s="1"/>
  <c r="R46" i="17"/>
  <c r="O46" i="17"/>
  <c r="L46" i="17"/>
  <c r="L45" i="17" s="1"/>
  <c r="I46" i="17"/>
  <c r="I45" i="17" s="1"/>
  <c r="F46" i="17"/>
  <c r="C46" i="17"/>
  <c r="C45" i="17" s="1"/>
  <c r="AG45" i="17"/>
  <c r="AA45" i="17"/>
  <c r="AA44" i="17" s="1"/>
  <c r="X45" i="17"/>
  <c r="R45" i="17"/>
  <c r="O45" i="17"/>
  <c r="F45" i="17"/>
  <c r="X44" i="17"/>
  <c r="R44" i="17"/>
  <c r="F42" i="17"/>
  <c r="AM35" i="17"/>
  <c r="AM34" i="17"/>
  <c r="AM33" i="17"/>
  <c r="AM32" i="17"/>
  <c r="AM31" i="17"/>
  <c r="AM30" i="17"/>
  <c r="AJ29" i="17"/>
  <c r="AJ28" i="17" s="1"/>
  <c r="AG29" i="17"/>
  <c r="AD29" i="17"/>
  <c r="AD28" i="17" s="1"/>
  <c r="AA29" i="17"/>
  <c r="AA28" i="17" s="1"/>
  <c r="X29" i="17"/>
  <c r="X28" i="17" s="1"/>
  <c r="U29" i="17"/>
  <c r="R29" i="17"/>
  <c r="O29" i="17"/>
  <c r="L29" i="17"/>
  <c r="I29" i="17"/>
  <c r="F29" i="17"/>
  <c r="C29" i="17"/>
  <c r="C28" i="17" s="1"/>
  <c r="U28" i="17"/>
  <c r="R28" i="17"/>
  <c r="O28" i="17"/>
  <c r="L28" i="17"/>
  <c r="F28" i="17"/>
  <c r="AM27" i="17"/>
  <c r="AM26" i="17"/>
  <c r="AM25" i="17"/>
  <c r="AJ24" i="17"/>
  <c r="AG24" i="17"/>
  <c r="AD24" i="17"/>
  <c r="AA24" i="17"/>
  <c r="AA23" i="17" s="1"/>
  <c r="X24" i="17"/>
  <c r="X23" i="17" s="1"/>
  <c r="U24" i="17"/>
  <c r="U23" i="17" s="1"/>
  <c r="R24" i="17"/>
  <c r="R23" i="17" s="1"/>
  <c r="O24" i="17"/>
  <c r="L24" i="17"/>
  <c r="L23" i="17" s="1"/>
  <c r="I24" i="17"/>
  <c r="I23" i="17" s="1"/>
  <c r="F24" i="17"/>
  <c r="C24" i="17"/>
  <c r="O23" i="17"/>
  <c r="F23" i="17"/>
  <c r="F13" i="17" s="1"/>
  <c r="H29" i="17" s="1"/>
  <c r="C23" i="17"/>
  <c r="AM22" i="17"/>
  <c r="AM21" i="17"/>
  <c r="AM20" i="17"/>
  <c r="AM19" i="17"/>
  <c r="AM18" i="17"/>
  <c r="AM17" i="17"/>
  <c r="AN16" i="17"/>
  <c r="AM16" i="17"/>
  <c r="AJ15" i="17"/>
  <c r="AJ14" i="17" s="1"/>
  <c r="AI15" i="17"/>
  <c r="AG15" i="17"/>
  <c r="AD15" i="17"/>
  <c r="AF15" i="17" s="1"/>
  <c r="AA15" i="17"/>
  <c r="AC15" i="17" s="1"/>
  <c r="X15" i="17"/>
  <c r="X14" i="17" s="1"/>
  <c r="U15" i="17"/>
  <c r="U14" i="17" s="1"/>
  <c r="U42" i="17" s="1"/>
  <c r="R15" i="17"/>
  <c r="O15" i="17"/>
  <c r="L15" i="17"/>
  <c r="AM15" i="17" s="1"/>
  <c r="AO15" i="17" s="1"/>
  <c r="I15" i="17"/>
  <c r="F15" i="17"/>
  <c r="C15" i="17"/>
  <c r="C14" i="17" s="1"/>
  <c r="AG14" i="17"/>
  <c r="AA14" i="17"/>
  <c r="R14" i="17"/>
  <c r="O14" i="17"/>
  <c r="O42" i="17" s="1"/>
  <c r="I14" i="17"/>
  <c r="F14" i="17"/>
  <c r="O13" i="17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2" i="17" s="1"/>
  <c r="AO6" i="17" s="1"/>
  <c r="AM11" i="17"/>
  <c r="AM10" i="17"/>
  <c r="AM9" i="17"/>
  <c r="AM8" i="17"/>
  <c r="AM7" i="17"/>
  <c r="AO7" i="17" s="1"/>
  <c r="AM6" i="17"/>
  <c r="AN17" i="17" s="1"/>
  <c r="AM5" i="17"/>
  <c r="AN47" i="17" s="1"/>
  <c r="AM3" i="17"/>
  <c r="I145" i="17" l="1"/>
  <c r="I147" i="17" s="1"/>
  <c r="AD145" i="17"/>
  <c r="AD147" i="17" s="1"/>
  <c r="I8" i="1"/>
  <c r="I4" i="1"/>
  <c r="I7" i="1"/>
  <c r="I11" i="1"/>
  <c r="I6" i="1"/>
  <c r="I10" i="1"/>
  <c r="I73" i="9"/>
  <c r="I72" i="9" s="1"/>
  <c r="I73" i="8"/>
  <c r="I72" i="8" s="1"/>
  <c r="I73" i="7"/>
  <c r="I72" i="7" s="1"/>
  <c r="AJ148" i="5"/>
  <c r="AJ149" i="5" s="1"/>
  <c r="AM23" i="17"/>
  <c r="AM45" i="17"/>
  <c r="C44" i="17"/>
  <c r="S13" i="1"/>
  <c r="R73" i="15"/>
  <c r="R72" i="15" s="1"/>
  <c r="R73" i="14"/>
  <c r="R72" i="14" s="1"/>
  <c r="R73" i="9"/>
  <c r="R72" i="9" s="1"/>
  <c r="R73" i="11"/>
  <c r="R72" i="11" s="1"/>
  <c r="R73" i="8"/>
  <c r="R72" i="8" s="1"/>
  <c r="R73" i="7"/>
  <c r="AA13" i="5"/>
  <c r="AA42" i="5"/>
  <c r="AJ13" i="17"/>
  <c r="AL44" i="17" s="1"/>
  <c r="AJ42" i="17"/>
  <c r="F149" i="11"/>
  <c r="F149" i="12"/>
  <c r="F149" i="9"/>
  <c r="F149" i="8"/>
  <c r="F149" i="7"/>
  <c r="F149" i="16" s="1"/>
  <c r="F183" i="16" s="1"/>
  <c r="Q13" i="1"/>
  <c r="Q10" i="1"/>
  <c r="Q5" i="1"/>
  <c r="Q2" i="1" s="1"/>
  <c r="Q12" i="1"/>
  <c r="Q6" i="1"/>
  <c r="Q7" i="1"/>
  <c r="AA73" i="15"/>
  <c r="AA72" i="15" s="1"/>
  <c r="AA73" i="14"/>
  <c r="AA72" i="14" s="1"/>
  <c r="AA73" i="9"/>
  <c r="AA72" i="9" s="1"/>
  <c r="AA73" i="12"/>
  <c r="AA72" i="12" s="1"/>
  <c r="AA73" i="11"/>
  <c r="AA72" i="11" s="1"/>
  <c r="AA73" i="8"/>
  <c r="AA72" i="8" s="1"/>
  <c r="AA73" i="7"/>
  <c r="AG145" i="17"/>
  <c r="AG147" i="17" s="1"/>
  <c r="AC108" i="17"/>
  <c r="U148" i="5"/>
  <c r="U149" i="5" s="1"/>
  <c r="X42" i="17"/>
  <c r="C42" i="17"/>
  <c r="C13" i="17"/>
  <c r="L44" i="17"/>
  <c r="L141" i="17" s="1"/>
  <c r="W12" i="1"/>
  <c r="W10" i="1"/>
  <c r="W6" i="1"/>
  <c r="W11" i="1"/>
  <c r="W9" i="1"/>
  <c r="W7" i="1"/>
  <c r="O9" i="1"/>
  <c r="O98" i="2"/>
  <c r="O109" i="2" s="1"/>
  <c r="X148" i="5"/>
  <c r="X149" i="5" s="1"/>
  <c r="X141" i="17"/>
  <c r="AJ73" i="12"/>
  <c r="AJ72" i="12" s="1"/>
  <c r="AJ73" i="11"/>
  <c r="AJ72" i="11" s="1"/>
  <c r="AJ73" i="9"/>
  <c r="AJ72" i="9" s="1"/>
  <c r="AJ60" i="9" s="1"/>
  <c r="AJ44" i="9" s="1"/>
  <c r="AJ164" i="9" s="1"/>
  <c r="AJ166" i="9" s="1"/>
  <c r="AJ73" i="8"/>
  <c r="AJ72" i="8" s="1"/>
  <c r="AJ60" i="8" s="1"/>
  <c r="AJ44" i="8" s="1"/>
  <c r="AJ164" i="8" s="1"/>
  <c r="AJ166" i="8" s="1"/>
  <c r="AJ73" i="7"/>
  <c r="AC91" i="5"/>
  <c r="I28" i="6"/>
  <c r="I42" i="6" s="1"/>
  <c r="K29" i="6"/>
  <c r="U145" i="17"/>
  <c r="U147" i="17" s="1"/>
  <c r="AM78" i="17"/>
  <c r="G5" i="1"/>
  <c r="G2" i="1" s="1"/>
  <c r="G13" i="1"/>
  <c r="L73" i="15"/>
  <c r="L73" i="11"/>
  <c r="L72" i="11" s="1"/>
  <c r="L73" i="9"/>
  <c r="L72" i="9" s="1"/>
  <c r="L73" i="8"/>
  <c r="L72" i="8" s="1"/>
  <c r="L73" i="7"/>
  <c r="L72" i="7" s="1"/>
  <c r="N114" i="6"/>
  <c r="N109" i="6"/>
  <c r="N84" i="6"/>
  <c r="L30" i="6"/>
  <c r="L29" i="6" s="1"/>
  <c r="N78" i="6"/>
  <c r="N120" i="6"/>
  <c r="N99" i="6"/>
  <c r="M5" i="1"/>
  <c r="M2" i="1" s="1"/>
  <c r="M13" i="1"/>
  <c r="M6" i="1"/>
  <c r="M11" i="1"/>
  <c r="M7" i="1"/>
  <c r="M4" i="1"/>
  <c r="M14" i="1" s="1"/>
  <c r="M10" i="1"/>
  <c r="M9" i="1"/>
  <c r="I13" i="1"/>
  <c r="T89" i="6"/>
  <c r="T84" i="6"/>
  <c r="T96" i="6"/>
  <c r="T147" i="6"/>
  <c r="R30" i="6"/>
  <c r="R29" i="6" s="1"/>
  <c r="R28" i="6" s="1"/>
  <c r="R42" i="6" s="1"/>
  <c r="T72" i="6"/>
  <c r="R42" i="17"/>
  <c r="O37" i="2"/>
  <c r="J25" i="4"/>
  <c r="O10" i="4"/>
  <c r="O9" i="4" s="1"/>
  <c r="AM12" i="5"/>
  <c r="R148" i="5"/>
  <c r="R149" i="5" s="1"/>
  <c r="R140" i="5"/>
  <c r="R144" i="5" s="1"/>
  <c r="AR77" i="6"/>
  <c r="AR114" i="6"/>
  <c r="AR109" i="6"/>
  <c r="AR96" i="6"/>
  <c r="AR84" i="6"/>
  <c r="AR127" i="6"/>
  <c r="AR99" i="6"/>
  <c r="AR92" i="6"/>
  <c r="AR80" i="6"/>
  <c r="AR76" i="6"/>
  <c r="AR79" i="6"/>
  <c r="AR89" i="6"/>
  <c r="AR120" i="6"/>
  <c r="AN59" i="6"/>
  <c r="AR72" i="6"/>
  <c r="F83" i="6"/>
  <c r="T109" i="6"/>
  <c r="U15" i="16"/>
  <c r="U14" i="16" s="1"/>
  <c r="U14" i="7"/>
  <c r="U13" i="17"/>
  <c r="W29" i="17" s="1"/>
  <c r="AD14" i="17"/>
  <c r="Z15" i="17"/>
  <c r="I28" i="17"/>
  <c r="I42" i="17" s="1"/>
  <c r="AG28" i="17"/>
  <c r="AM88" i="17"/>
  <c r="I5" i="1"/>
  <c r="I2" i="1" s="1"/>
  <c r="Y12" i="1"/>
  <c r="D5" i="2"/>
  <c r="O38" i="2"/>
  <c r="C6" i="3"/>
  <c r="O9" i="3"/>
  <c r="D19" i="4"/>
  <c r="AF108" i="5"/>
  <c r="AF88" i="5"/>
  <c r="O28" i="5"/>
  <c r="W119" i="5"/>
  <c r="R156" i="5"/>
  <c r="S72" i="6"/>
  <c r="AM147" i="6"/>
  <c r="C13" i="7"/>
  <c r="Y5" i="1"/>
  <c r="Q9" i="1"/>
  <c r="J14" i="1"/>
  <c r="K9" i="1" s="1"/>
  <c r="O33" i="2"/>
  <c r="O32" i="2" s="1"/>
  <c r="AD73" i="15"/>
  <c r="AD72" i="15" s="1"/>
  <c r="AD73" i="14"/>
  <c r="AD72" i="14" s="1"/>
  <c r="AD73" i="12"/>
  <c r="AD72" i="12" s="1"/>
  <c r="AD73" i="11"/>
  <c r="AD72" i="11" s="1"/>
  <c r="AD73" i="7"/>
  <c r="AD73" i="9"/>
  <c r="AD72" i="9" s="1"/>
  <c r="AD73" i="8"/>
  <c r="AD72" i="8" s="1"/>
  <c r="D11" i="4"/>
  <c r="D25" i="4" s="1"/>
  <c r="O13" i="4"/>
  <c r="O11" i="4" s="1"/>
  <c r="H122" i="5"/>
  <c r="W126" i="5"/>
  <c r="AM129" i="5"/>
  <c r="T114" i="6"/>
  <c r="Q57" i="7"/>
  <c r="P57" i="7"/>
  <c r="O45" i="7"/>
  <c r="AM5" i="5"/>
  <c r="AM23" i="5"/>
  <c r="AO73" i="5"/>
  <c r="W91" i="5"/>
  <c r="N108" i="5"/>
  <c r="F14" i="6"/>
  <c r="AM15" i="6"/>
  <c r="AO15" i="6" s="1"/>
  <c r="H15" i="6"/>
  <c r="AJ161" i="6"/>
  <c r="AJ162" i="6" s="1"/>
  <c r="AJ145" i="6"/>
  <c r="AR83" i="6"/>
  <c r="O23" i="2"/>
  <c r="D12" i="3"/>
  <c r="AG85" i="8"/>
  <c r="AG84" i="8" s="1"/>
  <c r="N88" i="5"/>
  <c r="AA140" i="5"/>
  <c r="AA144" i="5" s="1"/>
  <c r="AG42" i="6"/>
  <c r="T92" i="6"/>
  <c r="R83" i="6"/>
  <c r="T83" i="6" s="1"/>
  <c r="AA45" i="7"/>
  <c r="R13" i="17"/>
  <c r="T29" i="17" s="1"/>
  <c r="AA60" i="6"/>
  <c r="AA44" i="6" s="1"/>
  <c r="AN76" i="7"/>
  <c r="C78" i="5"/>
  <c r="AM78" i="5" s="1"/>
  <c r="AM79" i="5"/>
  <c r="T127" i="6"/>
  <c r="AA13" i="17"/>
  <c r="Q8" i="1"/>
  <c r="AM46" i="17"/>
  <c r="Q29" i="17"/>
  <c r="AM91" i="17"/>
  <c r="Y10" i="1"/>
  <c r="AM92" i="17"/>
  <c r="C126" i="17"/>
  <c r="AM126" i="17" s="1"/>
  <c r="W8" i="1"/>
  <c r="H96" i="2"/>
  <c r="AN18" i="17"/>
  <c r="Y8" i="1"/>
  <c r="C52" i="2"/>
  <c r="O104" i="2"/>
  <c r="D15" i="4"/>
  <c r="I83" i="5"/>
  <c r="I140" i="5" s="1"/>
  <c r="I144" i="5" s="1"/>
  <c r="W98" i="5"/>
  <c r="AA13" i="6"/>
  <c r="AA30" i="6" s="1"/>
  <c r="AA29" i="6" s="1"/>
  <c r="AA28" i="6" s="1"/>
  <c r="AA42" i="6" s="1"/>
  <c r="AQ42" i="6"/>
  <c r="AQ13" i="6"/>
  <c r="AS147" i="6" s="1"/>
  <c r="AA83" i="17"/>
  <c r="AA141" i="17" s="1"/>
  <c r="D66" i="2"/>
  <c r="C98" i="2"/>
  <c r="C109" i="2" s="1"/>
  <c r="AC29" i="5"/>
  <c r="F60" i="5"/>
  <c r="F44" i="5" s="1"/>
  <c r="L83" i="5"/>
  <c r="N83" i="5" s="1"/>
  <c r="AI84" i="5"/>
  <c r="AM119" i="5"/>
  <c r="AF126" i="5"/>
  <c r="AG140" i="5"/>
  <c r="AG144" i="5" s="1"/>
  <c r="AM24" i="6"/>
  <c r="F45" i="6"/>
  <c r="F44" i="6" s="1"/>
  <c r="AQ60" i="6"/>
  <c r="AQ44" i="6" s="1"/>
  <c r="AS44" i="6" s="1"/>
  <c r="G72" i="6"/>
  <c r="AM72" i="6"/>
  <c r="AB72" i="6"/>
  <c r="AO7" i="7"/>
  <c r="U73" i="14"/>
  <c r="U72" i="14" s="1"/>
  <c r="U73" i="15"/>
  <c r="U72" i="15" s="1"/>
  <c r="W72" i="15" s="1"/>
  <c r="U73" i="11"/>
  <c r="U72" i="11" s="1"/>
  <c r="U73" i="12"/>
  <c r="U72" i="12" s="1"/>
  <c r="U73" i="8"/>
  <c r="U72" i="8" s="1"/>
  <c r="U73" i="9"/>
  <c r="U72" i="9" s="1"/>
  <c r="U58" i="6"/>
  <c r="U73" i="7"/>
  <c r="W47" i="6"/>
  <c r="U14" i="6"/>
  <c r="C44" i="6"/>
  <c r="R13" i="7"/>
  <c r="X13" i="17"/>
  <c r="Z108" i="17" s="1"/>
  <c r="AG42" i="17"/>
  <c r="AG13" i="17"/>
  <c r="AI29" i="17" s="1"/>
  <c r="AM29" i="17"/>
  <c r="AM60" i="17"/>
  <c r="N14" i="1"/>
  <c r="AA42" i="17"/>
  <c r="O4" i="1"/>
  <c r="O14" i="1" s="1"/>
  <c r="W13" i="1"/>
  <c r="F44" i="17"/>
  <c r="F141" i="17" s="1"/>
  <c r="Q4" i="1"/>
  <c r="Q14" i="1" s="1"/>
  <c r="O44" i="17"/>
  <c r="O141" i="17" s="1"/>
  <c r="I9" i="1"/>
  <c r="O25" i="2"/>
  <c r="O6" i="4"/>
  <c r="O5" i="4" s="1"/>
  <c r="AM24" i="5"/>
  <c r="AD28" i="5"/>
  <c r="AD42" i="5" s="1"/>
  <c r="AD140" i="5" s="1"/>
  <c r="AD144" i="5" s="1"/>
  <c r="AF29" i="5"/>
  <c r="N84" i="5"/>
  <c r="AJ83" i="5"/>
  <c r="AJ140" i="5" s="1"/>
  <c r="AJ144" i="5" s="1"/>
  <c r="AM91" i="5"/>
  <c r="C83" i="5"/>
  <c r="W108" i="5"/>
  <c r="AF113" i="5"/>
  <c r="K92" i="6"/>
  <c r="K89" i="6"/>
  <c r="K99" i="6"/>
  <c r="K147" i="6"/>
  <c r="K109" i="6"/>
  <c r="K84" i="6"/>
  <c r="AM23" i="6"/>
  <c r="K57" i="6"/>
  <c r="J57" i="6"/>
  <c r="AR78" i="6"/>
  <c r="T120" i="6"/>
  <c r="AD33" i="7"/>
  <c r="AF43" i="7"/>
  <c r="AD32" i="7"/>
  <c r="AD31" i="7"/>
  <c r="AD30" i="7"/>
  <c r="AD35" i="7"/>
  <c r="AD34" i="7"/>
  <c r="AF78" i="7"/>
  <c r="AF46" i="7"/>
  <c r="AM28" i="17"/>
  <c r="Y6" i="1"/>
  <c r="S12" i="1"/>
  <c r="R14" i="1"/>
  <c r="D5" i="3"/>
  <c r="D21" i="3"/>
  <c r="D22" i="3" s="1"/>
  <c r="O15" i="5"/>
  <c r="AM18" i="5"/>
  <c r="AO74" i="5" s="1"/>
  <c r="H113" i="5"/>
  <c r="H88" i="5"/>
  <c r="F28" i="5"/>
  <c r="F42" i="5" s="1"/>
  <c r="AM29" i="5"/>
  <c r="W88" i="5"/>
  <c r="H91" i="5"/>
  <c r="N95" i="5"/>
  <c r="Q15" i="6"/>
  <c r="Q47" i="6"/>
  <c r="O14" i="6"/>
  <c r="AO47" i="6"/>
  <c r="AN47" i="6"/>
  <c r="AM127" i="6"/>
  <c r="I12" i="1"/>
  <c r="AO5" i="17"/>
  <c r="I13" i="17"/>
  <c r="I142" i="17" s="1"/>
  <c r="L14" i="17"/>
  <c r="AM24" i="17"/>
  <c r="AJ83" i="17"/>
  <c r="AJ141" i="17" s="1"/>
  <c r="AM108" i="17"/>
  <c r="F14" i="1"/>
  <c r="G12" i="1" s="1"/>
  <c r="W4" i="1"/>
  <c r="W14" i="1" s="1"/>
  <c r="M8" i="1"/>
  <c r="C46" i="2"/>
  <c r="O69" i="2"/>
  <c r="O66" i="2" s="1"/>
  <c r="C66" i="2"/>
  <c r="O95" i="2"/>
  <c r="O90" i="2" s="1"/>
  <c r="G25" i="4"/>
  <c r="H29" i="5"/>
  <c r="AC83" i="5"/>
  <c r="AC108" i="5"/>
  <c r="N119" i="5"/>
  <c r="AM96" i="6"/>
  <c r="Z99" i="6"/>
  <c r="N127" i="6"/>
  <c r="R141" i="17"/>
  <c r="AM84" i="17"/>
  <c r="Y7" i="1"/>
  <c r="Y4" i="1"/>
  <c r="Y14" i="1" s="1"/>
  <c r="N96" i="2"/>
  <c r="L85" i="8"/>
  <c r="L84" i="8" s="1"/>
  <c r="L85" i="7"/>
  <c r="L84" i="7" s="1"/>
  <c r="O18" i="4"/>
  <c r="O15" i="4" s="1"/>
  <c r="AM77" i="5"/>
  <c r="X42" i="6"/>
  <c r="X13" i="6"/>
  <c r="Z127" i="6" s="1"/>
  <c r="R44" i="6"/>
  <c r="T44" i="6" s="1"/>
  <c r="AM23" i="7"/>
  <c r="T29" i="10"/>
  <c r="R28" i="10"/>
  <c r="C29" i="6"/>
  <c r="X45" i="6"/>
  <c r="X44" i="6" s="1"/>
  <c r="N57" i="6"/>
  <c r="L45" i="6"/>
  <c r="L44" i="6" s="1"/>
  <c r="N44" i="6" s="1"/>
  <c r="Z72" i="6"/>
  <c r="Y72" i="6"/>
  <c r="X60" i="6"/>
  <c r="AM89" i="6"/>
  <c r="AR123" i="6"/>
  <c r="I13" i="7"/>
  <c r="K114" i="7" s="1"/>
  <c r="AG83" i="6"/>
  <c r="AI83" i="6" s="1"/>
  <c r="O174" i="16"/>
  <c r="Q120" i="7"/>
  <c r="Q78" i="7"/>
  <c r="Q114" i="7"/>
  <c r="Q99" i="7"/>
  <c r="O35" i="7"/>
  <c r="O31" i="7"/>
  <c r="O32" i="7"/>
  <c r="O33" i="7"/>
  <c r="AF45" i="7"/>
  <c r="C88" i="16"/>
  <c r="AM88" i="16" s="1"/>
  <c r="AM88" i="8"/>
  <c r="X13" i="7"/>
  <c r="AM24" i="7"/>
  <c r="N78" i="7"/>
  <c r="F80" i="16"/>
  <c r="F78" i="7"/>
  <c r="H78" i="7" s="1"/>
  <c r="AM80" i="7"/>
  <c r="Z127" i="7"/>
  <c r="H17" i="3"/>
  <c r="C42" i="5"/>
  <c r="C13" i="5"/>
  <c r="AC88" i="5"/>
  <c r="H119" i="5"/>
  <c r="F126" i="5"/>
  <c r="H126" i="5" s="1"/>
  <c r="AM46" i="7"/>
  <c r="AM57" i="7"/>
  <c r="AN57" i="7" s="1"/>
  <c r="E57" i="7"/>
  <c r="D57" i="7"/>
  <c r="AM88" i="7"/>
  <c r="AM120" i="7"/>
  <c r="H120" i="7"/>
  <c r="AD60" i="6"/>
  <c r="AD44" i="6" s="1"/>
  <c r="AE72" i="6"/>
  <c r="N83" i="6"/>
  <c r="AG15" i="16"/>
  <c r="AG14" i="16" s="1"/>
  <c r="AG14" i="7"/>
  <c r="C62" i="16"/>
  <c r="E62" i="7"/>
  <c r="AM62" i="7"/>
  <c r="D62" i="7"/>
  <c r="C61" i="7"/>
  <c r="Z96" i="7"/>
  <c r="L13" i="9"/>
  <c r="AM14" i="9"/>
  <c r="O11" i="1"/>
  <c r="K96" i="2"/>
  <c r="O24" i="2"/>
  <c r="I42" i="5"/>
  <c r="AO59" i="5"/>
  <c r="H98" i="5"/>
  <c r="AD13" i="6"/>
  <c r="AD30" i="6" s="1"/>
  <c r="AD29" i="6" s="1"/>
  <c r="AD28" i="6" s="1"/>
  <c r="AD42" i="6" s="1"/>
  <c r="T57" i="6"/>
  <c r="AH57" i="6"/>
  <c r="R60" i="6"/>
  <c r="AM60" i="6" s="1"/>
  <c r="N89" i="6"/>
  <c r="AM92" i="6"/>
  <c r="AM99" i="6"/>
  <c r="AM153" i="6"/>
  <c r="C15" i="16"/>
  <c r="AM15" i="7"/>
  <c r="AO15" i="7" s="1"/>
  <c r="AI15" i="7"/>
  <c r="O34" i="7"/>
  <c r="E43" i="7"/>
  <c r="AN47" i="7"/>
  <c r="AM119" i="17"/>
  <c r="Q11" i="1"/>
  <c r="C13" i="2"/>
  <c r="O59" i="2"/>
  <c r="AJ85" i="8"/>
  <c r="AJ84" i="8" s="1"/>
  <c r="AJ83" i="8" s="1"/>
  <c r="AJ85" i="7"/>
  <c r="C22" i="4"/>
  <c r="C25" i="4" s="1"/>
  <c r="O23" i="4"/>
  <c r="O22" i="4" s="1"/>
  <c r="L42" i="5"/>
  <c r="U28" i="5"/>
  <c r="U42" i="5" s="1"/>
  <c r="U140" i="5" s="1"/>
  <c r="U144" i="5" s="1"/>
  <c r="W29" i="5"/>
  <c r="AI72" i="6"/>
  <c r="H109" i="7"/>
  <c r="H92" i="7"/>
  <c r="H89" i="7"/>
  <c r="F34" i="7"/>
  <c r="F30" i="7"/>
  <c r="F35" i="7"/>
  <c r="C45" i="7"/>
  <c r="F47" i="16"/>
  <c r="F46" i="16" s="1"/>
  <c r="F46" i="7"/>
  <c r="G47" i="7"/>
  <c r="I60" i="7"/>
  <c r="I44" i="7" s="1"/>
  <c r="AM109" i="7"/>
  <c r="AC47" i="8"/>
  <c r="AA35" i="8"/>
  <c r="AA33" i="8"/>
  <c r="AA32" i="8"/>
  <c r="AA36" i="8"/>
  <c r="AC78" i="8"/>
  <c r="AA37" i="8"/>
  <c r="AA30" i="8"/>
  <c r="AC59" i="8"/>
  <c r="AA34" i="8"/>
  <c r="AA31" i="8"/>
  <c r="AC58" i="8"/>
  <c r="I13" i="8"/>
  <c r="AM120" i="6"/>
  <c r="K127" i="6"/>
  <c r="R45" i="7"/>
  <c r="L60" i="7"/>
  <c r="L44" i="7" s="1"/>
  <c r="Q109" i="7"/>
  <c r="AD37" i="8"/>
  <c r="AD34" i="8"/>
  <c r="AD32" i="8"/>
  <c r="AD31" i="8"/>
  <c r="AD30" i="8"/>
  <c r="AF78" i="8"/>
  <c r="AD36" i="8"/>
  <c r="AF57" i="8"/>
  <c r="AD33" i="8"/>
  <c r="AF47" i="8"/>
  <c r="AF59" i="8"/>
  <c r="AF58" i="8"/>
  <c r="N92" i="6"/>
  <c r="AO5" i="7"/>
  <c r="L13" i="7"/>
  <c r="N96" i="7" s="1"/>
  <c r="K45" i="7"/>
  <c r="T89" i="7"/>
  <c r="Y57" i="6"/>
  <c r="AM78" i="6"/>
  <c r="C83" i="6"/>
  <c r="AM83" i="6" s="1"/>
  <c r="N147" i="6"/>
  <c r="N45" i="7"/>
  <c r="N92" i="7"/>
  <c r="N58" i="8"/>
  <c r="N47" i="8"/>
  <c r="L36" i="8"/>
  <c r="L31" i="8"/>
  <c r="N127" i="8"/>
  <c r="N123" i="8"/>
  <c r="N92" i="8"/>
  <c r="N59" i="8"/>
  <c r="L34" i="8"/>
  <c r="N78" i="8"/>
  <c r="N61" i="8"/>
  <c r="N99" i="8"/>
  <c r="L35" i="8"/>
  <c r="L29" i="8" s="1"/>
  <c r="L32" i="8"/>
  <c r="L33" i="8"/>
  <c r="L37" i="8"/>
  <c r="N120" i="8"/>
  <c r="N29" i="5"/>
  <c r="AM84" i="5"/>
  <c r="AC84" i="5"/>
  <c r="W113" i="5"/>
  <c r="V72" i="6"/>
  <c r="N96" i="6"/>
  <c r="T99" i="6"/>
  <c r="Z109" i="7"/>
  <c r="Z123" i="7"/>
  <c r="N109" i="8"/>
  <c r="AM109" i="8"/>
  <c r="H84" i="9"/>
  <c r="N92" i="9"/>
  <c r="T109" i="10"/>
  <c r="T127" i="10"/>
  <c r="T147" i="10"/>
  <c r="T78" i="10"/>
  <c r="T99" i="10"/>
  <c r="T72" i="10"/>
  <c r="T84" i="10"/>
  <c r="F77" i="16"/>
  <c r="AM77" i="7"/>
  <c r="H114" i="7"/>
  <c r="AJ45" i="7"/>
  <c r="N120" i="7"/>
  <c r="X13" i="8"/>
  <c r="AA15" i="16"/>
  <c r="AA14" i="16" s="1"/>
  <c r="AA14" i="7"/>
  <c r="AM14" i="7" s="1"/>
  <c r="K78" i="7"/>
  <c r="Z92" i="7"/>
  <c r="AM96" i="7"/>
  <c r="Q127" i="7"/>
  <c r="U37" i="8"/>
  <c r="W59" i="8"/>
  <c r="U35" i="8"/>
  <c r="W58" i="8"/>
  <c r="U32" i="8"/>
  <c r="U36" i="8"/>
  <c r="U33" i="8"/>
  <c r="W47" i="8"/>
  <c r="U30" i="8"/>
  <c r="U29" i="8" s="1"/>
  <c r="W57" i="8"/>
  <c r="U34" i="8"/>
  <c r="C46" i="16"/>
  <c r="M57" i="7"/>
  <c r="C90" i="16"/>
  <c r="C89" i="7"/>
  <c r="AM89" i="7" s="1"/>
  <c r="AM123" i="7"/>
  <c r="AM134" i="7"/>
  <c r="T78" i="8"/>
  <c r="S78" i="8"/>
  <c r="AC113" i="17"/>
  <c r="O13" i="3"/>
  <c r="O12" i="3" s="1"/>
  <c r="C12" i="3"/>
  <c r="M25" i="4"/>
  <c r="AO72" i="5"/>
  <c r="O83" i="5"/>
  <c r="Z91" i="5"/>
  <c r="N98" i="5"/>
  <c r="H108" i="5"/>
  <c r="AE47" i="6"/>
  <c r="T8" i="1"/>
  <c r="AM84" i="6"/>
  <c r="AJ14" i="7"/>
  <c r="AD15" i="16"/>
  <c r="AD14" i="16" s="1"/>
  <c r="Q43" i="7"/>
  <c r="D47" i="7"/>
  <c r="AM64" i="16"/>
  <c r="AM90" i="7"/>
  <c r="H123" i="7"/>
  <c r="AM129" i="7"/>
  <c r="AG13" i="8"/>
  <c r="AM23" i="8"/>
  <c r="AJ34" i="9"/>
  <c r="AJ31" i="9"/>
  <c r="AJ30" i="9"/>
  <c r="AJ35" i="9"/>
  <c r="AJ36" i="9"/>
  <c r="AJ33" i="9"/>
  <c r="AJ37" i="9"/>
  <c r="F63" i="16"/>
  <c r="G63" i="7"/>
  <c r="AM63" i="7"/>
  <c r="N109" i="7"/>
  <c r="AJ13" i="8"/>
  <c r="AL61" i="8" s="1"/>
  <c r="H63" i="7"/>
  <c r="F97" i="16"/>
  <c r="F96" i="16" s="1"/>
  <c r="F96" i="7"/>
  <c r="H96" i="7" s="1"/>
  <c r="AM97" i="7"/>
  <c r="N123" i="7"/>
  <c r="F15" i="16"/>
  <c r="F14" i="16" s="1"/>
  <c r="Z89" i="7"/>
  <c r="C104" i="16"/>
  <c r="C99" i="7"/>
  <c r="F13" i="8"/>
  <c r="AM77" i="8"/>
  <c r="I60" i="9"/>
  <c r="AM12" i="9"/>
  <c r="AO6" i="9" s="1"/>
  <c r="C33" i="9"/>
  <c r="C30" i="9"/>
  <c r="C37" i="9"/>
  <c r="C31" i="9"/>
  <c r="E92" i="9"/>
  <c r="C35" i="9"/>
  <c r="C32" i="9"/>
  <c r="AO66" i="10"/>
  <c r="AN66" i="10"/>
  <c r="T89" i="10"/>
  <c r="AM97" i="16"/>
  <c r="K123" i="7"/>
  <c r="R30" i="8"/>
  <c r="AM57" i="8"/>
  <c r="AE58" i="8"/>
  <c r="I13" i="9"/>
  <c r="F13" i="9"/>
  <c r="AF43" i="9"/>
  <c r="AA45" i="9"/>
  <c r="AC43" i="9"/>
  <c r="AM29" i="11"/>
  <c r="AM14" i="8"/>
  <c r="U60" i="8"/>
  <c r="U44" i="8" s="1"/>
  <c r="AM78" i="8"/>
  <c r="AG35" i="9"/>
  <c r="AG32" i="9"/>
  <c r="AG31" i="9"/>
  <c r="AG30" i="9"/>
  <c r="AI59" i="9"/>
  <c r="AG36" i="9"/>
  <c r="AI78" i="9"/>
  <c r="AG33" i="9"/>
  <c r="AI99" i="9"/>
  <c r="AI46" i="9"/>
  <c r="AG37" i="9"/>
  <c r="AG34" i="9"/>
  <c r="AI43" i="9"/>
  <c r="T78" i="9"/>
  <c r="S78" i="9"/>
  <c r="U83" i="9"/>
  <c r="C113" i="16"/>
  <c r="AM113" i="16" s="1"/>
  <c r="AM113" i="9"/>
  <c r="C109" i="9"/>
  <c r="AO6" i="10"/>
  <c r="AD28" i="10"/>
  <c r="AF29" i="10"/>
  <c r="E109" i="7"/>
  <c r="T114" i="7"/>
  <c r="AM24" i="8"/>
  <c r="O37" i="8"/>
  <c r="O37" i="16" s="1"/>
  <c r="H57" i="8"/>
  <c r="W61" i="8"/>
  <c r="F61" i="8"/>
  <c r="AO62" i="8"/>
  <c r="Q96" i="8"/>
  <c r="AM104" i="8"/>
  <c r="C139" i="16"/>
  <c r="AM139" i="8"/>
  <c r="Q109" i="9"/>
  <c r="O37" i="9"/>
  <c r="O33" i="9"/>
  <c r="O34" i="9"/>
  <c r="Q92" i="9"/>
  <c r="O31" i="9"/>
  <c r="Q84" i="9"/>
  <c r="O32" i="9"/>
  <c r="O36" i="9"/>
  <c r="O30" i="9"/>
  <c r="Q89" i="9"/>
  <c r="C34" i="9"/>
  <c r="AF45" i="9"/>
  <c r="W78" i="9"/>
  <c r="V78" i="9"/>
  <c r="G78" i="9"/>
  <c r="H78" i="9"/>
  <c r="AF89" i="9"/>
  <c r="E96" i="9"/>
  <c r="W92" i="10"/>
  <c r="F62" i="16"/>
  <c r="H62" i="7"/>
  <c r="AM74" i="16"/>
  <c r="C98" i="16"/>
  <c r="AM98" i="16" s="1"/>
  <c r="AM98" i="7"/>
  <c r="Q123" i="7"/>
  <c r="AM12" i="8"/>
  <c r="C13" i="8"/>
  <c r="O33" i="8"/>
  <c r="E78" i="8"/>
  <c r="Q127" i="8"/>
  <c r="AM84" i="9"/>
  <c r="E84" i="9"/>
  <c r="E89" i="9"/>
  <c r="AC92" i="9"/>
  <c r="C107" i="16"/>
  <c r="AM107" i="16" s="1"/>
  <c r="AM107" i="9"/>
  <c r="N120" i="9"/>
  <c r="AF123" i="9"/>
  <c r="O60" i="10"/>
  <c r="AM61" i="10"/>
  <c r="P61" i="10"/>
  <c r="AM79" i="16"/>
  <c r="C78" i="16"/>
  <c r="F139" i="16"/>
  <c r="AM139" i="7"/>
  <c r="R33" i="8"/>
  <c r="O36" i="8"/>
  <c r="AC57" i="8"/>
  <c r="AC61" i="8"/>
  <c r="AN63" i="8"/>
  <c r="AO63" i="8"/>
  <c r="AN79" i="8"/>
  <c r="N89" i="8"/>
  <c r="AM92" i="8"/>
  <c r="K99" i="8"/>
  <c r="N114" i="8"/>
  <c r="G57" i="9"/>
  <c r="AF57" i="9"/>
  <c r="Q96" i="9"/>
  <c r="O83" i="9"/>
  <c r="Q83" i="9" s="1"/>
  <c r="E123" i="9"/>
  <c r="AM123" i="9"/>
  <c r="X13" i="10"/>
  <c r="Z78" i="10" s="1"/>
  <c r="K57" i="10"/>
  <c r="I45" i="10"/>
  <c r="J57" i="10"/>
  <c r="AO71" i="10"/>
  <c r="T96" i="10"/>
  <c r="X42" i="5"/>
  <c r="X140" i="5" s="1"/>
  <c r="X144" i="5" s="1"/>
  <c r="AM95" i="5"/>
  <c r="AC126" i="5"/>
  <c r="T78" i="6"/>
  <c r="AO6" i="7"/>
  <c r="AM74" i="7"/>
  <c r="C78" i="7"/>
  <c r="F103" i="16"/>
  <c r="F99" i="7"/>
  <c r="H99" i="7" s="1"/>
  <c r="C114" i="7"/>
  <c r="F140" i="16"/>
  <c r="AM140" i="16" s="1"/>
  <c r="F45" i="8"/>
  <c r="AN47" i="8"/>
  <c r="N57" i="8"/>
  <c r="AB57" i="8"/>
  <c r="AM64" i="8"/>
  <c r="E64" i="8"/>
  <c r="K78" i="8"/>
  <c r="AB78" i="8"/>
  <c r="V57" i="9"/>
  <c r="V59" i="9"/>
  <c r="AM47" i="9"/>
  <c r="C46" i="9"/>
  <c r="AE57" i="9"/>
  <c r="Q120" i="9"/>
  <c r="H123" i="9"/>
  <c r="H72" i="10"/>
  <c r="G72" i="10"/>
  <c r="F60" i="10"/>
  <c r="AM72" i="10"/>
  <c r="R15" i="16"/>
  <c r="R14" i="16" s="1"/>
  <c r="AM79" i="7"/>
  <c r="F86" i="16"/>
  <c r="AM86" i="7"/>
  <c r="AM117" i="7"/>
  <c r="AM133" i="16"/>
  <c r="O32" i="8"/>
  <c r="AO7" i="9"/>
  <c r="AC59" i="9"/>
  <c r="AA37" i="9"/>
  <c r="AA34" i="9"/>
  <c r="AA33" i="9"/>
  <c r="AA35" i="9"/>
  <c r="AA30" i="9"/>
  <c r="AA29" i="9" s="1"/>
  <c r="AA32" i="9"/>
  <c r="AA36" i="9"/>
  <c r="AC96" i="9"/>
  <c r="AA31" i="9"/>
  <c r="AI57" i="9"/>
  <c r="AH57" i="9"/>
  <c r="AN77" i="9"/>
  <c r="F137" i="16"/>
  <c r="AM137" i="9"/>
  <c r="AM153" i="9"/>
  <c r="W45" i="10"/>
  <c r="U44" i="10"/>
  <c r="W44" i="10" s="1"/>
  <c r="O44" i="10"/>
  <c r="T58" i="8"/>
  <c r="R37" i="8"/>
  <c r="R37" i="16" s="1"/>
  <c r="R32" i="8"/>
  <c r="O35" i="8"/>
  <c r="H78" i="8"/>
  <c r="K92" i="8"/>
  <c r="U13" i="9"/>
  <c r="AD36" i="9"/>
  <c r="AF84" i="9"/>
  <c r="AD33" i="9"/>
  <c r="AD32" i="9"/>
  <c r="AF59" i="9"/>
  <c r="AD35" i="9"/>
  <c r="AF92" i="9"/>
  <c r="AD30" i="9"/>
  <c r="AF114" i="9"/>
  <c r="AF109" i="9"/>
  <c r="AF99" i="9"/>
  <c r="AF46" i="9"/>
  <c r="AD37" i="9"/>
  <c r="AD31" i="9"/>
  <c r="L45" i="9"/>
  <c r="AM57" i="9"/>
  <c r="AM78" i="9"/>
  <c r="E78" i="9"/>
  <c r="L83" i="9"/>
  <c r="N83" i="9" s="1"/>
  <c r="N89" i="9"/>
  <c r="Q114" i="9"/>
  <c r="AF127" i="9"/>
  <c r="C138" i="16"/>
  <c r="AM138" i="16" s="1"/>
  <c r="AM138" i="9"/>
  <c r="AN48" i="10"/>
  <c r="AO7" i="10"/>
  <c r="T83" i="10"/>
  <c r="C61" i="5"/>
  <c r="AC113" i="5"/>
  <c r="N72" i="6"/>
  <c r="X15" i="16"/>
  <c r="X14" i="16" s="1"/>
  <c r="AM76" i="16"/>
  <c r="AM80" i="16"/>
  <c r="AM87" i="16"/>
  <c r="F104" i="16"/>
  <c r="F119" i="16"/>
  <c r="F114" i="16" s="1"/>
  <c r="AM119" i="7"/>
  <c r="C127" i="7"/>
  <c r="AM133" i="7"/>
  <c r="O31" i="8"/>
  <c r="R35" i="8"/>
  <c r="G64" i="8"/>
  <c r="AE78" i="8"/>
  <c r="AM80" i="8"/>
  <c r="AM24" i="9"/>
  <c r="O45" i="9"/>
  <c r="Q43" i="9"/>
  <c r="M57" i="9"/>
  <c r="E62" i="9"/>
  <c r="C61" i="9"/>
  <c r="D78" i="9"/>
  <c r="Q99" i="9"/>
  <c r="AQ42" i="10"/>
  <c r="AQ144" i="10" s="1"/>
  <c r="AQ13" i="10"/>
  <c r="Q72" i="10"/>
  <c r="P72" i="10"/>
  <c r="R31" i="8"/>
  <c r="T57" i="8"/>
  <c r="F93" i="16"/>
  <c r="F92" i="16" s="1"/>
  <c r="F92" i="9"/>
  <c r="H92" i="9" s="1"/>
  <c r="AM104" i="9"/>
  <c r="C99" i="9"/>
  <c r="AC120" i="9"/>
  <c r="E127" i="9"/>
  <c r="W84" i="10"/>
  <c r="U30" i="10"/>
  <c r="U29" i="10" s="1"/>
  <c r="W109" i="10"/>
  <c r="W114" i="10"/>
  <c r="W120" i="10"/>
  <c r="R44" i="10"/>
  <c r="T44" i="10" s="1"/>
  <c r="W45" i="11"/>
  <c r="AC99" i="9"/>
  <c r="F99" i="9"/>
  <c r="H99" i="9" s="1"/>
  <c r="W120" i="9"/>
  <c r="AM128" i="16"/>
  <c r="AJ30" i="10"/>
  <c r="AJ29" i="10" s="1"/>
  <c r="AJ28" i="10" s="1"/>
  <c r="AJ42" i="10" s="1"/>
  <c r="AL84" i="10"/>
  <c r="AG14" i="10"/>
  <c r="AI15" i="10"/>
  <c r="AF84" i="10"/>
  <c r="AD83" i="10"/>
  <c r="AF83" i="10" s="1"/>
  <c r="W29" i="11"/>
  <c r="W109" i="11"/>
  <c r="W84" i="11"/>
  <c r="W96" i="11"/>
  <c r="W123" i="11"/>
  <c r="W89" i="11"/>
  <c r="W114" i="11"/>
  <c r="AD83" i="11"/>
  <c r="AF83" i="11" s="1"/>
  <c r="AF84" i="11"/>
  <c r="K45" i="12"/>
  <c r="R37" i="9"/>
  <c r="R36" i="9"/>
  <c r="Q57" i="9"/>
  <c r="P57" i="9"/>
  <c r="T59" i="9"/>
  <c r="AC78" i="9"/>
  <c r="I83" i="9"/>
  <c r="AC84" i="9"/>
  <c r="T89" i="9"/>
  <c r="R83" i="9"/>
  <c r="T83" i="9" s="1"/>
  <c r="Z92" i="9"/>
  <c r="AC109" i="9"/>
  <c r="E114" i="9"/>
  <c r="Z120" i="9"/>
  <c r="F127" i="9"/>
  <c r="R60" i="10"/>
  <c r="T61" i="10"/>
  <c r="H123" i="10"/>
  <c r="F13" i="11"/>
  <c r="I83" i="11"/>
  <c r="T45" i="12"/>
  <c r="R44" i="12"/>
  <c r="AM120" i="12"/>
  <c r="K78" i="9"/>
  <c r="J78" i="9"/>
  <c r="H109" i="9"/>
  <c r="AM128" i="9"/>
  <c r="C14" i="10"/>
  <c r="AG44" i="10"/>
  <c r="AJ83" i="10"/>
  <c r="AL83" i="10" s="1"/>
  <c r="AM92" i="10"/>
  <c r="W96" i="10"/>
  <c r="AM109" i="10"/>
  <c r="N96" i="11"/>
  <c r="AF120" i="11"/>
  <c r="AJ44" i="12"/>
  <c r="AJ144" i="12" s="1"/>
  <c r="K96" i="8"/>
  <c r="Q120" i="8"/>
  <c r="AG45" i="9"/>
  <c r="S57" i="9"/>
  <c r="N78" i="9"/>
  <c r="AF78" i="9"/>
  <c r="AE78" i="9"/>
  <c r="AN80" i="9"/>
  <c r="AG83" i="9"/>
  <c r="AI83" i="9" s="1"/>
  <c r="AM92" i="9"/>
  <c r="K109" i="9"/>
  <c r="E120" i="9"/>
  <c r="Q123" i="9"/>
  <c r="C141" i="16"/>
  <c r="AM141" i="16" s="1"/>
  <c r="AM141" i="9"/>
  <c r="F42" i="10"/>
  <c r="L13" i="10"/>
  <c r="L42" i="10"/>
  <c r="W61" i="10"/>
  <c r="V61" i="10"/>
  <c r="W72" i="10"/>
  <c r="V72" i="10"/>
  <c r="AA83" i="10"/>
  <c r="W127" i="11"/>
  <c r="C127" i="11"/>
  <c r="AM133" i="11"/>
  <c r="AE57" i="8"/>
  <c r="W78" i="8"/>
  <c r="AM89" i="8"/>
  <c r="N96" i="8"/>
  <c r="X35" i="9"/>
  <c r="X34" i="9"/>
  <c r="X30" i="9"/>
  <c r="X33" i="9"/>
  <c r="X36" i="9"/>
  <c r="F45" i="9"/>
  <c r="H43" i="9"/>
  <c r="X83" i="9"/>
  <c r="Z83" i="9" s="1"/>
  <c r="H96" i="9"/>
  <c r="AM105" i="9"/>
  <c r="AF120" i="9"/>
  <c r="Z127" i="9"/>
  <c r="AM99" i="10"/>
  <c r="AM147" i="10"/>
  <c r="H109" i="11"/>
  <c r="O42" i="12"/>
  <c r="O13" i="12"/>
  <c r="AM117" i="8"/>
  <c r="C114" i="8"/>
  <c r="F127" i="8"/>
  <c r="AM127" i="8" s="1"/>
  <c r="AN18" i="9"/>
  <c r="R45" i="9"/>
  <c r="K43" i="9"/>
  <c r="AC61" i="9"/>
  <c r="AA60" i="9"/>
  <c r="AC60" i="9" s="1"/>
  <c r="Z89" i="9"/>
  <c r="N99" i="9"/>
  <c r="T123" i="9"/>
  <c r="AC127" i="9"/>
  <c r="O13" i="10"/>
  <c r="Q83" i="10" s="1"/>
  <c r="O42" i="10"/>
  <c r="O144" i="10" s="1"/>
  <c r="H45" i="10"/>
  <c r="AN71" i="10"/>
  <c r="K99" i="10"/>
  <c r="L83" i="11"/>
  <c r="N83" i="11" s="1"/>
  <c r="E89" i="11"/>
  <c r="AM89" i="11"/>
  <c r="AI123" i="11"/>
  <c r="AA13" i="12"/>
  <c r="AA42" i="12"/>
  <c r="C63" i="16"/>
  <c r="AM63" i="16" s="1"/>
  <c r="C77" i="16"/>
  <c r="K89" i="7"/>
  <c r="S57" i="8"/>
  <c r="R45" i="8"/>
  <c r="K61" i="8"/>
  <c r="AF61" i="8"/>
  <c r="Y78" i="8"/>
  <c r="Z78" i="8"/>
  <c r="AM128" i="8"/>
  <c r="AM135" i="8"/>
  <c r="AM153" i="8"/>
  <c r="R32" i="9"/>
  <c r="R29" i="9" s="1"/>
  <c r="H57" i="9"/>
  <c r="Q78" i="9"/>
  <c r="AM85" i="9"/>
  <c r="AC89" i="9"/>
  <c r="K92" i="9"/>
  <c r="AI96" i="9"/>
  <c r="AM114" i="9"/>
  <c r="AM131" i="16"/>
  <c r="R42" i="10"/>
  <c r="AC72" i="10"/>
  <c r="T92" i="10"/>
  <c r="K147" i="10"/>
  <c r="H89" i="11"/>
  <c r="AF127" i="11"/>
  <c r="N109" i="12"/>
  <c r="AM109" i="12"/>
  <c r="N123" i="11"/>
  <c r="N147" i="11"/>
  <c r="N109" i="11"/>
  <c r="N89" i="11"/>
  <c r="N99" i="11"/>
  <c r="AM123" i="11"/>
  <c r="E123" i="11"/>
  <c r="H147" i="10"/>
  <c r="H92" i="10"/>
  <c r="H78" i="10"/>
  <c r="H109" i="10"/>
  <c r="H96" i="10"/>
  <c r="AA13" i="10"/>
  <c r="AC44" i="10" s="1"/>
  <c r="F44" i="10"/>
  <c r="AM57" i="10"/>
  <c r="H57" i="10"/>
  <c r="AF72" i="10"/>
  <c r="AD60" i="10"/>
  <c r="AD44" i="10" s="1"/>
  <c r="AF44" i="10" s="1"/>
  <c r="AM89" i="10"/>
  <c r="K120" i="10"/>
  <c r="AM120" i="10"/>
  <c r="AD42" i="11"/>
  <c r="AD13" i="11"/>
  <c r="AA14" i="11"/>
  <c r="AC15" i="11"/>
  <c r="N120" i="11"/>
  <c r="U83" i="13"/>
  <c r="AM84" i="13"/>
  <c r="M78" i="8"/>
  <c r="Z45" i="9"/>
  <c r="AC57" i="9"/>
  <c r="AB57" i="9"/>
  <c r="AC123" i="9"/>
  <c r="N127" i="9"/>
  <c r="I30" i="10"/>
  <c r="K96" i="10"/>
  <c r="I34" i="10"/>
  <c r="K127" i="10"/>
  <c r="G57" i="10"/>
  <c r="K72" i="10"/>
  <c r="AE72" i="10"/>
  <c r="AC123" i="10"/>
  <c r="AM114" i="11"/>
  <c r="E114" i="11"/>
  <c r="AO62" i="10"/>
  <c r="K84" i="10"/>
  <c r="K89" i="10"/>
  <c r="AF120" i="10"/>
  <c r="T123" i="10"/>
  <c r="H127" i="10"/>
  <c r="AF127" i="10"/>
  <c r="T45" i="11"/>
  <c r="T92" i="11"/>
  <c r="T99" i="11"/>
  <c r="J72" i="11"/>
  <c r="I60" i="11"/>
  <c r="Z109" i="11"/>
  <c r="N114" i="11"/>
  <c r="T120" i="11"/>
  <c r="K72" i="13"/>
  <c r="J72" i="13"/>
  <c r="I60" i="13"/>
  <c r="X83" i="13"/>
  <c r="K109" i="13"/>
  <c r="AN79" i="10"/>
  <c r="AM114" i="10"/>
  <c r="W123" i="10"/>
  <c r="T29" i="11"/>
  <c r="R28" i="11"/>
  <c r="AM57" i="11"/>
  <c r="H57" i="11"/>
  <c r="C75" i="16"/>
  <c r="AM75" i="11"/>
  <c r="T96" i="11"/>
  <c r="W120" i="11"/>
  <c r="AM23" i="12"/>
  <c r="K89" i="12"/>
  <c r="AI120" i="12"/>
  <c r="F155" i="16"/>
  <c r="F153" i="12"/>
  <c r="I28" i="14"/>
  <c r="AM29" i="14"/>
  <c r="W78" i="10"/>
  <c r="AF99" i="10"/>
  <c r="AF114" i="10"/>
  <c r="AM46" i="11"/>
  <c r="AO46" i="11" s="1"/>
  <c r="G57" i="11"/>
  <c r="AN62" i="11"/>
  <c r="X83" i="11"/>
  <c r="E92" i="11"/>
  <c r="H99" i="11"/>
  <c r="AM15" i="12"/>
  <c r="AO15" i="12" s="1"/>
  <c r="W29" i="12"/>
  <c r="H127" i="12"/>
  <c r="AN155" i="14"/>
  <c r="AO7" i="14"/>
  <c r="AN79" i="14"/>
  <c r="AO5" i="14"/>
  <c r="AJ42" i="14"/>
  <c r="AJ144" i="14" s="1"/>
  <c r="AJ13" i="14"/>
  <c r="K29" i="14"/>
  <c r="W147" i="10"/>
  <c r="X42" i="11"/>
  <c r="AF78" i="11"/>
  <c r="AA83" i="11"/>
  <c r="T114" i="11"/>
  <c r="I13" i="12"/>
  <c r="I42" i="12"/>
  <c r="X28" i="12"/>
  <c r="Q61" i="12"/>
  <c r="O60" i="12"/>
  <c r="K147" i="13"/>
  <c r="K47" i="13"/>
  <c r="K120" i="13"/>
  <c r="K92" i="13"/>
  <c r="K127" i="13"/>
  <c r="K99" i="13"/>
  <c r="L60" i="8"/>
  <c r="L44" i="8" s="1"/>
  <c r="K89" i="8"/>
  <c r="Q99" i="8"/>
  <c r="AI114" i="8"/>
  <c r="T43" i="9"/>
  <c r="AD83" i="9"/>
  <c r="AF83" i="9" s="1"/>
  <c r="AF96" i="9"/>
  <c r="K99" i="9"/>
  <c r="H114" i="9"/>
  <c r="AD42" i="10"/>
  <c r="AM46" i="10"/>
  <c r="U83" i="10"/>
  <c r="W83" i="10" s="1"/>
  <c r="W89" i="10"/>
  <c r="F83" i="10"/>
  <c r="H83" i="10" s="1"/>
  <c r="X13" i="11"/>
  <c r="Z84" i="11" s="1"/>
  <c r="R42" i="11"/>
  <c r="AM109" i="11"/>
  <c r="N127" i="11"/>
  <c r="H153" i="11"/>
  <c r="AM12" i="12"/>
  <c r="AN79" i="12" s="1"/>
  <c r="AI83" i="12"/>
  <c r="Q147" i="12"/>
  <c r="F42" i="13"/>
  <c r="F13" i="13"/>
  <c r="I60" i="10"/>
  <c r="K60" i="10" s="1"/>
  <c r="AH72" i="10"/>
  <c r="AF78" i="10"/>
  <c r="I83" i="10"/>
  <c r="K83" i="10" s="1"/>
  <c r="AF92" i="10"/>
  <c r="T120" i="10"/>
  <c r="I45" i="11"/>
  <c r="AO64" i="11"/>
  <c r="AN64" i="11"/>
  <c r="AG83" i="11"/>
  <c r="N92" i="11"/>
  <c r="AI123" i="12"/>
  <c r="AI109" i="12"/>
  <c r="AI99" i="12"/>
  <c r="AI92" i="12"/>
  <c r="T84" i="12"/>
  <c r="T147" i="12"/>
  <c r="T114" i="12"/>
  <c r="K83" i="12"/>
  <c r="AJ83" i="12"/>
  <c r="AL83" i="12" s="1"/>
  <c r="C110" i="16"/>
  <c r="N114" i="7"/>
  <c r="AO58" i="8"/>
  <c r="AI109" i="8"/>
  <c r="AO5" i="9"/>
  <c r="N96" i="9"/>
  <c r="C106" i="16"/>
  <c r="AM106" i="9"/>
  <c r="AM137" i="16"/>
  <c r="X83" i="10"/>
  <c r="K109" i="10"/>
  <c r="T114" i="10"/>
  <c r="AM123" i="10"/>
  <c r="W127" i="10"/>
  <c r="AG13" i="11"/>
  <c r="AI114" i="11" s="1"/>
  <c r="F28" i="11"/>
  <c r="F42" i="11" s="1"/>
  <c r="Z89" i="11"/>
  <c r="Z123" i="11"/>
  <c r="U42" i="12"/>
  <c r="U13" i="12"/>
  <c r="AM46" i="12"/>
  <c r="L42" i="12"/>
  <c r="L13" i="12"/>
  <c r="N99" i="12" s="1"/>
  <c r="I164" i="12"/>
  <c r="I166" i="12" s="1"/>
  <c r="K44" i="12"/>
  <c r="AI123" i="13"/>
  <c r="Z15" i="12"/>
  <c r="X14" i="12"/>
  <c r="AG28" i="12"/>
  <c r="AG42" i="12" s="1"/>
  <c r="AI29" i="12"/>
  <c r="AO63" i="12"/>
  <c r="AN63" i="12"/>
  <c r="K99" i="12"/>
  <c r="R13" i="13"/>
  <c r="R42" i="13"/>
  <c r="AC96" i="13"/>
  <c r="N29" i="14"/>
  <c r="L28" i="14"/>
  <c r="AM14" i="11"/>
  <c r="AM61" i="11"/>
  <c r="W78" i="11"/>
  <c r="AM80" i="11"/>
  <c r="C78" i="11"/>
  <c r="AM78" i="11" s="1"/>
  <c r="N84" i="11"/>
  <c r="AI89" i="11"/>
  <c r="W99" i="11"/>
  <c r="AM120" i="11"/>
  <c r="N29" i="12"/>
  <c r="AD42" i="12"/>
  <c r="U13" i="13"/>
  <c r="W109" i="13" s="1"/>
  <c r="K45" i="13"/>
  <c r="AB72" i="13"/>
  <c r="K78" i="13"/>
  <c r="AM153" i="13"/>
  <c r="H147" i="14"/>
  <c r="H114" i="14"/>
  <c r="H99" i="14"/>
  <c r="H120" i="14"/>
  <c r="H109" i="14"/>
  <c r="H29" i="14"/>
  <c r="H89" i="14"/>
  <c r="H72" i="14"/>
  <c r="T61" i="14"/>
  <c r="S61" i="14"/>
  <c r="R60" i="14"/>
  <c r="AF147" i="10"/>
  <c r="AM12" i="11"/>
  <c r="AO5" i="11" s="1"/>
  <c r="AM15" i="11"/>
  <c r="AO15" i="11" s="1"/>
  <c r="F45" i="11"/>
  <c r="AN49" i="11"/>
  <c r="AA60" i="11"/>
  <c r="AA44" i="11" s="1"/>
  <c r="O83" i="11"/>
  <c r="Q83" i="11" s="1"/>
  <c r="AJ83" i="11"/>
  <c r="E99" i="11"/>
  <c r="E120" i="11"/>
  <c r="L28" i="12"/>
  <c r="H45" i="12"/>
  <c r="L83" i="12"/>
  <c r="N83" i="12" s="1"/>
  <c r="T109" i="12"/>
  <c r="AM133" i="12"/>
  <c r="K123" i="13"/>
  <c r="AD60" i="11"/>
  <c r="AD44" i="11" s="1"/>
  <c r="Z96" i="11"/>
  <c r="H120" i="11"/>
  <c r="T127" i="11"/>
  <c r="AF109" i="12"/>
  <c r="AF89" i="12"/>
  <c r="AF123" i="12"/>
  <c r="L45" i="12"/>
  <c r="AO65" i="12"/>
  <c r="AN65" i="12"/>
  <c r="K78" i="12"/>
  <c r="U83" i="12"/>
  <c r="W83" i="12" s="1"/>
  <c r="W109" i="12"/>
  <c r="U156" i="16"/>
  <c r="U153" i="12"/>
  <c r="C45" i="13"/>
  <c r="D57" i="13"/>
  <c r="AB57" i="13"/>
  <c r="AM127" i="13"/>
  <c r="I13" i="11"/>
  <c r="Q72" i="11"/>
  <c r="W92" i="11"/>
  <c r="E96" i="11"/>
  <c r="T29" i="12"/>
  <c r="O45" i="12"/>
  <c r="H47" i="12"/>
  <c r="R83" i="12"/>
  <c r="T83" i="12" s="1"/>
  <c r="AF96" i="12"/>
  <c r="T99" i="12"/>
  <c r="X155" i="16"/>
  <c r="X153" i="12"/>
  <c r="AJ13" i="13"/>
  <c r="AJ42" i="13"/>
  <c r="K89" i="13"/>
  <c r="I83" i="13"/>
  <c r="K83" i="13" s="1"/>
  <c r="AN57" i="14"/>
  <c r="AM63" i="9"/>
  <c r="AM84" i="10"/>
  <c r="AC99" i="10"/>
  <c r="AN16" i="11"/>
  <c r="N29" i="11"/>
  <c r="O60" i="11"/>
  <c r="O44" i="11" s="1"/>
  <c r="AO5" i="12"/>
  <c r="Q78" i="12"/>
  <c r="Q92" i="12"/>
  <c r="AM96" i="12"/>
  <c r="N114" i="12"/>
  <c r="AF127" i="12"/>
  <c r="L44" i="13"/>
  <c r="K57" i="13"/>
  <c r="J57" i="13"/>
  <c r="AF57" i="13"/>
  <c r="AE57" i="13"/>
  <c r="F130" i="16"/>
  <c r="E89" i="8"/>
  <c r="AM101" i="16"/>
  <c r="Z114" i="9"/>
  <c r="H99" i="10"/>
  <c r="AI29" i="11"/>
  <c r="I42" i="11"/>
  <c r="P61" i="11"/>
  <c r="AN66" i="11"/>
  <c r="U83" i="11"/>
  <c r="W83" i="11" s="1"/>
  <c r="AI120" i="11"/>
  <c r="Q123" i="11"/>
  <c r="T147" i="11"/>
  <c r="AO6" i="12"/>
  <c r="F13" i="12"/>
  <c r="H120" i="12" s="1"/>
  <c r="AL15" i="12"/>
  <c r="T78" i="12"/>
  <c r="T92" i="12"/>
  <c r="AI96" i="12"/>
  <c r="Q123" i="12"/>
  <c r="AI127" i="12"/>
  <c r="AD155" i="16"/>
  <c r="AD153" i="12"/>
  <c r="Q29" i="13"/>
  <c r="R44" i="13"/>
  <c r="AM14" i="12"/>
  <c r="AJ60" i="12"/>
  <c r="X83" i="12"/>
  <c r="AF99" i="12"/>
  <c r="AI44" i="13"/>
  <c r="AD164" i="13"/>
  <c r="AF44" i="13"/>
  <c r="AN47" i="13"/>
  <c r="AM109" i="13"/>
  <c r="U34" i="15"/>
  <c r="U30" i="15"/>
  <c r="W109" i="15"/>
  <c r="U35" i="15"/>
  <c r="U32" i="15"/>
  <c r="U33" i="15"/>
  <c r="W96" i="15"/>
  <c r="W114" i="15"/>
  <c r="W84" i="15"/>
  <c r="W89" i="15"/>
  <c r="AM81" i="16"/>
  <c r="AM93" i="16"/>
  <c r="C92" i="16"/>
  <c r="AM108" i="16"/>
  <c r="K92" i="10"/>
  <c r="AM24" i="11"/>
  <c r="T61" i="11"/>
  <c r="AI92" i="11"/>
  <c r="AM24" i="12"/>
  <c r="AM29" i="12"/>
  <c r="C28" i="12"/>
  <c r="AM61" i="12"/>
  <c r="AF84" i="12"/>
  <c r="AA83" i="12"/>
  <c r="N96" i="12"/>
  <c r="AM156" i="16"/>
  <c r="C157" i="16"/>
  <c r="AM157" i="12"/>
  <c r="U28" i="13"/>
  <c r="U42" i="13" s="1"/>
  <c r="X14" i="15"/>
  <c r="AI114" i="12"/>
  <c r="AM155" i="12"/>
  <c r="AG13" i="13"/>
  <c r="AG42" i="13"/>
  <c r="AA42" i="13"/>
  <c r="AA144" i="13" s="1"/>
  <c r="AA13" i="13"/>
  <c r="AM46" i="13"/>
  <c r="N96" i="13"/>
  <c r="H57" i="14"/>
  <c r="G57" i="14"/>
  <c r="F45" i="14"/>
  <c r="AM156" i="12"/>
  <c r="AM15" i="13"/>
  <c r="AO15" i="13" s="1"/>
  <c r="C14" i="13"/>
  <c r="AI57" i="13"/>
  <c r="AH57" i="13"/>
  <c r="AI114" i="13"/>
  <c r="T147" i="13"/>
  <c r="AF114" i="14"/>
  <c r="AD157" i="14"/>
  <c r="AF96" i="14"/>
  <c r="AD158" i="14"/>
  <c r="AD158" i="16" s="1"/>
  <c r="AF123" i="14"/>
  <c r="AF109" i="14"/>
  <c r="AF92" i="14"/>
  <c r="AF89" i="14"/>
  <c r="AF78" i="14"/>
  <c r="AF84" i="14"/>
  <c r="AF120" i="14"/>
  <c r="AM14" i="14"/>
  <c r="K45" i="14"/>
  <c r="I44" i="14"/>
  <c r="AA60" i="14"/>
  <c r="Q78" i="14"/>
  <c r="Q83" i="14"/>
  <c r="W127" i="15"/>
  <c r="AM92" i="13"/>
  <c r="AM159" i="16"/>
  <c r="AS72" i="14"/>
  <c r="AQ60" i="14"/>
  <c r="AR72" i="14"/>
  <c r="W89" i="12"/>
  <c r="Q120" i="12"/>
  <c r="H123" i="12"/>
  <c r="N127" i="12"/>
  <c r="C153" i="12"/>
  <c r="N47" i="13"/>
  <c r="N123" i="13"/>
  <c r="N57" i="13"/>
  <c r="N114" i="13"/>
  <c r="O60" i="13"/>
  <c r="AM99" i="13"/>
  <c r="K114" i="13"/>
  <c r="N109" i="14"/>
  <c r="N147" i="14"/>
  <c r="N99" i="14"/>
  <c r="N72" i="14"/>
  <c r="N84" i="14"/>
  <c r="N89" i="14"/>
  <c r="N114" i="14"/>
  <c r="T84" i="11"/>
  <c r="R83" i="11"/>
  <c r="T83" i="11" s="1"/>
  <c r="Q120" i="11"/>
  <c r="H29" i="12"/>
  <c r="F28" i="12"/>
  <c r="F42" i="12" s="1"/>
  <c r="AM57" i="12"/>
  <c r="H57" i="12"/>
  <c r="H92" i="12"/>
  <c r="Q96" i="12"/>
  <c r="AM99" i="12"/>
  <c r="T120" i="12"/>
  <c r="K123" i="12"/>
  <c r="Q127" i="12"/>
  <c r="L42" i="13"/>
  <c r="K29" i="13"/>
  <c r="AI78" i="13"/>
  <c r="K84" i="13"/>
  <c r="AJ83" i="13"/>
  <c r="AJ164" i="13" s="1"/>
  <c r="AJ166" i="13" s="1"/>
  <c r="O13" i="14"/>
  <c r="O42" i="14"/>
  <c r="AS45" i="14"/>
  <c r="AQ44" i="14"/>
  <c r="AM120" i="14"/>
  <c r="N120" i="14"/>
  <c r="AM28" i="11"/>
  <c r="W147" i="11"/>
  <c r="AG45" i="12"/>
  <c r="G57" i="12"/>
  <c r="AO71" i="12"/>
  <c r="AI78" i="12"/>
  <c r="H99" i="12"/>
  <c r="Q114" i="12"/>
  <c r="N29" i="13"/>
  <c r="AM29" i="13"/>
  <c r="N84" i="13"/>
  <c r="AI99" i="13"/>
  <c r="F42" i="14"/>
  <c r="AM159" i="14"/>
  <c r="AO61" i="15"/>
  <c r="AN61" i="15"/>
  <c r="AD28" i="14"/>
  <c r="AD42" i="14" s="1"/>
  <c r="AF29" i="14"/>
  <c r="H92" i="14"/>
  <c r="AS114" i="14"/>
  <c r="AR114" i="14"/>
  <c r="R12" i="16"/>
  <c r="AM6" i="16"/>
  <c r="O42" i="11"/>
  <c r="H114" i="11"/>
  <c r="Z127" i="11"/>
  <c r="F127" i="11"/>
  <c r="H127" i="11" s="1"/>
  <c r="AM130" i="11"/>
  <c r="AM47" i="12"/>
  <c r="E47" i="12"/>
  <c r="D47" i="12"/>
  <c r="AD83" i="12"/>
  <c r="AF83" i="12" s="1"/>
  <c r="AM89" i="12"/>
  <c r="W114" i="12"/>
  <c r="AF120" i="12"/>
  <c r="AA155" i="16"/>
  <c r="AM155" i="16" s="1"/>
  <c r="AA153" i="12"/>
  <c r="T61" i="13"/>
  <c r="Q109" i="13"/>
  <c r="Q147" i="13"/>
  <c r="Z15" i="13"/>
  <c r="X14" i="13"/>
  <c r="F58" i="16"/>
  <c r="F57" i="16" s="1"/>
  <c r="F57" i="13"/>
  <c r="AM61" i="13"/>
  <c r="C60" i="13"/>
  <c r="AM60" i="13" s="1"/>
  <c r="AM72" i="13"/>
  <c r="Q78" i="13"/>
  <c r="N109" i="13"/>
  <c r="AM123" i="13"/>
  <c r="AA13" i="14"/>
  <c r="AA42" i="14"/>
  <c r="E44" i="14"/>
  <c r="C164" i="14"/>
  <c r="C166" i="14" s="1"/>
  <c r="Q61" i="14"/>
  <c r="P61" i="14"/>
  <c r="W99" i="15"/>
  <c r="X13" i="14"/>
  <c r="X42" i="14"/>
  <c r="R157" i="14"/>
  <c r="R158" i="14"/>
  <c r="R158" i="16" s="1"/>
  <c r="T78" i="14"/>
  <c r="T147" i="14"/>
  <c r="T84" i="14"/>
  <c r="T123" i="14"/>
  <c r="T114" i="14"/>
  <c r="T127" i="14"/>
  <c r="T92" i="14"/>
  <c r="AD60" i="14"/>
  <c r="AM84" i="14"/>
  <c r="C83" i="14"/>
  <c r="AI123" i="14"/>
  <c r="Z147" i="14"/>
  <c r="H123" i="15"/>
  <c r="F34" i="15"/>
  <c r="H96" i="15"/>
  <c r="H72" i="15"/>
  <c r="F30" i="15"/>
  <c r="H127" i="15"/>
  <c r="H84" i="15"/>
  <c r="F31" i="15"/>
  <c r="I83" i="15"/>
  <c r="AM89" i="15"/>
  <c r="AI84" i="12"/>
  <c r="AM24" i="13"/>
  <c r="AA60" i="13"/>
  <c r="R83" i="13"/>
  <c r="W92" i="13"/>
  <c r="Z15" i="14"/>
  <c r="U158" i="14"/>
  <c r="U158" i="16" s="1"/>
  <c r="U157" i="14"/>
  <c r="W123" i="14"/>
  <c r="W120" i="14"/>
  <c r="W127" i="14"/>
  <c r="W109" i="14"/>
  <c r="W96" i="14"/>
  <c r="W92" i="14"/>
  <c r="W89" i="14"/>
  <c r="E84" i="14"/>
  <c r="AJ44" i="15"/>
  <c r="H60" i="15"/>
  <c r="AN64" i="14"/>
  <c r="H78" i="14"/>
  <c r="AR96" i="14"/>
  <c r="AM123" i="14"/>
  <c r="AF92" i="12"/>
  <c r="H109" i="12"/>
  <c r="AM12" i="13"/>
  <c r="AN79" i="13" s="1"/>
  <c r="X44" i="13"/>
  <c r="F60" i="13"/>
  <c r="AF84" i="13"/>
  <c r="AD83" i="13"/>
  <c r="AF83" i="13" s="1"/>
  <c r="AM96" i="13"/>
  <c r="T114" i="13"/>
  <c r="AO6" i="14"/>
  <c r="AG13" i="14"/>
  <c r="AI120" i="14" s="1"/>
  <c r="AM24" i="14"/>
  <c r="L83" i="14"/>
  <c r="N83" i="14" s="1"/>
  <c r="AI99" i="14"/>
  <c r="H123" i="14"/>
  <c r="O30" i="15"/>
  <c r="O29" i="15" s="1"/>
  <c r="O28" i="15" s="1"/>
  <c r="O42" i="15" s="1"/>
  <c r="AO66" i="15"/>
  <c r="O35" i="15"/>
  <c r="O32" i="15"/>
  <c r="AO65" i="15"/>
  <c r="AO70" i="15"/>
  <c r="AO69" i="15"/>
  <c r="O33" i="15"/>
  <c r="AO68" i="15"/>
  <c r="Q147" i="15"/>
  <c r="AO67" i="15"/>
  <c r="W61" i="15"/>
  <c r="AO62" i="15"/>
  <c r="R83" i="15"/>
  <c r="T83" i="15" s="1"/>
  <c r="AM78" i="12"/>
  <c r="H89" i="12"/>
  <c r="AA45" i="13"/>
  <c r="AA44" i="13" s="1"/>
  <c r="W57" i="13"/>
  <c r="V57" i="13"/>
  <c r="R42" i="14"/>
  <c r="AS78" i="14"/>
  <c r="AG154" i="16"/>
  <c r="L13" i="15"/>
  <c r="L36" i="15"/>
  <c r="AS92" i="14"/>
  <c r="AR92" i="14"/>
  <c r="AO71" i="15"/>
  <c r="AN71" i="15"/>
  <c r="U83" i="15"/>
  <c r="W83" i="15" s="1"/>
  <c r="S72" i="12"/>
  <c r="O83" i="12"/>
  <c r="Q83" i="12" s="1"/>
  <c r="T123" i="12"/>
  <c r="AF147" i="12"/>
  <c r="AF47" i="13"/>
  <c r="AF123" i="13"/>
  <c r="AF114" i="13"/>
  <c r="AG83" i="13"/>
  <c r="AM114" i="13"/>
  <c r="AF120" i="13"/>
  <c r="AA45" i="14"/>
  <c r="K57" i="14"/>
  <c r="J57" i="14"/>
  <c r="Q109" i="14"/>
  <c r="AM57" i="15"/>
  <c r="T61" i="12"/>
  <c r="T72" i="12"/>
  <c r="Q89" i="12"/>
  <c r="T96" i="12"/>
  <c r="K147" i="12"/>
  <c r="AI29" i="13"/>
  <c r="F45" i="13"/>
  <c r="C57" i="16"/>
  <c r="AI89" i="13"/>
  <c r="Q99" i="13"/>
  <c r="AD45" i="14"/>
  <c r="AD44" i="14" s="1"/>
  <c r="AJ47" i="16"/>
  <c r="AJ46" i="16" s="1"/>
  <c r="AJ46" i="14"/>
  <c r="AJ45" i="14" s="1"/>
  <c r="AJ44" i="14" s="1"/>
  <c r="AJ164" i="14" s="1"/>
  <c r="AJ166" i="14" s="1"/>
  <c r="W84" i="14"/>
  <c r="Q99" i="14"/>
  <c r="Q147" i="14"/>
  <c r="AN64" i="15"/>
  <c r="AG83" i="15"/>
  <c r="AI83" i="15" s="1"/>
  <c r="AR89" i="14"/>
  <c r="AR120" i="14"/>
  <c r="L42" i="14"/>
  <c r="AM46" i="14"/>
  <c r="AM47" i="14"/>
  <c r="AM61" i="14"/>
  <c r="H84" i="14"/>
  <c r="T89" i="14"/>
  <c r="AS89" i="14"/>
  <c r="T109" i="14"/>
  <c r="AS109" i="14"/>
  <c r="AG29" i="15"/>
  <c r="W78" i="15"/>
  <c r="L83" i="15"/>
  <c r="O12" i="16"/>
  <c r="P72" i="16" s="1"/>
  <c r="AM5" i="16"/>
  <c r="C144" i="14"/>
  <c r="AM15" i="14"/>
  <c r="AO15" i="14" s="1"/>
  <c r="AM23" i="14"/>
  <c r="W78" i="14"/>
  <c r="AF99" i="14"/>
  <c r="AR123" i="14"/>
  <c r="AM12" i="15"/>
  <c r="AN48" i="15" s="1"/>
  <c r="AR109" i="15"/>
  <c r="AR127" i="15"/>
  <c r="AR48" i="15"/>
  <c r="AR99" i="15"/>
  <c r="AR96" i="15"/>
  <c r="U44" i="15"/>
  <c r="W45" i="15"/>
  <c r="H57" i="15"/>
  <c r="G57" i="15"/>
  <c r="AF99" i="15"/>
  <c r="W120" i="15"/>
  <c r="AR123" i="15"/>
  <c r="AM99" i="14"/>
  <c r="W114" i="14"/>
  <c r="C34" i="15"/>
  <c r="AG45" i="15"/>
  <c r="H83" i="15"/>
  <c r="AF92" i="15"/>
  <c r="K96" i="14"/>
  <c r="K127" i="14"/>
  <c r="L46" i="14"/>
  <c r="L45" i="14" s="1"/>
  <c r="L44" i="14" s="1"/>
  <c r="K72" i="14"/>
  <c r="AM78" i="14"/>
  <c r="Z114" i="14"/>
  <c r="AS120" i="14"/>
  <c r="C45" i="15"/>
  <c r="AM46" i="15"/>
  <c r="AH46" i="15"/>
  <c r="AR84" i="15"/>
  <c r="AM109" i="15"/>
  <c r="AM147" i="15"/>
  <c r="O45" i="14"/>
  <c r="AM89" i="14"/>
  <c r="K99" i="14"/>
  <c r="AS157" i="14"/>
  <c r="AJ36" i="15"/>
  <c r="AJ13" i="15"/>
  <c r="F45" i="15"/>
  <c r="R60" i="15"/>
  <c r="T61" i="15"/>
  <c r="S61" i="15"/>
  <c r="T84" i="15"/>
  <c r="H92" i="15"/>
  <c r="AF120" i="15"/>
  <c r="T127" i="12"/>
  <c r="R153" i="16"/>
  <c r="R157" i="16"/>
  <c r="R168" i="12"/>
  <c r="L83" i="13"/>
  <c r="N83" i="13" s="1"/>
  <c r="R45" i="14"/>
  <c r="AB47" i="14"/>
  <c r="Q84" i="14"/>
  <c r="AA83" i="14"/>
  <c r="AM109" i="14"/>
  <c r="AF127" i="14"/>
  <c r="AM147" i="14"/>
  <c r="AD13" i="15"/>
  <c r="I13" i="15"/>
  <c r="K120" i="15" s="1"/>
  <c r="AQ42" i="15"/>
  <c r="AQ13" i="15"/>
  <c r="U60" i="15"/>
  <c r="AM78" i="15"/>
  <c r="H99" i="15"/>
  <c r="AM8" i="16"/>
  <c r="W120" i="12"/>
  <c r="U157" i="16"/>
  <c r="C83" i="13"/>
  <c r="AF147" i="13"/>
  <c r="F83" i="14"/>
  <c r="H83" i="14" s="1"/>
  <c r="AD83" i="14"/>
  <c r="AF83" i="14" s="1"/>
  <c r="H96" i="14"/>
  <c r="AI96" i="14"/>
  <c r="AR99" i="14"/>
  <c r="H127" i="14"/>
  <c r="AI127" i="14"/>
  <c r="AR47" i="15"/>
  <c r="AN47" i="15"/>
  <c r="AO5" i="15"/>
  <c r="H78" i="15"/>
  <c r="AF83" i="15"/>
  <c r="K99" i="15"/>
  <c r="AC114" i="15"/>
  <c r="AM120" i="15"/>
  <c r="W123" i="15"/>
  <c r="K78" i="14"/>
  <c r="AQ83" i="14"/>
  <c r="I83" i="14"/>
  <c r="K83" i="14" s="1"/>
  <c r="K92" i="14"/>
  <c r="AS99" i="14"/>
  <c r="K114" i="14"/>
  <c r="AM114" i="14"/>
  <c r="AS147" i="14"/>
  <c r="AM14" i="15"/>
  <c r="AM24" i="15"/>
  <c r="AQ83" i="15"/>
  <c r="X83" i="15"/>
  <c r="U83" i="14"/>
  <c r="W83" i="14" s="1"/>
  <c r="AR84" i="14"/>
  <c r="K89" i="14"/>
  <c r="AG83" i="14"/>
  <c r="AI83" i="14" s="1"/>
  <c r="N96" i="14"/>
  <c r="AM96" i="14"/>
  <c r="N127" i="14"/>
  <c r="AM127" i="14"/>
  <c r="AS153" i="14"/>
  <c r="AO7" i="15"/>
  <c r="R36" i="15"/>
  <c r="R36" i="16" s="1"/>
  <c r="R13" i="15"/>
  <c r="R44" i="15"/>
  <c r="T45" i="15"/>
  <c r="AJ60" i="15"/>
  <c r="AR120" i="15"/>
  <c r="AM7" i="16"/>
  <c r="AM124" i="16"/>
  <c r="C123" i="16"/>
  <c r="O36" i="15"/>
  <c r="AN79" i="15"/>
  <c r="O83" i="15"/>
  <c r="Q83" i="15" s="1"/>
  <c r="AJ83" i="15"/>
  <c r="AL83" i="15" s="1"/>
  <c r="AC127" i="15"/>
  <c r="AO6" i="15"/>
  <c r="AM23" i="15"/>
  <c r="J57" i="15"/>
  <c r="T92" i="15"/>
  <c r="AS92" i="15"/>
  <c r="AR92" i="15"/>
  <c r="AS99" i="15"/>
  <c r="H109" i="15"/>
  <c r="AM114" i="15"/>
  <c r="AJ24" i="16"/>
  <c r="AJ23" i="16" s="1"/>
  <c r="AA83" i="15"/>
  <c r="AC83" i="15" s="1"/>
  <c r="W92" i="15"/>
  <c r="AM9" i="16"/>
  <c r="N123" i="14"/>
  <c r="AA13" i="15"/>
  <c r="V61" i="15"/>
  <c r="C83" i="15"/>
  <c r="AR89" i="15"/>
  <c r="AS89" i="15"/>
  <c r="Q123" i="16"/>
  <c r="Q81" i="16"/>
  <c r="Q78" i="16"/>
  <c r="Q99" i="16"/>
  <c r="Q96" i="16"/>
  <c r="Q153" i="16"/>
  <c r="N92" i="14"/>
  <c r="AI92" i="14"/>
  <c r="T120" i="14"/>
  <c r="AA36" i="15"/>
  <c r="AA45" i="15"/>
  <c r="AM96" i="15"/>
  <c r="AI114" i="15"/>
  <c r="AS153" i="15"/>
  <c r="AM92" i="15"/>
  <c r="K147" i="14"/>
  <c r="AF147" i="14"/>
  <c r="AQ45" i="15"/>
  <c r="AO63" i="15"/>
  <c r="AN63" i="15"/>
  <c r="AI84" i="14"/>
  <c r="AE46" i="15"/>
  <c r="AS123" i="15"/>
  <c r="T127" i="15"/>
  <c r="C12" i="16"/>
  <c r="AM26" i="16"/>
  <c r="Q60" i="16"/>
  <c r="Q114" i="16"/>
  <c r="F12" i="16"/>
  <c r="C23" i="16"/>
  <c r="AM23" i="16" s="1"/>
  <c r="AM24" i="16"/>
  <c r="AM27" i="16"/>
  <c r="O83" i="16"/>
  <c r="Q83" i="16" s="1"/>
  <c r="Q84" i="16"/>
  <c r="W147" i="15"/>
  <c r="AJ61" i="16"/>
  <c r="Q127" i="16"/>
  <c r="AM15" i="15"/>
  <c r="AO15" i="15" s="1"/>
  <c r="AI84" i="15"/>
  <c r="H120" i="15"/>
  <c r="AM127" i="15"/>
  <c r="AM11" i="16"/>
  <c r="Q92" i="16"/>
  <c r="AG46" i="16"/>
  <c r="AM50" i="16"/>
  <c r="H147" i="15"/>
  <c r="AA12" i="16"/>
  <c r="AM10" i="16"/>
  <c r="AM20" i="16"/>
  <c r="Q89" i="16"/>
  <c r="AM116" i="16"/>
  <c r="AG114" i="16"/>
  <c r="AM136" i="16"/>
  <c r="F24" i="16"/>
  <c r="F23" i="16" s="1"/>
  <c r="AM25" i="16"/>
  <c r="AD45" i="16"/>
  <c r="AA45" i="16"/>
  <c r="AG61" i="16"/>
  <c r="Q147" i="16"/>
  <c r="AM49" i="16"/>
  <c r="AJ99" i="16"/>
  <c r="AM132" i="16"/>
  <c r="AM65" i="16"/>
  <c r="AM100" i="16"/>
  <c r="R99" i="16"/>
  <c r="AD99" i="16"/>
  <c r="AM122" i="16"/>
  <c r="AG120" i="16"/>
  <c r="AM54" i="16"/>
  <c r="R61" i="16"/>
  <c r="AD61" i="16"/>
  <c r="U99" i="16"/>
  <c r="AG99" i="16"/>
  <c r="AJ114" i="16"/>
  <c r="AM126" i="16"/>
  <c r="AM53" i="16"/>
  <c r="AM154" i="16"/>
  <c r="O46" i="16"/>
  <c r="X78" i="16"/>
  <c r="AM102" i="16"/>
  <c r="AM119" i="16"/>
  <c r="Q120" i="16"/>
  <c r="AA127" i="16"/>
  <c r="F153" i="16"/>
  <c r="R46" i="16"/>
  <c r="AM52" i="16"/>
  <c r="AM70" i="16"/>
  <c r="C114" i="16"/>
  <c r="X127" i="16"/>
  <c r="U127" i="16"/>
  <c r="Q72" i="16"/>
  <c r="AM115" i="16"/>
  <c r="AM121" i="16"/>
  <c r="AM150" i="16"/>
  <c r="C153" i="16"/>
  <c r="AM86" i="16"/>
  <c r="AM75" i="16" l="1"/>
  <c r="H44" i="10"/>
  <c r="AA145" i="17"/>
  <c r="AA147" i="17" s="1"/>
  <c r="AA142" i="17"/>
  <c r="C145" i="14"/>
  <c r="C161" i="14"/>
  <c r="AD144" i="14"/>
  <c r="AM13" i="15"/>
  <c r="K89" i="15"/>
  <c r="AM28" i="12"/>
  <c r="C42" i="12"/>
  <c r="L44" i="12"/>
  <c r="AM45" i="12"/>
  <c r="T99" i="13"/>
  <c r="T127" i="13"/>
  <c r="T47" i="13"/>
  <c r="T29" i="13"/>
  <c r="T120" i="13"/>
  <c r="T78" i="13"/>
  <c r="T92" i="13"/>
  <c r="T109" i="13"/>
  <c r="T84" i="13"/>
  <c r="T45" i="13"/>
  <c r="T123" i="13"/>
  <c r="T89" i="13"/>
  <c r="T57" i="13"/>
  <c r="U28" i="10"/>
  <c r="U42" i="10" s="1"/>
  <c r="W29" i="10"/>
  <c r="AA157" i="14"/>
  <c r="AA158" i="14"/>
  <c r="AA158" i="16" s="1"/>
  <c r="R58" i="1"/>
  <c r="H78" i="13"/>
  <c r="H29" i="13"/>
  <c r="H47" i="13"/>
  <c r="H120" i="13"/>
  <c r="H109" i="13"/>
  <c r="H123" i="13"/>
  <c r="H84" i="13"/>
  <c r="H114" i="13"/>
  <c r="H96" i="13"/>
  <c r="H89" i="13"/>
  <c r="H99" i="13"/>
  <c r="H127" i="13"/>
  <c r="H92" i="13"/>
  <c r="N44" i="8"/>
  <c r="Y78" i="16"/>
  <c r="AJ13" i="16"/>
  <c r="U153" i="16"/>
  <c r="C29" i="15"/>
  <c r="U153" i="14"/>
  <c r="W120" i="13"/>
  <c r="AN29" i="14"/>
  <c r="AA13" i="11"/>
  <c r="AA42" i="11"/>
  <c r="AG45" i="16"/>
  <c r="H60" i="13"/>
  <c r="AJ164" i="15"/>
  <c r="AJ166" i="15" s="1"/>
  <c r="AL44" i="15"/>
  <c r="X158" i="14"/>
  <c r="X158" i="16" s="1"/>
  <c r="AM158" i="16" s="1"/>
  <c r="Z123" i="14"/>
  <c r="Z120" i="14"/>
  <c r="Z29" i="14"/>
  <c r="X157" i="14"/>
  <c r="Z84" i="14"/>
  <c r="P58" i="1"/>
  <c r="Z109" i="14"/>
  <c r="Z89" i="14"/>
  <c r="Z83" i="14"/>
  <c r="Z99" i="14"/>
  <c r="H83" i="13"/>
  <c r="X13" i="15"/>
  <c r="X36" i="15"/>
  <c r="W29" i="13"/>
  <c r="L144" i="12"/>
  <c r="H59" i="1"/>
  <c r="AC83" i="11"/>
  <c r="AM28" i="14"/>
  <c r="I42" i="14"/>
  <c r="I144" i="14" s="1"/>
  <c r="AQ145" i="10"/>
  <c r="AQ161" i="10"/>
  <c r="AQ162" i="10" s="1"/>
  <c r="C73" i="12"/>
  <c r="C73" i="11"/>
  <c r="C73" i="8"/>
  <c r="C73" i="9"/>
  <c r="C73" i="7"/>
  <c r="R56" i="1"/>
  <c r="AA144" i="6"/>
  <c r="AM83" i="15"/>
  <c r="R164" i="15"/>
  <c r="R166" i="15" s="1"/>
  <c r="T44" i="15"/>
  <c r="AD164" i="14"/>
  <c r="AD166" i="14" s="1"/>
  <c r="AF44" i="14"/>
  <c r="J60" i="1"/>
  <c r="X164" i="13"/>
  <c r="X166" i="13" s="1"/>
  <c r="Z92" i="14"/>
  <c r="AM31" i="15"/>
  <c r="AN72" i="13"/>
  <c r="U144" i="13"/>
  <c r="N57" i="1"/>
  <c r="AN63" i="9"/>
  <c r="AO63" i="9"/>
  <c r="C44" i="13"/>
  <c r="AM45" i="13"/>
  <c r="O29" i="8"/>
  <c r="N29" i="8"/>
  <c r="L28" i="8"/>
  <c r="L42" i="8" s="1"/>
  <c r="K78" i="15"/>
  <c r="I30" i="15"/>
  <c r="K123" i="15"/>
  <c r="I31" i="15"/>
  <c r="K92" i="15"/>
  <c r="K72" i="15"/>
  <c r="K84" i="15"/>
  <c r="K45" i="15"/>
  <c r="I34" i="15"/>
  <c r="K109" i="15"/>
  <c r="K114" i="15"/>
  <c r="K60" i="15"/>
  <c r="K57" i="15"/>
  <c r="W44" i="15"/>
  <c r="U164" i="15"/>
  <c r="U166" i="15" s="1"/>
  <c r="AO89" i="11"/>
  <c r="L30" i="15"/>
  <c r="L35" i="15"/>
  <c r="L32" i="15"/>
  <c r="L33" i="15"/>
  <c r="N43" i="15"/>
  <c r="L34" i="15"/>
  <c r="N147" i="15"/>
  <c r="AO7" i="13"/>
  <c r="AN48" i="13"/>
  <c r="AN156" i="13"/>
  <c r="AO5" i="13"/>
  <c r="AO6" i="13"/>
  <c r="AM77" i="16"/>
  <c r="R13" i="16"/>
  <c r="T61" i="16" s="1"/>
  <c r="K96" i="15"/>
  <c r="K127" i="15"/>
  <c r="F73" i="12"/>
  <c r="F72" i="12" s="1"/>
  <c r="F73" i="8"/>
  <c r="F72" i="8" s="1"/>
  <c r="F73" i="11"/>
  <c r="F72" i="11" s="1"/>
  <c r="F73" i="9"/>
  <c r="F72" i="9" s="1"/>
  <c r="F73" i="7"/>
  <c r="Q44" i="11"/>
  <c r="O164" i="11"/>
  <c r="O166" i="11" s="1"/>
  <c r="T43" i="16"/>
  <c r="R45" i="16"/>
  <c r="T46" i="16"/>
  <c r="Z83" i="12"/>
  <c r="AO61" i="11"/>
  <c r="AN61" i="11"/>
  <c r="AN127" i="8"/>
  <c r="AO78" i="15"/>
  <c r="F144" i="10"/>
  <c r="Z127" i="14"/>
  <c r="K44" i="15"/>
  <c r="F44" i="13"/>
  <c r="H45" i="13"/>
  <c r="AA44" i="14"/>
  <c r="AA164" i="14" s="1"/>
  <c r="AA166" i="14" s="1"/>
  <c r="H72" i="13"/>
  <c r="L144" i="13"/>
  <c r="H57" i="1"/>
  <c r="T96" i="13"/>
  <c r="AC127" i="13"/>
  <c r="AC47" i="13"/>
  <c r="AC84" i="13"/>
  <c r="AC29" i="13"/>
  <c r="AC120" i="13"/>
  <c r="AC57" i="13"/>
  <c r="AC83" i="13"/>
  <c r="AC78" i="13"/>
  <c r="AC99" i="13"/>
  <c r="AC89" i="13"/>
  <c r="AC109" i="13"/>
  <c r="AC123" i="13"/>
  <c r="AC147" i="13"/>
  <c r="AC114" i="13"/>
  <c r="AC72" i="13"/>
  <c r="AC92" i="13"/>
  <c r="R164" i="13"/>
  <c r="R166" i="13" s="1"/>
  <c r="T44" i="13"/>
  <c r="AD164" i="11"/>
  <c r="AD166" i="11" s="1"/>
  <c r="AF44" i="11"/>
  <c r="AC44" i="11"/>
  <c r="AM106" i="16"/>
  <c r="C99" i="16"/>
  <c r="AS44" i="14"/>
  <c r="AQ144" i="14"/>
  <c r="AG144" i="13"/>
  <c r="V57" i="1"/>
  <c r="T153" i="16"/>
  <c r="C13" i="13"/>
  <c r="C42" i="13"/>
  <c r="AM14" i="13"/>
  <c r="K78" i="11"/>
  <c r="K89" i="11"/>
  <c r="K99" i="11"/>
  <c r="K114" i="11"/>
  <c r="K92" i="11"/>
  <c r="K72" i="11"/>
  <c r="K84" i="11"/>
  <c r="K127" i="11"/>
  <c r="K29" i="11"/>
  <c r="K123" i="11"/>
  <c r="AM13" i="11"/>
  <c r="K57" i="11"/>
  <c r="K109" i="11"/>
  <c r="K96" i="11"/>
  <c r="W83" i="13"/>
  <c r="U164" i="13"/>
  <c r="U166" i="13" s="1"/>
  <c r="AJ161" i="12"/>
  <c r="AJ162" i="12" s="1"/>
  <c r="AJ145" i="12"/>
  <c r="T56" i="1"/>
  <c r="AD144" i="6"/>
  <c r="W127" i="13"/>
  <c r="W147" i="13"/>
  <c r="W123" i="13"/>
  <c r="W114" i="13"/>
  <c r="W96" i="13"/>
  <c r="W47" i="13"/>
  <c r="W99" i="13"/>
  <c r="W44" i="13"/>
  <c r="W89" i="13"/>
  <c r="W45" i="13"/>
  <c r="W84" i="13"/>
  <c r="I44" i="11"/>
  <c r="K45" i="11"/>
  <c r="AM120" i="16"/>
  <c r="AS45" i="15"/>
  <c r="AQ44" i="15"/>
  <c r="AS44" i="15" s="1"/>
  <c r="AA35" i="15"/>
  <c r="AC147" i="15"/>
  <c r="AC123" i="15"/>
  <c r="AA32" i="15"/>
  <c r="AA30" i="15"/>
  <c r="AC89" i="15"/>
  <c r="AC99" i="15"/>
  <c r="AC96" i="15"/>
  <c r="AC92" i="15"/>
  <c r="AC84" i="15"/>
  <c r="AA33" i="15"/>
  <c r="AA34" i="15"/>
  <c r="AC78" i="15"/>
  <c r="AC109" i="15"/>
  <c r="AC120" i="15"/>
  <c r="L164" i="14"/>
  <c r="L166" i="14" s="1"/>
  <c r="N44" i="14"/>
  <c r="Z83" i="15"/>
  <c r="R44" i="14"/>
  <c r="T45" i="14"/>
  <c r="K147" i="15"/>
  <c r="W78" i="13"/>
  <c r="T59" i="1"/>
  <c r="V59" i="1"/>
  <c r="T29" i="9"/>
  <c r="R28" i="9"/>
  <c r="R42" i="9" s="1"/>
  <c r="Z72" i="10"/>
  <c r="Z99" i="10"/>
  <c r="Z89" i="10"/>
  <c r="Z123" i="10"/>
  <c r="Z114" i="10"/>
  <c r="X30" i="10"/>
  <c r="X29" i="10" s="1"/>
  <c r="Z127" i="10"/>
  <c r="Z92" i="10"/>
  <c r="Z96" i="10"/>
  <c r="Z44" i="10"/>
  <c r="Z109" i="10"/>
  <c r="Z120" i="10"/>
  <c r="Z84" i="10"/>
  <c r="Z147" i="10"/>
  <c r="T99" i="16"/>
  <c r="AM12" i="16"/>
  <c r="AR83" i="15"/>
  <c r="AS83" i="15"/>
  <c r="AO92" i="15"/>
  <c r="Z96" i="14"/>
  <c r="AO120" i="15"/>
  <c r="AS47" i="15"/>
  <c r="AS147" i="15"/>
  <c r="AS127" i="15"/>
  <c r="AS109" i="15"/>
  <c r="AS72" i="15"/>
  <c r="AS114" i="15"/>
  <c r="AS78" i="15"/>
  <c r="AS96" i="15"/>
  <c r="AS84" i="15"/>
  <c r="AS120" i="15"/>
  <c r="AS43" i="15"/>
  <c r="AN155" i="13"/>
  <c r="R144" i="14"/>
  <c r="X42" i="13"/>
  <c r="X144" i="13" s="1"/>
  <c r="X13" i="13"/>
  <c r="AN29" i="13"/>
  <c r="Z78" i="14"/>
  <c r="Q60" i="13"/>
  <c r="O44" i="13"/>
  <c r="AA161" i="13"/>
  <c r="AA162" i="13" s="1"/>
  <c r="AA145" i="13"/>
  <c r="F127" i="16"/>
  <c r="AM130" i="16"/>
  <c r="AL47" i="13"/>
  <c r="AL57" i="13"/>
  <c r="K147" i="11"/>
  <c r="K120" i="11"/>
  <c r="R144" i="12"/>
  <c r="AJ145" i="14"/>
  <c r="U36" i="9"/>
  <c r="W59" i="9"/>
  <c r="U35" i="9"/>
  <c r="W43" i="9"/>
  <c r="U34" i="9"/>
  <c r="W84" i="9"/>
  <c r="U33" i="9"/>
  <c r="U30" i="9"/>
  <c r="U32" i="9"/>
  <c r="U31" i="9"/>
  <c r="W109" i="9"/>
  <c r="U37" i="9"/>
  <c r="W123" i="9"/>
  <c r="W99" i="9"/>
  <c r="AO64" i="8"/>
  <c r="AN64" i="8"/>
  <c r="E78" i="7"/>
  <c r="AM78" i="7"/>
  <c r="AN78" i="8"/>
  <c r="K59" i="9"/>
  <c r="I31" i="9"/>
  <c r="K127" i="9"/>
  <c r="I32" i="9"/>
  <c r="I33" i="9"/>
  <c r="I37" i="9"/>
  <c r="I34" i="9"/>
  <c r="K96" i="9"/>
  <c r="I35" i="9"/>
  <c r="K84" i="9"/>
  <c r="K45" i="9"/>
  <c r="I36" i="9"/>
  <c r="K120" i="9"/>
  <c r="I30" i="9"/>
  <c r="AG31" i="8"/>
  <c r="AG33" i="8"/>
  <c r="AG32" i="8"/>
  <c r="AI96" i="8"/>
  <c r="AG36" i="8"/>
  <c r="AG36" i="16" s="1"/>
  <c r="AI59" i="8"/>
  <c r="AG37" i="8"/>
  <c r="AG37" i="16" s="1"/>
  <c r="AG30" i="8"/>
  <c r="AG34" i="8"/>
  <c r="AI99" i="8"/>
  <c r="AI58" i="8"/>
  <c r="AI89" i="8"/>
  <c r="AG35" i="8"/>
  <c r="AI120" i="8"/>
  <c r="AI127" i="8"/>
  <c r="AI57" i="8"/>
  <c r="C89" i="16"/>
  <c r="AM89" i="16" s="1"/>
  <c r="AM90" i="16"/>
  <c r="O32" i="16"/>
  <c r="L13" i="17"/>
  <c r="N29" i="17" s="1"/>
  <c r="L42" i="17"/>
  <c r="O14" i="5"/>
  <c r="AM15" i="5"/>
  <c r="D114" i="2"/>
  <c r="D119" i="2" s="1"/>
  <c r="F145" i="17"/>
  <c r="F147" i="17" s="1"/>
  <c r="F142" i="17"/>
  <c r="T127" i="7"/>
  <c r="R34" i="7"/>
  <c r="R30" i="7"/>
  <c r="T96" i="7"/>
  <c r="R35" i="7"/>
  <c r="R31" i="7"/>
  <c r="R31" i="16" s="1"/>
  <c r="R33" i="7"/>
  <c r="R33" i="16" s="1"/>
  <c r="R32" i="7"/>
  <c r="V72" i="11"/>
  <c r="W72" i="11"/>
  <c r="U60" i="11"/>
  <c r="U44" i="11" s="1"/>
  <c r="C149" i="11"/>
  <c r="AM149" i="11" s="1"/>
  <c r="C149" i="12"/>
  <c r="AM149" i="12" s="1"/>
  <c r="C149" i="8"/>
  <c r="AM149" i="8" s="1"/>
  <c r="C149" i="9"/>
  <c r="AM149" i="9" s="1"/>
  <c r="C149" i="7"/>
  <c r="U13" i="16"/>
  <c r="W99" i="16" s="1"/>
  <c r="T72" i="8"/>
  <c r="S72" i="8"/>
  <c r="R60" i="8"/>
  <c r="AO109" i="11"/>
  <c r="Z83" i="11"/>
  <c r="AO57" i="11"/>
  <c r="AN57" i="11"/>
  <c r="Z83" i="13"/>
  <c r="R44" i="8"/>
  <c r="AO68" i="12"/>
  <c r="Q84" i="12"/>
  <c r="AO69" i="12"/>
  <c r="W61" i="12"/>
  <c r="AO70" i="12"/>
  <c r="Q72" i="12"/>
  <c r="AO66" i="12"/>
  <c r="Q99" i="12"/>
  <c r="Q29" i="12"/>
  <c r="AO64" i="12"/>
  <c r="Q109" i="12"/>
  <c r="AO62" i="12"/>
  <c r="AO67" i="12"/>
  <c r="C13" i="10"/>
  <c r="AM14" i="10"/>
  <c r="H92" i="11"/>
  <c r="H96" i="11"/>
  <c r="H78" i="11"/>
  <c r="H123" i="11"/>
  <c r="AJ144" i="10"/>
  <c r="X61" i="1"/>
  <c r="AM61" i="8"/>
  <c r="AO61" i="8" s="1"/>
  <c r="F60" i="8"/>
  <c r="H61" i="8"/>
  <c r="W44" i="8"/>
  <c r="K60" i="9"/>
  <c r="I44" i="9"/>
  <c r="F13" i="16"/>
  <c r="H114" i="16" s="1"/>
  <c r="AI92" i="8"/>
  <c r="AN77" i="7"/>
  <c r="AO109" i="8"/>
  <c r="AD37" i="16"/>
  <c r="K44" i="7"/>
  <c r="O31" i="16"/>
  <c r="T92" i="7"/>
  <c r="AD29" i="7"/>
  <c r="L145" i="17"/>
  <c r="L147" i="17" s="1"/>
  <c r="S72" i="11"/>
  <c r="R60" i="11"/>
  <c r="R44" i="11" s="1"/>
  <c r="T72" i="11"/>
  <c r="K29" i="17"/>
  <c r="W92" i="12"/>
  <c r="W127" i="12"/>
  <c r="W99" i="12"/>
  <c r="W147" i="12"/>
  <c r="W123" i="12"/>
  <c r="W78" i="12"/>
  <c r="W96" i="12"/>
  <c r="W45" i="12"/>
  <c r="Z114" i="11"/>
  <c r="R144" i="11"/>
  <c r="L57" i="1"/>
  <c r="K60" i="13"/>
  <c r="I44" i="13"/>
  <c r="I29" i="10"/>
  <c r="J59" i="1"/>
  <c r="H92" i="16"/>
  <c r="K57" i="9"/>
  <c r="I44" i="10"/>
  <c r="K44" i="10" s="1"/>
  <c r="K45" i="10"/>
  <c r="E120" i="8"/>
  <c r="E99" i="8"/>
  <c r="C35" i="8"/>
  <c r="AM13" i="8"/>
  <c r="E123" i="8"/>
  <c r="C30" i="8"/>
  <c r="E109" i="8"/>
  <c r="C31" i="8"/>
  <c r="C36" i="8"/>
  <c r="C32" i="8"/>
  <c r="C33" i="8"/>
  <c r="C37" i="8"/>
  <c r="AN77" i="8"/>
  <c r="AO77" i="8"/>
  <c r="AM46" i="16"/>
  <c r="C45" i="16"/>
  <c r="Z59" i="8"/>
  <c r="X36" i="8"/>
  <c r="X36" i="16" s="1"/>
  <c r="X33" i="8"/>
  <c r="Z61" i="8"/>
  <c r="Z58" i="8"/>
  <c r="X32" i="8"/>
  <c r="Z57" i="8"/>
  <c r="Z47" i="8"/>
  <c r="X37" i="8"/>
  <c r="X37" i="16" s="1"/>
  <c r="X30" i="8"/>
  <c r="X34" i="8"/>
  <c r="X35" i="8"/>
  <c r="X31" i="8"/>
  <c r="C14" i="16"/>
  <c r="AM15" i="16"/>
  <c r="O35" i="16"/>
  <c r="D17" i="3"/>
  <c r="AD31" i="16"/>
  <c r="AF83" i="6"/>
  <c r="U60" i="14"/>
  <c r="U44" i="14" s="1"/>
  <c r="W72" i="14"/>
  <c r="V72" i="14"/>
  <c r="K13" i="1"/>
  <c r="O22" i="2"/>
  <c r="AL72" i="11"/>
  <c r="AJ60" i="11"/>
  <c r="AJ44" i="11" s="1"/>
  <c r="AK72" i="11"/>
  <c r="G8" i="1"/>
  <c r="T72" i="9"/>
  <c r="R60" i="9"/>
  <c r="T60" i="9" s="1"/>
  <c r="S72" i="9"/>
  <c r="AQ144" i="15"/>
  <c r="R169" i="12"/>
  <c r="R170" i="12"/>
  <c r="H45" i="15"/>
  <c r="F44" i="15"/>
  <c r="H44" i="15" s="1"/>
  <c r="AO147" i="15"/>
  <c r="AN61" i="14"/>
  <c r="AO61" i="14"/>
  <c r="AI83" i="13"/>
  <c r="AG164" i="13"/>
  <c r="AG166" i="13" s="1"/>
  <c r="AO89" i="15"/>
  <c r="R153" i="14"/>
  <c r="G57" i="13"/>
  <c r="H57" i="13"/>
  <c r="O144" i="11"/>
  <c r="J57" i="1"/>
  <c r="O157" i="14"/>
  <c r="AO69" i="14"/>
  <c r="Q89" i="14"/>
  <c r="AO68" i="14"/>
  <c r="Q123" i="14"/>
  <c r="O158" i="14"/>
  <c r="AO71" i="14"/>
  <c r="AO65" i="14"/>
  <c r="AO62" i="14"/>
  <c r="W61" i="14"/>
  <c r="AO70" i="14"/>
  <c r="Q120" i="14"/>
  <c r="AO67" i="14"/>
  <c r="Q29" i="14"/>
  <c r="AO66" i="14"/>
  <c r="Q114" i="14"/>
  <c r="Q96" i="14"/>
  <c r="Q127" i="14"/>
  <c r="AO63" i="14"/>
  <c r="Q92" i="14"/>
  <c r="J58" i="1"/>
  <c r="I164" i="14"/>
  <c r="I166" i="14" s="1"/>
  <c r="K44" i="14"/>
  <c r="AD153" i="14"/>
  <c r="AI84" i="13"/>
  <c r="AI72" i="13"/>
  <c r="AI147" i="13"/>
  <c r="AI120" i="13"/>
  <c r="AI47" i="13"/>
  <c r="AI127" i="13"/>
  <c r="AI96" i="13"/>
  <c r="U29" i="15"/>
  <c r="W84" i="12"/>
  <c r="AM13" i="14"/>
  <c r="AO84" i="14" s="1"/>
  <c r="X13" i="12"/>
  <c r="X42" i="12"/>
  <c r="N59" i="1"/>
  <c r="C109" i="16"/>
  <c r="AM110" i="16"/>
  <c r="AO123" i="11"/>
  <c r="L144" i="10"/>
  <c r="H61" i="1"/>
  <c r="K83" i="9"/>
  <c r="C127" i="16"/>
  <c r="AN80" i="8"/>
  <c r="AM61" i="5"/>
  <c r="C60" i="5"/>
  <c r="W96" i="9"/>
  <c r="H86" i="16"/>
  <c r="AM46" i="9"/>
  <c r="C45" i="9"/>
  <c r="E43" i="9"/>
  <c r="AO6" i="8"/>
  <c r="AO5" i="8"/>
  <c r="AO7" i="8"/>
  <c r="AM109" i="9"/>
  <c r="E109" i="9"/>
  <c r="AN29" i="11"/>
  <c r="AO29" i="11"/>
  <c r="F37" i="8"/>
  <c r="F36" i="8"/>
  <c r="F35" i="8"/>
  <c r="F35" i="16" s="1"/>
  <c r="F30" i="8"/>
  <c r="F29" i="8" s="1"/>
  <c r="H47" i="8"/>
  <c r="F31" i="8"/>
  <c r="H59" i="8"/>
  <c r="F32" i="8"/>
  <c r="H58" i="8"/>
  <c r="F33" i="8"/>
  <c r="AM47" i="16"/>
  <c r="U37" i="16"/>
  <c r="N44" i="7"/>
  <c r="AA29" i="8"/>
  <c r="F45" i="7"/>
  <c r="H43" i="7"/>
  <c r="AM61" i="7"/>
  <c r="R85" i="8"/>
  <c r="R84" i="8" s="1"/>
  <c r="R85" i="7"/>
  <c r="X35" i="7"/>
  <c r="Z114" i="7"/>
  <c r="Z99" i="7"/>
  <c r="Z120" i="7"/>
  <c r="X32" i="7"/>
  <c r="Z43" i="7"/>
  <c r="X33" i="7"/>
  <c r="Z78" i="7"/>
  <c r="X34" i="7"/>
  <c r="X31" i="7"/>
  <c r="X30" i="7"/>
  <c r="Z45" i="7"/>
  <c r="Z46" i="7"/>
  <c r="S5" i="1"/>
  <c r="S6" i="1"/>
  <c r="S11" i="1"/>
  <c r="S9" i="1"/>
  <c r="S10" i="1"/>
  <c r="S8" i="1"/>
  <c r="S7" i="1"/>
  <c r="G9" i="1"/>
  <c r="O29" i="7"/>
  <c r="AF72" i="8"/>
  <c r="AE72" i="8"/>
  <c r="AD60" i="8"/>
  <c r="AD44" i="8" s="1"/>
  <c r="C30" i="7"/>
  <c r="E123" i="7"/>
  <c r="C34" i="7"/>
  <c r="E120" i="7"/>
  <c r="C35" i="7"/>
  <c r="C32" i="7"/>
  <c r="C31" i="7"/>
  <c r="C33" i="7"/>
  <c r="X73" i="15"/>
  <c r="X72" i="15" s="1"/>
  <c r="X73" i="14"/>
  <c r="X72" i="14" s="1"/>
  <c r="X73" i="12"/>
  <c r="X72" i="12" s="1"/>
  <c r="X73" i="11"/>
  <c r="X72" i="11" s="1"/>
  <c r="X73" i="9"/>
  <c r="X72" i="9" s="1"/>
  <c r="X73" i="8"/>
  <c r="X72" i="8" s="1"/>
  <c r="X73" i="7"/>
  <c r="R144" i="6"/>
  <c r="L56" i="1"/>
  <c r="AL72" i="12"/>
  <c r="AK72" i="12"/>
  <c r="AM14" i="17"/>
  <c r="S72" i="14"/>
  <c r="T72" i="14"/>
  <c r="K72" i="7"/>
  <c r="J72" i="7"/>
  <c r="R32" i="15"/>
  <c r="T96" i="15"/>
  <c r="T109" i="15"/>
  <c r="R35" i="15"/>
  <c r="T89" i="15"/>
  <c r="T99" i="15"/>
  <c r="R34" i="15"/>
  <c r="T147" i="15"/>
  <c r="R33" i="15"/>
  <c r="T123" i="15"/>
  <c r="T114" i="15"/>
  <c r="R30" i="15"/>
  <c r="AM83" i="13"/>
  <c r="AJ34" i="15"/>
  <c r="AJ33" i="15"/>
  <c r="AL84" i="15"/>
  <c r="AJ35" i="15"/>
  <c r="AJ30" i="15"/>
  <c r="AJ32" i="15"/>
  <c r="AO109" i="15"/>
  <c r="AN47" i="14"/>
  <c r="AO47" i="14"/>
  <c r="AJ45" i="16"/>
  <c r="AL46" i="16"/>
  <c r="AL43" i="16"/>
  <c r="AI114" i="14"/>
  <c r="AG157" i="14"/>
  <c r="AI109" i="14"/>
  <c r="AI29" i="14"/>
  <c r="AG158" i="14"/>
  <c r="AG158" i="16" s="1"/>
  <c r="AI147" i="14"/>
  <c r="AI89" i="14"/>
  <c r="V58" i="1"/>
  <c r="AI78" i="14"/>
  <c r="K83" i="15"/>
  <c r="AM83" i="14"/>
  <c r="E83" i="14"/>
  <c r="AA144" i="14"/>
  <c r="H57" i="16"/>
  <c r="G57" i="16"/>
  <c r="T78" i="15"/>
  <c r="AM28" i="13"/>
  <c r="F44" i="14"/>
  <c r="F144" i="14" s="1"/>
  <c r="AM45" i="14"/>
  <c r="H45" i="14"/>
  <c r="AM92" i="16"/>
  <c r="AM57" i="13"/>
  <c r="Z83" i="10"/>
  <c r="N120" i="12"/>
  <c r="AI83" i="11"/>
  <c r="Z99" i="11"/>
  <c r="Z78" i="11"/>
  <c r="Z29" i="11"/>
  <c r="AN57" i="10"/>
  <c r="AD144" i="13"/>
  <c r="K123" i="9"/>
  <c r="AD29" i="9"/>
  <c r="AN79" i="7"/>
  <c r="F44" i="8"/>
  <c r="AM45" i="8"/>
  <c r="R29" i="8"/>
  <c r="AN96" i="8"/>
  <c r="AN99" i="8"/>
  <c r="T43" i="7"/>
  <c r="AA37" i="16"/>
  <c r="H46" i="16"/>
  <c r="F45" i="16"/>
  <c r="H43" i="16"/>
  <c r="AI78" i="8"/>
  <c r="O25" i="4"/>
  <c r="O7" i="1"/>
  <c r="O10" i="1"/>
  <c r="O13" i="1"/>
  <c r="O8" i="1"/>
  <c r="O6" i="1"/>
  <c r="S4" i="1"/>
  <c r="Q45" i="7"/>
  <c r="AF72" i="9"/>
  <c r="AE72" i="9"/>
  <c r="AD60" i="9"/>
  <c r="C83" i="17"/>
  <c r="AM83" i="17" s="1"/>
  <c r="U85" i="7"/>
  <c r="M72" i="7"/>
  <c r="N72" i="7"/>
  <c r="U142" i="17"/>
  <c r="AG142" i="17"/>
  <c r="T72" i="15"/>
  <c r="K72" i="8"/>
  <c r="I60" i="8"/>
  <c r="I44" i="8" s="1"/>
  <c r="J72" i="8"/>
  <c r="I14" i="1"/>
  <c r="W57" i="9"/>
  <c r="AN96" i="7"/>
  <c r="T45" i="7"/>
  <c r="AM45" i="7"/>
  <c r="E45" i="7"/>
  <c r="AO62" i="7"/>
  <c r="AN62" i="7"/>
  <c r="Z89" i="6"/>
  <c r="Z114" i="6"/>
  <c r="Z96" i="6"/>
  <c r="Z147" i="6"/>
  <c r="Z92" i="6"/>
  <c r="Z109" i="6"/>
  <c r="Z84" i="6"/>
  <c r="AD33" i="16"/>
  <c r="U13" i="6"/>
  <c r="AD73" i="16"/>
  <c r="AD72" i="7"/>
  <c r="N72" i="8"/>
  <c r="M72" i="8"/>
  <c r="AA73" i="16"/>
  <c r="AA72" i="7"/>
  <c r="K72" i="9"/>
  <c r="J72" i="9"/>
  <c r="AM114" i="16"/>
  <c r="AO127" i="15"/>
  <c r="AM123" i="16"/>
  <c r="AR83" i="14"/>
  <c r="AS83" i="14"/>
  <c r="AF123" i="15"/>
  <c r="AD32" i="15"/>
  <c r="AD32" i="16" s="1"/>
  <c r="AD30" i="15"/>
  <c r="AF96" i="15"/>
  <c r="AD33" i="15"/>
  <c r="AD34" i="15"/>
  <c r="AF127" i="15"/>
  <c r="AF109" i="15"/>
  <c r="AF89" i="15"/>
  <c r="AF114" i="15"/>
  <c r="AF78" i="15"/>
  <c r="AD35" i="15"/>
  <c r="AD35" i="16" s="1"/>
  <c r="AF147" i="15"/>
  <c r="AF84" i="15"/>
  <c r="L144" i="14"/>
  <c r="AO57" i="15"/>
  <c r="AN57" i="15"/>
  <c r="AA164" i="13"/>
  <c r="AA166" i="13" s="1"/>
  <c r="AC44" i="13"/>
  <c r="T83" i="13"/>
  <c r="AI109" i="13"/>
  <c r="AO61" i="12"/>
  <c r="AN61" i="12"/>
  <c r="I144" i="11"/>
  <c r="F57" i="1"/>
  <c r="Z92" i="11"/>
  <c r="AJ144" i="13"/>
  <c r="X57" i="1"/>
  <c r="O44" i="12"/>
  <c r="O144" i="12" s="1"/>
  <c r="AI84" i="11"/>
  <c r="R144" i="13"/>
  <c r="AN79" i="11"/>
  <c r="AI96" i="11"/>
  <c r="N89" i="12"/>
  <c r="AO114" i="11"/>
  <c r="AF123" i="11"/>
  <c r="AF114" i="11"/>
  <c r="AF109" i="11"/>
  <c r="AF147" i="11"/>
  <c r="AF89" i="11"/>
  <c r="AF96" i="11"/>
  <c r="AF99" i="11"/>
  <c r="AF92" i="11"/>
  <c r="AC89" i="10"/>
  <c r="AA30" i="10"/>
  <c r="AA29" i="10" s="1"/>
  <c r="AC147" i="10"/>
  <c r="AC92" i="10"/>
  <c r="AC78" i="10"/>
  <c r="AC114" i="10"/>
  <c r="AC120" i="10"/>
  <c r="AC127" i="10"/>
  <c r="AC84" i="10"/>
  <c r="AC109" i="10"/>
  <c r="T45" i="9"/>
  <c r="H45" i="9"/>
  <c r="AM127" i="11"/>
  <c r="AO127" i="11" s="1"/>
  <c r="E127" i="11"/>
  <c r="AN72" i="10"/>
  <c r="AI46" i="8"/>
  <c r="AJ29" i="9"/>
  <c r="AJ28" i="9" s="1"/>
  <c r="AJ42" i="9" s="1"/>
  <c r="T109" i="7"/>
  <c r="AA36" i="16"/>
  <c r="X144" i="6"/>
  <c r="P56" i="1"/>
  <c r="L140" i="5"/>
  <c r="L144" i="5" s="1"/>
  <c r="Z122" i="17"/>
  <c r="AF72" i="11"/>
  <c r="AE72" i="11"/>
  <c r="Z83" i="6"/>
  <c r="O6" i="3"/>
  <c r="C5" i="3"/>
  <c r="C17" i="3" s="1"/>
  <c r="C21" i="3"/>
  <c r="M72" i="9"/>
  <c r="L60" i="9"/>
  <c r="N60" i="9" s="1"/>
  <c r="N72" i="9"/>
  <c r="I144" i="6"/>
  <c r="F56" i="1"/>
  <c r="AC72" i="8"/>
  <c r="AB72" i="8"/>
  <c r="AA60" i="8"/>
  <c r="AA44" i="8" s="1"/>
  <c r="H60" i="10"/>
  <c r="AM60" i="10"/>
  <c r="E114" i="7"/>
  <c r="AM114" i="7"/>
  <c r="W92" i="9"/>
  <c r="AC45" i="9"/>
  <c r="AA44" i="9"/>
  <c r="AM13" i="9"/>
  <c r="AO153" i="9" s="1"/>
  <c r="E99" i="7"/>
  <c r="AM99" i="7"/>
  <c r="AJ30" i="8"/>
  <c r="AJ33" i="8"/>
  <c r="AJ37" i="8"/>
  <c r="AJ37" i="16" s="1"/>
  <c r="AJ34" i="8"/>
  <c r="AJ35" i="8"/>
  <c r="AJ31" i="8"/>
  <c r="AJ32" i="8"/>
  <c r="AJ36" i="8"/>
  <c r="AJ36" i="16" s="1"/>
  <c r="AG73" i="14"/>
  <c r="AG72" i="14" s="1"/>
  <c r="AG73" i="15"/>
  <c r="AG72" i="15" s="1"/>
  <c r="AG73" i="12"/>
  <c r="AG72" i="12" s="1"/>
  <c r="AG73" i="9"/>
  <c r="AG72" i="9" s="1"/>
  <c r="AG73" i="11"/>
  <c r="AG72" i="11" s="1"/>
  <c r="AG73" i="7"/>
  <c r="AG73" i="8"/>
  <c r="AG72" i="8" s="1"/>
  <c r="U28" i="8"/>
  <c r="U42" i="8" s="1"/>
  <c r="W29" i="8"/>
  <c r="W89" i="9"/>
  <c r="AD36" i="16"/>
  <c r="AM62" i="16"/>
  <c r="C61" i="16"/>
  <c r="H80" i="16"/>
  <c r="O73" i="14"/>
  <c r="O73" i="15"/>
  <c r="O72" i="15" s="1"/>
  <c r="O73" i="8"/>
  <c r="O72" i="8" s="1"/>
  <c r="O73" i="9"/>
  <c r="O72" i="9" s="1"/>
  <c r="O73" i="7"/>
  <c r="O72" i="7" s="1"/>
  <c r="T14" i="1"/>
  <c r="U8" i="1" s="1"/>
  <c r="U73" i="16"/>
  <c r="U72" i="7"/>
  <c r="AS86" i="6"/>
  <c r="AS92" i="6"/>
  <c r="AS79" i="6"/>
  <c r="AS148" i="6"/>
  <c r="AS76" i="6"/>
  <c r="AS127" i="6"/>
  <c r="AS120" i="6"/>
  <c r="AS89" i="6"/>
  <c r="AS99" i="6"/>
  <c r="AS85" i="6"/>
  <c r="AS153" i="6"/>
  <c r="AS77" i="6"/>
  <c r="AS80" i="6"/>
  <c r="AS109" i="6"/>
  <c r="AS84" i="6"/>
  <c r="AS150" i="6"/>
  <c r="AS96" i="6"/>
  <c r="AS123" i="6"/>
  <c r="AS114" i="6"/>
  <c r="AS72" i="6"/>
  <c r="AS87" i="6"/>
  <c r="AS83" i="6"/>
  <c r="AG144" i="6"/>
  <c r="V56" i="1"/>
  <c r="AE72" i="12"/>
  <c r="AD60" i="12"/>
  <c r="AD44" i="12" s="1"/>
  <c r="AD144" i="12" s="1"/>
  <c r="AF72" i="12"/>
  <c r="K7" i="1"/>
  <c r="K4" i="1"/>
  <c r="K8" i="1"/>
  <c r="K6" i="1"/>
  <c r="K12" i="1"/>
  <c r="K10" i="1"/>
  <c r="M72" i="11"/>
  <c r="L60" i="11"/>
  <c r="L44" i="11" s="1"/>
  <c r="N72" i="11"/>
  <c r="X145" i="17"/>
  <c r="X147" i="17" s="1"/>
  <c r="X142" i="17"/>
  <c r="AC72" i="11"/>
  <c r="AB72" i="11"/>
  <c r="AD144" i="11"/>
  <c r="T57" i="1"/>
  <c r="R144" i="10"/>
  <c r="L61" i="1"/>
  <c r="AI45" i="9"/>
  <c r="H127" i="9"/>
  <c r="AM127" i="9"/>
  <c r="AN78" i="9"/>
  <c r="Q46" i="16"/>
  <c r="O45" i="16"/>
  <c r="Q43" i="16"/>
  <c r="AO114" i="15"/>
  <c r="AO43" i="15"/>
  <c r="AI29" i="15"/>
  <c r="AG28" i="15"/>
  <c r="AG42" i="15" s="1"/>
  <c r="AM36" i="15"/>
  <c r="F29" i="15"/>
  <c r="AL72" i="15"/>
  <c r="AN57" i="12"/>
  <c r="AN29" i="12"/>
  <c r="AD157" i="16"/>
  <c r="AD153" i="16" s="1"/>
  <c r="AF153" i="16" s="1"/>
  <c r="N84" i="12"/>
  <c r="H45" i="11"/>
  <c r="AO78" i="11"/>
  <c r="AF29" i="11"/>
  <c r="I144" i="12"/>
  <c r="F59" i="1"/>
  <c r="AI123" i="8"/>
  <c r="R59" i="1"/>
  <c r="O161" i="10"/>
  <c r="O162" i="10" s="1"/>
  <c r="O145" i="10"/>
  <c r="R164" i="12"/>
  <c r="R166" i="12" s="1"/>
  <c r="T44" i="12"/>
  <c r="AM61" i="9"/>
  <c r="AN57" i="9"/>
  <c r="AN74" i="8"/>
  <c r="E92" i="8"/>
  <c r="E61" i="8"/>
  <c r="AO61" i="10"/>
  <c r="AN61" i="10"/>
  <c r="AN79" i="9"/>
  <c r="AM34" i="9"/>
  <c r="W83" i="9"/>
  <c r="AG29" i="9"/>
  <c r="W45" i="9"/>
  <c r="C96" i="16"/>
  <c r="AM104" i="16"/>
  <c r="E127" i="8"/>
  <c r="T123" i="7"/>
  <c r="F29" i="7"/>
  <c r="AG13" i="7"/>
  <c r="X164" i="6"/>
  <c r="X166" i="6" s="1"/>
  <c r="Z44" i="6"/>
  <c r="I85" i="8"/>
  <c r="I84" i="8" s="1"/>
  <c r="G7" i="1"/>
  <c r="G6" i="1"/>
  <c r="G10" i="1"/>
  <c r="G4" i="1"/>
  <c r="G11" i="1"/>
  <c r="U58" i="16"/>
  <c r="U57" i="16" s="1"/>
  <c r="U45" i="16" s="1"/>
  <c r="U57" i="6"/>
  <c r="AM58" i="6"/>
  <c r="AQ144" i="6"/>
  <c r="AE72" i="14"/>
  <c r="AF72" i="14"/>
  <c r="L72" i="15"/>
  <c r="AC72" i="12"/>
  <c r="AB72" i="12"/>
  <c r="AA60" i="12"/>
  <c r="AA44" i="12" s="1"/>
  <c r="AA164" i="12" s="1"/>
  <c r="AA166" i="12" s="1"/>
  <c r="O12" i="1"/>
  <c r="AO109" i="14"/>
  <c r="C44" i="15"/>
  <c r="AM45" i="15"/>
  <c r="T120" i="15"/>
  <c r="AO64" i="14"/>
  <c r="AN47" i="12"/>
  <c r="AO47" i="12"/>
  <c r="AI92" i="13"/>
  <c r="H114" i="12"/>
  <c r="H96" i="12"/>
  <c r="N44" i="13"/>
  <c r="L164" i="13"/>
  <c r="L166" i="13" s="1"/>
  <c r="H78" i="12"/>
  <c r="H29" i="11"/>
  <c r="K89" i="9"/>
  <c r="K109" i="12"/>
  <c r="K114" i="12"/>
  <c r="K96" i="12"/>
  <c r="K84" i="12"/>
  <c r="K57" i="12"/>
  <c r="K120" i="12"/>
  <c r="K72" i="12"/>
  <c r="K92" i="12"/>
  <c r="K29" i="12"/>
  <c r="K127" i="12"/>
  <c r="Z120" i="11"/>
  <c r="AC96" i="10"/>
  <c r="AO7" i="12"/>
  <c r="AO68" i="10"/>
  <c r="AO70" i="10"/>
  <c r="AO64" i="10"/>
  <c r="AO69" i="10"/>
  <c r="AO67" i="10"/>
  <c r="AO63" i="10"/>
  <c r="AO65" i="10"/>
  <c r="AM114" i="8"/>
  <c r="E114" i="8"/>
  <c r="X29" i="9"/>
  <c r="AC83" i="10"/>
  <c r="N45" i="9"/>
  <c r="L44" i="9"/>
  <c r="Q44" i="10"/>
  <c r="AI61" i="8"/>
  <c r="F99" i="16"/>
  <c r="H99" i="16" s="1"/>
  <c r="AM103" i="16"/>
  <c r="AM139" i="16"/>
  <c r="T99" i="7"/>
  <c r="AM30" i="9"/>
  <c r="C29" i="9"/>
  <c r="AD13" i="16"/>
  <c r="AF99" i="16" s="1"/>
  <c r="AD29" i="8"/>
  <c r="AJ85" i="16"/>
  <c r="AJ84" i="7"/>
  <c r="AJ83" i="7" s="1"/>
  <c r="Z78" i="6"/>
  <c r="AG13" i="16"/>
  <c r="AI114" i="16" s="1"/>
  <c r="C28" i="6"/>
  <c r="L83" i="7"/>
  <c r="N83" i="7" s="1"/>
  <c r="N84" i="7"/>
  <c r="R142" i="17"/>
  <c r="R145" i="17"/>
  <c r="R147" i="17" s="1"/>
  <c r="AS78" i="6"/>
  <c r="U60" i="9"/>
  <c r="W72" i="9"/>
  <c r="V72" i="9"/>
  <c r="AN72" i="6"/>
  <c r="AC122" i="17"/>
  <c r="AC29" i="17"/>
  <c r="AC119" i="17"/>
  <c r="AC72" i="6"/>
  <c r="AF72" i="15"/>
  <c r="AD60" i="15"/>
  <c r="AD44" i="15" s="1"/>
  <c r="AD42" i="17"/>
  <c r="AM42" i="17" s="1"/>
  <c r="AD13" i="17"/>
  <c r="AM28" i="5"/>
  <c r="X85" i="7"/>
  <c r="O147" i="5"/>
  <c r="O149" i="5" s="1"/>
  <c r="AC72" i="9"/>
  <c r="AB72" i="9"/>
  <c r="K11" i="1"/>
  <c r="O5" i="1"/>
  <c r="K5" i="1"/>
  <c r="AM153" i="12"/>
  <c r="AO7" i="11"/>
  <c r="AO6" i="11"/>
  <c r="N147" i="12"/>
  <c r="N92" i="12"/>
  <c r="N78" i="12"/>
  <c r="N72" i="12"/>
  <c r="N123" i="12"/>
  <c r="AI109" i="11"/>
  <c r="AI78" i="11"/>
  <c r="AI127" i="11"/>
  <c r="AD144" i="10"/>
  <c r="T61" i="1"/>
  <c r="AJ157" i="14"/>
  <c r="AJ158" i="14"/>
  <c r="AJ158" i="16" s="1"/>
  <c r="AI99" i="11"/>
  <c r="AO75" i="11"/>
  <c r="AM83" i="10"/>
  <c r="K114" i="9"/>
  <c r="AI147" i="11"/>
  <c r="AM45" i="11"/>
  <c r="AO45" i="11" s="1"/>
  <c r="W114" i="9"/>
  <c r="AM127" i="7"/>
  <c r="E127" i="7"/>
  <c r="F78" i="16"/>
  <c r="H78" i="16" s="1"/>
  <c r="Z147" i="11"/>
  <c r="F61" i="16"/>
  <c r="O29" i="9"/>
  <c r="O28" i="9" s="1"/>
  <c r="O42" i="9" s="1"/>
  <c r="AM45" i="10"/>
  <c r="F32" i="9"/>
  <c r="AM32" i="9" s="1"/>
  <c r="H59" i="9"/>
  <c r="H120" i="9"/>
  <c r="F35" i="9"/>
  <c r="AM35" i="9" s="1"/>
  <c r="H89" i="9"/>
  <c r="F34" i="9"/>
  <c r="F34" i="16" s="1"/>
  <c r="F31" i="9"/>
  <c r="AM31" i="9" s="1"/>
  <c r="F37" i="9"/>
  <c r="AM37" i="9" s="1"/>
  <c r="F33" i="9"/>
  <c r="AM33" i="9" s="1"/>
  <c r="F36" i="9"/>
  <c r="AM36" i="9" s="1"/>
  <c r="F30" i="9"/>
  <c r="F29" i="9" s="1"/>
  <c r="T78" i="7"/>
  <c r="AJ13" i="7"/>
  <c r="T120" i="7"/>
  <c r="U36" i="16"/>
  <c r="AA13" i="7"/>
  <c r="N127" i="7"/>
  <c r="L35" i="7"/>
  <c r="L31" i="7"/>
  <c r="N99" i="7"/>
  <c r="N89" i="7"/>
  <c r="L30" i="7"/>
  <c r="L32" i="7"/>
  <c r="N43" i="7"/>
  <c r="L34" i="7"/>
  <c r="L33" i="7"/>
  <c r="K47" i="8"/>
  <c r="K114" i="8"/>
  <c r="K58" i="8"/>
  <c r="K109" i="8"/>
  <c r="I30" i="8"/>
  <c r="I34" i="8"/>
  <c r="AM34" i="8" s="1"/>
  <c r="K123" i="8"/>
  <c r="K59" i="8"/>
  <c r="I31" i="8"/>
  <c r="I35" i="8"/>
  <c r="K57" i="8"/>
  <c r="I32" i="8"/>
  <c r="I36" i="8"/>
  <c r="K127" i="8"/>
  <c r="I33" i="8"/>
  <c r="K120" i="8"/>
  <c r="I37" i="8"/>
  <c r="AF72" i="6"/>
  <c r="L30" i="9"/>
  <c r="N84" i="9"/>
  <c r="N43" i="9"/>
  <c r="N59" i="9"/>
  <c r="L35" i="9"/>
  <c r="N114" i="9"/>
  <c r="N109" i="9"/>
  <c r="L32" i="9"/>
  <c r="N123" i="9"/>
  <c r="L36" i="9"/>
  <c r="L33" i="9"/>
  <c r="N57" i="9"/>
  <c r="L34" i="9"/>
  <c r="L31" i="9"/>
  <c r="L37" i="9"/>
  <c r="L83" i="8"/>
  <c r="N83" i="8" s="1"/>
  <c r="N84" i="8"/>
  <c r="AJ145" i="17"/>
  <c r="AJ147" i="17" s="1"/>
  <c r="AJ142" i="17"/>
  <c r="O145" i="17"/>
  <c r="O147" i="17" s="1"/>
  <c r="O142" i="17"/>
  <c r="Z113" i="17"/>
  <c r="Z29" i="17"/>
  <c r="Z95" i="17"/>
  <c r="V72" i="8"/>
  <c r="W72" i="8"/>
  <c r="AG85" i="7"/>
  <c r="F13" i="6"/>
  <c r="AM14" i="6"/>
  <c r="X85" i="8"/>
  <c r="X84" i="8" s="1"/>
  <c r="X83" i="8" s="1"/>
  <c r="Z83" i="8" s="1"/>
  <c r="AC72" i="14"/>
  <c r="AB72" i="14"/>
  <c r="AM126" i="5"/>
  <c r="AC122" i="5"/>
  <c r="AC98" i="5"/>
  <c r="AC119" i="5"/>
  <c r="AC95" i="5"/>
  <c r="AM44" i="17"/>
  <c r="C141" i="17"/>
  <c r="Z119" i="17"/>
  <c r="AJ164" i="12"/>
  <c r="AJ166" i="12" s="1"/>
  <c r="AL44" i="12"/>
  <c r="K83" i="11"/>
  <c r="AG13" i="10"/>
  <c r="AI44" i="10" s="1"/>
  <c r="AM99" i="9"/>
  <c r="AO99" i="9" s="1"/>
  <c r="E99" i="9"/>
  <c r="C83" i="9"/>
  <c r="X13" i="16"/>
  <c r="Z127" i="16" s="1"/>
  <c r="AC29" i="9"/>
  <c r="AA28" i="9"/>
  <c r="AA42" i="9" s="1"/>
  <c r="O36" i="16"/>
  <c r="W127" i="9"/>
  <c r="H96" i="16"/>
  <c r="AO63" i="7"/>
  <c r="AN63" i="7"/>
  <c r="AA13" i="16"/>
  <c r="AC45" i="16" s="1"/>
  <c r="F83" i="9"/>
  <c r="H83" i="9" s="1"/>
  <c r="O34" i="16"/>
  <c r="O33" i="16"/>
  <c r="K109" i="7"/>
  <c r="K96" i="7"/>
  <c r="K92" i="7"/>
  <c r="K120" i="7"/>
  <c r="I33" i="7"/>
  <c r="I34" i="7"/>
  <c r="I30" i="7"/>
  <c r="K127" i="7"/>
  <c r="I32" i="7"/>
  <c r="I35" i="7"/>
  <c r="K43" i="7"/>
  <c r="K99" i="7"/>
  <c r="I31" i="7"/>
  <c r="Z120" i="6"/>
  <c r="O13" i="6"/>
  <c r="AD34" i="16"/>
  <c r="U60" i="12"/>
  <c r="U44" i="12" s="1"/>
  <c r="V72" i="12"/>
  <c r="W72" i="12"/>
  <c r="AS43" i="6"/>
  <c r="AG83" i="8"/>
  <c r="AI83" i="8" s="1"/>
  <c r="AI84" i="8"/>
  <c r="U13" i="7"/>
  <c r="N29" i="6"/>
  <c r="L28" i="6"/>
  <c r="L42" i="6" s="1"/>
  <c r="AJ73" i="16"/>
  <c r="AJ72" i="7"/>
  <c r="AJ60" i="7" s="1"/>
  <c r="AJ44" i="7" s="1"/>
  <c r="AJ164" i="7" s="1"/>
  <c r="AJ166" i="7" s="1"/>
  <c r="AC72" i="15"/>
  <c r="AA60" i="15"/>
  <c r="AA44" i="15" s="1"/>
  <c r="R73" i="16"/>
  <c r="R72" i="7"/>
  <c r="F83" i="5"/>
  <c r="H83" i="5" s="1"/>
  <c r="F161" i="14" l="1"/>
  <c r="F162" i="14" s="1"/>
  <c r="F145" i="14"/>
  <c r="O161" i="12"/>
  <c r="O162" i="12" s="1"/>
  <c r="O145" i="12"/>
  <c r="AC44" i="15"/>
  <c r="AA164" i="15"/>
  <c r="AA166" i="15" s="1"/>
  <c r="AD145" i="12"/>
  <c r="AD161" i="12"/>
  <c r="AD162" i="12" s="1"/>
  <c r="U164" i="12"/>
  <c r="U166" i="12" s="1"/>
  <c r="W44" i="12"/>
  <c r="H56" i="1"/>
  <c r="L144" i="6"/>
  <c r="AF29" i="17"/>
  <c r="AD142" i="17"/>
  <c r="W45" i="16"/>
  <c r="AD161" i="11"/>
  <c r="AD162" i="11" s="1"/>
  <c r="AD145" i="11"/>
  <c r="K14" i="1"/>
  <c r="O85" i="7"/>
  <c r="O84" i="7" s="1"/>
  <c r="Q72" i="15"/>
  <c r="O60" i="15"/>
  <c r="O44" i="15" s="1"/>
  <c r="AO123" i="9"/>
  <c r="AJ161" i="13"/>
  <c r="AJ162" i="13" s="1"/>
  <c r="AJ145" i="13"/>
  <c r="H44" i="8"/>
  <c r="C33" i="16"/>
  <c r="AA28" i="8"/>
  <c r="AA42" i="8" s="1"/>
  <c r="AC29" i="8"/>
  <c r="F28" i="8"/>
  <c r="F42" i="8" s="1"/>
  <c r="H29" i="8"/>
  <c r="U164" i="14"/>
  <c r="U166" i="14" s="1"/>
  <c r="W44" i="14"/>
  <c r="U144" i="14"/>
  <c r="T44" i="8"/>
  <c r="O42" i="5"/>
  <c r="O13" i="5"/>
  <c r="AM14" i="5"/>
  <c r="I29" i="9"/>
  <c r="AQ161" i="14"/>
  <c r="AQ162" i="14" s="1"/>
  <c r="AQ145" i="14"/>
  <c r="F164" i="13"/>
  <c r="H44" i="13"/>
  <c r="G72" i="12"/>
  <c r="H72" i="12"/>
  <c r="F60" i="12"/>
  <c r="F44" i="12" s="1"/>
  <c r="AO99" i="14"/>
  <c r="C73" i="16"/>
  <c r="C72" i="7"/>
  <c r="AM73" i="7"/>
  <c r="C28" i="15"/>
  <c r="F28" i="7"/>
  <c r="F42" i="7" s="1"/>
  <c r="H29" i="7"/>
  <c r="O72" i="14"/>
  <c r="AM73" i="14"/>
  <c r="AO84" i="9"/>
  <c r="L161" i="14"/>
  <c r="L162" i="14" s="1"/>
  <c r="L145" i="14"/>
  <c r="AD29" i="15"/>
  <c r="H45" i="16"/>
  <c r="R145" i="6"/>
  <c r="R161" i="6"/>
  <c r="R162" i="6" s="1"/>
  <c r="C31" i="16"/>
  <c r="AM45" i="9"/>
  <c r="AO45" i="9" s="1"/>
  <c r="L145" i="10"/>
  <c r="L161" i="10"/>
  <c r="L162" i="10" s="1"/>
  <c r="AM158" i="14"/>
  <c r="AO158" i="14" s="1"/>
  <c r="X29" i="8"/>
  <c r="AM45" i="16"/>
  <c r="AO150" i="8"/>
  <c r="AO86" i="8"/>
  <c r="AO47" i="8"/>
  <c r="AO76" i="8"/>
  <c r="AO74" i="8"/>
  <c r="AO79" i="8"/>
  <c r="AO99" i="8"/>
  <c r="AO96" i="8"/>
  <c r="AO87" i="8"/>
  <c r="AO123" i="8"/>
  <c r="AO120" i="8"/>
  <c r="AD28" i="7"/>
  <c r="AD42" i="7" s="1"/>
  <c r="AF29" i="7"/>
  <c r="AO85" i="9"/>
  <c r="AO92" i="9"/>
  <c r="Q44" i="13"/>
  <c r="O164" i="13"/>
  <c r="O166" i="13" s="1"/>
  <c r="O144" i="13"/>
  <c r="Z29" i="10"/>
  <c r="X28" i="10"/>
  <c r="X42" i="10" s="1"/>
  <c r="P57" i="1"/>
  <c r="AF45" i="16"/>
  <c r="U161" i="13"/>
  <c r="U162" i="13" s="1"/>
  <c r="U145" i="13"/>
  <c r="AO78" i="14"/>
  <c r="C72" i="9"/>
  <c r="AM73" i="9"/>
  <c r="AI45" i="16"/>
  <c r="H29" i="9"/>
  <c r="F28" i="9"/>
  <c r="F42" i="9" s="1"/>
  <c r="AA34" i="7"/>
  <c r="AA34" i="16" s="1"/>
  <c r="AA33" i="7"/>
  <c r="AA33" i="16" s="1"/>
  <c r="AA32" i="7"/>
  <c r="AA32" i="16" s="1"/>
  <c r="AA31" i="7"/>
  <c r="AA31" i="16" s="1"/>
  <c r="AA30" i="7"/>
  <c r="AC109" i="7"/>
  <c r="AC92" i="7"/>
  <c r="AC89" i="7"/>
  <c r="AC127" i="7"/>
  <c r="AA35" i="7"/>
  <c r="AA35" i="16" s="1"/>
  <c r="AC99" i="7"/>
  <c r="AC123" i="7"/>
  <c r="AC78" i="7"/>
  <c r="AC120" i="7"/>
  <c r="AC46" i="7"/>
  <c r="AC96" i="7"/>
  <c r="AC43" i="7"/>
  <c r="AC114" i="7"/>
  <c r="AN127" i="7"/>
  <c r="AD161" i="10"/>
  <c r="AD162" i="10" s="1"/>
  <c r="AD145" i="10"/>
  <c r="AD164" i="15"/>
  <c r="AD166" i="15" s="1"/>
  <c r="AF44" i="15"/>
  <c r="AM83" i="5"/>
  <c r="AJ84" i="16"/>
  <c r="AJ83" i="16" s="1"/>
  <c r="AL83" i="16" s="1"/>
  <c r="AJ181" i="16"/>
  <c r="AO78" i="9"/>
  <c r="N53" i="1"/>
  <c r="O21" i="3"/>
  <c r="O22" i="3" s="1"/>
  <c r="C22" i="3"/>
  <c r="AC72" i="7"/>
  <c r="AB72" i="7"/>
  <c r="AA60" i="7"/>
  <c r="AA44" i="7" s="1"/>
  <c r="AM13" i="17"/>
  <c r="AN57" i="13"/>
  <c r="AA145" i="14"/>
  <c r="AG153" i="14"/>
  <c r="AG157" i="16"/>
  <c r="AG153" i="16" s="1"/>
  <c r="X73" i="16"/>
  <c r="X72" i="7"/>
  <c r="C32" i="16"/>
  <c r="L164" i="7"/>
  <c r="L166" i="7" s="1"/>
  <c r="F36" i="16"/>
  <c r="AO43" i="9"/>
  <c r="AO46" i="9"/>
  <c r="AM35" i="8"/>
  <c r="K29" i="10"/>
  <c r="I28" i="10"/>
  <c r="I42" i="10" s="1"/>
  <c r="AD30" i="16"/>
  <c r="AD29" i="16" s="1"/>
  <c r="AJ145" i="10"/>
  <c r="AJ161" i="10"/>
  <c r="AJ162" i="10" s="1"/>
  <c r="C149" i="16"/>
  <c r="AM149" i="7"/>
  <c r="R35" i="16"/>
  <c r="AO78" i="8"/>
  <c r="L29" i="15"/>
  <c r="AI99" i="16"/>
  <c r="C72" i="8"/>
  <c r="AM73" i="8"/>
  <c r="L145" i="12"/>
  <c r="L161" i="12"/>
  <c r="L162" i="12" s="1"/>
  <c r="AI46" i="16"/>
  <c r="AO148" i="15"/>
  <c r="AO17" i="15"/>
  <c r="AO85" i="15"/>
  <c r="AO150" i="15"/>
  <c r="AO58" i="15"/>
  <c r="AO16" i="15"/>
  <c r="AO47" i="15"/>
  <c r="N96" i="15"/>
  <c r="AO153" i="15"/>
  <c r="AO59" i="15"/>
  <c r="AO84" i="15"/>
  <c r="AO99" i="15"/>
  <c r="AO160" i="15"/>
  <c r="AO75" i="15"/>
  <c r="AO123" i="15"/>
  <c r="AO18" i="15"/>
  <c r="J55" i="1"/>
  <c r="AQ145" i="6"/>
  <c r="AQ161" i="6"/>
  <c r="AQ162" i="6" s="1"/>
  <c r="W114" i="7"/>
  <c r="W96" i="7"/>
  <c r="W89" i="7"/>
  <c r="W127" i="7"/>
  <c r="U32" i="7"/>
  <c r="U32" i="16" s="1"/>
  <c r="W92" i="7"/>
  <c r="W43" i="7"/>
  <c r="U34" i="7"/>
  <c r="U34" i="16" s="1"/>
  <c r="U31" i="7"/>
  <c r="U31" i="16" s="1"/>
  <c r="U33" i="7"/>
  <c r="U33" i="16" s="1"/>
  <c r="U35" i="7"/>
  <c r="U35" i="16" s="1"/>
  <c r="W45" i="7"/>
  <c r="U30" i="7"/>
  <c r="W120" i="7"/>
  <c r="W78" i="7"/>
  <c r="W109" i="7"/>
  <c r="W123" i="7"/>
  <c r="W99" i="7"/>
  <c r="G14" i="1"/>
  <c r="I85" i="7"/>
  <c r="I84" i="7" s="1"/>
  <c r="AO127" i="9"/>
  <c r="AD164" i="12"/>
  <c r="AD166" i="12" s="1"/>
  <c r="AF44" i="12"/>
  <c r="AM61" i="16"/>
  <c r="E61" i="16"/>
  <c r="AH72" i="8"/>
  <c r="AI72" i="8"/>
  <c r="AG60" i="8"/>
  <c r="AG44" i="8" s="1"/>
  <c r="C85" i="11"/>
  <c r="C85" i="8"/>
  <c r="C85" i="12"/>
  <c r="C85" i="7"/>
  <c r="I145" i="11"/>
  <c r="I161" i="11"/>
  <c r="I162" i="11" s="1"/>
  <c r="AA72" i="16"/>
  <c r="AA182" i="16"/>
  <c r="S14" i="1"/>
  <c r="AA85" i="7"/>
  <c r="AD28" i="9"/>
  <c r="AD42" i="9" s="1"/>
  <c r="AF29" i="9"/>
  <c r="X60" i="8"/>
  <c r="X44" i="8" s="1"/>
  <c r="Z72" i="8"/>
  <c r="Y72" i="8"/>
  <c r="C35" i="16"/>
  <c r="AM35" i="7"/>
  <c r="R85" i="16"/>
  <c r="R84" i="7"/>
  <c r="F37" i="16"/>
  <c r="F85" i="12"/>
  <c r="F84" i="12" s="1"/>
  <c r="F85" i="11"/>
  <c r="F84" i="11" s="1"/>
  <c r="F85" i="7"/>
  <c r="F85" i="8"/>
  <c r="F84" i="8" s="1"/>
  <c r="U29" i="9"/>
  <c r="F161" i="10"/>
  <c r="F162" i="10" s="1"/>
  <c r="F145" i="10"/>
  <c r="T45" i="16"/>
  <c r="W127" i="16"/>
  <c r="C72" i="11"/>
  <c r="AM73" i="11"/>
  <c r="X153" i="14"/>
  <c r="X157" i="16"/>
  <c r="AI43" i="16"/>
  <c r="AO147" i="14"/>
  <c r="AM44" i="10"/>
  <c r="W60" i="9"/>
  <c r="U44" i="9"/>
  <c r="AO83" i="13"/>
  <c r="Z72" i="9"/>
  <c r="Y72" i="9"/>
  <c r="X60" i="9"/>
  <c r="X44" i="9" s="1"/>
  <c r="X29" i="7"/>
  <c r="T84" i="8"/>
  <c r="R83" i="8"/>
  <c r="T83" i="8" s="1"/>
  <c r="AM109" i="16"/>
  <c r="K44" i="13"/>
  <c r="I144" i="13"/>
  <c r="H150" i="16"/>
  <c r="H120" i="16"/>
  <c r="H79" i="16"/>
  <c r="H87" i="16"/>
  <c r="H123" i="16"/>
  <c r="H89" i="16"/>
  <c r="R30" i="16"/>
  <c r="R29" i="7"/>
  <c r="AG29" i="8"/>
  <c r="AN78" i="7"/>
  <c r="R145" i="12"/>
  <c r="R161" i="12"/>
  <c r="R162" i="12" s="1"/>
  <c r="AC127" i="16"/>
  <c r="AM99" i="16"/>
  <c r="L144" i="8"/>
  <c r="H53" i="1"/>
  <c r="AO83" i="15"/>
  <c r="C72" i="12"/>
  <c r="AM73" i="12"/>
  <c r="AO127" i="14"/>
  <c r="AL78" i="16"/>
  <c r="AJ43" i="16"/>
  <c r="AA153" i="14"/>
  <c r="AA161" i="14" s="1"/>
  <c r="AA162" i="14" s="1"/>
  <c r="AA157" i="16"/>
  <c r="AA153" i="16" s="1"/>
  <c r="AC153" i="16" s="1"/>
  <c r="AO96" i="15"/>
  <c r="AA144" i="9"/>
  <c r="R55" i="1"/>
  <c r="C142" i="17"/>
  <c r="C114" i="2"/>
  <c r="C145" i="17"/>
  <c r="C147" i="17" s="1"/>
  <c r="AM141" i="17"/>
  <c r="AM142" i="17" s="1"/>
  <c r="H127" i="6"/>
  <c r="H120" i="6"/>
  <c r="H89" i="6"/>
  <c r="H84" i="6"/>
  <c r="F30" i="6"/>
  <c r="AM13" i="6"/>
  <c r="AO58" i="6" s="1"/>
  <c r="H72" i="6"/>
  <c r="H109" i="6"/>
  <c r="H96" i="6"/>
  <c r="H147" i="6"/>
  <c r="H78" i="6"/>
  <c r="H114" i="6"/>
  <c r="H92" i="6"/>
  <c r="H99" i="6"/>
  <c r="O2" i="1"/>
  <c r="U85" i="8"/>
  <c r="U84" i="8" s="1"/>
  <c r="U83" i="8" s="1"/>
  <c r="U144" i="8" s="1"/>
  <c r="V60" i="1"/>
  <c r="U60" i="7"/>
  <c r="U44" i="7" s="1"/>
  <c r="W72" i="7"/>
  <c r="V72" i="7"/>
  <c r="AH72" i="11"/>
  <c r="AI72" i="11"/>
  <c r="AG60" i="11"/>
  <c r="AG44" i="11" s="1"/>
  <c r="X161" i="6"/>
  <c r="X162" i="6" s="1"/>
  <c r="X145" i="6"/>
  <c r="AC29" i="10"/>
  <c r="AA28" i="10"/>
  <c r="AA42" i="10" s="1"/>
  <c r="F144" i="13"/>
  <c r="AD161" i="13"/>
  <c r="AD162" i="13" s="1"/>
  <c r="AD145" i="13"/>
  <c r="AO83" i="14"/>
  <c r="R29" i="15"/>
  <c r="Z72" i="11"/>
  <c r="Y72" i="11"/>
  <c r="X60" i="11"/>
  <c r="X44" i="11" s="1"/>
  <c r="C34" i="16"/>
  <c r="X31" i="16"/>
  <c r="AM60" i="5"/>
  <c r="C44" i="5"/>
  <c r="AJ164" i="11"/>
  <c r="AJ166" i="11" s="1"/>
  <c r="AL44" i="11"/>
  <c r="AJ144" i="11"/>
  <c r="C37" i="16"/>
  <c r="AM37" i="16" s="1"/>
  <c r="AM37" i="8"/>
  <c r="AO92" i="8"/>
  <c r="R34" i="16"/>
  <c r="AM165" i="11"/>
  <c r="AO86" i="11"/>
  <c r="AO16" i="11"/>
  <c r="AO18" i="11"/>
  <c r="AO17" i="11"/>
  <c r="AO153" i="11"/>
  <c r="AO96" i="11"/>
  <c r="AO99" i="11"/>
  <c r="AO58" i="11"/>
  <c r="AO92" i="11"/>
  <c r="AO59" i="11"/>
  <c r="C144" i="13"/>
  <c r="AM42" i="13"/>
  <c r="AO96" i="14"/>
  <c r="AA144" i="11"/>
  <c r="R57" i="1"/>
  <c r="AJ153" i="14"/>
  <c r="AJ161" i="14" s="1"/>
  <c r="AJ162" i="14" s="1"/>
  <c r="AJ157" i="16"/>
  <c r="AJ153" i="16" s="1"/>
  <c r="K2" i="1"/>
  <c r="O85" i="8"/>
  <c r="O84" i="8" s="1"/>
  <c r="L164" i="9"/>
  <c r="L166" i="9" s="1"/>
  <c r="N44" i="9"/>
  <c r="Z96" i="16"/>
  <c r="Z99" i="16"/>
  <c r="Z46" i="16"/>
  <c r="Z61" i="16"/>
  <c r="Z45" i="16"/>
  <c r="Z92" i="16"/>
  <c r="Z120" i="16"/>
  <c r="Z114" i="16"/>
  <c r="Z89" i="16"/>
  <c r="Z43" i="16"/>
  <c r="Z123" i="16"/>
  <c r="AM73" i="15"/>
  <c r="AC43" i="16"/>
  <c r="AC120" i="16"/>
  <c r="AC96" i="16"/>
  <c r="AC46" i="16"/>
  <c r="AC114" i="16"/>
  <c r="AC81" i="16"/>
  <c r="AC78" i="16"/>
  <c r="AC123" i="16"/>
  <c r="AC92" i="16"/>
  <c r="AC89" i="16"/>
  <c r="AC99" i="16"/>
  <c r="N44" i="11"/>
  <c r="L164" i="11"/>
  <c r="L166" i="11" s="1"/>
  <c r="L144" i="11"/>
  <c r="AG161" i="6"/>
  <c r="AG162" i="6" s="1"/>
  <c r="AG145" i="6"/>
  <c r="U72" i="16"/>
  <c r="U182" i="16"/>
  <c r="AH72" i="9"/>
  <c r="AI72" i="9"/>
  <c r="AG60" i="9"/>
  <c r="AG44" i="9" s="1"/>
  <c r="AJ29" i="8"/>
  <c r="AJ28" i="8" s="1"/>
  <c r="AJ42" i="8" s="1"/>
  <c r="AC44" i="8"/>
  <c r="U84" i="7"/>
  <c r="AL45" i="16"/>
  <c r="Z72" i="12"/>
  <c r="Y72" i="12"/>
  <c r="X60" i="12"/>
  <c r="X44" i="12" s="1"/>
  <c r="F33" i="16"/>
  <c r="U144" i="12"/>
  <c r="O153" i="14"/>
  <c r="AM157" i="14"/>
  <c r="AO157" i="14" s="1"/>
  <c r="AM33" i="8"/>
  <c r="K44" i="9"/>
  <c r="I164" i="9"/>
  <c r="I166" i="9" s="1"/>
  <c r="Z109" i="13"/>
  <c r="Z78" i="13"/>
  <c r="Z29" i="13"/>
  <c r="Z120" i="13"/>
  <c r="Z47" i="13"/>
  <c r="Z123" i="13"/>
  <c r="Z89" i="13"/>
  <c r="Z57" i="13"/>
  <c r="Z99" i="13"/>
  <c r="Z72" i="13"/>
  <c r="Z147" i="13"/>
  <c r="Z96" i="13"/>
  <c r="Z92" i="13"/>
  <c r="Z114" i="13"/>
  <c r="Z84" i="13"/>
  <c r="Z127" i="13"/>
  <c r="E47" i="13"/>
  <c r="AM13" i="13"/>
  <c r="AO57" i="13" s="1"/>
  <c r="E57" i="13"/>
  <c r="L145" i="13"/>
  <c r="L161" i="13"/>
  <c r="L162" i="13" s="1"/>
  <c r="H153" i="16"/>
  <c r="T78" i="16"/>
  <c r="T89" i="16"/>
  <c r="T92" i="16"/>
  <c r="T123" i="16"/>
  <c r="T127" i="16"/>
  <c r="T96" i="16"/>
  <c r="T114" i="16"/>
  <c r="T120" i="16"/>
  <c r="Z44" i="13"/>
  <c r="AI120" i="16"/>
  <c r="X33" i="15"/>
  <c r="Z89" i="15"/>
  <c r="X32" i="15"/>
  <c r="AM32" i="15" s="1"/>
  <c r="Z120" i="15"/>
  <c r="Z123" i="15"/>
  <c r="Z114" i="15"/>
  <c r="Z78" i="15"/>
  <c r="X34" i="15"/>
  <c r="X34" i="16" s="1"/>
  <c r="Z96" i="15"/>
  <c r="X35" i="15"/>
  <c r="AM35" i="15" s="1"/>
  <c r="Z92" i="15"/>
  <c r="X30" i="15"/>
  <c r="X30" i="16" s="1"/>
  <c r="Z84" i="15"/>
  <c r="Z127" i="15"/>
  <c r="Z147" i="15"/>
  <c r="Z109" i="15"/>
  <c r="Z99" i="15"/>
  <c r="AC78" i="11"/>
  <c r="AC89" i="11"/>
  <c r="AC99" i="11"/>
  <c r="AC120" i="11"/>
  <c r="AC29" i="11"/>
  <c r="AC114" i="11"/>
  <c r="AC127" i="11"/>
  <c r="AC109" i="11"/>
  <c r="AC96" i="11"/>
  <c r="AC84" i="11"/>
  <c r="AC92" i="11"/>
  <c r="AC147" i="11"/>
  <c r="AC123" i="11"/>
  <c r="U144" i="10"/>
  <c r="N61" i="1"/>
  <c r="AF29" i="8"/>
  <c r="AD28" i="8"/>
  <c r="AD42" i="8" s="1"/>
  <c r="AM57" i="16"/>
  <c r="AG73" i="16"/>
  <c r="AG72" i="7"/>
  <c r="K33" i="3"/>
  <c r="K35" i="3" s="1"/>
  <c r="O5" i="3"/>
  <c r="O17" i="3" s="1"/>
  <c r="AG85" i="16"/>
  <c r="AG84" i="7"/>
  <c r="AJ31" i="7"/>
  <c r="AJ31" i="16" s="1"/>
  <c r="AJ30" i="7"/>
  <c r="AJ35" i="7"/>
  <c r="AJ35" i="16" s="1"/>
  <c r="AJ32" i="7"/>
  <c r="AJ32" i="16" s="1"/>
  <c r="AJ34" i="7"/>
  <c r="AJ34" i="16" s="1"/>
  <c r="AJ33" i="7"/>
  <c r="AJ33" i="16" s="1"/>
  <c r="AL43" i="7"/>
  <c r="AO114" i="9"/>
  <c r="R60" i="7"/>
  <c r="R44" i="7" s="1"/>
  <c r="T72" i="7"/>
  <c r="S72" i="7"/>
  <c r="AF89" i="16"/>
  <c r="AF127" i="16"/>
  <c r="AF46" i="16"/>
  <c r="AF120" i="16"/>
  <c r="AF123" i="16"/>
  <c r="AF114" i="16"/>
  <c r="AF92" i="16"/>
  <c r="AF96" i="16"/>
  <c r="AF43" i="16"/>
  <c r="AF78" i="16"/>
  <c r="L60" i="15"/>
  <c r="AM72" i="15"/>
  <c r="AO72" i="15" s="1"/>
  <c r="N72" i="15"/>
  <c r="L29" i="7"/>
  <c r="AN99" i="7"/>
  <c r="AE72" i="7"/>
  <c r="AD60" i="7"/>
  <c r="AD44" i="7" s="1"/>
  <c r="AF72" i="7"/>
  <c r="F164" i="14"/>
  <c r="F166" i="14" s="1"/>
  <c r="H44" i="14"/>
  <c r="Z72" i="14"/>
  <c r="Y72" i="14"/>
  <c r="X60" i="14"/>
  <c r="X44" i="14" s="1"/>
  <c r="C30" i="16"/>
  <c r="C29" i="7"/>
  <c r="P59" i="1"/>
  <c r="AM32" i="8"/>
  <c r="R161" i="11"/>
  <c r="R162" i="11" s="1"/>
  <c r="R145" i="11"/>
  <c r="R164" i="11"/>
  <c r="R166" i="11" s="1"/>
  <c r="T44" i="11"/>
  <c r="X161" i="13"/>
  <c r="X162" i="13" s="1"/>
  <c r="X145" i="13"/>
  <c r="R144" i="9"/>
  <c r="L55" i="1"/>
  <c r="I164" i="11"/>
  <c r="I166" i="11" s="1"/>
  <c r="K44" i="11"/>
  <c r="AD161" i="6"/>
  <c r="AD162" i="6" s="1"/>
  <c r="AD145" i="6"/>
  <c r="AA164" i="11"/>
  <c r="AA166" i="11" s="1"/>
  <c r="AO120" i="14"/>
  <c r="Q29" i="8"/>
  <c r="O28" i="8"/>
  <c r="O42" i="8" s="1"/>
  <c r="AO29" i="14"/>
  <c r="AD161" i="14"/>
  <c r="AD162" i="14" s="1"/>
  <c r="AD145" i="14"/>
  <c r="R72" i="16"/>
  <c r="R182" i="16"/>
  <c r="AM83" i="9"/>
  <c r="AO83" i="9" s="1"/>
  <c r="E83" i="9"/>
  <c r="Z29" i="9"/>
  <c r="X28" i="9"/>
  <c r="X42" i="9" s="1"/>
  <c r="AM58" i="16"/>
  <c r="I83" i="8"/>
  <c r="K83" i="8" s="1"/>
  <c r="K84" i="8"/>
  <c r="AA144" i="12"/>
  <c r="AI72" i="12"/>
  <c r="AH72" i="12"/>
  <c r="AG60" i="12"/>
  <c r="AG44" i="12" s="1"/>
  <c r="I29" i="7"/>
  <c r="L29" i="9"/>
  <c r="F140" i="5"/>
  <c r="F144" i="5" s="1"/>
  <c r="C28" i="9"/>
  <c r="E29" i="9"/>
  <c r="AM29" i="9"/>
  <c r="AO29" i="9" s="1"/>
  <c r="E96" i="16"/>
  <c r="AM96" i="16"/>
  <c r="AO57" i="9"/>
  <c r="U10" i="1"/>
  <c r="U6" i="1"/>
  <c r="U12" i="1"/>
  <c r="U4" i="1"/>
  <c r="U7" i="1"/>
  <c r="U5" i="1"/>
  <c r="U13" i="1"/>
  <c r="U11" i="1"/>
  <c r="U9" i="1"/>
  <c r="AG60" i="15"/>
  <c r="AG44" i="15" s="1"/>
  <c r="AI72" i="15"/>
  <c r="R44" i="9"/>
  <c r="R161" i="13"/>
  <c r="R162" i="13" s="1"/>
  <c r="R145" i="13"/>
  <c r="AD72" i="16"/>
  <c r="AD182" i="16"/>
  <c r="R28" i="8"/>
  <c r="R42" i="8" s="1"/>
  <c r="T29" i="8"/>
  <c r="AF44" i="8"/>
  <c r="X33" i="16"/>
  <c r="F32" i="16"/>
  <c r="AO109" i="9"/>
  <c r="AO80" i="8"/>
  <c r="Z114" i="12"/>
  <c r="Z127" i="12"/>
  <c r="Z89" i="12"/>
  <c r="Z147" i="12"/>
  <c r="Z123" i="12"/>
  <c r="Z84" i="12"/>
  <c r="Z92" i="12"/>
  <c r="Z96" i="12"/>
  <c r="Z78" i="12"/>
  <c r="Z120" i="12"/>
  <c r="Z109" i="12"/>
  <c r="Z29" i="12"/>
  <c r="Z99" i="12"/>
  <c r="AM13" i="12"/>
  <c r="AO153" i="12" s="1"/>
  <c r="O145" i="11"/>
  <c r="O161" i="11"/>
  <c r="O162" i="11" s="1"/>
  <c r="C13" i="16"/>
  <c r="E43" i="16" s="1"/>
  <c r="AM14" i="16"/>
  <c r="C36" i="16"/>
  <c r="AM36" i="16" s="1"/>
  <c r="AM36" i="8"/>
  <c r="U164" i="11"/>
  <c r="U166" i="11" s="1"/>
  <c r="W44" i="11"/>
  <c r="U144" i="11"/>
  <c r="R161" i="14"/>
  <c r="R162" i="14" s="1"/>
  <c r="R145" i="14"/>
  <c r="R164" i="14"/>
  <c r="R166" i="14" s="1"/>
  <c r="T44" i="14"/>
  <c r="F73" i="16"/>
  <c r="F72" i="7"/>
  <c r="Z78" i="16"/>
  <c r="C162" i="14"/>
  <c r="C42" i="6"/>
  <c r="AO114" i="8"/>
  <c r="AN114" i="8"/>
  <c r="P72" i="7"/>
  <c r="O60" i="7"/>
  <c r="O44" i="7" s="1"/>
  <c r="Q72" i="7"/>
  <c r="AH72" i="14"/>
  <c r="AI72" i="14"/>
  <c r="AG60" i="14"/>
  <c r="AG44" i="14" s="1"/>
  <c r="AO77" i="9"/>
  <c r="AO18" i="9"/>
  <c r="AO80" i="9"/>
  <c r="AO76" i="9"/>
  <c r="AO87" i="9"/>
  <c r="AO17" i="9"/>
  <c r="AO150" i="9"/>
  <c r="AO130" i="9"/>
  <c r="AO79" i="9"/>
  <c r="AO96" i="9"/>
  <c r="AO89" i="9"/>
  <c r="AO86" i="9"/>
  <c r="AO120" i="9"/>
  <c r="AJ144" i="9"/>
  <c r="X55" i="1"/>
  <c r="AF60" i="9"/>
  <c r="AD44" i="9"/>
  <c r="AM78" i="16"/>
  <c r="X60" i="15"/>
  <c r="X44" i="15" s="1"/>
  <c r="Z72" i="15"/>
  <c r="S2" i="1"/>
  <c r="AA85" i="8"/>
  <c r="AA84" i="8" s="1"/>
  <c r="AA83" i="8" s="1"/>
  <c r="AC83" i="8" s="1"/>
  <c r="AO85" i="14"/>
  <c r="AO58" i="14"/>
  <c r="AO148" i="14"/>
  <c r="AO92" i="14"/>
  <c r="AO57" i="14"/>
  <c r="AO59" i="14"/>
  <c r="AO75" i="14"/>
  <c r="AO150" i="14"/>
  <c r="H44" i="6"/>
  <c r="AM31" i="8"/>
  <c r="C34" i="10"/>
  <c r="AM13" i="10"/>
  <c r="AO83" i="10" s="1"/>
  <c r="F151" i="12"/>
  <c r="F151" i="8"/>
  <c r="F151" i="9"/>
  <c r="F151" i="11"/>
  <c r="F151" i="7"/>
  <c r="AO123" i="14"/>
  <c r="AO127" i="8"/>
  <c r="H72" i="9"/>
  <c r="G72" i="9"/>
  <c r="F60" i="9"/>
  <c r="C164" i="13"/>
  <c r="AM44" i="13"/>
  <c r="AO44" i="13" s="1"/>
  <c r="AO120" i="11"/>
  <c r="AI29" i="9"/>
  <c r="AG28" i="9"/>
  <c r="AG42" i="9" s="1"/>
  <c r="R161" i="10"/>
  <c r="R162" i="10" s="1"/>
  <c r="R145" i="10"/>
  <c r="Q72" i="9"/>
  <c r="O60" i="9"/>
  <c r="P72" i="9"/>
  <c r="AA164" i="9"/>
  <c r="AA166" i="9" s="1"/>
  <c r="AC44" i="9"/>
  <c r="I145" i="6"/>
  <c r="I161" i="6"/>
  <c r="I162" i="6" s="1"/>
  <c r="O164" i="12"/>
  <c r="O166" i="12" s="1"/>
  <c r="Q44" i="12"/>
  <c r="U30" i="6"/>
  <c r="U29" i="6" s="1"/>
  <c r="U28" i="6" s="1"/>
  <c r="U42" i="6" s="1"/>
  <c r="W72" i="6"/>
  <c r="K44" i="8"/>
  <c r="I164" i="8"/>
  <c r="I166" i="8" s="1"/>
  <c r="H83" i="6"/>
  <c r="X32" i="16"/>
  <c r="F31" i="16"/>
  <c r="E127" i="16"/>
  <c r="AM127" i="16"/>
  <c r="AQ161" i="15"/>
  <c r="AQ162" i="15" s="1"/>
  <c r="AQ145" i="15"/>
  <c r="L142" i="17"/>
  <c r="AO89" i="8"/>
  <c r="H127" i="16"/>
  <c r="AA29" i="15"/>
  <c r="G72" i="11"/>
  <c r="F60" i="11"/>
  <c r="F44" i="11" s="1"/>
  <c r="H72" i="11"/>
  <c r="I29" i="15"/>
  <c r="AA161" i="6"/>
  <c r="AA162" i="6" s="1"/>
  <c r="AA145" i="6"/>
  <c r="I161" i="14"/>
  <c r="I162" i="14" s="1"/>
  <c r="I145" i="14"/>
  <c r="L164" i="12"/>
  <c r="L166" i="12" s="1"/>
  <c r="N44" i="12"/>
  <c r="AM42" i="11"/>
  <c r="AI109" i="10"/>
  <c r="AI96" i="10"/>
  <c r="AG30" i="10"/>
  <c r="AG29" i="10" s="1"/>
  <c r="AI89" i="10"/>
  <c r="AI78" i="10"/>
  <c r="AI92" i="10"/>
  <c r="AI114" i="10"/>
  <c r="AI99" i="10"/>
  <c r="AI147" i="10"/>
  <c r="AI120" i="10"/>
  <c r="AI84" i="10"/>
  <c r="AI127" i="10"/>
  <c r="AI72" i="10"/>
  <c r="AI83" i="10"/>
  <c r="AI123" i="10"/>
  <c r="I29" i="8"/>
  <c r="H61" i="16"/>
  <c r="X85" i="16"/>
  <c r="X84" i="7"/>
  <c r="AG43" i="16"/>
  <c r="AI96" i="16"/>
  <c r="AI92" i="16"/>
  <c r="AI78" i="16"/>
  <c r="AI127" i="16"/>
  <c r="AI89" i="16"/>
  <c r="AI81" i="16"/>
  <c r="AI123" i="16"/>
  <c r="AJ72" i="16"/>
  <c r="AJ182" i="16"/>
  <c r="Q99" i="6"/>
  <c r="Q127" i="6"/>
  <c r="Q120" i="6"/>
  <c r="O30" i="6"/>
  <c r="Q89" i="6"/>
  <c r="Q72" i="6"/>
  <c r="Q96" i="6"/>
  <c r="Q147" i="6"/>
  <c r="Q92" i="6"/>
  <c r="Q114" i="6"/>
  <c r="Q84" i="6"/>
  <c r="Q83" i="6"/>
  <c r="Q78" i="6"/>
  <c r="Q109" i="6"/>
  <c r="Q44" i="6"/>
  <c r="AO89" i="14"/>
  <c r="W57" i="6"/>
  <c r="U45" i="6"/>
  <c r="V57" i="6"/>
  <c r="AM57" i="6"/>
  <c r="AG32" i="7"/>
  <c r="AG32" i="16" s="1"/>
  <c r="AG35" i="7"/>
  <c r="AG35" i="16" s="1"/>
  <c r="AG34" i="7"/>
  <c r="AG34" i="16" s="1"/>
  <c r="AG33" i="7"/>
  <c r="AG33" i="16" s="1"/>
  <c r="AG31" i="7"/>
  <c r="AG31" i="16" s="1"/>
  <c r="AI92" i="7"/>
  <c r="AI123" i="7"/>
  <c r="AI109" i="7"/>
  <c r="AI114" i="7"/>
  <c r="AI96" i="7"/>
  <c r="AG30" i="7"/>
  <c r="AI89" i="7"/>
  <c r="AI99" i="7"/>
  <c r="AI127" i="7"/>
  <c r="AI43" i="7"/>
  <c r="AI120" i="7"/>
  <c r="AI45" i="7"/>
  <c r="AI46" i="7"/>
  <c r="AI78" i="7"/>
  <c r="I161" i="12"/>
  <c r="I162" i="12" s="1"/>
  <c r="I145" i="12"/>
  <c r="H29" i="15"/>
  <c r="F28" i="15"/>
  <c r="F42" i="15" s="1"/>
  <c r="F144" i="15" s="1"/>
  <c r="Q45" i="16"/>
  <c r="O44" i="16"/>
  <c r="Q44" i="16" s="1"/>
  <c r="Q72" i="8"/>
  <c r="P72" i="8"/>
  <c r="O60" i="8"/>
  <c r="O44" i="8" s="1"/>
  <c r="AJ29" i="15"/>
  <c r="AJ28" i="15" s="1"/>
  <c r="AJ42" i="15" s="1"/>
  <c r="AM13" i="7"/>
  <c r="AO127" i="7" s="1"/>
  <c r="Q29" i="7"/>
  <c r="O28" i="7"/>
  <c r="O42" i="7" s="1"/>
  <c r="H45" i="7"/>
  <c r="U28" i="15"/>
  <c r="U42" i="15" s="1"/>
  <c r="W29" i="15"/>
  <c r="C29" i="8"/>
  <c r="AM30" i="8"/>
  <c r="AO128" i="9"/>
  <c r="AC45" i="7"/>
  <c r="W120" i="16"/>
  <c r="W92" i="16"/>
  <c r="W78" i="16"/>
  <c r="W89" i="16"/>
  <c r="W43" i="16"/>
  <c r="V205" i="16" s="1"/>
  <c r="U205" i="16" s="1"/>
  <c r="U213" i="16" s="1"/>
  <c r="W96" i="16"/>
  <c r="W46" i="16"/>
  <c r="W61" i="16"/>
  <c r="W114" i="16"/>
  <c r="W123" i="16"/>
  <c r="R32" i="16"/>
  <c r="AG161" i="13"/>
  <c r="AG162" i="13" s="1"/>
  <c r="AG145" i="13"/>
  <c r="H72" i="8"/>
  <c r="G72" i="8"/>
  <c r="AM33" i="15"/>
  <c r="L164" i="8"/>
  <c r="L166" i="8" s="1"/>
  <c r="AM42" i="12"/>
  <c r="AO114" i="14"/>
  <c r="AM42" i="14"/>
  <c r="U145" i="8" l="1"/>
  <c r="AO96" i="16"/>
  <c r="X72" i="16"/>
  <c r="X182" i="16"/>
  <c r="Q84" i="7"/>
  <c r="O83" i="7"/>
  <c r="Q83" i="7" s="1"/>
  <c r="AM34" i="15"/>
  <c r="C29" i="10"/>
  <c r="AM34" i="10"/>
  <c r="AI44" i="9"/>
  <c r="AG164" i="9"/>
  <c r="AG166" i="9" s="1"/>
  <c r="Q84" i="8"/>
  <c r="O83" i="8"/>
  <c r="Q83" i="8" s="1"/>
  <c r="Z44" i="11"/>
  <c r="X164" i="11"/>
  <c r="X166" i="11" s="1"/>
  <c r="X144" i="11"/>
  <c r="AG164" i="11"/>
  <c r="AG166" i="11" s="1"/>
  <c r="AI44" i="11"/>
  <c r="AG144" i="11"/>
  <c r="AO78" i="7"/>
  <c r="Q29" i="5"/>
  <c r="AM13" i="5"/>
  <c r="AA144" i="8"/>
  <c r="R53" i="1"/>
  <c r="H44" i="11"/>
  <c r="F144" i="11"/>
  <c r="O29" i="6"/>
  <c r="O28" i="6" s="1"/>
  <c r="O42" i="6" s="1"/>
  <c r="O30" i="16"/>
  <c r="O29" i="16" s="1"/>
  <c r="J53" i="1"/>
  <c r="AO109" i="16"/>
  <c r="C85" i="16"/>
  <c r="C84" i="7"/>
  <c r="E72" i="8"/>
  <c r="D72" i="8"/>
  <c r="AM72" i="8"/>
  <c r="C60" i="8"/>
  <c r="O161" i="13"/>
  <c r="O162" i="13" s="1"/>
  <c r="O145" i="13"/>
  <c r="AG83" i="7"/>
  <c r="AI83" i="7" s="1"/>
  <c r="AI84" i="7"/>
  <c r="U145" i="10"/>
  <c r="U161" i="10"/>
  <c r="U162" i="10" s="1"/>
  <c r="AG28" i="8"/>
  <c r="AG42" i="8" s="1"/>
  <c r="AG43" i="8"/>
  <c r="AI29" i="8"/>
  <c r="E109" i="16"/>
  <c r="AO44" i="10"/>
  <c r="W29" i="9"/>
  <c r="U28" i="9"/>
  <c r="U42" i="9" s="1"/>
  <c r="AM85" i="12"/>
  <c r="AO85" i="12" s="1"/>
  <c r="E85" i="12"/>
  <c r="C84" i="12"/>
  <c r="AO114" i="7"/>
  <c r="O140" i="5"/>
  <c r="O144" i="5" s="1"/>
  <c r="AM42" i="5"/>
  <c r="AM33" i="7"/>
  <c r="AO157" i="7"/>
  <c r="AO159" i="7"/>
  <c r="AO158" i="7"/>
  <c r="AO16" i="7"/>
  <c r="AO150" i="7"/>
  <c r="AO19" i="7"/>
  <c r="AO17" i="7"/>
  <c r="AO87" i="7"/>
  <c r="AO153" i="7"/>
  <c r="AO76" i="7"/>
  <c r="AO92" i="7"/>
  <c r="AO18" i="7"/>
  <c r="E96" i="7"/>
  <c r="AO43" i="7"/>
  <c r="AO86" i="7"/>
  <c r="AO80" i="7"/>
  <c r="AO89" i="7"/>
  <c r="AO123" i="7"/>
  <c r="AO120" i="7"/>
  <c r="AO96" i="7"/>
  <c r="AO109" i="7"/>
  <c r="AO77" i="7"/>
  <c r="AO79" i="7"/>
  <c r="AA145" i="12"/>
  <c r="AA161" i="12"/>
  <c r="AA162" i="12" s="1"/>
  <c r="U145" i="12"/>
  <c r="U161" i="12"/>
  <c r="U162" i="12" s="1"/>
  <c r="AM30" i="10"/>
  <c r="AM85" i="8"/>
  <c r="AO85" i="8" s="1"/>
  <c r="C84" i="8"/>
  <c r="I83" i="7"/>
  <c r="K84" i="7"/>
  <c r="N29" i="15"/>
  <c r="L28" i="15"/>
  <c r="L42" i="15" s="1"/>
  <c r="H44" i="12"/>
  <c r="R164" i="8"/>
  <c r="R166" i="8" s="1"/>
  <c r="AM33" i="16"/>
  <c r="AG164" i="15"/>
  <c r="AG166" i="15" s="1"/>
  <c r="AI44" i="15"/>
  <c r="F72" i="16"/>
  <c r="F182" i="16"/>
  <c r="AM13" i="16"/>
  <c r="E76" i="16"/>
  <c r="E79" i="16"/>
  <c r="E80" i="16"/>
  <c r="E86" i="16"/>
  <c r="E87" i="16"/>
  <c r="E120" i="16"/>
  <c r="E150" i="16"/>
  <c r="E46" i="16"/>
  <c r="E114" i="16"/>
  <c r="E78" i="16"/>
  <c r="E77" i="16"/>
  <c r="E75" i="16"/>
  <c r="E153" i="16"/>
  <c r="E123" i="16"/>
  <c r="E92" i="16"/>
  <c r="C42" i="9"/>
  <c r="X144" i="9"/>
  <c r="P55" i="1"/>
  <c r="AM60" i="15"/>
  <c r="L44" i="15"/>
  <c r="AJ145" i="11"/>
  <c r="AJ161" i="11"/>
  <c r="AJ162" i="11" s="1"/>
  <c r="R28" i="15"/>
  <c r="R42" i="15" s="1"/>
  <c r="T29" i="15"/>
  <c r="C119" i="2"/>
  <c r="O114" i="2"/>
  <c r="R29" i="16"/>
  <c r="F83" i="8"/>
  <c r="H84" i="8"/>
  <c r="Z44" i="8"/>
  <c r="X164" i="8"/>
  <c r="X166" i="8" s="1"/>
  <c r="C84" i="11"/>
  <c r="AM85" i="11"/>
  <c r="AO85" i="11" s="1"/>
  <c r="AA30" i="16"/>
  <c r="AA29" i="16" s="1"/>
  <c r="AA29" i="7"/>
  <c r="E72" i="9"/>
  <c r="D72" i="9"/>
  <c r="AM72" i="9"/>
  <c r="C60" i="9"/>
  <c r="P72" i="14"/>
  <c r="AM72" i="14"/>
  <c r="Q72" i="14"/>
  <c r="O60" i="14"/>
  <c r="E72" i="12"/>
  <c r="D72" i="12"/>
  <c r="AM72" i="12"/>
  <c r="C60" i="12"/>
  <c r="X83" i="7"/>
  <c r="Z83" i="7" s="1"/>
  <c r="Z84" i="7"/>
  <c r="AO78" i="16"/>
  <c r="AM29" i="8"/>
  <c r="AO29" i="8" s="1"/>
  <c r="C28" i="8"/>
  <c r="E29" i="8"/>
  <c r="D89" i="2"/>
  <c r="D96" i="2" s="1"/>
  <c r="F156" i="5"/>
  <c r="T44" i="7"/>
  <c r="W72" i="16"/>
  <c r="V72" i="16"/>
  <c r="U60" i="16"/>
  <c r="X28" i="7"/>
  <c r="X42" i="7" s="1"/>
  <c r="Z29" i="7"/>
  <c r="X153" i="16"/>
  <c r="AM157" i="16"/>
  <c r="F85" i="16"/>
  <c r="F84" i="7"/>
  <c r="AM31" i="7"/>
  <c r="AJ30" i="16"/>
  <c r="AJ29" i="16" s="1"/>
  <c r="AJ29" i="7"/>
  <c r="AJ28" i="7" s="1"/>
  <c r="AJ42" i="7" s="1"/>
  <c r="AM34" i="16"/>
  <c r="AJ144" i="15"/>
  <c r="X60" i="1"/>
  <c r="N29" i="7"/>
  <c r="L28" i="7"/>
  <c r="L42" i="7" s="1"/>
  <c r="AF44" i="9"/>
  <c r="AD164" i="9"/>
  <c r="AD166" i="9" s="1"/>
  <c r="U164" i="7"/>
  <c r="U166" i="7" s="1"/>
  <c r="W44" i="7"/>
  <c r="L145" i="8"/>
  <c r="H84" i="11"/>
  <c r="F83" i="11"/>
  <c r="H83" i="11" s="1"/>
  <c r="AD144" i="9"/>
  <c r="T55" i="1"/>
  <c r="AI44" i="8"/>
  <c r="AG164" i="8"/>
  <c r="AG166" i="8" s="1"/>
  <c r="AM31" i="16"/>
  <c r="U161" i="14"/>
  <c r="U162" i="14" s="1"/>
  <c r="U145" i="14"/>
  <c r="O144" i="7"/>
  <c r="J52" i="1"/>
  <c r="U44" i="6"/>
  <c r="AM45" i="6"/>
  <c r="AO45" i="6" s="1"/>
  <c r="AJ144" i="8"/>
  <c r="X53" i="1"/>
  <c r="U164" i="9"/>
  <c r="U166" i="9" s="1"/>
  <c r="W44" i="9"/>
  <c r="AA28" i="15"/>
  <c r="AA42" i="15" s="1"/>
  <c r="AC29" i="15"/>
  <c r="H60" i="9"/>
  <c r="F44" i="9"/>
  <c r="Q60" i="9"/>
  <c r="O44" i="9"/>
  <c r="H72" i="7"/>
  <c r="G72" i="7"/>
  <c r="F60" i="7"/>
  <c r="F44" i="7" s="1"/>
  <c r="AO58" i="16"/>
  <c r="AG84" i="16"/>
  <c r="AG181" i="16"/>
  <c r="Z44" i="12"/>
  <c r="X164" i="12"/>
  <c r="X166" i="12" s="1"/>
  <c r="R28" i="7"/>
  <c r="R42" i="7" s="1"/>
  <c r="T29" i="7"/>
  <c r="AL72" i="16"/>
  <c r="AJ60" i="16"/>
  <c r="X84" i="16"/>
  <c r="X181" i="16"/>
  <c r="U2" i="1"/>
  <c r="AD85" i="8"/>
  <c r="AD84" i="8" s="1"/>
  <c r="AD83" i="8" s="1"/>
  <c r="N56" i="1"/>
  <c r="U144" i="6"/>
  <c r="F151" i="16"/>
  <c r="F184" i="16" s="1"/>
  <c r="R144" i="8"/>
  <c r="L53" i="1"/>
  <c r="U144" i="15"/>
  <c r="N60" i="1"/>
  <c r="AG144" i="9"/>
  <c r="V55" i="1"/>
  <c r="U14" i="1"/>
  <c r="AD85" i="7"/>
  <c r="L28" i="9"/>
  <c r="L42" i="9" s="1"/>
  <c r="N29" i="9"/>
  <c r="AI72" i="7"/>
  <c r="AH72" i="7"/>
  <c r="AG60" i="7"/>
  <c r="AG44" i="7" s="1"/>
  <c r="AA161" i="11"/>
  <c r="AA162" i="11" s="1"/>
  <c r="AA145" i="11"/>
  <c r="AA145" i="9"/>
  <c r="E99" i="16"/>
  <c r="Z44" i="9"/>
  <c r="X164" i="9"/>
  <c r="X166" i="9" s="1"/>
  <c r="F83" i="12"/>
  <c r="H83" i="12" s="1"/>
  <c r="H84" i="12"/>
  <c r="AA85" i="16"/>
  <c r="AA84" i="7"/>
  <c r="AM149" i="16"/>
  <c r="AM183" i="16" s="1"/>
  <c r="C183" i="16"/>
  <c r="AO17" i="17"/>
  <c r="AO16" i="17"/>
  <c r="AO18" i="17"/>
  <c r="AO29" i="17"/>
  <c r="Z44" i="15"/>
  <c r="X164" i="15"/>
  <c r="X166" i="15" s="1"/>
  <c r="Q44" i="7"/>
  <c r="O164" i="7"/>
  <c r="O166" i="7" s="1"/>
  <c r="AO57" i="6"/>
  <c r="AN57" i="6"/>
  <c r="K29" i="8"/>
  <c r="I28" i="8"/>
  <c r="I42" i="8" s="1"/>
  <c r="K29" i="15"/>
  <c r="I28" i="15"/>
  <c r="I42" i="15" s="1"/>
  <c r="AJ145" i="9"/>
  <c r="C144" i="6"/>
  <c r="AO150" i="12"/>
  <c r="AO58" i="12"/>
  <c r="AO123" i="12"/>
  <c r="AO92" i="12"/>
  <c r="AO127" i="12"/>
  <c r="AO114" i="12"/>
  <c r="AO59" i="12"/>
  <c r="AO75" i="12"/>
  <c r="AO89" i="12"/>
  <c r="AO109" i="12"/>
  <c r="AO99" i="12"/>
  <c r="AO57" i="12"/>
  <c r="AO29" i="12"/>
  <c r="AO120" i="12"/>
  <c r="AO96" i="12"/>
  <c r="AO78" i="12"/>
  <c r="AF72" i="16"/>
  <c r="AE72" i="16"/>
  <c r="AD60" i="16"/>
  <c r="I28" i="7"/>
  <c r="I42" i="7" s="1"/>
  <c r="K29" i="7"/>
  <c r="AF44" i="7"/>
  <c r="AG72" i="16"/>
  <c r="AG182" i="16"/>
  <c r="W84" i="7"/>
  <c r="U83" i="7"/>
  <c r="W83" i="7" s="1"/>
  <c r="L145" i="11"/>
  <c r="L161" i="11"/>
  <c r="L162" i="11" s="1"/>
  <c r="AM44" i="5"/>
  <c r="C140" i="5"/>
  <c r="F145" i="13"/>
  <c r="AO79" i="6"/>
  <c r="AO85" i="6"/>
  <c r="AO157" i="6"/>
  <c r="AO16" i="6"/>
  <c r="AO59" i="6"/>
  <c r="AO46" i="6"/>
  <c r="AO123" i="6"/>
  <c r="AO114" i="6"/>
  <c r="AO109" i="6"/>
  <c r="AO148" i="6"/>
  <c r="AO150" i="6"/>
  <c r="AO83" i="6"/>
  <c r="AO153" i="6"/>
  <c r="AO92" i="6"/>
  <c r="AO147" i="6"/>
  <c r="AO72" i="6"/>
  <c r="AO99" i="6"/>
  <c r="AO127" i="6"/>
  <c r="AO84" i="6"/>
  <c r="AO89" i="6"/>
  <c r="AO96" i="6"/>
  <c r="AO78" i="6"/>
  <c r="AO120" i="6"/>
  <c r="AO60" i="6"/>
  <c r="AO99" i="16"/>
  <c r="AM72" i="11"/>
  <c r="D72" i="11"/>
  <c r="C60" i="11"/>
  <c r="E72" i="11"/>
  <c r="X35" i="16"/>
  <c r="AM35" i="16" s="1"/>
  <c r="AC44" i="7"/>
  <c r="AO83" i="5"/>
  <c r="T52" i="1"/>
  <c r="C42" i="15"/>
  <c r="L145" i="6"/>
  <c r="L161" i="6"/>
  <c r="L162" i="6" s="1"/>
  <c r="AG28" i="10"/>
  <c r="AG42" i="10" s="1"/>
  <c r="AI29" i="10"/>
  <c r="U145" i="11"/>
  <c r="U161" i="11"/>
  <c r="U162" i="11" s="1"/>
  <c r="AO17" i="10"/>
  <c r="AO148" i="10"/>
  <c r="AO18" i="10"/>
  <c r="AO47" i="10"/>
  <c r="AO59" i="10"/>
  <c r="AO96" i="10"/>
  <c r="AO153" i="10"/>
  <c r="AO127" i="10"/>
  <c r="AO85" i="10"/>
  <c r="AO150" i="10"/>
  <c r="AO78" i="10"/>
  <c r="AO58" i="10"/>
  <c r="AO16" i="10"/>
  <c r="AO75" i="10"/>
  <c r="AO114" i="10"/>
  <c r="AO123" i="10"/>
  <c r="AO89" i="10"/>
  <c r="AO120" i="10"/>
  <c r="AO147" i="10"/>
  <c r="AO57" i="10"/>
  <c r="AO92" i="10"/>
  <c r="AO84" i="10"/>
  <c r="AO99" i="10"/>
  <c r="AO109" i="10"/>
  <c r="AO72" i="10"/>
  <c r="C29" i="16"/>
  <c r="X164" i="14"/>
  <c r="X166" i="14" s="1"/>
  <c r="Z44" i="14"/>
  <c r="X144" i="14"/>
  <c r="O164" i="8"/>
  <c r="O166" i="8" s="1"/>
  <c r="Q44" i="8"/>
  <c r="F161" i="15"/>
  <c r="F162" i="15" s="1"/>
  <c r="F145" i="15"/>
  <c r="AG30" i="16"/>
  <c r="AG29" i="16" s="1"/>
  <c r="AG29" i="7"/>
  <c r="AO127" i="16"/>
  <c r="AG164" i="12"/>
  <c r="AG166" i="12" s="1"/>
  <c r="AI44" i="12"/>
  <c r="AG144" i="12"/>
  <c r="T72" i="16"/>
  <c r="S72" i="16"/>
  <c r="R60" i="16"/>
  <c r="X144" i="12"/>
  <c r="AO57" i="16"/>
  <c r="AN57" i="16"/>
  <c r="X29" i="15"/>
  <c r="AM30" i="15"/>
  <c r="U85" i="16"/>
  <c r="AA144" i="10"/>
  <c r="R61" i="1"/>
  <c r="AG144" i="15"/>
  <c r="F29" i="6"/>
  <c r="AM30" i="6"/>
  <c r="F30" i="16"/>
  <c r="F29" i="16" s="1"/>
  <c r="AM32" i="7"/>
  <c r="F144" i="9"/>
  <c r="E45" i="16"/>
  <c r="T53" i="1"/>
  <c r="W83" i="8"/>
  <c r="U164" i="8"/>
  <c r="U166" i="8" s="1"/>
  <c r="R83" i="7"/>
  <c r="T83" i="7" s="1"/>
  <c r="T84" i="7"/>
  <c r="AC72" i="16"/>
  <c r="AB72" i="16"/>
  <c r="AA60" i="16"/>
  <c r="AD28" i="16"/>
  <c r="AD42" i="16" s="1"/>
  <c r="AF29" i="16"/>
  <c r="AM32" i="16"/>
  <c r="AO45" i="16"/>
  <c r="AM72" i="7"/>
  <c r="E72" i="7"/>
  <c r="D72" i="7"/>
  <c r="C60" i="7"/>
  <c r="O164" i="15"/>
  <c r="O166" i="15" s="1"/>
  <c r="Q44" i="15"/>
  <c r="O144" i="15"/>
  <c r="R145" i="9"/>
  <c r="E29" i="7"/>
  <c r="C28" i="7"/>
  <c r="AI44" i="14"/>
  <c r="AG164" i="14"/>
  <c r="AG166" i="14" s="1"/>
  <c r="AG144" i="14"/>
  <c r="R164" i="9"/>
  <c r="R166" i="9" s="1"/>
  <c r="T44" i="9"/>
  <c r="AM30" i="7"/>
  <c r="AO99" i="7"/>
  <c r="AO158" i="13"/>
  <c r="AO150" i="13"/>
  <c r="AO159" i="13"/>
  <c r="AO85" i="13"/>
  <c r="AO78" i="13"/>
  <c r="AO59" i="13"/>
  <c r="AO47" i="13"/>
  <c r="AO120" i="13"/>
  <c r="AO89" i="13"/>
  <c r="AO157" i="13"/>
  <c r="AO58" i="13"/>
  <c r="AO114" i="13"/>
  <c r="AO109" i="13"/>
  <c r="AO153" i="13"/>
  <c r="AO84" i="13"/>
  <c r="AO127" i="13"/>
  <c r="AO29" i="13"/>
  <c r="AO123" i="13"/>
  <c r="AO72" i="13"/>
  <c r="AO99" i="13"/>
  <c r="AO96" i="13"/>
  <c r="AO92" i="13"/>
  <c r="AM153" i="14"/>
  <c r="AO153" i="14" s="1"/>
  <c r="AA164" i="8"/>
  <c r="AA166" i="8" s="1"/>
  <c r="C145" i="13"/>
  <c r="AM144" i="13"/>
  <c r="AM145" i="13" s="1"/>
  <c r="AM34" i="7"/>
  <c r="I145" i="13"/>
  <c r="I161" i="13"/>
  <c r="I162" i="13" s="1"/>
  <c r="R84" i="16"/>
  <c r="R181" i="16"/>
  <c r="AO61" i="16"/>
  <c r="U30" i="16"/>
  <c r="U29" i="16" s="1"/>
  <c r="U29" i="7"/>
  <c r="I144" i="10"/>
  <c r="F61" i="1"/>
  <c r="Y72" i="7"/>
  <c r="X60" i="7"/>
  <c r="X44" i="7" s="1"/>
  <c r="Z72" i="7"/>
  <c r="X144" i="10"/>
  <c r="P61" i="1"/>
  <c r="Z29" i="8"/>
  <c r="X28" i="8"/>
  <c r="X42" i="8" s="1"/>
  <c r="AF29" i="15"/>
  <c r="AD28" i="15"/>
  <c r="AD42" i="15" s="1"/>
  <c r="C72" i="16"/>
  <c r="AM73" i="16"/>
  <c r="AM182" i="16" s="1"/>
  <c r="C182" i="16"/>
  <c r="K29" i="9"/>
  <c r="I28" i="9"/>
  <c r="I42" i="9" s="1"/>
  <c r="F144" i="8"/>
  <c r="AA83" i="7" l="1"/>
  <c r="AC84" i="7"/>
  <c r="O145" i="7"/>
  <c r="H72" i="16"/>
  <c r="G72" i="16"/>
  <c r="F60" i="16"/>
  <c r="K83" i="7"/>
  <c r="I164" i="7"/>
  <c r="I166" i="7" s="1"/>
  <c r="E84" i="12"/>
  <c r="AM84" i="12"/>
  <c r="AO84" i="12" s="1"/>
  <c r="C83" i="12"/>
  <c r="C28" i="10"/>
  <c r="AM29" i="10"/>
  <c r="AO29" i="10" s="1"/>
  <c r="X161" i="12"/>
  <c r="X162" i="12" s="1"/>
  <c r="X145" i="12"/>
  <c r="AG144" i="10"/>
  <c r="V61" i="1"/>
  <c r="AM60" i="11"/>
  <c r="C44" i="11"/>
  <c r="AA84" i="16"/>
  <c r="AA181" i="16"/>
  <c r="R144" i="7"/>
  <c r="L52" i="1"/>
  <c r="F164" i="9"/>
  <c r="F166" i="9" s="1"/>
  <c r="H44" i="9"/>
  <c r="F83" i="7"/>
  <c r="H84" i="7"/>
  <c r="R164" i="7"/>
  <c r="R166" i="7" s="1"/>
  <c r="AM84" i="11"/>
  <c r="AO84" i="11" s="1"/>
  <c r="C83" i="11"/>
  <c r="E84" i="11"/>
  <c r="L164" i="15"/>
  <c r="L166" i="15" s="1"/>
  <c r="AM44" i="15"/>
  <c r="AO44" i="15" s="1"/>
  <c r="E84" i="8"/>
  <c r="C83" i="8"/>
  <c r="AM84" i="8"/>
  <c r="AG161" i="11"/>
  <c r="AG162" i="11" s="1"/>
  <c r="AG145" i="11"/>
  <c r="D72" i="16"/>
  <c r="AM72" i="16"/>
  <c r="E72" i="16"/>
  <c r="C60" i="16"/>
  <c r="O144" i="8"/>
  <c r="L144" i="9"/>
  <c r="H55" i="1"/>
  <c r="F148" i="11"/>
  <c r="F147" i="11" s="1"/>
  <c r="H147" i="11" s="1"/>
  <c r="F148" i="12"/>
  <c r="F147" i="12" s="1"/>
  <c r="H147" i="12" s="1"/>
  <c r="F148" i="13"/>
  <c r="F147" i="13" s="1"/>
  <c r="F148" i="7"/>
  <c r="F148" i="8"/>
  <c r="F147" i="8" s="1"/>
  <c r="H147" i="8" s="1"/>
  <c r="F148" i="9"/>
  <c r="F147" i="9" s="1"/>
  <c r="H147" i="9" s="1"/>
  <c r="D121" i="2"/>
  <c r="D123" i="2" s="1"/>
  <c r="D130" i="2" s="1"/>
  <c r="U144" i="9"/>
  <c r="N55" i="1"/>
  <c r="Q29" i="16"/>
  <c r="O28" i="16"/>
  <c r="O42" i="16" s="1"/>
  <c r="O144" i="16" s="1"/>
  <c r="AD144" i="15"/>
  <c r="T60" i="1"/>
  <c r="AO74" i="11"/>
  <c r="AO72" i="11"/>
  <c r="AN72" i="11"/>
  <c r="AI72" i="16"/>
  <c r="AG60" i="16"/>
  <c r="H29" i="6"/>
  <c r="F28" i="6"/>
  <c r="AM29" i="6"/>
  <c r="AO29" i="6" s="1"/>
  <c r="X145" i="14"/>
  <c r="X161" i="14"/>
  <c r="X162" i="14" s="1"/>
  <c r="C144" i="15"/>
  <c r="C145" i="6"/>
  <c r="C161" i="6"/>
  <c r="AD85" i="16"/>
  <c r="AM85" i="16" s="1"/>
  <c r="AD84" i="7"/>
  <c r="U161" i="6"/>
  <c r="U162" i="6" s="1"/>
  <c r="U145" i="6"/>
  <c r="AA144" i="15"/>
  <c r="R60" i="1"/>
  <c r="Z153" i="16"/>
  <c r="AM153" i="16"/>
  <c r="AO153" i="16" s="1"/>
  <c r="AO72" i="14"/>
  <c r="AN72" i="14"/>
  <c r="X145" i="9"/>
  <c r="C44" i="8"/>
  <c r="AM60" i="8"/>
  <c r="O144" i="6"/>
  <c r="J56" i="1"/>
  <c r="X145" i="11"/>
  <c r="X161" i="11"/>
  <c r="X162" i="11" s="1"/>
  <c r="AI84" i="16"/>
  <c r="AG83" i="16"/>
  <c r="AI83" i="16" s="1"/>
  <c r="L144" i="7"/>
  <c r="H52" i="1"/>
  <c r="AM28" i="8"/>
  <c r="C42" i="8"/>
  <c r="H83" i="8"/>
  <c r="F164" i="8"/>
  <c r="F166" i="8" s="1"/>
  <c r="AM42" i="9"/>
  <c r="F144" i="12"/>
  <c r="AN72" i="8"/>
  <c r="AO72" i="8"/>
  <c r="F145" i="11"/>
  <c r="F161" i="11"/>
  <c r="F162" i="11" s="1"/>
  <c r="Z72" i="16"/>
  <c r="Y72" i="16"/>
  <c r="X60" i="16"/>
  <c r="F164" i="11"/>
  <c r="F166" i="11" s="1"/>
  <c r="T84" i="16"/>
  <c r="R83" i="16"/>
  <c r="T83" i="16" s="1"/>
  <c r="H44" i="7"/>
  <c r="F164" i="7"/>
  <c r="F166" i="7" s="1"/>
  <c r="U55" i="1"/>
  <c r="AO72" i="9"/>
  <c r="AN72" i="9"/>
  <c r="F164" i="12"/>
  <c r="F166" i="12" s="1"/>
  <c r="X29" i="16"/>
  <c r="O145" i="15"/>
  <c r="O161" i="15"/>
  <c r="O162" i="15" s="1"/>
  <c r="H29" i="16"/>
  <c r="F28" i="16"/>
  <c r="F42" i="16" s="1"/>
  <c r="AM60" i="14"/>
  <c r="O44" i="14"/>
  <c r="X144" i="8"/>
  <c r="P53" i="1"/>
  <c r="AG161" i="12"/>
  <c r="AG162" i="12" s="1"/>
  <c r="AG145" i="12"/>
  <c r="C42" i="7"/>
  <c r="U207" i="16"/>
  <c r="U84" i="16"/>
  <c r="U181" i="16"/>
  <c r="AM30" i="16"/>
  <c r="I144" i="15"/>
  <c r="F60" i="1"/>
  <c r="AG145" i="9"/>
  <c r="AJ145" i="8"/>
  <c r="AD145" i="9"/>
  <c r="AJ161" i="15"/>
  <c r="AJ162" i="15" s="1"/>
  <c r="AJ145" i="15"/>
  <c r="W60" i="16"/>
  <c r="U44" i="16"/>
  <c r="W44" i="16" s="1"/>
  <c r="C151" i="12"/>
  <c r="AM151" i="12" s="1"/>
  <c r="C151" i="11"/>
  <c r="AM151" i="11" s="1"/>
  <c r="C151" i="9"/>
  <c r="C151" i="8"/>
  <c r="C151" i="7"/>
  <c r="O119" i="2"/>
  <c r="AM84" i="7"/>
  <c r="AO84" i="7" s="1"/>
  <c r="C83" i="7"/>
  <c r="E84" i="7"/>
  <c r="F161" i="9"/>
  <c r="F162" i="9" s="1"/>
  <c r="F145" i="9"/>
  <c r="I161" i="10"/>
  <c r="I162" i="10" s="1"/>
  <c r="I145" i="10"/>
  <c r="AC60" i="16"/>
  <c r="AA44" i="16"/>
  <c r="AC44" i="16" s="1"/>
  <c r="W29" i="7"/>
  <c r="U28" i="7"/>
  <c r="U42" i="7" s="1"/>
  <c r="W29" i="16"/>
  <c r="U28" i="16"/>
  <c r="U42" i="16" s="1"/>
  <c r="AM60" i="7"/>
  <c r="C44" i="7"/>
  <c r="AG161" i="14"/>
  <c r="AG162" i="14" s="1"/>
  <c r="AG145" i="14"/>
  <c r="T62" i="1"/>
  <c r="U53" i="1" s="1"/>
  <c r="U52" i="1"/>
  <c r="AF83" i="8"/>
  <c r="AD164" i="8"/>
  <c r="AD166" i="8" s="1"/>
  <c r="X144" i="7"/>
  <c r="P52" i="1"/>
  <c r="AM28" i="9"/>
  <c r="AO72" i="7"/>
  <c r="AN72" i="7"/>
  <c r="AA145" i="10"/>
  <c r="AA161" i="10"/>
  <c r="AA162" i="10" s="1"/>
  <c r="X145" i="10"/>
  <c r="X161" i="10"/>
  <c r="X162" i="10" s="1"/>
  <c r="C144" i="5"/>
  <c r="AM140" i="5"/>
  <c r="AM144" i="5" s="1"/>
  <c r="F52" i="1"/>
  <c r="I144" i="7"/>
  <c r="F161" i="8"/>
  <c r="F162" i="8" s="1"/>
  <c r="F145" i="8"/>
  <c r="AM29" i="7"/>
  <c r="AO29" i="7" s="1"/>
  <c r="AD144" i="8"/>
  <c r="AF60" i="16"/>
  <c r="AD44" i="16"/>
  <c r="AF44" i="16" s="1"/>
  <c r="Z84" i="16"/>
  <c r="X83" i="16"/>
  <c r="Z83" i="16" s="1"/>
  <c r="L144" i="15"/>
  <c r="H60" i="1"/>
  <c r="AG144" i="8"/>
  <c r="V53" i="1"/>
  <c r="AM85" i="7"/>
  <c r="AO85" i="7" s="1"/>
  <c r="AA145" i="8"/>
  <c r="R145" i="8"/>
  <c r="F84" i="16"/>
  <c r="H85" i="16"/>
  <c r="F181" i="16"/>
  <c r="T60" i="16"/>
  <c r="R44" i="16"/>
  <c r="T44" i="16" s="1"/>
  <c r="AM60" i="9"/>
  <c r="C44" i="9"/>
  <c r="C144" i="9" s="1"/>
  <c r="AM29" i="16"/>
  <c r="AO29" i="16" s="1"/>
  <c r="E29" i="16"/>
  <c r="C28" i="16"/>
  <c r="Z44" i="7"/>
  <c r="X164" i="7"/>
  <c r="X166" i="7" s="1"/>
  <c r="X28" i="15"/>
  <c r="Z29" i="15"/>
  <c r="AG28" i="7"/>
  <c r="AG42" i="7" s="1"/>
  <c r="AI29" i="7"/>
  <c r="I144" i="8"/>
  <c r="F53" i="1"/>
  <c r="U161" i="15"/>
  <c r="U162" i="15" s="1"/>
  <c r="U145" i="15"/>
  <c r="AL60" i="16"/>
  <c r="AJ44" i="16"/>
  <c r="AL44" i="16" s="1"/>
  <c r="O164" i="9"/>
  <c r="O166" i="9" s="1"/>
  <c r="O144" i="9"/>
  <c r="W44" i="6"/>
  <c r="AM44" i="6"/>
  <c r="AO44" i="6" s="1"/>
  <c r="AJ144" i="7"/>
  <c r="X52" i="1"/>
  <c r="AM60" i="12"/>
  <c r="C44" i="12"/>
  <c r="AA28" i="7"/>
  <c r="AA42" i="7" s="1"/>
  <c r="AC29" i="7"/>
  <c r="R144" i="15"/>
  <c r="L60" i="1"/>
  <c r="AO59" i="16"/>
  <c r="AO150" i="16"/>
  <c r="AO76" i="16"/>
  <c r="AO86" i="16"/>
  <c r="AO87" i="16"/>
  <c r="AO79" i="16"/>
  <c r="AO80" i="16"/>
  <c r="AO92" i="16"/>
  <c r="AO120" i="16"/>
  <c r="AO123" i="16"/>
  <c r="AO114" i="16"/>
  <c r="AO75" i="16"/>
  <c r="AO89" i="16"/>
  <c r="AO46" i="16"/>
  <c r="AO77" i="16"/>
  <c r="C84" i="16"/>
  <c r="E85" i="16"/>
  <c r="C181" i="16"/>
  <c r="AO45" i="5"/>
  <c r="AO85" i="5"/>
  <c r="AO122" i="5"/>
  <c r="AO98" i="5"/>
  <c r="AO88" i="5"/>
  <c r="AO108" i="5"/>
  <c r="AO113" i="5"/>
  <c r="AO84" i="5"/>
  <c r="AO78" i="5"/>
  <c r="AO29" i="5"/>
  <c r="AO91" i="5"/>
  <c r="AO95" i="5"/>
  <c r="AO79" i="5"/>
  <c r="AO119" i="5"/>
  <c r="AO126" i="5"/>
  <c r="AO43" i="16"/>
  <c r="AG145" i="15"/>
  <c r="AG161" i="15"/>
  <c r="AG162" i="15" s="1"/>
  <c r="T29" i="16"/>
  <c r="R28" i="16"/>
  <c r="R42" i="16" s="1"/>
  <c r="R144" i="16" s="1"/>
  <c r="I144" i="9"/>
  <c r="F55" i="1"/>
  <c r="AG28" i="16"/>
  <c r="AG42" i="16" s="1"/>
  <c r="AI29" i="16"/>
  <c r="AG164" i="7"/>
  <c r="AG166" i="7" s="1"/>
  <c r="AI44" i="7"/>
  <c r="J62" i="1"/>
  <c r="K53" i="1" s="1"/>
  <c r="AL29" i="16"/>
  <c r="AJ28" i="16"/>
  <c r="AJ42" i="16" s="1"/>
  <c r="AJ144" i="16" s="1"/>
  <c r="AO72" i="12"/>
  <c r="AN72" i="12"/>
  <c r="AA43" i="16"/>
  <c r="AC29" i="16"/>
  <c r="AA28" i="16"/>
  <c r="AA42" i="16" s="1"/>
  <c r="AM29" i="15"/>
  <c r="AO29" i="15" s="1"/>
  <c r="C145" i="9" l="1"/>
  <c r="AM144" i="9"/>
  <c r="AM145" i="9" s="1"/>
  <c r="T37" i="1"/>
  <c r="AD148" i="8" s="1"/>
  <c r="AD147" i="8" s="1"/>
  <c r="AF147" i="8" s="1"/>
  <c r="AD151" i="8"/>
  <c r="AO85" i="16"/>
  <c r="AM181" i="16"/>
  <c r="J37" i="1"/>
  <c r="O148" i="8" s="1"/>
  <c r="O147" i="8" s="1"/>
  <c r="O151" i="8"/>
  <c r="AO157" i="9"/>
  <c r="AO158" i="9"/>
  <c r="AA145" i="15"/>
  <c r="AA161" i="15"/>
  <c r="AA162" i="15" s="1"/>
  <c r="L145" i="9"/>
  <c r="R145" i="7"/>
  <c r="E83" i="12"/>
  <c r="AM83" i="12"/>
  <c r="AO83" i="12" s="1"/>
  <c r="AD161" i="8"/>
  <c r="AD162" i="8" s="1"/>
  <c r="AD145" i="8"/>
  <c r="C164" i="7"/>
  <c r="C166" i="7" s="1"/>
  <c r="AM44" i="7"/>
  <c r="AO44" i="7" s="1"/>
  <c r="E44" i="7"/>
  <c r="K56" i="1"/>
  <c r="J40" i="1" s="1"/>
  <c r="F42" i="6"/>
  <c r="AM28" i="6"/>
  <c r="U145" i="9"/>
  <c r="O161" i="8"/>
  <c r="O162" i="8" s="1"/>
  <c r="O145" i="8"/>
  <c r="AA144" i="7"/>
  <c r="R52" i="1"/>
  <c r="W84" i="16"/>
  <c r="U83" i="16"/>
  <c r="W83" i="16" s="1"/>
  <c r="O145" i="6"/>
  <c r="O161" i="6"/>
  <c r="O162" i="6" s="1"/>
  <c r="E60" i="16"/>
  <c r="AM60" i="16"/>
  <c r="AO60" i="16" s="1"/>
  <c r="C44" i="16"/>
  <c r="C164" i="12"/>
  <c r="C166" i="12" s="1"/>
  <c r="E44" i="12"/>
  <c r="AM44" i="12"/>
  <c r="AO44" i="12" s="1"/>
  <c r="C144" i="12"/>
  <c r="E44" i="9"/>
  <c r="C164" i="9"/>
  <c r="C166" i="9" s="1"/>
  <c r="AM44" i="9"/>
  <c r="AO44" i="9" s="1"/>
  <c r="U144" i="16"/>
  <c r="E83" i="7"/>
  <c r="AD83" i="7"/>
  <c r="AM83" i="7" s="1"/>
  <c r="AO83" i="7" s="1"/>
  <c r="AF84" i="7"/>
  <c r="AI60" i="16"/>
  <c r="AG44" i="16"/>
  <c r="AI44" i="16" s="1"/>
  <c r="AC84" i="16"/>
  <c r="AA83" i="16"/>
  <c r="AC83" i="16" s="1"/>
  <c r="C144" i="8"/>
  <c r="AM42" i="8"/>
  <c r="AO72" i="16"/>
  <c r="AN72" i="16"/>
  <c r="E83" i="11"/>
  <c r="AM83" i="11"/>
  <c r="AO83" i="11" s="1"/>
  <c r="E44" i="11"/>
  <c r="C164" i="11"/>
  <c r="C166" i="11" s="1"/>
  <c r="AM44" i="11"/>
  <c r="AO44" i="11" s="1"/>
  <c r="C144" i="11"/>
  <c r="I145" i="8"/>
  <c r="I145" i="7"/>
  <c r="C164" i="8"/>
  <c r="C166" i="8" s="1"/>
  <c r="AM44" i="8"/>
  <c r="AO44" i="8" s="1"/>
  <c r="X62" i="1"/>
  <c r="Y52" i="1"/>
  <c r="I60" i="1"/>
  <c r="H44" i="1" s="1"/>
  <c r="F62" i="1"/>
  <c r="G60" i="1" s="1"/>
  <c r="F44" i="1" s="1"/>
  <c r="U144" i="7"/>
  <c r="N52" i="1"/>
  <c r="AM28" i="7"/>
  <c r="AO60" i="11"/>
  <c r="AN60" i="11"/>
  <c r="H60" i="16"/>
  <c r="F44" i="16"/>
  <c r="H44" i="16" s="1"/>
  <c r="X28" i="16"/>
  <c r="X42" i="16" s="1"/>
  <c r="X144" i="16" s="1"/>
  <c r="Z29" i="16"/>
  <c r="AG144" i="7"/>
  <c r="V52" i="1"/>
  <c r="X145" i="7"/>
  <c r="H62" i="1"/>
  <c r="I52" i="1" s="1"/>
  <c r="C162" i="6"/>
  <c r="F148" i="16"/>
  <c r="F147" i="7"/>
  <c r="H147" i="7" s="1"/>
  <c r="R161" i="15"/>
  <c r="R162" i="15" s="1"/>
  <c r="R145" i="15"/>
  <c r="E84" i="16"/>
  <c r="C83" i="16"/>
  <c r="AM84" i="16"/>
  <c r="AO84" i="16" s="1"/>
  <c r="C89" i="2"/>
  <c r="C156" i="5"/>
  <c r="L145" i="7"/>
  <c r="H147" i="13"/>
  <c r="F161" i="13"/>
  <c r="F162" i="13" s="1"/>
  <c r="AG145" i="10"/>
  <c r="AG161" i="10"/>
  <c r="AG162" i="10" s="1"/>
  <c r="AJ145" i="7"/>
  <c r="L161" i="15"/>
  <c r="L162" i="15" s="1"/>
  <c r="L145" i="15"/>
  <c r="C151" i="16"/>
  <c r="AJ145" i="16"/>
  <c r="X42" i="15"/>
  <c r="AM28" i="15"/>
  <c r="U60" i="1"/>
  <c r="T44" i="1" s="1"/>
  <c r="H83" i="7"/>
  <c r="F144" i="7"/>
  <c r="R145" i="16"/>
  <c r="O145" i="9"/>
  <c r="H84" i="16"/>
  <c r="F83" i="16"/>
  <c r="H83" i="16" s="1"/>
  <c r="T36" i="1"/>
  <c r="U62" i="1"/>
  <c r="AD151" i="7"/>
  <c r="T39" i="1"/>
  <c r="AD148" i="9" s="1"/>
  <c r="AD147" i="9" s="1"/>
  <c r="AD151" i="9"/>
  <c r="C145" i="15"/>
  <c r="C161" i="15"/>
  <c r="AD161" i="15"/>
  <c r="AD162" i="15" s="1"/>
  <c r="AD145" i="15"/>
  <c r="AG145" i="8"/>
  <c r="C144" i="7"/>
  <c r="AM42" i="7"/>
  <c r="Z60" i="16"/>
  <c r="X44" i="16"/>
  <c r="Z44" i="16" s="1"/>
  <c r="K61" i="1"/>
  <c r="K54" i="1"/>
  <c r="J38" i="1" s="1"/>
  <c r="K58" i="1"/>
  <c r="J42" i="1" s="1"/>
  <c r="K57" i="1"/>
  <c r="J41" i="1" s="1"/>
  <c r="K60" i="1"/>
  <c r="J44" i="1" s="1"/>
  <c r="K59" i="1"/>
  <c r="J43" i="1" s="1"/>
  <c r="K55" i="1"/>
  <c r="U58" i="1"/>
  <c r="T42" i="1" s="1"/>
  <c r="U54" i="1"/>
  <c r="T38" i="1" s="1"/>
  <c r="U59" i="1"/>
  <c r="T43" i="1" s="1"/>
  <c r="U57" i="1"/>
  <c r="T41" i="1" s="1"/>
  <c r="U56" i="1"/>
  <c r="T40" i="1" s="1"/>
  <c r="U61" i="1"/>
  <c r="O164" i="14"/>
  <c r="O166" i="14" s="1"/>
  <c r="Q44" i="14"/>
  <c r="O144" i="14"/>
  <c r="AM44" i="14"/>
  <c r="AO44" i="14" s="1"/>
  <c r="O161" i="16"/>
  <c r="O168" i="16" s="1"/>
  <c r="O145" i="16"/>
  <c r="AN84" i="8"/>
  <c r="AO84" i="8"/>
  <c r="AD84" i="16"/>
  <c r="AD181" i="16"/>
  <c r="I145" i="9"/>
  <c r="X145" i="8"/>
  <c r="K52" i="1"/>
  <c r="AM28" i="16"/>
  <c r="C42" i="16"/>
  <c r="I145" i="15"/>
  <c r="I161" i="15"/>
  <c r="I162" i="15" s="1"/>
  <c r="F161" i="12"/>
  <c r="F162" i="12" s="1"/>
  <c r="F145" i="12"/>
  <c r="I55" i="1"/>
  <c r="AM83" i="8"/>
  <c r="AO83" i="8" s="1"/>
  <c r="E83" i="8"/>
  <c r="L62" i="1"/>
  <c r="M60" i="1" s="1"/>
  <c r="L44" i="1" s="1"/>
  <c r="AM28" i="10"/>
  <c r="C42" i="10"/>
  <c r="AC83" i="7"/>
  <c r="AA164" i="7"/>
  <c r="AA166" i="7" s="1"/>
  <c r="L151" i="7" l="1"/>
  <c r="H36" i="1"/>
  <c r="G53" i="1"/>
  <c r="R62" i="1"/>
  <c r="S52" i="1"/>
  <c r="F144" i="16"/>
  <c r="J39" i="1"/>
  <c r="O148" i="9" s="1"/>
  <c r="O151" i="9"/>
  <c r="V62" i="1"/>
  <c r="AG145" i="7"/>
  <c r="C145" i="12"/>
  <c r="AM144" i="12"/>
  <c r="AM145" i="12" s="1"/>
  <c r="G52" i="1"/>
  <c r="X36" i="1"/>
  <c r="Y62" i="1"/>
  <c r="AJ151" i="7"/>
  <c r="Y58" i="1"/>
  <c r="X42" i="1" s="1"/>
  <c r="Y54" i="1"/>
  <c r="X38" i="1" s="1"/>
  <c r="Y59" i="1"/>
  <c r="X43" i="1" s="1"/>
  <c r="Y56" i="1"/>
  <c r="X40" i="1" s="1"/>
  <c r="Y61" i="1"/>
  <c r="Y57" i="1"/>
  <c r="X41" i="1" s="1"/>
  <c r="Y55" i="1"/>
  <c r="Y53" i="1"/>
  <c r="Y60" i="1"/>
  <c r="X44" i="1" s="1"/>
  <c r="AM144" i="11"/>
  <c r="AM145" i="11" s="1"/>
  <c r="C145" i="11"/>
  <c r="AA145" i="7"/>
  <c r="X145" i="16"/>
  <c r="H148" i="16"/>
  <c r="F147" i="16"/>
  <c r="H147" i="16" s="1"/>
  <c r="F180" i="16"/>
  <c r="F145" i="7"/>
  <c r="F161" i="7"/>
  <c r="M54" i="1"/>
  <c r="L38" i="1" s="1"/>
  <c r="M59" i="1"/>
  <c r="L43" i="1" s="1"/>
  <c r="M58" i="1"/>
  <c r="L42" i="1" s="1"/>
  <c r="M57" i="1"/>
  <c r="L41" i="1" s="1"/>
  <c r="M61" i="1"/>
  <c r="M56" i="1"/>
  <c r="L40" i="1" s="1"/>
  <c r="M55" i="1"/>
  <c r="M53" i="1"/>
  <c r="K62" i="1"/>
  <c r="J36" i="1"/>
  <c r="O151" i="7"/>
  <c r="C162" i="15"/>
  <c r="AF83" i="7"/>
  <c r="AD164" i="7"/>
  <c r="AD166" i="7" s="1"/>
  <c r="AD144" i="7"/>
  <c r="AM144" i="7" s="1"/>
  <c r="AM145" i="7" s="1"/>
  <c r="O89" i="2"/>
  <c r="O96" i="2" s="1"/>
  <c r="C96" i="2"/>
  <c r="U145" i="16"/>
  <c r="F144" i="6"/>
  <c r="AM42" i="6"/>
  <c r="C145" i="7"/>
  <c r="C144" i="16"/>
  <c r="AM42" i="16"/>
  <c r="M52" i="1"/>
  <c r="O161" i="14"/>
  <c r="O145" i="14"/>
  <c r="AM144" i="14"/>
  <c r="AM145" i="14" s="1"/>
  <c r="E44" i="16"/>
  <c r="AM44" i="16"/>
  <c r="AO44" i="16" s="1"/>
  <c r="AF147" i="9"/>
  <c r="AD161" i="9"/>
  <c r="AD162" i="9" s="1"/>
  <c r="AO160" i="8"/>
  <c r="AO158" i="8"/>
  <c r="AO156" i="8"/>
  <c r="E83" i="16"/>
  <c r="AM83" i="16"/>
  <c r="AO83" i="16" s="1"/>
  <c r="O52" i="1"/>
  <c r="N62" i="1"/>
  <c r="C145" i="8"/>
  <c r="AM144" i="8"/>
  <c r="AM145" i="8" s="1"/>
  <c r="T46" i="1"/>
  <c r="AD148" i="7"/>
  <c r="AM42" i="10"/>
  <c r="C144" i="10"/>
  <c r="X144" i="15"/>
  <c r="P60" i="1"/>
  <c r="AM42" i="15"/>
  <c r="O169" i="16"/>
  <c r="O179" i="16"/>
  <c r="G58" i="1"/>
  <c r="F42" i="1" s="1"/>
  <c r="G54" i="1"/>
  <c r="F38" i="1" s="1"/>
  <c r="G57" i="1"/>
  <c r="F41" i="1" s="1"/>
  <c r="G56" i="1"/>
  <c r="F40" i="1" s="1"/>
  <c r="G59" i="1"/>
  <c r="F43" i="1" s="1"/>
  <c r="G61" i="1"/>
  <c r="C184" i="16"/>
  <c r="L151" i="9"/>
  <c r="H39" i="1"/>
  <c r="L148" i="9" s="1"/>
  <c r="L147" i="9" s="1"/>
  <c r="I54" i="1"/>
  <c r="H38" i="1" s="1"/>
  <c r="I58" i="1"/>
  <c r="H42" i="1" s="1"/>
  <c r="I61" i="1"/>
  <c r="I57" i="1"/>
  <c r="H41" i="1" s="1"/>
  <c r="I59" i="1"/>
  <c r="H43" i="1" s="1"/>
  <c r="I56" i="1"/>
  <c r="H40" i="1" s="1"/>
  <c r="I53" i="1"/>
  <c r="AF84" i="16"/>
  <c r="AD83" i="16"/>
  <c r="AD151" i="16"/>
  <c r="AD184" i="16" s="1"/>
  <c r="G55" i="1"/>
  <c r="AG144" i="16"/>
  <c r="U145" i="7"/>
  <c r="AA144" i="16"/>
  <c r="L39" i="1" l="1"/>
  <c r="R148" i="9" s="1"/>
  <c r="R147" i="9" s="1"/>
  <c r="R151" i="9"/>
  <c r="C148" i="13"/>
  <c r="C148" i="11"/>
  <c r="C148" i="9"/>
  <c r="C148" i="12"/>
  <c r="C148" i="8"/>
  <c r="C148" i="7"/>
  <c r="W54" i="1"/>
  <c r="V38" i="1" s="1"/>
  <c r="W56" i="1"/>
  <c r="V40" i="1" s="1"/>
  <c r="W57" i="1"/>
  <c r="V41" i="1" s="1"/>
  <c r="W58" i="1"/>
  <c r="V42" i="1" s="1"/>
  <c r="W59" i="1"/>
  <c r="V43" i="1" s="1"/>
  <c r="W60" i="1"/>
  <c r="V44" i="1" s="1"/>
  <c r="W55" i="1"/>
  <c r="W53" i="1"/>
  <c r="W61" i="1"/>
  <c r="N36" i="1"/>
  <c r="O62" i="1"/>
  <c r="U151" i="7"/>
  <c r="AG145" i="16"/>
  <c r="F145" i="16"/>
  <c r="F161" i="16"/>
  <c r="F168" i="16" s="1"/>
  <c r="F169" i="16" s="1"/>
  <c r="O54" i="1"/>
  <c r="N38" i="1" s="1"/>
  <c r="O58" i="1"/>
  <c r="N42" i="1" s="1"/>
  <c r="O59" i="1"/>
  <c r="N43" i="1" s="1"/>
  <c r="O57" i="1"/>
  <c r="N41" i="1" s="1"/>
  <c r="O53" i="1"/>
  <c r="O61" i="1"/>
  <c r="O56" i="1"/>
  <c r="N40" i="1" s="1"/>
  <c r="O60" i="1"/>
  <c r="N44" i="1" s="1"/>
  <c r="O55" i="1"/>
  <c r="AO157" i="15"/>
  <c r="AO159" i="15"/>
  <c r="AO158" i="15"/>
  <c r="AM144" i="16"/>
  <c r="AM145" i="16" s="1"/>
  <c r="X161" i="15"/>
  <c r="X145" i="15"/>
  <c r="AM144" i="15"/>
  <c r="AM145" i="15" s="1"/>
  <c r="AO158" i="10"/>
  <c r="AO160" i="10"/>
  <c r="AO157" i="10"/>
  <c r="AO159" i="10"/>
  <c r="F173" i="16"/>
  <c r="F174" i="16" s="1"/>
  <c r="F178" i="16"/>
  <c r="F179" i="16" s="1"/>
  <c r="F162" i="7"/>
  <c r="F36" i="1"/>
  <c r="G62" i="1"/>
  <c r="I151" i="7"/>
  <c r="S54" i="1"/>
  <c r="R38" i="1" s="1"/>
  <c r="S59" i="1"/>
  <c r="R43" i="1" s="1"/>
  <c r="S56" i="1"/>
  <c r="R40" i="1" s="1"/>
  <c r="S58" i="1"/>
  <c r="R42" i="1" s="1"/>
  <c r="S55" i="1"/>
  <c r="S57" i="1"/>
  <c r="R41" i="1" s="1"/>
  <c r="S61" i="1"/>
  <c r="S53" i="1"/>
  <c r="S60" i="1"/>
  <c r="R44" i="1" s="1"/>
  <c r="N147" i="9"/>
  <c r="L161" i="9"/>
  <c r="L162" i="9" s="1"/>
  <c r="L36" i="1"/>
  <c r="M62" i="1"/>
  <c r="R151" i="7"/>
  <c r="R151" i="16" s="1"/>
  <c r="P62" i="1"/>
  <c r="Q60" i="1" s="1"/>
  <c r="P44" i="1" s="1"/>
  <c r="C161" i="10"/>
  <c r="C145" i="10"/>
  <c r="AM144" i="10"/>
  <c r="AM145" i="10" s="1"/>
  <c r="X46" i="1"/>
  <c r="AJ148" i="7"/>
  <c r="S62" i="1"/>
  <c r="R36" i="1"/>
  <c r="AA151" i="7"/>
  <c r="L151" i="8"/>
  <c r="H37" i="1"/>
  <c r="L148" i="8" s="1"/>
  <c r="L147" i="8" s="1"/>
  <c r="AD148" i="16"/>
  <c r="AD147" i="7"/>
  <c r="AF147" i="7" s="1"/>
  <c r="X37" i="1"/>
  <c r="AJ148" i="8" s="1"/>
  <c r="AJ147" i="8" s="1"/>
  <c r="AJ161" i="8" s="1"/>
  <c r="AJ162" i="8" s="1"/>
  <c r="AJ151" i="8"/>
  <c r="AJ151" i="16" s="1"/>
  <c r="AJ184" i="16" s="1"/>
  <c r="F37" i="1"/>
  <c r="I148" i="8" s="1"/>
  <c r="I147" i="8" s="1"/>
  <c r="I151" i="8"/>
  <c r="AD145" i="7"/>
  <c r="X39" i="1"/>
  <c r="AJ148" i="9" s="1"/>
  <c r="AJ147" i="9" s="1"/>
  <c r="AJ161" i="9" s="1"/>
  <c r="AJ162" i="9" s="1"/>
  <c r="AJ151" i="9"/>
  <c r="L148" i="7"/>
  <c r="L147" i="7" s="1"/>
  <c r="H46" i="1"/>
  <c r="O162" i="14"/>
  <c r="AM161" i="14"/>
  <c r="AM162" i="14" s="1"/>
  <c r="AA145" i="16"/>
  <c r="W52" i="1"/>
  <c r="F39" i="1"/>
  <c r="I148" i="9" s="1"/>
  <c r="I147" i="9" s="1"/>
  <c r="I151" i="9"/>
  <c r="O147" i="9"/>
  <c r="C145" i="16"/>
  <c r="AF83" i="16"/>
  <c r="AD144" i="16"/>
  <c r="J46" i="1"/>
  <c r="O148" i="7"/>
  <c r="O147" i="7" s="1"/>
  <c r="O161" i="7" s="1"/>
  <c r="O162" i="7" s="1"/>
  <c r="F145" i="6"/>
  <c r="F161" i="6"/>
  <c r="AM144" i="6"/>
  <c r="AM145" i="6" s="1"/>
  <c r="I62" i="1"/>
  <c r="L37" i="1"/>
  <c r="R148" i="8" s="1"/>
  <c r="R147" i="8" s="1"/>
  <c r="R161" i="8" s="1"/>
  <c r="R162" i="8" s="1"/>
  <c r="R151" i="8"/>
  <c r="N39" i="1" l="1"/>
  <c r="U148" i="9" s="1"/>
  <c r="U147" i="9" s="1"/>
  <c r="U151" i="9"/>
  <c r="C148" i="16"/>
  <c r="C147" i="7"/>
  <c r="C162" i="10"/>
  <c r="AM161" i="10"/>
  <c r="AM162" i="10" s="1"/>
  <c r="C147" i="8"/>
  <c r="AG151" i="7"/>
  <c r="AG151" i="16" s="1"/>
  <c r="AG184" i="16" s="1"/>
  <c r="W62" i="1"/>
  <c r="V36" i="1"/>
  <c r="AD145" i="16"/>
  <c r="AM148" i="12"/>
  <c r="AO148" i="12" s="1"/>
  <c r="C147" i="12"/>
  <c r="N147" i="7"/>
  <c r="L161" i="7"/>
  <c r="L162" i="7" s="1"/>
  <c r="E148" i="9"/>
  <c r="C147" i="9"/>
  <c r="N147" i="8"/>
  <c r="L161" i="8"/>
  <c r="L162" i="8" s="1"/>
  <c r="R184" i="16"/>
  <c r="V37" i="1"/>
  <c r="AG148" i="8" s="1"/>
  <c r="AG147" i="8" s="1"/>
  <c r="AG151" i="8"/>
  <c r="C147" i="11"/>
  <c r="AM148" i="11"/>
  <c r="R46" i="1"/>
  <c r="AA148" i="7"/>
  <c r="L46" i="1"/>
  <c r="R148" i="7"/>
  <c r="V39" i="1"/>
  <c r="AG148" i="9" s="1"/>
  <c r="AG147" i="9" s="1"/>
  <c r="AG161" i="9" s="1"/>
  <c r="AG162" i="9" s="1"/>
  <c r="AG151" i="9"/>
  <c r="AM148" i="13"/>
  <c r="AO148" i="13" s="1"/>
  <c r="C147" i="13"/>
  <c r="Q54" i="1"/>
  <c r="P38" i="1" s="1"/>
  <c r="Q56" i="1"/>
  <c r="P40" i="1" s="1"/>
  <c r="Q58" i="1"/>
  <c r="P42" i="1" s="1"/>
  <c r="Q57" i="1"/>
  <c r="P41" i="1" s="1"/>
  <c r="Q59" i="1"/>
  <c r="P43" i="1" s="1"/>
  <c r="Q55" i="1"/>
  <c r="Q61" i="1"/>
  <c r="Q53" i="1"/>
  <c r="Q52" i="1"/>
  <c r="N46" i="1"/>
  <c r="U148" i="7"/>
  <c r="N37" i="1"/>
  <c r="U148" i="8" s="1"/>
  <c r="U147" i="8" s="1"/>
  <c r="U161" i="8" s="1"/>
  <c r="U162" i="8" s="1"/>
  <c r="U151" i="8"/>
  <c r="U151" i="16" s="1"/>
  <c r="Q147" i="9"/>
  <c r="O161" i="9"/>
  <c r="O162" i="9" s="1"/>
  <c r="X162" i="15"/>
  <c r="AM161" i="15"/>
  <c r="AM162" i="15" s="1"/>
  <c r="F162" i="6"/>
  <c r="AM161" i="6"/>
  <c r="AM162" i="6" s="1"/>
  <c r="R37" i="1"/>
  <c r="AA148" i="8" s="1"/>
  <c r="AA147" i="8" s="1"/>
  <c r="AA151" i="8"/>
  <c r="AA151" i="16" s="1"/>
  <c r="AA184" i="16" s="1"/>
  <c r="AD147" i="16"/>
  <c r="AF147" i="16" s="1"/>
  <c r="AD180" i="16"/>
  <c r="R39" i="1"/>
  <c r="AA148" i="9" s="1"/>
  <c r="AA147" i="9" s="1"/>
  <c r="AA151" i="9"/>
  <c r="AD161" i="7"/>
  <c r="AJ148" i="16"/>
  <c r="AJ147" i="7"/>
  <c r="AJ161" i="7" s="1"/>
  <c r="K147" i="8"/>
  <c r="I161" i="8"/>
  <c r="I162" i="8" s="1"/>
  <c r="K147" i="9"/>
  <c r="I161" i="9"/>
  <c r="I162" i="9" s="1"/>
  <c r="F46" i="1"/>
  <c r="I148" i="7"/>
  <c r="I147" i="7" s="1"/>
  <c r="T147" i="9"/>
  <c r="R161" i="9"/>
  <c r="R162" i="9" s="1"/>
  <c r="U184" i="16" l="1"/>
  <c r="Q62" i="1"/>
  <c r="P36" i="1"/>
  <c r="X151" i="7"/>
  <c r="AC147" i="8"/>
  <c r="AA161" i="8"/>
  <c r="AA162" i="8" s="1"/>
  <c r="P37" i="1"/>
  <c r="X148" i="8" s="1"/>
  <c r="X151" i="8"/>
  <c r="AM151" i="8" s="1"/>
  <c r="E147" i="9"/>
  <c r="C161" i="9"/>
  <c r="E147" i="8"/>
  <c r="C161" i="8"/>
  <c r="E147" i="7"/>
  <c r="C161" i="7"/>
  <c r="AM147" i="12"/>
  <c r="AO147" i="12" s="1"/>
  <c r="E147" i="12"/>
  <c r="C161" i="12"/>
  <c r="P39" i="1"/>
  <c r="X148" i="9" s="1"/>
  <c r="X151" i="9"/>
  <c r="AM151" i="9" s="1"/>
  <c r="AA148" i="16"/>
  <c r="AA147" i="7"/>
  <c r="K147" i="7"/>
  <c r="I161" i="7"/>
  <c r="I162" i="7" s="1"/>
  <c r="AC147" i="9"/>
  <c r="AA161" i="9"/>
  <c r="AA162" i="9" s="1"/>
  <c r="AI147" i="8"/>
  <c r="AG161" i="8"/>
  <c r="AG162" i="8" s="1"/>
  <c r="E148" i="16"/>
  <c r="C147" i="16"/>
  <c r="C180" i="16"/>
  <c r="AM147" i="11"/>
  <c r="AO147" i="11" s="1"/>
  <c r="E147" i="11"/>
  <c r="C161" i="11"/>
  <c r="AM147" i="13"/>
  <c r="C161" i="13"/>
  <c r="AJ178" i="16"/>
  <c r="AJ173" i="16"/>
  <c r="AJ174" i="16" s="1"/>
  <c r="AJ162" i="7"/>
  <c r="U148" i="16"/>
  <c r="U147" i="7"/>
  <c r="AD161" i="16"/>
  <c r="AD168" i="16" s="1"/>
  <c r="AD169" i="16" s="1"/>
  <c r="R148" i="16"/>
  <c r="R147" i="7"/>
  <c r="AJ147" i="16"/>
  <c r="AJ180" i="16"/>
  <c r="AD173" i="16"/>
  <c r="AD174" i="16" s="1"/>
  <c r="AD178" i="16"/>
  <c r="AD162" i="7"/>
  <c r="V46" i="1"/>
  <c r="AG148" i="7"/>
  <c r="W147" i="9"/>
  <c r="U161" i="9"/>
  <c r="U162" i="9" s="1"/>
  <c r="E147" i="16" l="1"/>
  <c r="C161" i="16"/>
  <c r="W147" i="7"/>
  <c r="U161" i="7"/>
  <c r="C162" i="12"/>
  <c r="AM161" i="12"/>
  <c r="AM162" i="12" s="1"/>
  <c r="T147" i="7"/>
  <c r="R161" i="7"/>
  <c r="X147" i="8"/>
  <c r="AM148" i="8"/>
  <c r="AO148" i="8" s="1"/>
  <c r="C162" i="9"/>
  <c r="R147" i="16"/>
  <c r="R180" i="16"/>
  <c r="X147" i="9"/>
  <c r="AM148" i="9"/>
  <c r="AO148" i="9" s="1"/>
  <c r="U206" i="16"/>
  <c r="U147" i="16"/>
  <c r="U180" i="16"/>
  <c r="AD179" i="16"/>
  <c r="C162" i="13"/>
  <c r="AM161" i="13"/>
  <c r="AM162" i="13" s="1"/>
  <c r="X151" i="16"/>
  <c r="AM151" i="7"/>
  <c r="AG148" i="16"/>
  <c r="AG147" i="7"/>
  <c r="C173" i="16"/>
  <c r="C174" i="16" s="1"/>
  <c r="C178" i="16"/>
  <c r="C162" i="7"/>
  <c r="AO147" i="13"/>
  <c r="AN147" i="13"/>
  <c r="P46" i="1"/>
  <c r="X148" i="7"/>
  <c r="C162" i="8"/>
  <c r="C162" i="11"/>
  <c r="AM161" i="11"/>
  <c r="AL147" i="16"/>
  <c r="AJ161" i="16"/>
  <c r="AJ168" i="16" s="1"/>
  <c r="AJ169" i="16" s="1"/>
  <c r="AC147" i="7"/>
  <c r="AA161" i="7"/>
  <c r="AA147" i="16"/>
  <c r="AA180" i="16"/>
  <c r="AC147" i="16" l="1"/>
  <c r="AA161" i="16"/>
  <c r="AA168" i="16" s="1"/>
  <c r="AA169" i="16" s="1"/>
  <c r="X161" i="8"/>
  <c r="AM147" i="8"/>
  <c r="AO147" i="8" s="1"/>
  <c r="AM162" i="11"/>
  <c r="AM170" i="11"/>
  <c r="AI147" i="7"/>
  <c r="AG161" i="7"/>
  <c r="Z147" i="9"/>
  <c r="X161" i="9"/>
  <c r="AM147" i="9"/>
  <c r="AO147" i="9" s="1"/>
  <c r="C179" i="16"/>
  <c r="AG147" i="16"/>
  <c r="AG180" i="16"/>
  <c r="AJ179" i="16"/>
  <c r="U173" i="16"/>
  <c r="U174" i="16" s="1"/>
  <c r="U178" i="16"/>
  <c r="U162" i="7"/>
  <c r="R173" i="16"/>
  <c r="R174" i="16" s="1"/>
  <c r="R178" i="16"/>
  <c r="R162" i="7"/>
  <c r="AA173" i="16"/>
  <c r="AA174" i="16" s="1"/>
  <c r="AA178" i="16"/>
  <c r="AA179" i="16" s="1"/>
  <c r="AA162" i="7"/>
  <c r="W147" i="16"/>
  <c r="U161" i="16"/>
  <c r="U168" i="16" s="1"/>
  <c r="X184" i="16"/>
  <c r="AM151" i="16"/>
  <c r="AM184" i="16" s="1"/>
  <c r="C168" i="16"/>
  <c r="C169" i="16" s="1"/>
  <c r="X148" i="16"/>
  <c r="X147" i="7"/>
  <c r="AM148" i="7"/>
  <c r="AO148" i="7" s="1"/>
  <c r="T147" i="16"/>
  <c r="R161" i="16"/>
  <c r="R168" i="16" s="1"/>
  <c r="R169" i="16" s="1"/>
  <c r="Z147" i="7" l="1"/>
  <c r="X161" i="7"/>
  <c r="AM147" i="7"/>
  <c r="AO147" i="7" s="1"/>
  <c r="AG178" i="16"/>
  <c r="AG173" i="16"/>
  <c r="AG174" i="16" s="1"/>
  <c r="AG162" i="7"/>
  <c r="U179" i="16"/>
  <c r="X162" i="9"/>
  <c r="AM161" i="9"/>
  <c r="AM162" i="9" s="1"/>
  <c r="R179" i="16"/>
  <c r="X147" i="16"/>
  <c r="X180" i="16"/>
  <c r="AM148" i="16"/>
  <c r="X162" i="8"/>
  <c r="AM161" i="8"/>
  <c r="AM162" i="8" s="1"/>
  <c r="U169" i="16"/>
  <c r="U204" i="16"/>
  <c r="AI147" i="16"/>
  <c r="AG161" i="16"/>
  <c r="AG168" i="16" s="1"/>
  <c r="AG169" i="16" s="1"/>
  <c r="AG179" i="16" l="1"/>
  <c r="Z147" i="16"/>
  <c r="X161" i="16"/>
  <c r="AM147" i="16"/>
  <c r="AO147" i="16" s="1"/>
  <c r="X173" i="16"/>
  <c r="X174" i="16" s="1"/>
  <c r="X178" i="16"/>
  <c r="X162" i="7"/>
  <c r="AM161" i="7"/>
  <c r="AO148" i="16"/>
  <c r="AM180" i="16"/>
  <c r="AM173" i="16" l="1"/>
  <c r="AM174" i="16" s="1"/>
  <c r="AM178" i="16"/>
  <c r="AM162" i="7"/>
  <c r="X168" i="16"/>
  <c r="X169" i="16" s="1"/>
  <c r="AM161" i="16"/>
  <c r="AO161" i="16" l="1"/>
  <c r="AM168" i="16"/>
  <c r="X179" i="16"/>
  <c r="AM171" i="16" l="1"/>
  <c r="AM169" i="16"/>
  <c r="AM17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0" authorId="1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11" authorId="1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2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5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8" authorId="1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0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0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21" authorId="1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1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23" authorId="1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3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4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4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5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5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5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26" authorId="1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6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6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9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9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9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0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0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0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1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1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1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33" authorId="1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3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34" authorId="1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4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4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5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5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5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6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6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6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8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8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8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9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9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0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0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0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1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1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1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2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2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43" authorId="1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3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4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4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4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45" authorId="1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5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8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8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8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9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9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9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0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0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0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1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1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1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53" authorId="1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3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3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54" authorId="1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4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4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5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5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5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56" authorId="1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6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6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58" authorId="1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8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8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0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0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0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1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1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1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3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3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3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4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4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4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5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5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5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67" authorId="1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8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8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8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9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9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9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0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0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0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1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1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1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2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2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2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3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3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3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4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4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4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5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5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5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6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6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6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78" authorId="1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8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79" authorId="1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9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9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0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0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0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1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1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1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2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2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2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3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3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3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84" authorId="1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4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4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5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5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5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6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6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8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8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8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1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1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2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2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2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3" authorId="1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3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3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4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4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4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5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5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5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9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9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0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0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0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1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1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1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2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2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2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3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3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4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4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6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6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6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7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7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8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8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8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11" authorId="2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1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1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2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2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2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3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3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3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6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6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6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7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7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8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3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4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5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6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2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13" authorId="1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3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4" authorId="1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4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6" authorId="2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6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8" authorId="2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8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0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0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1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1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3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3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4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4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9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5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45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46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8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2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2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3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3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76" authorId="1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6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R76" authorId="1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9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9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5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5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6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9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9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9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0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2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2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2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3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4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6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9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9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9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0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1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2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3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4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5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6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9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9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9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0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1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2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4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4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4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5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2026-03-31</t>
        </r>
      </text>
    </comment>
    <comment ref="L116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010401           PLANEACION
  Celdas:  J28
  Valor:   $5,705,110
------------------------------
Total: $5,705,110
Generado: 2026-03-30</t>
        </r>
      </text>
    </comment>
    <comment ref="O116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010401           PLANEACION
  Celdas:  J28
  Valor:   $20,000,000
------------------------------
Total: $20,000,000
Generado: 2026-03-31</t>
        </r>
      </text>
    </comment>
    <comment ref="I11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18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O118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010411           COMUNICACIONES
  Celdas:  J32
  Valor:   $20,000,000
------------------------------
Total: $20,000,000
Generado: 2026-03-31</t>
        </r>
      </text>
    </comment>
    <comment ref="I120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20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O120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010411           COMUNICACIONES
  Celdas:  J32
  Valor:   $20,000,000
------------------------------
Total: $20,000,000
Generado: 2026-03-31</t>
        </r>
      </text>
    </comment>
    <comment ref="I121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1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3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3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O123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010403           JURIDICA
  Celdas:  J30
  Valor:   $20,000,000
------------------------------
Total: $20,000,000
Generado: 2026-03-31</t>
        </r>
      </text>
    </comment>
    <comment ref="I124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4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O124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010403           JURIDICA
  Celdas:  J30
  Valor:   $20,000,000
------------------------------
Total: $20,000,000
Generado: 2026-03-31</t>
        </r>
      </text>
    </comment>
    <comment ref="I125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5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8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9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0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1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2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3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4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5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6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8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2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6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7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7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8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8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9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9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0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0" authorId="1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5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5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6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6" authorId="1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7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7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7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7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47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8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9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9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2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2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4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4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4" authorId="1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5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5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5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6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6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6" authorId="1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7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7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7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4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4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5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1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6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1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0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0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1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1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6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1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7" authorId="1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1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8" authorId="1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8" authorId="1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0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1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0" authorId="1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1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1" authorId="1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1" authorId="1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1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1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3" authorId="1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1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1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4" authorId="1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1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5" authorId="1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5" authorId="1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1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7" authorId="1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1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8" authorId="1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8" authorId="1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1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1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0" authorId="1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1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1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1" authorId="1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1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1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2" authorId="1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1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1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3" authorId="1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1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1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4" authorId="1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1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1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5" authorId="1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1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1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6" authorId="1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1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1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7" authorId="1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1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8" authorId="1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8" authorId="1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1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1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0" authorId="1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1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1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1" authorId="1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1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1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2" authorId="1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1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3" authorId="1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3" authorId="1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1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1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5" authorId="1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1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6" authorId="1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6" authorId="1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1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1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7" authorId="1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1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8" authorId="1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8" authorId="1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F119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9" authorId="1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9" authorId="1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1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1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1" authorId="1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1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2" authorId="1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2" authorId="1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1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4" authorId="1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4" authorId="1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1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1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5" authorId="1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26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6" authorId="1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6" authorId="1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1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1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8" authorId="1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1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1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9" authorId="1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1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1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0" authorId="1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1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1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1" authorId="1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1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1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2" authorId="1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1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1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3" authorId="1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1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1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4" authorId="1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1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1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5" authorId="1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1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1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6" authorId="1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1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1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7" authorId="1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1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1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8" authorId="1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1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9" authorId="1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9" authorId="1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1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0" authorId="1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0" authorId="1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1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1" authorId="1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1" authorId="1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42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1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2" authorId="1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1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9" authorId="1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9" authorId="1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1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0" authorId="1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0" authorId="1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1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4" authorId="1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4" authorId="1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1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5" authorId="1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5" authorId="1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1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6" authorId="1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6" authorId="1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1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7" authorId="1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7" authorId="1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1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8" authorId="1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8" authorId="1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1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9" authorId="1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9" authorId="1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1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0" authorId="1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60" authorId="1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I5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1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1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1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1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1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" authorId="1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" authorId="1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1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1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1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1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1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1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0" authorId="1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1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1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1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1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AD52" authorId="2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I62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1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1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4" authorId="1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4" authorId="1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6" authorId="1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6" authorId="1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7" authorId="1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7" authorId="1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1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1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1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1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1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1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1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1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1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1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1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1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1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1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1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1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1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1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1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1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1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1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1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1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1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1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1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1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1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1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1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1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1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1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1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1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01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  <comment ref="I101" authorId="1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1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1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1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1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1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1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1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1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1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1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1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1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1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1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1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1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1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1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1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1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1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1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1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1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1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1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1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1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1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1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1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1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1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1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1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1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1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1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1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1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1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1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1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1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1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1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1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1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1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1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1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1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1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1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1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1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1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1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1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1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1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1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1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1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1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1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1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1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1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1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1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1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1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1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1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1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1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1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1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1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1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1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1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1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1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1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1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1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1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I5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" authorId="1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" authorId="1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1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1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1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1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1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0" authorId="1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38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38" authorId="1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7" authorId="1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1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9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9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2" authorId="1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2" authorId="1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3" authorId="1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3" authorId="1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1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010102           GERENCIA
  Celdas:  J20
  Valor:   $23,992,227
------------------------------
Total: $23,992,227
Generado: 2026-03-31</t>
        </r>
      </text>
    </comment>
    <comment ref="O58" authorId="1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010102           GERENCIA
  Celdas:  J20
  Valor:   $20,000,000
------------------------------
Total: $20,000,000
Generado: 2026-03-31</t>
        </r>
      </text>
    </comment>
    <comment ref="I62" authorId="1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1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1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1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6" authorId="1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6" authorId="1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1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1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1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1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1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1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1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1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1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1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1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1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1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1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1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1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1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1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1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1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1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1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1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1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1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1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1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I97" authorId="1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1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1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1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1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1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1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1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1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1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1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1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1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1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1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1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1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1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1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1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1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1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1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1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1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1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1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1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13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  <comment ref="I113" authorId="1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1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1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1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1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1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1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1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1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1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1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1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1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1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1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1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1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1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1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1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1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1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1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1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1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1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1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1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1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1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1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1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1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1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1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1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1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1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1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1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1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1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1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1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1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1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1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1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1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1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1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1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1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1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1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1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1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1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1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1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1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1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1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1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1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1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1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1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E5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8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9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9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9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1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2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2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2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5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6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8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8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8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9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9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9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2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2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2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3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3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3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8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9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2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2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3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5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5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5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6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6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3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3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4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5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6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9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0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1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5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6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8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0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1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3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4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5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8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0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1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2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3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4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5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6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8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0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1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2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3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5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6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8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9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1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2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4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5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6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8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9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0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1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2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3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4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5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6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8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9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0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1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2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8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9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0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1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4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5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7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8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9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0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5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1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47" authorId="1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  <comment ref="I4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3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8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1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I6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1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31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31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32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32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8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1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I15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0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1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3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8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1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2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2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3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3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4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4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5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5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6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6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0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0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1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1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3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3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6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6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8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8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0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0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1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1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2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2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3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3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4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4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ADRIANA</author>
    <author>USER</author>
  </authors>
  <commentList>
    <comment ref="I5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" authorId="1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I16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9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9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2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0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0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2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2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3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9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9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2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2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6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6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9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9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9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9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4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4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0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0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3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3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R135" authorId="2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I136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39" authorId="2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  <comment ref="I139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<sst xmlns="http://schemas.openxmlformats.org/spreadsheetml/2006/main" count="2756" uniqueCount="568">
  <si>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</si>
  <si>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PRESUPUESTO RECREARTE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</si>
  <si>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</si>
  <si>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</si>
  <si>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</si>
  <si>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</si>
  <si>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</si>
  <si>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</si>
  <si>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</si>
  <si>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</si>
  <si>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</si>
  <si>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</si>
  <si>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</si>
  <si>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</si>
  <si>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</si>
  <si>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</si>
  <si>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</si>
  <si>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</si>
  <si>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COMPLEMENTO INDUSTRIALIZADO</t>
  </si>
  <si>
    <t>COMPLEMENTO PREPARADO</t>
  </si>
  <si>
    <t>ALMUERZO JORNADA UNICA</t>
  </si>
  <si>
    <t>NOVEDADES</t>
  </si>
  <si>
    <t>TOTAL RACIONES</t>
  </si>
  <si>
    <t>INGRESOS BRUTOS</t>
  </si>
  <si>
    <t>OPERACIONALES</t>
  </si>
  <si>
    <t>INDUSTRIAS MANUFACTURERAS</t>
  </si>
  <si>
    <t>NO OPERACIONALES</t>
  </si>
  <si>
    <t>FINANCIEROS</t>
  </si>
  <si>
    <t>Intereses</t>
  </si>
  <si>
    <t>Descuentos Comerciales</t>
  </si>
  <si>
    <t>otros</t>
  </si>
  <si>
    <t>DESCUENTOS - GASTO OPERACIONAL</t>
  </si>
  <si>
    <t>OTROS</t>
  </si>
  <si>
    <t>TOTAL INGRESOS NETOS</t>
  </si>
  <si>
    <t>COSTOS DIRECTOS</t>
  </si>
  <si>
    <t>COSTOS INDUSTRIALIZADOS</t>
  </si>
  <si>
    <t>INSUMOS</t>
  </si>
  <si>
    <t>COSTOS PREPARADOS</t>
  </si>
  <si>
    <t>Complemento Preparado</t>
  </si>
  <si>
    <t>AlmuerzoJornada Unica</t>
  </si>
  <si>
    <t>REFRIGERIOS ESPECIALES</t>
  </si>
  <si>
    <t>Transporte Materia Prima - Cavasa</t>
  </si>
  <si>
    <t>Flete Preparados PROPIOS</t>
  </si>
  <si>
    <t>Transporte</t>
  </si>
  <si>
    <t>Material de empaque</t>
  </si>
  <si>
    <t>Menaje</t>
  </si>
  <si>
    <t>Servicio de Gas</t>
  </si>
  <si>
    <t>GASTOS DE PERSONAL</t>
  </si>
  <si>
    <t>Coordinacion</t>
  </si>
  <si>
    <t xml:space="preserve">Profesores </t>
  </si>
  <si>
    <t>Servicios Generales</t>
  </si>
  <si>
    <t>OTROS COSTOS Y GASTOS INDIRECTOS</t>
  </si>
  <si>
    <t>COSTOS DE PERSONAL</t>
  </si>
  <si>
    <t>Costos Indirectos de Personal</t>
  </si>
  <si>
    <t>Dotación y Suministros</t>
  </si>
  <si>
    <t>Gastos Medicos</t>
  </si>
  <si>
    <t>HONORARIOS</t>
  </si>
  <si>
    <t>Asesoría Juridica</t>
  </si>
  <si>
    <t>Capacitacion</t>
  </si>
  <si>
    <t>ARRENDAMIENTOS</t>
  </si>
  <si>
    <t>Construcciones y Edificaciones</t>
  </si>
  <si>
    <t>Maquinaria y Equipo</t>
  </si>
  <si>
    <t>Equipo de Oficina</t>
  </si>
  <si>
    <t>SEGUROS</t>
  </si>
  <si>
    <t xml:space="preserve">73301001            </t>
  </si>
  <si>
    <t xml:space="preserve">Cumplimiento </t>
  </si>
  <si>
    <t xml:space="preserve">73306001            </t>
  </si>
  <si>
    <t>Respomsabilidad Civil Y Extracontractual</t>
  </si>
  <si>
    <t>SERVICIOS</t>
  </si>
  <si>
    <t>Aseo y Vigilancia</t>
  </si>
  <si>
    <t>Temporales</t>
  </si>
  <si>
    <t>Mensajeria</t>
  </si>
  <si>
    <t>Laboratorio</t>
  </si>
  <si>
    <t>Fumigacion</t>
  </si>
  <si>
    <t>Acueducto y Alcantarillado</t>
  </si>
  <si>
    <t>Energia</t>
  </si>
  <si>
    <t xml:space="preserve">73354001            </t>
  </si>
  <si>
    <t>Correo, porte y telegramas</t>
  </si>
  <si>
    <t>GASTOS LEGALES</t>
  </si>
  <si>
    <t xml:space="preserve">73400501            </t>
  </si>
  <si>
    <t>Notariales</t>
  </si>
  <si>
    <t xml:space="preserve">73401001            </t>
  </si>
  <si>
    <t>Registro Mercantil</t>
  </si>
  <si>
    <t xml:space="preserve">73401501            </t>
  </si>
  <si>
    <t>Trámites y Licencias</t>
  </si>
  <si>
    <t xml:space="preserve">73409501            </t>
  </si>
  <si>
    <t xml:space="preserve">Certificados Camara Comercio        </t>
  </si>
  <si>
    <t xml:space="preserve">MANTENIMIENTO Y REPARACIONES  </t>
  </si>
  <si>
    <t xml:space="preserve">73451001            </t>
  </si>
  <si>
    <t xml:space="preserve">Construcciones y Edificaciones          </t>
  </si>
  <si>
    <t xml:space="preserve">73451501            </t>
  </si>
  <si>
    <t xml:space="preserve">Maquinaria y Equipo                     </t>
  </si>
  <si>
    <t xml:space="preserve">73451502            </t>
  </si>
  <si>
    <t>Equipos de Cocina</t>
  </si>
  <si>
    <t xml:space="preserve">73452001            </t>
  </si>
  <si>
    <t xml:space="preserve">Equipo de Oficina                       </t>
  </si>
  <si>
    <t xml:space="preserve">73456001            </t>
  </si>
  <si>
    <t xml:space="preserve">Acueductos, planta y redes              </t>
  </si>
  <si>
    <t>ADECUACIONES E INSTALACIONES</t>
  </si>
  <si>
    <t xml:space="preserve">73500501            </t>
  </si>
  <si>
    <t>Instalaciones Electricas</t>
  </si>
  <si>
    <t xml:space="preserve">73501501            </t>
  </si>
  <si>
    <t>Reparaciones Locativas</t>
  </si>
  <si>
    <t>GASTOS DE VIAJE</t>
  </si>
  <si>
    <t xml:space="preserve">73550501            </t>
  </si>
  <si>
    <t>Alojamiento y Manutención</t>
  </si>
  <si>
    <t xml:space="preserve">73551501            </t>
  </si>
  <si>
    <t>Pasajes Aereos</t>
  </si>
  <si>
    <t xml:space="preserve">73552001            </t>
  </si>
  <si>
    <t>Pasajes Terrestres</t>
  </si>
  <si>
    <t>DIVERSOS</t>
  </si>
  <si>
    <t xml:space="preserve">73951001            </t>
  </si>
  <si>
    <t>Libros, suscripciones, period</t>
  </si>
  <si>
    <t xml:space="preserve">73952001            </t>
  </si>
  <si>
    <t>Gastos de Representacion y relaciones Pub</t>
  </si>
  <si>
    <t xml:space="preserve">73952501            </t>
  </si>
  <si>
    <t>Elementos de Aseo y Cafetería</t>
  </si>
  <si>
    <t xml:space="preserve">73953001            </t>
  </si>
  <si>
    <t>Utiles, papelería y fotocopias</t>
  </si>
  <si>
    <t xml:space="preserve">73953501            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</si>
  <si>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</si>
  <si>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</si>
  <si>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</si>
  <si>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</si>
  <si>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</si>
  <si>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73956501            </t>
  </si>
  <si>
    <t xml:space="preserve">Parqueaderos                       </t>
  </si>
  <si>
    <t xml:space="preserve">73956601            </t>
  </si>
  <si>
    <t>Compra equipos de Computo</t>
  </si>
  <si>
    <t xml:space="preserve">73959504            </t>
  </si>
  <si>
    <t>Compra Equipos de Oficina</t>
  </si>
  <si>
    <t>Compra Instrumentos</t>
  </si>
  <si>
    <t>Herramienrtas y Articulos de ferreteria</t>
  </si>
  <si>
    <t xml:space="preserve">73959505            </t>
  </si>
  <si>
    <t>Reuniones fiesta y detalles</t>
  </si>
  <si>
    <t>TOTAL GASTOS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</si>
  <si>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</si>
  <si>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</si>
  <si>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</si>
  <si>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</si>
  <si>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</si>
  <si>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</si>
  <si>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</si>
  <si>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</si>
  <si>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</si>
  <si>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</si>
  <si>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</si>
  <si>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</si>
  <si>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</si>
  <si>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</si>
  <si>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</si>
  <si>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</si>
  <si>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</si>
  <si>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</si>
  <si>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</si>
  <si>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</si>
  <si>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</si>
  <si>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</si>
  <si>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</si>
  <si>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 xml:space="preserve">51058401            </t>
  </si>
  <si>
    <t xml:space="preserve">53954002            </t>
  </si>
  <si>
    <t>Incapacidades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</si>
  <si>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</si>
  <si>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</si>
  <si>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</si>
  <si>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</si>
  <si>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</si>
  <si>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</si>
  <si>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</si>
  <si>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</si>
  <si>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</si>
  <si>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</si>
  <si>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</si>
  <si>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</si>
  <si>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</si>
  <si>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</si>
  <si>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</si>
  <si>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</si>
  <si>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</si>
  <si>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</si>
  <si>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</si>
  <si>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</si>
  <si>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</si>
  <si>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</si>
  <si>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</si>
  <si>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</si>
  <si>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</si>
  <si>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</si>
  <si>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</si>
  <si>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</si>
  <si>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</si>
  <si>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</si>
  <si>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</si>
  <si>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</si>
  <si>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</si>
  <si>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</si>
  <si>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</si>
  <si>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</si>
  <si>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</si>
  <si>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</si>
  <si>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</si>
  <si>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</si>
  <si>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</si>
  <si>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</si>
  <si>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</si>
  <si>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</si>
  <si>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</si>
  <si>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</si>
  <si>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</si>
  <si>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>Planta Plan Basico de Saneamiento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</si>
  <si>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</si>
  <si>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</si>
  <si>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</si>
  <si>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</si>
  <si>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</si>
  <si>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</si>
  <si>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</si>
  <si>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</si>
  <si>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</si>
  <si>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</si>
  <si>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</si>
  <si>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</si>
  <si>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</si>
  <si>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</si>
  <si>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</si>
  <si>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</si>
  <si>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</si>
  <si>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</si>
  <si>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</si>
  <si>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</si>
  <si>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</si>
  <si>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</si>
  <si>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</si>
  <si>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</si>
  <si>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</si>
  <si>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</si>
  <si>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>Peajes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</si>
  <si>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</si>
  <si>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</si>
  <si>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</si>
  <si>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</si>
  <si>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</si>
  <si>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>Herramientas y articulos ferreteria</t>
  </si>
  <si>
    <t xml:space="preserve">51959512            </t>
  </si>
  <si>
    <t>Reuniones Fiestas y Detalles</t>
  </si>
  <si>
    <t xml:space="preserve">51959514            </t>
  </si>
  <si>
    <t>Equipos de Bodega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</si>
  <si>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</si>
  <si>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</si>
  <si>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</si>
  <si>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</si>
  <si>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</si>
  <si>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</si>
  <si>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</si>
  <si>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</si>
  <si>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</si>
  <si>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</si>
  <si>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</si>
  <si>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</si>
  <si>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</si>
  <si>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</si>
  <si>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</si>
  <si>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</si>
  <si>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</si>
  <si>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</si>
  <si>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</si>
  <si>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</si>
  <si>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</si>
  <si>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</si>
  <si>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</si>
  <si>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</si>
  <si>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</si>
  <si>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</si>
  <si>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</si>
  <si>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</si>
  <si>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</si>
  <si>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</si>
  <si>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</si>
  <si>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</si>
  <si>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</si>
  <si>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</si>
  <si>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</si>
  <si>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</si>
  <si>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</si>
  <si>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</si>
  <si>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</si>
  <si>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</si>
  <si>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</si>
  <si>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</si>
  <si>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</si>
  <si>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</si>
  <si>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</si>
  <si>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</si>
  <si>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</si>
  <si>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</si>
  <si>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</si>
  <si>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</si>
  <si>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</si>
  <si>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 xml:space="preserve">72055101            </t>
  </si>
  <si>
    <t xml:space="preserve">72058401            </t>
  </si>
  <si>
    <t>CUOTA DE APOYO Y SOSTENIMIENTO</t>
  </si>
  <si>
    <t xml:space="preserve">71101001  - 73952501 </t>
  </si>
  <si>
    <t>Aseo</t>
  </si>
  <si>
    <t>Averias</t>
  </si>
  <si>
    <t xml:space="preserve">51959509  -  71102001  </t>
  </si>
  <si>
    <t>Bioseguridad + EPP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</si>
  <si>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</si>
  <si>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</si>
  <si>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</si>
  <si>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</si>
  <si>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</si>
  <si>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</si>
  <si>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</si>
  <si>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</si>
  <si>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</si>
  <si>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</si>
  <si>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</si>
  <si>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</si>
  <si>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</si>
  <si>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</si>
  <si>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</si>
  <si>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</si>
  <si>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</si>
  <si>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</si>
  <si>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</si>
  <si>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</si>
  <si>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</si>
  <si>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</si>
  <si>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</si>
  <si>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</si>
  <si>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</si>
  <si>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</si>
  <si>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</si>
  <si>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</si>
  <si>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</si>
  <si>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</si>
  <si>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</si>
  <si>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</si>
  <si>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</si>
  <si>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</si>
  <si>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</si>
  <si>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</si>
  <si>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</si>
  <si>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</si>
  <si>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COSTOS DE PRODUCCION</t>
  </si>
  <si>
    <t>Flete Industrializados PROPIOS</t>
  </si>
  <si>
    <t>Flete Industrializados TERCEROS</t>
  </si>
  <si>
    <t>COSTOS ALMUERZO</t>
  </si>
  <si>
    <t>Desayuno y Almuerzo</t>
  </si>
  <si>
    <t>7105</t>
  </si>
  <si>
    <t>Flete Preparados TERCEROS</t>
  </si>
  <si>
    <t xml:space="preserve">73355501            </t>
  </si>
  <si>
    <t>MANO DE OBRA DIRECTA</t>
  </si>
  <si>
    <t>Manipuladoras</t>
  </si>
  <si>
    <t>Asesoría Tecnica</t>
  </si>
  <si>
    <t>Telefono e Internet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</si>
  <si>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</si>
  <si>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</si>
  <si>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</si>
  <si>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</si>
  <si>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</si>
  <si>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</si>
  <si>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</si>
  <si>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</si>
  <si>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</si>
  <si>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</si>
  <si>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</si>
  <si>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</si>
  <si>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</si>
  <si>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otros Fin</t>
  </si>
  <si>
    <t>ICA (0.77%)</t>
  </si>
  <si>
    <t>INSUMOS CI</t>
  </si>
  <si>
    <t>COMPLEMENTO INDUSTRIALIZADO (Ins)</t>
  </si>
  <si>
    <t>REFRIGERIOS</t>
  </si>
  <si>
    <t>PAQUETES MANIPULADORAS</t>
  </si>
  <si>
    <t>FLETES CI</t>
  </si>
  <si>
    <t>INDUSTRIALIZADOS PROPIOS</t>
  </si>
  <si>
    <t>INDUSTRIALIZADOS TERCEROS</t>
  </si>
  <si>
    <t>INSUMOS CP</t>
  </si>
  <si>
    <t>COMPLEMENTO PREPARADO (Ins)</t>
  </si>
  <si>
    <t>ALMUERZO JORNADA UNICA (Ins)</t>
  </si>
  <si>
    <t>RACION MANIPULADORAS</t>
  </si>
  <si>
    <t>MENU ESPECIAL</t>
  </si>
  <si>
    <t>FLETES CP</t>
  </si>
  <si>
    <t>PREPARADOS PROPIOS</t>
  </si>
  <si>
    <t>PREPARADOS TERCEROS</t>
  </si>
  <si>
    <t>Personal Supervisor - Coordinadores</t>
  </si>
  <si>
    <t>Temporales MOD</t>
  </si>
  <si>
    <t>Responsabilidad Civil Y Extracontractual</t>
  </si>
  <si>
    <t>Temporales Serv</t>
  </si>
  <si>
    <t>Elementos de Proteccion Personal</t>
  </si>
  <si>
    <t>Habitos de Vida Saludable</t>
  </si>
  <si>
    <t xml:space="preserve">Otros  </t>
  </si>
  <si>
    <t>UTILIDAD BRUTA</t>
  </si>
  <si>
    <t>GASTOS ADMINISTRATIVOS Y NO OPERACIONALES</t>
  </si>
  <si>
    <t>Gastos Fijos Administracion</t>
  </si>
  <si>
    <t>Gastos Fijos Directivos</t>
  </si>
  <si>
    <t>Gastos Financieros</t>
  </si>
  <si>
    <t>TOTAL AJUSTES</t>
  </si>
  <si>
    <t>Novedades</t>
  </si>
  <si>
    <t>Donacion 1</t>
  </si>
  <si>
    <t>Donacion 2</t>
  </si>
  <si>
    <t>Otros Ajustes 1</t>
  </si>
  <si>
    <t>Otros Ajustes 2</t>
  </si>
  <si>
    <t>Otros Ajustes 3</t>
  </si>
  <si>
    <t>Otros Ajustes 4</t>
  </si>
  <si>
    <t>UTILIDAD NETA</t>
  </si>
  <si>
    <t>PYG CALI 2026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</si>
  <si>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</si>
  <si>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</si>
  <si>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</si>
  <si>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</si>
  <si>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</si>
  <si>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</si>
  <si>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</si>
  <si>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</si>
  <si>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</si>
  <si>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</si>
  <si>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</si>
  <si>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</si>
  <si>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</si>
  <si>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</si>
  <si>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</si>
  <si>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 xml:space="preserve">7105             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</si>
  <si>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</si>
  <si>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</si>
  <si>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</si>
  <si>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</si>
  <si>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MEJORAMIENTO DE MENU</t>
  </si>
  <si>
    <t xml:space="preserve">73355001            </t>
  </si>
  <si>
    <t xml:space="preserve">71100501            </t>
  </si>
  <si>
    <t xml:space="preserve">71101501            </t>
  </si>
  <si>
    <t>Asesoría Tecnica/ Capacitaciones</t>
  </si>
  <si>
    <t xml:space="preserve">73351502            </t>
  </si>
  <si>
    <t xml:space="preserve">73351503            </t>
  </si>
  <si>
    <t>73352501</t>
  </si>
  <si>
    <t>Plan Basico de Saneamiento</t>
  </si>
  <si>
    <t xml:space="preserve">73959508            </t>
  </si>
  <si>
    <t xml:space="preserve">73959512            </t>
  </si>
  <si>
    <t xml:space="preserve">71101001            </t>
  </si>
  <si>
    <t>Gastos financieros</t>
  </si>
  <si>
    <t>Costo de Facturas</t>
  </si>
  <si>
    <t>Gastos No Operacionales</t>
  </si>
  <si>
    <t xml:space="preserve">Otros Ajustes 1 </t>
  </si>
  <si>
    <t>Otros Ajustes 5</t>
  </si>
  <si>
    <t>Otros Ajustes 6</t>
  </si>
  <si>
    <t>dic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</si>
  <si>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</si>
  <si>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</si>
  <si>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</si>
  <si>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</si>
  <si>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</si>
  <si>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</si>
  <si>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</si>
  <si>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</si>
  <si>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</si>
  <si>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</si>
  <si>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</si>
  <si>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</si>
  <si>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</si>
  <si>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</si>
  <si>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</si>
  <si>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</si>
  <si>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</si>
  <si>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</si>
  <si>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</si>
  <si>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</si>
  <si>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</si>
  <si>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</si>
  <si>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</si>
  <si>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</si>
  <si>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</si>
  <si>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</si>
  <si>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</si>
  <si>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</si>
  <si>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</si>
  <si>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</si>
  <si>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</si>
  <si>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</si>
  <si>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</si>
  <si>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</si>
  <si>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>73959510     - 51959512</t>
  </si>
  <si>
    <t>MAQ Y EQ</t>
  </si>
  <si>
    <t>Dic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</si>
  <si>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</si>
  <si>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</si>
  <si>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</si>
  <si>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</si>
  <si>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</si>
  <si>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</si>
  <si>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</si>
  <si>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</si>
  <si>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</si>
  <si>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</si>
  <si>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</si>
  <si>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</si>
  <si>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</si>
  <si>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</si>
  <si>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</si>
  <si>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</si>
  <si>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</si>
  <si>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</si>
  <si>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</si>
  <si>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</si>
  <si>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</si>
  <si>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</si>
  <si>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</si>
  <si>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</si>
  <si>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</si>
  <si>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</si>
  <si>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</si>
  <si>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</si>
  <si>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</si>
  <si>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</si>
  <si>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COMEDORES PALMIRA 2026</t>
  </si>
  <si>
    <t>RACIONES ADICIONALES</t>
  </si>
  <si>
    <t>ADICIONAL</t>
  </si>
  <si>
    <t>TRANSPORTE</t>
  </si>
  <si>
    <t>MP</t>
  </si>
  <si>
    <t>PYG  CUENTAS EN PARTICIPACION 2026</t>
  </si>
  <si>
    <t>RACIONES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</si>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</sst>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52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" fillId="11" borderId="25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11" fillId="0" borderId="15" xfId="2" applyNumberFormat="1" applyFont="1" applyBorder="1"/>
    <xf numFmtId="49" fontId="15" fillId="11" borderId="0" xfId="2" applyNumberFormat="1" applyFont="1" applyFill="1"/>
    <xf numFmtId="164" fontId="3" fillId="11" borderId="112" xfId="0" applyNumberFormat="1" applyFont="1" applyFill="1" applyBorder="1"/>
    <xf numFmtId="164" fontId="3" fillId="11" borderId="41" xfId="0" applyNumberFormat="1" applyFont="1" applyFill="1" applyBorder="1"/>
    <xf numFmtId="164" fontId="3" fillId="11" borderId="42" xfId="0" applyNumberFormat="1" applyFont="1" applyFill="1" applyBorder="1"/>
    <xf numFmtId="166" fontId="3" fillId="11" borderId="43" xfId="0" applyNumberFormat="1" applyFont="1" applyFill="1" applyBorder="1"/>
    <xf numFmtId="9" fontId="3" fillId="11" borderId="43" xfId="0" applyNumberFormat="1" applyFont="1" applyFill="1" applyBorder="1"/>
    <xf numFmtId="164" fontId="3" fillId="11" borderId="113" xfId="0" applyNumberFormat="1" applyFont="1" applyFill="1" applyBorder="1"/>
    <xf numFmtId="166" fontId="3" fillId="11" borderId="114" xfId="0" applyNumberFormat="1" applyFont="1" applyFill="1" applyBorder="1"/>
    <xf numFmtId="164" fontId="11" fillId="11" borderId="0" xfId="2" applyNumberFormat="1" applyFont="1" applyFill="1"/>
    <xf numFmtId="164" fontId="11" fillId="11" borderId="9" xfId="2" applyNumberFormat="1" applyFont="1" applyFill="1" applyBorder="1"/>
    <xf numFmtId="9" fontId="3" fillId="11" borderId="40" xfId="0" applyNumberFormat="1" applyFont="1" applyFill="1" applyBorder="1"/>
    <xf numFmtId="164" fontId="3" fillId="11" borderId="86" xfId="0" applyNumberFormat="1" applyFont="1" applyFill="1" applyBorder="1"/>
    <xf numFmtId="166" fontId="3" fillId="11" borderId="81" xfId="0" applyNumberFormat="1" applyFont="1" applyFill="1" applyBorder="1"/>
    <xf numFmtId="171" fontId="10" fillId="0" borderId="0" xfId="2" applyNumberFormat="1" applyFont="1"/>
    <xf numFmtId="164" fontId="11" fillId="0" borderId="9" xfId="2" applyNumberFormat="1" applyFont="1" applyBorder="1" applyAlignment="1">
      <alignment horizontal="left" vertical="center"/>
    </xf>
    <xf numFmtId="164" fontId="11" fillId="0" borderId="15" xfId="2" applyNumberFormat="1" applyFont="1" applyBorder="1" applyAlignment="1">
      <alignment horizontal="left" vertical="center"/>
    </xf>
    <xf numFmtId="164" fontId="3" fillId="11" borderId="108" xfId="0" applyNumberFormat="1" applyFont="1" applyFill="1" applyBorder="1"/>
    <xf numFmtId="164" fontId="11" fillId="11" borderId="61" xfId="2" applyNumberFormat="1" applyFont="1" applyFill="1" applyBorder="1" applyAlignment="1">
      <alignment horizontal="right" vertical="center"/>
    </xf>
    <xf numFmtId="164" fontId="11" fillId="11" borderId="44" xfId="2" applyNumberFormat="1" applyFont="1" applyFill="1" applyBorder="1" applyAlignment="1">
      <alignment horizontal="center"/>
    </xf>
    <xf numFmtId="164" fontId="3" fillId="11" borderId="45" xfId="0" applyNumberFormat="1" applyFont="1" applyFill="1" applyBorder="1"/>
    <xf numFmtId="166" fontId="3" fillId="11" borderId="46" xfId="0" applyNumberFormat="1" applyFont="1" applyFill="1" applyBorder="1"/>
    <xf numFmtId="164" fontId="3" fillId="11" borderId="8" xfId="0" applyNumberFormat="1" applyFont="1" applyFill="1" applyBorder="1"/>
    <xf numFmtId="166" fontId="3" fillId="11" borderId="34" xfId="0" applyNumberFormat="1" applyFont="1" applyFill="1" applyBorder="1"/>
    <xf numFmtId="164" fontId="11" fillId="11" borderId="15" xfId="2" applyNumberFormat="1" applyFont="1" applyFill="1" applyBorder="1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0" fontId="20" fillId="0" borderId="0" xfId="0" applyFont="1" applyAlignment="1">
      <alignment horizontal="left" vertical="center"/>
    </xf>
    <xf numFmtId="0" fontId="0" fillId="0" borderId="0" xfId="0"/>
    <xf numFmtId="164" fontId="12" fillId="2" borderId="0" xfId="2" applyNumberFormat="1" applyFont="1" applyFill="1" applyAlignment="1">
      <alignment horizontal="center"/>
    </xf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39" t="s">
        <v>136</v>
      </c>
      <c r="B1" s="1040"/>
      <c r="C1" s="1040"/>
      <c r="D1" s="1040"/>
      <c r="E1" s="1040"/>
      <c r="F1" s="1040"/>
    </row>
    <row r="2" spans="1:26" x14ac:dyDescent="0.3">
      <c r="E2" s="142">
        <f>E5/2</f>
        <v>0.10790910912689955</v>
      </c>
      <c r="F2" s="142"/>
      <c r="G2" s="142">
        <f>G5/2</f>
        <v>0.13333333333333333</v>
      </c>
      <c r="H2" s="142"/>
      <c r="I2" s="142">
        <f>I5/2</f>
        <v>0</v>
      </c>
      <c r="J2" s="142"/>
      <c r="K2" s="142">
        <f>K5/2</f>
        <v>0.13333333333333333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16</v>
      </c>
      <c r="Y3" s="128" t="s">
        <v>5</v>
      </c>
    </row>
    <row r="4" spans="1:26" ht="20.100000000000001" customHeight="1" x14ac:dyDescent="0.3">
      <c r="A4" s="128" t="s">
        <v>137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0.33333333333333331</v>
      </c>
      <c r="H4" s="124">
        <f>CALI!L$12</f>
        <v>1209212200</v>
      </c>
      <c r="I4" s="121">
        <f t="shared" ref="I4:I13" si="1">H4/H$14</f>
        <v>1</v>
      </c>
      <c r="J4" s="124">
        <f>CALI!O$12</f>
        <v>100000000</v>
      </c>
      <c r="K4" s="121">
        <f t="shared" ref="K4:K13" si="2">J4/J$14</f>
        <v>0.33333333333333331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138</v>
      </c>
      <c r="B5" s="124"/>
      <c r="C5" s="121">
        <v>9.2315605131324557E-2</v>
      </c>
      <c r="D5" s="124"/>
      <c r="E5" s="121">
        <v>0.2158182182537991</v>
      </c>
      <c r="F5" s="124">
        <f>YUMBO!I$12</f>
        <v>967369760</v>
      </c>
      <c r="G5" s="121">
        <f t="shared" si="0"/>
        <v>0.26666666666666666</v>
      </c>
      <c r="H5" s="124">
        <f>YUMBO!L$12</f>
        <v>0</v>
      </c>
      <c r="I5" s="121">
        <f t="shared" si="1"/>
        <v>0</v>
      </c>
      <c r="J5" s="124">
        <f>YUMBO!O$12</f>
        <v>80000000</v>
      </c>
      <c r="K5" s="121">
        <f t="shared" si="2"/>
        <v>0.26666666666666666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139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>
        <f t="shared" si="1"/>
        <v>0</v>
      </c>
      <c r="J6" s="122"/>
      <c r="K6" s="121">
        <f t="shared" si="2"/>
        <v>0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140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>
        <f t="shared" si="1"/>
        <v>0</v>
      </c>
      <c r="J7" s="124"/>
      <c r="K7" s="121">
        <f t="shared" si="2"/>
        <v>0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141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>
        <f t="shared" si="1"/>
        <v>0</v>
      </c>
      <c r="J8" s="124">
        <f>HUNGRIA!O$5</f>
        <v>0</v>
      </c>
      <c r="K8" s="121">
        <f t="shared" si="2"/>
        <v>0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142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967369760</v>
      </c>
      <c r="G9" s="121">
        <f t="shared" si="0"/>
        <v>0.26666666666666666</v>
      </c>
      <c r="H9" s="124">
        <f>'COMEDORES CALI'!$L$12</f>
        <v>0</v>
      </c>
      <c r="I9" s="121">
        <f t="shared" si="1"/>
        <v>0</v>
      </c>
      <c r="J9" s="124">
        <f>'COMEDORES CALI'!O$12</f>
        <v>80000000</v>
      </c>
      <c r="K9" s="121">
        <f t="shared" si="2"/>
        <v>0.26666666666666666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143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>
        <f t="shared" si="1"/>
        <v>0</v>
      </c>
      <c r="J10" s="124"/>
      <c r="K10" s="121">
        <f t="shared" si="2"/>
        <v>0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144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483684880</v>
      </c>
      <c r="G11" s="121">
        <f t="shared" si="0"/>
        <v>0.13333333333333333</v>
      </c>
      <c r="H11" s="124">
        <f>'COMEDORES PALMIRA'!L$12</f>
        <v>0</v>
      </c>
      <c r="I11" s="121">
        <f t="shared" si="1"/>
        <v>0</v>
      </c>
      <c r="J11" s="124">
        <f>'COMEDORES PALMIRA'!O$12</f>
        <v>40000000</v>
      </c>
      <c r="K11" s="121">
        <f t="shared" si="2"/>
        <v>0.13333333333333333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145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>
        <f t="shared" si="1"/>
        <v>0</v>
      </c>
      <c r="J12" s="124">
        <f>'ADULTO MAYOR'!O$12*20</f>
        <v>0</v>
      </c>
      <c r="K12" s="121">
        <f t="shared" si="2"/>
        <v>0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146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>
        <f t="shared" si="1"/>
        <v>0</v>
      </c>
      <c r="J13" s="124">
        <f>IMDERTY!O$12</f>
        <v>0</v>
      </c>
      <c r="K13" s="121">
        <f t="shared" si="2"/>
        <v>0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3627636600</v>
      </c>
      <c r="G14" s="130">
        <f t="shared" si="10"/>
        <v>1</v>
      </c>
      <c r="H14" s="131">
        <f t="shared" si="10"/>
        <v>1209212200</v>
      </c>
      <c r="I14" s="130">
        <f t="shared" si="10"/>
        <v>1</v>
      </c>
      <c r="J14" s="131">
        <f t="shared" si="10"/>
        <v>300000000</v>
      </c>
      <c r="K14" s="130">
        <f t="shared" si="10"/>
        <v>1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147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16</v>
      </c>
      <c r="Y19" s="358"/>
    </row>
    <row r="20" spans="1:27" ht="20.100000000000001" customHeight="1" x14ac:dyDescent="0.3">
      <c r="A20" s="358" t="s">
        <v>137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138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139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140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141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142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143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144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145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146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148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16</v>
      </c>
      <c r="Y35" s="371"/>
    </row>
    <row r="36" spans="1:26" ht="20.100000000000001" customHeight="1" x14ac:dyDescent="0.3">
      <c r="A36" s="371" t="s">
        <v>137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0.21112694378323532</v>
      </c>
      <c r="G36" s="123"/>
      <c r="H36" s="361">
        <f>I52</f>
        <v>1</v>
      </c>
      <c r="I36" s="121"/>
      <c r="J36" s="361">
        <f>K52</f>
        <v>0.19985515653158353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138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0.18053936803480317</v>
      </c>
      <c r="G37" s="123"/>
      <c r="H37" s="361">
        <f>I53</f>
        <v>0</v>
      </c>
      <c r="I37" s="121"/>
      <c r="J37" s="361">
        <f>K53</f>
        <v>0.17090061084649608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139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>
        <f>I54</f>
        <v>0</v>
      </c>
      <c r="I38" s="121"/>
      <c r="J38" s="361">
        <f>K54</f>
        <v>0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140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0.10073565055597494</v>
      </c>
      <c r="G39" s="123"/>
      <c r="H39" s="361">
        <f>I55</f>
        <v>0</v>
      </c>
      <c r="I39" s="121"/>
      <c r="J39" s="361">
        <f>K55</f>
        <v>9.5357507902190886E-2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141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>
        <f>I56</f>
        <v>0</v>
      </c>
      <c r="I40" s="121"/>
      <c r="J40" s="361">
        <f>K56</f>
        <v>0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142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0.32839869175065767</v>
      </c>
      <c r="G41" s="123"/>
      <c r="H41" s="361">
        <f>I57-H45</f>
        <v>-0.01</v>
      </c>
      <c r="I41" s="121"/>
      <c r="J41" s="361">
        <f>K57-J45</f>
        <v>0.36372070730381062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143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>
        <f>I58</f>
        <v>0</v>
      </c>
      <c r="I42" s="121"/>
      <c r="J42" s="361">
        <f>K58</f>
        <v>0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144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0.16919934587532884</v>
      </c>
      <c r="G43" s="123"/>
      <c r="H43" s="361">
        <f>I59</f>
        <v>0</v>
      </c>
      <c r="I43" s="121"/>
      <c r="J43" s="361">
        <f>K59</f>
        <v>0.16016601741591885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145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>
        <f>I60</f>
        <v>0</v>
      </c>
      <c r="I44" s="121"/>
      <c r="J44" s="361">
        <f>K60</f>
        <v>0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149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0.99999999999999989</v>
      </c>
      <c r="G46" s="373"/>
      <c r="H46" s="372">
        <f>SUM(H36:H45)</f>
        <v>1</v>
      </c>
      <c r="I46" s="373"/>
      <c r="J46" s="372">
        <f>SUM(J36:J45)</f>
        <v>0.99999999999999989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39" t="s">
        <v>150</v>
      </c>
      <c r="B49" s="1040"/>
      <c r="C49" s="1040"/>
      <c r="D49" s="1040"/>
      <c r="E49" s="1040"/>
      <c r="F49" s="1040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16</v>
      </c>
      <c r="Y51" s="368" t="s">
        <v>5</v>
      </c>
    </row>
    <row r="52" spans="1:27" ht="20.100000000000001" customHeight="1" x14ac:dyDescent="0.3">
      <c r="A52" s="368" t="s">
        <v>137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0.21112694378323532</v>
      </c>
      <c r="H52" s="570">
        <f>CALI!$L$42</f>
        <v>1810625979.7920001</v>
      </c>
      <c r="I52" s="121">
        <f t="shared" ref="I52:I61" si="12">H52/H$62</f>
        <v>1</v>
      </c>
      <c r="J52" s="122">
        <f>CALI!$O$42</f>
        <v>149736000</v>
      </c>
      <c r="K52" s="121">
        <f t="shared" ref="K52:K61" si="13">J52/J$62</f>
        <v>0.19985515653158353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5"/>
      <c r="AA52" s="798"/>
    </row>
    <row r="53" spans="1:27" ht="20.100000000000001" customHeight="1" x14ac:dyDescent="0.3">
      <c r="A53" s="368" t="s">
        <v>138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1548306740.3972001</v>
      </c>
      <c r="G53" s="121">
        <f t="shared" si="11"/>
        <v>0.18053936803480317</v>
      </c>
      <c r="H53" s="570">
        <f>YUMBO!$L$42</f>
        <v>0</v>
      </c>
      <c r="I53" s="121">
        <f t="shared" si="12"/>
        <v>0</v>
      </c>
      <c r="J53" s="122">
        <f>YUMBO!$O$42</f>
        <v>128042600</v>
      </c>
      <c r="K53" s="121">
        <f t="shared" si="13"/>
        <v>0.17090061084649608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5"/>
      <c r="AA53" s="798"/>
    </row>
    <row r="54" spans="1:27" ht="20.100000000000001" customHeight="1" x14ac:dyDescent="0.3">
      <c r="A54" s="368" t="s">
        <v>139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>
        <f t="shared" si="12"/>
        <v>0</v>
      </c>
      <c r="J54" s="122"/>
      <c r="K54" s="121">
        <f t="shared" si="13"/>
        <v>0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5"/>
      <c r="AA54" s="798"/>
    </row>
    <row r="55" spans="1:27" ht="20.100000000000001" customHeight="1" x14ac:dyDescent="0.3">
      <c r="A55" s="368" t="s">
        <v>140</v>
      </c>
      <c r="B55" s="124"/>
      <c r="C55" s="121">
        <v>9.8870788436278875E-2</v>
      </c>
      <c r="D55" s="122"/>
      <c r="E55" s="121">
        <v>0.1194998010538489</v>
      </c>
      <c r="F55" s="122">
        <f>BUGA!$I$42</f>
        <v>863909564.16799998</v>
      </c>
      <c r="G55" s="121">
        <f t="shared" si="11"/>
        <v>0.10073565055597494</v>
      </c>
      <c r="H55" s="570">
        <f>BUGA!L42</f>
        <v>0</v>
      </c>
      <c r="I55" s="121">
        <f t="shared" si="12"/>
        <v>0</v>
      </c>
      <c r="J55" s="122">
        <f>BUGA!O42</f>
        <v>71444000</v>
      </c>
      <c r="K55" s="121">
        <f t="shared" si="13"/>
        <v>9.5357507902190886E-2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5"/>
      <c r="AA55" s="798"/>
    </row>
    <row r="56" spans="1:27" ht="20.100000000000001" customHeight="1" x14ac:dyDescent="0.3">
      <c r="A56" s="369" t="s">
        <v>141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>
        <f t="shared" si="12"/>
        <v>0</v>
      </c>
      <c r="J56" s="122">
        <f>HUNGRIA!O42</f>
        <v>0</v>
      </c>
      <c r="K56" s="121">
        <f t="shared" si="13"/>
        <v>0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5"/>
      <c r="AA56" s="798"/>
    </row>
    <row r="57" spans="1:27" ht="20.100000000000001" customHeight="1" x14ac:dyDescent="0.3">
      <c r="A57" s="369" t="s">
        <v>142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2902109280</v>
      </c>
      <c r="G57" s="121">
        <f t="shared" si="11"/>
        <v>0.33839869175065768</v>
      </c>
      <c r="H57" s="124">
        <f>'COMEDORES CALI'!L$42+'CTAS EN PPACION'!L$42</f>
        <v>0</v>
      </c>
      <c r="I57" s="121">
        <f t="shared" si="12"/>
        <v>0</v>
      </c>
      <c r="J57" s="124">
        <f>'COMEDORES CALI'!O$42+'CTAS EN PPACION'!$O$13</f>
        <v>280000000</v>
      </c>
      <c r="K57" s="121">
        <f t="shared" si="13"/>
        <v>0.37372070730381063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5"/>
      <c r="AA57" s="798"/>
    </row>
    <row r="58" spans="1:27" ht="20.100000000000001" customHeight="1" x14ac:dyDescent="0.3">
      <c r="A58" s="370" t="s">
        <v>143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>
        <f t="shared" si="12"/>
        <v>0</v>
      </c>
      <c r="J58" s="124">
        <f>'COMEDORES VALLE'!O13</f>
        <v>0</v>
      </c>
      <c r="K58" s="121">
        <f t="shared" si="13"/>
        <v>0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5"/>
      <c r="AA58" s="798"/>
    </row>
    <row r="59" spans="1:27" ht="20.100000000000001" customHeight="1" x14ac:dyDescent="0.3">
      <c r="A59" s="391" t="s">
        <v>144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1451054640</v>
      </c>
      <c r="G59" s="121">
        <f t="shared" si="11"/>
        <v>0.16919934587532884</v>
      </c>
      <c r="H59" s="124">
        <f>'COMEDORES PALMIRA'!L$42</f>
        <v>0</v>
      </c>
      <c r="I59" s="121">
        <f t="shared" si="12"/>
        <v>0</v>
      </c>
      <c r="J59" s="124">
        <f>'COMEDORES PALMIRA'!O$42</f>
        <v>120000000</v>
      </c>
      <c r="K59" s="121">
        <f t="shared" si="13"/>
        <v>0.16016601741591885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5"/>
      <c r="AA59" s="798"/>
    </row>
    <row r="60" spans="1:27" ht="20.100000000000001" customHeight="1" x14ac:dyDescent="0.3">
      <c r="A60" s="391" t="s">
        <v>145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>
        <f t="shared" si="12"/>
        <v>0</v>
      </c>
      <c r="J60" s="122">
        <f>'ADULTO MAYOR'!O$42</f>
        <v>0</v>
      </c>
      <c r="K60" s="121">
        <f t="shared" si="13"/>
        <v>0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5"/>
      <c r="AA60" s="798"/>
    </row>
    <row r="61" spans="1:27" ht="20.100000000000001" customHeight="1" x14ac:dyDescent="0.3">
      <c r="A61" s="391" t="s">
        <v>146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>
        <f t="shared" si="12"/>
        <v>0</v>
      </c>
      <c r="J61" s="122"/>
      <c r="K61" s="121">
        <f t="shared" si="13"/>
        <v>0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5"/>
      <c r="AA61" s="798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8576006204.3572006</v>
      </c>
      <c r="G62" s="376">
        <f t="shared" si="21"/>
        <v>0.99999999999999989</v>
      </c>
      <c r="H62" s="375">
        <f t="shared" si="21"/>
        <v>1810625979.7920001</v>
      </c>
      <c r="I62" s="376">
        <f t="shared" si="21"/>
        <v>1</v>
      </c>
      <c r="J62" s="375">
        <f t="shared" si="21"/>
        <v>749222600</v>
      </c>
      <c r="K62" s="376">
        <f t="shared" si="21"/>
        <v>0.99999999999999989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5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99" activePane="bottomRight" state="frozen"/>
      <selection pane="topRight" activeCell="D1" sqref="D1"/>
      <selection pane="bottomLeft" activeCell="A6" sqref="A6"/>
      <selection pane="bottomRight" activeCell="B57" sqref="B57"/>
    </sheetView>
  </sheetViews>
  <sheetFormatPr baseColWidth="10" defaultColWidth="11.44140625" defaultRowHeight="15" customHeight="1" x14ac:dyDescent="0.2"/>
  <cols>
    <col min="1" max="1" width="6" style="773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5" customWidth="1"/>
    <col min="17" max="47" width="11.44140625" style="115" customWidth="1"/>
    <col min="48" max="16384" width="11.44140625" style="115"/>
  </cols>
  <sheetData>
    <row r="1" spans="1:16" ht="11.4" customHeight="1" x14ac:dyDescent="0.2"/>
    <row r="2" spans="1:16" ht="14.25" customHeight="1" x14ac:dyDescent="0.2">
      <c r="B2" s="1037" t="s">
        <v>0</v>
      </c>
      <c r="C2" s="1034" t="s">
        <v>151</v>
      </c>
      <c r="D2" s="1035"/>
      <c r="E2" s="1035"/>
      <c r="F2" s="1035"/>
      <c r="G2" s="1035"/>
      <c r="H2" s="1036"/>
      <c r="I2" s="1036"/>
      <c r="J2" s="1036"/>
      <c r="K2" s="1036"/>
      <c r="L2" s="1036"/>
      <c r="M2" s="1036"/>
      <c r="N2" s="1036"/>
      <c r="O2" s="1035"/>
    </row>
    <row r="3" spans="1:16" ht="24" customHeight="1" x14ac:dyDescent="0.2">
      <c r="B3" s="1038"/>
      <c r="C3" s="1035"/>
      <c r="D3" s="1035"/>
      <c r="E3" s="1035"/>
      <c r="F3" s="1035"/>
      <c r="G3" s="1035"/>
      <c r="H3" s="1036"/>
      <c r="I3" s="1036"/>
      <c r="J3" s="1036"/>
      <c r="K3" s="1036"/>
      <c r="L3" s="1036"/>
      <c r="M3" s="1036"/>
      <c r="N3" s="1036"/>
      <c r="O3" s="1035"/>
    </row>
    <row r="4" spans="1:16" s="109" customFormat="1" ht="24.9" customHeight="1" x14ac:dyDescent="0.3">
      <c r="A4" s="774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  <c r="P4" s="766"/>
    </row>
    <row r="5" spans="1:16" s="116" customFormat="1" ht="15" customHeight="1" x14ac:dyDescent="0.2">
      <c r="A5" s="775"/>
      <c r="B5" s="157" t="s">
        <v>47</v>
      </c>
      <c r="C5" s="111">
        <f>SUM(C6:C12)</f>
        <v>220746114</v>
      </c>
      <c r="D5" s="969">
        <f>SUM(D6:D12)</f>
        <v>261640004</v>
      </c>
      <c r="E5" s="111">
        <f>SUM(E6:E12)</f>
        <v>1692897080</v>
      </c>
      <c r="F5" s="111"/>
      <c r="G5" s="111">
        <f t="shared" ref="G5:O5" si="0">SUM(G6:G12)</f>
        <v>140000000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4008180278</v>
      </c>
      <c r="P5" s="767"/>
    </row>
    <row r="6" spans="1:16" ht="12.9" customHeight="1" x14ac:dyDescent="0.2">
      <c r="A6" s="776" t="s">
        <v>152</v>
      </c>
      <c r="B6" s="471" t="s">
        <v>153</v>
      </c>
      <c r="C6" s="169">
        <f>'[1]Hoja 1'!$I$9-921014+'[2]Hoja 1'!$I$9+'[3]Hoja 1'!$D$8</f>
        <v>190583037</v>
      </c>
      <c r="D6" s="169">
        <f>'[4]Hoja 1'!$L$8-6457629+'[5]Hoja 1'!$I$9+'[6]Hoja 1'!$D$8+'[7]Hoja 1'!$D$10+'[8]Hoja 1'!$I$9</f>
        <v>222103262</v>
      </c>
      <c r="E6" s="169">
        <v>241842440</v>
      </c>
      <c r="F6" s="169">
        <v>241842440</v>
      </c>
      <c r="G6" s="169">
        <v>20000000</v>
      </c>
      <c r="H6" s="169"/>
      <c r="I6" s="169"/>
      <c r="J6" s="169"/>
      <c r="K6" s="169"/>
      <c r="L6" s="169"/>
      <c r="M6" s="169"/>
      <c r="N6" s="169"/>
      <c r="O6" s="433">
        <f t="shared" ref="O6:O12" si="1">+SUM(C6:N6)</f>
        <v>916371179</v>
      </c>
      <c r="P6" s="768"/>
    </row>
    <row r="7" spans="1:16" ht="12.9" customHeight="1" x14ac:dyDescent="0.2">
      <c r="A7" s="776"/>
      <c r="B7" s="173" t="s">
        <v>154</v>
      </c>
      <c r="C7" s="171">
        <f>'[1]Hoja 1'!$I$12</f>
        <v>19735184</v>
      </c>
      <c r="D7" s="171">
        <f>'[4]Hoja 1'!$L$10</f>
        <v>19090050</v>
      </c>
      <c r="E7" s="171">
        <v>241842440</v>
      </c>
      <c r="F7" s="171">
        <v>241842440</v>
      </c>
      <c r="G7" s="171">
        <v>20000000</v>
      </c>
      <c r="H7" s="171"/>
      <c r="I7" s="171"/>
      <c r="J7" s="171"/>
      <c r="K7" s="171"/>
      <c r="L7" s="171"/>
      <c r="M7" s="171"/>
      <c r="N7" s="171"/>
      <c r="O7" s="403">
        <f t="shared" si="1"/>
        <v>542510114</v>
      </c>
      <c r="P7" s="768"/>
    </row>
    <row r="8" spans="1:16" ht="12.9" customHeight="1" x14ac:dyDescent="0.2">
      <c r="A8" s="776" t="s">
        <v>155</v>
      </c>
      <c r="B8" s="173" t="s">
        <v>156</v>
      </c>
      <c r="C8" s="171">
        <f>'[9]Hoja 1'!$C$54-225638</f>
        <v>1661493</v>
      </c>
      <c r="D8" s="171">
        <f>'[10]Hoja 1'!$C$54-59862</f>
        <v>6698479</v>
      </c>
      <c r="E8" s="171">
        <v>241842440</v>
      </c>
      <c r="F8" s="171">
        <v>241842440</v>
      </c>
      <c r="G8" s="171">
        <v>20000000</v>
      </c>
      <c r="H8" s="925"/>
      <c r="I8" s="171"/>
      <c r="J8" s="171"/>
      <c r="K8" s="171"/>
      <c r="L8" s="171"/>
      <c r="M8" s="171"/>
      <c r="N8" s="171"/>
      <c r="O8" s="403">
        <f t="shared" si="1"/>
        <v>512044852</v>
      </c>
      <c r="P8" s="768"/>
    </row>
    <row r="9" spans="1:16" ht="12.9" customHeight="1" x14ac:dyDescent="0.2">
      <c r="A9" s="777"/>
      <c r="B9" s="173" t="s">
        <v>157</v>
      </c>
      <c r="C9" s="171"/>
      <c r="D9" s="171"/>
      <c r="E9" s="171">
        <v>241842440</v>
      </c>
      <c r="F9" s="171">
        <v>241842440</v>
      </c>
      <c r="G9" s="171">
        <v>20000000</v>
      </c>
      <c r="H9" s="171"/>
      <c r="I9" s="171"/>
      <c r="J9" s="171"/>
      <c r="K9" s="171"/>
      <c r="L9" s="171"/>
      <c r="M9" s="171"/>
      <c r="N9" s="171"/>
      <c r="O9" s="403">
        <f t="shared" si="1"/>
        <v>503684880</v>
      </c>
      <c r="P9" s="768"/>
    </row>
    <row r="10" spans="1:16" ht="12.9" customHeight="1" x14ac:dyDescent="0.2">
      <c r="A10" s="777" t="s">
        <v>158</v>
      </c>
      <c r="B10" s="647" t="s">
        <v>58</v>
      </c>
      <c r="C10" s="171">
        <f>'[9]Hoja 1'!$C$56</f>
        <v>8670200</v>
      </c>
      <c r="D10" s="171">
        <f>'[10]Hoja 1'!$C$56</f>
        <v>10288035</v>
      </c>
      <c r="E10" s="171">
        <v>241842440</v>
      </c>
      <c r="F10" s="171">
        <v>241842440</v>
      </c>
      <c r="G10" s="171">
        <v>20000000</v>
      </c>
      <c r="H10" s="171"/>
      <c r="I10" s="171"/>
      <c r="J10" s="171"/>
      <c r="K10" s="171"/>
      <c r="L10" s="171"/>
      <c r="M10" s="925"/>
      <c r="N10" s="171"/>
      <c r="O10" s="403">
        <f t="shared" si="1"/>
        <v>522643115</v>
      </c>
      <c r="P10" s="768"/>
    </row>
    <row r="11" spans="1:16" ht="12.9" customHeight="1" x14ac:dyDescent="0.2">
      <c r="A11" s="777" t="s">
        <v>159</v>
      </c>
      <c r="B11" s="173" t="s">
        <v>55</v>
      </c>
      <c r="C11" s="171">
        <f>'[9]Hoja 1'!$C$70</f>
        <v>96200</v>
      </c>
      <c r="D11" s="171">
        <f>'[10]Hoja 1'!$C$70</f>
        <v>1826000</v>
      </c>
      <c r="E11" s="171">
        <v>241842440</v>
      </c>
      <c r="F11" s="171">
        <v>241842440</v>
      </c>
      <c r="G11" s="171">
        <v>20000000</v>
      </c>
      <c r="H11" s="171"/>
      <c r="I11" s="171"/>
      <c r="J11" s="171"/>
      <c r="K11" s="171"/>
      <c r="L11" s="171"/>
      <c r="M11" s="171"/>
      <c r="N11" s="171"/>
      <c r="O11" s="403">
        <f t="shared" si="1"/>
        <v>505607080</v>
      </c>
      <c r="P11" s="768"/>
    </row>
    <row r="12" spans="1:16" ht="12.9" customHeight="1" x14ac:dyDescent="0.2">
      <c r="A12" s="777" t="s">
        <v>160</v>
      </c>
      <c r="B12" s="173" t="s">
        <v>161</v>
      </c>
      <c r="C12" s="917"/>
      <c r="D12" s="917">
        <f>'[11]Hoja 1'!$C$27</f>
        <v>1634178</v>
      </c>
      <c r="E12" s="917">
        <v>241842440</v>
      </c>
      <c r="F12" s="917">
        <v>241842440</v>
      </c>
      <c r="G12" s="917">
        <v>20000000</v>
      </c>
      <c r="H12" s="917"/>
      <c r="I12" s="917"/>
      <c r="J12" s="917"/>
      <c r="K12" s="917"/>
      <c r="L12" s="917"/>
      <c r="M12" s="917"/>
      <c r="N12" s="917"/>
      <c r="O12" s="403">
        <f t="shared" si="1"/>
        <v>505319058</v>
      </c>
      <c r="P12" s="768"/>
    </row>
    <row r="13" spans="1:16" s="116" customFormat="1" ht="15" customHeight="1" x14ac:dyDescent="0.2">
      <c r="A13" s="775"/>
      <c r="B13" s="157" t="s">
        <v>56</v>
      </c>
      <c r="C13" s="111">
        <f>SUM(C14:C18)</f>
        <v>12419448</v>
      </c>
      <c r="D13" s="969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100000000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2550603296</v>
      </c>
      <c r="P13" s="769"/>
    </row>
    <row r="14" spans="1:16" s="116" customFormat="1" ht="12.9" customHeight="1" x14ac:dyDescent="0.2">
      <c r="A14" s="777" t="s">
        <v>162</v>
      </c>
      <c r="B14" s="173" t="s">
        <v>163</v>
      </c>
      <c r="C14" s="404">
        <f>'[9]Hoja 1'!$C$73</f>
        <v>2896000</v>
      </c>
      <c r="D14" s="404">
        <f>'[10]Hoja 1'!$C$73</f>
        <v>2896000</v>
      </c>
      <c r="E14" s="404">
        <v>241842440</v>
      </c>
      <c r="F14" s="404">
        <v>241842440</v>
      </c>
      <c r="G14" s="404">
        <v>20000000</v>
      </c>
      <c r="H14" s="404"/>
      <c r="I14" s="404"/>
      <c r="J14" s="404"/>
      <c r="K14" s="404"/>
      <c r="L14" s="404"/>
      <c r="M14" s="404"/>
      <c r="N14" s="404"/>
      <c r="O14" s="433">
        <f>+SUM(C14:N14)</f>
        <v>509476880</v>
      </c>
      <c r="P14" s="768"/>
    </row>
    <row r="15" spans="1:16" s="116" customFormat="1" ht="12.9" customHeight="1" x14ac:dyDescent="0.2">
      <c r="A15" s="777"/>
      <c r="B15" s="173" t="s">
        <v>164</v>
      </c>
      <c r="C15" s="170"/>
      <c r="D15" s="170"/>
      <c r="E15" s="170">
        <v>241842440</v>
      </c>
      <c r="F15" s="170">
        <v>241842440</v>
      </c>
      <c r="G15" s="170">
        <v>20000000</v>
      </c>
      <c r="H15" s="170"/>
      <c r="I15" s="170"/>
      <c r="J15" s="170"/>
      <c r="K15" s="170"/>
      <c r="L15" s="170"/>
      <c r="M15" s="170"/>
      <c r="N15" s="170"/>
      <c r="O15" s="403">
        <f>+SUM(C15:N15)</f>
        <v>503684880</v>
      </c>
      <c r="P15" s="768"/>
    </row>
    <row r="16" spans="1:16" ht="12.9" customHeight="1" x14ac:dyDescent="0.2">
      <c r="A16" s="777" t="s">
        <v>165</v>
      </c>
      <c r="B16" s="173" t="s">
        <v>166</v>
      </c>
      <c r="C16" s="170">
        <f>'[9]Hoja 1'!$C$75+'[12]Hoja 1'!$G$13</f>
        <v>6485768</v>
      </c>
      <c r="D16" s="170">
        <f>'[10]Hoja 1'!$C$75+'[13]Hoja 1'!$G$14</f>
        <v>6485768</v>
      </c>
      <c r="E16" s="170">
        <v>241842440</v>
      </c>
      <c r="F16" s="170">
        <v>241842440</v>
      </c>
      <c r="G16" s="170">
        <v>20000000</v>
      </c>
      <c r="H16" s="170"/>
      <c r="I16" s="170"/>
      <c r="J16" s="170"/>
      <c r="K16" s="170"/>
      <c r="L16" s="170"/>
      <c r="M16" s="170"/>
      <c r="N16" s="170"/>
      <c r="O16" s="403">
        <f>+SUM(C16:N16)</f>
        <v>516656416</v>
      </c>
      <c r="P16" s="768"/>
    </row>
    <row r="17" spans="1:16" ht="12.9" customHeight="1" x14ac:dyDescent="0.2">
      <c r="A17" s="777" t="s">
        <v>167</v>
      </c>
      <c r="B17" s="173" t="s">
        <v>168</v>
      </c>
      <c r="C17" s="170"/>
      <c r="D17" s="170"/>
      <c r="E17" s="170">
        <v>241842440</v>
      </c>
      <c r="F17" s="170">
        <v>241842440</v>
      </c>
      <c r="G17" s="170">
        <v>20000000</v>
      </c>
      <c r="H17" s="170"/>
      <c r="I17" s="170"/>
      <c r="J17" s="170"/>
      <c r="K17" s="170"/>
      <c r="L17" s="170"/>
      <c r="M17" s="170"/>
      <c r="N17" s="170"/>
      <c r="O17" s="403">
        <f>+SUM(C17:N17)</f>
        <v>503684880</v>
      </c>
      <c r="P17" s="768"/>
    </row>
    <row r="18" spans="1:16" ht="12.9" customHeight="1" x14ac:dyDescent="0.2">
      <c r="A18" s="777" t="s">
        <v>169</v>
      </c>
      <c r="B18" s="173" t="s">
        <v>170</v>
      </c>
      <c r="C18" s="170">
        <f>'[9]Hoja 1'!$C$77</f>
        <v>3037680</v>
      </c>
      <c r="D18" s="170">
        <f>'[10]Hoja 1'!$C$76</f>
        <v>10377680</v>
      </c>
      <c r="E18" s="170">
        <v>241842440</v>
      </c>
      <c r="F18" s="170">
        <v>241842440</v>
      </c>
      <c r="G18" s="170">
        <v>20000000</v>
      </c>
      <c r="H18" s="170"/>
      <c r="I18" s="170"/>
      <c r="J18" s="170"/>
      <c r="K18" s="170"/>
      <c r="L18" s="170"/>
      <c r="M18" s="170"/>
      <c r="N18" s="170"/>
      <c r="O18" s="408">
        <f>+SUM(C18:N18)</f>
        <v>517100240</v>
      </c>
      <c r="P18" s="768"/>
    </row>
    <row r="19" spans="1:16" s="116" customFormat="1" ht="15" customHeight="1" x14ac:dyDescent="0.2">
      <c r="A19" s="775"/>
      <c r="B19" s="157" t="s">
        <v>171</v>
      </c>
      <c r="C19" s="111">
        <f>SUM(C20:C21)</f>
        <v>2676712</v>
      </c>
      <c r="D19" s="969">
        <f>SUM(D20:D21)</f>
        <v>0</v>
      </c>
      <c r="E19" s="111">
        <f>SUM(E20:E21)</f>
        <v>483684880</v>
      </c>
      <c r="F19" s="111"/>
      <c r="G19" s="111">
        <f t="shared" ref="G19:O19" si="3">SUM(G20:G21)</f>
        <v>40000000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1010046472</v>
      </c>
      <c r="P19" s="768"/>
    </row>
    <row r="20" spans="1:16" ht="12.9" customHeight="1" x14ac:dyDescent="0.2">
      <c r="A20" s="777"/>
      <c r="B20" s="156" t="s">
        <v>172</v>
      </c>
      <c r="C20" s="918"/>
      <c r="D20" s="919"/>
      <c r="E20" s="423">
        <v>241842440</v>
      </c>
      <c r="F20" s="423">
        <v>241842440</v>
      </c>
      <c r="G20" s="423">
        <v>20000000</v>
      </c>
      <c r="H20" s="423"/>
      <c r="I20" s="423"/>
      <c r="J20" s="423"/>
      <c r="K20" s="423"/>
      <c r="L20" s="423"/>
      <c r="M20" s="423"/>
      <c r="N20" s="423"/>
      <c r="O20" s="423">
        <f>+SUM(C20:N20)</f>
        <v>503684880</v>
      </c>
      <c r="P20" s="768"/>
    </row>
    <row r="21" spans="1:16" ht="12.9" customHeight="1" x14ac:dyDescent="0.2">
      <c r="A21" s="777"/>
      <c r="B21" s="175" t="s">
        <v>173</v>
      </c>
      <c r="C21" s="405">
        <v>2676712</v>
      </c>
      <c r="D21" s="405"/>
      <c r="E21" s="405">
        <v>241842440</v>
      </c>
      <c r="F21" s="405">
        <v>241842440</v>
      </c>
      <c r="G21" s="405">
        <v>20000000</v>
      </c>
      <c r="H21" s="405"/>
      <c r="I21" s="405"/>
      <c r="J21" s="405"/>
      <c r="K21" s="405"/>
      <c r="L21" s="405"/>
      <c r="M21" s="405"/>
      <c r="N21" s="405"/>
      <c r="O21" s="405">
        <f>+SUM(C21:N21)</f>
        <v>506361592</v>
      </c>
      <c r="P21" s="768"/>
    </row>
    <row r="22" spans="1:16" s="116" customFormat="1" ht="15" customHeight="1" x14ac:dyDescent="0.2">
      <c r="A22" s="775"/>
      <c r="B22" s="110" t="s">
        <v>59</v>
      </c>
      <c r="C22" s="111">
        <f>SUM(C23:C27)</f>
        <v>94998312</v>
      </c>
      <c r="D22" s="969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100000000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2722993624</v>
      </c>
      <c r="P22" s="769"/>
    </row>
    <row r="23" spans="1:16" s="116" customFormat="1" ht="12.9" customHeight="1" x14ac:dyDescent="0.2">
      <c r="A23" s="777" t="s">
        <v>174</v>
      </c>
      <c r="B23" s="173" t="s">
        <v>60</v>
      </c>
      <c r="C23" s="404">
        <f>'[9]Hoja 1'!$C$85+'[12]Hoja 1'!$G$15+'[12]Hoja 1'!$G$17</f>
        <v>82655581</v>
      </c>
      <c r="D23" s="404">
        <f>'[10]Hoja 1'!$C$84+'[13]Hoja 1'!$G$16+'[13]Hoja 1'!$G$18</f>
        <v>87589181</v>
      </c>
      <c r="E23" s="404">
        <v>241842440</v>
      </c>
      <c r="F23" s="404">
        <v>241842440</v>
      </c>
      <c r="G23" s="404">
        <v>20000000</v>
      </c>
      <c r="H23" s="404"/>
      <c r="I23" s="404"/>
      <c r="J23" s="404"/>
      <c r="K23" s="404"/>
      <c r="L23" s="404"/>
      <c r="M23" s="404"/>
      <c r="N23" s="404"/>
      <c r="O23" s="433">
        <f>+SUM(C23:N23)</f>
        <v>673929642</v>
      </c>
      <c r="P23" s="768"/>
    </row>
    <row r="24" spans="1:16" ht="12.9" customHeight="1" x14ac:dyDescent="0.2">
      <c r="A24" s="777" t="s">
        <v>175</v>
      </c>
      <c r="B24" s="173" t="s">
        <v>61</v>
      </c>
      <c r="C24" s="170">
        <f>'[9]Hoja 1'!$C$87</f>
        <v>9106621</v>
      </c>
      <c r="D24" s="170">
        <f>'[10]Hoja 1'!$C$86</f>
        <v>10606021</v>
      </c>
      <c r="E24" s="170">
        <v>241842440</v>
      </c>
      <c r="F24" s="170">
        <v>241842440</v>
      </c>
      <c r="G24" s="170">
        <v>20000000</v>
      </c>
      <c r="H24" s="170"/>
      <c r="I24" s="170"/>
      <c r="J24" s="170"/>
      <c r="K24" s="170"/>
      <c r="L24" s="170"/>
      <c r="M24" s="170"/>
      <c r="N24" s="925"/>
      <c r="O24" s="403">
        <f>+SUM(C24:N24)</f>
        <v>523397522</v>
      </c>
      <c r="P24" s="768"/>
    </row>
    <row r="25" spans="1:16" ht="12.9" customHeight="1" x14ac:dyDescent="0.2">
      <c r="A25" s="777" t="s">
        <v>176</v>
      </c>
      <c r="B25" s="173" t="s">
        <v>62</v>
      </c>
      <c r="C25" s="170">
        <f>'[9]Hoja 1'!$C$89</f>
        <v>3236110</v>
      </c>
      <c r="D25" s="170">
        <f>'[10]Hoja 1'!$C$88</f>
        <v>3236110</v>
      </c>
      <c r="E25" s="170">
        <v>241842440</v>
      </c>
      <c r="F25" s="170">
        <v>241842440</v>
      </c>
      <c r="G25" s="170">
        <v>20000000</v>
      </c>
      <c r="H25" s="170"/>
      <c r="I25" s="170"/>
      <c r="J25" s="170"/>
      <c r="K25" s="170"/>
      <c r="L25" s="170"/>
      <c r="M25" s="170"/>
      <c r="N25" s="170"/>
      <c r="O25" s="403">
        <f>+SUM(C25:N25)</f>
        <v>510157100</v>
      </c>
      <c r="P25" s="770"/>
    </row>
    <row r="26" spans="1:16" ht="12.9" customHeight="1" x14ac:dyDescent="0.2">
      <c r="A26" s="777"/>
      <c r="B26" s="173" t="s">
        <v>177</v>
      </c>
      <c r="C26" s="170"/>
      <c r="D26" s="170">
        <f>'[10]Hoja 1'!$C$90</f>
        <v>8139600</v>
      </c>
      <c r="E26" s="170">
        <v>241842440</v>
      </c>
      <c r="F26" s="170">
        <v>241842440</v>
      </c>
      <c r="G26" s="170">
        <v>20000000</v>
      </c>
      <c r="H26" s="170"/>
      <c r="I26" s="170"/>
      <c r="J26" s="170"/>
      <c r="K26" s="170"/>
      <c r="L26" s="170"/>
      <c r="M26" s="170"/>
      <c r="N26" s="170"/>
      <c r="O26" s="403">
        <f>+SUM(C26:N26)</f>
        <v>511824480</v>
      </c>
      <c r="P26" s="768"/>
    </row>
    <row r="27" spans="1:16" ht="12.9" customHeight="1" x14ac:dyDescent="0.2">
      <c r="A27" s="777"/>
      <c r="B27" s="173" t="s">
        <v>178</v>
      </c>
      <c r="C27" s="405"/>
      <c r="D27" s="405"/>
      <c r="E27" s="405">
        <v>241842440</v>
      </c>
      <c r="F27" s="405">
        <v>241842440</v>
      </c>
      <c r="G27" s="405">
        <v>20000000</v>
      </c>
      <c r="H27" s="405"/>
      <c r="I27" s="405"/>
      <c r="J27" s="405"/>
      <c r="K27" s="405"/>
      <c r="L27" s="405"/>
      <c r="M27" s="405"/>
      <c r="N27" s="405"/>
      <c r="O27" s="161">
        <f>+SUM(C27:N27)</f>
        <v>503684880</v>
      </c>
      <c r="P27" s="768"/>
    </row>
    <row r="28" spans="1:16" s="116" customFormat="1" ht="15" customHeight="1" x14ac:dyDescent="0.2">
      <c r="A28" s="775"/>
      <c r="B28" s="110" t="s">
        <v>63</v>
      </c>
      <c r="C28" s="111">
        <f>SUM(C29:C31)</f>
        <v>0</v>
      </c>
      <c r="D28" s="969">
        <f>SUM(D29:D31)</f>
        <v>8584300</v>
      </c>
      <c r="E28" s="111">
        <f>SUM(E29:E31)</f>
        <v>725527320</v>
      </c>
      <c r="F28" s="111"/>
      <c r="G28" s="111">
        <f t="shared" ref="G28:O28" si="5">SUM(G29:G31)</f>
        <v>60000000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1519638940</v>
      </c>
      <c r="P28" s="768"/>
    </row>
    <row r="29" spans="1:16" ht="12.9" customHeight="1" x14ac:dyDescent="0.2">
      <c r="A29" s="777"/>
      <c r="B29" s="172" t="s">
        <v>179</v>
      </c>
      <c r="C29" s="404"/>
      <c r="D29" s="404"/>
      <c r="E29" s="404">
        <v>241842440</v>
      </c>
      <c r="F29" s="404">
        <v>241842440</v>
      </c>
      <c r="G29" s="404">
        <v>20000000</v>
      </c>
      <c r="H29" s="404"/>
      <c r="I29" s="404"/>
      <c r="J29" s="404"/>
      <c r="K29" s="404"/>
      <c r="L29" s="404"/>
      <c r="M29" s="404"/>
      <c r="N29" s="404"/>
      <c r="O29" s="159">
        <f>+SUM(C29:N29)</f>
        <v>503684880</v>
      </c>
      <c r="P29" s="768"/>
    </row>
    <row r="30" spans="1:16" ht="12.9" customHeight="1" x14ac:dyDescent="0.2">
      <c r="A30" s="777"/>
      <c r="B30" s="173" t="s">
        <v>180</v>
      </c>
      <c r="C30" s="170"/>
      <c r="D30" s="170"/>
      <c r="E30" s="170">
        <v>241842440</v>
      </c>
      <c r="F30" s="170">
        <v>241842440</v>
      </c>
      <c r="G30" s="170">
        <v>20000000</v>
      </c>
      <c r="H30" s="170"/>
      <c r="I30" s="170"/>
      <c r="J30" s="170"/>
      <c r="K30" s="170"/>
      <c r="L30" s="170"/>
      <c r="M30" s="170"/>
      <c r="N30" s="170"/>
      <c r="O30" s="160">
        <f>+SUM(C30:N30)</f>
        <v>503684880</v>
      </c>
      <c r="P30" s="768"/>
    </row>
    <row r="31" spans="1:16" ht="12.9" customHeight="1" x14ac:dyDescent="0.2">
      <c r="A31" s="777"/>
      <c r="B31" s="174" t="s">
        <v>181</v>
      </c>
      <c r="C31" s="405"/>
      <c r="D31" s="964">
        <f>'[10]Hoja 1'!$C$95</f>
        <v>8584300</v>
      </c>
      <c r="E31" s="405">
        <v>241842440</v>
      </c>
      <c r="F31" s="405">
        <v>241842440</v>
      </c>
      <c r="G31" s="405">
        <v>20000000</v>
      </c>
      <c r="H31" s="405"/>
      <c r="I31" s="405"/>
      <c r="J31" s="405"/>
      <c r="K31" s="405"/>
      <c r="L31" s="405"/>
      <c r="M31" s="405"/>
      <c r="N31" s="405"/>
      <c r="O31" s="161">
        <f>+SUM(C31:N31)</f>
        <v>512269180</v>
      </c>
      <c r="P31" s="768"/>
    </row>
    <row r="32" spans="1:16" s="116" customFormat="1" ht="15" customHeight="1" x14ac:dyDescent="0.2">
      <c r="A32" s="775"/>
      <c r="B32" s="157" t="s">
        <v>68</v>
      </c>
      <c r="C32" s="111">
        <f>SUM(C33:C45)</f>
        <v>31751199</v>
      </c>
      <c r="D32" s="969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260000000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6608890572</v>
      </c>
      <c r="P32" s="768"/>
    </row>
    <row r="33" spans="1:80" s="116" customFormat="1" ht="12.9" customHeight="1" x14ac:dyDescent="0.2">
      <c r="A33" s="777"/>
      <c r="B33" s="173" t="s">
        <v>69</v>
      </c>
      <c r="C33" s="404">
        <f>'[12]Hoja 1'!$G$22</f>
        <v>3084632</v>
      </c>
      <c r="D33" s="404">
        <f>'[13]Hoja 1'!$G$23</f>
        <v>4014671</v>
      </c>
      <c r="E33" s="404">
        <v>241842440</v>
      </c>
      <c r="F33" s="404">
        <v>241842440</v>
      </c>
      <c r="G33" s="404">
        <v>20000000</v>
      </c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510784183</v>
      </c>
      <c r="P33" s="770"/>
    </row>
    <row r="34" spans="1:80" s="802" customFormat="1" ht="12.9" customHeight="1" x14ac:dyDescent="0.2">
      <c r="A34" s="801" t="s">
        <v>182</v>
      </c>
      <c r="B34" s="647" t="s">
        <v>70</v>
      </c>
      <c r="C34" s="170">
        <f>'[9]Hoja 1'!$C$97</f>
        <v>2500000</v>
      </c>
      <c r="D34" s="170">
        <f>'[10]Hoja 1'!$C$99</f>
        <v>3807000</v>
      </c>
      <c r="E34" s="170">
        <v>241842440</v>
      </c>
      <c r="F34" s="170">
        <v>241842440</v>
      </c>
      <c r="G34" s="170">
        <v>20000000</v>
      </c>
      <c r="H34" s="170"/>
      <c r="I34" s="170"/>
      <c r="J34" s="170"/>
      <c r="K34" s="170"/>
      <c r="L34" s="170"/>
      <c r="M34" s="170"/>
      <c r="N34" s="170"/>
      <c r="O34" s="403">
        <f t="shared" si="7"/>
        <v>509991880</v>
      </c>
      <c r="P34" s="772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2" customFormat="1" ht="12.9" customHeight="1" x14ac:dyDescent="0.2">
      <c r="A35" s="800"/>
      <c r="B35" s="647" t="s">
        <v>183</v>
      </c>
      <c r="C35" s="170"/>
      <c r="D35" s="170"/>
      <c r="E35" s="170">
        <v>241842440</v>
      </c>
      <c r="F35" s="170">
        <v>241842440</v>
      </c>
      <c r="G35" s="170">
        <v>20000000</v>
      </c>
      <c r="H35" s="170"/>
      <c r="I35" s="170"/>
      <c r="J35" s="170"/>
      <c r="K35" s="170"/>
      <c r="L35" s="170"/>
      <c r="M35" s="170"/>
      <c r="N35" s="938"/>
      <c r="O35" s="403">
        <f t="shared" si="7"/>
        <v>503684880</v>
      </c>
      <c r="P35" s="772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7" t="s">
        <v>184</v>
      </c>
      <c r="B36" s="173" t="s">
        <v>72</v>
      </c>
      <c r="C36" s="170"/>
      <c r="D36" s="170">
        <f>'[10]Hoja 1'!C103</f>
        <v>789106</v>
      </c>
      <c r="E36" s="170">
        <v>241842440</v>
      </c>
      <c r="F36" s="170">
        <v>241842440</v>
      </c>
      <c r="G36" s="170">
        <v>20000000</v>
      </c>
      <c r="H36" s="170"/>
      <c r="I36" s="170"/>
      <c r="J36" s="170"/>
      <c r="K36" s="170"/>
      <c r="L36" s="170"/>
      <c r="M36" s="403"/>
      <c r="N36" s="925"/>
      <c r="O36" s="403">
        <f t="shared" si="7"/>
        <v>504473986</v>
      </c>
      <c r="P36" s="768"/>
    </row>
    <row r="37" spans="1:80" ht="12.9" customHeight="1" x14ac:dyDescent="0.2">
      <c r="A37" s="777" t="s">
        <v>185</v>
      </c>
      <c r="B37" s="173" t="s">
        <v>73</v>
      </c>
      <c r="C37" s="170">
        <f>'[9]Hoja 1'!$C$99</f>
        <v>1261676</v>
      </c>
      <c r="D37" s="170">
        <f>'[10]Hoja 1'!C104</f>
        <v>1261676</v>
      </c>
      <c r="E37" s="170">
        <v>241842440</v>
      </c>
      <c r="F37" s="170">
        <v>241842440</v>
      </c>
      <c r="G37" s="170">
        <v>20000000</v>
      </c>
      <c r="H37" s="170"/>
      <c r="I37" s="170"/>
      <c r="J37" s="170"/>
      <c r="K37" s="170"/>
      <c r="L37" s="170"/>
      <c r="M37" s="170"/>
      <c r="N37" s="925"/>
      <c r="O37" s="403">
        <f t="shared" si="7"/>
        <v>506208232</v>
      </c>
      <c r="P37" s="768"/>
    </row>
    <row r="38" spans="1:80" ht="12.9" customHeight="1" x14ac:dyDescent="0.2">
      <c r="A38" s="777" t="s">
        <v>186</v>
      </c>
      <c r="B38" s="173" t="s">
        <v>74</v>
      </c>
      <c r="C38" s="170">
        <f>'[9]Hoja 1'!$C$101</f>
        <v>1110507</v>
      </c>
      <c r="D38" s="170">
        <f>'[10]Hoja 1'!$C$106</f>
        <v>735768</v>
      </c>
      <c r="E38" s="170">
        <v>241842440</v>
      </c>
      <c r="F38" s="170">
        <v>241842440</v>
      </c>
      <c r="G38" s="170">
        <v>20000000</v>
      </c>
      <c r="H38" s="170"/>
      <c r="I38" s="170"/>
      <c r="J38" s="170"/>
      <c r="K38" s="170"/>
      <c r="L38" s="170"/>
      <c r="M38" s="170"/>
      <c r="N38" s="170"/>
      <c r="O38" s="403">
        <f t="shared" si="7"/>
        <v>505531155</v>
      </c>
      <c r="P38" s="768"/>
    </row>
    <row r="39" spans="1:80" ht="12.9" customHeight="1" x14ac:dyDescent="0.2">
      <c r="A39" s="777" t="s">
        <v>187</v>
      </c>
      <c r="B39" s="647" t="s">
        <v>188</v>
      </c>
      <c r="C39" s="170">
        <f>'[9]Hoja 1'!$C$103</f>
        <v>2061530</v>
      </c>
      <c r="D39" s="170">
        <f>'[10]Hoja 1'!$C$108</f>
        <v>2472150</v>
      </c>
      <c r="E39" s="170">
        <v>241842440</v>
      </c>
      <c r="F39" s="170">
        <v>241842440</v>
      </c>
      <c r="G39" s="170">
        <v>20000000</v>
      </c>
      <c r="H39" s="170"/>
      <c r="I39" s="170"/>
      <c r="J39" s="170"/>
      <c r="K39" s="170"/>
      <c r="L39" s="170"/>
      <c r="M39" s="170"/>
      <c r="N39" s="170"/>
      <c r="O39" s="403">
        <f t="shared" si="7"/>
        <v>508218560</v>
      </c>
      <c r="P39" s="768"/>
    </row>
    <row r="40" spans="1:80" ht="12.9" customHeight="1" x14ac:dyDescent="0.2">
      <c r="A40" s="777" t="s">
        <v>189</v>
      </c>
      <c r="B40" s="647" t="s">
        <v>190</v>
      </c>
      <c r="C40" s="170">
        <f>'[9]Hoja 1'!C105</f>
        <v>5133313</v>
      </c>
      <c r="D40" s="170">
        <f>'[10]Hoja 1'!C110-98250</f>
        <v>6517652</v>
      </c>
      <c r="E40" s="170">
        <v>241842440</v>
      </c>
      <c r="F40" s="170">
        <v>241842440</v>
      </c>
      <c r="G40" s="170">
        <v>20000000</v>
      </c>
      <c r="H40" s="170"/>
      <c r="I40" s="170"/>
      <c r="J40" s="170"/>
      <c r="K40" s="170"/>
      <c r="L40" s="170"/>
      <c r="M40" s="170"/>
      <c r="N40" s="170"/>
      <c r="O40" s="403">
        <f t="shared" si="7"/>
        <v>515335845</v>
      </c>
      <c r="P40" s="768"/>
    </row>
    <row r="41" spans="1:80" ht="12.9" customHeight="1" x14ac:dyDescent="0.2">
      <c r="A41" s="777" t="s">
        <v>191</v>
      </c>
      <c r="B41" s="173" t="s">
        <v>192</v>
      </c>
      <c r="C41" s="170">
        <f>'[9]Hoja 1'!C106</f>
        <v>477584</v>
      </c>
      <c r="D41" s="170">
        <f>'[10]Hoja 1'!C111</f>
        <v>477584</v>
      </c>
      <c r="E41" s="170">
        <v>241842440</v>
      </c>
      <c r="F41" s="170">
        <v>241842440</v>
      </c>
      <c r="G41" s="170">
        <v>20000000</v>
      </c>
      <c r="H41" s="170"/>
      <c r="I41" s="170"/>
      <c r="J41" s="170"/>
      <c r="K41" s="170"/>
      <c r="L41" s="170"/>
      <c r="M41" s="170"/>
      <c r="N41" s="170"/>
      <c r="O41" s="403">
        <f t="shared" si="7"/>
        <v>504640048</v>
      </c>
      <c r="P41" s="768"/>
    </row>
    <row r="42" spans="1:80" ht="12.9" customHeight="1" x14ac:dyDescent="0.2">
      <c r="A42" s="777" t="s">
        <v>193</v>
      </c>
      <c r="B42" s="173" t="s">
        <v>194</v>
      </c>
      <c r="C42" s="170">
        <f>'[9]Hoja 1'!$C$108</f>
        <v>44800</v>
      </c>
      <c r="D42" s="170">
        <f>'[10]Hoja 1'!$C$113</f>
        <v>37400</v>
      </c>
      <c r="E42" s="170">
        <v>241842440</v>
      </c>
      <c r="F42" s="170">
        <v>241842440</v>
      </c>
      <c r="G42" s="170">
        <v>20000000</v>
      </c>
      <c r="H42" s="170"/>
      <c r="I42" s="170"/>
      <c r="J42" s="170"/>
      <c r="K42" s="170"/>
      <c r="L42" s="170"/>
      <c r="M42" s="170"/>
      <c r="N42" s="170"/>
      <c r="O42" s="403">
        <f t="shared" si="7"/>
        <v>503767080</v>
      </c>
      <c r="P42" s="768"/>
    </row>
    <row r="43" spans="1:80" ht="12.9" customHeight="1" x14ac:dyDescent="0.2">
      <c r="A43" s="777" t="s">
        <v>195</v>
      </c>
      <c r="B43" s="647" t="s">
        <v>196</v>
      </c>
      <c r="C43" s="170">
        <f>'[12]Hoja 1'!$G$11</f>
        <v>318182</v>
      </c>
      <c r="D43" s="170">
        <f>'[13]Hoja 1'!$G$11</f>
        <v>404040</v>
      </c>
      <c r="E43" s="170">
        <v>241842440</v>
      </c>
      <c r="F43" s="170">
        <v>241842440</v>
      </c>
      <c r="G43" s="170">
        <v>20000000</v>
      </c>
      <c r="H43" s="170"/>
      <c r="I43" s="170"/>
      <c r="J43" s="170"/>
      <c r="K43" s="170"/>
      <c r="L43" s="170"/>
      <c r="M43" s="170"/>
      <c r="N43" s="170"/>
      <c r="O43" s="403">
        <f t="shared" si="7"/>
        <v>504407102</v>
      </c>
      <c r="P43" s="768"/>
    </row>
    <row r="44" spans="1:80" ht="12.9" customHeight="1" x14ac:dyDescent="0.2">
      <c r="A44" s="777"/>
      <c r="B44" s="647" t="s">
        <v>197</v>
      </c>
      <c r="C44" s="170"/>
      <c r="D44" s="170"/>
      <c r="E44" s="170">
        <v>241842440</v>
      </c>
      <c r="F44" s="170">
        <v>241842440</v>
      </c>
      <c r="G44" s="170">
        <v>20000000</v>
      </c>
      <c r="H44" s="170"/>
      <c r="I44" s="170"/>
      <c r="J44" s="170"/>
      <c r="K44" s="170"/>
      <c r="L44" s="170"/>
      <c r="M44" s="170"/>
      <c r="N44" s="170"/>
      <c r="O44" s="403">
        <f t="shared" si="7"/>
        <v>503684880</v>
      </c>
      <c r="P44" s="768"/>
    </row>
    <row r="45" spans="1:80" ht="12.9" customHeight="1" x14ac:dyDescent="0.2">
      <c r="A45" s="777" t="s">
        <v>198</v>
      </c>
      <c r="B45" s="173" t="s">
        <v>199</v>
      </c>
      <c r="C45" s="405">
        <f>'[9]Hoja 1'!$C$112+'[14]Hoja 1'!$C$70+'[15]Hoja 1'!$C$109+'[16]Hoja 1'!$D$133+'[17]Hoja 1'!$C$101</f>
        <v>15758975</v>
      </c>
      <c r="D45" s="405">
        <f>'[10]Hoja 1'!$C$117+'[10]Hoja 1'!$C$312+'[18]Hoja 1'!$C$92+'[19]Hoja 1'!$C$89+'[20]Hoja 1'!$C$97</f>
        <v>8718886</v>
      </c>
      <c r="E45" s="405">
        <v>241842440</v>
      </c>
      <c r="F45" s="405">
        <v>241842440</v>
      </c>
      <c r="G45" s="405">
        <v>20000000</v>
      </c>
      <c r="H45" s="405"/>
      <c r="I45" s="405"/>
      <c r="J45" s="405"/>
      <c r="K45" s="405"/>
      <c r="L45" s="405"/>
      <c r="M45" s="405"/>
      <c r="N45" s="405"/>
      <c r="O45" s="403">
        <f t="shared" si="7"/>
        <v>528162741</v>
      </c>
      <c r="P45" s="768"/>
    </row>
    <row r="46" spans="1:80" s="116" customFormat="1" ht="15" customHeight="1" x14ac:dyDescent="0.2">
      <c r="A46" s="775"/>
      <c r="B46" s="110" t="s">
        <v>78</v>
      </c>
      <c r="C46" s="406">
        <f>SUM(C47:C51)</f>
        <v>326152</v>
      </c>
      <c r="D46" s="970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100000000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2526597552</v>
      </c>
      <c r="P46" s="768"/>
    </row>
    <row r="47" spans="1:80" ht="12.9" customHeight="1" x14ac:dyDescent="0.2">
      <c r="A47" s="777"/>
      <c r="B47" s="172" t="s">
        <v>80</v>
      </c>
      <c r="C47" s="404">
        <f>'[9]Hoja 1'!$C$115</f>
        <v>12852</v>
      </c>
      <c r="D47" s="404"/>
      <c r="E47" s="404">
        <v>241842440</v>
      </c>
      <c r="F47" s="404">
        <v>241842440</v>
      </c>
      <c r="G47" s="404">
        <v>20000000</v>
      </c>
      <c r="H47" s="404"/>
      <c r="I47" s="404"/>
      <c r="J47" s="404"/>
      <c r="K47" s="404"/>
      <c r="L47" s="404"/>
      <c r="M47" s="404"/>
      <c r="N47" s="404"/>
      <c r="O47" s="434">
        <f>+SUM(C47:N47)</f>
        <v>503697732</v>
      </c>
      <c r="P47" s="768"/>
    </row>
    <row r="48" spans="1:80" ht="12.9" customHeight="1" x14ac:dyDescent="0.2">
      <c r="A48" s="777"/>
      <c r="B48" s="178" t="s">
        <v>200</v>
      </c>
      <c r="C48" s="170"/>
      <c r="D48" s="170">
        <f>'[10]Hoja 1'!$C$120</f>
        <v>7663600</v>
      </c>
      <c r="E48" s="170">
        <v>241842440</v>
      </c>
      <c r="F48" s="170">
        <v>241842440</v>
      </c>
      <c r="G48" s="170">
        <v>20000000</v>
      </c>
      <c r="H48" s="170"/>
      <c r="I48" s="170"/>
      <c r="J48" s="170"/>
      <c r="K48" s="170"/>
      <c r="L48" s="170"/>
      <c r="M48" s="170"/>
      <c r="N48" s="170"/>
      <c r="O48" s="170">
        <f>+SUM(C48:N48)</f>
        <v>511348480</v>
      </c>
      <c r="P48" s="768"/>
    </row>
    <row r="49" spans="1:25" ht="12.9" customHeight="1" x14ac:dyDescent="0.2">
      <c r="A49" s="777"/>
      <c r="B49" s="178" t="s">
        <v>201</v>
      </c>
      <c r="C49" s="170">
        <f>'[9]Hoja 1'!$C$117</f>
        <v>16800</v>
      </c>
      <c r="D49" s="170"/>
      <c r="E49" s="170">
        <v>241842440</v>
      </c>
      <c r="F49" s="170">
        <v>241842440</v>
      </c>
      <c r="G49" s="170">
        <v>20000000</v>
      </c>
      <c r="H49" s="170"/>
      <c r="I49" s="170"/>
      <c r="J49" s="170"/>
      <c r="K49" s="170"/>
      <c r="L49" s="170"/>
      <c r="M49" s="170"/>
      <c r="N49" s="170"/>
      <c r="O49" s="170">
        <f>+SUM(C49:N49)</f>
        <v>503701680</v>
      </c>
      <c r="P49" s="768"/>
    </row>
    <row r="50" spans="1:25" ht="12.9" customHeight="1" x14ac:dyDescent="0.2">
      <c r="A50" s="777"/>
      <c r="B50" s="173" t="s">
        <v>202</v>
      </c>
      <c r="C50" s="920"/>
      <c r="D50" s="920"/>
      <c r="E50" s="920">
        <v>241842440</v>
      </c>
      <c r="F50" s="920">
        <v>241842440</v>
      </c>
      <c r="G50" s="920">
        <v>20000000</v>
      </c>
      <c r="H50" s="920"/>
      <c r="I50" s="920"/>
      <c r="J50" s="920"/>
      <c r="K50" s="920"/>
      <c r="L50" s="920"/>
      <c r="M50" s="920"/>
      <c r="N50" s="920"/>
      <c r="O50" s="170">
        <f>+SUM(C50:N50)</f>
        <v>503684880</v>
      </c>
      <c r="P50" s="768"/>
    </row>
    <row r="51" spans="1:25" ht="12.9" customHeight="1" x14ac:dyDescent="0.2">
      <c r="A51" s="777" t="s">
        <v>203</v>
      </c>
      <c r="B51" s="175" t="s">
        <v>204</v>
      </c>
      <c r="C51" s="903">
        <f>'[9]Hoja 1'!$C$118</f>
        <v>296500</v>
      </c>
      <c r="D51" s="903">
        <f>'[10]Hoja 1'!$C$121</f>
        <v>183400</v>
      </c>
      <c r="E51" s="903">
        <v>241842440</v>
      </c>
      <c r="F51" s="903">
        <v>241842440</v>
      </c>
      <c r="G51" s="903">
        <v>20000000</v>
      </c>
      <c r="H51" s="903"/>
      <c r="I51" s="903"/>
      <c r="J51" s="903"/>
      <c r="K51" s="903"/>
      <c r="L51" s="903"/>
      <c r="M51" s="903"/>
      <c r="N51" s="903"/>
      <c r="O51" s="435">
        <f>+SUM(C51:N51)</f>
        <v>504164780</v>
      </c>
      <c r="P51" s="768"/>
    </row>
    <row r="52" spans="1:25" s="116" customFormat="1" ht="15" customHeight="1" x14ac:dyDescent="0.2">
      <c r="A52" s="775"/>
      <c r="B52" s="157" t="s">
        <v>205</v>
      </c>
      <c r="C52" s="111">
        <f>SUM(C53:C58)</f>
        <v>9015375</v>
      </c>
      <c r="D52" s="969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120000000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3035451829</v>
      </c>
      <c r="P52" s="768"/>
    </row>
    <row r="53" spans="1:25" ht="12.9" customHeight="1" x14ac:dyDescent="0.2">
      <c r="A53" s="777" t="s">
        <v>206</v>
      </c>
      <c r="B53" s="173" t="s">
        <v>60</v>
      </c>
      <c r="C53" s="404">
        <f>'[9]Hoja 1'!$C$123</f>
        <v>5372255</v>
      </c>
      <c r="D53" s="404">
        <f>'[10]Hoja 1'!$C$126</f>
        <v>1894710</v>
      </c>
      <c r="E53" s="404">
        <v>241842440</v>
      </c>
      <c r="F53" s="404">
        <v>241842440</v>
      </c>
      <c r="G53" s="404">
        <v>20000000</v>
      </c>
      <c r="H53" s="404"/>
      <c r="I53" s="404"/>
      <c r="J53" s="404"/>
      <c r="K53" s="404"/>
      <c r="L53" s="404"/>
      <c r="M53" s="404"/>
      <c r="N53" s="926"/>
      <c r="O53" s="170">
        <f t="shared" ref="O53:O58" si="10">+SUM(C53:N53)</f>
        <v>510951845</v>
      </c>
      <c r="P53" s="768"/>
    </row>
    <row r="54" spans="1:25" ht="12.9" customHeight="1" x14ac:dyDescent="0.2">
      <c r="A54" s="777" t="s">
        <v>207</v>
      </c>
      <c r="B54" s="173" t="s">
        <v>61</v>
      </c>
      <c r="C54" s="170"/>
      <c r="D54" s="170">
        <f>'[10]Hoja 1'!$C$128-318000+'[10]Hoja 1'!$C$129</f>
        <v>2114464</v>
      </c>
      <c r="E54" s="977">
        <v>241842440</v>
      </c>
      <c r="F54" s="170">
        <v>241842440</v>
      </c>
      <c r="G54" s="170">
        <v>20000000</v>
      </c>
      <c r="H54" s="170"/>
      <c r="I54" s="170"/>
      <c r="J54" s="170"/>
      <c r="K54" s="170"/>
      <c r="L54" s="170"/>
      <c r="M54" s="170"/>
      <c r="N54" s="925"/>
      <c r="O54" s="170">
        <f t="shared" si="10"/>
        <v>505799344</v>
      </c>
      <c r="P54" s="768"/>
    </row>
    <row r="55" spans="1:25" ht="12.9" customHeight="1" x14ac:dyDescent="0.2">
      <c r="A55" s="777"/>
      <c r="B55" s="173" t="s">
        <v>62</v>
      </c>
      <c r="C55" s="170"/>
      <c r="D55" s="170"/>
      <c r="E55" s="170">
        <v>241842440</v>
      </c>
      <c r="F55" s="170">
        <v>241842440</v>
      </c>
      <c r="G55" s="170">
        <v>20000000</v>
      </c>
      <c r="H55" s="170"/>
      <c r="I55" s="170"/>
      <c r="J55" s="170"/>
      <c r="K55" s="170"/>
      <c r="L55" s="170"/>
      <c r="M55" s="170"/>
      <c r="N55" s="170"/>
      <c r="O55" s="170">
        <f t="shared" si="10"/>
        <v>503684880</v>
      </c>
      <c r="P55" s="768"/>
    </row>
    <row r="56" spans="1:25" ht="12.9" customHeight="1" x14ac:dyDescent="0.2">
      <c r="A56" s="777" t="s">
        <v>208</v>
      </c>
      <c r="B56" s="173" t="s">
        <v>209</v>
      </c>
      <c r="C56" s="170">
        <f>'[9]Hoja 1'!$C$158</f>
        <v>253040</v>
      </c>
      <c r="D56" s="170">
        <v>318000</v>
      </c>
      <c r="E56" s="170">
        <v>241842440</v>
      </c>
      <c r="F56" s="170">
        <v>241842440</v>
      </c>
      <c r="G56" s="170">
        <v>20000000</v>
      </c>
      <c r="H56" s="170"/>
      <c r="I56" s="170"/>
      <c r="J56" s="170"/>
      <c r="K56" s="170"/>
      <c r="L56" s="170"/>
      <c r="M56" s="170"/>
      <c r="N56" s="925"/>
      <c r="O56" s="170">
        <f t="shared" si="10"/>
        <v>504255920</v>
      </c>
      <c r="P56" s="768"/>
    </row>
    <row r="57" spans="1:25" ht="12.9" customHeight="1" x14ac:dyDescent="0.2">
      <c r="A57" s="777" t="s">
        <v>210</v>
      </c>
      <c r="B57" s="173" t="s">
        <v>211</v>
      </c>
      <c r="C57" s="435">
        <f>'[9]Hoja 1'!$C$127</f>
        <v>3115080</v>
      </c>
      <c r="D57" s="435"/>
      <c r="E57" s="435">
        <v>241842440</v>
      </c>
      <c r="F57" s="435">
        <v>241842440</v>
      </c>
      <c r="G57" s="435">
        <v>20000000</v>
      </c>
      <c r="H57" s="435"/>
      <c r="I57" s="435"/>
      <c r="J57" s="435"/>
      <c r="K57" s="435"/>
      <c r="L57" s="435"/>
      <c r="M57" s="435"/>
      <c r="N57" s="435"/>
      <c r="O57" s="170">
        <f t="shared" si="10"/>
        <v>506799960</v>
      </c>
      <c r="P57" s="771"/>
    </row>
    <row r="58" spans="1:25" ht="12.9" customHeight="1" x14ac:dyDescent="0.2">
      <c r="A58" s="777" t="s">
        <v>207</v>
      </c>
      <c r="B58" s="173" t="s">
        <v>212</v>
      </c>
      <c r="C58" s="405">
        <f>'[9]Hoja 1'!$C$125</f>
        <v>275000</v>
      </c>
      <c r="D58" s="405"/>
      <c r="E58" s="978">
        <v>241842440</v>
      </c>
      <c r="F58" s="405">
        <v>241842440</v>
      </c>
      <c r="G58" s="405">
        <v>20000000</v>
      </c>
      <c r="H58" s="405"/>
      <c r="I58" s="405"/>
      <c r="J58" s="405"/>
      <c r="K58" s="405"/>
      <c r="L58" s="405"/>
      <c r="M58" s="405"/>
      <c r="N58" s="405"/>
      <c r="O58" s="170">
        <f t="shared" si="10"/>
        <v>503959880</v>
      </c>
      <c r="P58" s="768"/>
    </row>
    <row r="59" spans="1:25" ht="15" customHeight="1" x14ac:dyDescent="0.2">
      <c r="A59" s="775"/>
      <c r="B59" s="921" t="s">
        <v>98</v>
      </c>
      <c r="C59" s="407">
        <f>SUM(C60:C61)</f>
        <v>0</v>
      </c>
      <c r="D59" s="971">
        <f>SUM(D60:D61)</f>
        <v>0</v>
      </c>
      <c r="E59" s="407">
        <f>SUM(E60:E61)</f>
        <v>483684880</v>
      </c>
      <c r="F59" s="407"/>
      <c r="G59" s="407">
        <f t="shared" ref="G59:O59" si="11">SUM(G60:G61)</f>
        <v>40000000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1007369760</v>
      </c>
      <c r="P59" s="768"/>
    </row>
    <row r="60" spans="1:25" s="143" customFormat="1" ht="12.9" customHeight="1" x14ac:dyDescent="0.2">
      <c r="A60" s="800"/>
      <c r="B60" s="939" t="s">
        <v>213</v>
      </c>
      <c r="C60" s="169"/>
      <c r="D60" s="169"/>
      <c r="E60" s="169">
        <v>241842440</v>
      </c>
      <c r="F60" s="169">
        <v>241842440</v>
      </c>
      <c r="G60" s="169">
        <v>20000000</v>
      </c>
      <c r="H60" s="169"/>
      <c r="I60" s="169"/>
      <c r="J60" s="169"/>
      <c r="K60" s="169"/>
      <c r="L60" s="169"/>
      <c r="M60" s="169"/>
      <c r="N60" s="169"/>
      <c r="O60" s="170">
        <f>+SUM(C60:N60)</f>
        <v>503684880</v>
      </c>
      <c r="P60" s="772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0"/>
      <c r="B61" s="177" t="s">
        <v>102</v>
      </c>
      <c r="C61" s="917"/>
      <c r="D61" s="917"/>
      <c r="E61" s="917">
        <v>241842440</v>
      </c>
      <c r="F61" s="917">
        <v>241842440</v>
      </c>
      <c r="G61" s="917">
        <v>20000000</v>
      </c>
      <c r="H61" s="917"/>
      <c r="I61" s="917"/>
      <c r="J61" s="917"/>
      <c r="K61" s="917"/>
      <c r="L61" s="917"/>
      <c r="M61" s="917"/>
      <c r="N61" s="917"/>
      <c r="O61" s="170">
        <f>+SUM(C61:N61)</f>
        <v>503684880</v>
      </c>
      <c r="P61" s="772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5"/>
      <c r="B62" s="110" t="s">
        <v>103</v>
      </c>
      <c r="C62" s="111">
        <f>SUM(C63:C65)</f>
        <v>0</v>
      </c>
      <c r="D62" s="969">
        <f>SUM(D63:D65)</f>
        <v>0</v>
      </c>
      <c r="E62" s="111">
        <f>SUM(E63:E65)</f>
        <v>725527320</v>
      </c>
      <c r="F62" s="111"/>
      <c r="G62" s="111">
        <f t="shared" ref="G62:O62" si="12">SUM(G63:G65)</f>
        <v>60000000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1511054640</v>
      </c>
      <c r="P62" s="768"/>
    </row>
    <row r="63" spans="1:25" ht="12.9" customHeight="1" x14ac:dyDescent="0.2">
      <c r="A63" s="777" t="s">
        <v>214</v>
      </c>
      <c r="B63" s="172" t="s">
        <v>215</v>
      </c>
      <c r="C63" s="404"/>
      <c r="D63" s="404"/>
      <c r="E63" s="404">
        <v>241842440</v>
      </c>
      <c r="F63" s="404">
        <v>241842440</v>
      </c>
      <c r="G63" s="404">
        <v>20000000</v>
      </c>
      <c r="H63" s="404"/>
      <c r="I63" s="404"/>
      <c r="J63" s="404"/>
      <c r="K63" s="404"/>
      <c r="L63" s="404"/>
      <c r="M63" s="404"/>
      <c r="N63" s="404"/>
      <c r="O63" s="433">
        <f>+SUM(C63:N63)</f>
        <v>503684880</v>
      </c>
      <c r="P63" s="768"/>
    </row>
    <row r="64" spans="1:25" ht="12.9" customHeight="1" x14ac:dyDescent="0.2">
      <c r="A64" s="777" t="s">
        <v>216</v>
      </c>
      <c r="B64" s="178" t="s">
        <v>107</v>
      </c>
      <c r="C64" s="170"/>
      <c r="D64" s="170"/>
      <c r="E64" s="922">
        <v>241842440</v>
      </c>
      <c r="F64" s="170">
        <v>241842440</v>
      </c>
      <c r="G64" s="170">
        <v>20000000</v>
      </c>
      <c r="H64" s="170"/>
      <c r="I64" s="170"/>
      <c r="J64" s="170"/>
      <c r="K64" s="170"/>
      <c r="L64" s="170"/>
      <c r="M64" s="170"/>
      <c r="N64" s="170"/>
      <c r="O64" s="403">
        <f>+SUM(C64:N64)</f>
        <v>503684880</v>
      </c>
      <c r="P64" s="768"/>
    </row>
    <row r="65" spans="1:82" ht="12.9" customHeight="1" x14ac:dyDescent="0.2">
      <c r="A65" s="777"/>
      <c r="B65" s="174" t="s">
        <v>109</v>
      </c>
      <c r="C65" s="405"/>
      <c r="D65" s="405"/>
      <c r="E65" s="405">
        <v>241842440</v>
      </c>
      <c r="F65" s="405">
        <v>241842440</v>
      </c>
      <c r="G65" s="405">
        <v>20000000</v>
      </c>
      <c r="H65" s="405"/>
      <c r="I65" s="405"/>
      <c r="J65" s="405"/>
      <c r="K65" s="405"/>
      <c r="L65" s="405"/>
      <c r="M65" s="408"/>
      <c r="N65" s="408"/>
      <c r="O65" s="408">
        <f>+SUM(C65:N65)</f>
        <v>503684880</v>
      </c>
      <c r="P65" s="768"/>
    </row>
    <row r="66" spans="1:82" s="116" customFormat="1" ht="15" customHeight="1" x14ac:dyDescent="0.2">
      <c r="A66" s="775"/>
      <c r="B66" s="739" t="s">
        <v>110</v>
      </c>
      <c r="C66" s="111">
        <f>SUM(C67:C88)</f>
        <v>57576577.850000001</v>
      </c>
      <c r="D66" s="969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440000000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11228623222.529999</v>
      </c>
      <c r="P66" s="768"/>
    </row>
    <row r="67" spans="1:82" s="116" customFormat="1" ht="12.9" customHeight="1" x14ac:dyDescent="0.2">
      <c r="A67" s="777" t="s">
        <v>217</v>
      </c>
      <c r="B67" s="172" t="s">
        <v>112</v>
      </c>
      <c r="C67" s="404">
        <f>'[9]Hoja 1'!$C$133</f>
        <v>5120451</v>
      </c>
      <c r="D67" s="404">
        <f>'[10]Hoja 1'!$C$135</f>
        <v>1900000</v>
      </c>
      <c r="E67" s="404">
        <v>241842440</v>
      </c>
      <c r="F67" s="404">
        <v>241842440</v>
      </c>
      <c r="G67" s="404">
        <v>20000000</v>
      </c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510705331</v>
      </c>
      <c r="P67" s="768"/>
    </row>
    <row r="68" spans="1:82" s="116" customFormat="1" ht="12.9" customHeight="1" x14ac:dyDescent="0.2">
      <c r="A68" s="777"/>
      <c r="B68" s="178" t="s">
        <v>218</v>
      </c>
      <c r="C68" s="170"/>
      <c r="D68" s="170"/>
      <c r="E68" s="170">
        <v>241842440</v>
      </c>
      <c r="F68" s="170">
        <v>241842440</v>
      </c>
      <c r="G68" s="923">
        <v>20000000</v>
      </c>
      <c r="H68" s="170"/>
      <c r="I68" s="170"/>
      <c r="J68" s="170"/>
      <c r="K68" s="170"/>
      <c r="L68" s="170"/>
      <c r="M68" s="170"/>
      <c r="N68" s="170"/>
      <c r="O68" s="170">
        <f t="shared" si="14"/>
        <v>503684880</v>
      </c>
      <c r="P68" s="768"/>
    </row>
    <row r="69" spans="1:82" ht="12.9" customHeight="1" x14ac:dyDescent="0.2">
      <c r="A69" s="777" t="s">
        <v>219</v>
      </c>
      <c r="B69" s="178" t="s">
        <v>220</v>
      </c>
      <c r="C69" s="171">
        <f>'[9]Hoja 1'!$C$135</f>
        <v>3232020.85</v>
      </c>
      <c r="D69" s="171">
        <f>'[10]Hoja 1'!$C$137</f>
        <v>90000</v>
      </c>
      <c r="E69" s="171">
        <v>241842440</v>
      </c>
      <c r="F69" s="171">
        <v>241842440</v>
      </c>
      <c r="G69" s="171">
        <v>20000000</v>
      </c>
      <c r="H69" s="171"/>
      <c r="I69" s="171"/>
      <c r="J69" s="171"/>
      <c r="K69" s="171"/>
      <c r="L69" s="171"/>
      <c r="M69" s="171"/>
      <c r="N69" s="171"/>
      <c r="O69" s="170">
        <f t="shared" si="14"/>
        <v>507006900.85000002</v>
      </c>
      <c r="P69" s="771"/>
    </row>
    <row r="70" spans="1:82" s="143" customFormat="1" ht="12.9" customHeight="1" x14ac:dyDescent="0.2">
      <c r="A70" s="777" t="s">
        <v>221</v>
      </c>
      <c r="B70" s="178" t="s">
        <v>222</v>
      </c>
      <c r="C70" s="171">
        <f>'[9]Hoja 1'!$C$137+'[9]Hoja 1'!$C$402</f>
        <v>1128406</v>
      </c>
      <c r="D70" s="171">
        <f>'[10]Hoja 1'!$C$139</f>
        <v>15441534</v>
      </c>
      <c r="E70" s="171">
        <v>241842440</v>
      </c>
      <c r="F70" s="171">
        <v>241842440</v>
      </c>
      <c r="G70" s="171">
        <v>20000000</v>
      </c>
      <c r="H70" s="171"/>
      <c r="I70" s="171"/>
      <c r="J70" s="171"/>
      <c r="K70" s="171"/>
      <c r="L70" s="171"/>
      <c r="M70" s="171"/>
      <c r="N70" s="171"/>
      <c r="O70" s="170">
        <f t="shared" si="14"/>
        <v>520254820</v>
      </c>
      <c r="P70" s="768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7" t="s">
        <v>223</v>
      </c>
      <c r="B71" s="178" t="s">
        <v>224</v>
      </c>
      <c r="C71" s="171"/>
      <c r="D71" s="171"/>
      <c r="E71" s="171">
        <v>241842440</v>
      </c>
      <c r="F71" s="171">
        <v>241842440</v>
      </c>
      <c r="G71" s="171">
        <v>20000000</v>
      </c>
      <c r="H71" s="171"/>
      <c r="I71" s="171"/>
      <c r="J71" s="171"/>
      <c r="K71" s="171"/>
      <c r="L71" s="171"/>
      <c r="M71" s="171"/>
      <c r="N71" s="171"/>
      <c r="O71" s="170">
        <f t="shared" si="14"/>
        <v>503684880</v>
      </c>
      <c r="P71" s="768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7" t="s">
        <v>225</v>
      </c>
      <c r="B72" s="178" t="s">
        <v>226</v>
      </c>
      <c r="C72" s="171">
        <v>964175</v>
      </c>
      <c r="D72" s="171">
        <v>1186883</v>
      </c>
      <c r="E72" s="171">
        <v>241842440</v>
      </c>
      <c r="F72" s="171">
        <v>241842440</v>
      </c>
      <c r="G72" s="171">
        <v>20000000</v>
      </c>
      <c r="H72" s="171"/>
      <c r="I72" s="171"/>
      <c r="J72" s="171"/>
      <c r="K72" s="171"/>
      <c r="L72" s="171"/>
      <c r="M72" s="171"/>
      <c r="N72" s="171"/>
      <c r="O72" s="170">
        <f t="shared" si="14"/>
        <v>505835938</v>
      </c>
      <c r="P72" s="768"/>
    </row>
    <row r="73" spans="1:82" ht="12.9" customHeight="1" x14ac:dyDescent="0.2">
      <c r="A73" s="777" t="s">
        <v>227</v>
      </c>
      <c r="B73" s="178" t="s">
        <v>228</v>
      </c>
      <c r="C73" s="171">
        <f>'[9]Hoja 1'!$C$141</f>
        <v>1213800</v>
      </c>
      <c r="D73" s="171">
        <f>'[10]Hoja 1'!$C$143</f>
        <v>1273497</v>
      </c>
      <c r="E73" s="171">
        <v>241842440</v>
      </c>
      <c r="F73" s="171">
        <v>241842440</v>
      </c>
      <c r="G73" s="171">
        <v>20000000</v>
      </c>
      <c r="H73" s="171"/>
      <c r="I73" s="171"/>
      <c r="J73" s="171"/>
      <c r="K73" s="171"/>
      <c r="L73" s="171"/>
      <c r="M73" s="171"/>
      <c r="N73" s="171"/>
      <c r="O73" s="170">
        <f t="shared" si="14"/>
        <v>506172177</v>
      </c>
      <c r="P73" s="768"/>
    </row>
    <row r="74" spans="1:82" ht="12.9" customHeight="1" x14ac:dyDescent="0.2">
      <c r="A74" s="777" t="s">
        <v>229</v>
      </c>
      <c r="B74" s="178" t="s">
        <v>230</v>
      </c>
      <c r="C74" s="171">
        <f>'[9]Hoja 1'!$C$143</f>
        <v>485159</v>
      </c>
      <c r="D74" s="171">
        <f>'[10]Hoja 1'!$C$145</f>
        <v>679316</v>
      </c>
      <c r="E74" s="171">
        <v>241842440</v>
      </c>
      <c r="F74" s="171">
        <v>241842440</v>
      </c>
      <c r="G74" s="171">
        <v>20000000</v>
      </c>
      <c r="H74" s="171"/>
      <c r="I74" s="171"/>
      <c r="J74" s="171"/>
      <c r="K74" s="171"/>
      <c r="L74" s="171"/>
      <c r="M74" s="171"/>
      <c r="N74" s="171"/>
      <c r="O74" s="170">
        <f t="shared" si="14"/>
        <v>504849355</v>
      </c>
      <c r="P74" s="768"/>
    </row>
    <row r="75" spans="1:82" ht="12.9" customHeight="1" x14ac:dyDescent="0.2">
      <c r="A75" s="777" t="s">
        <v>231</v>
      </c>
      <c r="B75" s="178" t="s">
        <v>232</v>
      </c>
      <c r="C75" s="171">
        <f>'[9]Hoja 1'!$C$145</f>
        <v>882585</v>
      </c>
      <c r="D75" s="171">
        <f>'[10]Hoja 1'!$C$147</f>
        <v>2961768.68</v>
      </c>
      <c r="E75" s="171">
        <v>241842440</v>
      </c>
      <c r="F75" s="171">
        <v>241842440</v>
      </c>
      <c r="G75" s="171">
        <v>20000000</v>
      </c>
      <c r="H75" s="171"/>
      <c r="I75" s="171"/>
      <c r="J75" s="171"/>
      <c r="K75" s="171"/>
      <c r="L75" s="171"/>
      <c r="M75" s="171"/>
      <c r="N75" s="171"/>
      <c r="O75" s="170">
        <f t="shared" si="14"/>
        <v>507529233.68000001</v>
      </c>
      <c r="P75" s="768"/>
    </row>
    <row r="76" spans="1:82" ht="12.9" customHeight="1" x14ac:dyDescent="0.2">
      <c r="A76" s="777" t="s">
        <v>233</v>
      </c>
      <c r="B76" s="178" t="s">
        <v>234</v>
      </c>
      <c r="C76" s="171">
        <f>'[9]Hoja 1'!$C$148</f>
        <v>33900</v>
      </c>
      <c r="D76" s="171">
        <f>'[10]Hoja 1'!$C$150</f>
        <v>27100</v>
      </c>
      <c r="E76" s="171">
        <v>241842440</v>
      </c>
      <c r="F76" s="171">
        <v>241842440</v>
      </c>
      <c r="G76" s="171">
        <v>20000000</v>
      </c>
      <c r="H76" s="171"/>
      <c r="I76" s="171"/>
      <c r="J76" s="171"/>
      <c r="K76" s="171"/>
      <c r="L76" s="171"/>
      <c r="M76" s="171"/>
      <c r="N76" s="171"/>
      <c r="O76" s="170">
        <f t="shared" si="14"/>
        <v>503745880</v>
      </c>
      <c r="P76" s="768"/>
    </row>
    <row r="77" spans="1:82" ht="12.9" customHeight="1" x14ac:dyDescent="0.2">
      <c r="A77" s="777" t="s">
        <v>235</v>
      </c>
      <c r="B77" s="178" t="s">
        <v>236</v>
      </c>
      <c r="C77" s="171">
        <f>'[9]Hoja 1'!$C$150</f>
        <v>1927200</v>
      </c>
      <c r="D77" s="171">
        <f>'[10]Hoja 1'!$C$152</f>
        <v>2470200</v>
      </c>
      <c r="E77" s="171">
        <v>241842440</v>
      </c>
      <c r="F77" s="171">
        <v>241842440</v>
      </c>
      <c r="G77" s="171">
        <v>20000000</v>
      </c>
      <c r="H77" s="171"/>
      <c r="I77" s="171"/>
      <c r="J77" s="171"/>
      <c r="K77" s="171"/>
      <c r="L77" s="171"/>
      <c r="M77" s="171"/>
      <c r="N77" s="171"/>
      <c r="O77" s="170">
        <f t="shared" si="14"/>
        <v>508082280</v>
      </c>
      <c r="P77" s="768"/>
    </row>
    <row r="78" spans="1:82" s="143" customFormat="1" ht="12.9" customHeight="1" x14ac:dyDescent="0.2">
      <c r="A78" s="777" t="s">
        <v>237</v>
      </c>
      <c r="B78" s="176" t="s">
        <v>238</v>
      </c>
      <c r="C78" s="924">
        <f>'[9]Hoja 1'!$C$152</f>
        <v>5349907</v>
      </c>
      <c r="D78" s="170">
        <f>'[10]Hoja 1'!$C$154</f>
        <v>508300</v>
      </c>
      <c r="E78" s="170">
        <v>241842440</v>
      </c>
      <c r="F78" s="170">
        <v>241842440</v>
      </c>
      <c r="G78" s="170">
        <v>20000000</v>
      </c>
      <c r="H78" s="170"/>
      <c r="I78" s="170"/>
      <c r="J78" s="170"/>
      <c r="K78" s="170"/>
      <c r="L78" s="170"/>
      <c r="M78" s="170"/>
      <c r="N78" s="170"/>
      <c r="O78" s="170">
        <f t="shared" si="14"/>
        <v>509543087</v>
      </c>
      <c r="P78" s="768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7" t="s">
        <v>239</v>
      </c>
      <c r="B79" s="176" t="s">
        <v>130</v>
      </c>
      <c r="C79" s="170">
        <f>'[9]Hoja 1'!$C$153</f>
        <v>3927000</v>
      </c>
      <c r="D79" s="170">
        <f>'[10]Hoja 1'!$C$155</f>
        <v>319799</v>
      </c>
      <c r="E79" s="170">
        <v>241842440</v>
      </c>
      <c r="F79" s="170">
        <v>241842440</v>
      </c>
      <c r="G79" s="170">
        <v>20000000</v>
      </c>
      <c r="H79" s="170"/>
      <c r="I79" s="170"/>
      <c r="J79" s="170"/>
      <c r="K79" s="170"/>
      <c r="L79" s="170"/>
      <c r="M79" s="170"/>
      <c r="N79" s="170"/>
      <c r="O79" s="170">
        <f t="shared" si="14"/>
        <v>507931679</v>
      </c>
      <c r="P79" s="768"/>
    </row>
    <row r="80" spans="1:82" ht="12.9" customHeight="1" x14ac:dyDescent="0.2">
      <c r="A80" s="777" t="s">
        <v>240</v>
      </c>
      <c r="B80" s="178" t="s">
        <v>241</v>
      </c>
      <c r="C80" s="170">
        <f>'[9]Hoja 1'!$C$154</f>
        <v>800000</v>
      </c>
      <c r="D80" s="170">
        <f>'[10]Hoja 1'!$C$156</f>
        <v>800000</v>
      </c>
      <c r="E80" s="170">
        <v>241842440</v>
      </c>
      <c r="F80" s="170">
        <v>241842440</v>
      </c>
      <c r="G80" s="170">
        <v>20000000</v>
      </c>
      <c r="H80" s="170"/>
      <c r="I80" s="170"/>
      <c r="J80" s="170"/>
      <c r="K80" s="170"/>
      <c r="L80" s="170"/>
      <c r="M80" s="170"/>
      <c r="N80" s="170"/>
      <c r="O80" s="170">
        <f t="shared" si="14"/>
        <v>505284880</v>
      </c>
      <c r="P80" s="768"/>
    </row>
    <row r="81" spans="1:80" ht="12.9" customHeight="1" x14ac:dyDescent="0.2">
      <c r="A81" s="777">
        <v>51959510</v>
      </c>
      <c r="B81" s="178" t="s">
        <v>242</v>
      </c>
      <c r="C81" s="170">
        <f>'[9]Hoja 1'!$C$156</f>
        <v>2178708</v>
      </c>
      <c r="D81" s="170">
        <f>'[10]Hoja 1'!$C$159</f>
        <v>4623150</v>
      </c>
      <c r="E81" s="170">
        <v>241842440</v>
      </c>
      <c r="F81" s="170">
        <v>241842440</v>
      </c>
      <c r="G81" s="170">
        <v>20000000</v>
      </c>
      <c r="H81" s="170"/>
      <c r="I81" s="170"/>
      <c r="J81" s="170"/>
      <c r="K81" s="170"/>
      <c r="L81" s="170"/>
      <c r="M81" s="170"/>
      <c r="N81" s="927"/>
      <c r="O81" s="170">
        <f t="shared" si="14"/>
        <v>510486738</v>
      </c>
      <c r="P81" s="768"/>
    </row>
    <row r="82" spans="1:80" s="143" customFormat="1" ht="12.9" customHeight="1" x14ac:dyDescent="0.2">
      <c r="A82" s="800" t="s">
        <v>243</v>
      </c>
      <c r="B82" s="176" t="s">
        <v>244</v>
      </c>
      <c r="C82" s="170">
        <f>'[9]Hoja 1'!$C$157</f>
        <v>2519100</v>
      </c>
      <c r="D82" s="170">
        <f>'[10]Hoja 1'!$C$160</f>
        <v>10566388</v>
      </c>
      <c r="E82" s="170">
        <v>241842440</v>
      </c>
      <c r="F82" s="170">
        <v>241842440</v>
      </c>
      <c r="G82" s="170">
        <v>20000000</v>
      </c>
      <c r="H82" s="170"/>
      <c r="I82" s="170"/>
      <c r="J82" s="170"/>
      <c r="K82" s="170"/>
      <c r="L82" s="170"/>
      <c r="M82" s="436"/>
      <c r="N82" s="906"/>
      <c r="O82" s="170">
        <f t="shared" si="14"/>
        <v>516770368</v>
      </c>
      <c r="P82" s="772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7" t="s">
        <v>245</v>
      </c>
      <c r="B83" s="178" t="s">
        <v>246</v>
      </c>
      <c r="C83" s="392">
        <f>'[9]Hoja 1'!$C$159</f>
        <v>342720</v>
      </c>
      <c r="D83" s="392">
        <f>'[10]Hoja 1'!$C$161</f>
        <v>5834000</v>
      </c>
      <c r="E83" s="392">
        <v>241842440</v>
      </c>
      <c r="F83" s="392">
        <v>241842440</v>
      </c>
      <c r="G83" s="392">
        <v>20000000</v>
      </c>
      <c r="H83" s="392"/>
      <c r="I83" s="392"/>
      <c r="J83" s="392"/>
      <c r="K83" s="392"/>
      <c r="L83" s="392"/>
      <c r="M83" s="392"/>
      <c r="N83" s="392"/>
      <c r="O83" s="170">
        <f t="shared" si="14"/>
        <v>509861600</v>
      </c>
      <c r="P83" s="768"/>
    </row>
    <row r="84" spans="1:80" ht="12.9" customHeight="1" x14ac:dyDescent="0.2">
      <c r="A84" s="777" t="s">
        <v>247</v>
      </c>
      <c r="B84" s="178" t="s">
        <v>248</v>
      </c>
      <c r="C84" s="170">
        <f>'[9]Hoja 1'!$C$160</f>
        <v>22363060</v>
      </c>
      <c r="D84" s="170">
        <f>'[10]Hoja 1'!$C$162</f>
        <v>34962540</v>
      </c>
      <c r="E84" s="170">
        <v>241842440</v>
      </c>
      <c r="F84" s="170">
        <v>241842440</v>
      </c>
      <c r="G84" s="170">
        <v>20000000</v>
      </c>
      <c r="H84" s="170"/>
      <c r="I84" s="170"/>
      <c r="J84" s="170"/>
      <c r="K84" s="170"/>
      <c r="L84" s="170"/>
      <c r="M84" s="170"/>
      <c r="N84" s="170"/>
      <c r="O84" s="170">
        <f t="shared" si="14"/>
        <v>561010480</v>
      </c>
      <c r="P84" s="768"/>
    </row>
    <row r="85" spans="1:80" ht="12.9" customHeight="1" x14ac:dyDescent="0.2">
      <c r="A85" s="777" t="s">
        <v>249</v>
      </c>
      <c r="B85" s="178" t="s">
        <v>250</v>
      </c>
      <c r="C85" s="171">
        <f>'[9]Hoja 1'!$C$155</f>
        <v>4464808</v>
      </c>
      <c r="D85" s="171">
        <f>'[10]Hoja 1'!$C$157</f>
        <v>3939537</v>
      </c>
      <c r="E85" s="171">
        <v>241842440</v>
      </c>
      <c r="F85" s="171">
        <v>241842440</v>
      </c>
      <c r="G85" s="171">
        <v>20000000</v>
      </c>
      <c r="H85" s="171"/>
      <c r="I85" s="171"/>
      <c r="J85" s="171"/>
      <c r="K85" s="171"/>
      <c r="L85" s="171"/>
      <c r="M85" s="171"/>
      <c r="N85" s="171"/>
      <c r="O85" s="170">
        <f t="shared" si="14"/>
        <v>512089225</v>
      </c>
      <c r="P85" s="768"/>
    </row>
    <row r="86" spans="1:80" ht="12.9" customHeight="1" x14ac:dyDescent="0.2">
      <c r="A86" s="777"/>
      <c r="B86" s="711" t="s">
        <v>251</v>
      </c>
      <c r="C86" s="924"/>
      <c r="D86" s="924"/>
      <c r="E86" s="924">
        <v>241842440</v>
      </c>
      <c r="F86" s="924">
        <v>241842440</v>
      </c>
      <c r="G86" s="924">
        <v>20000000</v>
      </c>
      <c r="H86" s="924"/>
      <c r="I86" s="924"/>
      <c r="J86" s="906"/>
      <c r="K86" s="924"/>
      <c r="L86" s="924"/>
      <c r="M86" s="924"/>
      <c r="N86" s="924"/>
      <c r="O86" s="436">
        <f t="shared" si="14"/>
        <v>503684880</v>
      </c>
      <c r="P86" s="768"/>
    </row>
    <row r="87" spans="1:80" ht="12.9" customHeight="1" x14ac:dyDescent="0.2">
      <c r="A87" s="778" t="s">
        <v>252</v>
      </c>
      <c r="B87" s="711" t="s">
        <v>253</v>
      </c>
      <c r="C87" s="924"/>
      <c r="D87" s="924">
        <f>'[10]Hoja 1'!$C$164</f>
        <v>1751694</v>
      </c>
      <c r="E87" s="924">
        <v>241842440</v>
      </c>
      <c r="F87" s="924">
        <v>241842440</v>
      </c>
      <c r="G87" s="924">
        <v>20000000</v>
      </c>
      <c r="H87" s="924"/>
      <c r="I87" s="924"/>
      <c r="J87" s="924"/>
      <c r="K87" s="924"/>
      <c r="L87" s="924"/>
      <c r="M87" s="924"/>
      <c r="N87" s="924"/>
      <c r="O87" s="436">
        <f t="shared" si="14"/>
        <v>505436574</v>
      </c>
      <c r="P87" s="768"/>
    </row>
    <row r="88" spans="1:80" ht="12.9" customHeight="1" x14ac:dyDescent="0.2">
      <c r="A88" s="773" t="s">
        <v>254</v>
      </c>
      <c r="B88" s="177" t="s">
        <v>255</v>
      </c>
      <c r="C88" s="917">
        <f>'[9]Hoja 1'!$C$161</f>
        <v>643578</v>
      </c>
      <c r="D88" s="917">
        <f>'[10]Hoja 1'!$C$163</f>
        <v>643578</v>
      </c>
      <c r="E88" s="917">
        <v>241842440</v>
      </c>
      <c r="F88" s="917">
        <v>241842440</v>
      </c>
      <c r="G88" s="917">
        <v>20000000</v>
      </c>
      <c r="H88" s="917"/>
      <c r="I88" s="917"/>
      <c r="J88" s="917"/>
      <c r="K88" s="917"/>
      <c r="L88" s="917"/>
      <c r="M88" s="917"/>
      <c r="N88" s="917"/>
      <c r="O88" s="405">
        <f t="shared" si="14"/>
        <v>504972036</v>
      </c>
      <c r="P88" s="770"/>
    </row>
    <row r="89" spans="1:80" ht="12.9" customHeight="1" x14ac:dyDescent="0.2">
      <c r="A89" s="777"/>
      <c r="B89" s="739" t="s">
        <v>256</v>
      </c>
      <c r="C89" s="111">
        <f>CASINO!$C$144</f>
        <v>26472126.799999997</v>
      </c>
      <c r="D89" s="969">
        <f>CASINO!$F$144</f>
        <v>29999600.399999999</v>
      </c>
      <c r="E89" s="976"/>
      <c r="F89" s="899"/>
      <c r="G89" s="899"/>
      <c r="H89" s="899"/>
      <c r="I89" s="899"/>
      <c r="J89" s="899"/>
      <c r="K89" s="899"/>
      <c r="L89" s="899"/>
      <c r="M89" s="899"/>
      <c r="N89" s="949"/>
      <c r="O89" s="405">
        <f t="shared" si="14"/>
        <v>56471727.199999996</v>
      </c>
      <c r="P89" s="768"/>
    </row>
    <row r="90" spans="1:80" ht="12.9" customHeight="1" x14ac:dyDescent="0.2">
      <c r="A90" s="777"/>
      <c r="B90" s="110" t="s">
        <v>257</v>
      </c>
      <c r="C90" s="111">
        <f>SUM(C91:C95)</f>
        <v>8229146.4000000004</v>
      </c>
      <c r="D90" s="969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100000000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2540923614.02</v>
      </c>
      <c r="P90" s="768"/>
    </row>
    <row r="91" spans="1:80" s="143" customFormat="1" ht="12.9" customHeight="1" x14ac:dyDescent="0.2">
      <c r="A91" s="777"/>
      <c r="B91" s="179" t="s">
        <v>258</v>
      </c>
      <c r="C91" s="404"/>
      <c r="D91" s="404"/>
      <c r="E91" s="404">
        <v>241842440</v>
      </c>
      <c r="F91" s="404">
        <v>241842440</v>
      </c>
      <c r="G91" s="404">
        <v>20000000</v>
      </c>
      <c r="H91" s="404"/>
      <c r="I91" s="404"/>
      <c r="J91" s="404"/>
      <c r="K91" s="404"/>
      <c r="L91" s="404"/>
      <c r="M91" s="404"/>
      <c r="N91" s="404"/>
      <c r="O91" s="433">
        <f>+SUM(C91:N91)</f>
        <v>503684880</v>
      </c>
      <c r="P91" s="772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7"/>
      <c r="B92" s="176" t="s">
        <v>259</v>
      </c>
      <c r="C92" s="170"/>
      <c r="D92" s="170"/>
      <c r="E92" s="170">
        <v>241842440</v>
      </c>
      <c r="F92" s="170">
        <v>241842440</v>
      </c>
      <c r="G92" s="170">
        <v>20000000</v>
      </c>
      <c r="H92" s="170"/>
      <c r="I92" s="170"/>
      <c r="J92" s="170"/>
      <c r="K92" s="170"/>
      <c r="L92" s="170"/>
      <c r="M92" s="170"/>
      <c r="N92" s="170"/>
      <c r="O92" s="403">
        <f>+SUM(C92:N92)</f>
        <v>503684880</v>
      </c>
      <c r="P92" s="772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7"/>
      <c r="B93" s="176" t="s">
        <v>260</v>
      </c>
      <c r="C93" s="170">
        <f>'[9]Hoja 1'!$C$180</f>
        <v>929031</v>
      </c>
      <c r="D93" s="170">
        <f>'[10]Hoja 1'!$C$183</f>
        <v>5000000</v>
      </c>
      <c r="E93" s="170">
        <v>241842440</v>
      </c>
      <c r="F93" s="170">
        <v>241842440</v>
      </c>
      <c r="G93" s="170">
        <v>20000000</v>
      </c>
      <c r="H93" s="170"/>
      <c r="I93" s="170"/>
      <c r="J93" s="170"/>
      <c r="K93" s="170"/>
      <c r="L93" s="170"/>
      <c r="M93" s="170"/>
      <c r="N93" s="170"/>
      <c r="O93" s="170">
        <f>+SUM(C93:N93)</f>
        <v>509613911</v>
      </c>
      <c r="P93" s="768"/>
    </row>
    <row r="94" spans="1:80" ht="12.9" customHeight="1" x14ac:dyDescent="0.2">
      <c r="A94" s="777" t="s">
        <v>261</v>
      </c>
      <c r="B94" s="178" t="s">
        <v>262</v>
      </c>
      <c r="C94" s="170">
        <f>'[9]Hoja 1'!$C$146</f>
        <v>7300083.1900000004</v>
      </c>
      <c r="D94" s="170">
        <f>'[10]Hoja 1'!$C$148</f>
        <v>9270040.6699999999</v>
      </c>
      <c r="E94" s="170">
        <v>241842440</v>
      </c>
      <c r="F94" s="170">
        <v>241842440</v>
      </c>
      <c r="G94" s="170">
        <v>20000000</v>
      </c>
      <c r="H94" s="170"/>
      <c r="I94" s="170"/>
      <c r="J94" s="170"/>
      <c r="K94" s="170"/>
      <c r="L94" s="170"/>
      <c r="M94" s="170"/>
      <c r="N94" s="170"/>
      <c r="O94" s="437">
        <f>+SUM(C94:N94)</f>
        <v>520255003.86000001</v>
      </c>
      <c r="P94" s="768"/>
    </row>
    <row r="95" spans="1:80" ht="12.9" customHeight="1" x14ac:dyDescent="0.2">
      <c r="A95" s="777" t="s">
        <v>263</v>
      </c>
      <c r="B95" s="174" t="s">
        <v>264</v>
      </c>
      <c r="C95" s="405">
        <f>'[9]Hoja 1'!$C$182</f>
        <v>32.21</v>
      </c>
      <c r="D95" s="405">
        <f>'[10]Hoja 1'!$C$186</f>
        <v>26.95</v>
      </c>
      <c r="E95" s="405">
        <v>241842440</v>
      </c>
      <c r="F95" s="405">
        <v>241842440</v>
      </c>
      <c r="G95" s="405">
        <v>20000000</v>
      </c>
      <c r="H95" s="405"/>
      <c r="I95" s="405"/>
      <c r="J95" s="405"/>
      <c r="K95" s="405"/>
      <c r="L95" s="405"/>
      <c r="M95" s="405"/>
      <c r="N95" s="405"/>
      <c r="O95" s="408">
        <f>+SUM(C95:N95)</f>
        <v>503684939.15999997</v>
      </c>
      <c r="P95" s="768"/>
    </row>
    <row r="96" spans="1:80" ht="15" customHeight="1" x14ac:dyDescent="0.2">
      <c r="A96" s="775"/>
      <c r="B96" s="516" t="s">
        <v>265</v>
      </c>
      <c r="C96" s="503">
        <f>C5+C13+C19+C22+C28+C32+C46+C52+C59+C62+C66+C89+C90</f>
        <v>464211163.05000001</v>
      </c>
      <c r="D96" s="972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1560000000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40326845526.749992</v>
      </c>
      <c r="P96" s="768"/>
    </row>
    <row r="97" spans="1:16" ht="15" customHeight="1" x14ac:dyDescent="0.2">
      <c r="A97" s="774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8"/>
    </row>
    <row r="98" spans="1:16" s="116" customFormat="1" ht="15" customHeight="1" x14ac:dyDescent="0.2">
      <c r="A98" s="779"/>
      <c r="B98" s="517" t="s">
        <v>27</v>
      </c>
      <c r="C98" s="502">
        <f>SUM(C99:C107)</f>
        <v>19158553.5</v>
      </c>
      <c r="D98" s="969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180000000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4585890965.79</v>
      </c>
      <c r="P98" s="768"/>
    </row>
    <row r="99" spans="1:16" ht="12.9" customHeight="1" x14ac:dyDescent="0.2">
      <c r="A99" s="774" t="s">
        <v>266</v>
      </c>
      <c r="B99" s="179" t="s">
        <v>267</v>
      </c>
      <c r="C99" s="169">
        <f>'[9]Hoja 1'!$C$164</f>
        <v>489046.66</v>
      </c>
      <c r="D99" s="169">
        <f>'[10]Hoja 1'!$C$167</f>
        <v>721868.2</v>
      </c>
      <c r="E99" s="169">
        <v>241842440</v>
      </c>
      <c r="F99" s="404">
        <v>241842440</v>
      </c>
      <c r="G99" s="404">
        <v>20000000</v>
      </c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504895794.86000001</v>
      </c>
      <c r="P99" s="768"/>
    </row>
    <row r="100" spans="1:16" ht="12.9" customHeight="1" x14ac:dyDescent="0.2">
      <c r="A100" s="774" t="s">
        <v>268</v>
      </c>
      <c r="B100" s="176" t="s">
        <v>269</v>
      </c>
      <c r="C100" s="171">
        <f>'[9]Hoja 1'!$C$167</f>
        <v>1697707.56</v>
      </c>
      <c r="D100" s="171">
        <f>'[10]Hoja 1'!$C$170</f>
        <v>2541356.16</v>
      </c>
      <c r="E100" s="171">
        <v>241842440</v>
      </c>
      <c r="F100" s="170">
        <v>241842440</v>
      </c>
      <c r="G100" s="170">
        <v>20000000</v>
      </c>
      <c r="H100" s="170"/>
      <c r="I100" s="170"/>
      <c r="J100" s="170"/>
      <c r="K100" s="170"/>
      <c r="L100" s="170"/>
      <c r="M100" s="403"/>
      <c r="N100" s="403"/>
      <c r="O100" s="403">
        <f t="shared" si="18"/>
        <v>507923943.72000003</v>
      </c>
      <c r="P100" s="768"/>
    </row>
    <row r="101" spans="1:16" ht="12.9" customHeight="1" x14ac:dyDescent="0.2">
      <c r="A101" s="774" t="s">
        <v>270</v>
      </c>
      <c r="B101" s="942" t="s">
        <v>271</v>
      </c>
      <c r="C101" s="171">
        <f>'[9]Hoja 1'!$C$172</f>
        <v>6444863.9500000002</v>
      </c>
      <c r="D101" s="171">
        <f>'[10]Hoja 1'!$C$175</f>
        <v>2367762.52</v>
      </c>
      <c r="E101" s="171">
        <v>241842440</v>
      </c>
      <c r="F101" s="171">
        <v>241842440</v>
      </c>
      <c r="G101" s="171">
        <v>20000000</v>
      </c>
      <c r="H101" s="171"/>
      <c r="I101" s="171"/>
      <c r="J101" s="171"/>
      <c r="K101" s="171"/>
      <c r="L101" s="171"/>
      <c r="M101" s="171"/>
      <c r="N101" s="171"/>
      <c r="O101" s="403">
        <f t="shared" si="18"/>
        <v>512497506.47000003</v>
      </c>
      <c r="P101" s="768"/>
    </row>
    <row r="102" spans="1:16" ht="12.9" customHeight="1" x14ac:dyDescent="0.2">
      <c r="A102" s="774" t="s">
        <v>272</v>
      </c>
      <c r="B102" s="942" t="s">
        <v>273</v>
      </c>
      <c r="C102" s="171">
        <f>'[9]Hoja 1'!$C$173</f>
        <v>84553</v>
      </c>
      <c r="D102" s="171"/>
      <c r="E102" s="171">
        <v>241842440</v>
      </c>
      <c r="F102" s="171">
        <v>241842440</v>
      </c>
      <c r="G102" s="171">
        <v>20000000</v>
      </c>
      <c r="H102" s="171"/>
      <c r="I102" s="171"/>
      <c r="J102" s="171"/>
      <c r="K102" s="171"/>
      <c r="L102" s="171"/>
      <c r="M102" s="403"/>
      <c r="N102" s="403"/>
      <c r="O102" s="403">
        <f t="shared" si="18"/>
        <v>503769433</v>
      </c>
      <c r="P102" s="768"/>
    </row>
    <row r="103" spans="1:16" ht="12.9" customHeight="1" x14ac:dyDescent="0.2">
      <c r="A103" s="774"/>
      <c r="B103" s="942" t="s">
        <v>274</v>
      </c>
      <c r="C103" s="171"/>
      <c r="D103" s="171"/>
      <c r="E103" s="171">
        <v>241842440</v>
      </c>
      <c r="F103" s="171">
        <v>241842440</v>
      </c>
      <c r="G103" s="171">
        <v>20000000</v>
      </c>
      <c r="H103" s="171"/>
      <c r="I103" s="171"/>
      <c r="J103" s="171"/>
      <c r="K103" s="171"/>
      <c r="L103" s="171"/>
      <c r="M103" s="403"/>
      <c r="N103" s="403"/>
      <c r="O103" s="403">
        <f t="shared" si="18"/>
        <v>503684880</v>
      </c>
      <c r="P103" s="768"/>
    </row>
    <row r="104" spans="1:16" ht="12.9" customHeight="1" x14ac:dyDescent="0.2">
      <c r="A104" s="774" t="s">
        <v>275</v>
      </c>
      <c r="B104" s="942" t="s">
        <v>276</v>
      </c>
      <c r="C104" s="171"/>
      <c r="D104" s="171">
        <f>'[10]Hoja 1'!$C$176</f>
        <v>3769285</v>
      </c>
      <c r="E104" s="171">
        <v>241842440</v>
      </c>
      <c r="F104" s="171">
        <v>241842440</v>
      </c>
      <c r="G104" s="171">
        <v>20000000</v>
      </c>
      <c r="H104" s="171"/>
      <c r="I104" s="171"/>
      <c r="J104" s="171"/>
      <c r="K104" s="171"/>
      <c r="L104" s="171"/>
      <c r="M104" s="403"/>
      <c r="N104" s="403"/>
      <c r="O104" s="403">
        <f t="shared" si="18"/>
        <v>507454165</v>
      </c>
      <c r="P104" s="768"/>
    </row>
    <row r="105" spans="1:16" ht="12.9" customHeight="1" x14ac:dyDescent="0.2">
      <c r="A105" s="774" t="s">
        <v>277</v>
      </c>
      <c r="B105" s="942" t="s">
        <v>278</v>
      </c>
      <c r="C105" s="171"/>
      <c r="D105" s="171"/>
      <c r="E105" s="171">
        <v>241842440</v>
      </c>
      <c r="F105" s="171">
        <v>241842440</v>
      </c>
      <c r="G105" s="171">
        <v>20000000</v>
      </c>
      <c r="H105" s="171"/>
      <c r="I105" s="171"/>
      <c r="J105" s="171"/>
      <c r="K105" s="171"/>
      <c r="L105" s="171"/>
      <c r="M105" s="403"/>
      <c r="N105" s="403"/>
      <c r="O105" s="403">
        <f t="shared" si="18"/>
        <v>503684880</v>
      </c>
      <c r="P105" s="768"/>
    </row>
    <row r="106" spans="1:16" ht="12.9" customHeight="1" x14ac:dyDescent="0.2">
      <c r="A106" s="774" t="s">
        <v>279</v>
      </c>
      <c r="B106" s="176" t="s">
        <v>280</v>
      </c>
      <c r="C106" s="171">
        <f>'[9]Hoja 1'!$C$82+'[9]Hoja 1'!$C$175</f>
        <v>10375136.550000001</v>
      </c>
      <c r="D106" s="171">
        <f>'[10]Hoja 1'!$C$81+'[10]Hoja 1'!$C$180</f>
        <v>24168220.41</v>
      </c>
      <c r="E106" s="171">
        <v>241842440</v>
      </c>
      <c r="F106" s="171">
        <v>241842440</v>
      </c>
      <c r="G106" s="171">
        <v>20000000</v>
      </c>
      <c r="H106" s="171"/>
      <c r="I106" s="171"/>
      <c r="J106" s="171"/>
      <c r="K106" s="171"/>
      <c r="L106" s="171"/>
      <c r="M106" s="171"/>
      <c r="N106" s="171"/>
      <c r="O106" s="403">
        <f t="shared" si="18"/>
        <v>538228236.96000004</v>
      </c>
      <c r="P106" s="768"/>
    </row>
    <row r="107" spans="1:16" ht="12.9" customHeight="1" x14ac:dyDescent="0.2">
      <c r="A107" s="774" t="s">
        <v>281</v>
      </c>
      <c r="B107" s="177" t="s">
        <v>282</v>
      </c>
      <c r="C107" s="917">
        <f>'[9]Hoja 1'!$C$177</f>
        <v>67245.78</v>
      </c>
      <c r="D107" s="917"/>
      <c r="E107" s="917">
        <v>241842440</v>
      </c>
      <c r="F107" s="405">
        <v>241842440</v>
      </c>
      <c r="G107" s="405">
        <v>20000000</v>
      </c>
      <c r="H107" s="405"/>
      <c r="I107" s="405"/>
      <c r="J107" s="405"/>
      <c r="K107" s="405"/>
      <c r="L107" s="405"/>
      <c r="M107" s="408"/>
      <c r="N107" s="408"/>
      <c r="O107" s="408">
        <f t="shared" si="18"/>
        <v>503752125.77999997</v>
      </c>
      <c r="P107" s="768"/>
    </row>
    <row r="108" spans="1:16" ht="12.9" customHeight="1" x14ac:dyDescent="0.2">
      <c r="A108" s="774"/>
      <c r="B108" s="921" t="s">
        <v>283</v>
      </c>
      <c r="C108" s="111">
        <f>96313193+10045491</f>
        <v>106358684</v>
      </c>
      <c r="D108" s="969">
        <f>99151187+9611660</f>
        <v>108762847</v>
      </c>
      <c r="E108" s="969">
        <v>241842440</v>
      </c>
      <c r="F108" s="111">
        <v>241842440</v>
      </c>
      <c r="G108" s="111">
        <v>20000000</v>
      </c>
      <c r="H108" s="111"/>
      <c r="I108" s="111"/>
      <c r="J108" s="111"/>
      <c r="K108" s="111"/>
      <c r="L108" s="111"/>
      <c r="M108" s="943"/>
      <c r="N108" s="111"/>
      <c r="O108" s="409">
        <f t="shared" si="18"/>
        <v>718806411</v>
      </c>
      <c r="P108" s="768"/>
    </row>
    <row r="109" spans="1:16" s="116" customFormat="1" ht="15" customHeight="1" x14ac:dyDescent="0.2">
      <c r="A109" s="774"/>
      <c r="B109" s="517" t="s">
        <v>284</v>
      </c>
      <c r="C109" s="502">
        <f>C98+C108</f>
        <v>125517237.5</v>
      </c>
      <c r="D109" s="969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200000000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5304697376.79</v>
      </c>
      <c r="P109" s="768"/>
    </row>
    <row r="110" spans="1:16" ht="15" customHeight="1" x14ac:dyDescent="0.2">
      <c r="A110" s="774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4"/>
      <c r="B111" s="517" t="s">
        <v>285</v>
      </c>
      <c r="C111" s="502"/>
      <c r="D111" s="502"/>
      <c r="E111" s="502">
        <v>241842440</v>
      </c>
      <c r="F111" s="502">
        <v>241842440</v>
      </c>
      <c r="G111" s="502">
        <v>20000000</v>
      </c>
      <c r="H111" s="502"/>
      <c r="I111" s="502"/>
      <c r="J111" s="502"/>
      <c r="K111" s="502"/>
      <c r="L111" s="502"/>
      <c r="M111" s="502"/>
      <c r="N111" s="502"/>
      <c r="O111" s="502">
        <f>+SUM(C111:N111)</f>
        <v>503684880</v>
      </c>
      <c r="P111" s="767"/>
    </row>
    <row r="112" spans="1:16" ht="15" customHeight="1" x14ac:dyDescent="0.2">
      <c r="B112" s="517" t="s">
        <v>286</v>
      </c>
      <c r="C112" s="502"/>
      <c r="D112" s="502"/>
      <c r="E112" s="502">
        <v>241842440</v>
      </c>
      <c r="F112" s="502">
        <v>241842440</v>
      </c>
      <c r="G112" s="502">
        <v>20000000</v>
      </c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287</v>
      </c>
      <c r="C113" s="169">
        <v>15396000</v>
      </c>
      <c r="D113" s="169"/>
      <c r="E113" s="169">
        <v>241842440</v>
      </c>
      <c r="F113" s="169">
        <v>241842440</v>
      </c>
      <c r="G113" s="169">
        <v>20000000</v>
      </c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519080880</v>
      </c>
    </row>
    <row r="114" spans="2:15" ht="15" customHeight="1" x14ac:dyDescent="0.2">
      <c r="B114" s="176" t="s">
        <v>288</v>
      </c>
      <c r="C114" s="171">
        <f>RECREARTE!$C$141</f>
        <v>15474654</v>
      </c>
      <c r="D114" s="171">
        <f>RECREARTE!$F$141</f>
        <v>-1777321</v>
      </c>
      <c r="E114" s="975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2" t="s">
        <v>289</v>
      </c>
      <c r="C115" s="171"/>
      <c r="D115" s="171"/>
      <c r="E115" s="171">
        <v>241842440</v>
      </c>
      <c r="F115" s="171">
        <v>241842440</v>
      </c>
      <c r="G115" s="171">
        <v>20000000</v>
      </c>
      <c r="H115" s="171"/>
      <c r="I115" s="171"/>
      <c r="J115" s="171"/>
      <c r="K115" s="171"/>
      <c r="L115" s="171"/>
      <c r="M115" s="171"/>
      <c r="N115" s="171"/>
      <c r="O115" s="403">
        <f t="shared" si="20"/>
        <v>503684880</v>
      </c>
    </row>
    <row r="116" spans="2:15" ht="15" customHeight="1" x14ac:dyDescent="0.2">
      <c r="B116" s="942" t="s">
        <v>290</v>
      </c>
      <c r="C116" s="171"/>
      <c r="D116" s="171">
        <f>'[10]Hoja 1'!$E$23</f>
        <v>49000</v>
      </c>
      <c r="E116" s="171">
        <v>241842440</v>
      </c>
      <c r="F116" s="171">
        <v>241842440</v>
      </c>
      <c r="G116" s="171">
        <v>20000000</v>
      </c>
      <c r="H116" s="171"/>
      <c r="I116" s="171"/>
      <c r="J116" s="171"/>
      <c r="K116" s="171"/>
      <c r="L116" s="171"/>
      <c r="M116" s="403"/>
      <c r="N116" s="403"/>
      <c r="O116" s="403">
        <f t="shared" si="20"/>
        <v>503733880</v>
      </c>
    </row>
    <row r="117" spans="2:15" ht="15" customHeight="1" x14ac:dyDescent="0.2">
      <c r="B117" s="942" t="s">
        <v>291</v>
      </c>
      <c r="C117" s="171"/>
      <c r="D117" s="171">
        <f>'[10]Hoja 1'!$E$28</f>
        <v>514.78</v>
      </c>
      <c r="E117" s="171">
        <v>241842440</v>
      </c>
      <c r="F117" s="171">
        <v>241842440</v>
      </c>
      <c r="G117" s="171">
        <v>20000000</v>
      </c>
      <c r="H117" s="171"/>
      <c r="I117" s="171"/>
      <c r="J117" s="171"/>
      <c r="K117" s="171"/>
      <c r="L117" s="171"/>
      <c r="M117" s="403"/>
      <c r="N117" s="403"/>
      <c r="O117" s="403">
        <f t="shared" si="20"/>
        <v>503685394.77999997</v>
      </c>
    </row>
    <row r="118" spans="2:15" ht="15" customHeight="1" x14ac:dyDescent="0.2">
      <c r="B118" s="942" t="s">
        <v>292</v>
      </c>
      <c r="C118" s="171"/>
      <c r="D118" s="171"/>
      <c r="E118" s="171">
        <v>241842440</v>
      </c>
      <c r="F118" s="171">
        <v>241842440</v>
      </c>
      <c r="G118" s="171">
        <v>20000000</v>
      </c>
      <c r="H118" s="171"/>
      <c r="I118" s="171"/>
      <c r="J118" s="171"/>
      <c r="K118" s="171"/>
      <c r="L118" s="171"/>
      <c r="M118" s="403"/>
      <c r="N118" s="403"/>
      <c r="O118" s="403">
        <f t="shared" si="20"/>
        <v>503684880</v>
      </c>
    </row>
    <row r="119" spans="2:15" ht="15" customHeight="1" x14ac:dyDescent="0.2">
      <c r="B119" s="517" t="s">
        <v>293</v>
      </c>
      <c r="C119" s="502">
        <f>SUM(C113:C115)-SUM(C116:C118)</f>
        <v>30870654</v>
      </c>
      <c r="D119" s="969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-20000000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-232798621.78</v>
      </c>
    </row>
    <row r="120" spans="2:15" ht="15" customHeight="1" x14ac:dyDescent="0.2">
      <c r="D120" s="811"/>
      <c r="L120" s="617"/>
      <c r="M120" s="617"/>
      <c r="N120" s="617"/>
      <c r="O120" s="750"/>
    </row>
    <row r="121" spans="2:15" ht="15" customHeight="1" x14ac:dyDescent="0.2">
      <c r="C121" s="811"/>
      <c r="D121" s="811">
        <f>D96+D109+'GASTOS OPERATIVOS'!D17+'GASTOS VEHICULOS'!D25</f>
        <v>1137474178</v>
      </c>
      <c r="J121" s="617"/>
      <c r="M121" s="617"/>
      <c r="O121" s="825"/>
    </row>
    <row r="122" spans="2:15" ht="15" customHeight="1" x14ac:dyDescent="0.2">
      <c r="C122" s="811"/>
      <c r="D122" s="811">
        <f>'[10]Hoja 1'!$C$30+'[10]Hoja 1'!$C$199+'[10]Hoja 1'!$C$204+'[10]Hoja 1'!$C$240</f>
        <v>678143159.60000002</v>
      </c>
    </row>
    <row r="123" spans="2:15" ht="15" customHeight="1" x14ac:dyDescent="0.2">
      <c r="C123" s="811"/>
      <c r="D123" s="114">
        <f>D121-D122</f>
        <v>459331018.39999998</v>
      </c>
      <c r="O123" s="944"/>
    </row>
    <row r="124" spans="2:15" ht="11.4" customHeight="1" x14ac:dyDescent="0.2"/>
    <row r="125" spans="2:15" ht="15" customHeight="1" x14ac:dyDescent="0.2">
      <c r="E125" s="811"/>
      <c r="F125" s="811"/>
      <c r="G125" s="811"/>
      <c r="I125" s="617"/>
      <c r="J125" s="617"/>
      <c r="L125" s="617"/>
      <c r="M125" s="617"/>
      <c r="O125" s="825"/>
    </row>
    <row r="126" spans="2:15" ht="15" customHeight="1" x14ac:dyDescent="0.2">
      <c r="D126" s="811">
        <v>-55134543</v>
      </c>
      <c r="E126" s="811"/>
      <c r="F126" s="811"/>
      <c r="G126" s="811"/>
      <c r="J126" s="115"/>
      <c r="K126" s="617"/>
      <c r="L126" s="617"/>
      <c r="M126" s="617"/>
      <c r="O126" s="825" t="s">
        <v>294</v>
      </c>
    </row>
    <row r="127" spans="2:15" ht="15" customHeight="1" x14ac:dyDescent="0.2">
      <c r="D127" s="811">
        <v>-4115810</v>
      </c>
      <c r="F127" s="811"/>
      <c r="G127" s="811"/>
      <c r="J127" s="115"/>
      <c r="K127" s="617"/>
      <c r="L127" s="617"/>
      <c r="M127" s="617"/>
      <c r="O127" s="825" t="s">
        <v>256</v>
      </c>
    </row>
    <row r="128" spans="2:15" ht="15" customHeight="1" x14ac:dyDescent="0.2">
      <c r="D128" s="114">
        <f>SUM(D126:D127)</f>
        <v>-59250353</v>
      </c>
      <c r="F128" s="811"/>
      <c r="G128" s="811"/>
      <c r="J128" s="115"/>
      <c r="K128" s="617"/>
      <c r="L128" s="617"/>
      <c r="M128" s="617"/>
      <c r="O128" s="825"/>
    </row>
    <row r="129" spans="4:15" ht="15" customHeight="1" x14ac:dyDescent="0.2">
      <c r="F129" s="811"/>
      <c r="G129" s="811"/>
      <c r="J129" s="115"/>
      <c r="K129" s="617"/>
      <c r="L129" s="617"/>
      <c r="M129" s="617"/>
      <c r="O129" s="825"/>
    </row>
    <row r="130" spans="4:15" ht="15" customHeight="1" x14ac:dyDescent="0.2">
      <c r="D130" s="114">
        <f>D128-D123</f>
        <v>-518581371.39999998</v>
      </c>
      <c r="F130" s="811"/>
      <c r="G130" s="811"/>
      <c r="J130" s="115"/>
      <c r="K130" s="617"/>
      <c r="L130" s="617"/>
      <c r="M130" s="617"/>
      <c r="O130" s="825"/>
    </row>
    <row r="131" spans="4:15" ht="15" customHeight="1" x14ac:dyDescent="0.2">
      <c r="F131" s="811"/>
      <c r="G131" s="811"/>
      <c r="J131" s="115"/>
      <c r="K131" s="617"/>
      <c r="L131" s="617"/>
      <c r="O131" s="811"/>
    </row>
    <row r="132" spans="4:15" ht="15" customHeight="1" x14ac:dyDescent="0.2">
      <c r="G132" s="811"/>
      <c r="J132" s="617"/>
      <c r="K132" s="617"/>
      <c r="L132" s="617"/>
      <c r="O132" s="877"/>
    </row>
    <row r="133" spans="4:15" ht="15" customHeight="1" x14ac:dyDescent="0.2">
      <c r="J133" s="617"/>
      <c r="K133" s="115"/>
      <c r="L133" s="617"/>
      <c r="M133" s="617"/>
      <c r="O133" s="825"/>
    </row>
    <row r="134" spans="4:15" ht="15" customHeight="1" x14ac:dyDescent="0.2">
      <c r="J134" s="617"/>
      <c r="M134" s="617"/>
      <c r="O134" s="825"/>
    </row>
    <row r="135" spans="4:15" ht="15" customHeight="1" x14ac:dyDescent="0.2">
      <c r="J135" s="617"/>
      <c r="M135" s="617"/>
      <c r="O135" s="825"/>
    </row>
    <row r="136" spans="4:15" ht="15" customHeight="1" x14ac:dyDescent="0.2">
      <c r="J136" s="617"/>
      <c r="M136" s="617"/>
      <c r="O136" s="825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47" width="11.44140625" style="115" customWidth="1"/>
    <col min="48" max="16384" width="11.44140625" style="115"/>
  </cols>
  <sheetData>
    <row r="2" spans="1:15" ht="33" customHeight="1" x14ac:dyDescent="0.2">
      <c r="B2" s="154" t="s">
        <v>0</v>
      </c>
      <c r="C2" s="1034">
        <v>242070540</v>
      </c>
      <c r="D2" s="1041"/>
      <c r="E2" s="1041"/>
      <c r="F2" s="1041"/>
      <c r="G2" s="1041"/>
      <c r="H2" s="1041"/>
      <c r="I2" s="1041"/>
      <c r="J2" s="1041"/>
      <c r="K2" s="1041"/>
      <c r="L2" s="1041"/>
      <c r="M2" s="1041"/>
      <c r="N2" s="1041"/>
      <c r="O2" s="1041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5" ht="15" customHeight="1" x14ac:dyDescent="0.2">
      <c r="B5" s="166" t="s">
        <v>47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80000000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3025566521</v>
      </c>
    </row>
    <row r="6" spans="1:15" ht="12.9" customHeight="1" x14ac:dyDescent="0.2">
      <c r="A6" s="189" t="s">
        <v>295</v>
      </c>
      <c r="B6" s="176" t="s">
        <v>153</v>
      </c>
      <c r="C6" s="459">
        <f>'[21]Hoja 1'!$I$8-C9+'[22]Hoja 1'!$I$9+'[23]Hoja 1'!$D$9+'[24]Hoja 1'!$D$9+'[25]Hoja 1'!$C$91+'[26]Hoja 1'!$D$9+'[27]Hoja 1'!$E$9+'[28]Hoja 1'!$E$10</f>
        <v>193579256</v>
      </c>
      <c r="D6" s="459">
        <f>'[29]Hoja 1'!$I$8+'[30]Hoja 1'!$I$8-D9+'[31]Hoja 1'!$I$9+'[32]Hoja 1'!$D$9+'[33]Hoja 1'!$D$9+'[34]Hoja 1'!$D$9+'[35]Hoja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296</v>
      </c>
      <c r="C7" s="460">
        <f>'[21]Hoja 1'!$I$9+'[23]Hoja 1'!$D$10</f>
        <v>6155134</v>
      </c>
      <c r="D7" s="460">
        <f>'[29]Hoja 1'!$I$9+'[29]Hoja 1'!$D$32+'[32]Hoja 1'!$D$10+'[36]Hoja 1'!$D$10</f>
        <v>13938668</v>
      </c>
      <c r="E7" s="460">
        <v>241842440</v>
      </c>
      <c r="F7" s="460">
        <v>241842440</v>
      </c>
      <c r="G7" s="460">
        <v>20000000</v>
      </c>
      <c r="H7" s="460"/>
      <c r="I7" s="460"/>
      <c r="J7" s="460"/>
      <c r="K7" s="460"/>
      <c r="L7" s="460"/>
      <c r="M7" s="460"/>
      <c r="N7" s="460"/>
      <c r="O7" s="392">
        <f>SUM(C7:N7)</f>
        <v>523778682</v>
      </c>
    </row>
    <row r="8" spans="1:15" ht="12.9" customHeight="1" x14ac:dyDescent="0.2">
      <c r="A8" s="189"/>
      <c r="B8" s="176" t="s">
        <v>297</v>
      </c>
      <c r="C8" s="460"/>
      <c r="D8" s="915"/>
      <c r="E8" s="460">
        <v>241842440</v>
      </c>
      <c r="F8" s="460">
        <v>241842440</v>
      </c>
      <c r="G8" s="460">
        <v>20000000</v>
      </c>
      <c r="H8" s="460"/>
      <c r="I8" s="460"/>
      <c r="J8" s="460"/>
      <c r="K8" s="460"/>
      <c r="L8" s="460"/>
      <c r="M8" s="460"/>
      <c r="N8" s="460"/>
      <c r="O8" s="460">
        <f>SUM(C8:N8)</f>
        <v>503684880</v>
      </c>
    </row>
    <row r="9" spans="1:15" ht="12.9" customHeight="1" x14ac:dyDescent="0.2">
      <c r="A9" s="189" t="s">
        <v>298</v>
      </c>
      <c r="B9" s="176" t="s">
        <v>156</v>
      </c>
      <c r="C9" s="460">
        <f>'[9]Hoja 1'!$C$218</f>
        <v>151011</v>
      </c>
      <c r="D9" s="460">
        <f>'[18]Hoja 1'!$C$76+'[20]Hoja 1'!$C$81-152082</f>
        <v>1696583</v>
      </c>
      <c r="E9" s="460">
        <v>241842440</v>
      </c>
      <c r="F9" s="460">
        <v>241842440</v>
      </c>
      <c r="G9" s="460">
        <v>20000000</v>
      </c>
      <c r="H9" s="460"/>
      <c r="I9" s="460"/>
      <c r="J9" s="460"/>
      <c r="K9" s="460"/>
      <c r="L9" s="460"/>
      <c r="M9" s="460"/>
      <c r="N9" s="460"/>
      <c r="O9" s="460">
        <f>SUM(C9:N9)</f>
        <v>505532474</v>
      </c>
    </row>
    <row r="10" spans="1:15" ht="12.9" customHeight="1" x14ac:dyDescent="0.2">
      <c r="A10" s="189" t="s">
        <v>299</v>
      </c>
      <c r="B10" s="176" t="s">
        <v>55</v>
      </c>
      <c r="C10" s="171"/>
      <c r="D10" s="424">
        <f>'[10]Hoja 1'!$C$239</f>
        <v>3010800</v>
      </c>
      <c r="E10" s="392">
        <v>241842440</v>
      </c>
      <c r="F10" s="392">
        <v>241842440</v>
      </c>
      <c r="G10" s="392">
        <v>20000000</v>
      </c>
      <c r="H10" s="392"/>
      <c r="I10" s="392"/>
      <c r="J10" s="392"/>
      <c r="K10" s="392"/>
      <c r="L10" s="392"/>
      <c r="M10" s="392"/>
      <c r="N10" s="392"/>
      <c r="O10" s="424">
        <f>SUM(C10:N10)</f>
        <v>506695680</v>
      </c>
    </row>
    <row r="11" spans="1:15" ht="15" customHeight="1" x14ac:dyDescent="0.2">
      <c r="A11" s="189"/>
      <c r="B11" s="157" t="s">
        <v>300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110</v>
      </c>
      <c r="C12" s="901">
        <f t="shared" ref="C12:O12" si="1">SUM(C13:C16)</f>
        <v>7425606.0299999993</v>
      </c>
      <c r="D12" s="901">
        <f t="shared" si="1"/>
        <v>7560892.0099999998</v>
      </c>
      <c r="E12" s="901">
        <f t="shared" si="1"/>
        <v>967369760</v>
      </c>
      <c r="F12" s="901">
        <f t="shared" si="1"/>
        <v>967369760</v>
      </c>
      <c r="G12" s="901">
        <f t="shared" si="1"/>
        <v>80000000</v>
      </c>
      <c r="H12" s="901">
        <f t="shared" si="1"/>
        <v>0</v>
      </c>
      <c r="I12" s="901">
        <f t="shared" si="1"/>
        <v>0</v>
      </c>
      <c r="J12" s="901">
        <f t="shared" si="1"/>
        <v>0</v>
      </c>
      <c r="K12" s="901">
        <f t="shared" si="1"/>
        <v>0</v>
      </c>
      <c r="L12" s="901">
        <f t="shared" si="1"/>
        <v>0</v>
      </c>
      <c r="M12" s="901">
        <f t="shared" si="1"/>
        <v>0</v>
      </c>
      <c r="N12" s="901">
        <f t="shared" si="1"/>
        <v>0</v>
      </c>
      <c r="O12" s="180">
        <f t="shared" si="1"/>
        <v>2029726018.04</v>
      </c>
    </row>
    <row r="13" spans="1:15" ht="12.9" customHeight="1" x14ac:dyDescent="0.2">
      <c r="A13" s="189" t="s">
        <v>301</v>
      </c>
      <c r="B13" s="178" t="s">
        <v>302</v>
      </c>
      <c r="C13" s="916">
        <f>'[9]Hoja 1'!$C$196+'[9]Hoja 1'!$C$234</f>
        <v>7107509.5999999996</v>
      </c>
      <c r="D13" s="916">
        <f>'[10]Hoja 1'!$C$201+'[10]Hoja 1'!$C$243</f>
        <v>6877454.4100000001</v>
      </c>
      <c r="E13" s="916">
        <v>241842440</v>
      </c>
      <c r="F13" s="916">
        <v>241842440</v>
      </c>
      <c r="G13" s="916">
        <v>20000000</v>
      </c>
      <c r="H13" s="916"/>
      <c r="I13" s="916"/>
      <c r="J13" s="916"/>
      <c r="K13" s="916"/>
      <c r="L13" s="916"/>
      <c r="M13" s="916"/>
      <c r="N13" s="916"/>
      <c r="O13" s="424">
        <f>SUM(C13:N13)</f>
        <v>517669844.00999999</v>
      </c>
    </row>
    <row r="14" spans="1:15" ht="12.9" customHeight="1" x14ac:dyDescent="0.2">
      <c r="A14" s="189" t="s">
        <v>129</v>
      </c>
      <c r="B14" s="178" t="s">
        <v>303</v>
      </c>
      <c r="C14" s="424">
        <f>'[9]Hoja 1'!$C$236</f>
        <v>188084.43</v>
      </c>
      <c r="D14" s="424">
        <f>'[10]Hoja 1'!$C$245</f>
        <v>273737.59999999998</v>
      </c>
      <c r="E14" s="424">
        <v>241842440</v>
      </c>
      <c r="F14" s="424">
        <v>241842440</v>
      </c>
      <c r="G14" s="424">
        <v>20000000</v>
      </c>
      <c r="H14" s="424"/>
      <c r="I14" s="424"/>
      <c r="J14" s="424"/>
      <c r="K14" s="424"/>
      <c r="L14" s="424"/>
      <c r="M14" s="424"/>
      <c r="N14" s="424"/>
      <c r="O14" s="424">
        <f>SUM(C14:N14)</f>
        <v>504146702.02999997</v>
      </c>
    </row>
    <row r="15" spans="1:15" ht="12.9" customHeight="1" x14ac:dyDescent="0.2">
      <c r="A15" s="189"/>
      <c r="B15" s="178" t="s">
        <v>246</v>
      </c>
      <c r="C15" s="392"/>
      <c r="D15" s="392"/>
      <c r="E15" s="392">
        <v>241842440</v>
      </c>
      <c r="F15" s="392">
        <v>241842440</v>
      </c>
      <c r="G15" s="392">
        <v>20000000</v>
      </c>
      <c r="H15" s="392"/>
      <c r="I15" s="392"/>
      <c r="J15" s="392"/>
      <c r="K15" s="392"/>
      <c r="L15" s="392"/>
      <c r="M15" s="392"/>
      <c r="N15" s="392"/>
      <c r="O15" s="392">
        <f>SUM(C15:N15)</f>
        <v>503684880</v>
      </c>
    </row>
    <row r="16" spans="1:15" ht="12.9" customHeight="1" x14ac:dyDescent="0.2">
      <c r="A16" s="189" t="s">
        <v>304</v>
      </c>
      <c r="B16" s="178" t="s">
        <v>305</v>
      </c>
      <c r="C16" s="425">
        <f>'[9]Hoja 1'!$C$198</f>
        <v>130012</v>
      </c>
      <c r="D16" s="425">
        <f>'[10]Hoja 1'!$C$158+'[10]Hoja 1'!$C$203</f>
        <v>409700</v>
      </c>
      <c r="E16" s="425">
        <v>241842440</v>
      </c>
      <c r="F16" s="425">
        <v>241842440</v>
      </c>
      <c r="G16" s="425">
        <v>20000000</v>
      </c>
      <c r="H16" s="425"/>
      <c r="I16" s="425"/>
      <c r="J16" s="425"/>
      <c r="K16" s="425"/>
      <c r="L16" s="425"/>
      <c r="M16" s="425"/>
      <c r="N16" s="425"/>
      <c r="O16" s="392">
        <f>SUM(C16:N16)</f>
        <v>504224592</v>
      </c>
    </row>
    <row r="17" spans="1:15" ht="15" customHeight="1" x14ac:dyDescent="0.2">
      <c r="A17" s="189"/>
      <c r="B17" s="521" t="s">
        <v>135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160000000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5055292539.04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7">
        <f>C21/C20</f>
        <v>1.3277959882798784</v>
      </c>
      <c r="D22" s="787">
        <f>D21/D20</f>
        <v>1.0844066699734147</v>
      </c>
      <c r="E22" s="787">
        <f>E21/E20</f>
        <v>0.44873977115665731</v>
      </c>
      <c r="F22" s="787">
        <f>F21/F20</f>
        <v>0.24117072647903715</v>
      </c>
      <c r="G22" s="787">
        <f>G21/G20</f>
        <v>-1</v>
      </c>
      <c r="H22" s="787"/>
      <c r="I22" s="787">
        <f t="shared" ref="I22:O22" si="4">I21/I20</f>
        <v>-1</v>
      </c>
      <c r="J22" s="787">
        <f t="shared" si="4"/>
        <v>-1</v>
      </c>
      <c r="K22" s="787">
        <f t="shared" si="4"/>
        <v>-1</v>
      </c>
      <c r="L22" s="787">
        <f t="shared" si="4"/>
        <v>-1</v>
      </c>
      <c r="M22" s="787">
        <f t="shared" si="4"/>
        <v>-1</v>
      </c>
      <c r="N22" s="787">
        <f t="shared" si="4"/>
        <v>-1</v>
      </c>
      <c r="O22" s="787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306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307</v>
      </c>
    </row>
    <row r="28" spans="1:15" hidden="1" x14ac:dyDescent="0.2">
      <c r="K28" s="164">
        <f>K27+O20</f>
        <v>2562891015</v>
      </c>
      <c r="L28" s="164" t="s">
        <v>308</v>
      </c>
    </row>
    <row r="29" spans="1:15" hidden="1" x14ac:dyDescent="0.2">
      <c r="K29" s="164">
        <f>K28*11%</f>
        <v>281918011.64999998</v>
      </c>
      <c r="L29" s="164" t="s">
        <v>309</v>
      </c>
    </row>
    <row r="30" spans="1:15" hidden="1" x14ac:dyDescent="0.2">
      <c r="K30" s="164">
        <f>K28+K29</f>
        <v>2844809026.6500001</v>
      </c>
      <c r="L30" s="164" t="s">
        <v>310</v>
      </c>
    </row>
    <row r="31" spans="1:15" hidden="1" x14ac:dyDescent="0.2">
      <c r="K31" s="164">
        <v>535655289</v>
      </c>
      <c r="L31" s="164" t="s">
        <v>311</v>
      </c>
    </row>
    <row r="32" spans="1:15" hidden="1" x14ac:dyDescent="0.2">
      <c r="K32" s="788">
        <f>K30+K31</f>
        <v>3380464315.6500001</v>
      </c>
      <c r="L32" s="164" t="s">
        <v>312</v>
      </c>
    </row>
    <row r="33" spans="11:12" hidden="1" x14ac:dyDescent="0.2">
      <c r="K33" s="164">
        <f>O6-K32</f>
        <v>-2394589510.6500001</v>
      </c>
      <c r="L33" s="164" t="s">
        <v>313</v>
      </c>
    </row>
    <row r="34" spans="11:12" hidden="1" x14ac:dyDescent="0.2">
      <c r="K34" s="164">
        <f>8%*K6*12</f>
        <v>0</v>
      </c>
      <c r="L34" s="787" t="s">
        <v>314</v>
      </c>
    </row>
    <row r="35" spans="11:12" hidden="1" x14ac:dyDescent="0.2">
      <c r="K35" s="164">
        <f>K33-K34</f>
        <v>-2394589510.6500001</v>
      </c>
      <c r="L35" s="164" t="s">
        <v>315</v>
      </c>
    </row>
    <row r="54" spans="8:8" x14ac:dyDescent="0.2">
      <c r="H54" s="164" t="s">
        <v>316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28" sqref="C2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47" width="11.44140625" style="115" customWidth="1"/>
    <col min="48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34" t="s">
        <v>317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6" ht="15" customHeight="1" x14ac:dyDescent="0.2">
      <c r="A5" s="188"/>
      <c r="B5" s="166" t="s">
        <v>47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725527320</v>
      </c>
      <c r="G5" s="167">
        <f t="shared" si="0"/>
        <v>60000000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1573814826</v>
      </c>
    </row>
    <row r="6" spans="1:16" ht="12.9" customHeight="1" x14ac:dyDescent="0.2">
      <c r="A6" s="189" t="s">
        <v>318</v>
      </c>
      <c r="B6" s="185" t="s">
        <v>153</v>
      </c>
      <c r="C6" s="423">
        <f>'[22]Hoja 1'!$I$10+'[27]Hoja 1'!$E$10</f>
        <v>24131313</v>
      </c>
      <c r="D6" s="423">
        <f>'[30]Hoja 1'!$I$9+'[31]Hoja 1'!$I$10+'[35]Hoja 1'!$I$10-D7</f>
        <v>38476791</v>
      </c>
      <c r="E6" s="423">
        <v>241842440</v>
      </c>
      <c r="F6" s="434">
        <v>241842440</v>
      </c>
      <c r="G6" s="434">
        <v>20000000</v>
      </c>
      <c r="H6" s="434"/>
      <c r="I6" s="434"/>
      <c r="J6" s="434"/>
      <c r="K6" s="434"/>
      <c r="L6" s="434"/>
      <c r="M6" s="434"/>
      <c r="N6" s="905"/>
      <c r="O6" s="459">
        <f>SUM(C6:N6)</f>
        <v>566292984</v>
      </c>
    </row>
    <row r="7" spans="1:16" ht="12.9" customHeight="1" x14ac:dyDescent="0.2">
      <c r="A7" s="189">
        <v>72055101</v>
      </c>
      <c r="B7" s="642" t="s">
        <v>319</v>
      </c>
      <c r="C7" s="436"/>
      <c r="D7" s="436">
        <v>152082</v>
      </c>
      <c r="E7" s="436">
        <v>241842440</v>
      </c>
      <c r="F7" s="436">
        <v>241842440</v>
      </c>
      <c r="G7" s="436">
        <v>20000000</v>
      </c>
      <c r="H7" s="436"/>
      <c r="I7" s="436"/>
      <c r="J7" s="906"/>
      <c r="K7" s="436"/>
      <c r="L7" s="436"/>
      <c r="M7" s="436"/>
      <c r="N7" s="436"/>
      <c r="O7" s="392">
        <f>SUM(C7:N7)</f>
        <v>503836962</v>
      </c>
    </row>
    <row r="8" spans="1:16" ht="12.9" customHeight="1" x14ac:dyDescent="0.2">
      <c r="A8" s="189"/>
      <c r="B8" s="640" t="s">
        <v>55</v>
      </c>
      <c r="C8" s="405"/>
      <c r="D8" s="405"/>
      <c r="E8" s="405">
        <v>241842440</v>
      </c>
      <c r="F8" s="405">
        <v>241842440</v>
      </c>
      <c r="G8" s="405">
        <v>20000000</v>
      </c>
      <c r="H8" s="405"/>
      <c r="I8" s="405"/>
      <c r="J8" s="405"/>
      <c r="K8" s="405"/>
      <c r="L8" s="405"/>
      <c r="M8" s="405"/>
      <c r="N8" s="405"/>
      <c r="O8" s="425">
        <f>SUM(C8:N8)</f>
        <v>503684880</v>
      </c>
    </row>
    <row r="9" spans="1:16" s="181" customFormat="1" ht="15" customHeight="1" x14ac:dyDescent="0.2">
      <c r="A9" s="190"/>
      <c r="B9" s="183" t="s">
        <v>171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241842440</v>
      </c>
      <c r="G9" s="111">
        <f t="shared" si="1"/>
        <v>20000000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504716980</v>
      </c>
    </row>
    <row r="10" spans="1:16" s="181" customFormat="1" ht="12.9" customHeight="1" x14ac:dyDescent="0.2">
      <c r="A10" s="190"/>
      <c r="B10" s="184" t="s">
        <v>320</v>
      </c>
      <c r="C10" s="899">
        <f>'[9]Hoja 1'!$C$80-2676712</f>
        <v>1032100</v>
      </c>
      <c r="D10" s="899"/>
      <c r="E10" s="899">
        <v>241842440</v>
      </c>
      <c r="F10" s="899">
        <v>241842440</v>
      </c>
      <c r="G10" s="899">
        <v>20000000</v>
      </c>
      <c r="H10" s="899"/>
      <c r="I10" s="899"/>
      <c r="J10" s="899"/>
      <c r="K10" s="899"/>
      <c r="L10" s="899"/>
      <c r="M10" s="899"/>
      <c r="N10" s="899"/>
      <c r="O10" s="352">
        <f>SUM(C10:N10)</f>
        <v>504716980</v>
      </c>
    </row>
    <row r="11" spans="1:16" s="165" customFormat="1" ht="15" customHeight="1" x14ac:dyDescent="0.2">
      <c r="A11" s="190"/>
      <c r="B11" s="183" t="s">
        <v>63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725527320</v>
      </c>
      <c r="G11" s="167">
        <f t="shared" si="2"/>
        <v>60000000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1516122301</v>
      </c>
    </row>
    <row r="12" spans="1:16" ht="12.9" hidden="1" customHeight="1" x14ac:dyDescent="0.2">
      <c r="A12" s="187" t="s">
        <v>321</v>
      </c>
      <c r="B12" s="185" t="s">
        <v>322</v>
      </c>
      <c r="C12" s="900"/>
      <c r="D12" s="900"/>
      <c r="E12" s="900">
        <v>241842440</v>
      </c>
      <c r="F12" s="900">
        <v>241842440</v>
      </c>
      <c r="G12" s="900">
        <v>20000000</v>
      </c>
      <c r="H12" s="900"/>
      <c r="I12" s="900"/>
      <c r="J12" s="900"/>
      <c r="K12" s="900"/>
      <c r="L12" s="900"/>
      <c r="M12" s="900"/>
      <c r="N12" s="900"/>
      <c r="O12" s="459">
        <f>SUM(C12:N12)</f>
        <v>503684880</v>
      </c>
    </row>
    <row r="13" spans="1:16" ht="12.9" customHeight="1" x14ac:dyDescent="0.2">
      <c r="A13" s="187" t="s">
        <v>323</v>
      </c>
      <c r="B13" s="185" t="s">
        <v>178</v>
      </c>
      <c r="C13" s="403"/>
      <c r="D13" s="403">
        <f>'[10]Hoja 1'!$C$93</f>
        <v>3290861</v>
      </c>
      <c r="E13" s="403">
        <v>241842440</v>
      </c>
      <c r="F13" s="403">
        <v>241842440</v>
      </c>
      <c r="G13" s="403">
        <v>20000000</v>
      </c>
      <c r="H13" s="403"/>
      <c r="I13" s="403"/>
      <c r="J13" s="403"/>
      <c r="K13" s="403"/>
      <c r="L13" s="403"/>
      <c r="M13" s="403"/>
      <c r="N13" s="403"/>
      <c r="O13" s="460">
        <f>SUM(C13:N13)</f>
        <v>506975741</v>
      </c>
    </row>
    <row r="14" spans="1:16" s="181" customFormat="1" ht="12.9" customHeight="1" x14ac:dyDescent="0.2">
      <c r="A14" s="190"/>
      <c r="B14" s="640" t="s">
        <v>324</v>
      </c>
      <c r="C14" s="405">
        <f>'[9]Hoja 1'!$C$92</f>
        <v>1776800</v>
      </c>
      <c r="D14" s="405"/>
      <c r="E14" s="405">
        <v>241842440</v>
      </c>
      <c r="F14" s="405">
        <v>241842440</v>
      </c>
      <c r="G14" s="405">
        <v>20000000</v>
      </c>
      <c r="H14" s="405"/>
      <c r="I14" s="405"/>
      <c r="J14" s="405"/>
      <c r="K14" s="405"/>
      <c r="L14" s="405"/>
      <c r="M14" s="405"/>
      <c r="N14" s="405"/>
      <c r="O14" s="461">
        <f>SUM(C14:N14)</f>
        <v>505461680</v>
      </c>
    </row>
    <row r="15" spans="1:16" s="181" customFormat="1" ht="12.9" customHeight="1" x14ac:dyDescent="0.2">
      <c r="A15" s="190"/>
      <c r="B15" s="186" t="s">
        <v>68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725527320</v>
      </c>
      <c r="G15" s="409">
        <f t="shared" si="3"/>
        <v>60000000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1550560728</v>
      </c>
    </row>
    <row r="16" spans="1:16" s="181" customFormat="1" ht="12.9" customHeight="1" x14ac:dyDescent="0.2">
      <c r="A16" s="190" t="s">
        <v>325</v>
      </c>
      <c r="B16" s="641" t="s">
        <v>326</v>
      </c>
      <c r="C16" s="423">
        <f>'[9]Hoja 1'!$C$95</f>
        <v>2777640</v>
      </c>
      <c r="D16" s="423">
        <f>'[10]Hoja 1'!$C$98</f>
        <v>2777640</v>
      </c>
      <c r="E16" s="423">
        <v>241842440</v>
      </c>
      <c r="F16" s="423">
        <v>241842440</v>
      </c>
      <c r="G16" s="423">
        <v>20000000</v>
      </c>
      <c r="H16" s="423"/>
      <c r="I16" s="423"/>
      <c r="J16" s="423"/>
      <c r="K16" s="423"/>
      <c r="L16" s="423"/>
      <c r="M16" s="423"/>
      <c r="N16" s="423"/>
      <c r="O16" s="423">
        <f>SUM(C16:N16)</f>
        <v>509240160</v>
      </c>
      <c r="P16" s="702"/>
    </row>
    <row r="17" spans="1:25" s="181" customFormat="1" ht="12.9" customHeight="1" x14ac:dyDescent="0.2">
      <c r="A17" s="190"/>
      <c r="B17" s="807" t="s">
        <v>327</v>
      </c>
      <c r="C17" s="423">
        <f>'[12]Hoja 1'!$G$26</f>
        <v>3030303</v>
      </c>
      <c r="D17" s="423">
        <f>'[13]Hoja 1'!$G$26</f>
        <v>5050505</v>
      </c>
      <c r="E17" s="423">
        <v>241842440</v>
      </c>
      <c r="F17" s="423">
        <v>241842440</v>
      </c>
      <c r="G17" s="423">
        <v>20000000</v>
      </c>
      <c r="H17" s="423"/>
      <c r="I17" s="423"/>
      <c r="J17" s="423"/>
      <c r="K17" s="423"/>
      <c r="L17" s="423"/>
      <c r="M17" s="423"/>
      <c r="N17" s="423"/>
      <c r="O17" s="423">
        <f>SUM(C17:N17)</f>
        <v>511765688</v>
      </c>
      <c r="P17" s="702"/>
    </row>
    <row r="18" spans="1:25" s="181" customFormat="1" ht="12.9" customHeight="1" x14ac:dyDescent="0.2">
      <c r="A18" s="803">
        <v>51355001</v>
      </c>
      <c r="B18" s="640" t="s">
        <v>196</v>
      </c>
      <c r="C18" s="405">
        <f>'[12]Hoja 1'!$G$29</f>
        <v>12870000</v>
      </c>
      <c r="D18" s="405">
        <f>'[13]Hoja 1'!$G$29</f>
        <v>13000000</v>
      </c>
      <c r="E18" s="405">
        <v>241842440</v>
      </c>
      <c r="F18" s="405">
        <v>241842440</v>
      </c>
      <c r="G18" s="405">
        <v>20000000</v>
      </c>
      <c r="H18" s="405"/>
      <c r="I18" s="405"/>
      <c r="J18" s="405"/>
      <c r="K18" s="405"/>
      <c r="L18" s="405"/>
      <c r="M18" s="405"/>
      <c r="N18" s="405"/>
      <c r="O18" s="425">
        <f>SUM(C18:N18)</f>
        <v>529554880</v>
      </c>
      <c r="P18" s="904"/>
    </row>
    <row r="19" spans="1:25" s="181" customFormat="1" ht="12.9" customHeight="1" x14ac:dyDescent="0.2">
      <c r="A19" s="191"/>
      <c r="B19" s="186" t="s">
        <v>205</v>
      </c>
      <c r="C19" s="901">
        <f t="shared" ref="C19:O19" si="4">SUM(C20:C21)</f>
        <v>5781451</v>
      </c>
      <c r="D19" s="901">
        <f t="shared" si="4"/>
        <v>4480532</v>
      </c>
      <c r="E19" s="901">
        <f t="shared" si="4"/>
        <v>483684880</v>
      </c>
      <c r="F19" s="901">
        <f t="shared" si="4"/>
        <v>483684880</v>
      </c>
      <c r="G19" s="901">
        <f t="shared" si="4"/>
        <v>40000000</v>
      </c>
      <c r="H19" s="901">
        <f t="shared" si="4"/>
        <v>0</v>
      </c>
      <c r="I19" s="901">
        <f t="shared" si="4"/>
        <v>0</v>
      </c>
      <c r="J19" s="901">
        <f t="shared" si="4"/>
        <v>0</v>
      </c>
      <c r="K19" s="901">
        <f t="shared" si="4"/>
        <v>0</v>
      </c>
      <c r="L19" s="901">
        <f t="shared" si="4"/>
        <v>0</v>
      </c>
      <c r="M19" s="901">
        <f t="shared" si="4"/>
        <v>0</v>
      </c>
      <c r="N19" s="901">
        <f t="shared" si="4"/>
        <v>0</v>
      </c>
      <c r="O19" s="167">
        <f t="shared" si="4"/>
        <v>1017631743</v>
      </c>
    </row>
    <row r="20" spans="1:25" s="165" customFormat="1" ht="12.9" customHeight="1" x14ac:dyDescent="0.2">
      <c r="A20" s="192" t="s">
        <v>328</v>
      </c>
      <c r="B20" s="185" t="s">
        <v>329</v>
      </c>
      <c r="C20" s="902">
        <v>3549011</v>
      </c>
      <c r="D20" s="902">
        <f>'[10]Hoja 1'!C131</f>
        <v>1877008</v>
      </c>
      <c r="E20" s="902">
        <v>241842440</v>
      </c>
      <c r="F20" s="902">
        <v>241842440</v>
      </c>
      <c r="G20" s="902">
        <v>20000000</v>
      </c>
      <c r="H20" s="902"/>
      <c r="I20" s="902"/>
      <c r="J20" s="902"/>
      <c r="K20" s="902"/>
      <c r="L20" s="902"/>
      <c r="M20" s="902"/>
      <c r="N20" s="902"/>
      <c r="O20" s="402">
        <f>SUM(C20:N20)</f>
        <v>509110899</v>
      </c>
    </row>
    <row r="21" spans="1:25" s="165" customFormat="1" ht="12.9" customHeight="1" x14ac:dyDescent="0.2">
      <c r="A21" s="192" t="s">
        <v>330</v>
      </c>
      <c r="B21" s="640" t="s">
        <v>331</v>
      </c>
      <c r="C21" s="903">
        <v>2232440</v>
      </c>
      <c r="D21" s="903">
        <f>'[10]Hoja 1'!C132</f>
        <v>2603524</v>
      </c>
      <c r="E21" s="903">
        <v>241842440</v>
      </c>
      <c r="F21" s="903">
        <v>241842440</v>
      </c>
      <c r="G21" s="903">
        <v>20000000</v>
      </c>
      <c r="H21" s="903"/>
      <c r="I21" s="903"/>
      <c r="J21" s="903"/>
      <c r="K21" s="903"/>
      <c r="L21" s="903"/>
      <c r="M21" s="903"/>
      <c r="N21" s="903"/>
      <c r="O21" s="461">
        <f>SUM(C21:N21)</f>
        <v>508520844</v>
      </c>
    </row>
    <row r="22" spans="1:25" s="165" customFormat="1" ht="12.9" customHeight="1" x14ac:dyDescent="0.2">
      <c r="A22" s="192"/>
      <c r="B22" s="186" t="s">
        <v>110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483684880</v>
      </c>
      <c r="G22" s="111">
        <f t="shared" si="5"/>
        <v>40000000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1038634850</v>
      </c>
    </row>
    <row r="23" spans="1:25" s="797" customFormat="1" ht="12.9" customHeight="1" x14ac:dyDescent="0.2">
      <c r="A23" s="804" t="s">
        <v>225</v>
      </c>
      <c r="B23" s="796" t="s">
        <v>332</v>
      </c>
      <c r="C23" s="171">
        <f>'[9]Hoja 1'!$C$139-964175</f>
        <v>4477352</v>
      </c>
      <c r="D23" s="423">
        <f>'[10]Hoja 1'!$C$141-1186883</f>
        <v>8910107</v>
      </c>
      <c r="E23" s="171">
        <v>241842440</v>
      </c>
      <c r="F23" s="423">
        <v>241842440</v>
      </c>
      <c r="G23" s="423">
        <v>20000000</v>
      </c>
      <c r="H23" s="423"/>
      <c r="I23" s="423"/>
      <c r="J23" s="423"/>
      <c r="K23" s="423"/>
      <c r="L23" s="423"/>
      <c r="M23" s="423"/>
      <c r="N23" s="423"/>
      <c r="O23" s="462">
        <f>SUM(C23:N23)</f>
        <v>517072339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7" t="s">
        <v>333</v>
      </c>
      <c r="C24" s="405">
        <v>8904646</v>
      </c>
      <c r="D24" s="405">
        <v>8972985</v>
      </c>
      <c r="E24" s="405">
        <v>241842440</v>
      </c>
      <c r="F24" s="405">
        <v>241842440</v>
      </c>
      <c r="G24" s="405">
        <v>20000000</v>
      </c>
      <c r="H24" s="405"/>
      <c r="I24" s="405"/>
      <c r="J24" s="405"/>
      <c r="K24" s="405"/>
      <c r="L24" s="405"/>
      <c r="M24" s="405"/>
      <c r="N24" s="405"/>
      <c r="O24" s="425">
        <f>SUM(C24:N24)</f>
        <v>521562511</v>
      </c>
    </row>
    <row r="25" spans="1:25" ht="15" customHeight="1" x14ac:dyDescent="0.2">
      <c r="B25" s="519" t="s">
        <v>334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3385794160</v>
      </c>
      <c r="G25" s="477">
        <f t="shared" si="6"/>
        <v>280000000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7201481428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316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tabSelected="1" zoomScaleNormal="100" workbookViewId="0">
      <pane xSplit="2" ySplit="13" topLeftCell="C14" activePane="bottomRight" state="frozen"/>
      <selection activeCell="C17" sqref="C17"/>
      <selection pane="topRight" activeCell="C17" sqref="C17"/>
      <selection pane="bottomLeft" activeCell="C17" sqref="C17"/>
      <selection pane="bottomRight" activeCell="C17" sqref="C17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79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74" width="11.44140625" style="2" customWidth="1"/>
    <col min="75" max="16384" width="11.44140625" style="2"/>
  </cols>
  <sheetData>
    <row r="2" spans="1:47" ht="14.4" customHeight="1" thickBot="1" x14ac:dyDescent="0.35">
      <c r="B2" s="980" t="s">
        <v>0</v>
      </c>
      <c r="C2" s="1042" t="s">
        <v>335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55"/>
    </row>
    <row r="3" spans="1:47" ht="21.6" customHeight="1" thickTop="1" thickBot="1" x14ac:dyDescent="0.25">
      <c r="B3" s="981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336</v>
      </c>
      <c r="AS3" s="216" t="s">
        <v>337</v>
      </c>
      <c r="AT3" s="216" t="s">
        <v>338</v>
      </c>
      <c r="AU3" s="225"/>
    </row>
    <row r="4" spans="1:47" s="215" customFormat="1" ht="22.95" customHeight="1" thickTop="1" thickBot="1" x14ac:dyDescent="0.35">
      <c r="A4" s="740"/>
      <c r="B4" s="982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1"/>
      <c r="B5" s="430" t="s">
        <v>339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340</v>
      </c>
      <c r="AR5" s="1048"/>
      <c r="AS5" s="1046"/>
      <c r="AT5" s="221"/>
      <c r="AU5" s="224"/>
    </row>
    <row r="6" spans="1:47" s="223" customFormat="1" ht="15" customHeight="1" x14ac:dyDescent="0.2">
      <c r="A6" s="741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341</v>
      </c>
      <c r="AR6" s="1047"/>
      <c r="AS6" s="1047"/>
      <c r="AT6" s="222"/>
      <c r="AU6" s="224"/>
    </row>
    <row r="7" spans="1:47" s="223" customFormat="1" ht="15" customHeight="1" x14ac:dyDescent="0.2">
      <c r="A7" s="741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342</v>
      </c>
      <c r="AR7" s="252">
        <v>1</v>
      </c>
      <c r="AS7" s="253"/>
      <c r="AT7" s="346"/>
    </row>
    <row r="8" spans="1:47" s="223" customFormat="1" ht="15" customHeight="1" x14ac:dyDescent="0.2">
      <c r="A8" s="741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1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1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1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1"/>
      <c r="B12" s="983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1"/>
      <c r="B13" s="984" t="s">
        <v>23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483684880</v>
      </c>
      <c r="M13" s="485"/>
      <c r="N13" s="486"/>
      <c r="O13" s="484">
        <f>O14+O23</f>
        <v>40000000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1013849510</v>
      </c>
      <c r="AN13" s="485"/>
      <c r="AO13" s="579"/>
    </row>
    <row r="14" spans="1:47" ht="15" customHeight="1" x14ac:dyDescent="0.2">
      <c r="A14" s="741"/>
      <c r="B14" s="985" t="s">
        <v>24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483684880</v>
      </c>
      <c r="M14" s="3"/>
      <c r="N14" s="150"/>
      <c r="O14" s="49">
        <f>O15</f>
        <v>40000000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1013849510</v>
      </c>
      <c r="AN14" s="3"/>
      <c r="AO14" s="313"/>
    </row>
    <row r="15" spans="1:47" ht="15" customHeight="1" x14ac:dyDescent="0.2">
      <c r="A15" s="741"/>
      <c r="B15" s="985" t="s">
        <v>25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483684880</v>
      </c>
      <c r="M15" s="3"/>
      <c r="N15" s="150"/>
      <c r="O15" s="49">
        <f>SUM(O16:O22)</f>
        <v>40000000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1013849510</v>
      </c>
      <c r="AN15" s="3"/>
      <c r="AO15" s="313"/>
    </row>
    <row r="16" spans="1:47" ht="15" customHeight="1" x14ac:dyDescent="0.2">
      <c r="A16" s="741" t="s">
        <v>343</v>
      </c>
      <c r="B16" s="262"/>
      <c r="C16" s="103">
        <f>'[9]Hoja 1'!$E$24+'[9]Hoja 1'!$E$327+'[9]Hoja 1'!$E$540+'[9]Hoja 1'!$E$604+'[9]Hoja 1'!$E$643+'[37]Hoja 1'!$E$21+'[37]Hoja 1'!$E$107+'[37]Hoja 1'!$E$144+'[37]Hoja 1'!$E$181+'[37]Hoja 1'!$E$253+'[38]Hoja 1'!$E$21+'[25]Hoja 1'!$E$23+'[39]Hoja 1'!$E$23+'[16]Hoja 1'!$F$23+'[17]Hoja 1'!$E$24</f>
        <v>4723875</v>
      </c>
      <c r="D16" s="79"/>
      <c r="E16" s="147"/>
      <c r="F16" s="103">
        <f>'[10]Hoja 1'!$E$26+'[10]Hoja 1'!$E$321+'[10]Hoja 1'!$E$503+'[10]Hoja 1'!$E$575+'[18]Hoja 1'!$E$20+'[18]Hoja 1'!$E$101+'[18]Hoja 1'!$E$142+'[11]Hoja 1'!$E$21+'[40]Hoja 1'!$E$21+'[19]Hoja 1'!$E$19+'[19]Hoja 1'!$E$98+'[41]Hoja 1'!$E$23+'[42]Hoja 1'!$E$27+'[20]Hoja 1'!$E$23+'[20]Hoja 1'!$E$106+'[20]Hoja 1'!$E$147</f>
        <v>1755875</v>
      </c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510164630</v>
      </c>
      <c r="AN16" s="79"/>
      <c r="AO16" s="314"/>
    </row>
    <row r="17" spans="1:41" ht="15" customHeight="1" x14ac:dyDescent="0.2">
      <c r="A17" s="74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1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1"/>
      <c r="B19" s="104" t="s">
        <v>21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>
        <v>241842440</v>
      </c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503684880</v>
      </c>
      <c r="AN19" s="43"/>
      <c r="AO19" s="309"/>
    </row>
    <row r="20" spans="1:41" ht="15" customHeight="1" x14ac:dyDescent="0.2">
      <c r="A20" s="741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1"/>
      <c r="B23" s="985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1"/>
      <c r="B24" s="985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1"/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1"/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1"/>
      <c r="B27" s="32" t="s">
        <v>30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1"/>
      <c r="B28" s="985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1"/>
      <c r="B29" s="985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>
        <f>L29/L13</f>
        <v>0</v>
      </c>
      <c r="O29" s="49">
        <f>SUM(O30:O35)</f>
        <v>0</v>
      </c>
      <c r="P29" s="3"/>
      <c r="Q29" s="150">
        <f>O29/O13</f>
        <v>0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1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1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1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1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1"/>
      <c r="B42" s="986" t="s">
        <v>33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483684880</v>
      </c>
      <c r="M42" s="488"/>
      <c r="N42" s="489"/>
      <c r="O42" s="487">
        <f>+O14+O23-O28</f>
        <v>40000000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1013849510</v>
      </c>
      <c r="AN42" s="488"/>
      <c r="AO42" s="577"/>
    </row>
    <row r="43" spans="1:41" ht="15" customHeight="1" thickTop="1" thickBot="1" x14ac:dyDescent="0.25">
      <c r="A43" s="741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1"/>
      <c r="B44" s="987" t="s">
        <v>344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1451054640</v>
      </c>
      <c r="M44" s="491"/>
      <c r="N44" s="492"/>
      <c r="O44" s="490">
        <f>+O45+O60+O78</f>
        <v>120000000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3086557845.3900003</v>
      </c>
      <c r="AN44" s="491"/>
      <c r="AO44" s="580"/>
    </row>
    <row r="45" spans="1:41" ht="15" customHeight="1" x14ac:dyDescent="0.2">
      <c r="A45" s="741"/>
      <c r="B45" s="985" t="s">
        <v>35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>
        <v>241842440</v>
      </c>
      <c r="M45" s="3"/>
      <c r="N45" s="150"/>
      <c r="O45" s="49">
        <v>20000000</v>
      </c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503684880</v>
      </c>
      <c r="AN45" s="3"/>
      <c r="AO45" s="313">
        <f>AM45/AM$13</f>
        <v>0.49680438273329147</v>
      </c>
    </row>
    <row r="46" spans="1:41" ht="15" customHeight="1" x14ac:dyDescent="0.2">
      <c r="A46" s="741"/>
      <c r="B46" s="36" t="s">
        <v>36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>
        <v>241842440</v>
      </c>
      <c r="M46" s="67"/>
      <c r="N46" s="149"/>
      <c r="O46" s="37">
        <v>20000000</v>
      </c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503684880</v>
      </c>
      <c r="AN46" s="67"/>
      <c r="AO46" s="318"/>
    </row>
    <row r="47" spans="1:41" ht="15" customHeight="1" x14ac:dyDescent="0.2">
      <c r="A47" s="741"/>
      <c r="B47" s="988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1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1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1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1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1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1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1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1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1"/>
      <c r="B56" s="989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1"/>
      <c r="B58" s="36" t="s">
        <v>345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>
        <v>241842440</v>
      </c>
      <c r="M58" s="67"/>
      <c r="N58" s="149"/>
      <c r="O58" s="37">
        <v>20000000</v>
      </c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503684880</v>
      </c>
      <c r="AN58" s="67"/>
      <c r="AO58" s="318">
        <f>AM58/AM$16</f>
        <v>0.98729870787004581</v>
      </c>
    </row>
    <row r="59" spans="1:41" s="108" customFormat="1" ht="15" customHeight="1" x14ac:dyDescent="0.2">
      <c r="A59" s="741"/>
      <c r="B59" s="36" t="s">
        <v>346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1"/>
      <c r="B60" s="985" t="s">
        <v>347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967369760</v>
      </c>
      <c r="M60" s="3"/>
      <c r="N60" s="150"/>
      <c r="O60" s="49">
        <f>+O61+O73+O74+O75+O76+O77</f>
        <v>80000000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2062788023.3899999</v>
      </c>
      <c r="AN60" s="3"/>
      <c r="AO60" s="313"/>
    </row>
    <row r="61" spans="1:41" ht="15" customHeight="1" x14ac:dyDescent="0.2">
      <c r="A61" s="741"/>
      <c r="B61" s="36" t="s">
        <v>36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483684880</v>
      </c>
      <c r="M61" s="67"/>
      <c r="N61" s="149"/>
      <c r="O61" s="37">
        <f>SUM(O62:O71)+O72</f>
        <v>40000000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1053370902.39</v>
      </c>
      <c r="AN61" s="67"/>
      <c r="AO61" s="318"/>
    </row>
    <row r="62" spans="1:41" ht="15" customHeight="1" x14ac:dyDescent="0.2">
      <c r="A62" s="746">
        <v>51956001</v>
      </c>
      <c r="B62" s="100" t="s">
        <v>348</v>
      </c>
      <c r="C62" s="304">
        <f>'[9]Hoja 1'!$C$245</f>
        <v>23737019.079999998</v>
      </c>
      <c r="D62" s="79"/>
      <c r="E62" s="147"/>
      <c r="F62" s="266">
        <f>'[10]Hoja 1'!$C$254</f>
        <v>21999955.57</v>
      </c>
      <c r="G62" s="79"/>
      <c r="H62" s="147"/>
      <c r="I62" s="78">
        <v>241842440</v>
      </c>
      <c r="J62" s="79"/>
      <c r="K62" s="147"/>
      <c r="L62" s="78">
        <v>241842440</v>
      </c>
      <c r="M62" s="79"/>
      <c r="N62" s="147"/>
      <c r="O62" s="78">
        <v>20000000</v>
      </c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549421854.64999998</v>
      </c>
      <c r="AN62" s="79"/>
      <c r="AO62" s="314"/>
    </row>
    <row r="63" spans="1:41" ht="15" customHeight="1" x14ac:dyDescent="0.2">
      <c r="A63" s="746" t="s">
        <v>349</v>
      </c>
      <c r="B63" s="101"/>
      <c r="C63" s="25">
        <f>'[9]Hoja 1'!$C$251</f>
        <v>156567.26999999999</v>
      </c>
      <c r="D63" s="43"/>
      <c r="E63" s="118"/>
      <c r="F63" s="25">
        <f>'[10]Hoja 1'!$C$260</f>
        <v>107600.47</v>
      </c>
      <c r="G63" s="43"/>
      <c r="H63" s="118"/>
      <c r="I63" s="25">
        <v>241842440</v>
      </c>
      <c r="J63" s="43"/>
      <c r="K63" s="118"/>
      <c r="L63" s="25">
        <v>241842440</v>
      </c>
      <c r="M63" s="43"/>
      <c r="N63" s="118"/>
      <c r="O63" s="25">
        <v>20000000</v>
      </c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503949047.74000001</v>
      </c>
      <c r="AN63" s="43"/>
      <c r="AO63" s="309"/>
    </row>
    <row r="64" spans="1:41" ht="15" customHeight="1" x14ac:dyDescent="0.3">
      <c r="A64" s="741"/>
      <c r="B64" s="990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1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1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1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1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1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1"/>
      <c r="B70" s="9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1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1"/>
      <c r="B72" s="36" t="s">
        <v>41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1"/>
      <c r="B73" s="36" t="s">
        <v>42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1"/>
      <c r="B74" s="36" t="s">
        <v>350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1"/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1"/>
      <c r="B76" s="36" t="s">
        <v>45</v>
      </c>
      <c r="C76" s="211">
        <f>'[9]Hoja 1'!$C$256</f>
        <v>35748</v>
      </c>
      <c r="D76" s="67"/>
      <c r="E76" s="149"/>
      <c r="F76" s="211">
        <f>'[10]Hoja 1'!$C$265</f>
        <v>795876</v>
      </c>
      <c r="G76" s="67"/>
      <c r="H76" s="149"/>
      <c r="I76" s="211">
        <v>241842440</v>
      </c>
      <c r="J76" s="67"/>
      <c r="K76" s="149"/>
      <c r="L76" s="37">
        <v>241842440</v>
      </c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504516504</v>
      </c>
      <c r="AN76" s="67"/>
      <c r="AO76" s="320"/>
    </row>
    <row r="77" spans="1:42" ht="15" customHeight="1" x14ac:dyDescent="0.2">
      <c r="A77" s="741" t="s">
        <v>351</v>
      </c>
      <c r="B77" s="992" t="s">
        <v>46</v>
      </c>
      <c r="C77" s="28">
        <f>'[9]Hoja 1'!$C$260</f>
        <v>471859</v>
      </c>
      <c r="D77" s="45"/>
      <c r="E77" s="149"/>
      <c r="F77" s="28">
        <f>'[10]Hoja 1'!$C$269</f>
        <v>743878</v>
      </c>
      <c r="G77" s="45"/>
      <c r="H77" s="149"/>
      <c r="I77" s="28">
        <v>241842440</v>
      </c>
      <c r="J77" s="45"/>
      <c r="K77" s="149"/>
      <c r="L77" s="28">
        <v>241842440</v>
      </c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504900617</v>
      </c>
      <c r="AN77" s="42"/>
      <c r="AO77" s="320"/>
    </row>
    <row r="78" spans="1:42" ht="15" customHeight="1" x14ac:dyDescent="0.2">
      <c r="A78" s="741"/>
      <c r="B78" s="985" t="s">
        <v>352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241842440</v>
      </c>
      <c r="M78" s="3"/>
      <c r="N78" s="150"/>
      <c r="O78" s="49">
        <f>SUM(O79:O81)</f>
        <v>20000000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520084942</v>
      </c>
      <c r="AN78" s="3"/>
      <c r="AO78" s="321">
        <f>AM78/(AM$13)</f>
        <v>0.51298041461794464</v>
      </c>
    </row>
    <row r="79" spans="1:42" ht="15" customHeight="1" x14ac:dyDescent="0.3">
      <c r="A79" s="741"/>
      <c r="B79" s="993" t="s">
        <v>353</v>
      </c>
      <c r="C79" s="266">
        <f>'[1]Hoja 1'!$I$11-C86+'[2]Hoja 1'!$I$10+'[43]Hoja 1'!$D$9</f>
        <v>6002546</v>
      </c>
      <c r="D79" s="69"/>
      <c r="E79" s="306"/>
      <c r="F79" s="266">
        <f>'[4]Hoja 1'!$I$10-F86+'[5]Hoja 1'!$I$10+'[8]Hoja 1'!$I$10</f>
        <v>10397516</v>
      </c>
      <c r="G79" s="69"/>
      <c r="H79" s="306"/>
      <c r="I79" s="266">
        <v>241842440</v>
      </c>
      <c r="J79" s="69"/>
      <c r="K79" s="306"/>
      <c r="L79" s="266">
        <v>241842440</v>
      </c>
      <c r="M79" s="69"/>
      <c r="N79" s="306"/>
      <c r="O79" s="266">
        <v>20000000</v>
      </c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520084942</v>
      </c>
      <c r="AN79" s="4"/>
      <c r="AO79" s="322">
        <f>AM79/(AM$13)</f>
        <v>0.51298041461794464</v>
      </c>
      <c r="AP79" s="144"/>
    </row>
    <row r="80" spans="1:42" ht="15" customHeight="1" x14ac:dyDescent="0.2">
      <c r="A80" s="741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1"/>
      <c r="B81" s="994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1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1"/>
      <c r="B83" s="987" t="s">
        <v>51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9709436074</v>
      </c>
      <c r="M83" s="491"/>
      <c r="N83" s="492">
        <f>L83/(L$13)</f>
        <v>20.07388792885153</v>
      </c>
      <c r="O83" s="490">
        <f>+O84+O88+O91+O95+O98+O108+O113+O119+O122+O126</f>
        <v>820000000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20240698147.400002</v>
      </c>
      <c r="AN83" s="491"/>
      <c r="AO83" s="582">
        <f>AM83/(AM$13)</f>
        <v>19.964203708497134</v>
      </c>
    </row>
    <row r="84" spans="1:41" ht="15" customHeight="1" x14ac:dyDescent="0.2">
      <c r="A84" s="741"/>
      <c r="B84" s="985" t="s">
        <v>52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725527320</v>
      </c>
      <c r="M84" s="3"/>
      <c r="N84" s="150">
        <f>L84/(L$13)</f>
        <v>1.5</v>
      </c>
      <c r="O84" s="49">
        <f>SUM(O85:O87)</f>
        <v>60000000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1511340140</v>
      </c>
      <c r="AN84" s="3"/>
      <c r="AO84" s="321">
        <f>AM84/(AM$13)</f>
        <v>1.4906947481781592</v>
      </c>
    </row>
    <row r="85" spans="1:41" ht="15" customHeight="1" x14ac:dyDescent="0.2">
      <c r="A85" s="741"/>
      <c r="B85" s="995" t="s">
        <v>53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>
        <v>241842440</v>
      </c>
      <c r="M85" s="69"/>
      <c r="N85" s="306"/>
      <c r="O85" s="39">
        <v>20000000</v>
      </c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503684880</v>
      </c>
      <c r="AN85" s="69"/>
      <c r="AO85" s="324">
        <f>AM85/(AM$13)</f>
        <v>0.49680438273329147</v>
      </c>
    </row>
    <row r="86" spans="1:41" ht="15" customHeight="1" x14ac:dyDescent="0.2">
      <c r="A86" s="741"/>
      <c r="B86" s="431" t="s">
        <v>54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503970380</v>
      </c>
      <c r="AN86" s="43"/>
      <c r="AO86" s="309"/>
    </row>
    <row r="87" spans="1:41" ht="15" customHeight="1" x14ac:dyDescent="0.2">
      <c r="A87" s="741"/>
      <c r="B87" s="988" t="s">
        <v>55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>
        <v>241842440</v>
      </c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503684880</v>
      </c>
      <c r="AN87" s="42"/>
      <c r="AO87" s="315"/>
    </row>
    <row r="88" spans="1:41" ht="15" customHeight="1" x14ac:dyDescent="0.2">
      <c r="A88" s="741"/>
      <c r="B88" s="985" t="s">
        <v>56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483684880</v>
      </c>
      <c r="M88" s="3"/>
      <c r="N88" s="150">
        <f>L88/(L$13)</f>
        <v>1</v>
      </c>
      <c r="O88" s="49">
        <f>SUM(O89:O90)</f>
        <v>40000000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1007369760</v>
      </c>
      <c r="AN88" s="3"/>
      <c r="AO88" s="321">
        <f>AM88/(AM$13)</f>
        <v>0.99360876546658294</v>
      </c>
    </row>
    <row r="89" spans="1:41" ht="15" customHeight="1" outlineLevel="1" x14ac:dyDescent="0.2">
      <c r="A89" s="741"/>
      <c r="B89" s="995" t="s">
        <v>57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>
        <v>241842440</v>
      </c>
      <c r="M89" s="69"/>
      <c r="N89" s="306"/>
      <c r="O89" s="39">
        <v>20000000</v>
      </c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503684880</v>
      </c>
      <c r="AN89" s="69"/>
      <c r="AO89" s="324"/>
    </row>
    <row r="90" spans="1:41" ht="15" customHeight="1" outlineLevel="1" x14ac:dyDescent="0.2">
      <c r="A90" s="741"/>
      <c r="B90" s="415" t="s">
        <v>354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>
        <v>241842440</v>
      </c>
      <c r="M90" s="84"/>
      <c r="N90" s="336"/>
      <c r="O90" s="83">
        <v>20000000</v>
      </c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503684880</v>
      </c>
      <c r="AN90" s="84"/>
      <c r="AO90" s="310"/>
    </row>
    <row r="91" spans="1:41" ht="15" customHeight="1" x14ac:dyDescent="0.2">
      <c r="A91" s="741"/>
      <c r="B91" s="985" t="s">
        <v>59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725527320</v>
      </c>
      <c r="M91" s="3"/>
      <c r="N91" s="150">
        <f>L91/(L$13)</f>
        <v>1.5</v>
      </c>
      <c r="O91" s="49">
        <f>SUM(O92:O94)</f>
        <v>60000000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1511054640</v>
      </c>
      <c r="AN91" s="3"/>
      <c r="AO91" s="321">
        <f>AM91/(AM$13)</f>
        <v>1.4904131481998744</v>
      </c>
    </row>
    <row r="92" spans="1:41" ht="15" customHeight="1" outlineLevel="1" x14ac:dyDescent="0.2">
      <c r="A92" s="741"/>
      <c r="B92" s="995" t="s">
        <v>60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>
        <v>241842440</v>
      </c>
      <c r="M92" s="69"/>
      <c r="N92" s="306"/>
      <c r="O92" s="39">
        <v>20000000</v>
      </c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503684880</v>
      </c>
      <c r="AN92" s="69"/>
      <c r="AO92" s="324"/>
    </row>
    <row r="93" spans="1:41" ht="15" customHeight="1" outlineLevel="1" x14ac:dyDescent="0.2">
      <c r="A93" s="741"/>
      <c r="B93" s="431" t="s">
        <v>61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>
        <v>241842440</v>
      </c>
      <c r="M93" s="43"/>
      <c r="N93" s="118"/>
      <c r="O93" s="25">
        <v>20000000</v>
      </c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503684880</v>
      </c>
      <c r="AN93" s="43"/>
      <c r="AO93" s="309"/>
    </row>
    <row r="94" spans="1:41" ht="15" customHeight="1" outlineLevel="1" x14ac:dyDescent="0.2">
      <c r="A94" s="741"/>
      <c r="B94" s="996" t="s">
        <v>62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>
        <v>241842440</v>
      </c>
      <c r="M94" s="45"/>
      <c r="N94" s="117"/>
      <c r="O94" s="28">
        <v>20000000</v>
      </c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503684880</v>
      </c>
      <c r="AN94" s="45"/>
      <c r="AO94" s="325"/>
    </row>
    <row r="95" spans="1:41" ht="15" customHeight="1" x14ac:dyDescent="0.2">
      <c r="A95" s="741"/>
      <c r="B95" s="997" t="s">
        <v>63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483684880</v>
      </c>
      <c r="M95" s="3"/>
      <c r="N95" s="150">
        <f>L95/(L$13)</f>
        <v>1</v>
      </c>
      <c r="O95" s="49">
        <f>SUM(O96:O97)</f>
        <v>40000000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1007369760</v>
      </c>
      <c r="AN95" s="3"/>
      <c r="AO95" s="321">
        <f>AM95/(AM$13)</f>
        <v>0.99360876546658294</v>
      </c>
    </row>
    <row r="96" spans="1:41" s="108" customFormat="1" ht="15" customHeight="1" outlineLevel="1" x14ac:dyDescent="0.2">
      <c r="A96" s="741"/>
      <c r="B96" s="995" t="s">
        <v>65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>
        <v>241842440</v>
      </c>
      <c r="M96" s="69"/>
      <c r="N96" s="306"/>
      <c r="O96" s="39">
        <v>20000000</v>
      </c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503684880</v>
      </c>
      <c r="AN96" s="69"/>
      <c r="AO96" s="324"/>
    </row>
    <row r="97" spans="1:41" s="108" customFormat="1" ht="15" customHeight="1" outlineLevel="1" x14ac:dyDescent="0.2">
      <c r="A97" s="741"/>
      <c r="B97" s="998" t="s">
        <v>67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>
        <v>241842440</v>
      </c>
      <c r="M97" s="276"/>
      <c r="N97" s="341"/>
      <c r="O97" s="275">
        <v>20000000</v>
      </c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503684880</v>
      </c>
      <c r="AN97" s="276"/>
      <c r="AO97" s="326"/>
    </row>
    <row r="98" spans="1:41" ht="15" customHeight="1" x14ac:dyDescent="0.2">
      <c r="A98" s="741"/>
      <c r="B98" s="985" t="s">
        <v>68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2176581960</v>
      </c>
      <c r="M98" s="3"/>
      <c r="N98" s="150">
        <f>L98/(L$13)</f>
        <v>4.5</v>
      </c>
      <c r="O98" s="49">
        <f>SUM(O99:O107)</f>
        <v>180000000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4533163920</v>
      </c>
      <c r="AN98" s="3"/>
      <c r="AO98" s="321">
        <f>AM98/(AM$13)</f>
        <v>4.4712394445996226</v>
      </c>
    </row>
    <row r="99" spans="1:41" ht="15" customHeight="1" outlineLevel="1" x14ac:dyDescent="0.2">
      <c r="A99" s="741"/>
      <c r="B99" s="995" t="s">
        <v>69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>
        <v>241842440</v>
      </c>
      <c r="M99" s="69"/>
      <c r="N99" s="306"/>
      <c r="O99" s="39">
        <v>20000000</v>
      </c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503684880</v>
      </c>
      <c r="AN99" s="69"/>
      <c r="AO99" s="324"/>
    </row>
    <row r="100" spans="1:41" ht="15" customHeight="1" outlineLevel="1" x14ac:dyDescent="0.2">
      <c r="A100" s="741"/>
      <c r="B100" s="431" t="s">
        <v>70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>
        <v>241842440</v>
      </c>
      <c r="M100" s="43"/>
      <c r="N100" s="118"/>
      <c r="O100" s="25">
        <v>20000000</v>
      </c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503684880</v>
      </c>
      <c r="AN100" s="43"/>
      <c r="AO100" s="309"/>
    </row>
    <row r="101" spans="1:41" ht="15" customHeight="1" outlineLevel="1" x14ac:dyDescent="0.2">
      <c r="A101" s="741"/>
      <c r="B101" s="431" t="s">
        <v>71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503684880</v>
      </c>
      <c r="AN101" s="43"/>
      <c r="AO101" s="309"/>
    </row>
    <row r="102" spans="1:41" ht="15" customHeight="1" outlineLevel="1" x14ac:dyDescent="0.2">
      <c r="A102" s="741"/>
      <c r="B102" s="431" t="s">
        <v>72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503684880</v>
      </c>
      <c r="AN102" s="43"/>
      <c r="AO102" s="309"/>
    </row>
    <row r="103" spans="1:41" ht="15" customHeight="1" outlineLevel="1" x14ac:dyDescent="0.2">
      <c r="A103" s="741"/>
      <c r="B103" s="431" t="s">
        <v>73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503684880</v>
      </c>
      <c r="AN103" s="43"/>
      <c r="AO103" s="309"/>
    </row>
    <row r="104" spans="1:41" ht="15" customHeight="1" outlineLevel="1" x14ac:dyDescent="0.2">
      <c r="A104" s="741"/>
      <c r="B104" s="431" t="s">
        <v>74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503684880</v>
      </c>
      <c r="AN104" s="43"/>
      <c r="AO104" s="309"/>
    </row>
    <row r="105" spans="1:41" ht="15" customHeight="1" outlineLevel="1" x14ac:dyDescent="0.2">
      <c r="A105" s="741"/>
      <c r="B105" s="431" t="s">
        <v>75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>
        <v>241842440</v>
      </c>
      <c r="M105" s="43"/>
      <c r="N105" s="118"/>
      <c r="O105" s="274">
        <v>20000000</v>
      </c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503684880</v>
      </c>
      <c r="AN105" s="43"/>
      <c r="AO105" s="309"/>
    </row>
    <row r="106" spans="1:41" ht="15" customHeight="1" outlineLevel="1" x14ac:dyDescent="0.2">
      <c r="A106" s="741"/>
      <c r="B106" s="999" t="s">
        <v>355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>
        <v>241842440</v>
      </c>
      <c r="M106" s="43"/>
      <c r="N106" s="118"/>
      <c r="O106" s="274">
        <v>20000000</v>
      </c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503684880</v>
      </c>
      <c r="AN106" s="43"/>
      <c r="AO106" s="309"/>
    </row>
    <row r="107" spans="1:41" ht="15" customHeight="1" outlineLevel="1" x14ac:dyDescent="0.2">
      <c r="A107" s="741"/>
      <c r="B107" s="988" t="s">
        <v>77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>
        <v>241842440</v>
      </c>
      <c r="M107" s="42"/>
      <c r="N107" s="140"/>
      <c r="O107" s="2">
        <v>20000000</v>
      </c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503684880</v>
      </c>
      <c r="AN107" s="42"/>
      <c r="AO107" s="315"/>
    </row>
    <row r="108" spans="1:41" ht="15" customHeight="1" x14ac:dyDescent="0.2">
      <c r="A108" s="741"/>
      <c r="B108" s="985" t="s">
        <v>78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967369760</v>
      </c>
      <c r="M108" s="3"/>
      <c r="N108" s="150">
        <f>L108/(L$13)</f>
        <v>2</v>
      </c>
      <c r="O108" s="49">
        <f>SUM(O109:O112)</f>
        <v>80000000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2014739520</v>
      </c>
      <c r="AN108" s="3"/>
      <c r="AO108" s="321">
        <f>AM108/(AM$13)</f>
        <v>1.9872175309331659</v>
      </c>
    </row>
    <row r="109" spans="1:41" ht="15" customHeight="1" outlineLevel="1" x14ac:dyDescent="0.2">
      <c r="A109" s="741"/>
      <c r="B109" s="995" t="s">
        <v>80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>
        <v>241842440</v>
      </c>
      <c r="M109" s="69"/>
      <c r="N109" s="306"/>
      <c r="O109" s="39">
        <v>20000000</v>
      </c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503684880</v>
      </c>
      <c r="AN109" s="69"/>
      <c r="AO109" s="324"/>
    </row>
    <row r="110" spans="1:41" ht="15" customHeight="1" outlineLevel="1" x14ac:dyDescent="0.2">
      <c r="A110" s="741"/>
      <c r="B110" s="431" t="s">
        <v>82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>
        <v>241842440</v>
      </c>
      <c r="M110" s="43"/>
      <c r="N110" s="118"/>
      <c r="O110" s="25">
        <v>20000000</v>
      </c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503684880</v>
      </c>
      <c r="AN110" s="43"/>
      <c r="AO110" s="309"/>
    </row>
    <row r="111" spans="1:41" ht="15" customHeight="1" outlineLevel="1" x14ac:dyDescent="0.2">
      <c r="A111" s="741"/>
      <c r="B111" s="431" t="s">
        <v>84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503684880</v>
      </c>
      <c r="AN111" s="43"/>
      <c r="AO111" s="309"/>
    </row>
    <row r="112" spans="1:41" ht="15" customHeight="1" outlineLevel="1" x14ac:dyDescent="0.2">
      <c r="A112" s="741"/>
      <c r="B112" s="996" t="s">
        <v>86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>
        <v>241842440</v>
      </c>
      <c r="M112" s="45"/>
      <c r="N112" s="117"/>
      <c r="O112" s="28">
        <v>20000000</v>
      </c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503684880</v>
      </c>
      <c r="AN112" s="45"/>
      <c r="AO112" s="325"/>
    </row>
    <row r="113" spans="1:41" ht="15" customHeight="1" x14ac:dyDescent="0.2">
      <c r="A113" s="741"/>
      <c r="B113" s="985" t="s">
        <v>87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737655092</v>
      </c>
      <c r="M113" s="3"/>
      <c r="N113" s="150">
        <f>L113/(L$13)</f>
        <v>1.5250737050122385</v>
      </c>
      <c r="O113" s="49">
        <f>SUM(O114:O115)</f>
        <v>40000000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1515310184</v>
      </c>
      <c r="AN113" s="3"/>
      <c r="AO113" s="321">
        <f>AM113/(AM$13)</f>
        <v>1.494610560101765</v>
      </c>
    </row>
    <row r="114" spans="1:41" ht="15" customHeight="1" outlineLevel="1" x14ac:dyDescent="0.2">
      <c r="A114" s="741"/>
      <c r="B114" s="995" t="s">
        <v>89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>
        <v>241842440</v>
      </c>
      <c r="M114" s="69"/>
      <c r="N114" s="306"/>
      <c r="O114" s="39">
        <v>20000000</v>
      </c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503684880</v>
      </c>
      <c r="AN114" s="69"/>
      <c r="AO114" s="324"/>
    </row>
    <row r="115" spans="1:41" ht="15" customHeight="1" outlineLevel="1" x14ac:dyDescent="0.2">
      <c r="A115" s="741"/>
      <c r="B115" s="431" t="s">
        <v>91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>
        <v>241842440</v>
      </c>
      <c r="M115" s="43"/>
      <c r="N115" s="118"/>
      <c r="O115" s="25">
        <v>20000000</v>
      </c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503684880</v>
      </c>
      <c r="AN115" s="43"/>
      <c r="AO115" s="309"/>
    </row>
    <row r="116" spans="1:41" ht="15" customHeight="1" outlineLevel="1" x14ac:dyDescent="0.2">
      <c r="A116" s="741" t="s">
        <v>92</v>
      </c>
      <c r="B116" s="999" t="s">
        <v>93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>
        <v>5705110</v>
      </c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31410220</v>
      </c>
      <c r="AN116" s="43"/>
      <c r="AO116" s="309"/>
    </row>
    <row r="117" spans="1:41" ht="15" customHeight="1" outlineLevel="1" x14ac:dyDescent="0.2">
      <c r="A117" s="741"/>
      <c r="B117" s="999" t="s">
        <v>95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503684880</v>
      </c>
      <c r="AN117" s="43"/>
      <c r="AO117" s="309"/>
    </row>
    <row r="118" spans="1:41" ht="15" customHeight="1" outlineLevel="1" thickBot="1" x14ac:dyDescent="0.25">
      <c r="A118" s="741"/>
      <c r="B118" s="1000" t="s">
        <v>97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>
        <v>6422662</v>
      </c>
      <c r="M118" s="72"/>
      <c r="N118" s="342"/>
      <c r="O118" s="71">
        <v>20000000</v>
      </c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32845324</v>
      </c>
      <c r="AN118" s="72"/>
      <c r="AO118" s="331"/>
    </row>
    <row r="119" spans="1:41" ht="15" customHeight="1" thickTop="1" x14ac:dyDescent="0.2">
      <c r="A119" s="741"/>
      <c r="B119" s="1001" t="s">
        <v>98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248265102</v>
      </c>
      <c r="M119" s="383"/>
      <c r="N119" s="384">
        <f>L119/(L$13)</f>
        <v>0.51327860817150206</v>
      </c>
      <c r="O119" s="382">
        <f>SUM(O120)</f>
        <v>20000000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516530204</v>
      </c>
      <c r="AN119" s="383"/>
      <c r="AO119" s="387">
        <f>AM119/(AM$13)</f>
        <v>0.50947423548096404</v>
      </c>
    </row>
    <row r="120" spans="1:41" ht="15" customHeight="1" x14ac:dyDescent="0.2">
      <c r="A120" s="741"/>
      <c r="B120" s="995" t="s">
        <v>100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>
        <v>6422662</v>
      </c>
      <c r="M120" s="69"/>
      <c r="N120" s="306"/>
      <c r="O120" s="39">
        <v>20000000</v>
      </c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32845324</v>
      </c>
      <c r="AN120" s="69"/>
      <c r="AO120" s="324"/>
    </row>
    <row r="121" spans="1:41" ht="15" customHeight="1" x14ac:dyDescent="0.2">
      <c r="A121" s="741"/>
      <c r="B121" s="990" t="s">
        <v>102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>
        <v>241842440</v>
      </c>
      <c r="M121" s="92"/>
      <c r="N121" s="338"/>
      <c r="O121" s="91">
        <v>20000000</v>
      </c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503684880</v>
      </c>
      <c r="AN121" s="92"/>
      <c r="AO121" s="327"/>
    </row>
    <row r="122" spans="1:41" ht="15" customHeight="1" x14ac:dyDescent="0.2">
      <c r="A122" s="741"/>
      <c r="B122" s="985" t="s">
        <v>103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259030480</v>
      </c>
      <c r="M122" s="3"/>
      <c r="N122" s="150">
        <f>L122/(L$13)</f>
        <v>0.53553561566778762</v>
      </c>
      <c r="O122" s="49">
        <f>SUM(O123:O125)</f>
        <v>60000000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578060960</v>
      </c>
      <c r="AN122" s="3"/>
      <c r="AO122" s="321">
        <f>AM122/(AM$13)</f>
        <v>0.57016446158759793</v>
      </c>
    </row>
    <row r="123" spans="1:41" ht="15" customHeight="1" outlineLevel="1" x14ac:dyDescent="0.2">
      <c r="A123" s="741"/>
      <c r="B123" s="995" t="s">
        <v>105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>
        <v>8594020</v>
      </c>
      <c r="M123" s="69"/>
      <c r="N123" s="306"/>
      <c r="O123" s="39">
        <v>20000000</v>
      </c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37188040</v>
      </c>
      <c r="AN123" s="69"/>
      <c r="AO123" s="324"/>
    </row>
    <row r="124" spans="1:41" ht="15" customHeight="1" outlineLevel="1" x14ac:dyDescent="0.2">
      <c r="A124" s="741"/>
      <c r="B124" s="431" t="s">
        <v>107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>
        <v>8594020</v>
      </c>
      <c r="M124" s="43"/>
      <c r="N124" s="118"/>
      <c r="O124" s="25">
        <v>20000000</v>
      </c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37188040</v>
      </c>
      <c r="AN124" s="43"/>
      <c r="AO124" s="309"/>
    </row>
    <row r="125" spans="1:41" ht="15" customHeight="1" outlineLevel="1" x14ac:dyDescent="0.2">
      <c r="A125" s="741"/>
      <c r="B125" s="996" t="s">
        <v>109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>
        <v>241842440</v>
      </c>
      <c r="M125" s="45"/>
      <c r="N125" s="117"/>
      <c r="O125" s="28">
        <v>20000000</v>
      </c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503684880</v>
      </c>
      <c r="AN125" s="45"/>
      <c r="AO125" s="325"/>
    </row>
    <row r="126" spans="1:41" ht="15" customHeight="1" x14ac:dyDescent="0.2">
      <c r="A126" s="741"/>
      <c r="B126" s="985" t="s">
        <v>110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2902109280</v>
      </c>
      <c r="M126" s="3"/>
      <c r="N126" s="150">
        <f>L126/(L$13)</f>
        <v>6</v>
      </c>
      <c r="O126" s="49">
        <f>SUM(O127:O138)</f>
        <v>240000000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6045759059.3999996</v>
      </c>
      <c r="AN126" s="3"/>
      <c r="AO126" s="321">
        <f>AM126/(AM$13)</f>
        <v>5.9631720484828161</v>
      </c>
    </row>
    <row r="127" spans="1:41" ht="15" customHeight="1" outlineLevel="1" x14ac:dyDescent="0.2">
      <c r="A127" s="741"/>
      <c r="B127" s="995" t="s">
        <v>112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>
        <v>241842440</v>
      </c>
      <c r="M127" s="69"/>
      <c r="N127" s="306"/>
      <c r="O127" s="39">
        <v>20000000</v>
      </c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503684880</v>
      </c>
      <c r="AN127" s="42"/>
      <c r="AO127" s="328"/>
    </row>
    <row r="128" spans="1:41" ht="15" customHeight="1" outlineLevel="1" x14ac:dyDescent="0.2">
      <c r="A128" s="741"/>
      <c r="B128" s="431" t="s">
        <v>114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>
        <v>241842440</v>
      </c>
      <c r="M128" s="43"/>
      <c r="N128" s="118"/>
      <c r="O128" s="25">
        <v>20000000</v>
      </c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1"/>
      <c r="B129" s="431" t="s">
        <v>116</v>
      </c>
      <c r="C129" s="25">
        <f>'[9]Hoja 1'!$C$254+'[9]Hoja 1'!$C$263</f>
        <v>484551.4</v>
      </c>
      <c r="D129" s="43"/>
      <c r="E129" s="118"/>
      <c r="F129" s="25">
        <f>'[10]Hoja 1'!$C$263+'[10]Hoja 1'!$C$272</f>
        <v>442674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504612105.39999998</v>
      </c>
      <c r="AN129" s="43"/>
      <c r="AO129" s="329"/>
    </row>
    <row r="130" spans="1:41" ht="15" customHeight="1" outlineLevel="1" x14ac:dyDescent="0.2">
      <c r="A130" s="741"/>
      <c r="B130" s="431" t="s">
        <v>118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503684880</v>
      </c>
      <c r="AN130" s="43"/>
      <c r="AO130" s="329"/>
    </row>
    <row r="131" spans="1:41" ht="15" customHeight="1" outlineLevel="1" x14ac:dyDescent="0.2">
      <c r="A131" s="741"/>
      <c r="B131" s="431" t="s">
        <v>120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503684880</v>
      </c>
      <c r="AN131" s="43"/>
      <c r="AO131" s="309"/>
    </row>
    <row r="132" spans="1:41" ht="15" customHeight="1" outlineLevel="1" x14ac:dyDescent="0.2">
      <c r="A132" s="741"/>
      <c r="B132" s="431" t="s">
        <v>122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503684880</v>
      </c>
      <c r="AN132" s="43"/>
      <c r="AO132" s="309"/>
    </row>
    <row r="133" spans="1:41" ht="15" customHeight="1" outlineLevel="1" x14ac:dyDescent="0.2">
      <c r="A133" s="741"/>
      <c r="B133" s="431" t="s">
        <v>124</v>
      </c>
      <c r="C133" s="25">
        <f>'[9]Hoja 1'!$C$265</f>
        <v>473884</v>
      </c>
      <c r="D133" s="43"/>
      <c r="E133" s="118"/>
      <c r="F133" s="25">
        <f>'[10]Hoja 1'!$C$274</f>
        <v>139390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504298154</v>
      </c>
      <c r="AN133" s="43"/>
      <c r="AO133" s="309"/>
    </row>
    <row r="134" spans="1:41" ht="15" customHeight="1" outlineLevel="1" x14ac:dyDescent="0.2">
      <c r="A134" s="741"/>
      <c r="B134" s="431" t="s">
        <v>126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503684880</v>
      </c>
      <c r="AN134" s="43"/>
      <c r="AO134" s="309"/>
    </row>
    <row r="135" spans="1:41" ht="15" customHeight="1" outlineLevel="1" x14ac:dyDescent="0.2">
      <c r="A135" s="741"/>
      <c r="B135" s="431" t="s">
        <v>236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503684880</v>
      </c>
      <c r="AN135" s="43"/>
      <c r="AO135" s="309"/>
    </row>
    <row r="136" spans="1:41" ht="15" customHeight="1" outlineLevel="1" x14ac:dyDescent="0.2">
      <c r="A136" s="741"/>
      <c r="B136" s="431" t="s">
        <v>303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503684880</v>
      </c>
      <c r="AN136" s="43"/>
      <c r="AO136" s="309"/>
    </row>
    <row r="137" spans="1:41" ht="15" customHeight="1" outlineLevel="1" x14ac:dyDescent="0.2">
      <c r="A137" s="741"/>
      <c r="B137" s="431" t="s">
        <v>130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503684880</v>
      </c>
      <c r="AN137" s="43"/>
      <c r="AO137" s="309"/>
    </row>
    <row r="138" spans="1:41" ht="15" customHeight="1" outlineLevel="1" thickBot="1" x14ac:dyDescent="0.25">
      <c r="A138" s="741"/>
      <c r="B138" s="1002" t="s">
        <v>238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>
        <v>241842440</v>
      </c>
      <c r="M138" s="214"/>
      <c r="N138" s="307"/>
      <c r="O138" s="269">
        <v>20000000</v>
      </c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503684880</v>
      </c>
      <c r="AN138" s="214"/>
      <c r="AO138" s="330"/>
    </row>
    <row r="139" spans="1:41" ht="15" customHeight="1" thickTop="1" thickBot="1" x14ac:dyDescent="0.25">
      <c r="A139" s="741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1"/>
      <c r="B140" s="1003" t="s">
        <v>356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10676805834</v>
      </c>
      <c r="M140" s="498"/>
      <c r="N140" s="499"/>
      <c r="O140" s="497">
        <f>O44+O83-O42</f>
        <v>900000000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22313406482.790001</v>
      </c>
      <c r="AN140" s="498"/>
      <c r="AO140" s="586"/>
    </row>
    <row r="141" spans="1:41" s="108" customFormat="1" ht="15" customHeight="1" thickTop="1" thickBot="1" x14ac:dyDescent="0.25">
      <c r="A141" s="741"/>
      <c r="B141" s="1004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1" t="s">
        <v>129</v>
      </c>
      <c r="B142" s="1005" t="s">
        <v>357</v>
      </c>
      <c r="C142" s="530">
        <f>'[9]Hoja 1'!$C$267</f>
        <v>391810.95</v>
      </c>
      <c r="D142" s="531"/>
      <c r="E142" s="532"/>
      <c r="F142" s="530">
        <f>'[10]Hoja 1'!$C$276</f>
        <v>2931276.64</v>
      </c>
      <c r="G142" s="531"/>
      <c r="H142" s="532"/>
      <c r="I142" s="530">
        <v>241842440</v>
      </c>
      <c r="J142" s="531"/>
      <c r="K142" s="532"/>
      <c r="L142" s="530">
        <v>241842440</v>
      </c>
      <c r="M142" s="531"/>
      <c r="N142" s="532"/>
      <c r="O142" s="530">
        <v>20000000</v>
      </c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507007967.59000003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5" t="s">
        <v>358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10434963394</v>
      </c>
      <c r="M144" s="531"/>
      <c r="N144" s="532"/>
      <c r="O144" s="530">
        <f>O140-O142</f>
        <v>880000000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21806398515.200001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960000000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960000000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44" t="s">
        <v>359</v>
      </c>
      <c r="AF150" s="1045"/>
    </row>
    <row r="156" spans="3:39" x14ac:dyDescent="0.2">
      <c r="C156" s="789">
        <f>C13/C144</f>
        <v>0.1784471280184409</v>
      </c>
      <c r="D156" s="789"/>
      <c r="E156" s="789"/>
      <c r="F156" s="789">
        <f>F13/F144</f>
        <v>5.8529946285551193E-2</v>
      </c>
      <c r="G156" s="789"/>
      <c r="H156" s="789"/>
      <c r="I156" s="789"/>
      <c r="J156" s="789"/>
      <c r="K156" s="789"/>
      <c r="L156" s="789"/>
      <c r="M156" s="789"/>
      <c r="N156" s="789"/>
      <c r="O156" s="789"/>
      <c r="P156" s="789"/>
      <c r="Q156" s="789"/>
      <c r="R156" s="789" t="e">
        <f>R13/R144</f>
        <v>#DIV/0!</v>
      </c>
      <c r="S156" s="789"/>
      <c r="T156" s="789"/>
      <c r="U156" s="789"/>
      <c r="V156" s="789"/>
      <c r="W156" s="789"/>
      <c r="X156" s="789"/>
      <c r="Y156" s="789"/>
      <c r="Z156" s="789"/>
      <c r="AA156" s="789"/>
      <c r="AB156" s="789"/>
      <c r="AC156" s="789"/>
      <c r="AD156" s="789"/>
      <c r="AE156" s="789"/>
      <c r="AF156" s="789"/>
      <c r="AG156" s="789"/>
      <c r="AH156" s="789"/>
      <c r="AI156" s="789"/>
      <c r="AJ156" s="789"/>
      <c r="AK156" s="789"/>
      <c r="AL156" s="789"/>
      <c r="AM156" s="789"/>
    </row>
    <row r="197" spans="13:14" x14ac:dyDescent="0.2">
      <c r="M197" s="235">
        <f>(32*3)+22+31+17</f>
        <v>166</v>
      </c>
      <c r="N197" s="256" t="s">
        <v>360</v>
      </c>
    </row>
    <row r="198" spans="13:14" x14ac:dyDescent="0.2">
      <c r="M198" s="235">
        <f>20*3</f>
        <v>60</v>
      </c>
      <c r="N198" s="256" t="s">
        <v>361</v>
      </c>
    </row>
    <row r="199" spans="13:14" x14ac:dyDescent="0.2">
      <c r="M199" s="235">
        <v>8</v>
      </c>
      <c r="N199" s="256" t="s">
        <v>362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76" width="11.44140625" style="2" customWidth="1"/>
    <col min="77" max="16384" width="11.44140625" style="2"/>
  </cols>
  <sheetData>
    <row r="2" spans="1:45" ht="24.9" customHeight="1" thickBot="1" x14ac:dyDescent="0.35">
      <c r="B2" s="236" t="s">
        <v>0</v>
      </c>
      <c r="C2" s="1042" t="s">
        <v>363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  <c r="AQ4" s="745" t="s">
        <v>364</v>
      </c>
      <c r="AR4" s="622"/>
      <c r="AS4" s="622"/>
    </row>
    <row r="5" spans="1:45" s="223" customFormat="1" ht="15" customHeight="1" thickTop="1" x14ac:dyDescent="0.2">
      <c r="A5" s="228"/>
      <c r="B5" s="258" t="s">
        <v>365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366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25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367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368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370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6"/>
      <c r="AR30" s="736"/>
      <c r="AS30" s="736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7"/>
      <c r="AR31" s="737"/>
      <c r="AS31" s="737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344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371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372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373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374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375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37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378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379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380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381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382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383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384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385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46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352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353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386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387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51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52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53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54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55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161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56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59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62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63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388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389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72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73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74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75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355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77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78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88</v>
      </c>
      <c r="B115" s="205" t="s">
        <v>89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90</v>
      </c>
      <c r="B116" s="205" t="s">
        <v>91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96</v>
      </c>
      <c r="B119" s="205" t="s">
        <v>97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98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99</v>
      </c>
      <c r="B121" s="205" t="s">
        <v>100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101</v>
      </c>
      <c r="B122" s="205" t="s">
        <v>102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103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110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111</v>
      </c>
      <c r="B128" s="25" t="s">
        <v>390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113</v>
      </c>
      <c r="B129" s="25" t="s">
        <v>391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130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393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394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395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396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397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262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399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400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401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402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403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404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405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406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42" t="s">
        <v>407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55"/>
    </row>
    <row r="3" spans="1:41" ht="21.75" customHeight="1" thickTop="1" thickBot="1" x14ac:dyDescent="0.25">
      <c r="B3" s="973" t="s">
        <v>2</v>
      </c>
      <c r="C3" s="974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18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>
        <v>241842440</v>
      </c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503684880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408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>
        <v>241842440</v>
      </c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503684880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409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>
        <v>241842440</v>
      </c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503684880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410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>
        <v>241842440</v>
      </c>
      <c r="M8" s="43"/>
      <c r="N8" s="118"/>
      <c r="O8" s="74">
        <v>20000000</v>
      </c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503684880</v>
      </c>
      <c r="AN8" s="43"/>
      <c r="AO8" s="309"/>
    </row>
    <row r="9" spans="1:41" s="223" customFormat="1" ht="15" customHeight="1" x14ac:dyDescent="0.2">
      <c r="A9" s="228"/>
      <c r="B9" s="258" t="s">
        <v>411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>
        <v>241842440</v>
      </c>
      <c r="M9" s="43"/>
      <c r="N9" s="118"/>
      <c r="O9" s="74">
        <v>20000000</v>
      </c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503684880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1209212200</v>
      </c>
      <c r="M12" s="47"/>
      <c r="N12" s="152"/>
      <c r="O12" s="46">
        <f>SUM(O5:O11)</f>
        <v>100000000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2518424400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1934739520</v>
      </c>
      <c r="M13" s="485"/>
      <c r="N13" s="486"/>
      <c r="O13" s="484">
        <f>O14+O23</f>
        <v>160000000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4029479040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1209212200</v>
      </c>
      <c r="M14" s="3"/>
      <c r="N14" s="150"/>
      <c r="O14" s="49">
        <f>O15</f>
        <v>100000000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2518424400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1209212200</v>
      </c>
      <c r="M15" s="3"/>
      <c r="N15" s="150"/>
      <c r="O15" s="49">
        <f>SUM(O16:O22)</f>
        <v>100000000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2518424400</v>
      </c>
      <c r="AN15" s="3"/>
      <c r="AO15" s="313">
        <f>AM15/AM15</f>
        <v>1</v>
      </c>
    </row>
    <row r="16" spans="1:41" ht="15" customHeight="1" x14ac:dyDescent="0.2">
      <c r="B16" s="258" t="s">
        <v>412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503684880</v>
      </c>
      <c r="AN16" s="79"/>
      <c r="AO16" s="314">
        <f>AM16/AM$13</f>
        <v>0.125</v>
      </c>
    </row>
    <row r="17" spans="1:46" ht="15" customHeight="1" x14ac:dyDescent="0.2">
      <c r="B17" s="258" t="s">
        <v>413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>
        <v>241842440</v>
      </c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503684880</v>
      </c>
      <c r="AN17" s="43"/>
      <c r="AO17" s="309">
        <f>AM17/AM$13</f>
        <v>0.125</v>
      </c>
    </row>
    <row r="18" spans="1:46" ht="15" customHeight="1" x14ac:dyDescent="0.2">
      <c r="B18" s="258" t="s">
        <v>414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>
        <v>241842440</v>
      </c>
      <c r="M18" s="43"/>
      <c r="N18" s="118"/>
      <c r="O18" s="25">
        <v>20000000</v>
      </c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503684880</v>
      </c>
      <c r="AN18" s="43"/>
      <c r="AO18" s="309">
        <f>AM18/AM$13</f>
        <v>0.125</v>
      </c>
    </row>
    <row r="19" spans="1:46" ht="15" customHeight="1" x14ac:dyDescent="0.2">
      <c r="B19" s="258" t="s">
        <v>415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>
        <v>241842440</v>
      </c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503684880</v>
      </c>
      <c r="AN19" s="43"/>
      <c r="AO19" s="309">
        <f>AM19/AM$13</f>
        <v>0.125</v>
      </c>
    </row>
    <row r="20" spans="1:46" ht="15" customHeight="1" x14ac:dyDescent="0.2">
      <c r="B20" s="258" t="s">
        <v>416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>
        <v>241842440</v>
      </c>
      <c r="M20" s="43"/>
      <c r="N20" s="118"/>
      <c r="O20" s="25">
        <v>20000000</v>
      </c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503684880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725527320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1511054640</v>
      </c>
      <c r="AN23" s="3"/>
      <c r="AO23" s="313"/>
    </row>
    <row r="24" spans="1:46" ht="15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725527320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1511054640</v>
      </c>
      <c r="AN24" s="3"/>
      <c r="AO24" s="313"/>
    </row>
    <row r="25" spans="1:46" ht="15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>
        <v>241842440</v>
      </c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503684880</v>
      </c>
      <c r="AN25" s="52"/>
      <c r="AO25" s="316"/>
    </row>
    <row r="26" spans="1:46" ht="15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>
        <v>241842440</v>
      </c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503684880</v>
      </c>
      <c r="AN26" s="52"/>
      <c r="AO26" s="316"/>
    </row>
    <row r="27" spans="1:46" ht="15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>
        <v>241842440</v>
      </c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503684880</v>
      </c>
      <c r="AN27" s="52"/>
      <c r="AO27" s="316"/>
    </row>
    <row r="28" spans="1:46" ht="15" customHeight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124113540.208</v>
      </c>
      <c r="M28" s="3"/>
      <c r="N28" s="150"/>
      <c r="O28" s="49">
        <f>+O29</f>
        <v>10264000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258491080.41600001</v>
      </c>
      <c r="AN28" s="3"/>
      <c r="AO28" s="313"/>
    </row>
    <row r="29" spans="1:46" ht="15" customHeight="1" x14ac:dyDescent="0.2">
      <c r="B29" s="16" t="s">
        <v>32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124113540.208</v>
      </c>
      <c r="M29" s="3"/>
      <c r="N29" s="150">
        <f>L29/L13</f>
        <v>6.4149999999999999E-2</v>
      </c>
      <c r="O29" s="49">
        <f>SUM(O30:O35)</f>
        <v>10264000</v>
      </c>
      <c r="P29" s="3"/>
      <c r="Q29" s="150">
        <f>O29/O13</f>
        <v>6.4149999999999999E-2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875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258491080.41600001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417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38694790.399999999</v>
      </c>
      <c r="M30" s="79"/>
      <c r="N30" s="147"/>
      <c r="O30" s="264">
        <f>O$13*2%</f>
        <v>3200000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80589580.799999997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418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17025707.776000001</v>
      </c>
      <c r="M31" s="43"/>
      <c r="N31" s="118"/>
      <c r="O31" s="265">
        <f>O$13*0.88%</f>
        <v>1408000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35459415.552000001</v>
      </c>
      <c r="AN31" s="43"/>
      <c r="AO31" s="309"/>
    </row>
    <row r="32" spans="1:46" ht="15" customHeight="1" outlineLevel="1" x14ac:dyDescent="0.2">
      <c r="B32" s="105" t="s">
        <v>419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19347395.199999999</v>
      </c>
      <c r="M32" s="43"/>
      <c r="N32" s="118"/>
      <c r="O32" s="265">
        <f>O$13*1%</f>
        <v>1600000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40294790.399999999</v>
      </c>
      <c r="AN32" s="43"/>
      <c r="AO32" s="309"/>
    </row>
    <row r="33" spans="1:41" ht="15" customHeight="1" outlineLevel="1" x14ac:dyDescent="0.2">
      <c r="B33" s="105" t="s">
        <v>420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9673697.5999999996</v>
      </c>
      <c r="M33" s="43"/>
      <c r="N33" s="118"/>
      <c r="O33" s="205">
        <f>O$13*0.5%</f>
        <v>800000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20147395.199999999</v>
      </c>
      <c r="AN33" s="43"/>
      <c r="AO33" s="309"/>
    </row>
    <row r="34" spans="1:41" s="108" customFormat="1" ht="15" customHeight="1" outlineLevel="1" x14ac:dyDescent="0.2">
      <c r="A34" s="229"/>
      <c r="B34" s="105" t="s">
        <v>421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677158.83200000005</v>
      </c>
      <c r="M34" s="43"/>
      <c r="N34" s="118"/>
      <c r="O34" s="205">
        <f>(O$13*3.5%)*1%</f>
        <v>56000.000000000007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1410317.6640000001</v>
      </c>
      <c r="AN34" s="43"/>
      <c r="AO34" s="309"/>
    </row>
    <row r="35" spans="1:41" ht="15" customHeight="1" outlineLevel="1" x14ac:dyDescent="0.2">
      <c r="B35" s="104" t="s">
        <v>422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38694790.399999999</v>
      </c>
      <c r="M35" s="92"/>
      <c r="N35" s="338"/>
      <c r="O35" s="91">
        <f>O13*2%</f>
        <v>3200000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80589580.799999997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1810625979.7920001</v>
      </c>
      <c r="M42" s="488"/>
      <c r="N42" s="489"/>
      <c r="O42" s="487">
        <f>+O14+O23-O28</f>
        <v>149736000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3770987959.5840001</v>
      </c>
      <c r="AN42" s="488"/>
      <c r="AO42" s="577"/>
    </row>
    <row r="43" spans="1:41" ht="15" customHeight="1" thickTop="1" thickBot="1" x14ac:dyDescent="0.25">
      <c r="C43" s="2"/>
      <c r="D43" s="2"/>
      <c r="E43" s="814" t="e">
        <f>(C46+C61)/(C13-C20)</f>
        <v>#DIV/0!</v>
      </c>
      <c r="F43" s="732"/>
      <c r="G43" s="732"/>
      <c r="H43" s="814" t="e">
        <f>(F46+F61)/(F13-F20)</f>
        <v>#DIV/0!</v>
      </c>
      <c r="I43" s="732"/>
      <c r="J43" s="732"/>
      <c r="K43" s="814">
        <f>(I46+I61)/(I13-I20)</f>
        <v>1</v>
      </c>
      <c r="L43" s="732"/>
      <c r="M43" s="732"/>
      <c r="N43" s="731">
        <f>(L46+L61)/(L13-L20)</f>
        <v>0.8571428571428571</v>
      </c>
      <c r="O43" s="732"/>
      <c r="P43" s="732"/>
      <c r="Q43" s="731">
        <f>(O46+O61)/(O13-O20)</f>
        <v>1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0">
        <f>(AM46+AM61)/(AM13-AM20)</f>
        <v>1.6611001818183284</v>
      </c>
    </row>
    <row r="44" spans="1:41" ht="15" customHeight="1" thickTop="1" x14ac:dyDescent="0.2">
      <c r="B44" s="526" t="s">
        <v>344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6036387302.3999996</v>
      </c>
      <c r="J44" s="491"/>
      <c r="K44" s="492">
        <f>I44/I$13</f>
        <v>3.1199999999999997</v>
      </c>
      <c r="L44" s="490">
        <f>+L45+L60+L78</f>
        <v>5056925420.3999996</v>
      </c>
      <c r="M44" s="491"/>
      <c r="N44" s="492">
        <f>L44/L$13</f>
        <v>2.61375</v>
      </c>
      <c r="O44" s="490">
        <f>+O45+O60+O78</f>
        <v>451600000</v>
      </c>
      <c r="P44" s="491"/>
      <c r="Q44" s="492">
        <f>O44/O$13</f>
        <v>2.8224999999999998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14879201154.684999</v>
      </c>
      <c r="AN44" s="491"/>
      <c r="AO44" s="580">
        <f>AM44/AM$13</f>
        <v>3.692586810101635</v>
      </c>
    </row>
    <row r="45" spans="1:41" ht="15" customHeight="1" x14ac:dyDescent="0.2">
      <c r="B45" s="16" t="s">
        <v>35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60000000</v>
      </c>
      <c r="P45" s="3"/>
      <c r="Q45" s="150">
        <f>O45/O13</f>
        <v>0.375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0"/>
      <c r="AC45" s="761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1929005493.22</v>
      </c>
      <c r="AN45" s="3"/>
      <c r="AO45" s="313"/>
    </row>
    <row r="46" spans="1:41" ht="15" customHeight="1" x14ac:dyDescent="0.2">
      <c r="B46" s="36" t="s">
        <v>371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241842440</v>
      </c>
      <c r="M46" s="67"/>
      <c r="N46" s="149"/>
      <c r="O46" s="37">
        <f>SUM(O47:O56)</f>
        <v>20000000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921635733.22000003</v>
      </c>
      <c r="AN46" s="67"/>
      <c r="AO46" s="318"/>
    </row>
    <row r="47" spans="1:41" ht="15" customHeight="1" x14ac:dyDescent="0.2">
      <c r="A47" s="226" t="s">
        <v>423</v>
      </c>
      <c r="B47" s="97" t="s">
        <v>424</v>
      </c>
      <c r="C47" s="76">
        <f>'[44]Hoja 1'!$I$41</f>
        <v>67019940.729999997</v>
      </c>
      <c r="D47" s="42" t="e">
        <f>C47/C5</f>
        <v>#DIV/0!</v>
      </c>
      <c r="E47" s="140" t="e">
        <f>C47/C16</f>
        <v>#DIV/0!</v>
      </c>
      <c r="F47" s="76">
        <f>'[45]Hoja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>
        <v>241842440</v>
      </c>
      <c r="M47" s="42">
        <f>L47/L5</f>
        <v>1</v>
      </c>
      <c r="N47" s="140">
        <f>L47/L16</f>
        <v>1</v>
      </c>
      <c r="O47" s="76">
        <v>20000000</v>
      </c>
      <c r="P47" s="42">
        <f>O47/O5</f>
        <v>1</v>
      </c>
      <c r="Q47" s="140">
        <f>O47/O16</f>
        <v>1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921635733.22000003</v>
      </c>
      <c r="AN47" s="42">
        <f>AM47/AM5</f>
        <v>1.8297863799683645</v>
      </c>
      <c r="AO47" s="315">
        <f>AM47/AM16</f>
        <v>1.8297863799683645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375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483684880</v>
      </c>
      <c r="M57" s="67">
        <f>L57/(L5+L6)</f>
        <v>1</v>
      </c>
      <c r="N57" s="149">
        <f>L57/L17</f>
        <v>2</v>
      </c>
      <c r="O57" s="46">
        <f>SUM(O58:O59)</f>
        <v>40000000</v>
      </c>
      <c r="P57" s="47">
        <f>O57/(O5+O6)</f>
        <v>1</v>
      </c>
      <c r="Q57" s="152">
        <f>O57/O17</f>
        <v>2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1007369760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>
        <v>241842440</v>
      </c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503684880</v>
      </c>
      <c r="AN58" s="305"/>
      <c r="AO58" s="414"/>
    </row>
    <row r="59" spans="1:41" s="108" customFormat="1" ht="15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>
        <v>241842440</v>
      </c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503684880</v>
      </c>
      <c r="AN59" s="84"/>
      <c r="AO59" s="416"/>
    </row>
    <row r="60" spans="1:41" ht="15" customHeight="1" x14ac:dyDescent="0.2">
      <c r="B60" s="16" t="s">
        <v>37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4585332662.3999996</v>
      </c>
      <c r="J60" s="3"/>
      <c r="K60" s="150"/>
      <c r="L60" s="49">
        <f>+L61+L72+L75+L76+L77</f>
        <v>3847713220.3999996</v>
      </c>
      <c r="M60" s="3"/>
      <c r="N60" s="150"/>
      <c r="O60" s="49">
        <f>+O61+O72+O75+O76+O77</f>
        <v>331600000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0"/>
      <c r="AC60" s="761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11151092899.465</v>
      </c>
      <c r="AN60" s="3"/>
      <c r="AO60" s="313"/>
    </row>
    <row r="61" spans="1:41" ht="15" customHeight="1" x14ac:dyDescent="0.2">
      <c r="B61" s="36" t="s">
        <v>378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1451054640</v>
      </c>
      <c r="J61" s="67"/>
      <c r="K61" s="149"/>
      <c r="L61" s="37">
        <f>SUM(L62:L71)</f>
        <v>1209212200</v>
      </c>
      <c r="M61" s="67"/>
      <c r="N61" s="149"/>
      <c r="O61" s="37">
        <f>SUM(O62:O71)</f>
        <v>120000000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4935061587.0100002</v>
      </c>
      <c r="AN61" s="67"/>
      <c r="AO61" s="318"/>
    </row>
    <row r="62" spans="1:41" ht="15" customHeight="1" x14ac:dyDescent="0.2">
      <c r="A62" s="226" t="s">
        <v>423</v>
      </c>
      <c r="B62" s="1024" t="s">
        <v>425</v>
      </c>
      <c r="C62" s="78">
        <f>'[44]Hoja 1'!$I$40</f>
        <v>246764712.54999998</v>
      </c>
      <c r="D62" s="79" t="e">
        <f>C62/C6</f>
        <v>#DIV/0!</v>
      </c>
      <c r="E62" s="147" t="e">
        <f>C62/C17</f>
        <v>#DIV/0!</v>
      </c>
      <c r="F62" s="78">
        <f>'[45]Hoja 1'!$I$49-'[45]Hoja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>
        <v>241842440</v>
      </c>
      <c r="M62" s="79">
        <f>L62/L6</f>
        <v>1</v>
      </c>
      <c r="N62" s="147">
        <f>L62/L17</f>
        <v>1</v>
      </c>
      <c r="O62" s="78">
        <v>20000000</v>
      </c>
      <c r="P62" s="79">
        <f>O62/O6</f>
        <v>1</v>
      </c>
      <c r="Q62" s="147">
        <f>O62/O17</f>
        <v>1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1661585267.0799999</v>
      </c>
      <c r="AN62" s="79">
        <f>AM62/AM6</f>
        <v>3.2988587369944478</v>
      </c>
      <c r="AO62" s="314">
        <f>AM62/AM17</f>
        <v>3.2988587369944478</v>
      </c>
    </row>
    <row r="63" spans="1:41" ht="15" customHeight="1" x14ac:dyDescent="0.2">
      <c r="A63" s="226" t="s">
        <v>423</v>
      </c>
      <c r="B63" s="1025" t="s">
        <v>426</v>
      </c>
      <c r="C63" s="25">
        <f>'[44]Hoja 1'!$I$42</f>
        <v>98305218.700000003</v>
      </c>
      <c r="D63" s="43" t="e">
        <f>C63/C7</f>
        <v>#DIV/0!</v>
      </c>
      <c r="E63" s="118" t="e">
        <f>C63/C18</f>
        <v>#DIV/0!</v>
      </c>
      <c r="F63" s="25">
        <f>'[45]Hoja 1'!$I$51</f>
        <v>350443962.72000003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>
        <f>L63/L7</f>
        <v>0</v>
      </c>
      <c r="N63" s="118">
        <f>L63/L18</f>
        <v>0</v>
      </c>
      <c r="O63" s="25">
        <v>20000000</v>
      </c>
      <c r="P63" s="43">
        <f>O63/O7</f>
        <v>1</v>
      </c>
      <c r="Q63" s="118">
        <f>O63/O18</f>
        <v>1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710591621.42000008</v>
      </c>
      <c r="AN63" s="43">
        <f>AM63/AM7</f>
        <v>1.4107860879603931</v>
      </c>
      <c r="AO63" s="309">
        <f>AM63/AM18</f>
        <v>1.4107860879603931</v>
      </c>
    </row>
    <row r="64" spans="1:41" ht="15" customHeight="1" x14ac:dyDescent="0.2">
      <c r="B64" s="25" t="s">
        <v>427</v>
      </c>
      <c r="C64" s="25">
        <f>'[44]Hoja 1'!$I$43</f>
        <v>81766828.189999998</v>
      </c>
      <c r="D64" s="43" t="e">
        <f>C64/C8</f>
        <v>#DIV/0!</v>
      </c>
      <c r="E64" s="118" t="e">
        <f>C64/C19</f>
        <v>#DIV/0!</v>
      </c>
      <c r="F64" s="25">
        <f>'[45]Hoja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>
        <v>241842440</v>
      </c>
      <c r="M64" s="43">
        <f>L64/L8</f>
        <v>1</v>
      </c>
      <c r="N64" s="118">
        <f>L64/L19</f>
        <v>1</v>
      </c>
      <c r="O64" s="25">
        <v>20000000</v>
      </c>
      <c r="P64" s="43">
        <f>O64/O8</f>
        <v>1</v>
      </c>
      <c r="Q64" s="118">
        <f>O64/O19</f>
        <v>1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1051830058.51</v>
      </c>
      <c r="AN64" s="43">
        <f>AM64/AM8</f>
        <v>2.0882700678050927</v>
      </c>
      <c r="AO64" s="118">
        <f>AM64/AM19</f>
        <v>2.0882700678050927</v>
      </c>
    </row>
    <row r="65" spans="1:42" ht="15" customHeight="1" x14ac:dyDescent="0.2">
      <c r="B65" s="25" t="s">
        <v>381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>
        <v>241842440</v>
      </c>
      <c r="M65" s="43"/>
      <c r="N65" s="118"/>
      <c r="O65" s="25">
        <v>20000000</v>
      </c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503684880</v>
      </c>
      <c r="AN65" s="43"/>
      <c r="AO65" s="309"/>
    </row>
    <row r="66" spans="1:42" ht="15" customHeight="1" x14ac:dyDescent="0.2">
      <c r="B66" s="25" t="s">
        <v>428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>
        <v>241842440</v>
      </c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503684880</v>
      </c>
      <c r="AN66" s="43"/>
      <c r="AO66" s="309"/>
    </row>
    <row r="67" spans="1:42" ht="15" customHeight="1" x14ac:dyDescent="0.2">
      <c r="B67" s="25" t="s">
        <v>373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>
        <v>241842440</v>
      </c>
      <c r="M67" s="43"/>
      <c r="N67" s="118"/>
      <c r="O67" s="25">
        <v>20000000</v>
      </c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503684880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49"/>
      <c r="AB68" s="805"/>
      <c r="AC68" s="806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49"/>
      <c r="AB69" s="805"/>
      <c r="AC69" s="806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69"/>
      <c r="AB70" s="873"/>
      <c r="AC70" s="874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0"/>
      <c r="AB71" s="871"/>
      <c r="AC71" s="872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383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2154816140.3999996</v>
      </c>
      <c r="M72" s="47">
        <f>L72/L12</f>
        <v>1.7819999999999996</v>
      </c>
      <c r="N72" s="152">
        <f>L72/L13</f>
        <v>1.1137499999999998</v>
      </c>
      <c r="O72" s="46">
        <f>SUM(O73:O74)</f>
        <v>151600000</v>
      </c>
      <c r="P72" s="47">
        <f>O72/O12</f>
        <v>1.516</v>
      </c>
      <c r="Q72" s="152">
        <f>O72/O13</f>
        <v>0.94750000000000001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4814310897.4549999</v>
      </c>
      <c r="AN72" s="47">
        <f>AM72/AM12</f>
        <v>1.9116360600123632</v>
      </c>
      <c r="AO72" s="152">
        <f>AM72/AM13</f>
        <v>1.1947725375077269</v>
      </c>
    </row>
    <row r="73" spans="1:42" ht="15" customHeight="1" x14ac:dyDescent="0.2">
      <c r="B73" s="411" t="s">
        <v>384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1912973700.3999999</v>
      </c>
      <c r="M73" s="79"/>
      <c r="N73" s="147"/>
      <c r="O73" s="78">
        <f>'GASTOS VEHICULOS'!G25*'%DIST'!J20</f>
        <v>131599999.99999999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4284035295.4549999</v>
      </c>
      <c r="AN73" s="305"/>
      <c r="AO73" s="417"/>
    </row>
    <row r="74" spans="1:42" ht="15" customHeight="1" x14ac:dyDescent="0.2">
      <c r="A74" s="226" t="s">
        <v>429</v>
      </c>
      <c r="B74" s="415" t="s">
        <v>385</v>
      </c>
      <c r="C74" s="273">
        <f>'[9]Hoja 1'!$C$592+'[16]Hoja 1'!$D$129</f>
        <v>3131069</v>
      </c>
      <c r="D74" s="134"/>
      <c r="E74" s="428"/>
      <c r="F74" s="273">
        <f>'[20]Hoja 1'!$C$203</f>
        <v>23459653</v>
      </c>
      <c r="G74" s="134"/>
      <c r="H74" s="428"/>
      <c r="I74" s="273">
        <v>241842440</v>
      </c>
      <c r="J74" s="134"/>
      <c r="K74" s="428"/>
      <c r="L74" s="273">
        <v>241842440</v>
      </c>
      <c r="M74" s="134"/>
      <c r="N74" s="428"/>
      <c r="O74" s="273">
        <v>20000000</v>
      </c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530275602</v>
      </c>
      <c r="AN74" s="84"/>
      <c r="AO74" s="416"/>
    </row>
    <row r="75" spans="1:42" ht="15" customHeight="1" x14ac:dyDescent="0.2">
      <c r="A75" s="226" t="s">
        <v>430</v>
      </c>
      <c r="B75" s="36" t="s">
        <v>44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>
        <v>241842440</v>
      </c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503684880</v>
      </c>
      <c r="AN75" s="67">
        <f>AM75/AM12</f>
        <v>0.2</v>
      </c>
      <c r="AO75" s="318"/>
    </row>
    <row r="76" spans="1:42" ht="15" customHeight="1" x14ac:dyDescent="0.2">
      <c r="A76" s="226" t="s">
        <v>431</v>
      </c>
      <c r="B76" s="36" t="s">
        <v>45</v>
      </c>
      <c r="C76" s="37">
        <f>'[9]Hoja 1'!$C$558</f>
        <v>81149664</v>
      </c>
      <c r="D76" s="67"/>
      <c r="E76" s="149"/>
      <c r="F76" s="37">
        <f>'[10]Hoja 1'!$C$521</f>
        <v>18636274</v>
      </c>
      <c r="G76" s="67"/>
      <c r="H76" s="149"/>
      <c r="I76" s="37">
        <v>241842440</v>
      </c>
      <c r="J76" s="67"/>
      <c r="K76" s="149"/>
      <c r="L76" s="37">
        <v>241842440</v>
      </c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603470818</v>
      </c>
      <c r="AN76" s="67">
        <f>AM76/(AM6+AM7)</f>
        <v>0.59905591964563243</v>
      </c>
      <c r="AO76" s="320">
        <f>AM76/$AM$13</f>
        <v>0.14976397991140811</v>
      </c>
    </row>
    <row r="77" spans="1:42" s="108" customFormat="1" ht="15" customHeight="1" x14ac:dyDescent="0.2">
      <c r="A77" s="229" t="s">
        <v>351</v>
      </c>
      <c r="B77" s="66" t="s">
        <v>46</v>
      </c>
      <c r="C77" s="28">
        <f>'[16]Hoja 1'!$D$131</f>
        <v>24140678</v>
      </c>
      <c r="D77" s="45"/>
      <c r="E77" s="340"/>
      <c r="F77" s="28">
        <f>'[20]Hoja 1'!$C$205</f>
        <v>8581599</v>
      </c>
      <c r="G77" s="45"/>
      <c r="H77" s="340"/>
      <c r="I77" s="28">
        <v>241842440</v>
      </c>
      <c r="J77" s="45"/>
      <c r="K77" s="340"/>
      <c r="L77" s="28"/>
      <c r="M77" s="45"/>
      <c r="N77" s="340"/>
      <c r="O77" s="28">
        <v>20000000</v>
      </c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294564717</v>
      </c>
      <c r="AN77" s="42">
        <f>AM77/(AM6+AM7)</f>
        <v>0.2924097274867572</v>
      </c>
      <c r="AO77" s="320">
        <f>AM77/$AM$13</f>
        <v>7.31024318716893E-2</v>
      </c>
      <c r="AP77" s="1023"/>
    </row>
    <row r="78" spans="1:42" ht="15" customHeight="1" x14ac:dyDescent="0.2">
      <c r="B78" s="16" t="s">
        <v>352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0.375</v>
      </c>
      <c r="L78" s="49">
        <f>SUM(L79:L81)</f>
        <v>483684880</v>
      </c>
      <c r="M78" s="3"/>
      <c r="N78" s="150">
        <f>L78/(L$13)</f>
        <v>0.25</v>
      </c>
      <c r="O78" s="49">
        <f>SUM(O79:O81)</f>
        <v>60000000</v>
      </c>
      <c r="P78" s="3"/>
      <c r="Q78" s="150">
        <f>O78/(O$13)</f>
        <v>0.375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1799102762</v>
      </c>
      <c r="AN78" s="3">
        <f>AM78/AM$12</f>
        <v>0.71437632275163787</v>
      </c>
      <c r="AO78" s="321">
        <f>AM78/(AM$13)</f>
        <v>0.44648520171977368</v>
      </c>
    </row>
    <row r="79" spans="1:42" s="108" customFormat="1" ht="15" customHeight="1" x14ac:dyDescent="0.2">
      <c r="A79" s="229"/>
      <c r="B79" s="39" t="s">
        <v>353</v>
      </c>
      <c r="C79" s="726">
        <f>'[27]Hoja 1'!$E$13+'[28]Hoja 1'!$E$14</f>
        <v>91448308</v>
      </c>
      <c r="D79" s="267"/>
      <c r="E79" s="306"/>
      <c r="F79" s="726">
        <f>'[35]Hoja 1'!$I$20-25458943+'[46]Hoja 1'!$C$27</f>
        <v>348301928</v>
      </c>
      <c r="G79" s="69"/>
      <c r="H79" s="306"/>
      <c r="I79" s="726">
        <v>241842440</v>
      </c>
      <c r="J79" s="69"/>
      <c r="K79" s="306"/>
      <c r="L79" s="726"/>
      <c r="M79" s="69"/>
      <c r="N79" s="306"/>
      <c r="O79" s="726">
        <v>20000000</v>
      </c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3"/>
      <c r="AK79" s="69"/>
      <c r="AL79" s="70"/>
      <c r="AM79" s="729">
        <f t="shared" si="2"/>
        <v>701592676</v>
      </c>
      <c r="AN79" s="730">
        <f>AM79/AM$12</f>
        <v>0.27858397337636975</v>
      </c>
      <c r="AO79" s="322">
        <f>AM79/AM13</f>
        <v>0.1741149833602311</v>
      </c>
      <c r="AP79" s="355"/>
    </row>
    <row r="80" spans="1:42" s="108" customFormat="1" ht="15" customHeight="1" x14ac:dyDescent="0.2">
      <c r="A80" s="229"/>
      <c r="B80" s="25" t="s">
        <v>386</v>
      </c>
      <c r="C80" s="25">
        <f>'[21]Hoja 1'!$D$25+'[21]Hoja 1'!$D$28+'[22]Hoja 1'!$D$24</f>
        <v>35041052</v>
      </c>
      <c r="D80" s="272"/>
      <c r="E80" s="118"/>
      <c r="F80" s="25">
        <f>'[29]Hoja 1'!$D$30+'[29]Hoja 1'!$D$31+'[35]Hoja 1'!$D$19</f>
        <v>55099274</v>
      </c>
      <c r="G80" s="43"/>
      <c r="H80" s="118"/>
      <c r="I80" s="25">
        <v>241842440</v>
      </c>
      <c r="J80" s="43"/>
      <c r="K80" s="118"/>
      <c r="L80" s="25">
        <v>241842440</v>
      </c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593825206</v>
      </c>
      <c r="AN80" s="43"/>
      <c r="AO80" s="309">
        <f>AM80/AM13</f>
        <v>0.14737021835954259</v>
      </c>
    </row>
    <row r="81" spans="1:41" ht="15" customHeight="1" thickBot="1" x14ac:dyDescent="0.25">
      <c r="B81" s="98" t="s">
        <v>387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>
        <v>241842440</v>
      </c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503684880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51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12092122000</v>
      </c>
      <c r="J83" s="491"/>
      <c r="K83" s="492">
        <f>I83/(I$13)</f>
        <v>6.25</v>
      </c>
      <c r="L83" s="490">
        <f>+L84+L89+L92+L96+L99+L109+L114+L120+L123+L127</f>
        <v>13543176640</v>
      </c>
      <c r="M83" s="491"/>
      <c r="N83" s="492">
        <f>L83/(L$13)</f>
        <v>7</v>
      </c>
      <c r="O83" s="490">
        <f>+O84+O89+O92+O96+O99+O109+O114+O120+O123+O127</f>
        <v>993333333.33333325</v>
      </c>
      <c r="P83" s="491"/>
      <c r="Q83" s="492">
        <f>O83/(O$13)</f>
        <v>6.208333333333333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52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1451054640</v>
      </c>
      <c r="J84" s="3"/>
      <c r="K84" s="150">
        <f>I84/(I$13)</f>
        <v>0.75</v>
      </c>
      <c r="L84" s="49">
        <f>SUM(L85:L88)</f>
        <v>2902109280</v>
      </c>
      <c r="M84" s="3"/>
      <c r="N84" s="150">
        <f>L84/(L$13)</f>
        <v>1.5</v>
      </c>
      <c r="O84" s="49">
        <f>SUM(O85:O88)</f>
        <v>113333333.33333333</v>
      </c>
      <c r="P84" s="3"/>
      <c r="Q84" s="150">
        <f>O84/(O$13)</f>
        <v>0.70833333333333326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53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725527320</v>
      </c>
      <c r="J85" s="69"/>
      <c r="K85" s="306"/>
      <c r="L85" s="39">
        <f>'GASTOS OPERATIVOS'!F17*'%DIST'!I4</f>
        <v>2176581960</v>
      </c>
      <c r="M85" s="69"/>
      <c r="N85" s="306"/>
      <c r="O85" s="39">
        <f>'GASTOS OPERATIVOS'!G17*'%DIST'!K4</f>
        <v>53333333.333333328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5"/>
      <c r="AO85" s="324" t="e">
        <f>AM85/(AM$13)</f>
        <v>#DIV/0!</v>
      </c>
    </row>
    <row r="86" spans="1:41" s="108" customFormat="1" ht="15" customHeight="1" x14ac:dyDescent="0.2">
      <c r="A86" s="229" t="s">
        <v>298</v>
      </c>
      <c r="B86" s="25" t="s">
        <v>54</v>
      </c>
      <c r="C86" s="25"/>
      <c r="D86" s="43"/>
      <c r="E86" s="118"/>
      <c r="F86" s="25">
        <f>'[20]Hoja 1'!$C$179</f>
        <v>25458943</v>
      </c>
      <c r="G86" s="272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529143823</v>
      </c>
      <c r="AN86" s="43"/>
      <c r="AO86" s="118">
        <f>AM86/(AM$13)</f>
        <v>0.13131817233624324</v>
      </c>
    </row>
    <row r="87" spans="1:41" s="108" customFormat="1" ht="15" customHeight="1" x14ac:dyDescent="0.2">
      <c r="A87" s="229" t="s">
        <v>299</v>
      </c>
      <c r="B87" s="97" t="s">
        <v>55</v>
      </c>
      <c r="C87" s="22">
        <f>'[16]Hoja 1'!$D$118</f>
        <v>9288000</v>
      </c>
      <c r="D87" s="42"/>
      <c r="E87" s="140"/>
      <c r="F87" s="25">
        <f>'[10]Hoja 1'!$C$553</f>
        <v>4926700</v>
      </c>
      <c r="G87" s="146"/>
      <c r="H87" s="140"/>
      <c r="I87" s="22">
        <v>241842440</v>
      </c>
      <c r="J87" s="42"/>
      <c r="K87" s="140"/>
      <c r="L87" s="25">
        <v>241842440</v>
      </c>
      <c r="M87" s="42"/>
      <c r="N87" s="140"/>
      <c r="O87" s="25">
        <v>20000000</v>
      </c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517899580</v>
      </c>
      <c r="AN87" s="42"/>
      <c r="AO87" s="315">
        <f>AM87/(AM$13)</f>
        <v>0.12852767686812439</v>
      </c>
    </row>
    <row r="88" spans="1:41" ht="15" customHeight="1" x14ac:dyDescent="0.2">
      <c r="A88" s="226" t="s">
        <v>160</v>
      </c>
      <c r="B88" s="206" t="s">
        <v>161</v>
      </c>
      <c r="C88" s="83"/>
      <c r="D88" s="84"/>
      <c r="E88" s="336"/>
      <c r="F88" s="83">
        <f>'[20]Hoja 1'!$C$153</f>
        <v>116727</v>
      </c>
      <c r="G88" s="420"/>
      <c r="H88" s="336"/>
      <c r="I88" s="83">
        <v>241842440</v>
      </c>
      <c r="J88" s="84"/>
      <c r="K88" s="336"/>
      <c r="L88" s="83">
        <v>241842440</v>
      </c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503801607</v>
      </c>
      <c r="AN88" s="84"/>
      <c r="AO88" s="310"/>
    </row>
    <row r="89" spans="1:41" ht="15" customHeight="1" x14ac:dyDescent="0.2">
      <c r="B89" s="16" t="s">
        <v>56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483684880</v>
      </c>
      <c r="M89" s="3"/>
      <c r="N89" s="150">
        <f>L89/(L$13)</f>
        <v>0.25</v>
      </c>
      <c r="O89" s="49">
        <f>SUM(O90:O91)</f>
        <v>40000000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1008269760</v>
      </c>
      <c r="AN89" s="3"/>
      <c r="AO89" s="321">
        <f>AM89/(AM$13)</f>
        <v>0.25022335393510325</v>
      </c>
    </row>
    <row r="90" spans="1:41" ht="15" customHeight="1" outlineLevel="1" x14ac:dyDescent="0.2">
      <c r="B90" s="39" t="s">
        <v>57</v>
      </c>
      <c r="C90" s="960">
        <f>'[47]Hoja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>
        <v>241842440</v>
      </c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504584880</v>
      </c>
      <c r="AN90" s="69"/>
      <c r="AO90" s="324"/>
    </row>
    <row r="91" spans="1:41" ht="15" customHeight="1" outlineLevel="1" x14ac:dyDescent="0.2">
      <c r="B91" s="83" t="s">
        <v>432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>
        <v>241842440</v>
      </c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503684880</v>
      </c>
      <c r="AN91" s="84"/>
      <c r="AO91" s="310"/>
    </row>
    <row r="92" spans="1:41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725527320</v>
      </c>
      <c r="M92" s="3"/>
      <c r="N92" s="150">
        <f>L92/(L$13)</f>
        <v>0.375</v>
      </c>
      <c r="O92" s="49">
        <f>SUM(O93:O95)</f>
        <v>60000000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1511054640</v>
      </c>
      <c r="AN92" s="3"/>
      <c r="AO92" s="321">
        <f>AM92/(AM$13)</f>
        <v>0.375</v>
      </c>
    </row>
    <row r="93" spans="1:41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>
        <v>241842440</v>
      </c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503684880</v>
      </c>
      <c r="AN93" s="69"/>
      <c r="AO93" s="324"/>
    </row>
    <row r="94" spans="1:41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>
        <v>241842440</v>
      </c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503684880</v>
      </c>
      <c r="AN94" s="43"/>
      <c r="AO94" s="309"/>
    </row>
    <row r="95" spans="1:41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>
        <v>241842440</v>
      </c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503684880</v>
      </c>
      <c r="AN95" s="45"/>
      <c r="AO95" s="325"/>
    </row>
    <row r="96" spans="1:41" ht="15" customHeight="1" x14ac:dyDescent="0.2">
      <c r="B96" s="106" t="s">
        <v>63</v>
      </c>
      <c r="C96" s="49">
        <f>SUM(C97:C98)</f>
        <v>204680451.79000002</v>
      </c>
      <c r="D96" s="3"/>
      <c r="E96" s="150">
        <f>C96/(AM$13)</f>
        <v>5.0795760384449107E-2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483684880</v>
      </c>
      <c r="M96" s="3"/>
      <c r="N96" s="150">
        <f>L96/(L$13)</f>
        <v>0.25</v>
      </c>
      <c r="O96" s="49">
        <f>SUM(O97:O98)</f>
        <v>40000000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1212615293.79</v>
      </c>
      <c r="AN96" s="3">
        <f>AM96/AM12</f>
        <v>0.48149759579441809</v>
      </c>
      <c r="AO96" s="321">
        <f>AM96/(AM$13)</f>
        <v>0.30093599737151133</v>
      </c>
    </row>
    <row r="97" spans="1:41" s="108" customFormat="1" ht="15" customHeight="1" outlineLevel="1" x14ac:dyDescent="0.2">
      <c r="A97" s="229"/>
      <c r="B97" s="39" t="s">
        <v>65</v>
      </c>
      <c r="C97" s="960">
        <f>'[47]Hoja 1'!$C$649+'[16]Hoja 1'!$D$122</f>
        <v>194936872.21000001</v>
      </c>
      <c r="D97" s="69"/>
      <c r="E97" s="306"/>
      <c r="F97" s="39">
        <f>'[20]Hoja 1'!$C$195</f>
        <v>535419</v>
      </c>
      <c r="G97" s="69"/>
      <c r="H97" s="306"/>
      <c r="I97" s="39">
        <v>241842440</v>
      </c>
      <c r="J97" s="69"/>
      <c r="K97" s="306"/>
      <c r="L97" s="39">
        <v>241842440</v>
      </c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699157171.21000004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388</v>
      </c>
      <c r="C98" s="275">
        <f>'[16]Hoja 1'!$D$124</f>
        <v>9743579.5800000001</v>
      </c>
      <c r="D98" s="276"/>
      <c r="E98" s="341"/>
      <c r="F98" s="275">
        <f>'[20]Hoja 1'!$C$197</f>
        <v>29663</v>
      </c>
      <c r="G98" s="276"/>
      <c r="H98" s="341"/>
      <c r="I98" s="275">
        <v>241842440</v>
      </c>
      <c r="J98" s="276"/>
      <c r="K98" s="341"/>
      <c r="L98" s="275">
        <v>241842440</v>
      </c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513458122.58000004</v>
      </c>
      <c r="AN98" s="276"/>
      <c r="AO98" s="326"/>
    </row>
    <row r="99" spans="1:41" ht="15" customHeight="1" x14ac:dyDescent="0.2">
      <c r="B99" s="16" t="s">
        <v>68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2176581960</v>
      </c>
      <c r="M99" s="3"/>
      <c r="N99" s="150">
        <f>L99/(L$13)</f>
        <v>1.125</v>
      </c>
      <c r="O99" s="49">
        <f>SUM(O100:O108)</f>
        <v>180000000</v>
      </c>
      <c r="P99" s="3"/>
      <c r="Q99" s="150">
        <f>O99/(O$13)</f>
        <v>1.125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4570298117</v>
      </c>
      <c r="AN99" s="3">
        <f>AM99/AM12</f>
        <v>1.8147450116032866</v>
      </c>
      <c r="AO99" s="321">
        <f>AM99/(AM$13)</f>
        <v>1.134215632252054</v>
      </c>
    </row>
    <row r="100" spans="1:41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>
        <v>241842440</v>
      </c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503684880</v>
      </c>
      <c r="AN100" s="69"/>
      <c r="AO100" s="324"/>
    </row>
    <row r="101" spans="1:41" ht="15" customHeight="1" outlineLevel="1" x14ac:dyDescent="0.2">
      <c r="B101" s="25" t="s">
        <v>389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503684880</v>
      </c>
      <c r="AN101" s="43"/>
      <c r="AO101" s="309"/>
    </row>
    <row r="102" spans="1:41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503684880</v>
      </c>
      <c r="AN102" s="43"/>
      <c r="AO102" s="309"/>
    </row>
    <row r="103" spans="1:41" ht="15" customHeight="1" outlineLevel="1" x14ac:dyDescent="0.2">
      <c r="A103" s="226" t="s">
        <v>433</v>
      </c>
      <c r="B103" s="25" t="s">
        <v>72</v>
      </c>
      <c r="C103" s="25"/>
      <c r="D103" s="43"/>
      <c r="E103" s="118"/>
      <c r="F103" s="25">
        <f>'[20]Hoja 1'!C200</f>
        <v>29615777</v>
      </c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533300657</v>
      </c>
      <c r="AN103" s="43"/>
      <c r="AO103" s="309"/>
    </row>
    <row r="104" spans="1:41" ht="15" customHeight="1" outlineLevel="1" x14ac:dyDescent="0.2">
      <c r="A104" s="226" t="s">
        <v>434</v>
      </c>
      <c r="B104" s="25" t="s">
        <v>73</v>
      </c>
      <c r="C104" s="25">
        <f>'[16]Hoja 1'!$D$127</f>
        <v>7332780</v>
      </c>
      <c r="D104" s="43"/>
      <c r="E104" s="118"/>
      <c r="F104" s="25">
        <f>'[20]Hoja 1'!C201</f>
        <v>185640</v>
      </c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511203300</v>
      </c>
      <c r="AN104" s="43"/>
      <c r="AO104" s="309"/>
    </row>
    <row r="105" spans="1:41" ht="15" customHeight="1" outlineLevel="1" x14ac:dyDescent="0.2">
      <c r="A105" s="226" t="s">
        <v>435</v>
      </c>
      <c r="B105" s="24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>
        <v>241842440</v>
      </c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503684880</v>
      </c>
      <c r="AN105" s="43"/>
      <c r="AO105" s="309"/>
    </row>
    <row r="106" spans="1:41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>
        <v>241842440</v>
      </c>
      <c r="M106" s="43"/>
      <c r="N106" s="118"/>
      <c r="O106" s="274">
        <v>20000000</v>
      </c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503684880</v>
      </c>
      <c r="AN106" s="43"/>
      <c r="AO106" s="309"/>
    </row>
    <row r="107" spans="1:41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>
        <v>241842440</v>
      </c>
      <c r="M107" s="43"/>
      <c r="N107" s="118"/>
      <c r="O107" s="274">
        <v>20000000</v>
      </c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503684880</v>
      </c>
      <c r="AN107" s="43"/>
      <c r="AO107" s="309"/>
    </row>
    <row r="108" spans="1:41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>
        <v>241842440</v>
      </c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503684880</v>
      </c>
      <c r="AN108" s="42"/>
      <c r="AO108" s="315"/>
    </row>
    <row r="109" spans="1:41" ht="15" customHeight="1" x14ac:dyDescent="0.2">
      <c r="B109" s="16" t="s">
        <v>78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967369760</v>
      </c>
      <c r="M109" s="3"/>
      <c r="N109" s="150">
        <f>L109/(L$13)</f>
        <v>0.5</v>
      </c>
      <c r="O109" s="49">
        <f>SUM(O110:O113)</f>
        <v>80000000</v>
      </c>
      <c r="P109" s="3"/>
      <c r="Q109" s="150">
        <f>O109/(O$13)</f>
        <v>0.5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2015073619</v>
      </c>
      <c r="AN109" s="3"/>
      <c r="AO109" s="321">
        <f>AM109/(AM$13)</f>
        <v>0.50008291369596003</v>
      </c>
    </row>
    <row r="110" spans="1:41" ht="15" customHeight="1" outlineLevel="1" x14ac:dyDescent="0.2">
      <c r="B110" s="39" t="s">
        <v>80</v>
      </c>
      <c r="C110" s="39">
        <f>'[16]Hoja 1'!$D$136</f>
        <v>174573</v>
      </c>
      <c r="D110" s="69"/>
      <c r="E110" s="306"/>
      <c r="F110" s="39">
        <f>'[20]Hoja 1'!$C$208</f>
        <v>159526</v>
      </c>
      <c r="G110" s="69"/>
      <c r="H110" s="306"/>
      <c r="I110" s="39">
        <v>241842440</v>
      </c>
      <c r="J110" s="69"/>
      <c r="K110" s="306"/>
      <c r="L110" s="39">
        <v>241842440</v>
      </c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504018979</v>
      </c>
      <c r="AN110" s="69"/>
      <c r="AO110" s="324"/>
    </row>
    <row r="111" spans="1:41" ht="15" customHeight="1" outlineLevel="1" x14ac:dyDescent="0.2"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503684880</v>
      </c>
      <c r="AN111" s="43"/>
      <c r="AO111" s="309"/>
    </row>
    <row r="112" spans="1:41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>
        <v>241842440</v>
      </c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503684880</v>
      </c>
      <c r="AN112" s="43"/>
      <c r="AO112" s="309"/>
    </row>
    <row r="113" spans="1:41" ht="15" customHeight="1" outlineLevel="1" x14ac:dyDescent="0.2">
      <c r="B113" s="28" t="s">
        <v>86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>
        <v>241842440</v>
      </c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503684880</v>
      </c>
      <c r="AN113" s="45"/>
      <c r="AO113" s="325"/>
    </row>
    <row r="114" spans="1:41" ht="15" customHeight="1" x14ac:dyDescent="0.2">
      <c r="B114" s="16" t="s">
        <v>87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1209212200</v>
      </c>
      <c r="M114" s="3"/>
      <c r="N114" s="150">
        <f>L114/(L$13)</f>
        <v>0.625</v>
      </c>
      <c r="O114" s="49">
        <f>SUM(O115:O119)</f>
        <v>100000000</v>
      </c>
      <c r="P114" s="3"/>
      <c r="Q114" s="150">
        <f>O114/(O$13)</f>
        <v>0.625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2534386450</v>
      </c>
      <c r="AN114" s="3"/>
      <c r="AO114" s="321">
        <f>AM114/(AM$13)</f>
        <v>0.62896131853312731</v>
      </c>
    </row>
    <row r="115" spans="1:41" ht="15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>
        <v>241842440</v>
      </c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503684880</v>
      </c>
      <c r="AN115" s="69"/>
      <c r="AO115" s="324"/>
    </row>
    <row r="116" spans="1:41" ht="15" customHeight="1" outlineLevel="1" x14ac:dyDescent="0.2">
      <c r="B116" s="25" t="s">
        <v>91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>
        <v>241842440</v>
      </c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503684880</v>
      </c>
      <c r="AN116" s="43"/>
      <c r="AO116" s="309"/>
    </row>
    <row r="117" spans="1:41" ht="15" customHeight="1" outlineLevel="1" x14ac:dyDescent="0.2">
      <c r="A117" s="226" t="s">
        <v>92</v>
      </c>
      <c r="B117" s="205" t="s">
        <v>93</v>
      </c>
      <c r="C117" s="25">
        <f>'[16]Hoja 1'!$D$139</f>
        <v>7125200</v>
      </c>
      <c r="D117" s="43"/>
      <c r="E117" s="118"/>
      <c r="F117" s="25">
        <f>'[20]Hoja 1'!$C$212</f>
        <v>5130000</v>
      </c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5"/>
      <c r="AH117" s="43"/>
      <c r="AI117" s="118"/>
      <c r="AJ117" s="25"/>
      <c r="AK117" s="43"/>
      <c r="AL117" s="57"/>
      <c r="AM117" s="205">
        <f t="shared" si="4"/>
        <v>515940080</v>
      </c>
      <c r="AN117" s="43"/>
      <c r="AO117" s="309"/>
    </row>
    <row r="118" spans="1:41" ht="15" customHeight="1" outlineLevel="1" x14ac:dyDescent="0.2">
      <c r="B118" s="205" t="s">
        <v>95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>
        <v>241842440</v>
      </c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503684880</v>
      </c>
      <c r="AN118" s="43"/>
      <c r="AO118" s="309"/>
    </row>
    <row r="119" spans="1:41" ht="15" customHeight="1" outlineLevel="1" x14ac:dyDescent="0.2">
      <c r="B119" s="97" t="s">
        <v>436</v>
      </c>
      <c r="C119" s="28"/>
      <c r="D119" s="42"/>
      <c r="E119" s="140"/>
      <c r="F119" s="22">
        <f>'[20]Hoja 1'!$C$211</f>
        <v>3706850</v>
      </c>
      <c r="G119" s="42"/>
      <c r="H119" s="140"/>
      <c r="I119" s="22">
        <v>241842440</v>
      </c>
      <c r="J119" s="42"/>
      <c r="K119" s="140"/>
      <c r="L119" s="22">
        <v>241842440</v>
      </c>
      <c r="M119" s="42"/>
      <c r="N119" s="140"/>
      <c r="O119" s="785">
        <v>20000000</v>
      </c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1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507391730</v>
      </c>
      <c r="AN119" s="42"/>
      <c r="AO119" s="315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241842440</v>
      </c>
      <c r="M120" s="3"/>
      <c r="N120" s="150">
        <f>L120/(L$13)</f>
        <v>0.125</v>
      </c>
      <c r="O120" s="49">
        <f>SUM(O121)</f>
        <v>20000000</v>
      </c>
      <c r="P120" s="3"/>
      <c r="Q120" s="150">
        <f>O120/(O$13)</f>
        <v>0.125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503684880</v>
      </c>
      <c r="AN120" s="3"/>
      <c r="AO120" s="321">
        <f>AM120/(AM$13)</f>
        <v>0.125</v>
      </c>
    </row>
    <row r="121" spans="1:41" ht="15" customHeight="1" x14ac:dyDescent="0.2">
      <c r="B121" s="39" t="s">
        <v>100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>
        <v>241842440</v>
      </c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503684880</v>
      </c>
      <c r="AN121" s="69"/>
      <c r="AO121" s="324"/>
    </row>
    <row r="122" spans="1:41" ht="15" customHeight="1" x14ac:dyDescent="0.2">
      <c r="B122" s="284" t="s">
        <v>102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>
        <v>241842440</v>
      </c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503684880</v>
      </c>
      <c r="AN122" s="92"/>
      <c r="AO122" s="327"/>
    </row>
    <row r="123" spans="1:41" ht="15" customHeight="1" x14ac:dyDescent="0.2">
      <c r="B123" s="16" t="s">
        <v>103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725527320</v>
      </c>
      <c r="M123" s="3"/>
      <c r="N123" s="150">
        <f>L123/(L$13)</f>
        <v>0.375</v>
      </c>
      <c r="O123" s="49">
        <f>SUM(O124:O126)</f>
        <v>60000000</v>
      </c>
      <c r="P123" s="3"/>
      <c r="Q123" s="150">
        <f>O123/(O$13)</f>
        <v>0.375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1511054640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>
        <v>241842440</v>
      </c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503684880</v>
      </c>
      <c r="AN124" s="69"/>
      <c r="AO124" s="324"/>
    </row>
    <row r="125" spans="1:41" ht="15" customHeight="1" outlineLevel="1" x14ac:dyDescent="0.2"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>
        <v>241842440</v>
      </c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503684880</v>
      </c>
      <c r="AN125" s="43"/>
      <c r="AO125" s="309"/>
    </row>
    <row r="126" spans="1:41" ht="15" customHeight="1" outlineLevel="1" x14ac:dyDescent="0.2"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>
        <v>241842440</v>
      </c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503684880</v>
      </c>
      <c r="AN126" s="45"/>
      <c r="AO126" s="325"/>
    </row>
    <row r="127" spans="1:41" ht="15" customHeight="1" x14ac:dyDescent="0.2">
      <c r="B127" s="16" t="s">
        <v>110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3627636600</v>
      </c>
      <c r="M127" s="3"/>
      <c r="N127" s="150">
        <f>L127/(L$13)</f>
        <v>1.875</v>
      </c>
      <c r="O127" s="49">
        <f>SUM(O128:O142)</f>
        <v>300000000</v>
      </c>
      <c r="P127" s="3"/>
      <c r="Q127" s="150">
        <f>O127/(O$13)</f>
        <v>1.875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7615943649.6300001</v>
      </c>
      <c r="AN127" s="3">
        <f>AM127/AM12</f>
        <v>3.0240906376343877</v>
      </c>
      <c r="AO127" s="321">
        <f>AM127/(AM$13)</f>
        <v>1.8900566485214922</v>
      </c>
    </row>
    <row r="128" spans="1:41" s="108" customFormat="1" ht="15" customHeight="1" outlineLevel="1" x14ac:dyDescent="0.2">
      <c r="A128" s="229" t="s">
        <v>437</v>
      </c>
      <c r="B128" s="39" t="s">
        <v>390</v>
      </c>
      <c r="C128" s="39"/>
      <c r="D128" s="69"/>
      <c r="E128" s="306"/>
      <c r="F128" s="39">
        <f>'[10]Hoja 1'!$C$565+'[20]Hoja 1'!$C$217</f>
        <v>19181910</v>
      </c>
      <c r="G128" s="69"/>
      <c r="H128" s="306"/>
      <c r="I128" s="39">
        <v>241842440</v>
      </c>
      <c r="J128" s="69"/>
      <c r="K128" s="306"/>
      <c r="L128" s="39">
        <v>241842440</v>
      </c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522866790</v>
      </c>
      <c r="AN128" s="42"/>
      <c r="AO128" s="734"/>
    </row>
    <row r="129" spans="1:41" ht="15" customHeight="1" outlineLevel="1" x14ac:dyDescent="0.2">
      <c r="A129" s="226" t="s">
        <v>438</v>
      </c>
      <c r="B129" s="25" t="s">
        <v>391</v>
      </c>
      <c r="C129" s="25"/>
      <c r="D129" s="43"/>
      <c r="E129" s="118"/>
      <c r="F129" s="25">
        <f>'[10]Hoja 1'!$C$566</f>
        <v>250000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5"/>
      <c r="AH129" s="43"/>
      <c r="AI129" s="118"/>
      <c r="AJ129" s="25"/>
      <c r="AK129" s="43"/>
      <c r="AL129" s="57"/>
      <c r="AM129" s="205">
        <f t="shared" si="4"/>
        <v>503934880</v>
      </c>
      <c r="AN129" s="43"/>
      <c r="AO129" s="329"/>
    </row>
    <row r="130" spans="1:41" ht="15" customHeight="1" outlineLevel="1" x14ac:dyDescent="0.2">
      <c r="A130" s="226" t="s">
        <v>439</v>
      </c>
      <c r="B130" s="25" t="s">
        <v>116</v>
      </c>
      <c r="C130" s="25">
        <f>'[9]Hoja 1'!$C$556</f>
        <v>9190123.1400000006</v>
      </c>
      <c r="D130" s="43"/>
      <c r="E130" s="118"/>
      <c r="F130" s="25">
        <f>'[10]Hoja 1'!$C$519+'[10]Hoja 1'!$C$557</f>
        <v>14904513.49</v>
      </c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527779516.63</v>
      </c>
      <c r="AN130" s="43"/>
      <c r="AO130" s="794"/>
    </row>
    <row r="131" spans="1:41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>
        <f>'[10]Hoja 1'!$C$559</f>
        <v>1309625</v>
      </c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504994505</v>
      </c>
      <c r="AN131" s="43"/>
      <c r="AO131" s="329"/>
    </row>
    <row r="132" spans="1:41" ht="15" customHeight="1" outlineLevel="1" x14ac:dyDescent="0.2"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503684880</v>
      </c>
      <c r="AN132" s="43"/>
      <c r="AO132" s="309"/>
    </row>
    <row r="133" spans="1:41" ht="15" customHeight="1" outlineLevel="1" x14ac:dyDescent="0.2">
      <c r="A133" s="226" t="s">
        <v>121</v>
      </c>
      <c r="B133" s="25" t="s">
        <v>122</v>
      </c>
      <c r="C133" s="25">
        <f>'[9]Hoja 1'!$C$595+'[16]Hoja 1'!$D$142</f>
        <v>95000</v>
      </c>
      <c r="D133" s="43"/>
      <c r="E133" s="118"/>
      <c r="F133" s="25">
        <f>'[10]Hoja 1'!$C$561+'[20]Hoja 1'!$C$215</f>
        <v>95200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503875080</v>
      </c>
      <c r="AN133" s="43"/>
      <c r="AO133" s="309"/>
    </row>
    <row r="134" spans="1:41" ht="15" customHeight="1" outlineLevel="1" x14ac:dyDescent="0.2">
      <c r="A134" s="226" t="s">
        <v>123</v>
      </c>
      <c r="B134" s="25" t="s">
        <v>124</v>
      </c>
      <c r="C134" s="25">
        <f>'[16]Hoja 1'!$D$144</f>
        <v>448000</v>
      </c>
      <c r="D134" s="43"/>
      <c r="E134" s="118"/>
      <c r="F134" s="25">
        <f>'[10]Hoja 1'!$C$563</f>
        <v>33000</v>
      </c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504165880</v>
      </c>
      <c r="AN134" s="43"/>
      <c r="AO134" s="309"/>
    </row>
    <row r="135" spans="1:41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503684880</v>
      </c>
      <c r="AN135" s="43"/>
      <c r="AO135" s="309"/>
    </row>
    <row r="136" spans="1:41" ht="15" customHeight="1" outlineLevel="1" x14ac:dyDescent="0.2">
      <c r="B136" s="25" t="s">
        <v>236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503684880</v>
      </c>
      <c r="AN136" s="43"/>
      <c r="AO136" s="309"/>
    </row>
    <row r="137" spans="1:41" ht="15" customHeight="1" outlineLevel="1" x14ac:dyDescent="0.2">
      <c r="B137" s="25" t="s">
        <v>303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503684880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>
        <v>241842440</v>
      </c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503684880</v>
      </c>
      <c r="AN138" s="43"/>
      <c r="AO138" s="309"/>
    </row>
    <row r="139" spans="1:41" ht="15" customHeight="1" outlineLevel="1" x14ac:dyDescent="0.2">
      <c r="B139" s="25" t="s">
        <v>242</v>
      </c>
      <c r="C139" s="25"/>
      <c r="D139" s="43"/>
      <c r="E139" s="118"/>
      <c r="F139" s="25">
        <f>'[20]Hoja 1'!$C$218</f>
        <v>6000</v>
      </c>
      <c r="G139" s="43"/>
      <c r="H139" s="118"/>
      <c r="I139" s="25">
        <v>241842440</v>
      </c>
      <c r="J139" s="43"/>
      <c r="K139" s="118"/>
      <c r="L139" s="25">
        <v>241842440</v>
      </c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503690880</v>
      </c>
      <c r="AN139" s="43"/>
      <c r="AO139" s="309"/>
    </row>
    <row r="140" spans="1:41" ht="15" customHeight="1" outlineLevel="1" x14ac:dyDescent="0.2">
      <c r="B140" s="25" t="s">
        <v>246</v>
      </c>
      <c r="C140" s="25"/>
      <c r="D140" s="43"/>
      <c r="E140" s="118"/>
      <c r="F140" s="25">
        <f>'[20]Hoja 1'!$C$219</f>
        <v>15157078</v>
      </c>
      <c r="G140" s="43"/>
      <c r="H140" s="118"/>
      <c r="I140" s="25">
        <v>241842440</v>
      </c>
      <c r="J140" s="43"/>
      <c r="K140" s="118"/>
      <c r="L140" s="25">
        <v>241842440</v>
      </c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518841958</v>
      </c>
      <c r="AN140" s="43"/>
      <c r="AO140" s="309"/>
    </row>
    <row r="141" spans="1:41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>
        <v>241842440</v>
      </c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503684880</v>
      </c>
      <c r="AN141" s="43"/>
      <c r="AO141" s="309"/>
    </row>
    <row r="142" spans="1:41" ht="15" customHeight="1" outlineLevel="1" thickBot="1" x14ac:dyDescent="0.25"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>
        <v>241842440</v>
      </c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503684880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-16317883322.608</v>
      </c>
      <c r="J144" s="494"/>
      <c r="K144" s="495"/>
      <c r="L144" s="493">
        <f>+L42-L44-L83</f>
        <v>-16789476080.608</v>
      </c>
      <c r="M144" s="494"/>
      <c r="N144" s="495"/>
      <c r="O144" s="493">
        <f>+O42-O44-O83</f>
        <v>-1295197333.3333333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1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-8.4341500000000007</v>
      </c>
      <c r="J145" s="488"/>
      <c r="K145" s="489"/>
      <c r="L145" s="496">
        <f>IFERROR(L144/L13," ")</f>
        <v>-8.6778999999999993</v>
      </c>
      <c r="M145" s="488"/>
      <c r="N145" s="489"/>
      <c r="O145" s="496">
        <f>IFERROR(O144/O13," ")</f>
        <v>-8.0949833333333334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1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1:41" ht="15" customHeight="1" thickTop="1" x14ac:dyDescent="0.2">
      <c r="B147" s="526" t="s">
        <v>394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4415262933.0395956</v>
      </c>
      <c r="J147" s="491"/>
      <c r="K147" s="492">
        <f>I147/(I$13)</f>
        <v>2.28209683391364</v>
      </c>
      <c r="L147" s="490">
        <f>SUM(L148:L151)</f>
        <v>483684880</v>
      </c>
      <c r="M147" s="491"/>
      <c r="N147" s="492">
        <f>L147/(L$13)</f>
        <v>0.25</v>
      </c>
      <c r="O147" s="490">
        <f>SUM(O148:O151)</f>
        <v>347776941.05863863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1" s="1018" customFormat="1" ht="15" customHeight="1" x14ac:dyDescent="0.2">
      <c r="A148" s="1010"/>
      <c r="B148" s="1019" t="s">
        <v>395</v>
      </c>
      <c r="C148" s="1006">
        <f>'GASTOS ADMINISTRATIVOS'!C96*'%DIST'!B36</f>
        <v>62491547.670988768</v>
      </c>
      <c r="D148" s="1008"/>
      <c r="E148" s="1007"/>
      <c r="F148" s="1006">
        <f>'GASTOS ADMINISTRATIVOS'!D96*'%DIST'!D36</f>
        <v>172014341.9701913</v>
      </c>
      <c r="G148" s="1008"/>
      <c r="H148" s="1007"/>
      <c r="I148" s="1006">
        <f>'GASTOS ADMINISTRATIVOS'!E96*'%DIST'!F36</f>
        <v>3982637508.2738762</v>
      </c>
      <c r="J148" s="1008"/>
      <c r="K148" s="1007"/>
      <c r="L148" s="1006">
        <f>'GASTOS ADMINISTRATIVOS'!F96*'%DIST'!H36</f>
        <v>0</v>
      </c>
      <c r="M148" s="1008"/>
      <c r="N148" s="1007"/>
      <c r="O148" s="1006">
        <f>'GASTOS ADMINISTRATIVOS'!G96*'%DIST'!J36</f>
        <v>311774044.18927032</v>
      </c>
      <c r="P148" s="1008"/>
      <c r="Q148" s="1007"/>
      <c r="R148" s="1006" t="e">
        <f>'GASTOS ADMINISTRATIVOS'!H96*'%DIST'!L36</f>
        <v>#DIV/0!</v>
      </c>
      <c r="S148" s="1008"/>
      <c r="T148" s="1007"/>
      <c r="U148" s="1006" t="e">
        <f>'GASTOS ADMINISTRATIVOS'!I96*'%DIST'!N36</f>
        <v>#DIV/0!</v>
      </c>
      <c r="V148" s="1008"/>
      <c r="W148" s="1007"/>
      <c r="X148" s="1006" t="e">
        <f>'GASTOS ADMINISTRATIVOS'!J96*'%DIST'!P36</f>
        <v>#DIV/0!</v>
      </c>
      <c r="Y148" s="1008"/>
      <c r="Z148" s="1007"/>
      <c r="AA148" s="1006" t="e">
        <f>'GASTOS ADMINISTRATIVOS'!K96*'%DIST'!R36</f>
        <v>#DIV/0!</v>
      </c>
      <c r="AB148" s="1008"/>
      <c r="AC148" s="1007"/>
      <c r="AD148" s="1006" t="e">
        <f>'GASTOS ADMINISTRATIVOS'!L96*'%DIST'!T36</f>
        <v>#DIV/0!</v>
      </c>
      <c r="AE148" s="1008"/>
      <c r="AF148" s="1007"/>
      <c r="AG148" s="1006" t="e">
        <f>'GASTOS ADMINISTRATIVOS'!M96*'%DIST'!V36</f>
        <v>#DIV/0!</v>
      </c>
      <c r="AH148" s="1008"/>
      <c r="AI148" s="1007"/>
      <c r="AJ148" s="1006" t="e">
        <f>'GASTOS ADMINISTRATIVOS'!N96*'%DIST'!X36</f>
        <v>#DIV/0!</v>
      </c>
      <c r="AK148" s="1008"/>
      <c r="AL148" s="1020"/>
      <c r="AM148" s="1021" t="e">
        <f>C148+F148+I148+L148+O148+R148+U148+X148+AA148+AD148+AG148+AJ148</f>
        <v>#DIV/0!</v>
      </c>
      <c r="AN148" s="1008"/>
      <c r="AO148" s="1022" t="e">
        <f>AM148/AM13</f>
        <v>#DIV/0!</v>
      </c>
    </row>
    <row r="149" spans="1:41" ht="15" customHeight="1" x14ac:dyDescent="0.2">
      <c r="B149" s="1009" t="s">
        <v>440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>
        <v>241842440</v>
      </c>
      <c r="J149" s="43"/>
      <c r="K149" s="118"/>
      <c r="L149" s="25">
        <v>241842440</v>
      </c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563794428.10956335</v>
      </c>
      <c r="AN149" s="43"/>
      <c r="AO149" s="309"/>
    </row>
    <row r="150" spans="1:41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>
        <v>241842440</v>
      </c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503684880</v>
      </c>
      <c r="AN150" s="42"/>
      <c r="AO150" s="315">
        <f>AM150/AM13</f>
        <v>0.125</v>
      </c>
    </row>
    <row r="151" spans="1:41" s="1018" customFormat="1" ht="15" customHeight="1" thickBot="1" x14ac:dyDescent="0.25">
      <c r="A151" s="1010"/>
      <c r="B151" s="1011" t="s">
        <v>442</v>
      </c>
      <c r="C151" s="1012">
        <f>'GASTOS ADMINISTRATIVOS'!C119*'%DIST'!C52</f>
        <v>4155770.2606729679</v>
      </c>
      <c r="D151" s="1013"/>
      <c r="E151" s="1014"/>
      <c r="F151" s="1012">
        <f>'GASTOS ADMINISTRATIVOS'!D119*'%DIST'!E52</f>
        <v>-546304.68926049571</v>
      </c>
      <c r="G151" s="1013"/>
      <c r="H151" s="1014"/>
      <c r="I151" s="1012">
        <f>'GASTOS ADMINISTRATIVOS'!E119*'%DIST'!G52</f>
        <v>-51059455.23428046</v>
      </c>
      <c r="J151" s="1013"/>
      <c r="K151" s="1014"/>
      <c r="L151" s="1012">
        <f>'GASTOS ADMINISTRATIVOS'!F119*'%DIST'!I52</f>
        <v>0</v>
      </c>
      <c r="M151" s="1013"/>
      <c r="N151" s="1014"/>
      <c r="O151" s="1012">
        <f>'GASTOS ADMINISTRATIVOS'!G119*'%DIST'!K52</f>
        <v>-3997103.1306316708</v>
      </c>
      <c r="P151" s="1013"/>
      <c r="Q151" s="1014"/>
      <c r="R151" s="1012" t="e">
        <f>'GASTOS ADMINISTRATIVOS'!H119*'%DIST'!M52</f>
        <v>#DIV/0!</v>
      </c>
      <c r="S151" s="1013"/>
      <c r="T151" s="1014"/>
      <c r="U151" s="1012" t="e">
        <f>'GASTOS ADMINISTRATIVOS'!I119*'%DIST'!O52</f>
        <v>#DIV/0!</v>
      </c>
      <c r="V151" s="1013"/>
      <c r="W151" s="1014"/>
      <c r="X151" s="1012" t="e">
        <f>'GASTOS ADMINISTRATIVOS'!J119*'%DIST'!Q52</f>
        <v>#DIV/0!</v>
      </c>
      <c r="Y151" s="1013"/>
      <c r="Z151" s="1014"/>
      <c r="AA151" s="1012" t="e">
        <f>'GASTOS ADMINISTRATIVOS'!K119*'%DIST'!S52</f>
        <v>#DIV/0!</v>
      </c>
      <c r="AB151" s="1013"/>
      <c r="AC151" s="1014"/>
      <c r="AD151" s="1012" t="e">
        <f>'GASTOS ADMINISTRATIVOS'!L119*'%DIST'!U52</f>
        <v>#DIV/0!</v>
      </c>
      <c r="AE151" s="1013"/>
      <c r="AF151" s="1014"/>
      <c r="AG151" s="1012" t="e">
        <f>'GASTOS ADMINISTRATIVOS'!M119*'%DIST'!W52</f>
        <v>#DIV/0!</v>
      </c>
      <c r="AH151" s="1013"/>
      <c r="AI151" s="1014"/>
      <c r="AJ151" s="1012" t="e">
        <f>'GASTOS ADMINISTRATIVOS'!N119*'%DIST'!Y52</f>
        <v>#DIV/0!</v>
      </c>
      <c r="AK151" s="1013"/>
      <c r="AL151" s="1015"/>
      <c r="AM151" s="1016" t="e">
        <f>C151+F151+I151+L151+O151+R151+U151+X151+AA151+AD151+AG151+AJ151</f>
        <v>#DIV/0!</v>
      </c>
      <c r="AN151" s="1013"/>
      <c r="AO151" s="1017"/>
    </row>
    <row r="152" spans="1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1:41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1692897080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3525794160</v>
      </c>
      <c r="AN153" s="498"/>
      <c r="AO153" s="586">
        <f>AM153/AM13</f>
        <v>0.875</v>
      </c>
    </row>
    <row r="154" spans="1:41" ht="15" customHeight="1" thickTop="1" x14ac:dyDescent="0.2">
      <c r="B154" s="40" t="s">
        <v>399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>
        <v>241842440</v>
      </c>
      <c r="M154" s="548"/>
      <c r="N154" s="549"/>
      <c r="O154" s="716">
        <v>20000000</v>
      </c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503684880</v>
      </c>
      <c r="AN154" s="230"/>
      <c r="AO154" s="332"/>
    </row>
    <row r="155" spans="1:41" ht="15" customHeight="1" x14ac:dyDescent="0.2">
      <c r="B155" s="689" t="s">
        <v>443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>
        <v>241842440</v>
      </c>
      <c r="M155" s="13"/>
      <c r="N155" s="344"/>
      <c r="O155" s="837">
        <v>20000000</v>
      </c>
      <c r="P155" s="843"/>
      <c r="Q155" s="839"/>
      <c r="R155" s="837"/>
      <c r="S155" s="843"/>
      <c r="T155" s="839"/>
      <c r="U155" s="705"/>
      <c r="V155" s="843"/>
      <c r="W155" s="839"/>
      <c r="X155" s="705"/>
      <c r="Y155" s="843"/>
      <c r="Z155" s="868"/>
      <c r="AA155" s="705"/>
      <c r="AB155" s="843"/>
      <c r="AC155" s="839"/>
      <c r="AD155" s="705"/>
      <c r="AE155" s="843"/>
      <c r="AF155" s="839"/>
      <c r="AG155" s="705"/>
      <c r="AH155" s="13"/>
      <c r="AI155" s="344"/>
      <c r="AJ155" s="705"/>
      <c r="AK155" s="13"/>
      <c r="AL155" s="246"/>
      <c r="AM155" s="294">
        <f t="shared" si="5"/>
        <v>503684880</v>
      </c>
      <c r="AN155" s="9"/>
      <c r="AO155" s="690"/>
    </row>
    <row r="156" spans="1:41" ht="15" customHeight="1" x14ac:dyDescent="0.2">
      <c r="B156" s="674" t="s">
        <v>403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>
        <v>241842440</v>
      </c>
      <c r="M156" s="677"/>
      <c r="N156" s="678"/>
      <c r="O156" s="838">
        <v>20000000</v>
      </c>
      <c r="P156" s="677"/>
      <c r="Q156" s="840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503684880</v>
      </c>
      <c r="AN156" s="675"/>
      <c r="AO156" s="681"/>
    </row>
    <row r="157" spans="1:41" ht="15" customHeight="1" x14ac:dyDescent="0.2">
      <c r="B157" s="550" t="s">
        <v>404</v>
      </c>
      <c r="C157" s="77"/>
      <c r="D157" s="819"/>
      <c r="E157" s="554"/>
      <c r="F157" s="705"/>
      <c r="G157" s="553"/>
      <c r="H157" s="554"/>
      <c r="I157" s="705">
        <v>241842440</v>
      </c>
      <c r="J157" s="553"/>
      <c r="K157" s="554"/>
      <c r="L157" s="705">
        <v>241842440</v>
      </c>
      <c r="M157" s="553"/>
      <c r="N157" s="554"/>
      <c r="O157" s="705">
        <v>20000000</v>
      </c>
      <c r="P157" s="843"/>
      <c r="Q157" s="841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503684880</v>
      </c>
      <c r="AN157" s="551"/>
      <c r="AO157" s="557">
        <f>AM157/(AM$13)</f>
        <v>0.125</v>
      </c>
    </row>
    <row r="158" spans="1:41" ht="15" customHeight="1" x14ac:dyDescent="0.2">
      <c r="B158" s="563" t="s">
        <v>405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>
        <v>241842440</v>
      </c>
      <c r="M158" s="13"/>
      <c r="N158" s="344"/>
      <c r="O158" s="693">
        <v>20000000</v>
      </c>
      <c r="P158" s="13"/>
      <c r="Q158" s="842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503684880</v>
      </c>
      <c r="AN158" s="13"/>
      <c r="AO158" s="333">
        <f>AM158/(AM$13)</f>
        <v>0.125</v>
      </c>
    </row>
    <row r="159" spans="1:41" ht="15" customHeight="1" x14ac:dyDescent="0.2">
      <c r="B159" s="563" t="s">
        <v>444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>
        <v>241842440</v>
      </c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503684880</v>
      </c>
      <c r="AN159" s="13"/>
      <c r="AO159" s="333">
        <f>AM159/(AM$13)</f>
        <v>0.125</v>
      </c>
    </row>
    <row r="160" spans="1:41" ht="15" customHeight="1" thickBot="1" x14ac:dyDescent="0.25">
      <c r="B160" s="291" t="s">
        <v>445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>
        <v>241842440</v>
      </c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503684880</v>
      </c>
      <c r="AN160" s="233"/>
      <c r="AO160" s="334"/>
    </row>
    <row r="161" spans="2:41" ht="15" customHeight="1" thickTop="1" thickBot="1" x14ac:dyDescent="0.25">
      <c r="B161" s="524" t="s">
        <v>406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-22426043335.647594</v>
      </c>
      <c r="J161" s="498"/>
      <c r="K161" s="499"/>
      <c r="L161" s="497">
        <f>L144-L147-L153</f>
        <v>-18966058040.608002</v>
      </c>
      <c r="M161" s="498"/>
      <c r="N161" s="499"/>
      <c r="O161" s="497">
        <f>O144-O147-O153</f>
        <v>-1782974274.3919718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-11.59124683391364</v>
      </c>
      <c r="J162" s="501"/>
      <c r="K162" s="499"/>
      <c r="L162" s="500">
        <f>IFERROR(L161/L13," ")</f>
        <v>-9.8029000000000011</v>
      </c>
      <c r="M162" s="501"/>
      <c r="N162" s="499"/>
      <c r="O162" s="541">
        <f>IFERROR(O161/O13," ")</f>
        <v>-11.143589214949824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15236073720.000002</v>
      </c>
      <c r="L164" s="616">
        <f>L44+L83-L73-L85</f>
        <v>14510546400.000002</v>
      </c>
      <c r="O164" s="616">
        <f>O44+O83-O73-O85</f>
        <v>1260000000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'[9]Hoja 1'!$C$542+'[9]Hoja 1'!$C$513+'[22]Hoja 1'!$D$24+'[16]Hoja 1'!$D$82-'[16]Hoja 1'!$D$133+'[17]Hoja 1'!$C$67-'[17]Hoja 1'!$C$101</f>
        <v>946098886.0999999</v>
      </c>
      <c r="F165" s="616">
        <f>'[10]Hoja 1'!$C$505+'[10]Hoja 1'!$C$488-'[29]Hoja 1'!$D$32+'[20]Hoja 1'!$C$149+'[20]Hoja 1'!$C$155+'[46]Hoja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13114477276.300001</v>
      </c>
      <c r="L166" s="616">
        <f>L164-L165</f>
        <v>12575093333.440002</v>
      </c>
      <c r="O166" s="616">
        <f>O164-O165</f>
        <v>-1289031952.4699998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446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74" width="11.44140625" style="2" customWidth="1"/>
    <col min="75" max="16384" width="11.44140625" style="2"/>
  </cols>
  <sheetData>
    <row r="2" spans="1:41" ht="24.9" customHeight="1" thickBot="1" x14ac:dyDescent="0.35">
      <c r="B2" s="236" t="s">
        <v>0</v>
      </c>
      <c r="C2" s="1042" t="s">
        <v>447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448</v>
      </c>
      <c r="C5" s="259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>
        <v>20000000</v>
      </c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261842440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449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261842440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450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261842440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366</v>
      </c>
      <c r="C9" s="257"/>
      <c r="D9" s="89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>
        <v>20000000</v>
      </c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261842440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1047369760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1692897080</v>
      </c>
      <c r="J13" s="485"/>
      <c r="K13" s="486"/>
      <c r="L13" s="484">
        <f>L14+L23</f>
        <v>0</v>
      </c>
      <c r="M13" s="485"/>
      <c r="N13" s="486"/>
      <c r="O13" s="484">
        <f>O14+O23</f>
        <v>140000000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1832897080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80000000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1047369760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80000000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1047369760</v>
      </c>
      <c r="AN15" s="3"/>
      <c r="AO15" s="313">
        <f>AM15/AM15</f>
        <v>1</v>
      </c>
    </row>
    <row r="16" spans="1:41" ht="15" customHeight="1" x14ac:dyDescent="0.2">
      <c r="B16" s="262" t="s">
        <v>451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>
        <v>241842440</v>
      </c>
      <c r="J16" s="79"/>
      <c r="K16" s="147"/>
      <c r="L16" s="103"/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261842440</v>
      </c>
      <c r="AN16" s="79"/>
      <c r="AO16" s="314"/>
    </row>
    <row r="17" spans="1:43" ht="15" customHeight="1" x14ac:dyDescent="0.2">
      <c r="B17" s="104" t="s">
        <v>452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>
        <v>241842440</v>
      </c>
      <c r="J17" s="43"/>
      <c r="K17" s="118"/>
      <c r="L17" s="91"/>
      <c r="M17" s="43"/>
      <c r="N17" s="118"/>
      <c r="O17" s="91">
        <v>20000000</v>
      </c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261842440</v>
      </c>
      <c r="AN17" s="43"/>
      <c r="AO17" s="309"/>
    </row>
    <row r="18" spans="1:43" ht="15" customHeight="1" x14ac:dyDescent="0.2">
      <c r="B18" s="104" t="s">
        <v>453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>
        <v>241842440</v>
      </c>
      <c r="J18" s="43"/>
      <c r="K18" s="118"/>
      <c r="L18" s="75"/>
      <c r="M18" s="43"/>
      <c r="N18" s="118"/>
      <c r="O18" s="75">
        <v>20000000</v>
      </c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261842440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368</v>
      </c>
      <c r="C20" s="75"/>
      <c r="D20" s="43"/>
      <c r="E20" s="118"/>
      <c r="F20" s="74"/>
      <c r="G20" s="43"/>
      <c r="H20" s="118"/>
      <c r="I20" s="74">
        <v>241842440</v>
      </c>
      <c r="J20" s="43"/>
      <c r="K20" s="118"/>
      <c r="L20" s="74"/>
      <c r="M20" s="43"/>
      <c r="N20" s="118"/>
      <c r="O20" s="75">
        <v>20000000</v>
      </c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261842440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785527320</v>
      </c>
      <c r="AN23" s="3"/>
      <c r="AO23" s="313"/>
    </row>
    <row r="24" spans="1:43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1:43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1:43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1:43" ht="15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1:43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144590339.60280001</v>
      </c>
      <c r="J28" s="3"/>
      <c r="K28" s="150"/>
      <c r="L28" s="49">
        <f>+L29</f>
        <v>0</v>
      </c>
      <c r="M28" s="3"/>
      <c r="N28" s="150"/>
      <c r="O28" s="49">
        <f>+O29</f>
        <v>11957400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156547739.60280001</v>
      </c>
      <c r="AN28" s="3"/>
      <c r="AO28" s="313"/>
    </row>
    <row r="29" spans="1:43" ht="15" customHeight="1" x14ac:dyDescent="0.2">
      <c r="B29" s="16" t="s">
        <v>32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144590339.60280001</v>
      </c>
      <c r="J29" s="3"/>
      <c r="K29" s="132">
        <f>I29/I13</f>
        <v>8.5410000000000014E-2</v>
      </c>
      <c r="L29" s="49">
        <f>SUM(L30:L37)</f>
        <v>0</v>
      </c>
      <c r="M29" s="3"/>
      <c r="N29" s="132" t="e">
        <f>L29/L13</f>
        <v>#DIV/0!</v>
      </c>
      <c r="O29" s="49">
        <f>SUM(O30:O37)</f>
        <v>11957400</v>
      </c>
      <c r="P29" s="3"/>
      <c r="Q29" s="150">
        <f>O29/O13</f>
        <v>8.541E-2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0"/>
      <c r="Z29" s="761" t="e">
        <f>X29/X13</f>
        <v>#DIV/0!</v>
      </c>
      <c r="AA29" s="90">
        <f>SUM(AA30:AA38)</f>
        <v>0</v>
      </c>
      <c r="AB29" s="3"/>
      <c r="AC29" s="875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156547739.60280001</v>
      </c>
      <c r="AN29" s="3"/>
      <c r="AO29" s="313">
        <f>AM29/AM13</f>
        <v>8.541E-2</v>
      </c>
    </row>
    <row r="30" spans="1:43" s="108" customFormat="1" ht="15" customHeight="1" outlineLevel="1" x14ac:dyDescent="0.2">
      <c r="A30" s="229"/>
      <c r="B30" s="262" t="s">
        <v>454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8464485.4000000004</v>
      </c>
      <c r="J30" s="79"/>
      <c r="K30" s="147"/>
      <c r="L30" s="264">
        <f>L$13*0.5%</f>
        <v>0</v>
      </c>
      <c r="M30" s="79"/>
      <c r="N30" s="147"/>
      <c r="O30" s="264">
        <f>O$13*0.5%</f>
        <v>700000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9164485.4000000004</v>
      </c>
      <c r="AN30" s="79"/>
      <c r="AO30" s="314"/>
      <c r="AP30" s="2"/>
      <c r="AQ30" s="2"/>
    </row>
    <row r="31" spans="1:43" ht="15" customHeight="1" outlineLevel="1" x14ac:dyDescent="0.2">
      <c r="B31" s="105" t="s">
        <v>455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16928970.800000001</v>
      </c>
      <c r="J31" s="43"/>
      <c r="K31" s="118"/>
      <c r="L31" s="265">
        <f>L$13*1%</f>
        <v>0</v>
      </c>
      <c r="M31" s="43"/>
      <c r="N31" s="118"/>
      <c r="O31" s="265">
        <f>O$13*1%</f>
        <v>1400000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18328970.800000001</v>
      </c>
      <c r="AN31" s="43"/>
      <c r="AO31" s="309"/>
    </row>
    <row r="32" spans="1:43" ht="15" customHeight="1" outlineLevel="1" x14ac:dyDescent="0.2">
      <c r="B32" s="105" t="s">
        <v>456</v>
      </c>
      <c r="C32" s="808">
        <f>(C13*80%)*0.6%</f>
        <v>0</v>
      </c>
      <c r="D32" s="92"/>
      <c r="E32" s="338"/>
      <c r="F32" s="808">
        <f>(F13*80%)*0.6%</f>
        <v>0</v>
      </c>
      <c r="G32" s="92"/>
      <c r="H32" s="338"/>
      <c r="I32" s="808">
        <f>(I13*1%)*0.6%</f>
        <v>101573.8248</v>
      </c>
      <c r="J32" s="92"/>
      <c r="K32" s="338"/>
      <c r="L32" s="808">
        <f>(L13*1%)*0.6%</f>
        <v>0</v>
      </c>
      <c r="M32" s="92"/>
      <c r="N32" s="338"/>
      <c r="O32" s="808">
        <f>(O13*1%)*0.6%</f>
        <v>8400</v>
      </c>
      <c r="P32" s="43"/>
      <c r="Q32" s="118"/>
      <c r="R32" s="808">
        <f>(R13*1%)*0.6%</f>
        <v>0</v>
      </c>
      <c r="S32" s="43"/>
      <c r="T32" s="118"/>
      <c r="U32" s="808">
        <f>(U13*1%)*0.6%</f>
        <v>0</v>
      </c>
      <c r="V32" s="43"/>
      <c r="W32" s="118"/>
      <c r="X32" s="808">
        <f>(X13*1%)*0.6%</f>
        <v>0</v>
      </c>
      <c r="Y32" s="43"/>
      <c r="Z32" s="118"/>
      <c r="AA32" s="808">
        <f>(AA13*1%)*0.6%</f>
        <v>0</v>
      </c>
      <c r="AB32" s="43"/>
      <c r="AC32" s="118"/>
      <c r="AD32" s="808">
        <f>(AD13*1%)*0.6%</f>
        <v>0</v>
      </c>
      <c r="AE32" s="43"/>
      <c r="AF32" s="118"/>
      <c r="AG32" s="808">
        <f>(AG13*1%)*0.6%</f>
        <v>0</v>
      </c>
      <c r="AH32" s="43"/>
      <c r="AI32" s="118"/>
      <c r="AJ32" s="808">
        <f>(AJ13*1%)*0.6%</f>
        <v>0</v>
      </c>
      <c r="AK32" s="43"/>
      <c r="AL32" s="57"/>
      <c r="AM32" s="205">
        <f t="shared" si="0"/>
        <v>109973.8248</v>
      </c>
      <c r="AN32" s="43"/>
      <c r="AO32" s="309"/>
    </row>
    <row r="33" spans="2:41" ht="15" customHeight="1" outlineLevel="1" x14ac:dyDescent="0.2">
      <c r="B33" s="105" t="s">
        <v>457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33857941.600000001</v>
      </c>
      <c r="J33" s="43"/>
      <c r="K33" s="118"/>
      <c r="L33" s="265">
        <f>L13*2%</f>
        <v>0</v>
      </c>
      <c r="M33" s="43"/>
      <c r="N33" s="118"/>
      <c r="O33" s="265">
        <f>O13*2%</f>
        <v>2800000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36657941.600000001</v>
      </c>
      <c r="AN33" s="43"/>
      <c r="AO33" s="309"/>
    </row>
    <row r="34" spans="2:41" ht="15" customHeight="1" outlineLevel="1" x14ac:dyDescent="0.2">
      <c r="B34" s="105" t="s">
        <v>421</v>
      </c>
      <c r="C34" s="25"/>
      <c r="D34" s="43"/>
      <c r="E34" s="118"/>
      <c r="F34" s="25"/>
      <c r="G34" s="43"/>
      <c r="H34" s="118"/>
      <c r="I34" s="25">
        <f>(I13*1%)*3.5%</f>
        <v>592513.97800000012</v>
      </c>
      <c r="J34" s="43"/>
      <c r="K34" s="118"/>
      <c r="L34" s="25">
        <f>(L13*1%)*3.5%</f>
        <v>0</v>
      </c>
      <c r="M34" s="43"/>
      <c r="N34" s="118"/>
      <c r="O34" s="25">
        <f>(O13*1%)*3.5%</f>
        <v>49000.000000000007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641513.97800000012</v>
      </c>
      <c r="AN34" s="43"/>
      <c r="AO34" s="309"/>
    </row>
    <row r="35" spans="2:41" ht="15" customHeight="1" outlineLevel="1" x14ac:dyDescent="0.2">
      <c r="B35" s="335" t="s">
        <v>458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42322427</v>
      </c>
      <c r="J35" s="92"/>
      <c r="K35" s="338"/>
      <c r="L35" s="91">
        <f>L$13*2.5%</f>
        <v>0</v>
      </c>
      <c r="M35" s="92"/>
      <c r="N35" s="338"/>
      <c r="O35" s="91">
        <f>O$13*2.5%</f>
        <v>3500000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45822427</v>
      </c>
      <c r="AN35" s="92"/>
      <c r="AO35" s="327"/>
    </row>
    <row r="36" spans="2:41" ht="15" customHeight="1" outlineLevel="1" x14ac:dyDescent="0.2">
      <c r="B36" s="105" t="s">
        <v>422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33857941.600000001</v>
      </c>
      <c r="J36" s="43"/>
      <c r="K36" s="118"/>
      <c r="L36" s="25">
        <f>L13*2%</f>
        <v>0</v>
      </c>
      <c r="M36" s="43"/>
      <c r="N36" s="118"/>
      <c r="O36" s="25">
        <f>O13*2%</f>
        <v>2800000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36657941.600000001</v>
      </c>
      <c r="AN36" s="43"/>
      <c r="AO36" s="309"/>
    </row>
    <row r="37" spans="2:41" ht="15" customHeight="1" outlineLevel="1" x14ac:dyDescent="0.2">
      <c r="B37" s="105" t="s">
        <v>420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8464485.4000000004</v>
      </c>
      <c r="J37" s="43"/>
      <c r="K37" s="118"/>
      <c r="L37" s="25">
        <f>L$13*0.5%</f>
        <v>0</v>
      </c>
      <c r="M37" s="43"/>
      <c r="N37" s="118"/>
      <c r="O37" s="25">
        <f>O$13*0.5%</f>
        <v>700000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9164485.4000000004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1548306740.3972001</v>
      </c>
      <c r="J42" s="488"/>
      <c r="K42" s="489"/>
      <c r="L42" s="487">
        <f>+L14+L23-L28</f>
        <v>0</v>
      </c>
      <c r="M42" s="488"/>
      <c r="N42" s="489"/>
      <c r="O42" s="487">
        <f>+O14+O23-O28</f>
        <v>128042600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1676349340.3972001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344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3511552228.8000002</v>
      </c>
      <c r="J44" s="491"/>
      <c r="K44" s="492">
        <f>I44/I$13</f>
        <v>2.0742857142857143</v>
      </c>
      <c r="L44" s="490">
        <f>+L45+L60+L78</f>
        <v>643300890.39999998</v>
      </c>
      <c r="M44" s="491"/>
      <c r="N44" s="492" t="e">
        <f>L44/L$13</f>
        <v>#DIV/0!</v>
      </c>
      <c r="O44" s="490">
        <f>+O45+O60+O78</f>
        <v>293200000</v>
      </c>
      <c r="P44" s="491"/>
      <c r="Q44" s="492">
        <f>O44/O$13</f>
        <v>2.0942857142857143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6226561656.8649998</v>
      </c>
      <c r="AN44" s="491"/>
      <c r="AO44" s="580">
        <f>AM44/AM$13</f>
        <v>3.3971147233564252</v>
      </c>
    </row>
    <row r="45" spans="2:41" ht="15" customHeight="1" x14ac:dyDescent="0.2">
      <c r="B45" s="16" t="s">
        <v>35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371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459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>
        <f>I47/I5</f>
        <v>0</v>
      </c>
      <c r="K47" s="140">
        <f>I47/I13</f>
        <v>0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>
        <f>AM47/AM5</f>
        <v>0</v>
      </c>
      <c r="AO47" s="315">
        <f>AM47/AM13</f>
        <v>0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460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375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>
        <f>I57/I12</f>
        <v>0</v>
      </c>
      <c r="K57" s="152">
        <f>I57/I13</f>
        <v>0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376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>
        <f>I58/I5</f>
        <v>0</v>
      </c>
      <c r="K58" s="412">
        <f>I58/I13</f>
        <v>0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>
        <f>AM58/AM$16</f>
        <v>0</v>
      </c>
    </row>
    <row r="59" spans="1:41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>
        <f>I59/I5</f>
        <v>0</v>
      </c>
      <c r="K59" s="336">
        <f>I59/I13</f>
        <v>0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>
        <f>AM59/(AM16)</f>
        <v>0</v>
      </c>
    </row>
    <row r="60" spans="1:41" ht="15" customHeight="1" x14ac:dyDescent="0.2">
      <c r="B60" s="16" t="s">
        <v>37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2786024908.8000002</v>
      </c>
      <c r="J60" s="3"/>
      <c r="K60" s="150"/>
      <c r="L60" s="49">
        <f>+L61+L72+L75+L76+L77</f>
        <v>643300890.39999998</v>
      </c>
      <c r="M60" s="3"/>
      <c r="N60" s="150"/>
      <c r="O60" s="49">
        <f>+O61+O72+O75+O76+O77</f>
        <v>233200000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0"/>
      <c r="AI60" s="150"/>
      <c r="AJ60" s="49">
        <f>+AJ61+AJ72+AJ75+AJ76+AJ77</f>
        <v>0</v>
      </c>
      <c r="AK60" s="3"/>
      <c r="AL60" s="61"/>
      <c r="AM60" s="16">
        <f t="shared" si="2"/>
        <v>4956507345.8649998</v>
      </c>
      <c r="AN60" s="3"/>
      <c r="AO60" s="313"/>
    </row>
    <row r="61" spans="1:41" ht="15" customHeight="1" x14ac:dyDescent="0.2">
      <c r="B61" s="36" t="s">
        <v>378</v>
      </c>
      <c r="C61" s="37">
        <f>SUM(C62:C71)</f>
        <v>212649792.71000001</v>
      </c>
      <c r="D61" s="67"/>
      <c r="E61" s="813" t="e">
        <f>C61/(C$13-C$19-C$20)</f>
        <v>#DIV/0!</v>
      </c>
      <c r="F61" s="37">
        <f>SUM(F62:F71)</f>
        <v>955058633.98000002</v>
      </c>
      <c r="G61" s="67"/>
      <c r="H61" s="813" t="e">
        <f>F61/(F$13-F$19-F$20)</f>
        <v>#DIV/0!</v>
      </c>
      <c r="I61" s="37">
        <f>SUM(I62:I71)</f>
        <v>1209212200</v>
      </c>
      <c r="J61" s="67"/>
      <c r="K61" s="813">
        <f>I61/(I$13-I$19-I$20)</f>
        <v>0.83333333333333337</v>
      </c>
      <c r="L61" s="37">
        <f>SUM(L62:L71)</f>
        <v>0</v>
      </c>
      <c r="M61" s="67"/>
      <c r="N61" s="813" t="e">
        <f>L61/L13</f>
        <v>#DIV/0!</v>
      </c>
      <c r="O61" s="37">
        <f>SUM(O62:O71)</f>
        <v>100000000</v>
      </c>
      <c r="P61" s="67"/>
      <c r="Q61" s="813">
        <f>O61/(O13-O20)</f>
        <v>0.83333333333333337</v>
      </c>
      <c r="R61" s="37">
        <f>SUM(R62:R71)</f>
        <v>0</v>
      </c>
      <c r="S61" s="67"/>
      <c r="T61" s="813" t="e">
        <f>R61/R13</f>
        <v>#DIV/0!</v>
      </c>
      <c r="U61" s="37">
        <f>SUM(U62:U71)</f>
        <v>0</v>
      </c>
      <c r="V61" s="67"/>
      <c r="W61" s="813" t="e">
        <f>U61/U13</f>
        <v>#DIV/0!</v>
      </c>
      <c r="X61" s="37">
        <f>SUM(X62:X71)</f>
        <v>0</v>
      </c>
      <c r="Y61" s="67"/>
      <c r="Z61" s="813" t="e">
        <f>X61/X13</f>
        <v>#DIV/0!</v>
      </c>
      <c r="AA61" s="37">
        <f>SUM(AA62:AA71)</f>
        <v>0</v>
      </c>
      <c r="AB61" s="67"/>
      <c r="AC61" s="813" t="e">
        <f>AA61/(AA13-AA19-AA20)</f>
        <v>#DIV/0!</v>
      </c>
      <c r="AD61" s="37">
        <f>SUM(AD62:AD71)</f>
        <v>0</v>
      </c>
      <c r="AE61" s="67"/>
      <c r="AF61" s="813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2476920626.6900001</v>
      </c>
      <c r="AN61" s="67"/>
      <c r="AO61" s="812">
        <f>AM61/(AM$13-AM$19-AM$20)</f>
        <v>1.5765973783636196</v>
      </c>
    </row>
    <row r="62" spans="1:41" ht="15" customHeight="1" x14ac:dyDescent="0.2">
      <c r="A62" s="226" t="s">
        <v>423</v>
      </c>
      <c r="B62" s="100" t="s">
        <v>461</v>
      </c>
      <c r="C62" s="78">
        <f>'[44]Hoja 1'!$I$47</f>
        <v>92598048.179999992</v>
      </c>
      <c r="D62" s="79" t="e">
        <f>C62/C5</f>
        <v>#DIV/0!</v>
      </c>
      <c r="E62" s="147" t="e">
        <f>C62/C16</f>
        <v>#DIV/0!</v>
      </c>
      <c r="F62" s="78">
        <f>'[45]Hoja 1'!$I$56</f>
        <v>419907784.06</v>
      </c>
      <c r="G62" s="79" t="e">
        <f>F62/F5</f>
        <v>#DIV/0!</v>
      </c>
      <c r="H62" s="147" t="e">
        <f>F62/F16</f>
        <v>#DIV/0!</v>
      </c>
      <c r="I62" s="78">
        <v>241842440</v>
      </c>
      <c r="J62" s="79">
        <f>I62/I5</f>
        <v>1</v>
      </c>
      <c r="K62" s="147">
        <f>I62/I16</f>
        <v>1</v>
      </c>
      <c r="L62" s="78"/>
      <c r="M62" s="79" t="e">
        <f>L62/L5</f>
        <v>#DIV/0!</v>
      </c>
      <c r="N62" s="147" t="e">
        <f>L62/L16</f>
        <v>#DIV/0!</v>
      </c>
      <c r="O62" s="78">
        <v>20000000</v>
      </c>
      <c r="P62" s="79">
        <f>O62/O5</f>
        <v>1</v>
      </c>
      <c r="Q62" s="147">
        <f>O62/O16</f>
        <v>1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774348272.24000001</v>
      </c>
      <c r="AN62" s="79">
        <f>AM62/AM5</f>
        <v>2.9573062038376974</v>
      </c>
      <c r="AO62" s="314">
        <f>AM62/AM16</f>
        <v>2.9573062038376974</v>
      </c>
    </row>
    <row r="63" spans="1:41" ht="15" customHeight="1" x14ac:dyDescent="0.2">
      <c r="A63" s="226" t="s">
        <v>423</v>
      </c>
      <c r="B63" s="101" t="s">
        <v>462</v>
      </c>
      <c r="C63" s="25">
        <f>'[44]Hoja 1'!$I$49</f>
        <v>69463450.939999998</v>
      </c>
      <c r="D63" s="43" t="e">
        <f>C63/C6</f>
        <v>#DIV/0!</v>
      </c>
      <c r="E63" s="118" t="e">
        <f>C63/C17</f>
        <v>#DIV/0!</v>
      </c>
      <c r="F63" s="25">
        <f>'[45]Hoja 1'!$I$58</f>
        <v>342290997.86000001</v>
      </c>
      <c r="G63" s="43" t="e">
        <f>F63/F6</f>
        <v>#DIV/0!</v>
      </c>
      <c r="H63" s="118" t="e">
        <f>F63/F17</f>
        <v>#DIV/0!</v>
      </c>
      <c r="I63" s="25">
        <v>241842440</v>
      </c>
      <c r="J63" s="43">
        <f>I63/I6</f>
        <v>1</v>
      </c>
      <c r="K63" s="118">
        <f>I63/I17</f>
        <v>1</v>
      </c>
      <c r="L63" s="25"/>
      <c r="M63" s="43" t="e">
        <f>L63/L6</f>
        <v>#DIV/0!</v>
      </c>
      <c r="N63" s="118" t="e">
        <f>L63/L17</f>
        <v>#DIV/0!</v>
      </c>
      <c r="O63" s="25">
        <v>20000000</v>
      </c>
      <c r="P63" s="43">
        <f>O63/O6</f>
        <v>1</v>
      </c>
      <c r="Q63" s="118">
        <f>O63/O17</f>
        <v>1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673596888.79999995</v>
      </c>
      <c r="AN63" s="43">
        <f>AM63/AM6</f>
        <v>2.5725275428994627</v>
      </c>
      <c r="AO63" s="309">
        <f>AM63/AM17</f>
        <v>2.5725275428994627</v>
      </c>
    </row>
    <row r="64" spans="1:41" ht="15" customHeight="1" x14ac:dyDescent="0.2">
      <c r="A64" s="226" t="s">
        <v>423</v>
      </c>
      <c r="B64" s="25" t="s">
        <v>20</v>
      </c>
      <c r="C64" s="25">
        <f>'[44]Hoja 1'!$I$51</f>
        <v>50588293.590000004</v>
      </c>
      <c r="D64" s="43" t="e">
        <f>C64/C7</f>
        <v>#DIV/0!</v>
      </c>
      <c r="E64" s="118" t="e">
        <f>C64/C18</f>
        <v>#DIV/0!</v>
      </c>
      <c r="F64" s="25">
        <f>'[45]Hoja 1'!$I$60</f>
        <v>192859852.06</v>
      </c>
      <c r="G64" s="43" t="e">
        <f>F64/F7</f>
        <v>#DIV/0!</v>
      </c>
      <c r="H64" s="118" t="e">
        <f>F64/F18</f>
        <v>#DIV/0!</v>
      </c>
      <c r="I64" s="25">
        <v>241842440</v>
      </c>
      <c r="J64" s="43">
        <f>I64/I7</f>
        <v>1</v>
      </c>
      <c r="K64" s="118">
        <f>I64/I18</f>
        <v>1</v>
      </c>
      <c r="L64" s="25"/>
      <c r="M64" s="43" t="e">
        <f>L64/L7</f>
        <v>#DIV/0!</v>
      </c>
      <c r="N64" s="118" t="e">
        <f>L64/L18</f>
        <v>#DIV/0!</v>
      </c>
      <c r="O64" s="25">
        <v>20000000</v>
      </c>
      <c r="P64" s="43">
        <f>O64/O7</f>
        <v>1</v>
      </c>
      <c r="Q64" s="118">
        <f>O64/O18</f>
        <v>1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505290585.64999998</v>
      </c>
      <c r="AN64" s="43">
        <f>AM64/AM7</f>
        <v>1.9297505234445569</v>
      </c>
      <c r="AO64" s="309">
        <f>AM64/AM18</f>
        <v>1.9297505234445569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382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261842440</v>
      </c>
      <c r="AN66" s="43"/>
      <c r="AO66" s="309"/>
    </row>
    <row r="67" spans="1:66" ht="15" customHeight="1" x14ac:dyDescent="0.2">
      <c r="B67" s="25" t="s">
        <v>373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>
        <v>20000000</v>
      </c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261842440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383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851285388.79999995</v>
      </c>
      <c r="J72" s="47">
        <f>I72/I12</f>
        <v>0.88</v>
      </c>
      <c r="K72" s="152">
        <f>I72/I13</f>
        <v>0.50285714285714278</v>
      </c>
      <c r="L72" s="46">
        <f>SUM(L73:L74)</f>
        <v>643300890.39999998</v>
      </c>
      <c r="M72" s="47" t="e">
        <f>L72/L12</f>
        <v>#DIV/0!</v>
      </c>
      <c r="N72" s="152" t="e">
        <f>L72/L13</f>
        <v>#DIV/0!</v>
      </c>
      <c r="O72" s="46">
        <f>SUM(O73:O74)</f>
        <v>73200000</v>
      </c>
      <c r="P72" s="47">
        <f>O72/O12</f>
        <v>0.91500000000000004</v>
      </c>
      <c r="Q72" s="152">
        <f>O72/O13</f>
        <v>0.52285714285714291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1622016957.175</v>
      </c>
      <c r="AN72" s="47">
        <f>AM72/AM12</f>
        <v>1.5486574265567874</v>
      </c>
      <c r="AO72" s="152">
        <f>AM72/AM13</f>
        <v>0.88494710088959272</v>
      </c>
    </row>
    <row r="73" spans="1:66" ht="15" customHeight="1" x14ac:dyDescent="0.2">
      <c r="B73" s="411" t="s">
        <v>384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643300890.39999998</v>
      </c>
      <c r="M73" s="79"/>
      <c r="N73" s="147"/>
      <c r="O73" s="78">
        <f>'GASTOS VEHICULOS'!G25*'%DIST'!J21</f>
        <v>53200000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1327824760.175</v>
      </c>
      <c r="AN73" s="305"/>
      <c r="AO73" s="417"/>
    </row>
    <row r="74" spans="1:66" ht="15" customHeight="1" x14ac:dyDescent="0.2">
      <c r="A74" s="226" t="s">
        <v>429</v>
      </c>
      <c r="B74" s="415" t="s">
        <v>385</v>
      </c>
      <c r="C74" s="273">
        <f>'[14]Hoja 1'!$C$66</f>
        <v>2365998</v>
      </c>
      <c r="D74" s="134"/>
      <c r="E74" s="428"/>
      <c r="F74" s="273">
        <f>'[10]Hoja 1'!$C$627+'[18]Hoja 1'!$C$193</f>
        <v>29983759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>
        <v>20000000</v>
      </c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294192197</v>
      </c>
      <c r="AN74" s="84">
        <f>AM74/AM12</f>
        <v>0.28088666317805472</v>
      </c>
      <c r="AO74" s="416">
        <f>AM74/AM13</f>
        <v>0.16050666467317412</v>
      </c>
    </row>
    <row r="75" spans="1:66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261842440</v>
      </c>
      <c r="AN75" s="67"/>
      <c r="AO75" s="318"/>
    </row>
    <row r="76" spans="1:66" ht="15" customHeight="1" x14ac:dyDescent="0.2">
      <c r="A76" s="226" t="s">
        <v>431</v>
      </c>
      <c r="B76" s="36" t="s">
        <v>45</v>
      </c>
      <c r="C76" s="37"/>
      <c r="D76" s="67"/>
      <c r="E76" s="149"/>
      <c r="F76" s="37">
        <f>'[10]Hoja 1'!$C$593</f>
        <v>51377547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313219987</v>
      </c>
      <c r="AN76" s="67"/>
      <c r="AO76" s="320">
        <f>AM76/$AM$13</f>
        <v>0.17088792950665838</v>
      </c>
    </row>
    <row r="77" spans="1:66" ht="15" customHeight="1" x14ac:dyDescent="0.2">
      <c r="A77" s="226" t="s">
        <v>351</v>
      </c>
      <c r="B77" s="66" t="s">
        <v>46</v>
      </c>
      <c r="C77" s="28">
        <f>'[9]Hoja 1'!$C$692+'[14]Hoja 1'!$C$68</f>
        <v>4179823</v>
      </c>
      <c r="D77" s="45"/>
      <c r="E77" s="340"/>
      <c r="F77" s="28">
        <f>'[10]Hoja 1'!$C$629+'[18]Hoja 1'!$C$195</f>
        <v>16485072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282507335</v>
      </c>
      <c r="AN77" s="42">
        <f>AM77/AM12</f>
        <v>0.26973027653576709</v>
      </c>
      <c r="AO77" s="320">
        <f>AM77/$AM$13</f>
        <v>0.1541315865918669</v>
      </c>
    </row>
    <row r="78" spans="1:66" ht="15" customHeight="1" x14ac:dyDescent="0.2">
      <c r="B78" s="16" t="s">
        <v>352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725527320</v>
      </c>
      <c r="J78" s="3">
        <f>I78/I12</f>
        <v>0.75</v>
      </c>
      <c r="K78" s="150">
        <f>I78/I13</f>
        <v>0.42857142857142855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60000000</v>
      </c>
      <c r="P78" s="3">
        <f>O78/O12</f>
        <v>0.75</v>
      </c>
      <c r="Q78" s="150">
        <f>O78/O13</f>
        <v>0.42857142857142855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1270054311</v>
      </c>
      <c r="AN78" s="3">
        <f>AM78/AM12</f>
        <v>1.2126131185991087</v>
      </c>
      <c r="AO78" s="321">
        <f>AM78/AM13</f>
        <v>0.69292178205663357</v>
      </c>
    </row>
    <row r="79" spans="1:66" s="108" customFormat="1" ht="15" customHeight="1" x14ac:dyDescent="0.2">
      <c r="A79" s="229" t="s">
        <v>295</v>
      </c>
      <c r="B79" s="39" t="s">
        <v>353</v>
      </c>
      <c r="C79" s="726">
        <f>'[48]Hoja 1'!$D$9+'[22]Hoja 1'!$D$28+'[49]Hoja 1'!$D$9</f>
        <v>104001450</v>
      </c>
      <c r="D79" s="267"/>
      <c r="E79" s="306"/>
      <c r="F79" s="726">
        <f>'[30]Hoja 1'!$D$19-23031718+'[31]Hoja 1'!$D$33+'[50]Hoja 1'!$D$9</f>
        <v>342229646</v>
      </c>
      <c r="G79" s="69"/>
      <c r="H79" s="306"/>
      <c r="I79" s="39">
        <v>241842440</v>
      </c>
      <c r="J79" s="69"/>
      <c r="K79" s="306"/>
      <c r="L79" s="39"/>
      <c r="M79" s="69"/>
      <c r="N79" s="306"/>
      <c r="O79" s="39">
        <v>20000000</v>
      </c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3"/>
      <c r="AK79" s="69"/>
      <c r="AL79" s="306"/>
      <c r="AM79" s="729">
        <f t="shared" si="2"/>
        <v>708073536</v>
      </c>
      <c r="AN79" s="730">
        <f>AM79/$AM$12</f>
        <v>0.67604924549282386</v>
      </c>
      <c r="AO79" s="322">
        <f>AM79/AM13</f>
        <v>0.38631385456732792</v>
      </c>
      <c r="AQ79" s="894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295</v>
      </c>
      <c r="B80" s="25" t="s">
        <v>386</v>
      </c>
      <c r="C80" s="25">
        <f>'[21]Hoja 1'!$D$34+'[21]Hoja 1'!$D$38+'[22]Hoja 1'!$D$32</f>
        <v>14612792</v>
      </c>
      <c r="D80" s="272"/>
      <c r="E80" s="118"/>
      <c r="F80" s="25">
        <f>'[29]Hoja 1'!$D$39+'[30]Hoja 1'!$D$18</f>
        <v>23683103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300138335</v>
      </c>
      <c r="AN80" s="43">
        <f>AM80/$AM$12</f>
        <v>0.28656387310628484</v>
      </c>
      <c r="AO80" s="309">
        <f>AM80/AM13</f>
        <v>0.16375078463216275</v>
      </c>
      <c r="AQ80" s="945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387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261842440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51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11947016536</v>
      </c>
      <c r="J83" s="491"/>
      <c r="K83" s="492">
        <f>I83/(I$13)</f>
        <v>7.0571428571428569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982666666.66666663</v>
      </c>
      <c r="P83" s="491"/>
      <c r="Q83" s="492">
        <f>O83/(O$13)</f>
        <v>7.019047619047619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52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1305949176</v>
      </c>
      <c r="J84" s="3"/>
      <c r="K84" s="150">
        <f>I84/(I$13)</f>
        <v>0.77142857142857146</v>
      </c>
      <c r="L84" s="49">
        <f>SUM(L85:L88)</f>
        <v>0</v>
      </c>
      <c r="M84" s="3"/>
      <c r="N84" s="150" t="e">
        <f>L84/(L$13)</f>
        <v>#DIV/0!</v>
      </c>
      <c r="O84" s="49">
        <f>SUM(O85:O88)</f>
        <v>102666666.66666666</v>
      </c>
      <c r="P84" s="3"/>
      <c r="Q84" s="150">
        <f>O84/(O$13)</f>
        <v>0.73333333333333328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53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580421856</v>
      </c>
      <c r="J85" s="69"/>
      <c r="K85" s="306"/>
      <c r="L85" s="39">
        <f>'GASTOS OPERATIVOS'!F17*'%DIST'!I5</f>
        <v>0</v>
      </c>
      <c r="M85" s="69"/>
      <c r="N85" s="306"/>
      <c r="O85" s="39">
        <f>'GASTOS OPERATIVOS'!G17*'%DIST'!K5</f>
        <v>42666666.666666664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54</v>
      </c>
      <c r="C86" s="25"/>
      <c r="D86" s="43"/>
      <c r="E86" s="118"/>
      <c r="F86" s="25">
        <f>'[18]Hoja 1'!$C$174</f>
        <v>23031718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284874158</v>
      </c>
      <c r="AN86" s="43"/>
      <c r="AO86" s="118">
        <f>AM86/(AM$13)</f>
        <v>0.15542288822894518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299</v>
      </c>
      <c r="B87" s="97" t="s">
        <v>55</v>
      </c>
      <c r="C87" s="22"/>
      <c r="D87" s="42"/>
      <c r="E87" s="140"/>
      <c r="F87" s="22">
        <f>'[10]Hoja 1'!$C$623</f>
        <v>17699100</v>
      </c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279541540</v>
      </c>
      <c r="AN87" s="42"/>
      <c r="AO87" s="315">
        <f>AM87/(AM$13)</f>
        <v>0.15251349519308524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160</v>
      </c>
      <c r="B88" s="206" t="s">
        <v>161</v>
      </c>
      <c r="C88" s="83">
        <f>'[14]Hoja 1'!$C$21+'[37]Hoja 1'!$C$64</f>
        <v>992635</v>
      </c>
      <c r="D88" s="84"/>
      <c r="E88" s="336"/>
      <c r="F88" s="83">
        <f>'[18]Hoja 1'!$C$148+'[11]Hoja 1'!$C$70</f>
        <v>2567998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265403073</v>
      </c>
      <c r="AN88" s="84"/>
      <c r="AO88" s="310"/>
    </row>
    <row r="89" spans="1:67" ht="15" customHeight="1" x14ac:dyDescent="0.2">
      <c r="B89" s="16" t="s">
        <v>56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483684880</v>
      </c>
      <c r="J89" s="3"/>
      <c r="K89" s="150">
        <f>I89/(I$13)</f>
        <v>0.2857142857142857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523684880</v>
      </c>
      <c r="AN89" s="3"/>
      <c r="AO89" s="321">
        <f>AM89/(AM$13)</f>
        <v>0.2857142857142857</v>
      </c>
    </row>
    <row r="90" spans="1:67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261842440</v>
      </c>
      <c r="AN90" s="69"/>
      <c r="AO90" s="324"/>
    </row>
    <row r="91" spans="1:67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261842440</v>
      </c>
      <c r="AN91" s="84"/>
      <c r="AO91" s="310"/>
    </row>
    <row r="92" spans="1:67" ht="15" customHeight="1" x14ac:dyDescent="0.2">
      <c r="B92" s="16" t="s">
        <v>59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725527320</v>
      </c>
      <c r="J92" s="3"/>
      <c r="K92" s="150">
        <f>I92/(I$13)</f>
        <v>0.42857142857142855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785527320</v>
      </c>
      <c r="AN92" s="3"/>
      <c r="AO92" s="321">
        <f>AM92/(AM$13)</f>
        <v>0.42857142857142855</v>
      </c>
    </row>
    <row r="93" spans="1:67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261842440</v>
      </c>
      <c r="AN93" s="69"/>
      <c r="AO93" s="324"/>
    </row>
    <row r="94" spans="1:67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261842440</v>
      </c>
      <c r="AN94" s="43"/>
      <c r="AO94" s="309"/>
    </row>
    <row r="95" spans="1:67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261842440</v>
      </c>
      <c r="AN95" s="45"/>
      <c r="AO95" s="325"/>
    </row>
    <row r="96" spans="1:67" ht="15" customHeight="1" x14ac:dyDescent="0.2">
      <c r="B96" s="106" t="s">
        <v>63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483684880</v>
      </c>
      <c r="J96" s="3"/>
      <c r="K96" s="150">
        <f>I96/(I$13)</f>
        <v>0.2857142857142857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0.2857142857142857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569481905</v>
      </c>
      <c r="AN96" s="3">
        <f>AM96/AM12</f>
        <v>0.54372574686517583</v>
      </c>
      <c r="AO96" s="321">
        <f>AM96/(AM$13)</f>
        <v>0.31070042678010051</v>
      </c>
      <c r="AP96" s="714"/>
    </row>
    <row r="97" spans="1:43" s="108" customFormat="1" ht="15" customHeight="1" outlineLevel="1" x14ac:dyDescent="0.2">
      <c r="A97" s="229"/>
      <c r="B97" s="39" t="s">
        <v>65</v>
      </c>
      <c r="C97" s="39">
        <f>'[9]Hoja 1'!$C$687+'[14]Hoja 1'!$C$59</f>
        <v>45037562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306880002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388</v>
      </c>
      <c r="C98" s="275">
        <f>'[14]Hoja 1'!$C$61</f>
        <v>759463</v>
      </c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262601903</v>
      </c>
      <c r="AN98" s="276"/>
      <c r="AO98" s="326"/>
      <c r="AQ98" s="2"/>
    </row>
    <row r="99" spans="1:43" ht="15" customHeight="1" x14ac:dyDescent="0.2">
      <c r="B99" s="16" t="s">
        <v>68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2176581960</v>
      </c>
      <c r="J99" s="3"/>
      <c r="K99" s="150">
        <f>I99/(I$13)</f>
        <v>1.2857142857142858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1.2857142857142858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2363661810</v>
      </c>
      <c r="AN99" s="3">
        <f>AM99/AM12</f>
        <v>2.2567596471374158</v>
      </c>
      <c r="AO99" s="321">
        <f>AM99/(AM$13)</f>
        <v>1.2895769412213804</v>
      </c>
    </row>
    <row r="100" spans="1:43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261842440</v>
      </c>
      <c r="AN100" s="69"/>
      <c r="AO100" s="324"/>
    </row>
    <row r="101" spans="1:43" ht="15" customHeight="1" outlineLevel="1" x14ac:dyDescent="0.2">
      <c r="A101" s="226" t="s">
        <v>463</v>
      </c>
      <c r="B101" s="25" t="s">
        <v>389</v>
      </c>
      <c r="C101" s="25">
        <f>'[9]Hoja 1'!$C$690</f>
        <v>1423500</v>
      </c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263265940</v>
      </c>
      <c r="AN101" s="43"/>
      <c r="AO101" s="309"/>
    </row>
    <row r="102" spans="1:43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261842440</v>
      </c>
      <c r="AN102" s="43"/>
      <c r="AO102" s="309"/>
    </row>
    <row r="103" spans="1:43" ht="15" customHeight="1" outlineLevel="1" x14ac:dyDescent="0.2">
      <c r="A103" s="226" t="s">
        <v>433</v>
      </c>
      <c r="B103" s="25" t="s">
        <v>72</v>
      </c>
      <c r="C103" s="25"/>
      <c r="D103" s="43"/>
      <c r="E103" s="118"/>
      <c r="F103" s="25">
        <f>'[18]Hoja 1'!C190</f>
        <v>1716677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263559117</v>
      </c>
      <c r="AN103" s="43"/>
      <c r="AO103" s="309"/>
    </row>
    <row r="104" spans="1:43" ht="15" customHeight="1" outlineLevel="1" x14ac:dyDescent="0.2">
      <c r="A104" s="226" t="s">
        <v>434</v>
      </c>
      <c r="B104" s="25" t="s">
        <v>73</v>
      </c>
      <c r="C104" s="25">
        <f>'[14]Hoja 1'!$C$64</f>
        <v>3852125</v>
      </c>
      <c r="D104" s="43"/>
      <c r="E104" s="118"/>
      <c r="F104" s="25">
        <f>'[18]Hoja 1'!C191</f>
        <v>87548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265782113</v>
      </c>
      <c r="AN104" s="43"/>
      <c r="AO104" s="309"/>
    </row>
    <row r="105" spans="1:43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261842440</v>
      </c>
      <c r="AN105" s="43"/>
      <c r="AO105" s="309"/>
    </row>
    <row r="106" spans="1:43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>
        <v>20000000</v>
      </c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261842440</v>
      </c>
      <c r="AN106" s="43"/>
      <c r="AO106" s="309"/>
    </row>
    <row r="107" spans="1:43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>
        <v>20000000</v>
      </c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261842440</v>
      </c>
      <c r="AN107" s="43"/>
      <c r="AO107" s="309"/>
    </row>
    <row r="108" spans="1:43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261842440</v>
      </c>
      <c r="AN108" s="42"/>
      <c r="AO108" s="315"/>
    </row>
    <row r="109" spans="1:43" ht="15" customHeight="1" x14ac:dyDescent="0.2">
      <c r="B109" s="16" t="s">
        <v>78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967369760</v>
      </c>
      <c r="J109" s="3"/>
      <c r="K109" s="150">
        <f>I109/(I$13)</f>
        <v>0.5714285714285714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0.5714285714285714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1047639652</v>
      </c>
      <c r="AN109" s="3"/>
      <c r="AO109" s="321">
        <f>AM109/(AM$13)</f>
        <v>0.57157582028555576</v>
      </c>
    </row>
    <row r="110" spans="1:43" ht="15" customHeight="1" outlineLevel="1" x14ac:dyDescent="0.2">
      <c r="B110" s="39" t="s">
        <v>80</v>
      </c>
      <c r="C110" s="39">
        <f>'[14]Hoja 1'!$C$73</f>
        <v>269892</v>
      </c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262112332</v>
      </c>
      <c r="AN110" s="69"/>
      <c r="AO110" s="324"/>
    </row>
    <row r="111" spans="1:43" ht="15" customHeight="1" outlineLevel="1" x14ac:dyDescent="0.2"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261842440</v>
      </c>
      <c r="AN111" s="43"/>
      <c r="AO111" s="309"/>
    </row>
    <row r="112" spans="1:43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261842440</v>
      </c>
      <c r="AN112" s="43"/>
      <c r="AO112" s="309"/>
    </row>
    <row r="113" spans="1:41" ht="15" customHeight="1" outlineLevel="1" x14ac:dyDescent="0.2">
      <c r="B113" s="28" t="s">
        <v>86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261842440</v>
      </c>
      <c r="AN113" s="45"/>
      <c r="AO113" s="325"/>
    </row>
    <row r="114" spans="1:41" ht="15" customHeight="1" x14ac:dyDescent="0.2">
      <c r="B114" s="16" t="s">
        <v>87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1209212200</v>
      </c>
      <c r="J114" s="3"/>
      <c r="K114" s="150">
        <f>I114/(I$13)</f>
        <v>0.7142857142857143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100000000</v>
      </c>
      <c r="P114" s="3"/>
      <c r="Q114" s="150">
        <f>O114/(O$13)</f>
        <v>0.7142857142857143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1316007200</v>
      </c>
      <c r="AN114" s="3">
        <f>AM114/AM12</f>
        <v>1.2564876801484128</v>
      </c>
      <c r="AO114" s="321">
        <f>AM114/(AM$13)</f>
        <v>0.7179929600848074</v>
      </c>
    </row>
    <row r="115" spans="1:41" ht="15" customHeight="1" outlineLevel="1" x14ac:dyDescent="0.2">
      <c r="B115" s="39" t="s">
        <v>89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261842440</v>
      </c>
      <c r="AN115" s="69"/>
      <c r="AO115" s="324"/>
    </row>
    <row r="116" spans="1:41" ht="15" customHeight="1" outlineLevel="1" x14ac:dyDescent="0.2">
      <c r="B116" s="25" t="s">
        <v>91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261842440</v>
      </c>
      <c r="AN116" s="43"/>
      <c r="AO116" s="309"/>
    </row>
    <row r="117" spans="1:41" ht="15" customHeight="1" outlineLevel="1" x14ac:dyDescent="0.2">
      <c r="B117" s="205" t="s">
        <v>93</v>
      </c>
      <c r="C117" s="25">
        <f>'[14]Hoja 1'!$C$76</f>
        <v>1517000</v>
      </c>
      <c r="D117" s="43"/>
      <c r="E117" s="118"/>
      <c r="F117" s="25">
        <f>'[18]Hoja 1'!$C$198</f>
        <v>5278000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268637440</v>
      </c>
      <c r="AN117" s="43"/>
      <c r="AO117" s="309"/>
    </row>
    <row r="118" spans="1:41" ht="15" customHeight="1" outlineLevel="1" x14ac:dyDescent="0.2">
      <c r="B118" s="205" t="s">
        <v>95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261842440</v>
      </c>
      <c r="AN118" s="43"/>
      <c r="AO118" s="309"/>
    </row>
    <row r="119" spans="1:41" ht="15" customHeight="1" outlineLevel="1" x14ac:dyDescent="0.2">
      <c r="B119" s="97" t="s">
        <v>209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>
        <v>20000000</v>
      </c>
      <c r="P119" s="42"/>
      <c r="Q119" s="140"/>
      <c r="R119" s="785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261842440</v>
      </c>
      <c r="AN119" s="42"/>
      <c r="AO119" s="315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241842440</v>
      </c>
      <c r="J120" s="3"/>
      <c r="K120" s="150">
        <f>I120/(I$13)</f>
        <v>0.14285714285714285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0.14285714285714285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261842440</v>
      </c>
      <c r="AN120" s="3"/>
      <c r="AO120" s="321">
        <f>AM120/(AM$13)</f>
        <v>0.14285714285714285</v>
      </c>
    </row>
    <row r="121" spans="1:41" ht="15" customHeight="1" x14ac:dyDescent="0.2">
      <c r="B121" s="39" t="s">
        <v>100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261842440</v>
      </c>
      <c r="AN121" s="69"/>
      <c r="AO121" s="324"/>
    </row>
    <row r="122" spans="1:41" ht="15" customHeight="1" x14ac:dyDescent="0.2">
      <c r="B122" s="284" t="s">
        <v>102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261842440</v>
      </c>
      <c r="AN122" s="92"/>
      <c r="AO122" s="327"/>
    </row>
    <row r="123" spans="1:41" ht="15" customHeight="1" x14ac:dyDescent="0.2">
      <c r="B123" s="16" t="s">
        <v>103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725527320</v>
      </c>
      <c r="J123" s="3"/>
      <c r="K123" s="150">
        <f>I123/(I$13)</f>
        <v>0.42857142857142855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0.42857142857142855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785527320</v>
      </c>
      <c r="AN123" s="3"/>
      <c r="AO123" s="321">
        <f>AM123/(AM$13)</f>
        <v>0.42857142857142855</v>
      </c>
    </row>
    <row r="124" spans="1:41" ht="15" customHeight="1" outlineLevel="1" x14ac:dyDescent="0.2"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261842440</v>
      </c>
      <c r="AN124" s="69"/>
      <c r="AO124" s="324"/>
    </row>
    <row r="125" spans="1:41" ht="15" customHeight="1" outlineLevel="1" x14ac:dyDescent="0.2"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261842440</v>
      </c>
      <c r="AN125" s="43"/>
      <c r="AO125" s="309"/>
    </row>
    <row r="126" spans="1:41" ht="15" customHeight="1" outlineLevel="1" x14ac:dyDescent="0.2"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261842440</v>
      </c>
      <c r="AN126" s="45"/>
      <c r="AO126" s="325"/>
    </row>
    <row r="127" spans="1:41" ht="15" customHeight="1" x14ac:dyDescent="0.2">
      <c r="B127" s="16" t="s">
        <v>110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3627636600</v>
      </c>
      <c r="J127" s="3"/>
      <c r="K127" s="150">
        <f>I127/(I$13)</f>
        <v>2.1428571428571428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2.1428571428571428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3961942908.8800001</v>
      </c>
      <c r="AN127" s="3">
        <f>AM127/AM12</f>
        <v>3.7827547253989842</v>
      </c>
      <c r="AO127" s="321">
        <f>AM127/(AM$13)</f>
        <v>2.1615741287994195</v>
      </c>
    </row>
    <row r="128" spans="1:41" s="108" customFormat="1" ht="15" customHeight="1" outlineLevel="1" x14ac:dyDescent="0.2">
      <c r="A128" s="229" t="s">
        <v>437</v>
      </c>
      <c r="B128" s="39" t="s">
        <v>390</v>
      </c>
      <c r="C128" s="39"/>
      <c r="D128" s="69"/>
      <c r="E128" s="306"/>
      <c r="F128" s="39">
        <f>'[18]Hoja 1'!$C$205</f>
        <v>16472151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278314591</v>
      </c>
      <c r="AN128" s="42"/>
      <c r="AO128" s="734"/>
    </row>
    <row r="129" spans="1:41" ht="15" customHeight="1" outlineLevel="1" x14ac:dyDescent="0.2">
      <c r="A129" s="226" t="s">
        <v>438</v>
      </c>
      <c r="B129" s="25" t="s">
        <v>391</v>
      </c>
      <c r="C129" s="25"/>
      <c r="D129" s="43"/>
      <c r="E129" s="118"/>
      <c r="F129" s="25">
        <f>'[10]Hoja 1'!$C$639+'[18]Hoja 1'!$C$207</f>
        <v>80000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261922440</v>
      </c>
      <c r="AN129" s="43"/>
      <c r="AO129" s="329"/>
    </row>
    <row r="130" spans="1:41" ht="15" customHeight="1" outlineLevel="1" x14ac:dyDescent="0.2">
      <c r="A130" s="226" t="s">
        <v>464</v>
      </c>
      <c r="B130" s="25" t="s">
        <v>116</v>
      </c>
      <c r="C130" s="25"/>
      <c r="D130" s="43"/>
      <c r="E130" s="118"/>
      <c r="F130" s="25">
        <f>'[10]Hoja 1'!$C$591+'[18]Hoja 1'!$C$201</f>
        <v>11409919.880000001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273252359.88</v>
      </c>
      <c r="AN130" s="43"/>
      <c r="AO130" s="794"/>
    </row>
    <row r="131" spans="1:41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>
        <f>'[10]Hoja 1'!$C$632</f>
        <v>875063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262717503</v>
      </c>
      <c r="AN131" s="43"/>
      <c r="AO131" s="329"/>
    </row>
    <row r="132" spans="1:41" ht="15" customHeight="1" outlineLevel="1" x14ac:dyDescent="0.2"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261842440</v>
      </c>
      <c r="AN132" s="43"/>
      <c r="AO132" s="309"/>
    </row>
    <row r="133" spans="1:41" ht="15" customHeight="1" outlineLevel="1" x14ac:dyDescent="0.2">
      <c r="A133" s="226" t="s">
        <v>121</v>
      </c>
      <c r="B133" s="25" t="s">
        <v>122</v>
      </c>
      <c r="C133" s="25">
        <f>'[9]Hoja 1'!$C$695</f>
        <v>79000</v>
      </c>
      <c r="D133" s="43"/>
      <c r="E133" s="118"/>
      <c r="F133" s="25">
        <f>'[10]Hoja 1'!$C$634</f>
        <v>34000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261955440</v>
      </c>
      <c r="AN133" s="43"/>
      <c r="AO133" s="309"/>
    </row>
    <row r="134" spans="1:41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>
        <f>'[10]Hoja 1'!$C$636+'[18]Hoja 1'!$C$203</f>
        <v>2355000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264197440</v>
      </c>
      <c r="AN134" s="43"/>
      <c r="AO134" s="309"/>
    </row>
    <row r="135" spans="1:41" ht="15" customHeight="1" outlineLevel="1" x14ac:dyDescent="0.2">
      <c r="B135" s="25" t="s">
        <v>126</v>
      </c>
      <c r="C135" s="25">
        <f>'[9]Hoja 1'!$C$697</f>
        <v>4000</v>
      </c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261846440</v>
      </c>
      <c r="AN135" s="43"/>
      <c r="AO135" s="309"/>
    </row>
    <row r="136" spans="1:41" ht="15" customHeight="1" outlineLevel="1" x14ac:dyDescent="0.2">
      <c r="B136" s="25" t="s">
        <v>236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261842440</v>
      </c>
      <c r="AN136" s="43"/>
      <c r="AO136" s="309"/>
    </row>
    <row r="137" spans="1:41" ht="15" customHeight="1" outlineLevel="1" x14ac:dyDescent="0.2">
      <c r="B137" s="25" t="s">
        <v>303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261842440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261842440</v>
      </c>
      <c r="AN138" s="43"/>
      <c r="AO138" s="309"/>
    </row>
    <row r="139" spans="1:41" ht="15" customHeight="1" outlineLevel="1" x14ac:dyDescent="0.2">
      <c r="B139" s="25" t="s">
        <v>242</v>
      </c>
      <c r="C139" s="25">
        <f>'[9]Hoja 1'!$C$699</f>
        <v>56000</v>
      </c>
      <c r="D139" s="43"/>
      <c r="E139" s="118"/>
      <c r="F139" s="25">
        <f>'[10]Hoja 1'!$C$638</f>
        <v>65000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261963440</v>
      </c>
      <c r="AN139" s="43"/>
      <c r="AO139" s="309"/>
    </row>
    <row r="140" spans="1:41" ht="15" customHeight="1" outlineLevel="1" x14ac:dyDescent="0.2">
      <c r="A140" s="226" t="s">
        <v>465</v>
      </c>
      <c r="B140" s="25" t="s">
        <v>246</v>
      </c>
      <c r="C140" s="281"/>
      <c r="D140" s="43"/>
      <c r="E140" s="118"/>
      <c r="F140" s="25">
        <f>'[18]Hoja 1'!$C$206</f>
        <v>2876175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264718615</v>
      </c>
      <c r="AN140" s="43"/>
      <c r="AO140" s="309"/>
    </row>
    <row r="141" spans="1:41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261842440</v>
      </c>
      <c r="AN141" s="43"/>
      <c r="AO141" s="309"/>
    </row>
    <row r="142" spans="1:41" ht="15" customHeight="1" outlineLevel="1" thickBot="1" x14ac:dyDescent="0.25">
      <c r="A142" s="226" t="s">
        <v>243</v>
      </c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261842440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-13910262024.4028</v>
      </c>
      <c r="J144" s="494"/>
      <c r="K144" s="495"/>
      <c r="L144" s="493">
        <f>+L42-L44-L83</f>
        <v>-643300890.39999998</v>
      </c>
      <c r="M144" s="494"/>
      <c r="N144" s="495"/>
      <c r="O144" s="493">
        <f>+O42-O44-O83</f>
        <v>-1147824066.6666665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-8.2168385714285712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-8.1987433333333328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394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3603822698.6827998</v>
      </c>
      <c r="J147" s="491"/>
      <c r="K147" s="492">
        <f>I147/(I$13)</f>
        <v>2.1287901912399776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283186940.70360398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395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3405642339.9643946</v>
      </c>
      <c r="J148" s="69"/>
      <c r="K148" s="306"/>
      <c r="L148" s="39">
        <f>'GASTOS ADMINISTRATIVOS'!F96*'%DIST'!H37</f>
        <v>0</v>
      </c>
      <c r="M148" s="69"/>
      <c r="N148" s="306"/>
      <c r="O148" s="39">
        <f>'GASTOS ADMINISTRATIVOS'!G96*'%DIST'!J37</f>
        <v>266604952.92053387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440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261842440</v>
      </c>
      <c r="AN150" s="42"/>
      <c r="AO150" s="315">
        <f>AM150/(AM$13)</f>
        <v>0.14285714285714285</v>
      </c>
    </row>
    <row r="151" spans="2:41" ht="15" customHeight="1" thickBot="1" x14ac:dyDescent="0.25">
      <c r="B151" s="300" t="s">
        <v>442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-43662081.281594805</v>
      </c>
      <c r="J151" s="72"/>
      <c r="K151" s="342"/>
      <c r="L151" s="71">
        <f>'GASTOS ADMINISTRATIVOS'!F119*'%DIST'!I53</f>
        <v>0</v>
      </c>
      <c r="M151" s="72"/>
      <c r="N151" s="342"/>
      <c r="O151" s="71">
        <f>'GASTOS ADMINISTRATIVOS'!G119*'%DIST'!K53</f>
        <v>-3418012.2169299214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1832897080</v>
      </c>
      <c r="AN153" s="498"/>
      <c r="AO153" s="586"/>
    </row>
    <row r="154" spans="2:41" ht="15" customHeight="1" thickTop="1" x14ac:dyDescent="0.2">
      <c r="B154" s="40" t="s">
        <v>399</v>
      </c>
      <c r="C154" s="716"/>
      <c r="D154" s="548"/>
      <c r="E154" s="549"/>
      <c r="F154" s="705"/>
      <c r="G154" s="548"/>
      <c r="H154" s="549"/>
      <c r="I154" s="705">
        <v>241842440</v>
      </c>
      <c r="J154" s="548"/>
      <c r="K154" s="549"/>
      <c r="L154" s="705"/>
      <c r="M154" s="548"/>
      <c r="N154" s="549"/>
      <c r="O154" s="705">
        <v>20000000</v>
      </c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261842440</v>
      </c>
      <c r="AN154" s="230"/>
      <c r="AO154" s="332"/>
    </row>
    <row r="155" spans="2:41" ht="15" customHeight="1" x14ac:dyDescent="0.2">
      <c r="B155" s="689" t="s">
        <v>443</v>
      </c>
      <c r="C155" s="705"/>
      <c r="D155" s="13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>
        <v>20000000</v>
      </c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6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261842440</v>
      </c>
      <c r="AN155" s="9"/>
      <c r="AO155" s="690"/>
    </row>
    <row r="156" spans="2:41" ht="15" customHeight="1" x14ac:dyDescent="0.2">
      <c r="B156" s="674" t="s">
        <v>403</v>
      </c>
      <c r="C156" s="705"/>
      <c r="D156" s="677"/>
      <c r="E156" s="678"/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>
        <v>20000000</v>
      </c>
      <c r="P156" s="553"/>
      <c r="Q156" s="839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261842440</v>
      </c>
      <c r="AN156" s="675"/>
      <c r="AO156" s="941">
        <f>AM156/AM42</f>
        <v>0.15619801534801697</v>
      </c>
    </row>
    <row r="157" spans="2:41" ht="15" customHeight="1" x14ac:dyDescent="0.2">
      <c r="B157" s="550" t="s">
        <v>404</v>
      </c>
      <c r="C157" s="705"/>
      <c r="D157" s="553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>
        <v>20000000</v>
      </c>
      <c r="P157" s="635"/>
      <c r="Q157" s="839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261842440</v>
      </c>
      <c r="AN157" s="551"/>
      <c r="AO157" s="557"/>
    </row>
    <row r="158" spans="2:41" ht="15" customHeight="1" x14ac:dyDescent="0.2">
      <c r="B158" s="563" t="s">
        <v>405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>
        <v>20000000</v>
      </c>
      <c r="P158" s="13"/>
      <c r="Q158" s="946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261842440</v>
      </c>
      <c r="AN158" s="13"/>
      <c r="AO158" s="333">
        <f>AM158/$AM$42</f>
        <v>0.15619801534801697</v>
      </c>
    </row>
    <row r="159" spans="2:41" ht="15" customHeight="1" x14ac:dyDescent="0.2">
      <c r="B159" s="563" t="s">
        <v>444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946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261842440</v>
      </c>
      <c r="AN159" s="13"/>
      <c r="AO159" s="333"/>
    </row>
    <row r="160" spans="2:41" ht="15" customHeight="1" thickBot="1" x14ac:dyDescent="0.25">
      <c r="B160" s="291" t="s">
        <v>445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947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261842440</v>
      </c>
      <c r="AN160" s="809"/>
      <c r="AO160" s="333">
        <f>AM160/AM42</f>
        <v>0.15619801534801697</v>
      </c>
    </row>
    <row r="161" spans="1:41" ht="15" customHeight="1" thickTop="1" thickBot="1" x14ac:dyDescent="0.25">
      <c r="B161" s="524" t="s">
        <v>406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-19206981803.085598</v>
      </c>
      <c r="J161" s="498"/>
      <c r="K161" s="499"/>
      <c r="L161" s="497">
        <f>L144-L147-L153</f>
        <v>-643300890.39999998</v>
      </c>
      <c r="M161" s="498"/>
      <c r="N161" s="499"/>
      <c r="O161" s="497">
        <f>O144-O147-O153</f>
        <v>-1571011007.3702705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-11.345628762668548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-11.221507195501932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14268703960</v>
      </c>
      <c r="J164" s="399"/>
      <c r="K164" s="393"/>
      <c r="L164" s="616">
        <f>L44+L83-L73-L85-L58</f>
        <v>0</v>
      </c>
      <c r="M164" s="399"/>
      <c r="N164" s="393"/>
      <c r="O164" s="472">
        <f>O44+O83-O73-O85-O58</f>
        <v>1179999999.9999998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'[9]Hoja 1'!$C$645+'[9]Hoja 1'!$C$606+'[14]Hoja 1'!$C$15-'[14]Hoja 1'!$C$70+'[37]Hoja 1'!$C$64+'[37]Hoja 1'!$C$214+'[37]Hoja 1'!$C$255+'[51]Hoja 1'!$C$27</f>
        <v>391801032.71000004</v>
      </c>
      <c r="D165" s="399"/>
      <c r="E165" s="393"/>
      <c r="F165" s="616">
        <f>'[10]Hoja 1'!$C$577+'[18]Hoja 1'!$C$148+'[18]Hoja 1'!$C$150+'[11]Hoja 1'!$C$70+'[11]Hoja 1'!$C$72+'[52]Hoja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12838261086.880001</v>
      </c>
      <c r="J166" s="399"/>
      <c r="K166" s="421"/>
      <c r="L166" s="616">
        <f>L164-L165</f>
        <v>-1116307669.4200001</v>
      </c>
      <c r="M166" s="399"/>
      <c r="N166" s="393"/>
      <c r="O166" s="472">
        <f>O164-O165</f>
        <v>-202223149.70000029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466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42" t="s">
        <v>467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316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365</v>
      </c>
      <c r="C5" s="257"/>
      <c r="D5" s="89"/>
      <c r="E5" s="303"/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261842440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468</v>
      </c>
      <c r="C6" s="25"/>
      <c r="D6" s="43"/>
      <c r="E6" s="118"/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261842440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450</v>
      </c>
      <c r="C7" s="25"/>
      <c r="D7" s="43"/>
      <c r="E7" s="118"/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261842440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366</v>
      </c>
      <c r="C8" s="74"/>
      <c r="D8" s="43"/>
      <c r="E8" s="118"/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>
        <v>20000000</v>
      </c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261842440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1047369760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967369760</v>
      </c>
      <c r="J13" s="485"/>
      <c r="K13" s="486"/>
      <c r="L13" s="484">
        <f>L14+L23</f>
        <v>0</v>
      </c>
      <c r="M13" s="485"/>
      <c r="N13" s="486"/>
      <c r="O13" s="484">
        <f>O14+O23</f>
        <v>80000000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1047369760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80000000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1047369760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80000000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1047369760</v>
      </c>
      <c r="AN15" s="3"/>
      <c r="AO15" s="313">
        <f>AM15/AM15</f>
        <v>1</v>
      </c>
    </row>
    <row r="16" spans="1:41" ht="15" customHeight="1" x14ac:dyDescent="0.2">
      <c r="B16" s="1027" t="s">
        <v>367</v>
      </c>
      <c r="C16" s="1028"/>
      <c r="D16" s="1029" t="e">
        <f>C16/C5</f>
        <v>#DIV/0!</v>
      </c>
      <c r="E16" s="1030"/>
      <c r="F16" s="1028"/>
      <c r="G16" s="1029" t="e">
        <f>F16/F5</f>
        <v>#DIV/0!</v>
      </c>
      <c r="H16" s="1030"/>
      <c r="I16" s="1028">
        <v>241842440</v>
      </c>
      <c r="J16" s="79"/>
      <c r="K16" s="147"/>
      <c r="L16" s="103"/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261842440</v>
      </c>
      <c r="AN16" s="79"/>
      <c r="AO16" s="314"/>
    </row>
    <row r="17" spans="2:41" ht="15" customHeight="1" x14ac:dyDescent="0.2">
      <c r="B17" s="1027" t="s">
        <v>469</v>
      </c>
      <c r="C17" s="948"/>
      <c r="D17" s="1031" t="e">
        <f>C17/C6</f>
        <v>#DIV/0!</v>
      </c>
      <c r="E17" s="1032"/>
      <c r="F17" s="948"/>
      <c r="G17" s="1031" t="e">
        <f>F17/F6</f>
        <v>#DIV/0!</v>
      </c>
      <c r="H17" s="1032"/>
      <c r="I17" s="948">
        <v>241842440</v>
      </c>
      <c r="J17" s="43"/>
      <c r="K17" s="118"/>
      <c r="L17" s="25"/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261842440</v>
      </c>
      <c r="AN17" s="43">
        <f>AM17/AM6</f>
        <v>1</v>
      </c>
      <c r="AO17" s="309">
        <f>AM17/AM$13</f>
        <v>0.25</v>
      </c>
    </row>
    <row r="18" spans="2:41" ht="15" customHeight="1" x14ac:dyDescent="0.2">
      <c r="B18" s="1027" t="s">
        <v>453</v>
      </c>
      <c r="C18" s="948"/>
      <c r="D18" s="1031" t="e">
        <f>C18/C7</f>
        <v>#DIV/0!</v>
      </c>
      <c r="E18" s="1032"/>
      <c r="F18" s="948"/>
      <c r="G18" s="1031" t="e">
        <f>F18/F7</f>
        <v>#DIV/0!</v>
      </c>
      <c r="H18" s="1032"/>
      <c r="I18" s="948">
        <v>241842440</v>
      </c>
      <c r="J18" s="43"/>
      <c r="K18" s="118"/>
      <c r="L18" s="25"/>
      <c r="M18" s="43"/>
      <c r="N18" s="118"/>
      <c r="O18" s="25">
        <v>20000000</v>
      </c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261842440</v>
      </c>
      <c r="AN18" s="43">
        <f>AM18/AM7</f>
        <v>1</v>
      </c>
      <c r="AO18" s="309">
        <f>AM18/AM$13</f>
        <v>0.25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368</v>
      </c>
      <c r="C20" s="75"/>
      <c r="D20" s="43"/>
      <c r="E20" s="118"/>
      <c r="F20" s="75"/>
      <c r="G20" s="43"/>
      <c r="H20" s="118"/>
      <c r="I20" s="75">
        <v>241842440</v>
      </c>
      <c r="J20" s="43"/>
      <c r="K20" s="118"/>
      <c r="L20" s="75"/>
      <c r="M20" s="43"/>
      <c r="N20" s="118"/>
      <c r="O20" s="75">
        <v>20000000</v>
      </c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261842440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369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103460195.83199999</v>
      </c>
      <c r="J28" s="3"/>
      <c r="K28" s="150"/>
      <c r="L28" s="49">
        <f>+L29</f>
        <v>0</v>
      </c>
      <c r="M28" s="3"/>
      <c r="N28" s="150"/>
      <c r="O28" s="49">
        <f>+O29</f>
        <v>8556000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112016195.83199999</v>
      </c>
      <c r="AN28" s="3"/>
      <c r="AO28" s="313"/>
    </row>
    <row r="29" spans="2:41" ht="15" customHeight="1" x14ac:dyDescent="0.2">
      <c r="B29" s="16" t="s">
        <v>32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103460195.83199999</v>
      </c>
      <c r="J29" s="3"/>
      <c r="K29" s="150">
        <f>I29/I13</f>
        <v>0.10694999999999999</v>
      </c>
      <c r="L29" s="49">
        <f>SUM(L30:L37)</f>
        <v>0</v>
      </c>
      <c r="M29" s="3"/>
      <c r="N29" s="150" t="e">
        <f>L29/L13</f>
        <v>#DIV/0!</v>
      </c>
      <c r="O29" s="49">
        <f>SUM(O30:O37)</f>
        <v>8556000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3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112016195.83199999</v>
      </c>
      <c r="AN29" s="3"/>
      <c r="AO29" s="313">
        <f>AM29/AM13</f>
        <v>0.10694999999999999</v>
      </c>
    </row>
    <row r="30" spans="2:41" ht="15" customHeight="1" outlineLevel="1" x14ac:dyDescent="0.2">
      <c r="B30" s="262" t="s">
        <v>419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9673697.5999999996</v>
      </c>
      <c r="J30" s="79"/>
      <c r="K30" s="147"/>
      <c r="L30" s="264">
        <f>L13*1%</f>
        <v>0</v>
      </c>
      <c r="M30" s="79"/>
      <c r="N30" s="147"/>
      <c r="O30" s="264">
        <f>O13*1%</f>
        <v>800000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10473697.6</v>
      </c>
      <c r="AN30" s="79"/>
      <c r="AO30" s="314"/>
    </row>
    <row r="31" spans="2:41" ht="15" customHeight="1" outlineLevel="1" x14ac:dyDescent="0.2">
      <c r="B31" s="105" t="s">
        <v>470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24184244</v>
      </c>
      <c r="J31" s="43"/>
      <c r="K31" s="118"/>
      <c r="L31" s="265">
        <f>L$13*2.5%</f>
        <v>0</v>
      </c>
      <c r="M31" s="43"/>
      <c r="N31" s="118"/>
      <c r="O31" s="265">
        <f>O$13*2.5%</f>
        <v>2000000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26184244</v>
      </c>
      <c r="AN31" s="43"/>
      <c r="AO31" s="309"/>
    </row>
    <row r="32" spans="2:41" ht="15" customHeight="1" outlineLevel="1" x14ac:dyDescent="0.2">
      <c r="B32" s="105" t="s">
        <v>471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9673697.5999999996</v>
      </c>
      <c r="J32" s="43"/>
      <c r="K32" s="118"/>
      <c r="L32" s="265">
        <f>L$13*1%</f>
        <v>0</v>
      </c>
      <c r="M32" s="43"/>
      <c r="N32" s="118"/>
      <c r="O32" s="265">
        <f>O$13*1%</f>
        <v>800000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10473697.6</v>
      </c>
      <c r="AN32" s="43"/>
      <c r="AO32" s="309"/>
    </row>
    <row r="33" spans="1:42" ht="15" customHeight="1" outlineLevel="1" x14ac:dyDescent="0.2">
      <c r="B33" s="105" t="s">
        <v>472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29021092.800000001</v>
      </c>
      <c r="J33" s="43"/>
      <c r="K33" s="118"/>
      <c r="L33" s="265">
        <f>L13*3%</f>
        <v>0</v>
      </c>
      <c r="M33" s="43"/>
      <c r="N33" s="118"/>
      <c r="O33" s="265">
        <f>O13*3%</f>
        <v>2400000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31421092.800000001</v>
      </c>
      <c r="AN33" s="43"/>
      <c r="AO33" s="309"/>
    </row>
    <row r="34" spans="1:42" ht="15" customHeight="1" outlineLevel="1" x14ac:dyDescent="0.2">
      <c r="B34" s="105" t="s">
        <v>473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4836848.8</v>
      </c>
      <c r="J34" s="43"/>
      <c r="K34" s="118"/>
      <c r="L34" s="265">
        <f>L$13*0.5%</f>
        <v>0</v>
      </c>
      <c r="M34" s="43"/>
      <c r="N34" s="118"/>
      <c r="O34" s="265">
        <f>O$13*0.5%</f>
        <v>400000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5236848.8</v>
      </c>
      <c r="AN34" s="43"/>
      <c r="AO34" s="309"/>
    </row>
    <row r="35" spans="1:42" ht="15" customHeight="1" outlineLevel="1" x14ac:dyDescent="0.2">
      <c r="B35" s="335" t="s">
        <v>474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6384640.4160000002</v>
      </c>
      <c r="J35" s="92"/>
      <c r="K35" s="338"/>
      <c r="L35" s="265">
        <f>L$13*0.66%</f>
        <v>0</v>
      </c>
      <c r="M35" s="92"/>
      <c r="N35" s="338"/>
      <c r="O35" s="265">
        <f>O$13*0.66%</f>
        <v>528000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6912640.4160000002</v>
      </c>
      <c r="AN35" s="92"/>
      <c r="AO35" s="327"/>
    </row>
    <row r="36" spans="1:42" s="108" customFormat="1" ht="15" customHeight="1" outlineLevel="1" x14ac:dyDescent="0.2">
      <c r="A36" s="226"/>
      <c r="B36" s="105" t="s">
        <v>421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338579.41600000003</v>
      </c>
      <c r="J36" s="43"/>
      <c r="K36" s="118"/>
      <c r="L36" s="25">
        <f>(L$13*1%)*3.5%</f>
        <v>0</v>
      </c>
      <c r="M36" s="43"/>
      <c r="N36" s="118"/>
      <c r="O36" s="25">
        <f>(O$13*1%)*3.5%</f>
        <v>28000.000000000004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366579.41600000003</v>
      </c>
      <c r="AN36" s="43"/>
      <c r="AO36" s="309"/>
    </row>
    <row r="37" spans="1:42" ht="15" customHeight="1" outlineLevel="1" x14ac:dyDescent="0.2">
      <c r="B37" s="105" t="s">
        <v>422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19347395.199999999</v>
      </c>
      <c r="J37" s="43"/>
      <c r="K37" s="118"/>
      <c r="L37" s="25">
        <f>L$13*2%</f>
        <v>0</v>
      </c>
      <c r="M37" s="43"/>
      <c r="N37" s="118"/>
      <c r="O37" s="25">
        <f>O$13*2%</f>
        <v>1600000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20947395.199999999</v>
      </c>
      <c r="AN37" s="43"/>
      <c r="AO37" s="309"/>
    </row>
    <row r="38" spans="1:42" ht="15" customHeight="1" outlineLevel="1" x14ac:dyDescent="0.2">
      <c r="B38" s="30" t="s">
        <v>475</v>
      </c>
      <c r="C38" s="22"/>
      <c r="D38" s="42"/>
      <c r="E38" s="140"/>
      <c r="F38" s="22"/>
      <c r="G38" s="42"/>
      <c r="H38" s="140"/>
      <c r="I38" s="22">
        <v>241842440</v>
      </c>
      <c r="J38" s="42"/>
      <c r="K38" s="140"/>
      <c r="L38" s="22"/>
      <c r="M38" s="42"/>
      <c r="N38" s="140"/>
      <c r="O38" s="22">
        <v>20000000</v>
      </c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261842440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863909564.16799998</v>
      </c>
      <c r="J42" s="488"/>
      <c r="K42" s="489"/>
      <c r="L42" s="487">
        <f>+L14+L23-L28</f>
        <v>0</v>
      </c>
      <c r="M42" s="488"/>
      <c r="N42" s="489"/>
      <c r="O42" s="487">
        <f>+O14+O23-O28</f>
        <v>71444000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935353564.16799998</v>
      </c>
      <c r="AN42" s="488"/>
      <c r="AO42" s="577"/>
    </row>
    <row r="43" spans="1:42" ht="15" customHeight="1" thickTop="1" thickBot="1" x14ac:dyDescent="0.25">
      <c r="C43" s="367"/>
      <c r="D43" s="367"/>
      <c r="E43" s="816" t="e">
        <f>(C46+C61)/C13</f>
        <v>#DIV/0!</v>
      </c>
      <c r="F43" s="702"/>
      <c r="G43" s="698"/>
      <c r="H43" s="817" t="e">
        <f>(F46+F61)/F13</f>
        <v>#DIV/0!</v>
      </c>
      <c r="I43" s="703"/>
      <c r="J43" s="703"/>
      <c r="K43" s="643">
        <f>(I46+I61)/I13</f>
        <v>1.75</v>
      </c>
      <c r="L43" s="703"/>
      <c r="M43" s="703"/>
      <c r="N43" s="643" t="e">
        <f>(L46+L61)/L13</f>
        <v>#DIV/0!</v>
      </c>
      <c r="O43" s="703"/>
      <c r="P43" s="703"/>
      <c r="Q43" s="643">
        <f>(O46+O61)/O13</f>
        <v>1.75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7">
        <f>(AM46+AM61)/AM13</f>
        <v>2.5064973622591511</v>
      </c>
      <c r="AP43" s="698"/>
    </row>
    <row r="44" spans="1:42" ht="15" customHeight="1" thickTop="1" x14ac:dyDescent="0.2">
      <c r="B44" s="526" t="s">
        <v>344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3477502270.1999998</v>
      </c>
      <c r="J44" s="441"/>
      <c r="K44" s="442">
        <f>I44/I$13</f>
        <v>3.594801506096283</v>
      </c>
      <c r="L44" s="440">
        <f>+L45+L60+L78</f>
        <v>118502795.60000001</v>
      </c>
      <c r="M44" s="441"/>
      <c r="N44" s="442" t="e">
        <f>L44/L$13</f>
        <v>#DIV/0!</v>
      </c>
      <c r="O44" s="490">
        <f>+O45+O60+O78</f>
        <v>311200000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5067638397.6849995</v>
      </c>
      <c r="AN44" s="491"/>
      <c r="AO44" s="580">
        <f>AM44/AM$13</f>
        <v>4.8384425359817529</v>
      </c>
    </row>
    <row r="45" spans="1:42" ht="15" customHeight="1" x14ac:dyDescent="0.2">
      <c r="B45" s="16" t="s">
        <v>35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991361987</v>
      </c>
      <c r="J45" s="3"/>
      <c r="K45" s="150">
        <f>I45/I13</f>
        <v>1.0248015060962832</v>
      </c>
      <c r="L45" s="49">
        <f>+L46+L57</f>
        <v>0</v>
      </c>
      <c r="M45" s="3"/>
      <c r="N45" s="150" t="e">
        <f>L45/L13</f>
        <v>#DIV/0!</v>
      </c>
      <c r="O45" s="49">
        <f>+O46+O57</f>
        <v>100000000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1108584652.3800001</v>
      </c>
      <c r="AN45" s="3"/>
      <c r="AO45" s="313">
        <f>AM45/AM$13</f>
        <v>1.0584463049420103</v>
      </c>
    </row>
    <row r="46" spans="1:42" ht="15" customHeight="1" x14ac:dyDescent="0.2">
      <c r="B46" s="36" t="s">
        <v>371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967369760</v>
      </c>
      <c r="J46" s="67"/>
      <c r="K46" s="149"/>
      <c r="L46" s="37">
        <f>SUM(L47:L56)</f>
        <v>0</v>
      </c>
      <c r="M46" s="67"/>
      <c r="N46" s="149"/>
      <c r="O46" s="37">
        <f>SUM(O47:O56)</f>
        <v>80000000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1064592425.38</v>
      </c>
      <c r="AN46" s="67"/>
      <c r="AO46" s="318">
        <f>AM46/AM13</f>
        <v>1.0164437298437945</v>
      </c>
    </row>
    <row r="47" spans="1:42" ht="15" customHeight="1" x14ac:dyDescent="0.2">
      <c r="B47" s="258" t="s">
        <v>372</v>
      </c>
      <c r="C47" s="76">
        <f>'[44]Hoja 1'!$D$35</f>
        <v>5867307.1600000001</v>
      </c>
      <c r="D47" s="42"/>
      <c r="E47" s="140"/>
      <c r="F47" s="76">
        <f>'[45]Hoja 1'!$D$40</f>
        <v>11355358.220000001</v>
      </c>
      <c r="G47" s="42"/>
      <c r="H47" s="140"/>
      <c r="I47" s="76">
        <v>241842440</v>
      </c>
      <c r="J47" s="42"/>
      <c r="K47" s="140"/>
      <c r="L47" s="76"/>
      <c r="M47" s="42"/>
      <c r="N47" s="140"/>
      <c r="O47" s="76">
        <v>20000000</v>
      </c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279065105.38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21</v>
      </c>
      <c r="C49" s="75"/>
      <c r="D49" s="43"/>
      <c r="E49" s="118"/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>
        <v>20000000</v>
      </c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261842440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373</v>
      </c>
      <c r="C52" s="25"/>
      <c r="D52" s="43"/>
      <c r="E52" s="118"/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>
        <v>20000000</v>
      </c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261842440</v>
      </c>
      <c r="AN52" s="43"/>
      <c r="AO52" s="309"/>
    </row>
    <row r="53" spans="1:41" ht="10.199999999999999" hidden="1" customHeight="1" x14ac:dyDescent="0.2">
      <c r="B53" s="25" t="s">
        <v>374</v>
      </c>
      <c r="C53" s="25"/>
      <c r="D53" s="43"/>
      <c r="E53" s="118"/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>
        <v>20000000</v>
      </c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261842440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375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23992227</v>
      </c>
      <c r="J57" s="47">
        <f>I57/I12</f>
        <v>2.4801506096283184E-2</v>
      </c>
      <c r="K57" s="152">
        <f>I57/I13</f>
        <v>2.4801506096283184E-2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20000000</v>
      </c>
      <c r="P57" s="47">
        <f>O57/O12</f>
        <v>0.25</v>
      </c>
      <c r="Q57" s="152">
        <f>O57/O13</f>
        <v>0.25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43992227</v>
      </c>
      <c r="AN57" s="47">
        <f>AM57/AM12</f>
        <v>4.2002575098215554E-2</v>
      </c>
      <c r="AO57" s="152">
        <f>AM57/AM13</f>
        <v>4.2002575098215554E-2</v>
      </c>
    </row>
    <row r="58" spans="1:41" ht="10.199999999999999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>
        <v>23992227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43992227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377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>
        <f>I59/I12</f>
        <v>0</v>
      </c>
      <c r="K59" s="336">
        <f>I59/I13</f>
        <v>0</v>
      </c>
      <c r="L59" s="83"/>
      <c r="M59" s="84" t="e">
        <f>L59/L12</f>
        <v>#DIV/0!</v>
      </c>
      <c r="N59" s="336" t="e">
        <f>L59/L13</f>
        <v>#DIV/0!</v>
      </c>
      <c r="O59" s="83"/>
      <c r="P59" s="84">
        <f>O59/O12</f>
        <v>0</v>
      </c>
      <c r="Q59" s="336">
        <f>O59/O13</f>
        <v>0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37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1760612963.2</v>
      </c>
      <c r="J60" s="3"/>
      <c r="K60" s="152">
        <f>I60/I13</f>
        <v>1.82</v>
      </c>
      <c r="L60" s="49">
        <f>+L61+L72+L75+L76+L77</f>
        <v>118502795.60000001</v>
      </c>
      <c r="M60" s="3"/>
      <c r="N60" s="152" t="e">
        <f>L60/L13</f>
        <v>#DIV/0!</v>
      </c>
      <c r="O60" s="49">
        <f>+O61+O72+O75+O76+O77</f>
        <v>151200000</v>
      </c>
      <c r="P60" s="3"/>
      <c r="Q60" s="152">
        <f>O60/O13</f>
        <v>1.89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2880309377.3049998</v>
      </c>
      <c r="AN60" s="3"/>
      <c r="AO60" s="152"/>
    </row>
    <row r="61" spans="1:41" ht="15" customHeight="1" x14ac:dyDescent="0.2">
      <c r="B61" s="36" t="s">
        <v>378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725527320</v>
      </c>
      <c r="J61" s="67"/>
      <c r="K61" s="149"/>
      <c r="L61" s="37">
        <f>SUM(L62:L71)</f>
        <v>0</v>
      </c>
      <c r="M61" s="67"/>
      <c r="N61" s="149"/>
      <c r="O61" s="37">
        <f>SUM(O62:O71)</f>
        <v>60000000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1560637115.3699999</v>
      </c>
      <c r="AN61" s="67"/>
      <c r="AO61" s="318"/>
    </row>
    <row r="62" spans="1:41" ht="15" customHeight="1" x14ac:dyDescent="0.2">
      <c r="B62" s="258" t="s">
        <v>379</v>
      </c>
      <c r="C62" s="78">
        <f>'[44]Hoja 1'!$D$26+'[44]Hoja 1'!$D$34</f>
        <v>110852234.45999999</v>
      </c>
      <c r="D62" s="79" t="e">
        <f>C62/C6</f>
        <v>#DIV/0!</v>
      </c>
      <c r="E62" s="147" t="e">
        <f>C62/C17</f>
        <v>#DIV/0!</v>
      </c>
      <c r="F62" s="78">
        <f>'[45]Hoja 1'!$D$39</f>
        <v>291167179.39999998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/>
      <c r="M62" s="79" t="e">
        <f>L62/L6</f>
        <v>#DIV/0!</v>
      </c>
      <c r="N62" s="147" t="e">
        <f>L62/L17</f>
        <v>#DIV/0!</v>
      </c>
      <c r="O62" s="78">
        <v>20000000</v>
      </c>
      <c r="P62" s="79">
        <f>O62/O6</f>
        <v>1</v>
      </c>
      <c r="Q62" s="147">
        <f>O62/O17</f>
        <v>1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663861853.8599999</v>
      </c>
      <c r="AN62" s="79">
        <f>AM62/AM6</f>
        <v>2.5353485625172141</v>
      </c>
      <c r="AO62" s="147">
        <f>AM62/AM17</f>
        <v>2.5353485625172141</v>
      </c>
    </row>
    <row r="63" spans="1:41" ht="15" customHeight="1" x14ac:dyDescent="0.2">
      <c r="B63" s="258" t="s">
        <v>380</v>
      </c>
      <c r="C63" s="25">
        <f>'[44]Hoja 1'!$D$30+'[44]Hoja 1'!$D$36</f>
        <v>107910024.58</v>
      </c>
      <c r="D63" s="43" t="e">
        <f>C63/C7</f>
        <v>#DIV/0!</v>
      </c>
      <c r="E63" s="118" t="e">
        <f>C63/C18</f>
        <v>#DIV/0!</v>
      </c>
      <c r="F63" s="25">
        <f>'[45]Hoja 1'!$D$41</f>
        <v>265180356.93000001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 t="e">
        <f>L63/L7</f>
        <v>#DIV/0!</v>
      </c>
      <c r="N63" s="118" t="e">
        <f>L63/L18</f>
        <v>#DIV/0!</v>
      </c>
      <c r="O63" s="25">
        <v>20000000</v>
      </c>
      <c r="P63" s="43">
        <f>O63/O7</f>
        <v>1</v>
      </c>
      <c r="Q63" s="118">
        <f>O63/O18</f>
        <v>1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634932821.50999999</v>
      </c>
      <c r="AN63" s="43">
        <f>AM63/AM7</f>
        <v>2.424865967144211</v>
      </c>
      <c r="AO63" s="118">
        <f>AM63/AM18</f>
        <v>2.424865967144211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382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261842440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383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309558323.19999999</v>
      </c>
      <c r="J72" s="47">
        <f>I72/I12</f>
        <v>0.32</v>
      </c>
      <c r="K72" s="152">
        <f>I72/I13</f>
        <v>0.32</v>
      </c>
      <c r="L72" s="46">
        <f>SUM(L73:L74)</f>
        <v>118502795.60000001</v>
      </c>
      <c r="M72" s="47" t="e">
        <f>L72/L12</f>
        <v>#DIV/0!</v>
      </c>
      <c r="N72" s="152" t="e">
        <f>L72/L13</f>
        <v>#DIV/0!</v>
      </c>
      <c r="O72" s="46">
        <f>SUM(O73:O74)</f>
        <v>31200000</v>
      </c>
      <c r="P72" s="47">
        <f>O72/O12</f>
        <v>0.39</v>
      </c>
      <c r="Q72" s="152">
        <f>O72/O13</f>
        <v>0.39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508489726.935</v>
      </c>
      <c r="AN72" s="47">
        <f>AM72/AM12</f>
        <v>0.48549208345961792</v>
      </c>
      <c r="AO72" s="152">
        <f>AM72/AM13</f>
        <v>0.48549208345961792</v>
      </c>
    </row>
    <row r="73" spans="1:42" ht="15" customHeight="1" x14ac:dyDescent="0.2">
      <c r="B73" s="411" t="s">
        <v>384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118502795.60000001</v>
      </c>
      <c r="M73" s="305"/>
      <c r="N73" s="412"/>
      <c r="O73" s="78">
        <f>'GASTOS VEHICULOS'!G25*'%DIST'!J23</f>
        <v>11200000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200092632.935</v>
      </c>
      <c r="AN73" s="305"/>
      <c r="AO73" s="417"/>
    </row>
    <row r="74" spans="1:42" ht="15" customHeight="1" x14ac:dyDescent="0.2">
      <c r="A74" s="226" t="s">
        <v>429</v>
      </c>
      <c r="B74" s="415" t="s">
        <v>385</v>
      </c>
      <c r="C74" s="83">
        <f>'[15]Hoja 1'!$C$105</f>
        <v>12297431</v>
      </c>
      <c r="D74" s="134"/>
      <c r="E74" s="428"/>
      <c r="F74" s="83">
        <f>'[10]Hoja 1'!$C$471+'[19]Hoja 1'!$C$218</f>
        <v>34257223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>
        <v>20000000</v>
      </c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308397094</v>
      </c>
      <c r="AN74" s="84"/>
      <c r="AO74" s="336"/>
    </row>
    <row r="75" spans="1:42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261842440</v>
      </c>
      <c r="AN75" s="67"/>
      <c r="AO75" s="318"/>
    </row>
    <row r="76" spans="1:42" s="108" customFormat="1" ht="15" customHeight="1" x14ac:dyDescent="0.2">
      <c r="A76" s="229" t="s">
        <v>431</v>
      </c>
      <c r="B76" s="36" t="s">
        <v>45</v>
      </c>
      <c r="C76" s="37">
        <f>'[9]Hoja 1'!$C$453+'[15]Hoja 1'!$C$54</f>
        <v>480000</v>
      </c>
      <c r="D76" s="67"/>
      <c r="E76" s="149"/>
      <c r="F76" s="37">
        <f>'[10]Hoja 1'!$C$428</f>
        <v>3619800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265942240</v>
      </c>
      <c r="AN76" s="67"/>
      <c r="AO76" s="320">
        <f>AM76/$AM$13</f>
        <v>0.25391437690543978</v>
      </c>
    </row>
    <row r="77" spans="1:42" ht="15" customHeight="1" x14ac:dyDescent="0.2">
      <c r="A77" s="226" t="s">
        <v>351</v>
      </c>
      <c r="B77" s="66" t="s">
        <v>46</v>
      </c>
      <c r="C77" s="28">
        <f>'[9]Hoja 1'!$C$498+'[15]Hoja 1'!$C$107</f>
        <v>13494000</v>
      </c>
      <c r="D77" s="45"/>
      <c r="E77" s="149"/>
      <c r="F77" s="28">
        <f>'[19]Hoja 1'!$C$220</f>
        <v>8061415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283397855</v>
      </c>
      <c r="AN77" s="42">
        <f>AM77/(AM6+AM7)</f>
        <v>0.54116104134990495</v>
      </c>
      <c r="AO77" s="320">
        <f>AM77/$AM$13</f>
        <v>0.27058052067495247</v>
      </c>
    </row>
    <row r="78" spans="1:42" ht="15" customHeight="1" x14ac:dyDescent="0.2">
      <c r="B78" s="17" t="s">
        <v>352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725527320</v>
      </c>
      <c r="J78" s="3">
        <f>I78/I$12</f>
        <v>0.75</v>
      </c>
      <c r="K78" s="150">
        <f>I78/(I$13)</f>
        <v>0.75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60000000</v>
      </c>
      <c r="P78" s="3">
        <f>O78/O$12</f>
        <v>0.75</v>
      </c>
      <c r="Q78" s="150">
        <f>O78/(O$13)</f>
        <v>0.75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1078744368</v>
      </c>
      <c r="AN78" s="3">
        <f>AM78/AM$12</f>
        <v>1.0299556175843763</v>
      </c>
      <c r="AO78" s="321">
        <f>AM78/(AM$13)</f>
        <v>1.0299556175843763</v>
      </c>
    </row>
    <row r="79" spans="1:42" ht="15" customHeight="1" x14ac:dyDescent="0.3">
      <c r="B79" s="473" t="s">
        <v>353</v>
      </c>
      <c r="C79" s="39">
        <f>'[53]Hoja 1'!$I$12+'[24]Hoja 1'!$I$26</f>
        <v>76323434</v>
      </c>
      <c r="D79" s="267"/>
      <c r="E79" s="139"/>
      <c r="F79" s="39">
        <f>'[33]Hoja 1'!$I$20-16825149+'[34]Hoja 1'!$D$21+'[54]Hoja 1'!$C$23</f>
        <v>173555153</v>
      </c>
      <c r="G79" s="267"/>
      <c r="H79" s="139"/>
      <c r="I79" s="39">
        <v>241842440</v>
      </c>
      <c r="J79" s="267"/>
      <c r="K79" s="139"/>
      <c r="L79" s="39"/>
      <c r="M79" s="267"/>
      <c r="N79" s="139"/>
      <c r="O79" s="39">
        <v>20000000</v>
      </c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2"/>
      <c r="AH79" s="267"/>
      <c r="AI79" s="139"/>
      <c r="AJ79" s="7"/>
      <c r="AK79" s="69"/>
      <c r="AL79" s="306"/>
      <c r="AM79" s="205">
        <f t="shared" si="3"/>
        <v>511721027</v>
      </c>
      <c r="AN79" s="4">
        <f>AM79/AM12</f>
        <v>0.48857724038165851</v>
      </c>
      <c r="AO79" s="322">
        <f>AM79/(AM$13)</f>
        <v>0.48857724038165851</v>
      </c>
      <c r="AP79" s="696">
        <v>267.36689381937742</v>
      </c>
    </row>
    <row r="80" spans="1:42" ht="15" customHeight="1" x14ac:dyDescent="0.2">
      <c r="B80" s="474" t="s">
        <v>386</v>
      </c>
      <c r="C80" s="25">
        <f>'[21]Hoja 1'!$D$21+'[53]Hoja 1'!$I$11+'[24]Hoja 1'!$I$24</f>
        <v>17124717</v>
      </c>
      <c r="D80" s="43"/>
      <c r="E80" s="118"/>
      <c r="F80" s="25">
        <f>'[29]Hoja 1'!$D$22+'[33]Hoja 1'!$I$19</f>
        <v>24312757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303279914</v>
      </c>
      <c r="AN80" s="43">
        <f>AM80/AM12</f>
        <v>0.28956336680944467</v>
      </c>
      <c r="AO80" s="309">
        <f>AM80/(AM$13)</f>
        <v>0.28956336680944467</v>
      </c>
    </row>
    <row r="81" spans="1:42" ht="15" customHeight="1" thickBot="1" x14ac:dyDescent="0.25">
      <c r="A81" s="226" t="s">
        <v>476</v>
      </c>
      <c r="B81" s="300" t="s">
        <v>250</v>
      </c>
      <c r="C81" s="269">
        <f>'[9]Hoja 1'!$C$436+'[1]Hoja 1'!$D$27</f>
        <v>359708</v>
      </c>
      <c r="D81" s="214"/>
      <c r="E81" s="307"/>
      <c r="F81" s="269">
        <f>'[10]Hoja 1'!$C$403+'[10]Hoja 1'!$C$410</f>
        <v>1541279</v>
      </c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263743427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51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11850279560</v>
      </c>
      <c r="J83" s="491"/>
      <c r="K83" s="492">
        <f>I83/(I$13)</f>
        <v>12.25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980000000</v>
      </c>
      <c r="P83" s="491"/>
      <c r="Q83" s="492">
        <f>O83/(O$13)</f>
        <v>12.25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13123115927.07</v>
      </c>
      <c r="AN83" s="491"/>
      <c r="AO83" s="582">
        <f>AM83/(AM$13)</f>
        <v>12.529592153844503</v>
      </c>
    </row>
    <row r="84" spans="1:42" ht="15" customHeight="1" x14ac:dyDescent="0.2">
      <c r="B84" s="16" t="s">
        <v>52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1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1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1197421358</v>
      </c>
      <c r="AN84" s="3"/>
      <c r="AO84" s="321">
        <f>AM84/(AM$13)</f>
        <v>1.1432651616750897</v>
      </c>
    </row>
    <row r="85" spans="1:42" ht="15" customHeight="1" x14ac:dyDescent="0.2">
      <c r="B85" s="1026" t="s">
        <v>53</v>
      </c>
      <c r="C85" s="1006">
        <f>'[21]Hoja 1'!$D$20+'[55]Hoja 1'!$D$9+'[53]Hoja 1'!$I$9+'[3]Hoja 1'!$D$15+'[24]Hoja 1'!$D$16+'[24]Hoja 1'!$I$22</f>
        <v>45260053</v>
      </c>
      <c r="D85" s="1008"/>
      <c r="E85" s="1007"/>
      <c r="F85" s="1006">
        <f>'[29]Hoja 1'!$D$21+'[6]Hoja 1'!$D$18-228123+'[33]Hoja 1'!$I$17-1342558</f>
        <v>73828562</v>
      </c>
      <c r="G85" s="1008"/>
      <c r="H85" s="1007"/>
      <c r="I85" s="1006">
        <v>241842440</v>
      </c>
      <c r="J85" s="69"/>
      <c r="K85" s="70"/>
      <c r="L85" s="39"/>
      <c r="M85" s="69"/>
      <c r="N85" s="70"/>
      <c r="O85" s="39">
        <v>20000000</v>
      </c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380931055</v>
      </c>
      <c r="AN85" s="69"/>
      <c r="AO85" s="306">
        <f>AM85/(AM$13)</f>
        <v>0.36370255238226468</v>
      </c>
    </row>
    <row r="86" spans="1:42" ht="15" customHeight="1" x14ac:dyDescent="0.2">
      <c r="A86" s="226" t="s">
        <v>155</v>
      </c>
      <c r="B86" s="24" t="s">
        <v>54</v>
      </c>
      <c r="C86" s="25"/>
      <c r="D86" s="43"/>
      <c r="E86" s="118"/>
      <c r="F86" s="25">
        <f>'[19]Hoja 1'!$C$151+'[19]Hoja 1'!$C$193</f>
        <v>18395830</v>
      </c>
      <c r="G86" s="43"/>
      <c r="H86" s="118"/>
      <c r="I86" s="25">
        <v>241842440</v>
      </c>
      <c r="J86" s="43"/>
      <c r="K86" s="57"/>
      <c r="L86" s="25"/>
      <c r="M86" s="43"/>
      <c r="N86" s="57"/>
      <c r="O86" s="25">
        <v>20000000</v>
      </c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280238270</v>
      </c>
      <c r="AN86" s="43"/>
      <c r="AO86" s="118">
        <f>AM86/AM13</f>
        <v>0.26756383533547884</v>
      </c>
    </row>
    <row r="87" spans="1:42" ht="15" customHeight="1" x14ac:dyDescent="0.2">
      <c r="B87" s="24" t="s">
        <v>55</v>
      </c>
      <c r="C87" s="25">
        <f>'[9]Hoja 1'!$C$485+'[15]Hoja 1'!$C$88</f>
        <v>4251200</v>
      </c>
      <c r="D87" s="43"/>
      <c r="E87" s="118"/>
      <c r="F87" s="25">
        <f>'[10]Hoja 1'!$C$458</f>
        <v>7440500</v>
      </c>
      <c r="G87" s="43"/>
      <c r="H87" s="118"/>
      <c r="I87" s="25">
        <v>241842440</v>
      </c>
      <c r="J87" s="43"/>
      <c r="K87" s="57"/>
      <c r="L87" s="25"/>
      <c r="M87" s="43"/>
      <c r="N87" s="57"/>
      <c r="O87" s="25">
        <v>20000000</v>
      </c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273534140</v>
      </c>
      <c r="AN87" s="43"/>
      <c r="AO87" s="118">
        <f>AM87/(AM$13)</f>
        <v>0.26116291537765995</v>
      </c>
    </row>
    <row r="88" spans="1:42" ht="15" customHeight="1" x14ac:dyDescent="0.2">
      <c r="A88" s="226" t="s">
        <v>160</v>
      </c>
      <c r="B88" s="429" t="s">
        <v>161</v>
      </c>
      <c r="C88" s="273"/>
      <c r="D88" s="134"/>
      <c r="E88" s="428"/>
      <c r="F88" s="273">
        <f>'[19]Hoja 1'!$C$167</f>
        <v>875453</v>
      </c>
      <c r="G88" s="134"/>
      <c r="H88" s="428"/>
      <c r="I88" s="273">
        <v>241842440</v>
      </c>
      <c r="J88" s="134"/>
      <c r="K88" s="428"/>
      <c r="L88" s="273"/>
      <c r="M88" s="134"/>
      <c r="N88" s="428"/>
      <c r="O88" s="273">
        <v>20000000</v>
      </c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262717893</v>
      </c>
      <c r="AN88" s="134"/>
      <c r="AO88" s="310"/>
    </row>
    <row r="89" spans="1:42" ht="15" customHeight="1" x14ac:dyDescent="0.2">
      <c r="B89" s="16" t="s">
        <v>56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0.5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0.5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523684880</v>
      </c>
      <c r="AN89" s="3"/>
      <c r="AO89" s="321">
        <f>AM89/(AM$13)</f>
        <v>0.5</v>
      </c>
    </row>
    <row r="90" spans="1:42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261842440</v>
      </c>
      <c r="AN90" s="69"/>
      <c r="AO90" s="324"/>
    </row>
    <row r="91" spans="1:42" ht="15" customHeight="1" outlineLevel="1" x14ac:dyDescent="0.2">
      <c r="B91" s="83" t="s">
        <v>477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261842440</v>
      </c>
      <c r="AN91" s="84"/>
      <c r="AO91" s="310"/>
    </row>
    <row r="92" spans="1:42" ht="15" customHeight="1" x14ac:dyDescent="0.2">
      <c r="B92" s="16" t="s">
        <v>59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0.75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0.75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799149420</v>
      </c>
      <c r="AN92" s="3"/>
      <c r="AO92" s="321">
        <f>AM92/(AM$13)</f>
        <v>0.76300600849885147</v>
      </c>
    </row>
    <row r="93" spans="1:42" ht="15" customHeight="1" outlineLevel="1" x14ac:dyDescent="0.2">
      <c r="B93" s="39" t="s">
        <v>60</v>
      </c>
      <c r="C93" s="39">
        <f>'[9]Hoja 1'!$C$489</f>
        <v>6401050</v>
      </c>
      <c r="D93" s="69"/>
      <c r="E93" s="306"/>
      <c r="F93" s="39">
        <f>'[10]Hoja 1'!$C$462</f>
        <v>7221050</v>
      </c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275464540</v>
      </c>
      <c r="AN93" s="69"/>
      <c r="AO93" s="324"/>
      <c r="AP93" s="724"/>
    </row>
    <row r="94" spans="1:42" ht="15" customHeight="1" outlineLevel="1" x14ac:dyDescent="0.2">
      <c r="B94" s="39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261842440</v>
      </c>
      <c r="AN94" s="43"/>
      <c r="AO94" s="309"/>
    </row>
    <row r="95" spans="1:42" ht="15" customHeight="1" outlineLevel="1" x14ac:dyDescent="0.2">
      <c r="B95" s="39" t="s">
        <v>62</v>
      </c>
      <c r="C95" s="25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261842440</v>
      </c>
      <c r="AN95" s="45"/>
      <c r="AO95" s="325"/>
    </row>
    <row r="96" spans="1:42" ht="15" customHeight="1" x14ac:dyDescent="0.2">
      <c r="B96" s="106" t="s">
        <v>63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0.5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0.5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596950481</v>
      </c>
      <c r="AN96" s="3"/>
      <c r="AO96" s="321">
        <f>AM96/(AM$13)</f>
        <v>0.56995199193071988</v>
      </c>
    </row>
    <row r="97" spans="1:42" s="108" customFormat="1" ht="15" customHeight="1" outlineLevel="1" x14ac:dyDescent="0.2">
      <c r="A97" s="229" t="s">
        <v>64</v>
      </c>
      <c r="B97" s="39" t="s">
        <v>65</v>
      </c>
      <c r="C97" s="959">
        <f>'[47]Hoja 1'!$C$535+'[15]Hoja 1'!$C$92</f>
        <v>71637350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333479790</v>
      </c>
      <c r="AN97" s="69"/>
      <c r="AO97" s="324"/>
    </row>
    <row r="98" spans="1:42" s="108" customFormat="1" ht="15" customHeight="1" outlineLevel="1" x14ac:dyDescent="0.2">
      <c r="A98" s="229" t="s">
        <v>66</v>
      </c>
      <c r="B98" s="275" t="s">
        <v>388</v>
      </c>
      <c r="C98" s="275">
        <f>'[15]Hoja 1'!$C$94</f>
        <v>1628251</v>
      </c>
      <c r="D98" s="276"/>
      <c r="E98" s="341"/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263470691</v>
      </c>
      <c r="AN98" s="276"/>
      <c r="AO98" s="326"/>
    </row>
    <row r="99" spans="1:42" ht="15" customHeight="1" x14ac:dyDescent="0.2">
      <c r="B99" s="16" t="s">
        <v>68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2176581960</v>
      </c>
      <c r="J99" s="3"/>
      <c r="K99" s="150">
        <f>I99/(I$13)</f>
        <v>2.25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2.25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2370213752</v>
      </c>
      <c r="AN99" s="3"/>
      <c r="AO99" s="321">
        <f>AM99/(AM$13)</f>
        <v>2.2630152621553634</v>
      </c>
      <c r="AP99" s="896">
        <v>1.0509999999999999</v>
      </c>
    </row>
    <row r="100" spans="1:42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v>20000000</v>
      </c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261842440</v>
      </c>
      <c r="AN100" s="69"/>
      <c r="AO100" s="324"/>
    </row>
    <row r="101" spans="1:42" ht="15" customHeight="1" outlineLevel="1" x14ac:dyDescent="0.2">
      <c r="B101" s="25" t="s">
        <v>389</v>
      </c>
      <c r="C101" s="25"/>
      <c r="D101" s="43"/>
      <c r="E101" s="118"/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v>20000000</v>
      </c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261842440</v>
      </c>
      <c r="AN101" s="43"/>
      <c r="AO101" s="309"/>
    </row>
    <row r="102" spans="1:42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v>20000000</v>
      </c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261842440</v>
      </c>
      <c r="AN102" s="43"/>
      <c r="AO102" s="309"/>
    </row>
    <row r="103" spans="1:42" ht="15" customHeight="1" outlineLevel="1" x14ac:dyDescent="0.2">
      <c r="A103" s="226" t="s">
        <v>433</v>
      </c>
      <c r="B103" s="25" t="s">
        <v>72</v>
      </c>
      <c r="C103" s="25"/>
      <c r="D103" s="43"/>
      <c r="E103" s="118"/>
      <c r="F103" s="25">
        <f>'[19]Hoja 1'!C209</f>
        <v>1196228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263038668</v>
      </c>
      <c r="AN103" s="43"/>
      <c r="AO103" s="309"/>
    </row>
    <row r="104" spans="1:42" ht="15" customHeight="1" outlineLevel="1" x14ac:dyDescent="0.2">
      <c r="A104" s="226" t="s">
        <v>434</v>
      </c>
      <c r="B104" s="25" t="s">
        <v>73</v>
      </c>
      <c r="C104" s="25">
        <f>'[15]Hoja 1'!$C$97</f>
        <v>5611278</v>
      </c>
      <c r="D104" s="43"/>
      <c r="E104" s="118"/>
      <c r="F104" s="25">
        <f>'[19]Hoja 1'!C210</f>
        <v>538034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267991752</v>
      </c>
      <c r="AN104" s="43"/>
      <c r="AO104" s="309"/>
    </row>
    <row r="105" spans="1:42" ht="15" customHeight="1" outlineLevel="1" x14ac:dyDescent="0.2">
      <c r="A105" s="226" t="s">
        <v>478</v>
      </c>
      <c r="B105" s="25" t="s">
        <v>74</v>
      </c>
      <c r="C105" s="25">
        <f>'[9]Hoja 1'!$C$492+'[15]Hoja 1'!$C$99</f>
        <v>70690</v>
      </c>
      <c r="D105" s="43"/>
      <c r="E105" s="118"/>
      <c r="F105" s="25">
        <f>'[10]Hoja 1'!$C$465+'[19]Hoja 1'!$C$212</f>
        <v>84690</v>
      </c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261997820</v>
      </c>
      <c r="AN105" s="43"/>
      <c r="AO105" s="309"/>
    </row>
    <row r="106" spans="1:42" ht="15" customHeight="1" outlineLevel="1" x14ac:dyDescent="0.2">
      <c r="A106" s="226" t="s">
        <v>479</v>
      </c>
      <c r="B106" s="25" t="s">
        <v>75</v>
      </c>
      <c r="C106" s="25">
        <f>'[9]Hoja 1'!$C$494+'[15]Hoja 1'!$C$101</f>
        <v>2073110</v>
      </c>
      <c r="D106" s="43"/>
      <c r="E106" s="118"/>
      <c r="F106" s="25">
        <f>'[10]Hoja 1'!$C$467+'[19]Hoja 1'!$C$214</f>
        <v>3165360</v>
      </c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>
        <v>20000000</v>
      </c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267080910</v>
      </c>
      <c r="AN106" s="43"/>
      <c r="AO106" s="309"/>
    </row>
    <row r="107" spans="1:42" ht="15" customHeight="1" outlineLevel="1" x14ac:dyDescent="0.2">
      <c r="A107" s="226" t="s">
        <v>480</v>
      </c>
      <c r="B107" s="205" t="s">
        <v>355</v>
      </c>
      <c r="C107" s="25">
        <f>'[9]Hoja 1'!$C$496</f>
        <v>412201</v>
      </c>
      <c r="D107" s="43"/>
      <c r="E107" s="118"/>
      <c r="F107" s="25">
        <f>'[10]Hoja 1'!$C$469</f>
        <v>412201</v>
      </c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>
        <v>20000000</v>
      </c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262666842</v>
      </c>
      <c r="AN107" s="43"/>
      <c r="AO107" s="309"/>
    </row>
    <row r="108" spans="1:42" ht="15" customHeight="1" outlineLevel="1" x14ac:dyDescent="0.2">
      <c r="A108" s="226" t="s">
        <v>76</v>
      </c>
      <c r="B108" s="349" t="s">
        <v>77</v>
      </c>
      <c r="C108" s="2">
        <f>'[15]Hoja 1'!$C$103</f>
        <v>43000</v>
      </c>
      <c r="D108" s="42"/>
      <c r="E108" s="140"/>
      <c r="F108" s="2">
        <f>'[19]Hoja 1'!$C$216</f>
        <v>25000</v>
      </c>
      <c r="G108" s="42"/>
      <c r="H108" s="140"/>
      <c r="I108" s="2">
        <v>241842440</v>
      </c>
      <c r="J108" s="42"/>
      <c r="K108" s="140"/>
      <c r="L108" s="2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261910440</v>
      </c>
      <c r="AN108" s="42"/>
      <c r="AO108" s="315"/>
    </row>
    <row r="109" spans="1:42" ht="15" customHeight="1" x14ac:dyDescent="0.2">
      <c r="B109" s="16" t="s">
        <v>78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1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1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1047536960</v>
      </c>
      <c r="AN109" s="3"/>
      <c r="AO109" s="321">
        <f>AM109/(AM$13)</f>
        <v>1.0001596379868749</v>
      </c>
    </row>
    <row r="110" spans="1:42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261842440</v>
      </c>
      <c r="AN110" s="69"/>
      <c r="AO110" s="324"/>
    </row>
    <row r="111" spans="1:42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261842440</v>
      </c>
      <c r="AN111" s="43"/>
      <c r="AO111" s="309"/>
    </row>
    <row r="112" spans="1:42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261842440</v>
      </c>
      <c r="AN112" s="43"/>
      <c r="AO112" s="309"/>
    </row>
    <row r="113" spans="1:41" ht="15" customHeight="1" outlineLevel="1" x14ac:dyDescent="0.2">
      <c r="A113" s="226" t="s">
        <v>85</v>
      </c>
      <c r="B113" s="28" t="s">
        <v>86</v>
      </c>
      <c r="C113" s="958">
        <f>'[47]Hoja 1'!$C$538</f>
        <v>167200</v>
      </c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262009640</v>
      </c>
      <c r="AN113" s="45"/>
      <c r="AO113" s="325"/>
    </row>
    <row r="114" spans="1:41" ht="15" customHeight="1" x14ac:dyDescent="0.2">
      <c r="B114" s="16" t="s">
        <v>87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1209212200</v>
      </c>
      <c r="J114" s="3"/>
      <c r="K114" s="150">
        <f>I114/(I$13)</f>
        <v>1.25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100000000</v>
      </c>
      <c r="P114" s="3"/>
      <c r="Q114" s="150">
        <f>O114/(O$13)</f>
        <v>1.25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1316633200</v>
      </c>
      <c r="AN114" s="3"/>
      <c r="AO114" s="321">
        <f>AM114/(AM$13)</f>
        <v>1.2570853678265448</v>
      </c>
    </row>
    <row r="115" spans="1:41" ht="15" customHeight="1" outlineLevel="1" x14ac:dyDescent="0.2">
      <c r="A115" s="226" t="s">
        <v>88</v>
      </c>
      <c r="B115" s="205" t="s">
        <v>89</v>
      </c>
      <c r="C115" s="39"/>
      <c r="D115" s="69"/>
      <c r="E115" s="306"/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>
        <v>20000000</v>
      </c>
      <c r="P115" s="79"/>
      <c r="Q115" s="80"/>
      <c r="R115" s="89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3"/>
      <c r="AK115" s="79"/>
      <c r="AL115" s="306"/>
      <c r="AM115" s="209">
        <f t="shared" ref="AM115:AM142" si="5">C115+F115+I115+L115+O115+R115+U115+X115+AA115+AD115+AG115+AJ115</f>
        <v>261842440</v>
      </c>
      <c r="AN115" s="69"/>
      <c r="AO115" s="324"/>
    </row>
    <row r="116" spans="1:41" ht="15" customHeight="1" outlineLevel="1" x14ac:dyDescent="0.2">
      <c r="A116" s="226" t="s">
        <v>90</v>
      </c>
      <c r="B116" s="205" t="s">
        <v>91</v>
      </c>
      <c r="C116" s="25"/>
      <c r="D116" s="43"/>
      <c r="E116" s="118"/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v>20000000</v>
      </c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261842440</v>
      </c>
      <c r="AN116" s="43"/>
      <c r="AO116" s="309"/>
    </row>
    <row r="117" spans="1:41" ht="15" customHeight="1" outlineLevel="1" x14ac:dyDescent="0.2">
      <c r="A117" s="226" t="s">
        <v>92</v>
      </c>
      <c r="B117" s="205" t="s">
        <v>93</v>
      </c>
      <c r="C117" s="25">
        <f>'[15]Hoja 1'!$C$112</f>
        <v>1542000</v>
      </c>
      <c r="D117" s="43"/>
      <c r="E117" s="118"/>
      <c r="F117" s="25">
        <f>'[19]Hoja 1'!$C$223</f>
        <v>5879000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v>20000000</v>
      </c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269263440</v>
      </c>
      <c r="AN117" s="43"/>
      <c r="AO117" s="309"/>
    </row>
    <row r="118" spans="1:41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v>20000000</v>
      </c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261842440</v>
      </c>
      <c r="AN118" s="43"/>
      <c r="AO118" s="309"/>
    </row>
    <row r="119" spans="1:41" ht="15" customHeight="1" outlineLevel="1" x14ac:dyDescent="0.2">
      <c r="A119" s="226" t="s">
        <v>96</v>
      </c>
      <c r="B119" s="205" t="s">
        <v>209</v>
      </c>
      <c r="C119" s="22"/>
      <c r="D119" s="42"/>
      <c r="E119" s="140"/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97">
        <v>20000000</v>
      </c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0"/>
      <c r="AK119" s="84"/>
      <c r="AL119" s="140"/>
      <c r="AM119" s="97">
        <f t="shared" si="5"/>
        <v>261842440</v>
      </c>
      <c r="AN119" s="42"/>
      <c r="AO119" s="315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483684880</v>
      </c>
      <c r="J120" s="3"/>
      <c r="K120" s="150">
        <f>I120/(I$13)</f>
        <v>0.5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40000000</v>
      </c>
      <c r="P120" s="3"/>
      <c r="Q120" s="150">
        <f>O120/(O$13)</f>
        <v>0.5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523684880</v>
      </c>
      <c r="AN120" s="3"/>
      <c r="AO120" s="321">
        <f>AM120/(AM$13)</f>
        <v>0.5</v>
      </c>
    </row>
    <row r="121" spans="1:41" ht="15" customHeight="1" x14ac:dyDescent="0.3">
      <c r="A121" s="226" t="s">
        <v>99</v>
      </c>
      <c r="B121" s="205" t="s">
        <v>100</v>
      </c>
      <c r="C121" s="353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261842440</v>
      </c>
      <c r="AN121" s="69"/>
      <c r="AO121" s="324"/>
    </row>
    <row r="122" spans="1:41" ht="15" customHeight="1" x14ac:dyDescent="0.3">
      <c r="A122" s="226" t="s">
        <v>101</v>
      </c>
      <c r="B122" s="205" t="s">
        <v>102</v>
      </c>
      <c r="C122" s="354"/>
      <c r="D122" s="92"/>
      <c r="E122" s="338"/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>
        <v>20000000</v>
      </c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261842440</v>
      </c>
      <c r="AN122" s="84"/>
      <c r="AO122" s="327"/>
    </row>
    <row r="123" spans="1:41" ht="15" customHeight="1" x14ac:dyDescent="0.2">
      <c r="B123" s="16" t="s">
        <v>103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0.75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0.75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785527320</v>
      </c>
      <c r="AN123" s="3"/>
      <c r="AO123" s="321">
        <f>AM123/(AM$13)</f>
        <v>0.75</v>
      </c>
    </row>
    <row r="124" spans="1:41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261842440</v>
      </c>
      <c r="AN124" s="69"/>
      <c r="AO124" s="324"/>
    </row>
    <row r="125" spans="1:41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261842440</v>
      </c>
      <c r="AN125" s="43"/>
      <c r="AO125" s="309"/>
    </row>
    <row r="126" spans="1:41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261842440</v>
      </c>
      <c r="AN126" s="45"/>
      <c r="AO126" s="325"/>
    </row>
    <row r="127" spans="1:41" ht="15" customHeight="1" x14ac:dyDescent="0.2">
      <c r="B127" s="16" t="s">
        <v>110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3.75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3.75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3962313676.0700002</v>
      </c>
      <c r="AN127" s="3"/>
      <c r="AO127" s="321">
        <f>AM127/(AM$13)</f>
        <v>3.783108723771059</v>
      </c>
    </row>
    <row r="128" spans="1:41" ht="15" customHeight="1" outlineLevel="1" x14ac:dyDescent="0.2">
      <c r="A128" s="226" t="s">
        <v>111</v>
      </c>
      <c r="B128" s="25" t="s">
        <v>390</v>
      </c>
      <c r="C128" s="39">
        <f>'[9]Hoja 1'!$C$455+'[9]Hoja 1'!$C$510</f>
        <v>118313</v>
      </c>
      <c r="D128" s="69"/>
      <c r="E128" s="306"/>
      <c r="F128" s="39">
        <f>'[19]Hoja 1'!$C$230</f>
        <v>12089336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v>20000000</v>
      </c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2"/>
      <c r="AH128" s="69"/>
      <c r="AI128" s="306"/>
      <c r="AJ128" s="39"/>
      <c r="AK128" s="69"/>
      <c r="AL128" s="306"/>
      <c r="AM128" s="209">
        <f t="shared" si="5"/>
        <v>274050089</v>
      </c>
      <c r="AN128" s="42"/>
      <c r="AO128" s="328">
        <f>AM128/AM13</f>
        <v>0.26165552937102177</v>
      </c>
    </row>
    <row r="129" spans="1:42" ht="15" customHeight="1" outlineLevel="1" x14ac:dyDescent="0.2">
      <c r="A129" s="226" t="s">
        <v>438</v>
      </c>
      <c r="B129" s="25" t="s">
        <v>391</v>
      </c>
      <c r="C129" s="91"/>
      <c r="D129" s="43"/>
      <c r="E129" s="118"/>
      <c r="F129" s="25">
        <f>'[10]Hoja 1'!$C$485+'[19]Hoja 1'!$C$233</f>
        <v>90000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v>20000000</v>
      </c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261932440</v>
      </c>
      <c r="AN129" s="92"/>
      <c r="AO129" s="426"/>
    </row>
    <row r="130" spans="1:42" s="108" customFormat="1" ht="15" customHeight="1" outlineLevel="1" x14ac:dyDescent="0.2">
      <c r="A130" s="229" t="s">
        <v>115</v>
      </c>
      <c r="B130" s="25" t="s">
        <v>116</v>
      </c>
      <c r="C130" s="25">
        <f>'[9]Hoja 1'!$C$451+'[9]Hoja 1'!$C$501</f>
        <v>10240234.51</v>
      </c>
      <c r="D130" s="43"/>
      <c r="E130" s="118"/>
      <c r="F130" s="25">
        <f>'[10]Hoja 1'!$C$426+'[10]Hoja 1'!$C$474+'[19]Hoja 1'!$C$226</f>
        <v>8389125.2899999991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280471799.80000001</v>
      </c>
      <c r="AN130" s="43"/>
      <c r="AO130" s="118">
        <f>AM130/AM13</f>
        <v>0.2677868032011923</v>
      </c>
      <c r="AP130" s="703"/>
    </row>
    <row r="131" spans="1:42" ht="15" customHeight="1" outlineLevel="1" x14ac:dyDescent="0.2">
      <c r="A131" s="226" t="s">
        <v>117</v>
      </c>
      <c r="B131" s="25" t="s">
        <v>118</v>
      </c>
      <c r="C131" s="25">
        <f>'[9]Hoja 1'!$C$503</f>
        <v>39999</v>
      </c>
      <c r="D131" s="43"/>
      <c r="E131" s="118"/>
      <c r="F131" s="25">
        <f>'[10]Hoja 1'!$C$476</f>
        <v>163804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262046243</v>
      </c>
      <c r="AN131" s="43"/>
      <c r="AO131" s="329"/>
    </row>
    <row r="132" spans="1:42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261842440</v>
      </c>
      <c r="AN132" s="43"/>
      <c r="AO132" s="309"/>
    </row>
    <row r="133" spans="1:42" ht="15" customHeight="1" outlineLevel="1" x14ac:dyDescent="0.2">
      <c r="A133" s="226" t="s">
        <v>121</v>
      </c>
      <c r="B133" s="25" t="s">
        <v>122</v>
      </c>
      <c r="C133" s="25">
        <f>'[9]Hoja 1'!$C$505</f>
        <v>524600</v>
      </c>
      <c r="D133" s="43"/>
      <c r="E133" s="118"/>
      <c r="F133" s="25">
        <f>'[10]Hoja 1'!$C$478+'[19]Hoja 1'!$C$228</f>
        <v>269000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262636040</v>
      </c>
      <c r="AN133" s="43"/>
      <c r="AO133" s="309"/>
    </row>
    <row r="134" spans="1:42" ht="15" customHeight="1" outlineLevel="1" x14ac:dyDescent="0.2">
      <c r="A134" s="226" t="s">
        <v>123</v>
      </c>
      <c r="B134" s="25" t="s">
        <v>124</v>
      </c>
      <c r="C134" s="25">
        <f>'[9]Hoja 1'!$C$507+'[15]Hoja 1'!$C$115</f>
        <v>192001</v>
      </c>
      <c r="D134" s="43"/>
      <c r="E134" s="118"/>
      <c r="F134" s="25">
        <f>'[10]Hoja 1'!$C$480</f>
        <v>69000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262103441</v>
      </c>
      <c r="AN134" s="43"/>
      <c r="AO134" s="309"/>
    </row>
    <row r="135" spans="1:42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261842440</v>
      </c>
      <c r="AN135" s="43"/>
      <c r="AO135" s="309"/>
    </row>
    <row r="136" spans="1:42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>
        <f>'[10]Hoja 1'!$C$482</f>
        <v>39650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261882090</v>
      </c>
      <c r="AN136" s="43"/>
      <c r="AO136" s="309"/>
    </row>
    <row r="137" spans="1:42" ht="15" customHeight="1" outlineLevel="1" x14ac:dyDescent="0.2">
      <c r="A137" s="226" t="s">
        <v>129</v>
      </c>
      <c r="B137" s="25" t="s">
        <v>303</v>
      </c>
      <c r="C137" s="25">
        <f>'[9]Hoja 1'!$C$509</f>
        <v>795683.29</v>
      </c>
      <c r="D137" s="43"/>
      <c r="E137" s="118"/>
      <c r="F137" s="25">
        <f>'[10]Hoja 1'!$C$484</f>
        <v>869729.98</v>
      </c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263507853.27000001</v>
      </c>
      <c r="AN137" s="43"/>
      <c r="AO137" s="309"/>
    </row>
    <row r="138" spans="1:42" ht="15" customHeight="1" outlineLevel="1" x14ac:dyDescent="0.2">
      <c r="B138" s="25" t="s">
        <v>130</v>
      </c>
      <c r="C138" s="427">
        <f>'[15]Hoja 1'!$C$48</f>
        <v>258000</v>
      </c>
      <c r="D138" s="89"/>
      <c r="E138" s="303"/>
      <c r="F138" s="25"/>
      <c r="G138" s="89"/>
      <c r="H138" s="303"/>
      <c r="I138" s="427">
        <v>241842440</v>
      </c>
      <c r="J138" s="89"/>
      <c r="K138" s="303"/>
      <c r="L138" s="427"/>
      <c r="M138" s="89"/>
      <c r="N138" s="303"/>
      <c r="O138" s="25">
        <v>20000000</v>
      </c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262100440</v>
      </c>
      <c r="AN138" s="89"/>
      <c r="AO138" s="308"/>
    </row>
    <row r="139" spans="1:42" ht="15" customHeight="1" outlineLevel="1" x14ac:dyDescent="0.2">
      <c r="B139" s="25" t="s">
        <v>242</v>
      </c>
      <c r="C139" s="25">
        <f>'[15]Hoja 1'!$C$117</f>
        <v>41900</v>
      </c>
      <c r="D139" s="43"/>
      <c r="E139" s="118"/>
      <c r="F139" s="25">
        <f>'[19]Hoja 1'!$C$231</f>
        <v>258000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262142340</v>
      </c>
      <c r="AN139" s="43"/>
      <c r="AO139" s="309"/>
    </row>
    <row r="140" spans="1:42" ht="15" customHeight="1" outlineLevel="1" x14ac:dyDescent="0.2">
      <c r="A140" s="803" t="s">
        <v>465</v>
      </c>
      <c r="B140" s="25" t="s">
        <v>246</v>
      </c>
      <c r="C140" s="25"/>
      <c r="D140" s="43"/>
      <c r="E140" s="118"/>
      <c r="F140" s="25">
        <f>'[19]Hoja 1'!$C$232</f>
        <v>130000</v>
      </c>
      <c r="G140" s="43"/>
      <c r="H140" s="118"/>
      <c r="I140" s="281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261972440</v>
      </c>
      <c r="AN140" s="43"/>
      <c r="AO140" s="309"/>
    </row>
    <row r="141" spans="1:42" ht="15" customHeight="1" outlineLevel="1" x14ac:dyDescent="0.2">
      <c r="B141" s="25" t="s">
        <v>244</v>
      </c>
      <c r="C141" s="25">
        <f>'[15]Hoja 1'!$C$118</f>
        <v>98700</v>
      </c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261941140</v>
      </c>
      <c r="AN141" s="43"/>
      <c r="AO141" s="309"/>
    </row>
    <row r="142" spans="1:42" ht="15" customHeight="1" outlineLevel="1" thickBot="1" x14ac:dyDescent="0.25">
      <c r="A142" s="226" t="s">
        <v>481</v>
      </c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261842440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393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-14463872266.032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-1219756000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-17255400760.586998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-14.951751506096283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-15.24695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-16.474984689826254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394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2117728415.459214</v>
      </c>
      <c r="J147" s="491"/>
      <c r="K147" s="492">
        <f>I147/(I$13)</f>
        <v>2.1891612732025179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166850562.16937396</v>
      </c>
      <c r="P147" s="491"/>
      <c r="Q147" s="492">
        <f>O147/(O$13)</f>
        <v>2.0856320271171747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395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1900248130.9846582</v>
      </c>
      <c r="J148" s="69"/>
      <c r="K148" s="306"/>
      <c r="L148" s="39">
        <f>'GASTOS ADMINISTRATIVOS'!F96*'%DIST'!H39</f>
        <v>0</v>
      </c>
      <c r="M148" s="69"/>
      <c r="N148" s="306"/>
      <c r="O148" s="39">
        <f>'GASTOS ADMINISTRATIVOS'!G96*'%DIST'!J39</f>
        <v>148757712.32741779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1033" t="s">
        <v>440</v>
      </c>
      <c r="C149" s="948">
        <f>'GASTOS ADMINISTRATIVOS'!C109*'%DIST'!C55+79552.5+3501.4</f>
        <v>12493042.13396867</v>
      </c>
      <c r="D149" s="1031"/>
      <c r="E149" s="1032"/>
      <c r="F149" s="948">
        <f>'GASTOS ADMINISTRATIVOS'!D109*'%DIST'!E55+6000</f>
        <v>17014566.728882868</v>
      </c>
      <c r="G149" s="1031"/>
      <c r="H149" s="1032"/>
      <c r="I149" s="948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261842440</v>
      </c>
      <c r="AN150" s="42"/>
      <c r="AO150" s="315">
        <f>AM150/AM$13</f>
        <v>0.25</v>
      </c>
    </row>
    <row r="151" spans="1:42" ht="15" customHeight="1" thickBot="1" x14ac:dyDescent="0.25">
      <c r="B151" s="300" t="s">
        <v>442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-24362155.525444336</v>
      </c>
      <c r="J151" s="72"/>
      <c r="K151" s="342"/>
      <c r="L151" s="71">
        <f>'GASTOS ADMINISTRATIVOS'!F119*'%DIST'!I55</f>
        <v>0</v>
      </c>
      <c r="M151" s="72"/>
      <c r="N151" s="342"/>
      <c r="O151" s="71">
        <f>'GASTOS ADMINISTRATIVOS'!G119*'%DIST'!K55</f>
        <v>-1907150.1580438176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1832897080</v>
      </c>
      <c r="AN153" s="498"/>
      <c r="AO153" s="586">
        <f>AM153/(AM$13)</f>
        <v>1.75</v>
      </c>
    </row>
    <row r="154" spans="1:42" ht="15" customHeight="1" thickTop="1" x14ac:dyDescent="0.2">
      <c r="B154" s="40" t="s">
        <v>399</v>
      </c>
      <c r="C154" s="286"/>
      <c r="D154" s="230"/>
      <c r="E154" s="343"/>
      <c r="F154" s="514"/>
      <c r="G154" s="230"/>
      <c r="H154" s="343"/>
      <c r="I154" s="514">
        <v>241842440</v>
      </c>
      <c r="J154" s="230"/>
      <c r="K154" s="343"/>
      <c r="L154" s="514"/>
      <c r="M154" s="230"/>
      <c r="N154" s="343"/>
      <c r="O154" s="514">
        <v>20000000</v>
      </c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261842440</v>
      </c>
      <c r="AN154" s="230"/>
      <c r="AO154" s="332"/>
    </row>
    <row r="155" spans="1:42" ht="15" customHeight="1" x14ac:dyDescent="0.2">
      <c r="B155" s="689" t="s">
        <v>443</v>
      </c>
      <c r="C155" s="691"/>
      <c r="D155" s="9"/>
      <c r="E155" s="566"/>
      <c r="F155" s="694"/>
      <c r="G155" s="9"/>
      <c r="H155" s="566"/>
      <c r="I155" s="694">
        <v>241842440</v>
      </c>
      <c r="J155" s="9"/>
      <c r="K155" s="566"/>
      <c r="L155" s="694"/>
      <c r="M155" s="9"/>
      <c r="N155" s="566"/>
      <c r="O155" s="694">
        <v>20000000</v>
      </c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261842440</v>
      </c>
      <c r="AN155" s="9"/>
      <c r="AO155" s="690"/>
    </row>
    <row r="156" spans="1:42" ht="15" customHeight="1" x14ac:dyDescent="0.2">
      <c r="B156" s="674" t="s">
        <v>403</v>
      </c>
      <c r="C156" s="685"/>
      <c r="D156" s="675"/>
      <c r="E156" s="676"/>
      <c r="F156" s="687"/>
      <c r="G156" s="675"/>
      <c r="H156" s="676"/>
      <c r="I156" s="687">
        <v>241842440</v>
      </c>
      <c r="J156" s="675"/>
      <c r="K156" s="676"/>
      <c r="L156" s="687"/>
      <c r="M156" s="675"/>
      <c r="N156" s="676"/>
      <c r="O156" s="687">
        <v>20000000</v>
      </c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261842440</v>
      </c>
      <c r="AN156" s="675"/>
      <c r="AO156" s="681"/>
    </row>
    <row r="157" spans="1:42" ht="15" customHeight="1" x14ac:dyDescent="0.2">
      <c r="B157" s="550" t="s">
        <v>404</v>
      </c>
      <c r="C157" s="562"/>
      <c r="D157" s="551"/>
      <c r="E157" s="552"/>
      <c r="F157" s="562"/>
      <c r="G157" s="551"/>
      <c r="H157" s="552"/>
      <c r="I157" s="562">
        <v>241842440</v>
      </c>
      <c r="J157" s="551"/>
      <c r="K157" s="552"/>
      <c r="L157" s="562"/>
      <c r="M157" s="551"/>
      <c r="N157" s="552"/>
      <c r="O157" s="562">
        <v>20000000</v>
      </c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261842440</v>
      </c>
      <c r="AN157" s="551"/>
      <c r="AO157" s="727">
        <f>AM157/AM42</f>
        <v>0.27993953306085884</v>
      </c>
    </row>
    <row r="158" spans="1:42" s="108" customFormat="1" ht="15" customHeight="1" x14ac:dyDescent="0.2">
      <c r="A158" s="229"/>
      <c r="B158" s="563" t="s">
        <v>405</v>
      </c>
      <c r="C158" s="712"/>
      <c r="D158" s="553"/>
      <c r="E158" s="554"/>
      <c r="F158" s="712"/>
      <c r="G158" s="553"/>
      <c r="H158" s="554"/>
      <c r="I158" s="712">
        <v>241842440</v>
      </c>
      <c r="J158" s="553"/>
      <c r="K158" s="554"/>
      <c r="L158" s="712"/>
      <c r="M158" s="553"/>
      <c r="N158" s="554"/>
      <c r="O158" s="712">
        <v>20000000</v>
      </c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261842440</v>
      </c>
      <c r="AN158" s="13"/>
      <c r="AO158" s="333">
        <f>AM158/AM42</f>
        <v>0.27993953306085884</v>
      </c>
    </row>
    <row r="159" spans="1:42" ht="15" customHeight="1" x14ac:dyDescent="0.2">
      <c r="B159" s="563" t="s">
        <v>444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261842440</v>
      </c>
      <c r="AN159" s="13"/>
      <c r="AO159" s="728"/>
    </row>
    <row r="160" spans="1:42" ht="15" customHeight="1" thickBot="1" x14ac:dyDescent="0.25">
      <c r="B160" s="291" t="s">
        <v>445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261842440</v>
      </c>
      <c r="AN160" s="809"/>
      <c r="AO160" s="334"/>
    </row>
    <row r="161" spans="2:41" ht="15" customHeight="1" thickTop="1" thickBot="1" x14ac:dyDescent="0.25">
      <c r="B161" s="524" t="s">
        <v>406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-18274497761.491211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-1526606562.169374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316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-18.890912779298798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-19.082582027117176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15260065947</v>
      </c>
      <c r="L164" s="616">
        <f>L44+L83-L73</f>
        <v>0</v>
      </c>
      <c r="O164" s="569">
        <f>O44+O83-O58-O73</f>
        <v>1260000000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'[9]Hoja 1'!$C$405+'[9]Hoja 1'!$C$414+'[9]Hoja 1'!$C$425+'[15]Hoja 1'!$C$17-'[15]Hoja 1'!$C$109+'[25]Hoja 1'!$C$110+'[25]Hoja 1'!$C$177</f>
        <v>494094515</v>
      </c>
      <c r="D165" s="399"/>
      <c r="F165" s="616">
        <f>'[10]Hoja 1'!$C$399+'[19]Hoja 1'!$C$127+'[41]Hoja 1'!$C$86+'[54]Hoja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14222288600.58</v>
      </c>
      <c r="L166" s="616">
        <f>L164-L165</f>
        <v>-973262962.32999992</v>
      </c>
      <c r="O166" s="569">
        <f>O164-O165</f>
        <v>190660129.26999998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49" t="s">
        <v>482</v>
      </c>
      <c r="AF166" s="1045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483</v>
      </c>
    </row>
    <row r="170" spans="2:41" x14ac:dyDescent="0.2">
      <c r="AJ170" s="890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76" width="11.44140625" style="2" customWidth="1"/>
    <col min="77" max="16384" width="11.44140625" style="2"/>
  </cols>
  <sheetData>
    <row r="2" spans="1:45" ht="24.9" customHeight="1" thickBot="1" x14ac:dyDescent="0.35">
      <c r="B2" s="236" t="s">
        <v>0</v>
      </c>
      <c r="C2" s="1042" t="s">
        <v>484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745" t="s">
        <v>364</v>
      </c>
      <c r="AR4" s="622"/>
      <c r="AS4" s="622"/>
    </row>
    <row r="5" spans="1:45" s="223" customFormat="1" ht="15" customHeight="1" thickTop="1" x14ac:dyDescent="0.2">
      <c r="A5" s="228"/>
      <c r="B5" s="258" t="s">
        <v>485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485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486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344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485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37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487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384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385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51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52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53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488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90</v>
      </c>
      <c r="B116" s="25" t="s">
        <v>91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96</v>
      </c>
      <c r="B119" s="97" t="s">
        <v>97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99</v>
      </c>
      <c r="B121" s="39" t="s">
        <v>100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101</v>
      </c>
      <c r="B122" s="284" t="s">
        <v>102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110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111</v>
      </c>
      <c r="B128" s="39" t="s">
        <v>489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113</v>
      </c>
      <c r="B129" s="25" t="s">
        <v>391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393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394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395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396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490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262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399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491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491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492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492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406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K15" sqref="K15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12.6640625" style="256" bestFit="1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42" t="s">
        <v>493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494</v>
      </c>
      <c r="C5" s="257"/>
      <c r="D5" s="89"/>
      <c r="E5" s="303">
        <v>241842440</v>
      </c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261842440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495</v>
      </c>
      <c r="C6" s="25"/>
      <c r="D6" s="43"/>
      <c r="E6" s="118">
        <v>241842440</v>
      </c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261842440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496</v>
      </c>
      <c r="C7" s="25"/>
      <c r="D7" s="43"/>
      <c r="E7" s="118">
        <v>241842440</v>
      </c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261842440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497</v>
      </c>
      <c r="C8" s="74"/>
      <c r="D8" s="43"/>
      <c r="E8" s="118">
        <v>241842440</v>
      </c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>
        <v>20000000</v>
      </c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261842440</v>
      </c>
      <c r="AN8" s="43"/>
      <c r="AO8" s="309"/>
    </row>
    <row r="9" spans="1:41" s="223" customFormat="1" ht="15" customHeight="1" x14ac:dyDescent="0.2">
      <c r="A9" s="228"/>
      <c r="B9" s="73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1047369760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2176581960</v>
      </c>
      <c r="J13" s="485"/>
      <c r="K13" s="486"/>
      <c r="L13" s="484">
        <f>L14+L23</f>
        <v>0</v>
      </c>
      <c r="M13" s="485"/>
      <c r="N13" s="486"/>
      <c r="O13" s="484">
        <f>O14+O23</f>
        <v>180000000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2356581960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1451054640</v>
      </c>
      <c r="J14" s="3"/>
      <c r="K14" s="150"/>
      <c r="L14" s="49">
        <f>L15</f>
        <v>0</v>
      </c>
      <c r="M14" s="3"/>
      <c r="N14" s="150"/>
      <c r="O14" s="49">
        <f>O15</f>
        <v>120000000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1571054640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1451054640</v>
      </c>
      <c r="J15" s="3"/>
      <c r="K15" s="150"/>
      <c r="L15" s="49">
        <f>SUM(L16:L22)</f>
        <v>0</v>
      </c>
      <c r="M15" s="3"/>
      <c r="N15" s="150"/>
      <c r="O15" s="49">
        <f>SUM(O16:O22)</f>
        <v>120000000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1571054640</v>
      </c>
      <c r="AN15" s="3"/>
      <c r="AO15" s="313">
        <f>AM15/AM15</f>
        <v>1</v>
      </c>
    </row>
    <row r="16" spans="1:41" ht="15" customHeight="1" x14ac:dyDescent="0.2">
      <c r="B16" s="258" t="s">
        <v>494</v>
      </c>
      <c r="C16" s="257"/>
      <c r="D16" s="79"/>
      <c r="E16" s="147">
        <v>241842440</v>
      </c>
      <c r="F16" s="257"/>
      <c r="G16" s="79"/>
      <c r="H16" s="147"/>
      <c r="I16" s="257">
        <v>241842440</v>
      </c>
      <c r="J16" s="79">
        <f>I16/I5</f>
        <v>1</v>
      </c>
      <c r="K16" s="147"/>
      <c r="L16" s="257"/>
      <c r="M16" s="79" t="e">
        <f>L16/L5</f>
        <v>#DIV/0!</v>
      </c>
      <c r="N16" s="147"/>
      <c r="O16" s="257">
        <v>20000000</v>
      </c>
      <c r="P16" s="79">
        <f>O16/O5</f>
        <v>1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261842440</v>
      </c>
      <c r="AN16" s="79">
        <f>AM16/(AM5)</f>
        <v>1</v>
      </c>
      <c r="AO16" s="314">
        <f>AM16/AM$13</f>
        <v>0.1111111111111111</v>
      </c>
    </row>
    <row r="17" spans="2:41" ht="15" customHeight="1" x14ac:dyDescent="0.2">
      <c r="B17" s="258" t="s">
        <v>495</v>
      </c>
      <c r="C17" s="25"/>
      <c r="D17" s="43"/>
      <c r="E17" s="118">
        <v>241842440</v>
      </c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261842440</v>
      </c>
      <c r="AN17" s="43"/>
      <c r="AO17" s="309">
        <f>AM17/AM$13</f>
        <v>0.1111111111111111</v>
      </c>
    </row>
    <row r="18" spans="2:41" ht="15" customHeight="1" x14ac:dyDescent="0.2">
      <c r="B18" s="258" t="s">
        <v>498</v>
      </c>
      <c r="C18" s="25"/>
      <c r="D18" s="43"/>
      <c r="E18" s="118">
        <v>241842440</v>
      </c>
      <c r="F18" s="25"/>
      <c r="G18" s="43"/>
      <c r="H18" s="118"/>
      <c r="I18" s="25">
        <v>241842440</v>
      </c>
      <c r="J18" s="43">
        <f>I18/I7</f>
        <v>1</v>
      </c>
      <c r="K18" s="118"/>
      <c r="L18" s="25"/>
      <c r="M18" s="43" t="e">
        <f>L18/L7</f>
        <v>#DIV/0!</v>
      </c>
      <c r="N18" s="118"/>
      <c r="O18" s="25">
        <v>20000000</v>
      </c>
      <c r="P18" s="43">
        <f>O18/O7</f>
        <v>1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261842440</v>
      </c>
      <c r="AN18" s="43">
        <f>AM18/AM7</f>
        <v>1</v>
      </c>
      <c r="AO18" s="309">
        <f>AM18/AM$13</f>
        <v>0.1111111111111111</v>
      </c>
    </row>
    <row r="19" spans="2:41" ht="15" customHeight="1" x14ac:dyDescent="0.2">
      <c r="B19" s="258" t="s">
        <v>499</v>
      </c>
      <c r="C19" s="25"/>
      <c r="D19" s="43"/>
      <c r="E19" s="118">
        <v>241842440</v>
      </c>
      <c r="F19" s="25"/>
      <c r="G19" s="43"/>
      <c r="H19" s="118"/>
      <c r="I19" s="25">
        <v>241842440</v>
      </c>
      <c r="J19" s="43"/>
      <c r="K19" s="118"/>
      <c r="L19" s="25"/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261842440</v>
      </c>
      <c r="AN19" s="43"/>
      <c r="AO19" s="309"/>
    </row>
    <row r="20" spans="2:41" ht="15" customHeight="1" x14ac:dyDescent="0.2">
      <c r="B20" s="738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500</v>
      </c>
      <c r="C21" s="75"/>
      <c r="D21" s="43"/>
      <c r="E21" s="118">
        <v>241842440</v>
      </c>
      <c r="F21" s="75"/>
      <c r="G21" s="43"/>
      <c r="H21" s="118"/>
      <c r="I21" s="75">
        <v>241842440</v>
      </c>
      <c r="J21" s="43"/>
      <c r="K21" s="118"/>
      <c r="L21" s="75"/>
      <c r="M21" s="43"/>
      <c r="N21" s="118"/>
      <c r="O21" s="75">
        <v>20000000</v>
      </c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261842440</v>
      </c>
      <c r="AN21" s="43"/>
      <c r="AO21" s="309"/>
    </row>
    <row r="22" spans="2:41" ht="15" customHeight="1" x14ac:dyDescent="0.2">
      <c r="B22" s="432" t="s">
        <v>501</v>
      </c>
      <c r="C22" s="51"/>
      <c r="D22" s="42"/>
      <c r="E22" s="140">
        <v>241842440</v>
      </c>
      <c r="F22" s="51"/>
      <c r="G22" s="42"/>
      <c r="H22" s="140"/>
      <c r="I22" s="51">
        <v>241842440</v>
      </c>
      <c r="J22" s="42"/>
      <c r="K22" s="140"/>
      <c r="L22" s="51"/>
      <c r="M22" s="42"/>
      <c r="N22" s="140"/>
      <c r="O22" s="51">
        <v>20000000</v>
      </c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261842440</v>
      </c>
      <c r="AN22" s="42"/>
      <c r="AO22" s="315"/>
    </row>
    <row r="23" spans="2:41" ht="10.199999999999999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785527320</v>
      </c>
      <c r="AN23" s="3"/>
      <c r="AO23" s="313"/>
    </row>
    <row r="24" spans="2:41" ht="10.199999999999999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785527320</v>
      </c>
      <c r="AN24" s="3"/>
      <c r="AO24" s="313"/>
    </row>
    <row r="25" spans="2:41" ht="10.199999999999999" hidden="1" customHeight="1" outlineLevel="1" x14ac:dyDescent="0.2">
      <c r="B25" s="32" t="s">
        <v>28</v>
      </c>
      <c r="C25" s="35"/>
      <c r="D25" s="52"/>
      <c r="E25" s="148">
        <v>241842440</v>
      </c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261842440</v>
      </c>
      <c r="AN25" s="52"/>
      <c r="AO25" s="316"/>
    </row>
    <row r="26" spans="2:41" ht="10.199999999999999" hidden="1" customHeight="1" outlineLevel="1" x14ac:dyDescent="0.2">
      <c r="B26" s="32" t="s">
        <v>29</v>
      </c>
      <c r="C26" s="35"/>
      <c r="D26" s="52"/>
      <c r="E26" s="148">
        <v>241842440</v>
      </c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261842440</v>
      </c>
      <c r="AN26" s="52"/>
      <c r="AO26" s="316"/>
    </row>
    <row r="27" spans="2:41" ht="10.199999999999999" hidden="1" customHeight="1" outlineLevel="1" x14ac:dyDescent="0.2">
      <c r="B27" s="32" t="s">
        <v>369</v>
      </c>
      <c r="C27" s="35"/>
      <c r="D27" s="52"/>
      <c r="E27" s="148">
        <v>241842440</v>
      </c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261842440</v>
      </c>
      <c r="AN27" s="52"/>
      <c r="AO27" s="316"/>
    </row>
    <row r="28" spans="2:41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>
        <f>O29/O13</f>
        <v>0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3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2176581960</v>
      </c>
      <c r="J42" s="488"/>
      <c r="K42" s="489"/>
      <c r="L42" s="487">
        <f>+L14+L23-L28</f>
        <v>0</v>
      </c>
      <c r="M42" s="488"/>
      <c r="N42" s="489"/>
      <c r="O42" s="487">
        <f>+O14+O23-O28</f>
        <v>180000000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2356581960</v>
      </c>
      <c r="AN42" s="488"/>
      <c r="AO42" s="577"/>
    </row>
    <row r="43" spans="1:42" ht="15" customHeight="1" thickTop="1" thickBot="1" x14ac:dyDescent="0.25">
      <c r="C43" s="881"/>
      <c r="D43" s="367"/>
      <c r="E43" s="356"/>
      <c r="F43" s="881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1"/>
      <c r="AE43" s="881"/>
      <c r="AF43" s="882"/>
      <c r="AG43" s="881"/>
      <c r="AH43" s="881"/>
      <c r="AI43" s="882"/>
      <c r="AJ43" s="881"/>
      <c r="AK43" s="703"/>
      <c r="AL43" s="703"/>
      <c r="AM43" s="881"/>
      <c r="AN43" s="703"/>
      <c r="AO43" s="643"/>
      <c r="AP43" s="698"/>
    </row>
    <row r="44" spans="1:42" ht="15" customHeight="1" thickTop="1" x14ac:dyDescent="0.2">
      <c r="B44" s="526" t="s">
        <v>344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4595006360</v>
      </c>
      <c r="J44" s="491"/>
      <c r="K44" s="492">
        <f>I44/I$13</f>
        <v>2.1111111111111112</v>
      </c>
      <c r="L44" s="440">
        <f>+L45+L60+L78</f>
        <v>592513978</v>
      </c>
      <c r="M44" s="441"/>
      <c r="N44" s="442" t="e">
        <f>L44/L$13</f>
        <v>#DIV/0!</v>
      </c>
      <c r="O44" s="490">
        <f>+O45+O60+O78</f>
        <v>380000000</v>
      </c>
      <c r="P44" s="491"/>
      <c r="Q44" s="492">
        <f>O44/O$13</f>
        <v>2.1111111111111112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9811078552.9843712</v>
      </c>
      <c r="AN44" s="491"/>
      <c r="AO44" s="580">
        <f>AM44/AM$13</f>
        <v>4.1632664254904048</v>
      </c>
    </row>
    <row r="45" spans="1:42" ht="15" customHeight="1" x14ac:dyDescent="0.2">
      <c r="B45" s="16" t="s">
        <v>35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1692897080</v>
      </c>
      <c r="J45" s="3"/>
      <c r="K45" s="150">
        <f>I45/I13</f>
        <v>0.77777777777777779</v>
      </c>
      <c r="L45" s="49">
        <f>+L46+L57</f>
        <v>0</v>
      </c>
      <c r="M45" s="3"/>
      <c r="N45" s="150"/>
      <c r="O45" s="49">
        <f>+O46+O57</f>
        <v>140000000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761"/>
      <c r="AJ45" s="49">
        <f>+AJ46+AJ57</f>
        <v>0</v>
      </c>
      <c r="AK45" s="3"/>
      <c r="AL45" s="150"/>
      <c r="AM45" s="16">
        <f t="shared" si="1"/>
        <v>5871722277.8793697</v>
      </c>
      <c r="AN45" s="3"/>
      <c r="AO45" s="313">
        <f>AM45/AM13</f>
        <v>2.4916265920491769</v>
      </c>
    </row>
    <row r="46" spans="1:42" ht="15" customHeight="1" x14ac:dyDescent="0.2">
      <c r="B46" s="36" t="s">
        <v>371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1209212200</v>
      </c>
      <c r="J46" s="67"/>
      <c r="K46" s="149"/>
      <c r="L46" s="37">
        <f>SUM(L47:L56)</f>
        <v>0</v>
      </c>
      <c r="M46" s="67"/>
      <c r="N46" s="149"/>
      <c r="O46" s="37">
        <f>SUM(O47:O56)</f>
        <v>100000000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5348037397.8793697</v>
      </c>
      <c r="AN46" s="67"/>
      <c r="AO46" s="318">
        <f>AM46/(AM16+AM18+AM19)</f>
        <v>6.8082131094808638</v>
      </c>
    </row>
    <row r="47" spans="1:42" ht="15" customHeight="1" x14ac:dyDescent="0.2">
      <c r="A47" s="226" t="s">
        <v>423</v>
      </c>
      <c r="B47" s="258" t="s">
        <v>502</v>
      </c>
      <c r="C47" s="76">
        <v>1848522571.533922</v>
      </c>
      <c r="D47" s="42" t="e">
        <f>C47/C12</f>
        <v>#DIV/0!</v>
      </c>
      <c r="E47" s="140">
        <v>241842440</v>
      </c>
      <c r="F47" s="76">
        <v>2190302626.345448</v>
      </c>
      <c r="G47" s="42" t="e">
        <f>F47/F12</f>
        <v>#DIV/0!</v>
      </c>
      <c r="H47" s="963" t="e">
        <f>F47/(F16+F18)</f>
        <v>#DIV/0!</v>
      </c>
      <c r="I47" s="76">
        <v>241842440</v>
      </c>
      <c r="J47" s="42">
        <f>I47/I12</f>
        <v>0.25</v>
      </c>
      <c r="K47" s="140">
        <f>I47/(I16+I18)</f>
        <v>0.5</v>
      </c>
      <c r="L47" s="76"/>
      <c r="M47" s="42" t="e">
        <f>L47/L12</f>
        <v>#DIV/0!</v>
      </c>
      <c r="N47" s="140" t="e">
        <f>L47/(L16+L18)</f>
        <v>#DIV/0!</v>
      </c>
      <c r="O47" s="76">
        <v>20000000</v>
      </c>
      <c r="P47" s="42">
        <f>O47/O12</f>
        <v>0.25</v>
      </c>
      <c r="Q47" s="140">
        <f>O47/(O16+O18)</f>
        <v>0.5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4300667637.8793697</v>
      </c>
      <c r="AN47" s="42">
        <f>AM47/(AM5+AM7+AM8)</f>
        <v>5.4748797761475307</v>
      </c>
      <c r="AO47" s="140">
        <f>AM47/(AM16+AM18+AM19)</f>
        <v>5.4748797761475307</v>
      </c>
    </row>
    <row r="48" spans="1:42" ht="15" customHeight="1" x14ac:dyDescent="0.2">
      <c r="B48" s="258" t="s">
        <v>503</v>
      </c>
      <c r="C48" s="75"/>
      <c r="D48" s="43"/>
      <c r="E48" s="118">
        <v>241842440</v>
      </c>
      <c r="F48" s="75"/>
      <c r="G48" s="43"/>
      <c r="H48" s="118"/>
      <c r="I48" s="75">
        <v>241842440</v>
      </c>
      <c r="J48" s="43"/>
      <c r="K48" s="118"/>
      <c r="L48" s="75"/>
      <c r="M48" s="43"/>
      <c r="N48" s="118"/>
      <c r="O48" s="75">
        <v>20000000</v>
      </c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261842440</v>
      </c>
      <c r="AN48" s="43"/>
      <c r="AO48" s="118"/>
    </row>
    <row r="49" spans="1:44" s="108" customFormat="1" ht="15" customHeight="1" x14ac:dyDescent="0.2">
      <c r="A49" s="229"/>
      <c r="B49" s="738" t="s">
        <v>504</v>
      </c>
      <c r="C49" s="75"/>
      <c r="D49" s="43"/>
      <c r="E49" s="118">
        <v>241842440</v>
      </c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>
        <v>20000000</v>
      </c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261842440</v>
      </c>
      <c r="AN49" s="43">
        <f>AM49/AM7</f>
        <v>1</v>
      </c>
      <c r="AO49" s="118">
        <f>AM49/AM18</f>
        <v>1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373</v>
      </c>
      <c r="C52" s="25"/>
      <c r="D52" s="43"/>
      <c r="E52" s="118">
        <v>241842440</v>
      </c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>
        <v>20000000</v>
      </c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261842440</v>
      </c>
      <c r="AN52" s="43"/>
      <c r="AO52" s="309"/>
    </row>
    <row r="53" spans="1:44" ht="10.199999999999999" hidden="1" customHeight="1" x14ac:dyDescent="0.2">
      <c r="B53" s="25" t="s">
        <v>374</v>
      </c>
      <c r="C53" s="25"/>
      <c r="D53" s="43"/>
      <c r="E53" s="118">
        <v>241842440</v>
      </c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>
        <v>20000000</v>
      </c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261842440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505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0.5</v>
      </c>
      <c r="K57" s="152">
        <f>I57/I13</f>
        <v>0.22222222222222221</v>
      </c>
      <c r="L57" s="46">
        <f>SUM(L58:L59)</f>
        <v>0</v>
      </c>
      <c r="M57" s="47"/>
      <c r="N57" s="152"/>
      <c r="O57" s="46">
        <f>SUM(O58:O59)</f>
        <v>40000000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523684880</v>
      </c>
      <c r="AN57" s="47">
        <f>AM57/AM12</f>
        <v>0.5</v>
      </c>
      <c r="AO57" s="152">
        <f>AM57/AM13</f>
        <v>0.22222222222222221</v>
      </c>
    </row>
    <row r="58" spans="1:44" ht="15" hidden="1" customHeight="1" x14ac:dyDescent="0.2">
      <c r="B58" s="411" t="s">
        <v>506</v>
      </c>
      <c r="C58" s="304"/>
      <c r="D58" s="305"/>
      <c r="E58" s="412">
        <v>241842440</v>
      </c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261842440</v>
      </c>
      <c r="AN58" s="305"/>
      <c r="AO58" s="414">
        <f>AM58/AM$13</f>
        <v>0.1111111111111111</v>
      </c>
    </row>
    <row r="59" spans="1:44" s="108" customFormat="1" ht="15" hidden="1" customHeight="1" x14ac:dyDescent="0.2">
      <c r="A59" s="229"/>
      <c r="B59" s="415" t="s">
        <v>507</v>
      </c>
      <c r="C59" s="83"/>
      <c r="D59" s="84"/>
      <c r="E59" s="336">
        <v>241842440</v>
      </c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261842440</v>
      </c>
      <c r="AN59" s="84"/>
      <c r="AO59" s="416">
        <f>AM59/AM$13</f>
        <v>0.1111111111111111</v>
      </c>
      <c r="AQ59" s="2"/>
      <c r="AR59" s="2"/>
    </row>
    <row r="60" spans="1:44" ht="15" hidden="1" customHeight="1" x14ac:dyDescent="0.2">
      <c r="B60" s="16" t="s">
        <v>37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2176581960</v>
      </c>
      <c r="J60" s="3"/>
      <c r="K60" s="152"/>
      <c r="L60" s="49">
        <f>+L61+L72+L75+L76+L77</f>
        <v>592513978</v>
      </c>
      <c r="M60" s="3"/>
      <c r="N60" s="152"/>
      <c r="O60" s="49">
        <f>+O61+O72+O75+O76+O77</f>
        <v>180000000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3130571991.105</v>
      </c>
      <c r="AN60" s="3">
        <f>AM60/$AM$5</f>
        <v>11.955938048488244</v>
      </c>
      <c r="AO60" s="152">
        <f>AM60/AM$13</f>
        <v>1.3284375609431383</v>
      </c>
    </row>
    <row r="61" spans="1:44" ht="15" hidden="1" customHeight="1" x14ac:dyDescent="0.2">
      <c r="B61" s="36" t="s">
        <v>378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967369760</v>
      </c>
      <c r="J61" s="67"/>
      <c r="K61" s="149"/>
      <c r="L61" s="37">
        <f>SUM(L62:L71)</f>
        <v>0</v>
      </c>
      <c r="M61" s="67"/>
      <c r="N61" s="149"/>
      <c r="O61" s="37">
        <f>SUM(O62:O71)</f>
        <v>80000000</v>
      </c>
      <c r="P61" s="67">
        <f>O61/$O$5</f>
        <v>4</v>
      </c>
      <c r="Q61" s="149">
        <f>O61/$O$13</f>
        <v>0.44444444444444442</v>
      </c>
      <c r="R61" s="37">
        <f>SUM(R62:R71)</f>
        <v>0</v>
      </c>
      <c r="S61" s="67">
        <f>R61/$O$5</f>
        <v>0</v>
      </c>
      <c r="T61" s="149">
        <f>R61/$O$13</f>
        <v>0</v>
      </c>
      <c r="U61" s="37">
        <f>SUM(U62:U71)</f>
        <v>0</v>
      </c>
      <c r="V61" s="67">
        <f>U61/$O$5</f>
        <v>0</v>
      </c>
      <c r="W61" s="149">
        <f>U61/$O$13</f>
        <v>0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1047369760</v>
      </c>
      <c r="AN61" s="67">
        <f t="shared" ref="AN61:AN71" si="3">AM61/$O$5</f>
        <v>52.368487999999999</v>
      </c>
      <c r="AO61" s="318">
        <f t="shared" ref="AO61:AO71" si="4">AM61/$O$13</f>
        <v>5.8187208888888886</v>
      </c>
    </row>
    <row r="62" spans="1:44" ht="15" hidden="1" customHeight="1" x14ac:dyDescent="0.2">
      <c r="B62" s="258" t="s">
        <v>379</v>
      </c>
      <c r="C62" s="78"/>
      <c r="D62" s="79"/>
      <c r="E62" s="147">
        <v>241842440</v>
      </c>
      <c r="F62" s="78"/>
      <c r="G62" s="79"/>
      <c r="H62" s="147"/>
      <c r="I62" s="78">
        <v>241842440</v>
      </c>
      <c r="J62" s="79"/>
      <c r="K62" s="147"/>
      <c r="L62" s="78"/>
      <c r="M62" s="79"/>
      <c r="N62" s="147"/>
      <c r="O62" s="78">
        <v>20000000</v>
      </c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261842440</v>
      </c>
      <c r="AN62" s="79">
        <f t="shared" si="3"/>
        <v>13.092122</v>
      </c>
      <c r="AO62" s="147">
        <f t="shared" si="4"/>
        <v>1.4546802222222222</v>
      </c>
    </row>
    <row r="63" spans="1:44" ht="15" hidden="1" customHeight="1" x14ac:dyDescent="0.2">
      <c r="B63" s="258" t="s">
        <v>380</v>
      </c>
      <c r="C63" s="25"/>
      <c r="D63" s="43"/>
      <c r="E63" s="118">
        <v>241842440</v>
      </c>
      <c r="F63" s="25"/>
      <c r="G63" s="43"/>
      <c r="H63" s="118"/>
      <c r="I63" s="25">
        <v>241842440</v>
      </c>
      <c r="J63" s="43"/>
      <c r="K63" s="118"/>
      <c r="L63" s="25"/>
      <c r="M63" s="43"/>
      <c r="N63" s="118"/>
      <c r="O63" s="25">
        <v>20000000</v>
      </c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261842440</v>
      </c>
      <c r="AN63" s="43">
        <f t="shared" si="3"/>
        <v>13.092122</v>
      </c>
      <c r="AO63" s="118">
        <f t="shared" si="4"/>
        <v>1.4546802222222222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>
        <f t="shared" si="3"/>
        <v>0</v>
      </c>
      <c r="AO64" s="309">
        <f t="shared" si="4"/>
        <v>0</v>
      </c>
    </row>
    <row r="65" spans="1:42" ht="15" hidden="1" customHeight="1" x14ac:dyDescent="0.2">
      <c r="B65" s="258" t="s">
        <v>381</v>
      </c>
      <c r="C65" s="25"/>
      <c r="D65" s="43"/>
      <c r="E65" s="118">
        <v>241842440</v>
      </c>
      <c r="F65" s="25"/>
      <c r="G65" s="43"/>
      <c r="H65" s="118"/>
      <c r="I65" s="25">
        <v>241842440</v>
      </c>
      <c r="J65" s="43"/>
      <c r="K65" s="118"/>
      <c r="L65" s="25"/>
      <c r="M65" s="43"/>
      <c r="N65" s="118"/>
      <c r="O65" s="25">
        <v>20000000</v>
      </c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261842440</v>
      </c>
      <c r="AN65" s="43">
        <f t="shared" si="3"/>
        <v>13.092122</v>
      </c>
      <c r="AO65" s="309">
        <f t="shared" si="4"/>
        <v>1.4546802222222222</v>
      </c>
    </row>
    <row r="66" spans="1:42" ht="15" hidden="1" customHeight="1" x14ac:dyDescent="0.2">
      <c r="B66" s="410" t="s">
        <v>382</v>
      </c>
      <c r="C66" s="25"/>
      <c r="D66" s="43"/>
      <c r="E66" s="118">
        <v>241842440</v>
      </c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261842440</v>
      </c>
      <c r="AN66" s="43">
        <f t="shared" si="3"/>
        <v>13.092122</v>
      </c>
      <c r="AO66" s="309">
        <f t="shared" si="4"/>
        <v>1.4546802222222222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>
        <f t="shared" si="3"/>
        <v>0</v>
      </c>
      <c r="AO67" s="309">
        <f t="shared" si="4"/>
        <v>0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>
        <f t="shared" si="3"/>
        <v>0</v>
      </c>
      <c r="AO68" s="309">
        <f t="shared" si="4"/>
        <v>0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>
        <f t="shared" si="3"/>
        <v>0</v>
      </c>
      <c r="AO69" s="309">
        <f t="shared" si="4"/>
        <v>0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>
        <f t="shared" si="3"/>
        <v>0</v>
      </c>
      <c r="AO70" s="309">
        <f t="shared" si="4"/>
        <v>0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>
        <f t="shared" si="3"/>
        <v>0</v>
      </c>
      <c r="AO71" s="310">
        <f t="shared" si="4"/>
        <v>0</v>
      </c>
    </row>
    <row r="72" spans="1:42" ht="15" customHeight="1" x14ac:dyDescent="0.2">
      <c r="B72" s="36" t="s">
        <v>508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483684880</v>
      </c>
      <c r="J72" s="47">
        <f>I72/I12</f>
        <v>0.5</v>
      </c>
      <c r="K72" s="152">
        <f>I72/I13</f>
        <v>0.22222222222222221</v>
      </c>
      <c r="L72" s="46">
        <f>SUM(L73:L74)</f>
        <v>592513978</v>
      </c>
      <c r="M72" s="47" t="e">
        <f>L72/L12</f>
        <v>#DIV/0!</v>
      </c>
      <c r="N72" s="152" t="e">
        <f>L72/L13</f>
        <v>#DIV/0!</v>
      </c>
      <c r="O72" s="46">
        <f>SUM(O73:O74)</f>
        <v>40000000</v>
      </c>
      <c r="P72" s="47">
        <f>O72/O12</f>
        <v>0.5</v>
      </c>
      <c r="Q72" s="152">
        <f>O72/O13</f>
        <v>0.22222222222222221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1297674911.105</v>
      </c>
      <c r="AN72" s="47">
        <f>AM72/AM12</f>
        <v>1.2389845121220608</v>
      </c>
      <c r="AO72" s="152">
        <f>AM72/AM13</f>
        <v>0.55065978316536035</v>
      </c>
    </row>
    <row r="73" spans="1:42" ht="15" customHeight="1" x14ac:dyDescent="0.2">
      <c r="B73" s="411" t="s">
        <v>384</v>
      </c>
      <c r="C73" s="78">
        <f>'GASTOS VEHICULOS'!C25*'%DIST'!B25</f>
        <v>43403675.350000001</v>
      </c>
      <c r="D73" s="79"/>
      <c r="E73" s="147">
        <v>241842440</v>
      </c>
      <c r="F73" s="304">
        <f>'GASTOS VEHICULOS'!D25*'%DIST'!D25</f>
        <v>7234477.7550000008</v>
      </c>
      <c r="G73" s="305"/>
      <c r="H73" s="412"/>
      <c r="I73" s="304">
        <v>241842440</v>
      </c>
      <c r="J73" s="305"/>
      <c r="K73" s="412"/>
      <c r="L73" s="304">
        <f>'GASTOS VEHICULOS'!F25*'%DIST'!H25</f>
        <v>592513978</v>
      </c>
      <c r="M73" s="305"/>
      <c r="N73" s="412"/>
      <c r="O73" s="78">
        <v>20000000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904994571.10500002</v>
      </c>
      <c r="AN73" s="305"/>
      <c r="AO73" s="417"/>
    </row>
    <row r="74" spans="1:42" ht="15" customHeight="1" x14ac:dyDescent="0.2">
      <c r="A74" s="226" t="s">
        <v>429</v>
      </c>
      <c r="B74" s="415" t="s">
        <v>385</v>
      </c>
      <c r="C74" s="273">
        <f>'[9]Hoja 1'!$C$315</f>
        <v>37395068</v>
      </c>
      <c r="D74" s="134"/>
      <c r="E74" s="428">
        <v>241842440</v>
      </c>
      <c r="F74" s="83">
        <f>'[10]Hoja 1'!$C$310</f>
        <v>93442832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>
        <v>20000000</v>
      </c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392680340</v>
      </c>
      <c r="AN74" s="84"/>
      <c r="AO74" s="336">
        <f>AM72/AM13</f>
        <v>0.55065978316536035</v>
      </c>
    </row>
    <row r="75" spans="1:42" ht="15" customHeight="1" x14ac:dyDescent="0.2">
      <c r="A75" s="226" t="s">
        <v>430</v>
      </c>
      <c r="B75" s="36" t="s">
        <v>44</v>
      </c>
      <c r="C75" s="37">
        <f>'[9]Hoja 1'!$C$309-9947928.12</f>
        <v>0</v>
      </c>
      <c r="D75" s="67"/>
      <c r="E75" s="149">
        <v>241842440</v>
      </c>
      <c r="F75" s="37">
        <f>'[10]Hoja 1'!$C$304-10303069.4</f>
        <v>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261842440</v>
      </c>
      <c r="AN75" s="67"/>
      <c r="AO75" s="318">
        <f>AM75/AM$13</f>
        <v>0.1111111111111111</v>
      </c>
    </row>
    <row r="76" spans="1:42" ht="15" customHeight="1" x14ac:dyDescent="0.2">
      <c r="B76" s="36" t="s">
        <v>45</v>
      </c>
      <c r="C76" s="37"/>
      <c r="D76" s="67"/>
      <c r="E76" s="149">
        <v>241842440</v>
      </c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261842440</v>
      </c>
      <c r="AN76" s="67"/>
      <c r="AO76" s="320"/>
    </row>
    <row r="77" spans="1:42" ht="15" customHeight="1" x14ac:dyDescent="0.2">
      <c r="B77" s="66" t="s">
        <v>46</v>
      </c>
      <c r="C77" s="28"/>
      <c r="D77" s="45"/>
      <c r="E77" s="149">
        <v>241842440</v>
      </c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261842440</v>
      </c>
      <c r="AN77" s="42"/>
      <c r="AO77" s="320"/>
    </row>
    <row r="78" spans="1:42" ht="15" customHeight="1" x14ac:dyDescent="0.2">
      <c r="B78" s="17" t="s">
        <v>352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725527320</v>
      </c>
      <c r="J78" s="3"/>
      <c r="K78" s="150">
        <f>I78/(I$13)</f>
        <v>0.33333333333333331</v>
      </c>
      <c r="L78" s="49">
        <f>SUM(L79:L81)</f>
        <v>0</v>
      </c>
      <c r="M78" s="3"/>
      <c r="N78" s="150" t="e">
        <f>L78/(L$13)</f>
        <v>#DIV/0!</v>
      </c>
      <c r="O78" s="49">
        <f>SUM(O79:O81)</f>
        <v>60000000</v>
      </c>
      <c r="P78" s="3"/>
      <c r="Q78" s="150">
        <f>O78/(O$13)</f>
        <v>0.33333333333333331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808784284</v>
      </c>
      <c r="AN78" s="3"/>
      <c r="AO78" s="321">
        <f>AM78/(AM$13)</f>
        <v>0.34320227249808871</v>
      </c>
    </row>
    <row r="79" spans="1:42" ht="15" customHeight="1" x14ac:dyDescent="0.3">
      <c r="B79" s="473" t="s">
        <v>353</v>
      </c>
      <c r="C79" s="39"/>
      <c r="D79" s="267"/>
      <c r="E79" s="139">
        <v>241842440</v>
      </c>
      <c r="F79" s="39"/>
      <c r="G79" s="267"/>
      <c r="H79" s="139"/>
      <c r="I79" s="39">
        <v>241842440</v>
      </c>
      <c r="J79" s="267"/>
      <c r="K79" s="139"/>
      <c r="L79" s="39"/>
      <c r="M79" s="267"/>
      <c r="N79" s="139"/>
      <c r="O79" s="39">
        <v>20000000</v>
      </c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261842440</v>
      </c>
      <c r="AN79" s="4">
        <f>AM79/AM12</f>
        <v>0.25</v>
      </c>
      <c r="AO79" s="322"/>
      <c r="AP79" s="696"/>
    </row>
    <row r="80" spans="1:42" ht="15" customHeight="1" x14ac:dyDescent="0.2">
      <c r="B80" s="474" t="s">
        <v>386</v>
      </c>
      <c r="C80" s="25">
        <f>'[21]Hoja 1'!$D$16+'[22]Hoja 1'!$D$16</f>
        <v>10785519</v>
      </c>
      <c r="D80" s="43"/>
      <c r="E80" s="118">
        <v>241842440</v>
      </c>
      <c r="F80" s="25">
        <f>'[29]Hoja 1'!$D$17+'[33]Hoja 1'!$D$13</f>
        <v>12471445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285099404</v>
      </c>
      <c r="AN80" s="43"/>
      <c r="AO80" s="309"/>
      <c r="AP80" s="367"/>
    </row>
    <row r="81" spans="2:42" ht="15" customHeight="1" thickBot="1" x14ac:dyDescent="0.25">
      <c r="B81" s="300" t="s">
        <v>509</v>
      </c>
      <c r="C81" s="269"/>
      <c r="D81" s="214"/>
      <c r="E81" s="307">
        <v>241842440</v>
      </c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0"/>
      <c r="AK81" s="214"/>
      <c r="AL81" s="307"/>
      <c r="AM81" s="213">
        <f t="shared" si="5"/>
        <v>261842440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51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4.7777777777777777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900000000</v>
      </c>
      <c r="P83" s="491"/>
      <c r="Q83" s="492">
        <f>O83/(O$13)</f>
        <v>5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11595728083.952457</v>
      </c>
      <c r="AN83" s="491"/>
      <c r="AO83" s="582">
        <f>AM83/(AM$13)</f>
        <v>4.9205706742966226</v>
      </c>
    </row>
    <row r="84" spans="2:42" ht="15" customHeight="1" x14ac:dyDescent="0.2">
      <c r="B84" s="16" t="s">
        <v>52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0.44444444444444442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0.44444444444444442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1339868051.3124585</v>
      </c>
      <c r="AN84" s="3"/>
      <c r="AO84" s="321">
        <f>AM84/(AM$13)</f>
        <v>0.56856416371466179</v>
      </c>
    </row>
    <row r="85" spans="2:42" ht="15" customHeight="1" x14ac:dyDescent="0.2">
      <c r="B85" s="284" t="s">
        <v>53</v>
      </c>
      <c r="C85" s="91">
        <f>'GASTOS OPERATIVOS'!C17*'%DIST'!C9</f>
        <v>150834036.80205086</v>
      </c>
      <c r="D85" s="69"/>
      <c r="E85" s="306">
        <v>241842440</v>
      </c>
      <c r="F85" s="91">
        <f>'GASTOS OPERATIVOS'!D17*'%DIST'!E9</f>
        <v>141664254.51040757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>
        <v>20000000</v>
      </c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554340731.3124584</v>
      </c>
      <c r="AN85" s="69"/>
      <c r="AO85" s="306">
        <f>AM85/(AM$13)</f>
        <v>0.23523083038132839</v>
      </c>
      <c r="AP85" s="758">
        <v>1.095</v>
      </c>
    </row>
    <row r="86" spans="2:42" ht="15" customHeight="1" x14ac:dyDescent="0.2">
      <c r="B86" s="24" t="s">
        <v>54</v>
      </c>
      <c r="C86" s="25"/>
      <c r="D86" s="43"/>
      <c r="E86" s="118">
        <v>241842440</v>
      </c>
      <c r="F86" s="25"/>
      <c r="G86" s="43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261842440</v>
      </c>
      <c r="AN86" s="43"/>
      <c r="AO86" s="118">
        <f>AN86/AM13</f>
        <v>0</v>
      </c>
    </row>
    <row r="87" spans="2:42" ht="15" customHeight="1" x14ac:dyDescent="0.2">
      <c r="B87" s="24" t="s">
        <v>55</v>
      </c>
      <c r="C87" s="25"/>
      <c r="D87" s="43"/>
      <c r="E87" s="118">
        <v>241842440</v>
      </c>
      <c r="F87" s="25"/>
      <c r="G87" s="43"/>
      <c r="H87" s="118"/>
      <c r="I87" s="25">
        <v>241842440</v>
      </c>
      <c r="J87" s="43"/>
      <c r="K87" s="118"/>
      <c r="L87" s="25"/>
      <c r="M87" s="43"/>
      <c r="N87" s="118"/>
      <c r="O87" s="25">
        <v>20000000</v>
      </c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261842440</v>
      </c>
      <c r="AN87" s="43"/>
      <c r="AO87" s="118"/>
    </row>
    <row r="88" spans="2:42" ht="15" customHeight="1" x14ac:dyDescent="0.2">
      <c r="B88" s="429" t="s">
        <v>161</v>
      </c>
      <c r="C88" s="273"/>
      <c r="D88" s="134"/>
      <c r="E88" s="428">
        <v>241842440</v>
      </c>
      <c r="F88" s="273"/>
      <c r="G88" s="134"/>
      <c r="H88" s="428"/>
      <c r="I88" s="273">
        <v>241842440</v>
      </c>
      <c r="J88" s="134"/>
      <c r="K88" s="428"/>
      <c r="L88" s="273"/>
      <c r="M88" s="134"/>
      <c r="N88" s="428"/>
      <c r="O88" s="273">
        <v>20000000</v>
      </c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56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0.22222222222222221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0.22222222222222221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523684880</v>
      </c>
      <c r="AN89" s="3"/>
      <c r="AO89" s="321">
        <f>AM89/(AM$13)</f>
        <v>0.22222222222222221</v>
      </c>
    </row>
    <row r="90" spans="2:42" ht="15" customHeight="1" outlineLevel="1" x14ac:dyDescent="0.2">
      <c r="B90" s="39" t="s">
        <v>57</v>
      </c>
      <c r="C90" s="39"/>
      <c r="D90" s="69"/>
      <c r="E90" s="306">
        <v>241842440</v>
      </c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261842440</v>
      </c>
      <c r="AN90" s="69"/>
      <c r="AO90" s="324"/>
    </row>
    <row r="91" spans="2:42" ht="15" customHeight="1" outlineLevel="1" x14ac:dyDescent="0.2">
      <c r="B91" s="83" t="s">
        <v>354</v>
      </c>
      <c r="C91" s="83"/>
      <c r="D91" s="84"/>
      <c r="E91" s="336">
        <v>241842440</v>
      </c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261842440</v>
      </c>
      <c r="AN91" s="84"/>
      <c r="AO91" s="310"/>
    </row>
    <row r="92" spans="2:42" ht="15" customHeight="1" x14ac:dyDescent="0.2">
      <c r="B92" s="16" t="s">
        <v>59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0.33333333333333331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0.33333333333333331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785527320</v>
      </c>
      <c r="AN92" s="3"/>
      <c r="AO92" s="321">
        <f>AM92/(AM$13)</f>
        <v>0.33333333333333331</v>
      </c>
    </row>
    <row r="93" spans="2:42" ht="15" customHeight="1" outlineLevel="1" x14ac:dyDescent="0.2">
      <c r="B93" s="39" t="s">
        <v>60</v>
      </c>
      <c r="C93" s="39"/>
      <c r="D93" s="69"/>
      <c r="E93" s="306">
        <v>241842440</v>
      </c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261842440</v>
      </c>
      <c r="AN93" s="69"/>
      <c r="AO93" s="324"/>
      <c r="AP93" s="697"/>
    </row>
    <row r="94" spans="2:42" ht="15" customHeight="1" outlineLevel="1" x14ac:dyDescent="0.2">
      <c r="B94" s="39" t="s">
        <v>61</v>
      </c>
      <c r="C94" s="25"/>
      <c r="D94" s="43"/>
      <c r="E94" s="118">
        <v>241842440</v>
      </c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261842440</v>
      </c>
      <c r="AN94" s="43"/>
      <c r="AO94" s="309"/>
    </row>
    <row r="95" spans="2:42" ht="15" customHeight="1" outlineLevel="1" x14ac:dyDescent="0.2">
      <c r="B95" s="39" t="s">
        <v>62</v>
      </c>
      <c r="C95" s="25"/>
      <c r="D95" s="45"/>
      <c r="E95" s="117">
        <v>241842440</v>
      </c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261842440</v>
      </c>
      <c r="AN95" s="45"/>
      <c r="AO95" s="325"/>
    </row>
    <row r="96" spans="2:42" ht="15" customHeight="1" x14ac:dyDescent="0.2">
      <c r="B96" s="106" t="s">
        <v>63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0.22222222222222221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0.22222222222222221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523684880</v>
      </c>
      <c r="AN96" s="3"/>
      <c r="AO96" s="321">
        <f>AM96/(AM$13)</f>
        <v>0.22222222222222221</v>
      </c>
    </row>
    <row r="97" spans="1:46" s="108" customFormat="1" ht="15" customHeight="1" outlineLevel="1" x14ac:dyDescent="0.2">
      <c r="A97" s="229"/>
      <c r="B97" s="39" t="s">
        <v>65</v>
      </c>
      <c r="C97" s="39"/>
      <c r="D97" s="69"/>
      <c r="E97" s="306">
        <v>241842440</v>
      </c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261842440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388</v>
      </c>
      <c r="C98" s="275"/>
      <c r="D98" s="276"/>
      <c r="E98" s="341">
        <v>241842440</v>
      </c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261842440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68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1692897080</v>
      </c>
      <c r="J99" s="3"/>
      <c r="K99" s="150">
        <f>I99/(I$13)</f>
        <v>0.77777777777777779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1872897080</v>
      </c>
      <c r="AN99" s="3"/>
      <c r="AO99" s="321">
        <f>AM99/(AM$13)</f>
        <v>0.79475151375596542</v>
      </c>
    </row>
    <row r="100" spans="1:46" ht="15" customHeight="1" outlineLevel="1" x14ac:dyDescent="0.2">
      <c r="B100" s="39" t="s">
        <v>69</v>
      </c>
      <c r="C100" s="39"/>
      <c r="D100" s="69"/>
      <c r="E100" s="306">
        <v>241842440</v>
      </c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v>20000000</v>
      </c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261842440</v>
      </c>
      <c r="AN100" s="69"/>
      <c r="AO100" s="324"/>
    </row>
    <row r="101" spans="1:46" ht="15" customHeight="1" outlineLevel="1" x14ac:dyDescent="0.2">
      <c r="B101" s="25" t="s">
        <v>389</v>
      </c>
      <c r="C101" s="25"/>
      <c r="D101" s="43"/>
      <c r="E101" s="118">
        <v>241842440</v>
      </c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v>20000000</v>
      </c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261842440</v>
      </c>
      <c r="AN101" s="43"/>
      <c r="AO101" s="309"/>
    </row>
    <row r="102" spans="1:46" ht="15" customHeight="1" outlineLevel="1" x14ac:dyDescent="0.2">
      <c r="B102" s="25" t="s">
        <v>71</v>
      </c>
      <c r="C102" s="25"/>
      <c r="D102" s="43"/>
      <c r="E102" s="118">
        <v>241842440</v>
      </c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v>20000000</v>
      </c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261842440</v>
      </c>
      <c r="AN102" s="43"/>
      <c r="AO102" s="309"/>
    </row>
    <row r="103" spans="1:46" ht="15" customHeight="1" outlineLevel="1" x14ac:dyDescent="0.2">
      <c r="B103" s="25" t="s">
        <v>72</v>
      </c>
      <c r="C103" s="25"/>
      <c r="D103" s="43"/>
      <c r="E103" s="118">
        <v>241842440</v>
      </c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261842440</v>
      </c>
      <c r="AN103" s="43"/>
      <c r="AO103" s="309"/>
    </row>
    <row r="104" spans="1:46" ht="15" customHeight="1" outlineLevel="1" x14ac:dyDescent="0.2">
      <c r="B104" s="25" t="s">
        <v>73</v>
      </c>
      <c r="C104" s="25"/>
      <c r="D104" s="43"/>
      <c r="E104" s="118">
        <v>241842440</v>
      </c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261842440</v>
      </c>
      <c r="AN104" s="43"/>
      <c r="AO104" s="309"/>
    </row>
    <row r="105" spans="1:46" ht="15" customHeight="1" outlineLevel="1" x14ac:dyDescent="0.2">
      <c r="B105" s="25" t="s">
        <v>74</v>
      </c>
      <c r="C105" s="25"/>
      <c r="D105" s="43"/>
      <c r="E105" s="118">
        <v>241842440</v>
      </c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261842440</v>
      </c>
      <c r="AN105" s="43"/>
      <c r="AO105" s="309"/>
    </row>
    <row r="106" spans="1:46" ht="15" customHeight="1" outlineLevel="1" x14ac:dyDescent="0.2">
      <c r="B106" s="25" t="s">
        <v>75</v>
      </c>
      <c r="C106" s="25"/>
      <c r="D106" s="43"/>
      <c r="E106" s="118">
        <v>241842440</v>
      </c>
      <c r="F106" s="25"/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>
        <v>20000000</v>
      </c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261842440</v>
      </c>
      <c r="AN106" s="43"/>
      <c r="AO106" s="309"/>
    </row>
    <row r="107" spans="1:46" ht="15" customHeight="1" outlineLevel="1" x14ac:dyDescent="0.2">
      <c r="B107" s="205" t="s">
        <v>355</v>
      </c>
      <c r="C107" s="25"/>
      <c r="D107" s="43"/>
      <c r="E107" s="118">
        <v>241842440</v>
      </c>
      <c r="F107" s="25"/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>
        <v>20000000</v>
      </c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261842440</v>
      </c>
      <c r="AN107" s="43"/>
      <c r="AO107" s="309"/>
    </row>
    <row r="108" spans="1:46" ht="15" customHeight="1" outlineLevel="1" x14ac:dyDescent="0.2">
      <c r="B108" s="349" t="s">
        <v>77</v>
      </c>
      <c r="C108" s="2"/>
      <c r="D108" s="42"/>
      <c r="E108" s="140">
        <v>241842440</v>
      </c>
      <c r="F108" s="2"/>
      <c r="G108" s="42"/>
      <c r="H108" s="140"/>
      <c r="I108" s="2">
        <v>241842440</v>
      </c>
      <c r="J108" s="42"/>
      <c r="K108" s="140"/>
      <c r="L108" s="2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261842440</v>
      </c>
      <c r="AN108" s="42"/>
      <c r="AO108" s="315"/>
    </row>
    <row r="109" spans="1:46" ht="15" customHeight="1" x14ac:dyDescent="0.2">
      <c r="B109" s="16" t="s">
        <v>78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0.44444444444444442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0.44444444444444442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1047369760</v>
      </c>
      <c r="AN109" s="3"/>
      <c r="AO109" s="321">
        <f>AM109/(AM$13)</f>
        <v>0.44444444444444442</v>
      </c>
    </row>
    <row r="110" spans="1:46" ht="15" customHeight="1" outlineLevel="1" x14ac:dyDescent="0.2">
      <c r="B110" s="39" t="s">
        <v>80</v>
      </c>
      <c r="C110" s="39"/>
      <c r="D110" s="69"/>
      <c r="E110" s="306">
        <v>241842440</v>
      </c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261842440</v>
      </c>
      <c r="AN110" s="69"/>
      <c r="AO110" s="324"/>
    </row>
    <row r="111" spans="1:46" ht="15" customHeight="1" outlineLevel="1" x14ac:dyDescent="0.2">
      <c r="B111" s="25" t="s">
        <v>82</v>
      </c>
      <c r="C111" s="25"/>
      <c r="D111" s="43"/>
      <c r="E111" s="118">
        <v>241842440</v>
      </c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261842440</v>
      </c>
      <c r="AN111" s="43"/>
      <c r="AO111" s="309"/>
    </row>
    <row r="112" spans="1:46" ht="15" customHeight="1" outlineLevel="1" x14ac:dyDescent="0.2">
      <c r="B112" s="25" t="s">
        <v>84</v>
      </c>
      <c r="C112" s="25"/>
      <c r="D112" s="43"/>
      <c r="E112" s="118">
        <v>241842440</v>
      </c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261842440</v>
      </c>
      <c r="AN112" s="43"/>
      <c r="AO112" s="309"/>
    </row>
    <row r="113" spans="2:41" ht="15" customHeight="1" outlineLevel="1" x14ac:dyDescent="0.2">
      <c r="B113" s="28" t="s">
        <v>86</v>
      </c>
      <c r="C113" s="28"/>
      <c r="D113" s="45"/>
      <c r="E113" s="117">
        <v>241842440</v>
      </c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261842440</v>
      </c>
      <c r="AN113" s="45"/>
      <c r="AO113" s="325"/>
    </row>
    <row r="114" spans="2:41" ht="15" customHeight="1" x14ac:dyDescent="0.2">
      <c r="B114" s="16" t="s">
        <v>87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483684880</v>
      </c>
      <c r="J114" s="3"/>
      <c r="K114" s="150">
        <f>I114/(I$13)</f>
        <v>0.22222222222222221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40000000</v>
      </c>
      <c r="P114" s="3"/>
      <c r="Q114" s="150">
        <f>O114/(O$13)</f>
        <v>0.22222222222222221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523684880</v>
      </c>
      <c r="AN114" s="3"/>
      <c r="AO114" s="321">
        <f>AM114/(AM$13)</f>
        <v>0.22222222222222221</v>
      </c>
    </row>
    <row r="115" spans="2:41" ht="15" customHeight="1" outlineLevel="1" x14ac:dyDescent="0.2">
      <c r="B115" s="205" t="s">
        <v>89</v>
      </c>
      <c r="C115" s="39"/>
      <c r="D115" s="69"/>
      <c r="E115" s="306">
        <v>241842440</v>
      </c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>
        <v>20000000</v>
      </c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261842440</v>
      </c>
      <c r="AN115" s="69"/>
      <c r="AO115" s="324"/>
    </row>
    <row r="116" spans="2:41" ht="15" customHeight="1" outlineLevel="1" x14ac:dyDescent="0.2">
      <c r="B116" s="205" t="s">
        <v>91</v>
      </c>
      <c r="C116" s="25"/>
      <c r="D116" s="43"/>
      <c r="E116" s="118">
        <v>241842440</v>
      </c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v>20000000</v>
      </c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261842440</v>
      </c>
      <c r="AN116" s="43"/>
      <c r="AO116" s="309"/>
    </row>
    <row r="117" spans="2:41" ht="15" customHeight="1" outlineLevel="1" x14ac:dyDescent="0.2">
      <c r="B117" s="205" t="s">
        <v>93</v>
      </c>
      <c r="C117" s="25"/>
      <c r="D117" s="43"/>
      <c r="E117" s="118">
        <v>241842440</v>
      </c>
      <c r="F117" s="25"/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v>20000000</v>
      </c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261842440</v>
      </c>
      <c r="AN117" s="43"/>
      <c r="AO117" s="309"/>
    </row>
    <row r="118" spans="2:41" ht="15" customHeight="1" outlineLevel="1" x14ac:dyDescent="0.2">
      <c r="B118" s="205" t="s">
        <v>95</v>
      </c>
      <c r="C118" s="25"/>
      <c r="D118" s="43"/>
      <c r="E118" s="118">
        <v>241842440</v>
      </c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v>20000000</v>
      </c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261842440</v>
      </c>
      <c r="AN118" s="43"/>
      <c r="AO118" s="309"/>
    </row>
    <row r="119" spans="2:41" ht="15" customHeight="1" outlineLevel="1" x14ac:dyDescent="0.2">
      <c r="B119" s="205" t="s">
        <v>209</v>
      </c>
      <c r="C119" s="22"/>
      <c r="D119" s="42"/>
      <c r="E119" s="140">
        <v>241842440</v>
      </c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3">
        <v>20000000</v>
      </c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261842440</v>
      </c>
      <c r="AN119" s="42"/>
      <c r="AO119" s="315"/>
    </row>
    <row r="120" spans="2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241842440</v>
      </c>
      <c r="J120" s="3"/>
      <c r="K120" s="150">
        <f>I120/(I$13)</f>
        <v>0.1111111111111111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0.1111111111111111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261842440</v>
      </c>
      <c r="AN120" s="3"/>
      <c r="AO120" s="321">
        <f>AM120/(AM$13)</f>
        <v>0.1111111111111111</v>
      </c>
    </row>
    <row r="121" spans="2:41" ht="15" customHeight="1" x14ac:dyDescent="0.3">
      <c r="B121" s="205" t="s">
        <v>100</v>
      </c>
      <c r="C121" s="353"/>
      <c r="D121" s="69"/>
      <c r="E121" s="306">
        <v>241842440</v>
      </c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261842440</v>
      </c>
      <c r="AN121" s="69"/>
      <c r="AO121" s="324"/>
    </row>
    <row r="122" spans="2:41" ht="15" customHeight="1" x14ac:dyDescent="0.3">
      <c r="B122" s="205" t="s">
        <v>510</v>
      </c>
      <c r="C122" s="354"/>
      <c r="D122" s="92"/>
      <c r="E122" s="338">
        <v>241842440</v>
      </c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>
        <v>20000000</v>
      </c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261842440</v>
      </c>
      <c r="AN122" s="84"/>
      <c r="AO122" s="327"/>
    </row>
    <row r="123" spans="2:41" ht="15" customHeight="1" x14ac:dyDescent="0.2">
      <c r="B123" s="16" t="s">
        <v>103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0.33333333333333331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0.33333333333333331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785527320</v>
      </c>
      <c r="AN123" s="3"/>
      <c r="AO123" s="321">
        <f>AM123/(AM$13)</f>
        <v>0.33333333333333331</v>
      </c>
    </row>
    <row r="124" spans="2:41" ht="15" customHeight="1" outlineLevel="1" x14ac:dyDescent="0.2">
      <c r="B124" s="39" t="s">
        <v>105</v>
      </c>
      <c r="C124" s="39"/>
      <c r="D124" s="69"/>
      <c r="E124" s="306">
        <v>241842440</v>
      </c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261842440</v>
      </c>
      <c r="AN124" s="69"/>
      <c r="AO124" s="324"/>
    </row>
    <row r="125" spans="2:41" ht="15" customHeight="1" outlineLevel="1" x14ac:dyDescent="0.2">
      <c r="B125" s="25" t="s">
        <v>107</v>
      </c>
      <c r="C125" s="25"/>
      <c r="D125" s="43"/>
      <c r="E125" s="118">
        <v>241842440</v>
      </c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261842440</v>
      </c>
      <c r="AN125" s="43"/>
      <c r="AO125" s="309"/>
    </row>
    <row r="126" spans="2:41" ht="15" customHeight="1" outlineLevel="1" x14ac:dyDescent="0.2">
      <c r="B126" s="28" t="s">
        <v>109</v>
      </c>
      <c r="C126" s="28"/>
      <c r="D126" s="45"/>
      <c r="E126" s="117">
        <v>241842440</v>
      </c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261842440</v>
      </c>
      <c r="AN126" s="45"/>
      <c r="AO126" s="325"/>
    </row>
    <row r="127" spans="2:41" ht="15" customHeight="1" x14ac:dyDescent="0.2">
      <c r="B127" s="16" t="s">
        <v>110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1.6666666666666667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1.6666666666666667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3931641472.6399999</v>
      </c>
      <c r="AN127" s="3"/>
      <c r="AO127" s="321">
        <f>AM127/(AM$13)</f>
        <v>1.6683661079371073</v>
      </c>
    </row>
    <row r="128" spans="2:41" ht="15" customHeight="1" outlineLevel="1" x14ac:dyDescent="0.2">
      <c r="B128" s="25" t="s">
        <v>390</v>
      </c>
      <c r="C128" s="39"/>
      <c r="D128" s="69"/>
      <c r="E128" s="306">
        <v>241842440</v>
      </c>
      <c r="F128" s="39"/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v>20000000</v>
      </c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261842440</v>
      </c>
      <c r="AN128" s="42"/>
      <c r="AO128" s="328"/>
    </row>
    <row r="129" spans="1:41" ht="15" customHeight="1" outlineLevel="1" x14ac:dyDescent="0.2">
      <c r="B129" s="25" t="s">
        <v>391</v>
      </c>
      <c r="C129" s="91"/>
      <c r="D129" s="43"/>
      <c r="E129" s="118">
        <v>241842440</v>
      </c>
      <c r="F129" s="25"/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v>20000000</v>
      </c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261842440</v>
      </c>
      <c r="AN129" s="92"/>
      <c r="AO129" s="426"/>
    </row>
    <row r="130" spans="1:41" ht="15" customHeight="1" outlineLevel="1" x14ac:dyDescent="0.2">
      <c r="A130" s="226" t="s">
        <v>439</v>
      </c>
      <c r="B130" s="25" t="s">
        <v>116</v>
      </c>
      <c r="C130" s="25">
        <f>'[9]Hoja 1'!$C$311+'[9]Hoja 1'!$C$287</f>
        <v>1911537.14</v>
      </c>
      <c r="D130" s="43"/>
      <c r="E130" s="118">
        <v>241842440</v>
      </c>
      <c r="F130" s="25">
        <f>'[10]Hoja 1'!$C$306</f>
        <v>2028335.5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265782312.63999999</v>
      </c>
      <c r="AN130" s="43"/>
      <c r="AO130" s="118"/>
    </row>
    <row r="131" spans="1:41" ht="15" customHeight="1" outlineLevel="1" x14ac:dyDescent="0.2">
      <c r="A131" s="226" t="s">
        <v>117</v>
      </c>
      <c r="B131" s="25" t="s">
        <v>118</v>
      </c>
      <c r="C131" s="25"/>
      <c r="D131" s="43"/>
      <c r="E131" s="118">
        <v>241842440</v>
      </c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261842440</v>
      </c>
      <c r="AN131" s="43"/>
      <c r="AO131" s="329"/>
    </row>
    <row r="132" spans="1:41" ht="15" customHeight="1" outlineLevel="1" x14ac:dyDescent="0.2">
      <c r="B132" s="25" t="s">
        <v>120</v>
      </c>
      <c r="C132" s="25"/>
      <c r="D132" s="43"/>
      <c r="E132" s="118">
        <v>241842440</v>
      </c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261842440</v>
      </c>
      <c r="AN132" s="43"/>
      <c r="AO132" s="309"/>
    </row>
    <row r="133" spans="1:41" ht="15" customHeight="1" outlineLevel="1" x14ac:dyDescent="0.2">
      <c r="A133" s="226" t="s">
        <v>121</v>
      </c>
      <c r="B133" s="25" t="s">
        <v>122</v>
      </c>
      <c r="C133" s="25">
        <f>'[9]Hoja 1'!$C$318</f>
        <v>65000</v>
      </c>
      <c r="D133" s="43"/>
      <c r="E133" s="118">
        <v>241842440</v>
      </c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261907440</v>
      </c>
      <c r="AN133" s="43"/>
      <c r="AO133" s="309"/>
    </row>
    <row r="134" spans="1:41" ht="15" customHeight="1" outlineLevel="1" x14ac:dyDescent="0.2">
      <c r="A134" s="226" t="s">
        <v>123</v>
      </c>
      <c r="B134" s="25" t="s">
        <v>124</v>
      </c>
      <c r="C134" s="25"/>
      <c r="D134" s="43"/>
      <c r="E134" s="118">
        <v>241842440</v>
      </c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261842440</v>
      </c>
      <c r="AN134" s="43"/>
      <c r="AO134" s="309"/>
    </row>
    <row r="135" spans="1:41" ht="15" customHeight="1" outlineLevel="1" x14ac:dyDescent="0.2">
      <c r="B135" s="25" t="s">
        <v>126</v>
      </c>
      <c r="C135" s="25"/>
      <c r="D135" s="43"/>
      <c r="E135" s="118">
        <v>241842440</v>
      </c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261842440</v>
      </c>
      <c r="AN135" s="43"/>
      <c r="AO135" s="309"/>
    </row>
    <row r="136" spans="1:41" ht="15" customHeight="1" outlineLevel="1" x14ac:dyDescent="0.2">
      <c r="B136" s="25" t="s">
        <v>236</v>
      </c>
      <c r="C136" s="25"/>
      <c r="D136" s="43"/>
      <c r="E136" s="118">
        <v>241842440</v>
      </c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261842440</v>
      </c>
      <c r="AN136" s="43"/>
      <c r="AO136" s="309"/>
    </row>
    <row r="137" spans="1:41" ht="15" customHeight="1" outlineLevel="1" x14ac:dyDescent="0.2">
      <c r="B137" s="25" t="s">
        <v>303</v>
      </c>
      <c r="C137" s="25"/>
      <c r="D137" s="43"/>
      <c r="E137" s="118">
        <v>241842440</v>
      </c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261842440</v>
      </c>
      <c r="AN137" s="43"/>
      <c r="AO137" s="309"/>
    </row>
    <row r="138" spans="1:41" ht="15" customHeight="1" outlineLevel="1" x14ac:dyDescent="0.2">
      <c r="B138" s="25" t="s">
        <v>130</v>
      </c>
      <c r="C138" s="427"/>
      <c r="D138" s="89"/>
      <c r="E138" s="303">
        <v>241842440</v>
      </c>
      <c r="F138" s="427"/>
      <c r="G138" s="89"/>
      <c r="H138" s="303"/>
      <c r="I138" s="25">
        <v>241842440</v>
      </c>
      <c r="J138" s="89"/>
      <c r="K138" s="303"/>
      <c r="L138" s="427"/>
      <c r="M138" s="89"/>
      <c r="N138" s="303"/>
      <c r="O138" s="427">
        <v>20000000</v>
      </c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261842440</v>
      </c>
      <c r="AN138" s="89"/>
      <c r="AO138" s="308"/>
    </row>
    <row r="139" spans="1:41" ht="15" customHeight="1" outlineLevel="1" x14ac:dyDescent="0.2">
      <c r="B139" s="25" t="s">
        <v>242</v>
      </c>
      <c r="C139" s="25"/>
      <c r="D139" s="43"/>
      <c r="E139" s="118">
        <v>241842440</v>
      </c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261842440</v>
      </c>
      <c r="AN139" s="43"/>
      <c r="AO139" s="309"/>
    </row>
    <row r="140" spans="1:41" ht="15" customHeight="1" outlineLevel="1" x14ac:dyDescent="0.2">
      <c r="B140" s="25" t="s">
        <v>246</v>
      </c>
      <c r="C140" s="25"/>
      <c r="D140" s="43"/>
      <c r="E140" s="118">
        <v>241842440</v>
      </c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261842440</v>
      </c>
      <c r="AN140" s="43"/>
      <c r="AO140" s="309"/>
    </row>
    <row r="141" spans="1:41" ht="15" customHeight="1" outlineLevel="1" x14ac:dyDescent="0.2">
      <c r="B141" s="25" t="s">
        <v>244</v>
      </c>
      <c r="C141" s="25"/>
      <c r="D141" s="43"/>
      <c r="E141" s="118">
        <v>241842440</v>
      </c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261842440</v>
      </c>
      <c r="AN141" s="43"/>
      <c r="AO141" s="309"/>
    </row>
    <row r="142" spans="1:41" ht="15" customHeight="1" outlineLevel="1" thickBot="1" x14ac:dyDescent="0.25">
      <c r="B142" s="269" t="s">
        <v>392</v>
      </c>
      <c r="C142" s="269"/>
      <c r="D142" s="214"/>
      <c r="E142" s="307">
        <v>241842440</v>
      </c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261842440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-12817649320</v>
      </c>
      <c r="J144" s="494"/>
      <c r="K144" s="495"/>
      <c r="L144" s="493">
        <f>+L42-L44-L83</f>
        <v>-592513978</v>
      </c>
      <c r="M144" s="494"/>
      <c r="N144" s="495"/>
      <c r="O144" s="493">
        <f>+O42-O44-O83</f>
        <v>-1100000000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-19050224676.936829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-5.8888888888888893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-6.1111111111111107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-8.0838370997870275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394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0.44444444444444442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80000000</v>
      </c>
      <c r="P147" s="491"/>
      <c r="Q147" s="492">
        <f>O147/(O$13)</f>
        <v>0.44444444444444442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1722371891.190419</v>
      </c>
      <c r="AN147" s="491"/>
      <c r="AO147" s="580">
        <f>AM147/(AM$13)</f>
        <v>0.73087714343294852</v>
      </c>
    </row>
    <row r="148" spans="2:42" ht="15" customHeight="1" x14ac:dyDescent="0.2">
      <c r="B148" s="18" t="s">
        <v>395</v>
      </c>
      <c r="C148" s="39">
        <f>'GASTOS ADMINISTRATIVOS'!C96*'%DIST'!B41</f>
        <v>304163799.23624122</v>
      </c>
      <c r="D148" s="69"/>
      <c r="E148" s="306">
        <v>241842440</v>
      </c>
      <c r="F148" s="39">
        <f>'GASTOS ADMINISTRATIVOS'!D96*'%DIST'!D41</f>
        <v>213298477.33453581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>
        <v>20000000</v>
      </c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779304716.57077706</v>
      </c>
      <c r="AN148" s="69"/>
      <c r="AO148" s="324"/>
      <c r="AP148" s="144"/>
    </row>
    <row r="149" spans="2:42" ht="15" customHeight="1" x14ac:dyDescent="0.2">
      <c r="B149" s="285" t="s">
        <v>440</v>
      </c>
      <c r="C149" s="25">
        <f>'GASTOS ADMINISTRATIVOS'!C109*'%DIST'!C57</f>
        <v>83497485.499911845</v>
      </c>
      <c r="D149" s="43"/>
      <c r="E149" s="118">
        <v>241842440</v>
      </c>
      <c r="F149" s="25">
        <f>'GASTOS ADMINISTRATIVOS'!D109*'%DIST'!E57</f>
        <v>54202057.530402198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399541983.03031403</v>
      </c>
      <c r="AN149" s="43"/>
      <c r="AO149" s="309"/>
    </row>
    <row r="150" spans="2:42" ht="15" customHeight="1" x14ac:dyDescent="0.2">
      <c r="B150" s="107" t="s">
        <v>441</v>
      </c>
      <c r="C150" s="22"/>
      <c r="D150" s="42"/>
      <c r="E150" s="140">
        <v>241842440</v>
      </c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261842440</v>
      </c>
      <c r="AN150" s="42"/>
      <c r="AO150" s="315"/>
      <c r="AP150" s="144"/>
    </row>
    <row r="151" spans="2:42" ht="15" customHeight="1" thickBot="1" x14ac:dyDescent="0.25">
      <c r="B151" s="300" t="s">
        <v>442</v>
      </c>
      <c r="C151" s="71">
        <f>'GASTOS ADMINISTRATIVOS'!C119*'%DIST'!C57</f>
        <v>20535999.963652764</v>
      </c>
      <c r="D151" s="72"/>
      <c r="E151" s="342">
        <v>241842440</v>
      </c>
      <c r="F151" s="71">
        <f>'GASTOS ADMINISTRATIVOS'!D119*'%DIST'!E57</f>
        <v>-695688.37432497949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>
        <v>20000000</v>
      </c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281682751.58932781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398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1832897080</v>
      </c>
      <c r="AN153" s="498"/>
      <c r="AO153" s="586">
        <f>AM153/AM13</f>
        <v>0.77777777777777779</v>
      </c>
    </row>
    <row r="154" spans="2:42" ht="15" customHeight="1" thickTop="1" x14ac:dyDescent="0.2">
      <c r="B154" s="908" t="s">
        <v>511</v>
      </c>
      <c r="C154" s="722"/>
      <c r="D154" s="548"/>
      <c r="E154" s="549">
        <v>241842440</v>
      </c>
      <c r="F154" s="722"/>
      <c r="G154" s="548"/>
      <c r="H154" s="549"/>
      <c r="I154" s="722">
        <v>241842440</v>
      </c>
      <c r="J154" s="548"/>
      <c r="K154" s="549"/>
      <c r="L154" s="722"/>
      <c r="M154" s="548"/>
      <c r="N154" s="549"/>
      <c r="O154" s="722">
        <v>20000000</v>
      </c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261842440</v>
      </c>
      <c r="AN154" s="230"/>
      <c r="AO154" s="332"/>
    </row>
    <row r="155" spans="2:42" ht="15" customHeight="1" x14ac:dyDescent="0.2">
      <c r="B155" s="965" t="s">
        <v>512</v>
      </c>
      <c r="C155" s="705"/>
      <c r="D155" s="13"/>
      <c r="E155" s="344">
        <v>241842440</v>
      </c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>
        <v>20000000</v>
      </c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261842440</v>
      </c>
      <c r="AN155" s="13"/>
      <c r="AO155" s="690"/>
    </row>
    <row r="156" spans="2:42" ht="15" customHeight="1" x14ac:dyDescent="0.2">
      <c r="B156" s="966" t="s">
        <v>513</v>
      </c>
      <c r="C156" s="705"/>
      <c r="D156" s="677"/>
      <c r="E156" s="678">
        <v>241842440</v>
      </c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>
        <v>20000000</v>
      </c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261842440</v>
      </c>
      <c r="AN156" s="677"/>
      <c r="AO156" s="681"/>
    </row>
    <row r="157" spans="2:42" ht="15" customHeight="1" x14ac:dyDescent="0.2">
      <c r="B157" s="967" t="s">
        <v>402</v>
      </c>
      <c r="C157" s="705"/>
      <c r="D157" s="13"/>
      <c r="E157" s="344">
        <v>241842440</v>
      </c>
      <c r="F157" s="705"/>
      <c r="G157" s="13"/>
      <c r="H157" s="344"/>
      <c r="I157" s="705">
        <v>241842440</v>
      </c>
      <c r="J157" s="13"/>
      <c r="K157" s="344"/>
      <c r="L157" s="705"/>
      <c r="M157" s="13"/>
      <c r="N157" s="344"/>
      <c r="O157" s="705">
        <v>20000000</v>
      </c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261842440</v>
      </c>
      <c r="AN157" s="13"/>
      <c r="AO157" s="786"/>
    </row>
    <row r="158" spans="2:42" ht="15" customHeight="1" x14ac:dyDescent="0.2">
      <c r="B158" s="563" t="s">
        <v>403</v>
      </c>
      <c r="C158" s="75"/>
      <c r="D158" s="13"/>
      <c r="E158" s="344">
        <v>241842440</v>
      </c>
      <c r="F158" s="75"/>
      <c r="G158" s="13"/>
      <c r="H158" s="344"/>
      <c r="I158" s="75">
        <v>241842440</v>
      </c>
      <c r="J158" s="13"/>
      <c r="K158" s="344"/>
      <c r="L158" s="75"/>
      <c r="M158" s="13"/>
      <c r="N158" s="344"/>
      <c r="O158" s="75">
        <v>20000000</v>
      </c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261842440</v>
      </c>
      <c r="AN158" s="13"/>
      <c r="AO158" s="333"/>
    </row>
    <row r="159" spans="2:42" ht="15" customHeight="1" x14ac:dyDescent="0.2">
      <c r="B159" s="563" t="s">
        <v>404</v>
      </c>
      <c r="C159" s="705"/>
      <c r="D159" s="13"/>
      <c r="E159" s="344">
        <v>241842440</v>
      </c>
      <c r="F159" s="705"/>
      <c r="G159" s="13"/>
      <c r="H159" s="344"/>
      <c r="I159" s="705">
        <v>241842440</v>
      </c>
      <c r="J159" s="13"/>
      <c r="K159" s="344"/>
      <c r="L159" s="705"/>
      <c r="M159" s="13"/>
      <c r="N159" s="344"/>
      <c r="O159" s="705">
        <v>20000000</v>
      </c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261842440</v>
      </c>
      <c r="AN159" s="13"/>
      <c r="AO159" s="333"/>
    </row>
    <row r="160" spans="2:42" ht="15" customHeight="1" thickBot="1" x14ac:dyDescent="0.25">
      <c r="B160" s="968" t="s">
        <v>405</v>
      </c>
      <c r="C160" s="234"/>
      <c r="D160" s="233"/>
      <c r="E160" s="345">
        <v>241842440</v>
      </c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261842440</v>
      </c>
      <c r="AN160" s="809"/>
      <c r="AO160" s="334"/>
    </row>
    <row r="161" spans="2:41" ht="15" customHeight="1" thickTop="1" thickBot="1" x14ac:dyDescent="0.25">
      <c r="B161" s="524" t="s">
        <v>406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-15477916160</v>
      </c>
      <c r="J161" s="498"/>
      <c r="K161" s="499"/>
      <c r="L161" s="497">
        <f>L144-L147-L153</f>
        <v>-592513978</v>
      </c>
      <c r="M161" s="498"/>
      <c r="N161" s="499"/>
      <c r="O161" s="497">
        <f>O144-O147-O153</f>
        <v>-1320000000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-22605493648.127247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-7.1111111111111107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-7.333333333333333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>
        <f>IFERROR(AM161/AM13," ")</f>
        <v>-9.5924920209977529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14510546400</v>
      </c>
      <c r="L164" s="616">
        <f>L44+L83-L73-L85</f>
        <v>0</v>
      </c>
      <c r="O164" s="616">
        <f>O44+O83-O73-O85</f>
        <v>1240000000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'[9]Hoja 1'!$C$278+'[9]Hoja 1'!$C$299-'[9]Hoja 1'!$C$309+'[9]Hoja 1'!$C$330+'[9]Hoja 1'!$C$387+'[22]Hoja 1'!$D$16+'[22]Hoja 1'!$D$20</f>
        <v>2727878421.3699999</v>
      </c>
      <c r="F165" s="616">
        <f>'[10]Hoja 1'!$C$291+'[10]Hoja 1'!$C$279-'[10]Hoja 1'!$C$304-'[10]Hoja 1'!$C$312+'[10]Hoja 1'!$C$324+'[10]Hoja 1'!$C$396+'[18]Hoja 1'!$C$103+'[33]Hoja 1'!$D$13+'[20]Hoja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3665794160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11525050286.139999</v>
      </c>
      <c r="L166" s="616">
        <f>L164-L165</f>
        <v>-3625851913.54</v>
      </c>
      <c r="O166" s="616">
        <f>O164-O165</f>
        <v>-2083110405.5300002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28">
        <f>AM161+'CTAS EN PPACION'!AM161</f>
        <v>-40526007481.46537</v>
      </c>
    </row>
    <row r="172" spans="2:41" x14ac:dyDescent="0.2">
      <c r="AM172" s="910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6"/>
  <dimension ref="A2:BI170"/>
  <sheetViews>
    <sheetView zoomScaleNormal="100" workbookViewId="0">
      <pane xSplit="2" ySplit="13" topLeftCell="C20" activePane="bottomRight" state="frozen"/>
      <selection activeCell="J90" sqref="J90"/>
      <selection pane="topRight" activeCell="J90" sqref="J90"/>
      <selection pane="bottomLeft" activeCell="J90" sqref="J90"/>
      <selection pane="bottomRight" activeCell="H49" sqref="H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42" t="s">
        <v>514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485</v>
      </c>
      <c r="C5" s="257">
        <v>22050</v>
      </c>
      <c r="D5" s="89"/>
      <c r="E5" s="303"/>
      <c r="F5" s="257">
        <v>21565</v>
      </c>
      <c r="G5" s="260"/>
      <c r="H5" s="303"/>
      <c r="I5" s="257">
        <v>241842440</v>
      </c>
      <c r="J5" s="89"/>
      <c r="K5" s="303"/>
      <c r="L5" s="257"/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261886055</v>
      </c>
      <c r="AN5" s="89"/>
      <c r="AO5" s="308">
        <f>AM5/AM12</f>
        <v>0.50003974372467308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515</v>
      </c>
      <c r="C7" s="25">
        <v>750</v>
      </c>
      <c r="D7" s="43"/>
      <c r="E7" s="118"/>
      <c r="F7" s="25">
        <v>1235</v>
      </c>
      <c r="G7" s="43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261844425</v>
      </c>
      <c r="AN7" s="43"/>
      <c r="AO7" s="309">
        <f>AM7/AM12</f>
        <v>0.49996025627532698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483684880</v>
      </c>
      <c r="J12" s="47"/>
      <c r="K12" s="152"/>
      <c r="L12" s="46">
        <f>SUM(L5:L11)</f>
        <v>0</v>
      </c>
      <c r="M12" s="47"/>
      <c r="N12" s="152"/>
      <c r="O12" s="46">
        <f>SUM(O5:O11)</f>
        <v>40000000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523730480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1451054640</v>
      </c>
      <c r="J13" s="485"/>
      <c r="K13" s="486"/>
      <c r="L13" s="484">
        <f>L14+L23</f>
        <v>0</v>
      </c>
      <c r="M13" s="485"/>
      <c r="N13" s="486"/>
      <c r="O13" s="484">
        <f>O14+O23</f>
        <v>120000000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1571054640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725527320</v>
      </c>
      <c r="J14" s="3"/>
      <c r="K14" s="150"/>
      <c r="L14" s="49">
        <f>L15</f>
        <v>0</v>
      </c>
      <c r="M14" s="3"/>
      <c r="N14" s="150"/>
      <c r="O14" s="49">
        <f>O15</f>
        <v>60000000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785527320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725527320</v>
      </c>
      <c r="J15" s="3"/>
      <c r="K15" s="150"/>
      <c r="L15" s="49">
        <f>SUM(L16:L22)</f>
        <v>0</v>
      </c>
      <c r="M15" s="3"/>
      <c r="N15" s="150"/>
      <c r="O15" s="49">
        <f>SUM(O16:O22)</f>
        <v>60000000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785527320</v>
      </c>
      <c r="AN15" s="3"/>
      <c r="AO15" s="313">
        <f>AM15/AM15</f>
        <v>1</v>
      </c>
    </row>
    <row r="16" spans="1:41" ht="15" customHeight="1" x14ac:dyDescent="0.2">
      <c r="B16" s="262" t="s">
        <v>485</v>
      </c>
      <c r="C16" s="103"/>
      <c r="D16" s="79"/>
      <c r="E16" s="147"/>
      <c r="F16" s="103"/>
      <c r="G16" s="79"/>
      <c r="H16" s="147"/>
      <c r="I16" s="103">
        <v>241842440</v>
      </c>
      <c r="J16" s="79">
        <f>I16/I5</f>
        <v>1</v>
      </c>
      <c r="K16" s="147"/>
      <c r="L16" s="103"/>
      <c r="M16" s="79" t="e">
        <f>L16/L5</f>
        <v>#DIV/0!</v>
      </c>
      <c r="N16" s="147"/>
      <c r="O16" s="103">
        <v>20000000</v>
      </c>
      <c r="P16" s="79">
        <f>O16/O5</f>
        <v>1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261842440</v>
      </c>
      <c r="AN16" s="79">
        <f>AM16/AM5</f>
        <v>0.99983345810451796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>
        <f>I17/I5</f>
        <v>0</v>
      </c>
      <c r="K17" s="118"/>
      <c r="L17" s="25"/>
      <c r="M17" s="43" t="e">
        <f>L17/L5</f>
        <v>#DIV/0!</v>
      </c>
      <c r="N17" s="118"/>
      <c r="O17" s="25"/>
      <c r="P17" s="43">
        <f>O17/O5</f>
        <v>0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516</v>
      </c>
      <c r="C18" s="25"/>
      <c r="D18" s="43"/>
      <c r="E18" s="118"/>
      <c r="F18" s="25"/>
      <c r="G18" s="43"/>
      <c r="H18" s="118"/>
      <c r="I18" s="25">
        <v>241842440</v>
      </c>
      <c r="J18" s="43"/>
      <c r="K18" s="118"/>
      <c r="L18" s="75"/>
      <c r="M18" s="43"/>
      <c r="N18" s="118"/>
      <c r="O18" s="75">
        <v>20000000</v>
      </c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261842440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517</v>
      </c>
      <c r="C21" s="2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>
        <v>20000000</v>
      </c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261842440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785527320</v>
      </c>
      <c r="AN23" s="3"/>
      <c r="AO23" s="313"/>
    </row>
    <row r="24" spans="1:41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1:41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1:41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1:41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1:41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>
        <f>O29/O13</f>
        <v>0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1451054640</v>
      </c>
      <c r="J42" s="488"/>
      <c r="K42" s="489"/>
      <c r="L42" s="487">
        <f>+L14+L23-L28</f>
        <v>0</v>
      </c>
      <c r="M42" s="488"/>
      <c r="N42" s="489"/>
      <c r="O42" s="487">
        <f>+O14+O23-O28</f>
        <v>120000000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1571054640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344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2660266840</v>
      </c>
      <c r="J44" s="491"/>
      <c r="K44" s="492">
        <f>I44/I$13</f>
        <v>1.8333333333333333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220000000</v>
      </c>
      <c r="P44" s="491"/>
      <c r="Q44" s="492">
        <f>O44/O$13</f>
        <v>1.8333333333333333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2990304214.1500001</v>
      </c>
      <c r="AN44" s="491"/>
      <c r="AO44" s="580">
        <f>AM44/AM$13</f>
        <v>1.9033737834541515</v>
      </c>
    </row>
    <row r="45" spans="2:41" ht="15" customHeight="1" x14ac:dyDescent="0.2">
      <c r="B45" s="16" t="s">
        <v>35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0.5</v>
      </c>
      <c r="L45" s="49">
        <f>+L46+L57</f>
        <v>0</v>
      </c>
      <c r="M45" s="3"/>
      <c r="N45" s="150"/>
      <c r="O45" s="49">
        <f>+O46+O57</f>
        <v>60000000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890479568.01999998</v>
      </c>
      <c r="AN45" s="3"/>
      <c r="AO45" s="313"/>
    </row>
    <row r="46" spans="2:41" ht="15" customHeight="1" x14ac:dyDescent="0.2">
      <c r="B46" s="36" t="s">
        <v>36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20000000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366794688.01999998</v>
      </c>
      <c r="AN46" s="67"/>
      <c r="AO46" s="318"/>
    </row>
    <row r="47" spans="2:41" ht="15" customHeight="1" x14ac:dyDescent="0.2">
      <c r="B47" s="97" t="s">
        <v>485</v>
      </c>
      <c r="C47" s="961">
        <f>'[44]Hoja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'[56]Hoja 1'!$G$29+'[45]Hoja 1'!$D$23</f>
        <v>51153464.590000004</v>
      </c>
      <c r="G47" s="42">
        <f>F47/F5</f>
        <v>2372.0595682819385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/>
      <c r="M47" s="42" t="e">
        <f>L47/L5</f>
        <v>#DIV/0!</v>
      </c>
      <c r="N47" s="140" t="e">
        <f>L47/L16</f>
        <v>#DIV/0!</v>
      </c>
      <c r="O47" s="76">
        <v>20000000</v>
      </c>
      <c r="P47" s="42">
        <f>O47/O5</f>
        <v>1</v>
      </c>
      <c r="Q47" s="140">
        <f>O47/O16</f>
        <v>1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366794688.01999998</v>
      </c>
      <c r="AN47" s="42">
        <f>AM47/$AM$5</f>
        <v>1.4005888477719823</v>
      </c>
      <c r="AO47" s="315">
        <f>AM47/AM16</f>
        <v>1.4008221433469685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483684880</v>
      </c>
      <c r="J57" s="47">
        <f>I57/I12</f>
        <v>1</v>
      </c>
      <c r="K57" s="152">
        <f>I57/I13</f>
        <v>0.33333333333333331</v>
      </c>
      <c r="L57" s="46">
        <f>SUM(L58:L59)</f>
        <v>0</v>
      </c>
      <c r="M57" s="67"/>
      <c r="N57" s="149"/>
      <c r="O57" s="46">
        <f>SUM(O58:O59)</f>
        <v>40000000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523684880</v>
      </c>
      <c r="AN57" s="47">
        <f>AM57/AM12</f>
        <v>0.99991293231587364</v>
      </c>
      <c r="AO57" s="311">
        <f>AM57/AM13</f>
        <v>0.33333333333333331</v>
      </c>
    </row>
    <row r="58" spans="1:41" ht="15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261842440</v>
      </c>
      <c r="AN58" s="305"/>
      <c r="AO58" s="414">
        <f>AM58/AM$13</f>
        <v>0.16666666666666666</v>
      </c>
    </row>
    <row r="59" spans="1:41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261842440</v>
      </c>
      <c r="AN59" s="84"/>
      <c r="AO59" s="416">
        <f>AM59/AM$13</f>
        <v>0.16666666666666666</v>
      </c>
    </row>
    <row r="60" spans="1:41" ht="15" customHeight="1" x14ac:dyDescent="0.2">
      <c r="B60" s="16" t="s">
        <v>37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1209212200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100000000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1314297326.1300001</v>
      </c>
      <c r="AN60" s="3"/>
      <c r="AO60" s="313"/>
    </row>
    <row r="61" spans="1:41" ht="15" hidden="1" customHeight="1" x14ac:dyDescent="0.2">
      <c r="B61" s="36" t="s">
        <v>36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>
        <f>O61/$O$5</f>
        <v>0</v>
      </c>
      <c r="Q61" s="149">
        <f>O61/$O$13</f>
        <v>0</v>
      </c>
      <c r="R61" s="37">
        <f>SUM(R62:R71)</f>
        <v>0</v>
      </c>
      <c r="S61" s="67">
        <f>R61/$O$5</f>
        <v>0</v>
      </c>
      <c r="T61" s="149">
        <f>R61/$O$13</f>
        <v>0</v>
      </c>
      <c r="U61" s="37">
        <f>SUM(U62:U71)</f>
        <v>0</v>
      </c>
      <c r="V61" s="67">
        <f>U61/$O$5</f>
        <v>0</v>
      </c>
      <c r="W61" s="149">
        <f>U61/$O$13</f>
        <v>0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>
        <f t="shared" ref="AN61:AN71" si="3">AM61/$O$5</f>
        <v>0</v>
      </c>
      <c r="AO61" s="318">
        <f t="shared" ref="AO61:AO71" si="4">AM61/$O$13</f>
        <v>0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>
        <f t="shared" si="3"/>
        <v>0</v>
      </c>
      <c r="AO62" s="314">
        <f t="shared" si="4"/>
        <v>0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>
        <f t="shared" si="3"/>
        <v>0</v>
      </c>
      <c r="AO63" s="309">
        <f t="shared" si="4"/>
        <v>0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>
        <f t="shared" si="3"/>
        <v>0</v>
      </c>
      <c r="AO64" s="309">
        <f t="shared" si="4"/>
        <v>0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>
        <f t="shared" si="3"/>
        <v>0</v>
      </c>
      <c r="AO65" s="309">
        <f t="shared" si="4"/>
        <v>0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>
        <f t="shared" si="3"/>
        <v>0</v>
      </c>
      <c r="AO66" s="309">
        <f t="shared" si="4"/>
        <v>0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>
        <f t="shared" si="3"/>
        <v>0</v>
      </c>
      <c r="AO67" s="309">
        <f t="shared" si="4"/>
        <v>0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>
        <f t="shared" si="3"/>
        <v>0</v>
      </c>
      <c r="AO68" s="309">
        <f t="shared" si="4"/>
        <v>0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>
        <f t="shared" si="3"/>
        <v>0</v>
      </c>
      <c r="AO69" s="309">
        <f t="shared" si="4"/>
        <v>0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>
        <f t="shared" si="3"/>
        <v>0</v>
      </c>
      <c r="AO70" s="309">
        <f t="shared" si="4"/>
        <v>0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>
        <f t="shared" si="3"/>
        <v>0</v>
      </c>
      <c r="AO71" s="310">
        <f t="shared" si="4"/>
        <v>0</v>
      </c>
    </row>
    <row r="72" spans="2:42" ht="15" customHeight="1" x14ac:dyDescent="0.2">
      <c r="B72" s="36" t="s">
        <v>487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483684880</v>
      </c>
      <c r="J72" s="47">
        <f>I72/I12</f>
        <v>1</v>
      </c>
      <c r="K72" s="152">
        <f>I72/I13</f>
        <v>0.33333333333333331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40000000</v>
      </c>
      <c r="P72" s="47">
        <f>O72/O12</f>
        <v>1</v>
      </c>
      <c r="Q72" s="152">
        <f>O72/O13</f>
        <v>0.33333333333333331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528734406.13</v>
      </c>
      <c r="AN72" s="47">
        <f>AM72/AM12</f>
        <v>1.0095543916596186</v>
      </c>
      <c r="AO72" s="152">
        <f>AM72/AM13</f>
        <v>0.33654743295879258</v>
      </c>
    </row>
    <row r="73" spans="2:42" ht="15" customHeight="1" x14ac:dyDescent="0.2">
      <c r="B73" s="411" t="s">
        <v>384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>
        <v>241842440</v>
      </c>
      <c r="J73" s="79"/>
      <c r="K73" s="147"/>
      <c r="L73" s="78"/>
      <c r="M73" s="79"/>
      <c r="N73" s="147"/>
      <c r="O73" s="78">
        <v>20000000</v>
      </c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263989187.13</v>
      </c>
      <c r="AN73" s="79"/>
      <c r="AO73" s="638"/>
    </row>
    <row r="74" spans="2:42" ht="15" customHeight="1" x14ac:dyDescent="0.2">
      <c r="B74" s="415" t="s">
        <v>385</v>
      </c>
      <c r="C74" s="273">
        <f>'[9]Hoja 1'!$C$381</f>
        <v>645062</v>
      </c>
      <c r="D74" s="134"/>
      <c r="E74" s="428"/>
      <c r="F74" s="273">
        <f>'[10]Hoja 1'!$C$378</f>
        <v>2257717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>
        <v>20000000</v>
      </c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264745219</v>
      </c>
      <c r="AN74" s="134"/>
      <c r="AO74" s="637"/>
      <c r="AP74" s="758"/>
    </row>
    <row r="75" spans="2:42" ht="15" customHeight="1" x14ac:dyDescent="0.2">
      <c r="B75" s="36" t="s">
        <v>44</v>
      </c>
      <c r="C75" s="37"/>
      <c r="D75" s="67"/>
      <c r="E75" s="149"/>
      <c r="F75" s="37">
        <f>'[10]Hoja 1'!$C$381</f>
        <v>35600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261878040</v>
      </c>
      <c r="AN75" s="67"/>
      <c r="AO75" s="318">
        <f>AM75/AM$13</f>
        <v>0.16668932660419755</v>
      </c>
    </row>
    <row r="76" spans="2:42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261842440</v>
      </c>
      <c r="AN76" s="67"/>
      <c r="AO76" s="320"/>
    </row>
    <row r="77" spans="2:42" ht="15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261842440</v>
      </c>
      <c r="AN77" s="42"/>
      <c r="AO77" s="320"/>
    </row>
    <row r="78" spans="2:42" ht="15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0.5</v>
      </c>
      <c r="L78" s="49">
        <f>SUM(L79:L81)</f>
        <v>0</v>
      </c>
      <c r="M78" s="3"/>
      <c r="N78" s="150" t="e">
        <f>L78/(L$13)</f>
        <v>#DIV/0!</v>
      </c>
      <c r="O78" s="49">
        <f>SUM(O79:O81)</f>
        <v>60000000</v>
      </c>
      <c r="P78" s="3"/>
      <c r="Q78" s="150">
        <f>O78/(O$13)</f>
        <v>0.5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785527320</v>
      </c>
      <c r="AN78" s="3"/>
      <c r="AO78" s="321">
        <f>AM78/(AM$13)</f>
        <v>0.5</v>
      </c>
    </row>
    <row r="79" spans="2:42" ht="15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>
        <v>20000000</v>
      </c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261842440</v>
      </c>
      <c r="AN79" s="4">
        <f>AM79/AM12</f>
        <v>0.49995646615793682</v>
      </c>
      <c r="AO79" s="322"/>
    </row>
    <row r="80" spans="2:42" ht="15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261842440</v>
      </c>
      <c r="AN80" s="43"/>
      <c r="AO80" s="309"/>
    </row>
    <row r="81" spans="2:42" ht="15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261842440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51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7.166666666666667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900000000</v>
      </c>
      <c r="P83" s="491"/>
      <c r="Q83" s="492">
        <f>O83/(O$13)</f>
        <v>7.5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11311020507.113173</v>
      </c>
      <c r="AN83" s="491"/>
      <c r="AO83" s="582">
        <f>AM83/(AM$13)</f>
        <v>7.1996353399351998</v>
      </c>
    </row>
    <row r="84" spans="2:42" ht="15" customHeight="1" x14ac:dyDescent="0.2">
      <c r="B84" s="16" t="s">
        <v>52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0.66666666666666663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0.66666666666666663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1055409159.1131716</v>
      </c>
      <c r="AN84" s="3"/>
      <c r="AO84" s="321">
        <f>AM84/(AM$13)</f>
        <v>0.67178386559055103</v>
      </c>
    </row>
    <row r="85" spans="2:42" ht="15" customHeight="1" x14ac:dyDescent="0.2">
      <c r="B85" s="39" t="s">
        <v>53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>
        <v>241842440</v>
      </c>
      <c r="J85" s="69"/>
      <c r="K85" s="306"/>
      <c r="L85" s="39"/>
      <c r="M85" s="69"/>
      <c r="N85" s="306"/>
      <c r="O85" s="39">
        <v>20000000</v>
      </c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269881839.11317158</v>
      </c>
      <c r="AN85" s="69"/>
      <c r="AO85" s="324">
        <f>AM85/(AM$13)</f>
        <v>0.17178386559055106</v>
      </c>
      <c r="AP85" s="758"/>
    </row>
    <row r="86" spans="2:42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261842440</v>
      </c>
      <c r="AN86" s="43"/>
      <c r="AO86" s="309"/>
    </row>
    <row r="87" spans="2:42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261842440</v>
      </c>
      <c r="AN87" s="42"/>
      <c r="AO87" s="315"/>
    </row>
    <row r="88" spans="2:42" ht="15" customHeight="1" x14ac:dyDescent="0.2">
      <c r="B88" s="206" t="s">
        <v>161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261842440</v>
      </c>
      <c r="AN88" s="84"/>
      <c r="AO88" s="310"/>
    </row>
    <row r="89" spans="2:42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0.33333333333333331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0.33333333333333331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523684880</v>
      </c>
      <c r="AN89" s="3"/>
      <c r="AO89" s="321">
        <f>AM89/(AM$13)</f>
        <v>0.33333333333333331</v>
      </c>
    </row>
    <row r="90" spans="2:42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261842440</v>
      </c>
      <c r="AN90" s="69"/>
      <c r="AO90" s="324"/>
    </row>
    <row r="91" spans="2:42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261842440</v>
      </c>
      <c r="AN91" s="84"/>
      <c r="AO91" s="310"/>
    </row>
    <row r="92" spans="2:42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0.5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0.5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785527320</v>
      </c>
      <c r="AN92" s="3"/>
      <c r="AO92" s="321">
        <f>AM92/(AM$13)</f>
        <v>0.5</v>
      </c>
    </row>
    <row r="93" spans="2:42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261842440</v>
      </c>
      <c r="AN93" s="69"/>
      <c r="AO93" s="324"/>
    </row>
    <row r="94" spans="2:42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261842440</v>
      </c>
      <c r="AN94" s="43"/>
      <c r="AO94" s="309"/>
    </row>
    <row r="95" spans="2:42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261842440</v>
      </c>
      <c r="AN95" s="45"/>
      <c r="AO95" s="325"/>
    </row>
    <row r="96" spans="2:42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0.33333333333333331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0.33333333333333331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523684880</v>
      </c>
      <c r="AN96" s="3"/>
      <c r="AO96" s="321">
        <f>AM96/(AM$13)</f>
        <v>0.33333333333333331</v>
      </c>
    </row>
    <row r="97" spans="1:61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261842440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261842440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1.1666666666666667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1.5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1872897080</v>
      </c>
      <c r="AN99" s="3"/>
      <c r="AO99" s="321">
        <f>AM99/(AM$13)</f>
        <v>1.1921272706339481</v>
      </c>
    </row>
    <row r="100" spans="1:61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261842440</v>
      </c>
      <c r="AN100" s="69"/>
      <c r="AO100" s="324"/>
    </row>
    <row r="101" spans="1:61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261842440</v>
      </c>
      <c r="AN101" s="43"/>
      <c r="AO101" s="309"/>
    </row>
    <row r="102" spans="1:61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261842440</v>
      </c>
      <c r="AN102" s="43"/>
      <c r="AO102" s="309"/>
    </row>
    <row r="103" spans="1:61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261842440</v>
      </c>
      <c r="AN103" s="43"/>
      <c r="AO103" s="309"/>
    </row>
    <row r="104" spans="1:61" ht="15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261842440</v>
      </c>
      <c r="AN104" s="43"/>
      <c r="AO104" s="309"/>
    </row>
    <row r="105" spans="1:61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261842440</v>
      </c>
      <c r="AN105" s="43"/>
      <c r="AO105" s="309"/>
    </row>
    <row r="106" spans="1:61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>
        <v>20000000</v>
      </c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261842440</v>
      </c>
      <c r="AN106" s="43"/>
      <c r="AO106" s="309"/>
    </row>
    <row r="107" spans="1:61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>
        <v>20000000</v>
      </c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261842440</v>
      </c>
      <c r="AN107" s="43"/>
      <c r="AO107" s="309"/>
    </row>
    <row r="108" spans="1:61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261842440</v>
      </c>
      <c r="AN108" s="42"/>
      <c r="AO108" s="315"/>
    </row>
    <row r="109" spans="1:61" ht="15" customHeight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0.66666666666666663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0.66666666666666663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1047369760</v>
      </c>
      <c r="AN109" s="3"/>
      <c r="AO109" s="321">
        <f>AM109/(AM$13)</f>
        <v>0.66666666666666663</v>
      </c>
    </row>
    <row r="110" spans="1:61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261842440</v>
      </c>
      <c r="AN110" s="69"/>
      <c r="AO110" s="324"/>
    </row>
    <row r="111" spans="1:61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261842440</v>
      </c>
      <c r="AN111" s="43"/>
      <c r="AO111" s="309"/>
    </row>
    <row r="112" spans="1:61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261842440</v>
      </c>
      <c r="AN112" s="43"/>
      <c r="AO112" s="309"/>
    </row>
    <row r="113" spans="1:41" ht="15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261842440</v>
      </c>
      <c r="AN113" s="45"/>
      <c r="AO113" s="325"/>
    </row>
    <row r="114" spans="1:41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0.33333333333333331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40000000</v>
      </c>
      <c r="P114" s="3"/>
      <c r="Q114" s="150">
        <f>O114/(O$13)</f>
        <v>0.33333333333333331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523684880</v>
      </c>
      <c r="AN114" s="3"/>
      <c r="AO114" s="321">
        <f>AM114/(AM$13)</f>
        <v>0.33333333333333331</v>
      </c>
    </row>
    <row r="115" spans="1:41" ht="15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261842440</v>
      </c>
      <c r="AN115" s="69"/>
      <c r="AO115" s="324"/>
    </row>
    <row r="116" spans="1:41" ht="15" customHeight="1" outlineLevel="1" x14ac:dyDescent="0.2">
      <c r="A116" s="226" t="s">
        <v>90</v>
      </c>
      <c r="B116" s="25" t="s">
        <v>91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261842440</v>
      </c>
      <c r="AN116" s="43"/>
      <c r="AO116" s="309"/>
    </row>
    <row r="117" spans="1:41" ht="15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261842440</v>
      </c>
      <c r="AN117" s="43"/>
      <c r="AO117" s="309"/>
    </row>
    <row r="118" spans="1:41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261842440</v>
      </c>
      <c r="AN118" s="43"/>
      <c r="AO118" s="309"/>
    </row>
    <row r="119" spans="1:41" ht="15" customHeight="1" outlineLevel="1" x14ac:dyDescent="0.2">
      <c r="A119" s="226" t="s">
        <v>96</v>
      </c>
      <c r="B119" s="97" t="s">
        <v>209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>
        <v>20000000</v>
      </c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261842440</v>
      </c>
      <c r="AN119" s="42"/>
      <c r="AO119" s="315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0.16666666666666666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0.16666666666666666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261842440</v>
      </c>
      <c r="AN120" s="3"/>
      <c r="AO120" s="321">
        <f>AM120/(AM$13)</f>
        <v>0.16666666666666666</v>
      </c>
    </row>
    <row r="121" spans="1:41" ht="15" customHeight="1" x14ac:dyDescent="0.2">
      <c r="A121" s="226" t="s">
        <v>99</v>
      </c>
      <c r="B121" s="39" t="s">
        <v>100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261842440</v>
      </c>
      <c r="AN121" s="69"/>
      <c r="AO121" s="324"/>
    </row>
    <row r="122" spans="1:41" ht="15" customHeight="1" x14ac:dyDescent="0.2">
      <c r="A122" s="226" t="s">
        <v>101</v>
      </c>
      <c r="B122" s="284" t="s">
        <v>102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261842440</v>
      </c>
      <c r="AN122" s="92"/>
      <c r="AO122" s="327"/>
    </row>
    <row r="123" spans="1:41" ht="15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0.5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785527320</v>
      </c>
      <c r="AN123" s="3"/>
      <c r="AO123" s="321">
        <f>AM123/(AM$13)</f>
        <v>0.5</v>
      </c>
    </row>
    <row r="124" spans="1:41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261842440</v>
      </c>
      <c r="AN124" s="69"/>
      <c r="AO124" s="324"/>
    </row>
    <row r="125" spans="1:41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261842440</v>
      </c>
      <c r="AN125" s="43"/>
      <c r="AO125" s="309"/>
    </row>
    <row r="126" spans="1:41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261842440</v>
      </c>
      <c r="AN126" s="45"/>
      <c r="AO126" s="325"/>
    </row>
    <row r="127" spans="1:41" ht="15" customHeight="1" x14ac:dyDescent="0.2">
      <c r="B127" s="16" t="s">
        <v>110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2.5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2.5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3931392788</v>
      </c>
      <c r="AN127" s="3"/>
      <c r="AO127" s="321">
        <f>AM127/(AM$13)</f>
        <v>2.5023908703773663</v>
      </c>
    </row>
    <row r="128" spans="1:41" ht="15" customHeight="1" outlineLevel="1" x14ac:dyDescent="0.2">
      <c r="A128" s="226" t="s">
        <v>111</v>
      </c>
      <c r="B128" s="39" t="s">
        <v>390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261842440</v>
      </c>
      <c r="AN128" s="42"/>
      <c r="AO128" s="328"/>
    </row>
    <row r="129" spans="1:41" ht="15" customHeight="1" outlineLevel="1" x14ac:dyDescent="0.2">
      <c r="A129" s="226" t="s">
        <v>113</v>
      </c>
      <c r="B129" s="25" t="s">
        <v>391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261842440</v>
      </c>
      <c r="AN129" s="43"/>
      <c r="AO129" s="329"/>
    </row>
    <row r="130" spans="1:41" ht="15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261842440</v>
      </c>
      <c r="AN130" s="43"/>
      <c r="AO130" s="329"/>
    </row>
    <row r="131" spans="1:41" ht="15" customHeight="1" outlineLevel="1" x14ac:dyDescent="0.2">
      <c r="A131" s="226" t="s">
        <v>117</v>
      </c>
      <c r="B131" s="25" t="s">
        <v>118</v>
      </c>
      <c r="C131" s="25">
        <f>'[9]Hoja 1'!$C$384</f>
        <v>3225038</v>
      </c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265067478</v>
      </c>
      <c r="AN131" s="43"/>
      <c r="AO131" s="329"/>
    </row>
    <row r="132" spans="1:41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261842440</v>
      </c>
      <c r="AN132" s="43"/>
      <c r="AO132" s="309"/>
    </row>
    <row r="133" spans="1:41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>
        <f>'[10]Hoja 1'!$C$383</f>
        <v>15000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261857440</v>
      </c>
      <c r="AN133" s="43"/>
      <c r="AO133" s="309"/>
    </row>
    <row r="134" spans="1:41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>
        <f>'[10]Hoja 1'!$C$385</f>
        <v>450000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262292440</v>
      </c>
      <c r="AN134" s="43"/>
      <c r="AO134" s="309"/>
    </row>
    <row r="135" spans="1:41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261842440</v>
      </c>
      <c r="AN135" s="43"/>
      <c r="AO135" s="309"/>
    </row>
    <row r="136" spans="1:41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>
        <f>'[10]Hoja 1'!$C$387</f>
        <v>66150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261908590</v>
      </c>
      <c r="AN136" s="43"/>
      <c r="AO136" s="309"/>
    </row>
    <row r="137" spans="1:41" ht="15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261842440</v>
      </c>
      <c r="AN137" s="43"/>
      <c r="AO137" s="309"/>
    </row>
    <row r="138" spans="1:41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261842440</v>
      </c>
      <c r="AN138" s="43"/>
      <c r="AO138" s="309"/>
    </row>
    <row r="139" spans="1:41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261842440</v>
      </c>
      <c r="AN139" s="43"/>
      <c r="AO139" s="309"/>
    </row>
    <row r="140" spans="1:41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261842440</v>
      </c>
      <c r="AN140" s="43"/>
      <c r="AO140" s="309"/>
    </row>
    <row r="141" spans="1:41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261842440</v>
      </c>
      <c r="AN141" s="43"/>
      <c r="AO141" s="309"/>
    </row>
    <row r="142" spans="1:41" ht="15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261842440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-11608437120</v>
      </c>
      <c r="J144" s="494"/>
      <c r="K144" s="495"/>
      <c r="L144" s="493">
        <f>+L42-L44-L83</f>
        <v>0</v>
      </c>
      <c r="M144" s="494"/>
      <c r="N144" s="495"/>
      <c r="O144" s="493">
        <f>+O42-O44-O83</f>
        <v>-1000000000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-12730270081.263172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-8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-8.3333333333333339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-8.1030091233893504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394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0.66666666666666663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80000000</v>
      </c>
      <c r="P147" s="491"/>
      <c r="Q147" s="492">
        <f>O147/(O$13)</f>
        <v>0.66666666666666663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1066560492.1841428</v>
      </c>
      <c r="AN147" s="491"/>
      <c r="AO147" s="580">
        <f>AM147/(AM$13)</f>
        <v>0.67888185746623231</v>
      </c>
    </row>
    <row r="148" spans="2:42" ht="15" customHeight="1" x14ac:dyDescent="0.2">
      <c r="B148" s="18" t="s">
        <v>395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>
        <v>20000000</v>
      </c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276570027.46872979</v>
      </c>
      <c r="AN148" s="69"/>
      <c r="AO148" s="324">
        <f>AM148/(AM$13)</f>
        <v>0.17604099846503735</v>
      </c>
      <c r="AP148" s="144"/>
    </row>
    <row r="149" spans="2:42" ht="15" customHeight="1" x14ac:dyDescent="0.2">
      <c r="B149" s="285" t="s">
        <v>440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265701123.17369616</v>
      </c>
      <c r="AN149" s="43"/>
      <c r="AO149" s="309"/>
    </row>
    <row r="150" spans="2:42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261842440</v>
      </c>
      <c r="AN150" s="42"/>
      <c r="AO150" s="315">
        <f>AM150/(AM$13)</f>
        <v>0.16666666666666666</v>
      </c>
      <c r="AP150" s="144"/>
    </row>
    <row r="151" spans="2:42" ht="15" customHeight="1" thickBot="1" x14ac:dyDescent="0.25">
      <c r="B151" s="300" t="s">
        <v>442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>
        <v>20000000</v>
      </c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262446901.54171684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967369760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80000000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1047369760</v>
      </c>
      <c r="AN153" s="498"/>
      <c r="AO153" s="586">
        <f>AM153/(AM$13)</f>
        <v>0.66666666666666663</v>
      </c>
    </row>
    <row r="154" spans="2:42" ht="15" customHeight="1" thickTop="1" x14ac:dyDescent="0.2">
      <c r="B154" s="40" t="s">
        <v>399</v>
      </c>
      <c r="C154" s="634"/>
      <c r="D154" s="548"/>
      <c r="E154" s="549"/>
      <c r="F154" s="634"/>
      <c r="G154" s="548"/>
      <c r="H154" s="549"/>
      <c r="I154" s="634">
        <v>241842440</v>
      </c>
      <c r="J154" s="548"/>
      <c r="K154" s="549"/>
      <c r="L154" s="634"/>
      <c r="M154" s="548"/>
      <c r="N154" s="549"/>
      <c r="O154" s="231">
        <v>20000000</v>
      </c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261842440</v>
      </c>
      <c r="AN154" s="230"/>
      <c r="AO154" s="332"/>
    </row>
    <row r="155" spans="2:42" ht="15" customHeight="1" x14ac:dyDescent="0.2">
      <c r="B155" s="689" t="s">
        <v>491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491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492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>
        <v>20000000</v>
      </c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261842440</v>
      </c>
      <c r="AN158" s="13"/>
      <c r="AO158" s="333"/>
    </row>
    <row r="159" spans="2:42" ht="15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261842440</v>
      </c>
      <c r="AN159" s="13"/>
      <c r="AO159" s="333"/>
    </row>
    <row r="160" spans="2:42" ht="15" customHeight="1" thickBot="1" x14ac:dyDescent="0.25">
      <c r="B160" s="291" t="s">
        <v>492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261842440</v>
      </c>
      <c r="AN160" s="809"/>
      <c r="AO160" s="334"/>
    </row>
    <row r="161" spans="1:41" ht="15" customHeight="1" thickTop="1" thickBot="1" x14ac:dyDescent="0.25">
      <c r="B161" s="524" t="s">
        <v>406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-13543176640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-1160000000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-14844200333.447315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-9.3333333333333339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-9.6666666666666661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-9.4485576475222501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12575806880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1080000000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'[9]Hoja 1'!$C$370</f>
        <v>30740394.43</v>
      </c>
      <c r="D165" s="547"/>
      <c r="E165" s="699"/>
      <c r="F165" s="472">
        <f>'[10]Hoja 1'!$C$356+'[10]Hoja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12505758810.950001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988953428.25999999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518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7"/>
  <dimension ref="A2:BG216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B57" sqref="B57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42" t="s">
        <v>519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>
        <f>AM5/AM12</f>
        <v>0</v>
      </c>
    </row>
    <row r="6" spans="1:41" s="223" customFormat="1" ht="15" customHeight="1" x14ac:dyDescent="0.2">
      <c r="A6" s="228"/>
      <c r="B6" s="258" t="s">
        <v>520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261842440</v>
      </c>
      <c r="AN6" s="43"/>
      <c r="AO6" s="309">
        <f>AM6/AM12</f>
        <v>1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>
        <f>AM7/AM12</f>
        <v>0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241842440</v>
      </c>
      <c r="J12" s="47"/>
      <c r="K12" s="152"/>
      <c r="L12" s="46">
        <f>SUM(L5:L11)</f>
        <v>0</v>
      </c>
      <c r="M12" s="47"/>
      <c r="N12" s="152"/>
      <c r="O12" s="46">
        <f>SUM(O5:O11)</f>
        <v>20000000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261842440</v>
      </c>
      <c r="AN12" s="47"/>
      <c r="AO12" s="311"/>
    </row>
    <row r="13" spans="1:41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1209212200</v>
      </c>
      <c r="J13" s="485"/>
      <c r="K13" s="486"/>
      <c r="L13" s="484">
        <f>L14+L23</f>
        <v>0</v>
      </c>
      <c r="M13" s="485"/>
      <c r="N13" s="486"/>
      <c r="O13" s="484">
        <f>O14+O23</f>
        <v>100000000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1309212200</v>
      </c>
      <c r="AN13" s="485"/>
      <c r="AO13" s="579"/>
    </row>
    <row r="14" spans="1:41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483684880</v>
      </c>
      <c r="J14" s="3"/>
      <c r="K14" s="150"/>
      <c r="L14" s="49">
        <f>L15</f>
        <v>0</v>
      </c>
      <c r="M14" s="3"/>
      <c r="N14" s="150"/>
      <c r="O14" s="49">
        <f>O15</f>
        <v>40000000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523684880</v>
      </c>
      <c r="AN14" s="3"/>
      <c r="AO14" s="313"/>
    </row>
    <row r="15" spans="1:41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483684880</v>
      </c>
      <c r="J15" s="3"/>
      <c r="K15" s="150"/>
      <c r="L15" s="49">
        <f>SUM(L16:L22)</f>
        <v>0</v>
      </c>
      <c r="M15" s="3"/>
      <c r="N15" s="150"/>
      <c r="O15" s="49">
        <f>SUM(O16:O22)</f>
        <v>40000000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523684880</v>
      </c>
      <c r="AN15" s="3"/>
      <c r="AO15" s="313">
        <f>AM15/AM15</f>
        <v>1</v>
      </c>
    </row>
    <row r="16" spans="1:41" ht="15" customHeight="1" x14ac:dyDescent="0.2">
      <c r="B16" s="826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2" t="s">
        <v>485</v>
      </c>
      <c r="C17" s="25"/>
      <c r="D17" s="43"/>
      <c r="E17" s="118"/>
      <c r="F17" s="25"/>
      <c r="G17" s="43"/>
      <c r="H17" s="118"/>
      <c r="I17" s="25">
        <v>241842440</v>
      </c>
      <c r="J17" s="43">
        <f>I17/I6</f>
        <v>1</v>
      </c>
      <c r="K17" s="118"/>
      <c r="L17" s="25"/>
      <c r="M17" s="43" t="e">
        <f>L17/L6</f>
        <v>#DIV/0!</v>
      </c>
      <c r="N17" s="118"/>
      <c r="O17" s="25">
        <v>20000000</v>
      </c>
      <c r="P17" s="43">
        <f>O17/O6</f>
        <v>1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261842440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2" t="s">
        <v>517</v>
      </c>
      <c r="C21" s="7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>
        <v>20000000</v>
      </c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261842440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785527320</v>
      </c>
      <c r="AN23" s="3"/>
      <c r="AO23" s="313"/>
    </row>
    <row r="24" spans="1:41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1:41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1:41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1:41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1:41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483684880</v>
      </c>
      <c r="J28" s="3"/>
      <c r="K28" s="150"/>
      <c r="L28" s="49">
        <f>+L29</f>
        <v>0</v>
      </c>
      <c r="M28" s="3"/>
      <c r="N28" s="150"/>
      <c r="O28" s="49">
        <f>+O29</f>
        <v>40000000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523684880</v>
      </c>
      <c r="AN28" s="3"/>
      <c r="AO28" s="313"/>
    </row>
    <row r="29" spans="1:41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483684880</v>
      </c>
      <c r="J29" s="3"/>
      <c r="K29" s="150">
        <f>I29/I13</f>
        <v>0.4</v>
      </c>
      <c r="L29" s="49">
        <f>SUM(L30:L35)</f>
        <v>0</v>
      </c>
      <c r="M29" s="3"/>
      <c r="N29" s="150" t="e">
        <f>L29/L13</f>
        <v>#DIV/0!</v>
      </c>
      <c r="O29" s="49">
        <f>SUM(O30:O35)</f>
        <v>40000000</v>
      </c>
      <c r="P29" s="3"/>
      <c r="Q29" s="150">
        <f>O29/O13</f>
        <v>0.4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523684880</v>
      </c>
      <c r="AN29" s="3">
        <f>AM29/$AM$6</f>
        <v>2</v>
      </c>
      <c r="AO29" s="313">
        <f>AM29/AM13</f>
        <v>0.4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521</v>
      </c>
      <c r="C31" s="265"/>
      <c r="D31" s="43"/>
      <c r="E31" s="118"/>
      <c r="F31" s="265"/>
      <c r="G31" s="43"/>
      <c r="H31" s="118"/>
      <c r="I31" s="265">
        <v>241842440</v>
      </c>
      <c r="J31" s="43"/>
      <c r="K31" s="118"/>
      <c r="L31" s="265"/>
      <c r="M31" s="43"/>
      <c r="N31" s="118"/>
      <c r="O31" s="265">
        <v>20000000</v>
      </c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261842440</v>
      </c>
      <c r="AN31" s="43"/>
      <c r="AO31" s="309"/>
    </row>
    <row r="32" spans="1:41" ht="15" hidden="1" customHeight="1" outlineLevel="1" x14ac:dyDescent="0.2">
      <c r="B32" s="105" t="s">
        <v>521</v>
      </c>
      <c r="C32" s="265"/>
      <c r="D32" s="43"/>
      <c r="E32" s="118"/>
      <c r="F32" s="265"/>
      <c r="G32" s="43"/>
      <c r="H32" s="118"/>
      <c r="I32" s="265">
        <v>241842440</v>
      </c>
      <c r="J32" s="43"/>
      <c r="K32" s="118"/>
      <c r="L32" s="265"/>
      <c r="M32" s="43"/>
      <c r="N32" s="118"/>
      <c r="O32" s="265">
        <v>20000000</v>
      </c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261842440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725527320</v>
      </c>
      <c r="J42" s="488"/>
      <c r="K42" s="489"/>
      <c r="L42" s="487">
        <f>+L14+L23-L28</f>
        <v>0</v>
      </c>
      <c r="M42" s="488"/>
      <c r="N42" s="489"/>
      <c r="O42" s="487">
        <f>+O14+O23-O28</f>
        <v>60000000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785527320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344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2418424400</v>
      </c>
      <c r="J44" s="491"/>
      <c r="K44" s="492">
        <f>I44/I$13</f>
        <v>2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200000000</v>
      </c>
      <c r="P44" s="491"/>
      <c r="Q44" s="492">
        <f>O44/O$13</f>
        <v>2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4482209523.470623</v>
      </c>
      <c r="AN44" s="491"/>
      <c r="AO44" s="580">
        <f>AM44/AM$13</f>
        <v>3.4235928472638912</v>
      </c>
    </row>
    <row r="45" spans="2:42" ht="15" customHeight="1" x14ac:dyDescent="0.2">
      <c r="B45" s="16" t="s">
        <v>35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0.6</v>
      </c>
      <c r="L45" s="49">
        <f>+L46+L57</f>
        <v>0</v>
      </c>
      <c r="M45" s="3"/>
      <c r="N45" s="150"/>
      <c r="O45" s="49">
        <f>+O46+O57</f>
        <v>60000000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2649312443.4706235</v>
      </c>
      <c r="AN45" s="3"/>
      <c r="AO45" s="313"/>
    </row>
    <row r="46" spans="2:42" ht="15" customHeight="1" x14ac:dyDescent="0.2">
      <c r="B46" s="36" t="s">
        <v>36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20000000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1668859563.4706235</v>
      </c>
      <c r="AN46" s="67"/>
      <c r="AO46" s="318"/>
    </row>
    <row r="47" spans="2:42" ht="15" customHeight="1" x14ac:dyDescent="0.2">
      <c r="B47" s="97" t="s">
        <v>485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>
        <v>241842440</v>
      </c>
      <c r="J47" s="42">
        <f>I47/I12</f>
        <v>1</v>
      </c>
      <c r="K47" s="140">
        <f>I47/I13</f>
        <v>0.2</v>
      </c>
      <c r="L47" s="76"/>
      <c r="M47" s="42" t="e">
        <f>L47/L12</f>
        <v>#DIV/0!</v>
      </c>
      <c r="N47" s="140" t="e">
        <f>L47/L13</f>
        <v>#DIV/0!</v>
      </c>
      <c r="O47" s="76">
        <v>20000000</v>
      </c>
      <c r="P47" s="42">
        <f>O47/O12</f>
        <v>1</v>
      </c>
      <c r="Q47" s="140">
        <f>O47/O13</f>
        <v>0.2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1668859563.4706235</v>
      </c>
      <c r="AN47" s="42">
        <f>AM47/$AM$12</f>
        <v>6.3735258633803733</v>
      </c>
      <c r="AO47" s="315">
        <f>AM47/AM13</f>
        <v>1.2747051726760745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AM48/AM12</f>
        <v>0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522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2</v>
      </c>
      <c r="K57" s="152">
        <f>I57/I13</f>
        <v>0.4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40000000</v>
      </c>
      <c r="P57" s="47">
        <f>O57/O12</f>
        <v>2</v>
      </c>
      <c r="Q57" s="152">
        <f>O57/O13</f>
        <v>0.4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980452880</v>
      </c>
      <c r="AN57" s="47">
        <f>AM57/AM12</f>
        <v>3.7444383729390851</v>
      </c>
      <c r="AO57" s="311">
        <f>AM57/AM13</f>
        <v>0.74888767458781702</v>
      </c>
    </row>
    <row r="58" spans="1:59" ht="15" customHeight="1" x14ac:dyDescent="0.2">
      <c r="B58" s="411" t="s">
        <v>523</v>
      </c>
      <c r="C58" s="304">
        <f>[57]ENERO!$G$22</f>
        <v>223236000</v>
      </c>
      <c r="D58" s="305"/>
      <c r="E58" s="412"/>
      <c r="F58" s="304">
        <f>[57]FEBRERO!$G$22</f>
        <v>233532000</v>
      </c>
      <c r="G58" s="305"/>
      <c r="H58" s="412"/>
      <c r="I58" s="304">
        <v>241842440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718610440</v>
      </c>
      <c r="AN58" s="305"/>
      <c r="AO58" s="414">
        <f>AM58/AM$13</f>
        <v>0.54888767458781706</v>
      </c>
      <c r="AP58" s="144"/>
    </row>
    <row r="59" spans="1:59" s="108" customFormat="1" ht="15" customHeight="1" x14ac:dyDescent="0.2">
      <c r="A59" s="229"/>
      <c r="B59" s="415" t="s">
        <v>524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261842440</v>
      </c>
      <c r="AN59" s="84"/>
      <c r="AO59" s="416">
        <f>AM59/AM$13</f>
        <v>0.2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37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967369760</v>
      </c>
      <c r="J60" s="3"/>
      <c r="K60" s="150">
        <f>I60/I13</f>
        <v>0.8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80000000</v>
      </c>
      <c r="P60" s="3"/>
      <c r="Q60" s="150">
        <f>O60/$O$13</f>
        <v>0.8</v>
      </c>
      <c r="R60" s="90">
        <f>+R61+R72+R75+R76+R77</f>
        <v>0</v>
      </c>
      <c r="S60" s="3"/>
      <c r="T60" s="150">
        <f>R60/$O$13</f>
        <v>0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1047369760</v>
      </c>
      <c r="AN60" s="3"/>
      <c r="AO60" s="313"/>
    </row>
    <row r="61" spans="1:59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>
        <f>O61/$O$13</f>
        <v>0</v>
      </c>
      <c r="R61" s="37">
        <f>SUM(R62:R71)</f>
        <v>0</v>
      </c>
      <c r="S61" s="67" t="e">
        <f>R61/$O$5</f>
        <v>#DIV/0!</v>
      </c>
      <c r="T61" s="149">
        <f>R61/$O$13</f>
        <v>0</v>
      </c>
      <c r="U61" s="37">
        <f>SUM(U62:U71)</f>
        <v>0</v>
      </c>
      <c r="V61" s="67" t="e">
        <f>U61/$O$5</f>
        <v>#DIV/0!</v>
      </c>
      <c r="W61" s="149">
        <f>U61/$O$13</f>
        <v>0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525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241842440</v>
      </c>
      <c r="J72" s="47">
        <f>I72/I12</f>
        <v>1</v>
      </c>
      <c r="K72" s="152">
        <f>I72/I13</f>
        <v>0.2</v>
      </c>
      <c r="L72" s="46">
        <f>SUM(L73:L74)</f>
        <v>0</v>
      </c>
      <c r="M72" s="67"/>
      <c r="N72" s="149"/>
      <c r="O72" s="46">
        <f>SUM(O73:O74)</f>
        <v>20000000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261842440</v>
      </c>
      <c r="AN72" s="47">
        <f>AM72/AM12</f>
        <v>1</v>
      </c>
      <c r="AO72" s="152">
        <f>AM72/AM13</f>
        <v>0.2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29" t="s">
        <v>526</v>
      </c>
      <c r="C74" s="71"/>
      <c r="D74" s="72"/>
      <c r="E74" s="342"/>
      <c r="F74" s="71"/>
      <c r="G74" s="72"/>
      <c r="H74" s="342"/>
      <c r="I74" s="71">
        <v>241842440</v>
      </c>
      <c r="J74" s="72"/>
      <c r="K74" s="342"/>
      <c r="L74" s="71"/>
      <c r="M74" s="72"/>
      <c r="N74" s="342"/>
      <c r="O74" s="71">
        <v>20000000</v>
      </c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261842440</v>
      </c>
      <c r="AN74" s="72"/>
      <c r="AO74" s="830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7" t="s">
        <v>44</v>
      </c>
      <c r="C75" s="273"/>
      <c r="D75" s="134"/>
      <c r="E75" s="428"/>
      <c r="F75" s="273"/>
      <c r="G75" s="134"/>
      <c r="H75" s="428"/>
      <c r="I75" s="273">
        <v>241842440</v>
      </c>
      <c r="J75" s="134"/>
      <c r="K75" s="428"/>
      <c r="L75" s="273"/>
      <c r="M75" s="134"/>
      <c r="N75" s="428"/>
      <c r="O75" s="273">
        <v>20000000</v>
      </c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261842440</v>
      </c>
      <c r="AN75" s="134"/>
      <c r="AO75" s="828"/>
    </row>
    <row r="76" spans="1:59" ht="15" hidden="1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261842440</v>
      </c>
      <c r="AN76" s="67"/>
      <c r="AO76" s="320"/>
    </row>
    <row r="77" spans="1:59" ht="15" hidden="1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261842440</v>
      </c>
      <c r="AN77" s="42"/>
      <c r="AO77" s="320"/>
    </row>
    <row r="78" spans="1:59" ht="15" hidden="1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0.6</v>
      </c>
      <c r="L78" s="49">
        <f>SUM(L79:L81)</f>
        <v>0</v>
      </c>
      <c r="M78" s="3"/>
      <c r="N78" s="150" t="e">
        <f>L78/(L$13)</f>
        <v>#DIV/0!</v>
      </c>
      <c r="O78" s="49">
        <f>SUM(O79:O81)</f>
        <v>60000000</v>
      </c>
      <c r="P78" s="3"/>
      <c r="Q78" s="150">
        <f>O78/(O$13)</f>
        <v>0.6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785527320</v>
      </c>
      <c r="AN78" s="3"/>
      <c r="AO78" s="321">
        <f>AM78/(AM$13)</f>
        <v>0.6</v>
      </c>
    </row>
    <row r="79" spans="1:59" ht="15" hidden="1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>
        <v>20000000</v>
      </c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261842440</v>
      </c>
      <c r="AN79" s="4">
        <f>AM79/AM12</f>
        <v>1</v>
      </c>
      <c r="AO79" s="322"/>
      <c r="AP79" s="144"/>
    </row>
    <row r="80" spans="1:59" ht="15" hidden="1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261842440</v>
      </c>
      <c r="AN80" s="43"/>
      <c r="AO80" s="309"/>
    </row>
    <row r="81" spans="2:41" ht="15" hidden="1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790"/>
      <c r="M81" s="791"/>
      <c r="N81" s="792"/>
      <c r="O81" s="790">
        <v>20000000</v>
      </c>
      <c r="P81" s="791"/>
      <c r="Q81" s="792"/>
      <c r="R81" s="790"/>
      <c r="S81" s="791"/>
      <c r="T81" s="792"/>
      <c r="U81" s="790"/>
      <c r="V81" s="791"/>
      <c r="W81" s="792"/>
      <c r="X81" s="790"/>
      <c r="Y81" s="791"/>
      <c r="Z81" s="792"/>
      <c r="AA81" s="790"/>
      <c r="AB81" s="791"/>
      <c r="AC81" s="792"/>
      <c r="AD81" s="790"/>
      <c r="AE81" s="791"/>
      <c r="AF81" s="792"/>
      <c r="AG81" s="790"/>
      <c r="AH81" s="791"/>
      <c r="AI81" s="792"/>
      <c r="AJ81" s="793"/>
      <c r="AK81" s="214"/>
      <c r="AL81" s="271"/>
      <c r="AM81" s="213">
        <f t="shared" si="3"/>
        <v>261842440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>
        <f>I58/I6</f>
        <v>1</v>
      </c>
      <c r="J82" s="2"/>
      <c r="K82" s="2"/>
      <c r="L82" s="2" t="e">
        <f>L58/L6</f>
        <v>#DIV/0!</v>
      </c>
      <c r="M82" s="2"/>
      <c r="N82" s="2"/>
      <c r="O82" s="2">
        <f>O58/O6</f>
        <v>1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51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8.6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900000000</v>
      </c>
      <c r="P83" s="491"/>
      <c r="Q83" s="492">
        <f>O83/(O$13)</f>
        <v>9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11333170541</v>
      </c>
      <c r="AN83" s="491"/>
      <c r="AO83" s="582">
        <f>AM83/(AM$13)</f>
        <v>8.6564810051418704</v>
      </c>
    </row>
    <row r="84" spans="2:41" ht="15" customHeight="1" x14ac:dyDescent="0.2">
      <c r="B84" s="16" t="s">
        <v>52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0.8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0.8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1081315381</v>
      </c>
      <c r="AN84" s="3"/>
      <c r="AO84" s="321">
        <f>AM84/(AM$13)</f>
        <v>0.82592828038113297</v>
      </c>
    </row>
    <row r="85" spans="2:41" ht="15" customHeight="1" x14ac:dyDescent="0.2">
      <c r="B85" s="39" t="s">
        <v>53</v>
      </c>
      <c r="C85" s="39">
        <f>'[22]Hoja 1'!$D$20</f>
        <v>13550804</v>
      </c>
      <c r="D85" s="69"/>
      <c r="E85" s="306"/>
      <c r="F85" s="25">
        <f>'[30]Hoja 1'!$D$14+'[35]Hoja 1'!$D$15</f>
        <v>20394817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>
        <v>20000000</v>
      </c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09"/>
      <c r="AK85" s="69"/>
      <c r="AL85" s="70"/>
      <c r="AM85" s="209">
        <f t="shared" si="4"/>
        <v>295788061</v>
      </c>
      <c r="AN85" s="69">
        <f>AM85/$AM$6</f>
        <v>1.1296414019056651</v>
      </c>
      <c r="AO85" s="324">
        <f>AM85/(AM$13)</f>
        <v>0.22592828038113302</v>
      </c>
    </row>
    <row r="86" spans="2:41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261842440</v>
      </c>
      <c r="AN86" s="43"/>
      <c r="AO86" s="309"/>
    </row>
    <row r="87" spans="2:41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261842440</v>
      </c>
      <c r="AN87" s="42"/>
      <c r="AO87" s="315"/>
    </row>
    <row r="88" spans="2:41" ht="15" customHeight="1" x14ac:dyDescent="0.2">
      <c r="B88" s="206" t="s">
        <v>488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261842440</v>
      </c>
      <c r="AN88" s="84"/>
      <c r="AO88" s="310"/>
    </row>
    <row r="89" spans="2:41" ht="15" hidden="1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0.4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0.4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523684880</v>
      </c>
      <c r="AN89" s="3"/>
      <c r="AO89" s="321">
        <f>AM89/(AM$13)</f>
        <v>0.4</v>
      </c>
    </row>
    <row r="90" spans="2:41" ht="15" hidden="1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261842440</v>
      </c>
      <c r="AN90" s="69"/>
      <c r="AO90" s="324"/>
    </row>
    <row r="91" spans="2:41" ht="15" hidden="1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261842440</v>
      </c>
      <c r="AN91" s="84"/>
      <c r="AO91" s="310"/>
    </row>
    <row r="92" spans="2:41" ht="15" hidden="1" customHeight="1" collapsed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0.6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0.6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785527320</v>
      </c>
      <c r="AN92" s="3"/>
      <c r="AO92" s="321">
        <f>AM92/(AM$13)</f>
        <v>0.6</v>
      </c>
    </row>
    <row r="93" spans="2:41" ht="15" hidden="1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261842440</v>
      </c>
      <c r="AN93" s="69"/>
      <c r="AO93" s="324"/>
    </row>
    <row r="94" spans="2:41" ht="15" hidden="1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261842440</v>
      </c>
      <c r="AN94" s="43"/>
      <c r="AO94" s="309"/>
    </row>
    <row r="95" spans="2:41" ht="15" hidden="1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261842440</v>
      </c>
      <c r="AN95" s="45"/>
      <c r="AO95" s="325"/>
    </row>
    <row r="96" spans="2:41" ht="15" hidden="1" customHeight="1" collapsed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0.4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0.4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523684880</v>
      </c>
      <c r="AN96" s="3"/>
      <c r="AO96" s="321">
        <f>AM96/(AM$13)</f>
        <v>0.4</v>
      </c>
    </row>
    <row r="97" spans="1:41" s="108" customFormat="1" ht="15" hidden="1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261842440</v>
      </c>
      <c r="AN97" s="69"/>
      <c r="AO97" s="324"/>
    </row>
    <row r="98" spans="1:41" s="108" customFormat="1" ht="15" hidden="1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261842440</v>
      </c>
      <c r="AN98" s="276"/>
      <c r="AO98" s="326"/>
    </row>
    <row r="99" spans="1:41" ht="15" hidden="1" customHeight="1" collapsed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1.4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1.8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1872897080</v>
      </c>
      <c r="AN99" s="3"/>
      <c r="AO99" s="321">
        <f>AM99/(AM$13)</f>
        <v>1.4305527247607377</v>
      </c>
    </row>
    <row r="100" spans="1:41" ht="15" hidden="1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261842440</v>
      </c>
      <c r="AN100" s="69"/>
      <c r="AO100" s="324"/>
    </row>
    <row r="101" spans="1:41" ht="15" hidden="1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261842440</v>
      </c>
      <c r="AN101" s="43"/>
      <c r="AO101" s="309"/>
    </row>
    <row r="102" spans="1:41" ht="15" hidden="1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261842440</v>
      </c>
      <c r="AN102" s="43"/>
      <c r="AO102" s="309"/>
    </row>
    <row r="103" spans="1:41" ht="15" hidden="1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261842440</v>
      </c>
      <c r="AN103" s="43"/>
      <c r="AO103" s="309"/>
    </row>
    <row r="104" spans="1:41" ht="15" hidden="1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261842440</v>
      </c>
      <c r="AN104" s="43"/>
      <c r="AO104" s="309"/>
    </row>
    <row r="105" spans="1:41" ht="15" hidden="1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261842440</v>
      </c>
      <c r="AN105" s="43"/>
      <c r="AO105" s="309"/>
    </row>
    <row r="106" spans="1:41" ht="15" hidden="1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>
        <v>20000000</v>
      </c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261842440</v>
      </c>
      <c r="AN106" s="43"/>
      <c r="AO106" s="309"/>
    </row>
    <row r="107" spans="1:41" ht="15" hidden="1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>
        <v>20000000</v>
      </c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261842440</v>
      </c>
      <c r="AN107" s="43"/>
      <c r="AO107" s="309"/>
    </row>
    <row r="108" spans="1:41" ht="15" hidden="1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>
        <v>20000000</v>
      </c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261842440</v>
      </c>
      <c r="AN108" s="42"/>
      <c r="AO108" s="315"/>
    </row>
    <row r="109" spans="1:41" ht="15" hidden="1" customHeight="1" collapsed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0.8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0.8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1047369760</v>
      </c>
      <c r="AN109" s="3"/>
      <c r="AO109" s="321">
        <f>AM109/(AM$13)</f>
        <v>0.8</v>
      </c>
    </row>
    <row r="110" spans="1:41" ht="15" hidden="1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261842440</v>
      </c>
      <c r="AN110" s="69"/>
      <c r="AO110" s="324"/>
    </row>
    <row r="111" spans="1:41" ht="15" hidden="1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261842440</v>
      </c>
      <c r="AN111" s="43"/>
      <c r="AO111" s="309"/>
    </row>
    <row r="112" spans="1:41" ht="15" hidden="1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261842440</v>
      </c>
      <c r="AN112" s="43"/>
      <c r="AO112" s="309"/>
    </row>
    <row r="113" spans="1:41" ht="15" hidden="1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261842440</v>
      </c>
      <c r="AN113" s="45"/>
      <c r="AO113" s="325"/>
    </row>
    <row r="114" spans="1:41" ht="15" hidden="1" customHeight="1" collapsed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0.4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40000000</v>
      </c>
      <c r="P114" s="3"/>
      <c r="Q114" s="150">
        <f>O114/(O$13)</f>
        <v>0.4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523684880</v>
      </c>
      <c r="AN114" s="3"/>
      <c r="AO114" s="321">
        <f>AM114/(AM$13)</f>
        <v>0.4</v>
      </c>
    </row>
    <row r="115" spans="1:41" ht="15" hidden="1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261842440</v>
      </c>
      <c r="AN115" s="69"/>
      <c r="AO115" s="324"/>
    </row>
    <row r="116" spans="1:41" ht="15" hidden="1" customHeight="1" outlineLevel="1" x14ac:dyDescent="0.2">
      <c r="A116" s="226" t="s">
        <v>90</v>
      </c>
      <c r="B116" s="25" t="s">
        <v>91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261842440</v>
      </c>
      <c r="AN116" s="43"/>
      <c r="AO116" s="309"/>
    </row>
    <row r="117" spans="1:41" ht="15" hidden="1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261842440</v>
      </c>
      <c r="AN117" s="43"/>
      <c r="AO117" s="309"/>
    </row>
    <row r="118" spans="1:41" ht="15" hidden="1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261842440</v>
      </c>
      <c r="AN118" s="43"/>
      <c r="AO118" s="309"/>
    </row>
    <row r="119" spans="1:41" ht="15" hidden="1" customHeight="1" outlineLevel="1" x14ac:dyDescent="0.2">
      <c r="A119" s="226" t="s">
        <v>96</v>
      </c>
      <c r="B119" s="97" t="s">
        <v>209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>
        <v>20000000</v>
      </c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261842440</v>
      </c>
      <c r="AN119" s="42"/>
      <c r="AO119" s="315"/>
    </row>
    <row r="120" spans="1:41" ht="15" hidden="1" customHeight="1" collapsed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0.2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0.2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261842440</v>
      </c>
      <c r="AN120" s="3"/>
      <c r="AO120" s="321">
        <f>AM120/(AM$13)</f>
        <v>0.2</v>
      </c>
    </row>
    <row r="121" spans="1:41" ht="15" hidden="1" customHeight="1" x14ac:dyDescent="0.2">
      <c r="A121" s="226" t="s">
        <v>99</v>
      </c>
      <c r="B121" s="39" t="s">
        <v>100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261842440</v>
      </c>
      <c r="AN121" s="69"/>
      <c r="AO121" s="324"/>
    </row>
    <row r="122" spans="1:41" ht="15" hidden="1" customHeight="1" x14ac:dyDescent="0.2">
      <c r="A122" s="226" t="s">
        <v>101</v>
      </c>
      <c r="B122" s="284" t="s">
        <v>102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261842440</v>
      </c>
      <c r="AN122" s="92"/>
      <c r="AO122" s="327"/>
    </row>
    <row r="123" spans="1:41" ht="15" hidden="1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0.6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0.6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785527320</v>
      </c>
      <c r="AN123" s="3"/>
      <c r="AO123" s="321">
        <f>AM123/(AM$13)</f>
        <v>0.6</v>
      </c>
    </row>
    <row r="124" spans="1:41" ht="15" hidden="1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261842440</v>
      </c>
      <c r="AN124" s="69"/>
      <c r="AO124" s="324"/>
    </row>
    <row r="125" spans="1:41" ht="15" hidden="1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261842440</v>
      </c>
      <c r="AN125" s="43"/>
      <c r="AO125" s="309"/>
    </row>
    <row r="126" spans="1:41" ht="15" hidden="1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261842440</v>
      </c>
      <c r="AN126" s="45"/>
      <c r="AO126" s="325"/>
    </row>
    <row r="127" spans="1:41" ht="15" hidden="1" customHeight="1" collapsed="1" x14ac:dyDescent="0.2">
      <c r="B127" s="16" t="s">
        <v>110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3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3927636600</v>
      </c>
      <c r="AN127" s="3"/>
      <c r="AO127" s="321">
        <f>AM127/(AM$13)</f>
        <v>3</v>
      </c>
    </row>
    <row r="128" spans="1:41" ht="15" hidden="1" customHeight="1" outlineLevel="1" x14ac:dyDescent="0.2">
      <c r="A128" s="226" t="s">
        <v>111</v>
      </c>
      <c r="B128" s="39" t="s">
        <v>489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261842440</v>
      </c>
      <c r="AN128" s="42"/>
      <c r="AO128" s="328"/>
    </row>
    <row r="129" spans="1:41" ht="15" hidden="1" customHeight="1" outlineLevel="1" x14ac:dyDescent="0.2">
      <c r="A129" s="226" t="s">
        <v>113</v>
      </c>
      <c r="B129" s="25" t="s">
        <v>391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261842440</v>
      </c>
      <c r="AN129" s="43"/>
      <c r="AO129" s="329"/>
    </row>
    <row r="130" spans="1:41" ht="15" hidden="1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261842440</v>
      </c>
      <c r="AN130" s="43"/>
      <c r="AO130" s="329"/>
    </row>
    <row r="131" spans="1:41" ht="15" hidden="1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261842440</v>
      </c>
      <c r="AN131" s="43"/>
      <c r="AO131" s="329"/>
    </row>
    <row r="132" spans="1:41" ht="15" hidden="1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261842440</v>
      </c>
      <c r="AN132" s="43"/>
      <c r="AO132" s="309"/>
    </row>
    <row r="133" spans="1:41" ht="15" hidden="1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261842440</v>
      </c>
      <c r="AN133" s="43"/>
      <c r="AO133" s="309"/>
    </row>
    <row r="134" spans="1:41" ht="15" hidden="1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261842440</v>
      </c>
      <c r="AN134" s="43"/>
      <c r="AO134" s="309"/>
    </row>
    <row r="135" spans="1:41" ht="15" hidden="1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261842440</v>
      </c>
      <c r="AN135" s="43"/>
      <c r="AO135" s="309"/>
    </row>
    <row r="136" spans="1:41" ht="15" hidden="1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261842440</v>
      </c>
      <c r="AN136" s="43"/>
      <c r="AO136" s="309"/>
    </row>
    <row r="137" spans="1:41" ht="15" hidden="1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261842440</v>
      </c>
      <c r="AN137" s="43"/>
      <c r="AO137" s="309"/>
    </row>
    <row r="138" spans="1:41" ht="15" hidden="1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261842440</v>
      </c>
      <c r="AN138" s="43"/>
      <c r="AO138" s="309"/>
    </row>
    <row r="139" spans="1:41" ht="15" hidden="1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261842440</v>
      </c>
      <c r="AN139" s="43"/>
      <c r="AO139" s="309"/>
    </row>
    <row r="140" spans="1:41" ht="15" hidden="1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261842440</v>
      </c>
      <c r="AN140" s="43"/>
      <c r="AO140" s="309"/>
    </row>
    <row r="141" spans="1:41" ht="15" hidden="1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261842440</v>
      </c>
      <c r="AN141" s="43"/>
      <c r="AO141" s="309"/>
    </row>
    <row r="142" spans="1:41" ht="15" hidden="1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261842440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393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-12092122000</v>
      </c>
      <c r="J144" s="494"/>
      <c r="K144" s="495"/>
      <c r="L144" s="493">
        <f>+L42-L44-L83</f>
        <v>0</v>
      </c>
      <c r="M144" s="494"/>
      <c r="N144" s="495"/>
      <c r="O144" s="493">
        <f>+O42-O44-O83</f>
        <v>-1040000000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-15029852744.470623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-10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-10.4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-11.480073852405763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394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0.8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80000000</v>
      </c>
      <c r="P147" s="491"/>
      <c r="Q147" s="492">
        <f>O147/(O$13)</f>
        <v>0.8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1057764008.8674999</v>
      </c>
      <c r="AN147" s="491">
        <f>AM147/$AM$6</f>
        <v>4.0396965780929168</v>
      </c>
      <c r="AO147" s="580">
        <f>AM147/(AM$13)</f>
        <v>0.80793931561858345</v>
      </c>
    </row>
    <row r="148" spans="2:42" ht="15" customHeight="1" x14ac:dyDescent="0.2">
      <c r="B148" s="18" t="s">
        <v>395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>
        <v>20000000</v>
      </c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272236688.86750001</v>
      </c>
      <c r="AN148" s="69"/>
      <c r="AO148" s="324">
        <f>AM148/(AM$13)</f>
        <v>0.20793931561858345</v>
      </c>
    </row>
    <row r="149" spans="2:42" ht="15" customHeight="1" x14ac:dyDescent="0.2">
      <c r="B149" s="285" t="s">
        <v>440</v>
      </c>
      <c r="C149" s="25"/>
      <c r="D149" s="43"/>
      <c r="E149" s="118"/>
      <c r="F149" s="25"/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261842440</v>
      </c>
      <c r="AN149" s="43"/>
      <c r="AO149" s="309"/>
    </row>
    <row r="150" spans="2:42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261842440</v>
      </c>
      <c r="AN150" s="42"/>
      <c r="AO150" s="315">
        <f>AM150/(AM$13)</f>
        <v>0.2</v>
      </c>
    </row>
    <row r="151" spans="2:42" ht="15" customHeight="1" thickBot="1" x14ac:dyDescent="0.25">
      <c r="B151" s="300" t="s">
        <v>442</v>
      </c>
      <c r="C151" s="71"/>
      <c r="D151" s="72"/>
      <c r="E151" s="342"/>
      <c r="F151" s="71"/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>
        <v>20000000</v>
      </c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261842440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1832897080</v>
      </c>
      <c r="AN153" s="498"/>
      <c r="AO153" s="586">
        <f>AM153/(AM$13)</f>
        <v>1.4</v>
      </c>
    </row>
    <row r="154" spans="2:42" ht="15" hidden="1" customHeight="1" thickTop="1" x14ac:dyDescent="0.2">
      <c r="B154" s="40" t="s">
        <v>399</v>
      </c>
      <c r="C154" s="286"/>
      <c r="D154" s="230"/>
      <c r="E154" s="343"/>
      <c r="F154" s="286"/>
      <c r="G154" s="230"/>
      <c r="H154" s="343"/>
      <c r="I154" s="287">
        <v>241842440</v>
      </c>
      <c r="J154" s="230"/>
      <c r="K154" s="343"/>
      <c r="L154" s="287"/>
      <c r="M154" s="230"/>
      <c r="N154" s="343"/>
      <c r="O154" s="231">
        <v>20000000</v>
      </c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261842440</v>
      </c>
      <c r="AN154" s="230"/>
      <c r="AO154" s="332"/>
      <c r="AP154" s="630"/>
    </row>
    <row r="155" spans="2:42" ht="15" hidden="1" customHeight="1" x14ac:dyDescent="0.2">
      <c r="B155" s="689" t="s">
        <v>491</v>
      </c>
      <c r="C155" s="691"/>
      <c r="D155" s="9"/>
      <c r="E155" s="566"/>
      <c r="F155" s="691"/>
      <c r="G155" s="9"/>
      <c r="H155" s="566"/>
      <c r="I155" s="565">
        <v>241842440</v>
      </c>
      <c r="J155" s="9"/>
      <c r="K155" s="566"/>
      <c r="L155" s="565"/>
      <c r="M155" s="9"/>
      <c r="N155" s="566"/>
      <c r="O155" s="565">
        <v>20000000</v>
      </c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261842440</v>
      </c>
      <c r="AN155" s="9">
        <f>AM155/AM12</f>
        <v>1</v>
      </c>
      <c r="AO155" s="690"/>
      <c r="AP155" s="707"/>
    </row>
    <row r="156" spans="2:42" ht="15" hidden="1" customHeight="1" x14ac:dyDescent="0.2">
      <c r="B156" s="674" t="s">
        <v>491</v>
      </c>
      <c r="C156" s="685"/>
      <c r="D156" s="675"/>
      <c r="E156" s="676"/>
      <c r="F156" s="685"/>
      <c r="G156" s="675"/>
      <c r="H156" s="676"/>
      <c r="I156" s="680">
        <v>241842440</v>
      </c>
      <c r="J156" s="675"/>
      <c r="K156" s="676"/>
      <c r="L156" s="680"/>
      <c r="M156" s="675"/>
      <c r="N156" s="676"/>
      <c r="O156" s="680">
        <v>20000000</v>
      </c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261842440</v>
      </c>
      <c r="AN156" s="675">
        <f>AM156/AM12</f>
        <v>1</v>
      </c>
      <c r="AO156" s="681"/>
      <c r="AP156" s="707"/>
    </row>
    <row r="157" spans="2:42" ht="15" hidden="1" customHeight="1" x14ac:dyDescent="0.2">
      <c r="B157" s="550" t="s">
        <v>492</v>
      </c>
      <c r="C157" s="561"/>
      <c r="D157" s="551"/>
      <c r="E157" s="552"/>
      <c r="F157" s="561"/>
      <c r="G157" s="551"/>
      <c r="H157" s="552"/>
      <c r="I157" s="565">
        <v>241842440</v>
      </c>
      <c r="J157" s="551"/>
      <c r="K157" s="552"/>
      <c r="L157" s="565"/>
      <c r="M157" s="551"/>
      <c r="N157" s="552"/>
      <c r="O157" s="565">
        <v>20000000</v>
      </c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261842440</v>
      </c>
      <c r="AN157" s="551"/>
      <c r="AO157" s="557">
        <f>AM157/AM13</f>
        <v>0.2</v>
      </c>
      <c r="AP157" s="632"/>
    </row>
    <row r="158" spans="2:42" ht="15" hidden="1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>
        <v>20000000</v>
      </c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261842440</v>
      </c>
      <c r="AN158" s="13"/>
      <c r="AO158" s="333">
        <f>AM158/AM13</f>
        <v>0.2</v>
      </c>
      <c r="AP158" s="632"/>
    </row>
    <row r="159" spans="2:42" ht="15" hidden="1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261842440</v>
      </c>
      <c r="AN159" s="13"/>
      <c r="AO159" s="333">
        <f>AM159/AM13</f>
        <v>0.2</v>
      </c>
      <c r="AP159" s="632"/>
    </row>
    <row r="160" spans="2:42" ht="15" hidden="1" customHeight="1" thickBot="1" x14ac:dyDescent="0.25">
      <c r="B160" s="291" t="s">
        <v>492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261842440</v>
      </c>
      <c r="AN160" s="809"/>
      <c r="AO160" s="453"/>
      <c r="AP160" s="633"/>
    </row>
    <row r="161" spans="2:41" ht="15" customHeight="1" thickTop="1" thickBot="1" x14ac:dyDescent="0.25">
      <c r="B161" s="524" t="s">
        <v>406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-14752388840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-1260000000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-17920513833.338123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>
        <f>IFERROR(I161/I13," ")</f>
        <v>-12.2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-12.6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-13.688013168024346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1100000000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233395362.67999995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518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80" width="11.44140625" style="2" customWidth="1"/>
    <col min="81" max="16384" width="11.44140625" style="2"/>
  </cols>
  <sheetData>
    <row r="2" spans="1:49" ht="24.9" customHeight="1" thickBot="1" x14ac:dyDescent="0.35">
      <c r="B2" s="236" t="s">
        <v>0</v>
      </c>
      <c r="C2" s="1042" t="s">
        <v>527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59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618" t="s">
        <v>528</v>
      </c>
      <c r="AR4" s="622"/>
      <c r="AS4" s="622"/>
      <c r="AU4" s="754" t="s">
        <v>338</v>
      </c>
      <c r="AV4" s="753" t="s">
        <v>529</v>
      </c>
      <c r="AW4" s="914" t="s">
        <v>530</v>
      </c>
    </row>
    <row r="5" spans="1:49" s="223" customFormat="1" ht="15" customHeight="1" thickTop="1" x14ac:dyDescent="0.2">
      <c r="A5" s="228"/>
      <c r="B5" s="258" t="s">
        <v>485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5">
        <v>12000</v>
      </c>
      <c r="AV5" s="756">
        <f>4333*AU3</f>
        <v>4553.9829999999993</v>
      </c>
      <c r="AW5" s="756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1">
        <v>0.06</v>
      </c>
      <c r="AV6" s="757"/>
      <c r="AW6" s="757"/>
    </row>
    <row r="7" spans="1:49" s="223" customFormat="1" ht="15" customHeight="1" x14ac:dyDescent="0.2">
      <c r="A7" s="228"/>
      <c r="B7" s="258" t="s">
        <v>515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2">
        <v>4.4999999999999998E-2</v>
      </c>
      <c r="AV7" s="907"/>
      <c r="AW7" s="757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3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485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515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6"/>
      <c r="AR30" s="736"/>
      <c r="AS30" s="736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5" t="e">
        <f>(AQ46+AQ61)/(AQ13-AQ20-AQ21-AQ22)</f>
        <v>#DIV/0!</v>
      </c>
    </row>
    <row r="44" spans="2:45" ht="15" customHeight="1" thickTop="1" x14ac:dyDescent="0.2">
      <c r="B44" s="526" t="s">
        <v>344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47600000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47600000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35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485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37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47600000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47600000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36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487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47600000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47600000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384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47600000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47600000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385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4"/>
      <c r="AK74" s="134"/>
      <c r="AL74" s="135"/>
      <c r="AM74" s="429">
        <f t="shared" si="5"/>
        <v>0</v>
      </c>
      <c r="AN74" s="134"/>
      <c r="AO74" s="637"/>
      <c r="AP74" s="758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51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52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53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8"/>
      <c r="AQ85" s="31"/>
      <c r="AR85" s="31"/>
      <c r="AS85" s="659"/>
      <c r="AT85" s="894"/>
    </row>
    <row r="86" spans="2:46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161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64</v>
      </c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66</v>
      </c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79</v>
      </c>
      <c r="B110" s="39" t="s">
        <v>80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81</v>
      </c>
      <c r="B111" s="25" t="s">
        <v>82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83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85</v>
      </c>
      <c r="B113" s="28" t="s">
        <v>86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88</v>
      </c>
      <c r="B115" s="39" t="s">
        <v>89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90</v>
      </c>
      <c r="B116" s="25" t="s">
        <v>91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92</v>
      </c>
      <c r="B117" s="205" t="s">
        <v>93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94</v>
      </c>
      <c r="B118" s="205" t="s">
        <v>95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96</v>
      </c>
      <c r="B119" s="97" t="s">
        <v>209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99</v>
      </c>
      <c r="B121" s="39" t="s">
        <v>100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101</v>
      </c>
      <c r="B122" s="284" t="s">
        <v>102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104</v>
      </c>
      <c r="B124" s="39" t="s">
        <v>105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106</v>
      </c>
      <c r="B125" s="25" t="s">
        <v>107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108</v>
      </c>
      <c r="B126" s="28" t="s">
        <v>109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110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111</v>
      </c>
      <c r="B128" s="39" t="s">
        <v>390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113</v>
      </c>
      <c r="B129" s="25" t="s">
        <v>391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115</v>
      </c>
      <c r="B130" s="25" t="s">
        <v>116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119</v>
      </c>
      <c r="B132" s="25" t="s">
        <v>120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123</v>
      </c>
      <c r="B134" s="25" t="s">
        <v>124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125</v>
      </c>
      <c r="B135" s="25" t="s">
        <v>126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127</v>
      </c>
      <c r="B136" s="25" t="s">
        <v>236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129</v>
      </c>
      <c r="B137" s="25" t="s">
        <v>303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133</v>
      </c>
      <c r="B142" s="269" t="s">
        <v>392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393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-47600000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-47600000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394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395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440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442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399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491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491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4"/>
      <c r="AR156" s="248"/>
      <c r="AS156" s="672"/>
    </row>
    <row r="157" spans="2:45" ht="15" customHeight="1" x14ac:dyDescent="0.2">
      <c r="B157" s="550" t="s">
        <v>492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0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492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406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-47600000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-47600000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518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89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77" width="11.44140625" style="2" customWidth="1"/>
    <col min="78" max="16384" width="11.44140625" style="2"/>
  </cols>
  <sheetData>
    <row r="2" spans="1:46" ht="24.9" customHeight="1" thickBot="1" x14ac:dyDescent="0.35">
      <c r="B2" s="236" t="s">
        <v>0</v>
      </c>
      <c r="C2" s="1042" t="s">
        <v>531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1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892" t="s">
        <v>528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485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0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0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0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0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0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0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0"/>
    </row>
    <row r="12" spans="1:46" s="223" customFormat="1" ht="15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2"/>
    </row>
    <row r="13" spans="1:46" ht="15" customHeight="1" x14ac:dyDescent="0.2">
      <c r="B13" s="523" t="s">
        <v>23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485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0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0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0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0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0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0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0"/>
    </row>
    <row r="23" spans="1:46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0"/>
    </row>
    <row r="26" spans="1:46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0"/>
    </row>
    <row r="27" spans="1:46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0"/>
    </row>
    <row r="28" spans="1:46" ht="15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1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455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6"/>
      <c r="AR30" s="736"/>
      <c r="AS30" s="736"/>
      <c r="AT30" s="820"/>
    </row>
    <row r="31" spans="1:46" ht="15" customHeight="1" outlineLevel="1" x14ac:dyDescent="0.2">
      <c r="B31" s="105" t="s">
        <v>456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  <c r="AT31" s="820"/>
    </row>
    <row r="32" spans="1:46" ht="15" customHeight="1" outlineLevel="1" x14ac:dyDescent="0.2">
      <c r="B32" s="105" t="s">
        <v>532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0"/>
    </row>
    <row r="33" spans="1:46" ht="15" customHeight="1" outlineLevel="1" x14ac:dyDescent="0.2">
      <c r="B33" s="105" t="s">
        <v>457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0"/>
    </row>
    <row r="34" spans="1:46" ht="15" customHeight="1" outlineLevel="1" x14ac:dyDescent="0.2">
      <c r="B34" s="105" t="s">
        <v>458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0"/>
    </row>
    <row r="35" spans="1:46" ht="15" customHeight="1" outlineLevel="1" x14ac:dyDescent="0.2">
      <c r="A35" s="229"/>
      <c r="B35" s="335" t="s">
        <v>422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0"/>
    </row>
    <row r="36" spans="1:46" ht="15" customHeight="1" outlineLevel="1" x14ac:dyDescent="0.2">
      <c r="A36" s="229"/>
      <c r="B36" s="105" t="s">
        <v>420</v>
      </c>
      <c r="C36" s="831"/>
      <c r="D36" s="832"/>
      <c r="E36" s="833"/>
      <c r="F36" s="831"/>
      <c r="G36" s="832"/>
      <c r="H36" s="833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0"/>
    </row>
    <row r="37" spans="1:46" ht="15" customHeight="1" outlineLevel="1" x14ac:dyDescent="0.2">
      <c r="B37" s="30" t="s">
        <v>533</v>
      </c>
      <c r="C37" s="834"/>
      <c r="D37" s="835"/>
      <c r="E37" s="836"/>
      <c r="F37" s="834"/>
      <c r="G37" s="835"/>
      <c r="H37" s="836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0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0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0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0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0"/>
    </row>
    <row r="42" spans="1:46" ht="15" customHeight="1" thickBot="1" x14ac:dyDescent="0.25">
      <c r="B42" s="527" t="s">
        <v>33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8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8" t="e">
        <f>(AM46+AM61)/(AM13)</f>
        <v>#DIV/0!</v>
      </c>
      <c r="AQ43" s="136"/>
      <c r="AR43" s="2"/>
      <c r="AS43" s="815" t="e">
        <f>(AQ46+AQ61)/(AQ13-AQ20-AQ21-AQ22)</f>
        <v>#DIV/0!</v>
      </c>
      <c r="AT43" s="721"/>
    </row>
    <row r="44" spans="1:46" ht="15" customHeight="1" thickTop="1" x14ac:dyDescent="0.2">
      <c r="B44" s="526" t="s">
        <v>344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118502795.60000001</v>
      </c>
      <c r="M44" s="491"/>
      <c r="N44" s="492"/>
      <c r="O44" s="490">
        <f>+O45+O60+O78</f>
        <v>8400000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126902795.60000001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35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3"/>
    </row>
    <row r="47" spans="1:46" ht="15" customHeight="1" x14ac:dyDescent="0.2">
      <c r="A47" s="226" t="s">
        <v>534</v>
      </c>
      <c r="B47" s="97" t="s">
        <v>485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3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3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3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3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3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3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3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3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3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3"/>
    </row>
    <row r="57" spans="1:46" ht="15" hidden="1" customHeight="1" x14ac:dyDescent="0.2">
      <c r="B57" s="36" t="s">
        <v>487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4"/>
    </row>
    <row r="58" spans="1:46" ht="15" hidden="1" customHeight="1" x14ac:dyDescent="0.2">
      <c r="B58" s="411" t="s">
        <v>376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3"/>
    </row>
    <row r="59" spans="1:46" s="108" customFormat="1" ht="15" hidden="1" customHeight="1" x14ac:dyDescent="0.2">
      <c r="A59" s="229"/>
      <c r="B59" s="415" t="s">
        <v>377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3"/>
    </row>
    <row r="60" spans="1:46" ht="15" hidden="1" customHeight="1" x14ac:dyDescent="0.2">
      <c r="B60" s="16" t="s">
        <v>37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118502795.60000001</v>
      </c>
      <c r="M60" s="3"/>
      <c r="N60" s="150"/>
      <c r="O60" s="49">
        <f>+O61+O72+O75+O76+O77</f>
        <v>8400000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126902795.60000001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3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3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3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3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3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3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3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3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3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3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3"/>
    </row>
    <row r="72" spans="1:46" ht="15" customHeight="1" x14ac:dyDescent="0.2">
      <c r="B72" s="36" t="s">
        <v>487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118502795.60000001</v>
      </c>
      <c r="M72" s="47"/>
      <c r="N72" s="152" t="e">
        <f>L72/L13</f>
        <v>#DIV/0!</v>
      </c>
      <c r="O72" s="46">
        <f>SUM(O73:O74)</f>
        <v>8400000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126902795.60000001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4"/>
    </row>
    <row r="73" spans="1:46" ht="15" customHeight="1" x14ac:dyDescent="0.2">
      <c r="B73" s="411" t="s">
        <v>384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118502795.60000001</v>
      </c>
      <c r="M73" s="305"/>
      <c r="N73" s="412"/>
      <c r="O73" s="304">
        <f>'GASTOS VEHICULOS'!G25*'%DIST'!J28</f>
        <v>8400000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126902795.60000001</v>
      </c>
      <c r="AN73" s="305"/>
      <c r="AO73" s="417"/>
      <c r="AQ73" s="298"/>
      <c r="AR73" s="298"/>
      <c r="AS73" s="653"/>
      <c r="AT73" s="823"/>
    </row>
    <row r="74" spans="1:46" ht="15" customHeight="1" x14ac:dyDescent="0.2">
      <c r="B74" s="415" t="s">
        <v>385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3"/>
    </row>
    <row r="75" spans="1:46" ht="15" customHeight="1" x14ac:dyDescent="0.2">
      <c r="A75" s="226" t="s">
        <v>535</v>
      </c>
      <c r="B75" s="36" t="s">
        <v>44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3"/>
    </row>
    <row r="76" spans="1:46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3"/>
    </row>
    <row r="77" spans="1:46" ht="15" customHeight="1" x14ac:dyDescent="0.2">
      <c r="B77" s="66" t="s">
        <v>46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3"/>
    </row>
    <row r="78" spans="1:46" ht="15" customHeight="1" x14ac:dyDescent="0.2">
      <c r="B78" s="16" t="s">
        <v>352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353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386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3"/>
    </row>
    <row r="81" spans="2:46" ht="15" customHeight="1" thickBot="1" x14ac:dyDescent="0.25">
      <c r="B81" s="98" t="s">
        <v>70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3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51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52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53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3"/>
    </row>
    <row r="86" spans="2:46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3"/>
    </row>
    <row r="87" spans="2:46" ht="15" customHeight="1" x14ac:dyDescent="0.2">
      <c r="B87" s="97" t="s">
        <v>55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3"/>
    </row>
    <row r="88" spans="2:46" ht="15" customHeight="1" x14ac:dyDescent="0.2">
      <c r="B88" s="206" t="s">
        <v>488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3"/>
    </row>
    <row r="89" spans="2:46" ht="15" customHeight="1" x14ac:dyDescent="0.2">
      <c r="B89" s="16" t="s">
        <v>56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57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3"/>
    </row>
    <row r="91" spans="2:46" ht="15" customHeight="1" outlineLevel="1" x14ac:dyDescent="0.2">
      <c r="B91" s="83" t="s">
        <v>354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3"/>
    </row>
    <row r="92" spans="2:46" ht="15" customHeight="1" x14ac:dyDescent="0.2">
      <c r="B92" s="16" t="s">
        <v>59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60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3"/>
    </row>
    <row r="94" spans="2:46" ht="15" customHeight="1" outlineLevel="1" x14ac:dyDescent="0.2">
      <c r="B94" s="25" t="s">
        <v>61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3"/>
    </row>
    <row r="95" spans="2:46" ht="15" customHeight="1" outlineLevel="1" x14ac:dyDescent="0.2">
      <c r="B95" s="28" t="s">
        <v>62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3"/>
    </row>
    <row r="96" spans="2:46" ht="15" customHeight="1" x14ac:dyDescent="0.2">
      <c r="B96" s="106" t="s">
        <v>63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65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3"/>
    </row>
    <row r="98" spans="1:46" s="108" customFormat="1" ht="15" customHeight="1" outlineLevel="1" x14ac:dyDescent="0.2">
      <c r="A98" s="229"/>
      <c r="B98" s="275" t="s">
        <v>67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3"/>
    </row>
    <row r="99" spans="1:46" ht="15" customHeight="1" x14ac:dyDescent="0.2">
      <c r="B99" s="16" t="s">
        <v>68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69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3"/>
    </row>
    <row r="101" spans="1:46" ht="15" customHeight="1" outlineLevel="1" x14ac:dyDescent="0.2">
      <c r="B101" s="25" t="s">
        <v>70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3"/>
    </row>
    <row r="102" spans="1:46" ht="15" customHeight="1" outlineLevel="1" x14ac:dyDescent="0.2">
      <c r="B102" s="25" t="s">
        <v>71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3"/>
    </row>
    <row r="103" spans="1:46" ht="15" customHeight="1" outlineLevel="1" x14ac:dyDescent="0.2">
      <c r="B103" s="25" t="s">
        <v>72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3"/>
    </row>
    <row r="104" spans="1:46" ht="15" customHeight="1" outlineLevel="1" x14ac:dyDescent="0.2">
      <c r="B104" s="25" t="s">
        <v>73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3"/>
    </row>
    <row r="105" spans="1:46" ht="15" customHeight="1" outlineLevel="1" x14ac:dyDescent="0.2">
      <c r="B105" s="24" t="s">
        <v>74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3"/>
    </row>
    <row r="106" spans="1:46" ht="15" customHeight="1" outlineLevel="1" x14ac:dyDescent="0.2">
      <c r="B106" s="24" t="s">
        <v>75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3"/>
    </row>
    <row r="107" spans="1:46" ht="15" customHeight="1" outlineLevel="1" x14ac:dyDescent="0.2">
      <c r="B107" s="24" t="s">
        <v>355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3"/>
    </row>
    <row r="108" spans="1:46" ht="15" customHeight="1" outlineLevel="1" x14ac:dyDescent="0.2">
      <c r="B108" s="99" t="s">
        <v>77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3"/>
    </row>
    <row r="109" spans="1:46" ht="15" customHeight="1" x14ac:dyDescent="0.2">
      <c r="B109" s="16" t="s">
        <v>78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80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3"/>
    </row>
    <row r="111" spans="1:46" ht="15" customHeight="1" outlineLevel="1" x14ac:dyDescent="0.2">
      <c r="B111" s="25" t="s">
        <v>82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3"/>
    </row>
    <row r="112" spans="1:46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3"/>
    </row>
    <row r="113" spans="2:46" ht="15" customHeight="1" outlineLevel="1" x14ac:dyDescent="0.2">
      <c r="B113" s="28" t="s">
        <v>86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3"/>
    </row>
    <row r="114" spans="2:46" ht="15" customHeight="1" x14ac:dyDescent="0.2">
      <c r="B114" s="16" t="s">
        <v>87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89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3"/>
    </row>
    <row r="116" spans="2:46" ht="15" customHeight="1" outlineLevel="1" x14ac:dyDescent="0.2">
      <c r="B116" s="25" t="s">
        <v>91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3"/>
    </row>
    <row r="117" spans="2:46" ht="15" customHeight="1" outlineLevel="1" x14ac:dyDescent="0.2">
      <c r="B117" s="205" t="s">
        <v>93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3"/>
    </row>
    <row r="118" spans="2:46" ht="15" customHeight="1" outlineLevel="1" x14ac:dyDescent="0.2">
      <c r="B118" s="205" t="s">
        <v>95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3"/>
    </row>
    <row r="119" spans="2:46" ht="15" customHeight="1" outlineLevel="1" x14ac:dyDescent="0.2">
      <c r="B119" s="97" t="s">
        <v>97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3"/>
    </row>
    <row r="120" spans="2:46" ht="15" customHeight="1" x14ac:dyDescent="0.2">
      <c r="B120" s="16" t="s">
        <v>98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100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3"/>
    </row>
    <row r="122" spans="2:46" ht="15" customHeight="1" x14ac:dyDescent="0.2">
      <c r="B122" s="284" t="s">
        <v>102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3"/>
    </row>
    <row r="123" spans="2:46" ht="15" customHeight="1" x14ac:dyDescent="0.2">
      <c r="B123" s="16" t="s">
        <v>103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105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3"/>
    </row>
    <row r="125" spans="2:46" ht="15" customHeight="1" outlineLevel="1" x14ac:dyDescent="0.2">
      <c r="B125" s="25" t="s">
        <v>107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3"/>
    </row>
    <row r="126" spans="2:46" ht="15" customHeight="1" outlineLevel="1" x14ac:dyDescent="0.2">
      <c r="B126" s="28" t="s">
        <v>109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3"/>
    </row>
    <row r="127" spans="2:46" ht="15" customHeight="1" x14ac:dyDescent="0.2">
      <c r="B127" s="16" t="s">
        <v>110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489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3"/>
    </row>
    <row r="129" spans="1:46" ht="15" customHeight="1" outlineLevel="1" x14ac:dyDescent="0.2">
      <c r="B129" s="25" t="s">
        <v>391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3"/>
    </row>
    <row r="130" spans="1:46" ht="15" customHeight="1" outlineLevel="1" x14ac:dyDescent="0.2">
      <c r="B130" s="25" t="s">
        <v>116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3"/>
    </row>
    <row r="131" spans="1:46" ht="15" customHeight="1" outlineLevel="1" x14ac:dyDescent="0.2">
      <c r="A131" s="226" t="s">
        <v>117</v>
      </c>
      <c r="B131" s="25" t="s">
        <v>118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3"/>
    </row>
    <row r="132" spans="1:46" ht="15" customHeight="1" outlineLevel="1" x14ac:dyDescent="0.2">
      <c r="B132" s="25" t="s">
        <v>120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3"/>
    </row>
    <row r="133" spans="1:46" ht="15" customHeight="1" outlineLevel="1" x14ac:dyDescent="0.2">
      <c r="A133" s="226" t="s">
        <v>121</v>
      </c>
      <c r="B133" s="25" t="s">
        <v>122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3"/>
    </row>
    <row r="134" spans="1:46" ht="15" customHeight="1" outlineLevel="1" x14ac:dyDescent="0.2">
      <c r="B134" s="25" t="s">
        <v>124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3"/>
    </row>
    <row r="135" spans="1:46" ht="15" customHeight="1" outlineLevel="1" x14ac:dyDescent="0.2">
      <c r="B135" s="25" t="s">
        <v>126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3"/>
    </row>
    <row r="136" spans="1:46" ht="15" customHeight="1" outlineLevel="1" x14ac:dyDescent="0.2">
      <c r="B136" s="25" t="s">
        <v>236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3"/>
    </row>
    <row r="137" spans="1:46" ht="15" customHeight="1" outlineLevel="1" x14ac:dyDescent="0.2">
      <c r="B137" s="25" t="s">
        <v>303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3"/>
    </row>
    <row r="138" spans="1:46" ht="15" customHeight="1" outlineLevel="1" x14ac:dyDescent="0.2">
      <c r="B138" s="25" t="s">
        <v>130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3"/>
    </row>
    <row r="139" spans="1:46" ht="15" customHeight="1" outlineLevel="1" x14ac:dyDescent="0.2">
      <c r="B139" s="25" t="s">
        <v>242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3"/>
    </row>
    <row r="140" spans="1:46" ht="15" customHeight="1" outlineLevel="1" x14ac:dyDescent="0.2">
      <c r="B140" s="25" t="s">
        <v>246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3"/>
    </row>
    <row r="141" spans="1:46" ht="15" customHeight="1" outlineLevel="1" x14ac:dyDescent="0.2">
      <c r="B141" s="25" t="s">
        <v>244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3"/>
    </row>
    <row r="142" spans="1:46" ht="15" customHeight="1" outlineLevel="1" thickBot="1" x14ac:dyDescent="0.25">
      <c r="B142" s="269" t="s">
        <v>392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3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393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-8400000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-126902795.60000001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394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395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3"/>
    </row>
    <row r="149" spans="2:46" ht="15" customHeight="1" x14ac:dyDescent="0.2">
      <c r="B149" s="285" t="s">
        <v>440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3"/>
    </row>
    <row r="150" spans="2:46" ht="15" customHeight="1" x14ac:dyDescent="0.2">
      <c r="B150" s="107" t="s">
        <v>441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3"/>
    </row>
    <row r="151" spans="2:46" ht="15" customHeight="1" thickBot="1" x14ac:dyDescent="0.25">
      <c r="B151" s="300" t="s">
        <v>442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3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398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399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491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7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491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4"/>
      <c r="AR156" s="248"/>
      <c r="AS156" s="672"/>
      <c r="AT156" s="256"/>
    </row>
    <row r="157" spans="2:46" ht="15" customHeight="1" x14ac:dyDescent="0.2">
      <c r="B157" s="550" t="s">
        <v>492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492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492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536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09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406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-8400000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-126902795.60000001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7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F182" sqref="F182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72" width="11.44140625" style="2" customWidth="1"/>
    <col min="73" max="16384" width="11.44140625" style="2"/>
  </cols>
  <sheetData>
    <row r="2" spans="1:41" ht="20.25" customHeight="1" thickBot="1" x14ac:dyDescent="0.35">
      <c r="B2" s="236" t="s">
        <v>0</v>
      </c>
      <c r="C2" s="1042" t="s">
        <v>537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2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16</v>
      </c>
      <c r="AK4" s="482" t="s">
        <v>4</v>
      </c>
      <c r="AL4" s="506" t="s">
        <v>5</v>
      </c>
      <c r="AM4" s="588" t="s">
        <v>17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/>
      <c r="J5" s="42"/>
      <c r="K5" s="56"/>
      <c r="L5" s="41"/>
      <c r="M5" s="42"/>
      <c r="N5" s="56"/>
      <c r="O5" s="41">
        <f>CALI!O5+HUNGRIA!O5+YUMBO!O5+'ADULTO MAYOR'!O5+'COMEDORES VALLE'!O5+BUGA!O5+'COMEDORES CALI'!O5+'CTAS EN PPACION'!O5+'COMEDORES PALMIRA'!O5+IMDERTY!O5</f>
        <v>100000000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100043615</v>
      </c>
      <c r="AN5" s="194"/>
      <c r="AO5" s="56"/>
    </row>
    <row r="6" spans="1:41" s="223" customFormat="1" ht="15" customHeight="1" x14ac:dyDescent="0.2">
      <c r="A6" s="74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/>
      <c r="J6" s="43"/>
      <c r="K6" s="57"/>
      <c r="L6" s="74"/>
      <c r="M6" s="43"/>
      <c r="N6" s="57"/>
      <c r="O6" s="74">
        <f>CALI!O6+HUNGRIA!O6+YUMBO!O6+'ADULTO MAYOR'!O6+'COMEDORES VALLE'!O6+BUGA!O6+'COMEDORES CALI'!O6+'CTAS EN PPACION'!O6+'COMEDORES PALMIRA'!O6+IMDERTY!O6</f>
        <v>100000000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100000000</v>
      </c>
      <c r="AN6" s="195"/>
      <c r="AO6" s="57"/>
    </row>
    <row r="7" spans="1:41" s="223" customFormat="1" ht="15" customHeight="1" x14ac:dyDescent="0.2">
      <c r="A7" s="74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/>
      <c r="J7" s="43"/>
      <c r="K7" s="57"/>
      <c r="L7" s="74"/>
      <c r="M7" s="43"/>
      <c r="N7" s="57"/>
      <c r="O7" s="74">
        <f>CALI!O7+HUNGRIA!O7+YUMBO!O7+'ADULTO MAYOR'!O7+'COMEDORES VALLE'!O7+BUGA!O7+'COMEDORES CALI'!O7+'CTAS EN PPACION'!O7+'COMEDORES PALMIRA'!O7+IMDERTY!O7</f>
        <v>100000000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100001985</v>
      </c>
      <c r="AN7" s="195"/>
      <c r="AO7" s="57"/>
    </row>
    <row r="8" spans="1:41" s="223" customFormat="1" ht="15" customHeight="1" x14ac:dyDescent="0.2">
      <c r="A8" s="74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/>
      <c r="J8" s="42"/>
      <c r="K8" s="56"/>
      <c r="L8" s="44"/>
      <c r="M8" s="42"/>
      <c r="N8" s="56"/>
      <c r="O8" s="44">
        <f>CALI!O8+HUNGRIA!O8+YUMBO!O8+'ADULTO MAYOR'!O8+'COMEDORES VALLE'!O8+BUGA!O8+'COMEDORES CALI'!O8+'CTAS EN PPACION'!O8+'COMEDORES PALMIRA'!O8+IMDERTY!O8</f>
        <v>60000000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60000000</v>
      </c>
      <c r="AN8" s="194"/>
      <c r="AO8" s="57"/>
    </row>
    <row r="9" spans="1:41" s="223" customFormat="1" ht="15" customHeight="1" x14ac:dyDescent="0.2">
      <c r="A9" s="74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/>
      <c r="J9" s="43"/>
      <c r="K9" s="57"/>
      <c r="L9" s="74"/>
      <c r="M9" s="43"/>
      <c r="N9" s="57"/>
      <c r="O9" s="74">
        <f>CALI!O9+HUNGRIA!O9+YUMBO!O9+'ADULTO MAYOR'!O9+'COMEDORES VALLE'!O9+BUGA!O9+'COMEDORES CALI'!O9+'CTAS EN PPACION'!O9+'COMEDORES PALMIRA'!O9+IMDERTY!O9</f>
        <v>40000000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40000000</v>
      </c>
      <c r="AN9" s="195"/>
      <c r="AO9" s="57"/>
    </row>
    <row r="10" spans="1:41" s="223" customFormat="1" ht="15" customHeight="1" x14ac:dyDescent="0.2">
      <c r="A10" s="74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/>
      <c r="J10" s="43"/>
      <c r="K10" s="57"/>
      <c r="L10" s="74"/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/>
      <c r="J11" s="42"/>
      <c r="K11" s="56"/>
      <c r="L11" s="44"/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3"/>
      <c r="B12" s="15" t="s">
        <v>22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/>
      <c r="J12" s="47"/>
      <c r="K12" s="59"/>
      <c r="L12" s="46"/>
      <c r="M12" s="47"/>
      <c r="N12" s="59"/>
      <c r="O12" s="46">
        <f>SUM(O5:O11)</f>
        <v>400000000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400045600</v>
      </c>
      <c r="AN12" s="196"/>
      <c r="AO12" s="59"/>
    </row>
    <row r="13" spans="1:41" ht="15.75" customHeight="1" x14ac:dyDescent="0.2">
      <c r="B13" s="523" t="s">
        <v>23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/>
      <c r="J13" s="485"/>
      <c r="K13" s="507"/>
      <c r="L13" s="484"/>
      <c r="M13" s="485"/>
      <c r="N13" s="507"/>
      <c r="O13" s="484">
        <f>O14+O23</f>
        <v>80000000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80000000</v>
      </c>
      <c r="AN13" s="590"/>
      <c r="AO13" s="507"/>
    </row>
    <row r="14" spans="1:41" ht="15" customHeight="1" x14ac:dyDescent="0.2">
      <c r="B14" s="16" t="s">
        <v>24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/>
      <c r="J14" s="3"/>
      <c r="K14" s="61"/>
      <c r="L14" s="49"/>
      <c r="M14" s="3"/>
      <c r="N14" s="61"/>
      <c r="O14" s="49">
        <f>O15</f>
        <v>20000000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0"/>
      <c r="Z14" s="865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20000000</v>
      </c>
      <c r="AN14" s="197"/>
      <c r="AO14" s="61"/>
    </row>
    <row r="15" spans="1:41" ht="15" customHeight="1" x14ac:dyDescent="0.2">
      <c r="B15" s="16" t="s">
        <v>25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v>241842440</v>
      </c>
      <c r="J15" s="3"/>
      <c r="K15" s="61"/>
      <c r="L15" s="49"/>
      <c r="M15" s="3"/>
      <c r="N15" s="61"/>
      <c r="O15" s="49">
        <v>20000000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0"/>
      <c r="Z15" s="865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261842440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/>
      <c r="J16" s="42"/>
      <c r="K16" s="56"/>
      <c r="L16" s="11"/>
      <c r="M16" s="42"/>
      <c r="N16" s="56"/>
      <c r="O16" s="50">
        <f>CALI!O16+HUNGRIA!O16+YUMBO!O16+'ADULTO MAYOR'!O16+'COMEDORES VALLE'!O16+BUGA!O16+'COMEDORES CALI'!O16+'CTAS EN PPACION'!O16+'COMEDORES PALMIRA'!O16+IMDERTY!O16</f>
        <v>100000000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100000000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/>
      <c r="J17" s="43"/>
      <c r="K17" s="57"/>
      <c r="L17" s="12"/>
      <c r="M17" s="43"/>
      <c r="N17" s="57"/>
      <c r="O17" s="75">
        <f>CALI!O17+HUNGRIA!O17+YUMBO!O17+'ADULTO MAYOR'!O17+'COMEDORES VALLE'!O17+BUGA!O17+'COMEDORES CALI'!O17+'CTAS EN PPACION'!O17+'COMEDORES PALMIRA'!O17+IMDERTY!O17</f>
        <v>100000000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100000000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/>
      <c r="J18" s="43"/>
      <c r="K18" s="57"/>
      <c r="L18" s="12"/>
      <c r="M18" s="43"/>
      <c r="N18" s="57"/>
      <c r="O18" s="75">
        <f>CALI!O18+HUNGRIA!O18+YUMBO!O18+'ADULTO MAYOR'!O18+'COMEDORES VALLE'!O18+BUGA!O18+'COMEDORES CALI'!O18+'CTAS EN PPACION'!O18+'COMEDORES PALMIRA'!O18+IMDERTY!O18</f>
        <v>100000000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100000000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/>
      <c r="J19" s="43"/>
      <c r="K19" s="57"/>
      <c r="L19" s="12"/>
      <c r="M19" s="43"/>
      <c r="N19" s="57"/>
      <c r="O19" s="25">
        <f>CALI!O19+HUNGRIA!O19+YUMBO!O19+'ADULTO MAYOR'!O19+'COMEDORES VALLE'!O19+BUGA!O19+'COMEDORES CALI'!O19+'CTAS EN PPACION'!O19+'COMEDORES PALMIRA'!O19+IMDERTY!O19</f>
        <v>40000000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40000000</v>
      </c>
      <c r="AN19" s="195"/>
      <c r="AO19" s="57"/>
    </row>
    <row r="20" spans="2:41" ht="15" customHeight="1" x14ac:dyDescent="0.2">
      <c r="B20" s="104" t="s">
        <v>368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v>241842440</v>
      </c>
      <c r="J20" s="42"/>
      <c r="K20" s="56"/>
      <c r="L20" s="76"/>
      <c r="M20" s="42"/>
      <c r="N20" s="56"/>
      <c r="O20" s="76">
        <v>20000000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261842440</v>
      </c>
      <c r="AN20" s="194"/>
      <c r="AO20" s="57"/>
    </row>
    <row r="21" spans="2:41" ht="15" customHeight="1" x14ac:dyDescent="0.2">
      <c r="B21" s="104" t="s">
        <v>517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v>241842440</v>
      </c>
      <c r="J21" s="43"/>
      <c r="K21" s="57"/>
      <c r="L21" s="75"/>
      <c r="M21" s="43"/>
      <c r="N21" s="57"/>
      <c r="O21" s="75">
        <v>20000000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261842440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/>
      <c r="J22" s="42"/>
      <c r="K22" s="56"/>
      <c r="L22" s="51"/>
      <c r="M22" s="42"/>
      <c r="N22" s="56"/>
      <c r="O22" s="51">
        <f>CALI!O22+HUNGRIA!O22+YUMBO!O22+'ADULTO MAYOR'!O22+'COMEDORES VALLE'!O22+BUGA!O22+'COMEDORES CALI'!O22+'CTAS EN PPACION'!O22+'COMEDORES PALMIRA'!O22+IMDERTY!O22</f>
        <v>20000000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20000000</v>
      </c>
      <c r="AN22" s="194"/>
      <c r="AO22" s="56"/>
    </row>
    <row r="23" spans="2:41" ht="15" customHeight="1" x14ac:dyDescent="0.2">
      <c r="B23" s="16" t="s">
        <v>26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/>
      <c r="J23" s="3"/>
      <c r="K23" s="61"/>
      <c r="L23" s="49"/>
      <c r="M23" s="3"/>
      <c r="N23" s="61"/>
      <c r="O23" s="49">
        <f>O24</f>
        <v>60000000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0"/>
      <c r="Z23" s="865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60000000</v>
      </c>
      <c r="AN23" s="197"/>
      <c r="AO23" s="61"/>
    </row>
    <row r="24" spans="2:41" ht="15" customHeight="1" x14ac:dyDescent="0.2">
      <c r="B24" s="16" t="s">
        <v>27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/>
      <c r="J24" s="3"/>
      <c r="K24" s="61"/>
      <c r="L24" s="49"/>
      <c r="M24" s="3"/>
      <c r="N24" s="61"/>
      <c r="O24" s="49">
        <f>SUM(O25:O27)</f>
        <v>60000000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0"/>
      <c r="Z24" s="865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60000000</v>
      </c>
      <c r="AN24" s="197"/>
      <c r="AO24" s="61"/>
    </row>
    <row r="25" spans="2:41" ht="15" hidden="1" customHeight="1" outlineLevel="1" x14ac:dyDescent="0.2">
      <c r="B25" s="32" t="s">
        <v>28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v>241842440</v>
      </c>
      <c r="J25" s="52"/>
      <c r="K25" s="62"/>
      <c r="L25" s="35"/>
      <c r="M25" s="52"/>
      <c r="N25" s="62"/>
      <c r="O25" s="35">
        <v>20000000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261842440</v>
      </c>
      <c r="AN25" s="198"/>
      <c r="AO25" s="62"/>
    </row>
    <row r="26" spans="2:41" ht="15" hidden="1" customHeight="1" outlineLevel="1" x14ac:dyDescent="0.2">
      <c r="B26" s="32" t="s">
        <v>29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v>241842440</v>
      </c>
      <c r="J26" s="52"/>
      <c r="K26" s="62"/>
      <c r="L26" s="35"/>
      <c r="M26" s="52"/>
      <c r="N26" s="62"/>
      <c r="O26" s="35">
        <v>20000000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261842440</v>
      </c>
      <c r="AN26" s="198"/>
      <c r="AO26" s="62"/>
    </row>
    <row r="27" spans="2:41" ht="15" hidden="1" customHeight="1" outlineLevel="1" x14ac:dyDescent="0.2">
      <c r="B27" s="32" t="s">
        <v>30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v>241842440</v>
      </c>
      <c r="J27" s="52"/>
      <c r="K27" s="62"/>
      <c r="L27" s="35"/>
      <c r="M27" s="52"/>
      <c r="N27" s="62"/>
      <c r="O27" s="35">
        <v>20000000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261842440</v>
      </c>
      <c r="AN27" s="198"/>
      <c r="AO27" s="62"/>
    </row>
    <row r="28" spans="2:41" ht="15" customHeight="1" collapsed="1" x14ac:dyDescent="0.2">
      <c r="B28" s="16" t="s">
        <v>538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/>
      <c r="J28" s="3"/>
      <c r="K28" s="61"/>
      <c r="L28" s="49"/>
      <c r="M28" s="3"/>
      <c r="N28" s="61"/>
      <c r="O28" s="49">
        <f>+O29</f>
        <v>90777400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0"/>
      <c r="Z28" s="865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90777400</v>
      </c>
      <c r="AN28" s="197"/>
      <c r="AO28" s="61"/>
    </row>
    <row r="29" spans="2:41" ht="15" customHeight="1" x14ac:dyDescent="0.2">
      <c r="B29" s="16" t="s">
        <v>32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/>
      <c r="J29" s="3"/>
      <c r="K29" s="61"/>
      <c r="L29" s="49"/>
      <c r="M29" s="3"/>
      <c r="N29" s="61" t="e">
        <f>L29/L13</f>
        <v>#DIV/0!</v>
      </c>
      <c r="O29" s="49">
        <f>SUM(O30:O41)</f>
        <v>90777400</v>
      </c>
      <c r="P29" s="3"/>
      <c r="Q29" s="61">
        <f>O29/O13</f>
        <v>1.1347175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0"/>
      <c r="Z29" s="761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90777400</v>
      </c>
      <c r="AN29" s="197"/>
      <c r="AO29" s="150">
        <f>AM29/AM13</f>
        <v>1.1347175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/>
      <c r="J30" s="69"/>
      <c r="K30" s="56"/>
      <c r="L30" s="53"/>
      <c r="M30" s="69"/>
      <c r="N30" s="56"/>
      <c r="O30" s="53">
        <f>CALI!O30+HUNGRIA!O30+YUMBO!O30+'ADULTO MAYOR'!O30+'COMEDORES VALLE'!O30+BUGA!O30+'COMEDORES CALI'!O30+'CTAS EN PPACION'!O30+'COMEDORES PALMIRA'!O30+IMDERTY!O30</f>
        <v>4700000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4700000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/>
      <c r="J31" s="43"/>
      <c r="K31" s="57"/>
      <c r="L31" s="265"/>
      <c r="M31" s="43"/>
      <c r="N31" s="57"/>
      <c r="O31" s="265">
        <f>CALI!O31+HUNGRIA!O31+YUMBO!O31+'ADULTO MAYOR'!O31+'COMEDORES VALLE'!O31+BUGA!O31+'COMEDORES CALI'!O31+'CTAS EN PPACION'!O31+'COMEDORES PALMIRA'!O31+IMDERTY!O31</f>
        <v>24808000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24808000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/>
      <c r="J32" s="43"/>
      <c r="K32" s="57"/>
      <c r="L32" s="265"/>
      <c r="M32" s="43"/>
      <c r="N32" s="57"/>
      <c r="O32" s="265">
        <f>CALI!O32+HUNGRIA!O32+YUMBO!O32+'ADULTO MAYOR'!O32+'COMEDORES VALLE'!O32+BUGA!O32+'COMEDORES CALI'!O32+'CTAS EN PPACION'!O32+'COMEDORES PALMIRA'!O32+IMDERTY!O32</f>
        <v>22408400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22408400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/>
      <c r="J33" s="43"/>
      <c r="K33" s="57"/>
      <c r="L33" s="25"/>
      <c r="M33" s="43"/>
      <c r="N33" s="57"/>
      <c r="O33" s="25">
        <f>CALI!O33+HUNGRIA!O33+YUMBO!O33+'ADULTO MAYOR'!O33+'COMEDORES VALLE'!O33+BUGA!O33+'COMEDORES CALI'!O33+'CTAS EN PPACION'!O33+'COMEDORES PALMIRA'!O33+IMDERTY!O33</f>
        <v>6000000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6000000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/>
      <c r="J34" s="43"/>
      <c r="K34" s="57"/>
      <c r="L34" s="25"/>
      <c r="M34" s="43"/>
      <c r="N34" s="57"/>
      <c r="O34" s="25">
        <f>CALI!O34+HUNGRIA!O34+YUMBO!O34+'ADULTO MAYOR'!O34+'COMEDORES VALLE'!O34+BUGA!O34+'COMEDORES CALI'!O34+'CTAS EN PPACION'!O34+'COMEDORES PALMIRA'!O34+IMDERTY!O34</f>
        <v>505000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505000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/>
      <c r="J35" s="43"/>
      <c r="K35" s="57"/>
      <c r="L35" s="25"/>
      <c r="M35" s="43"/>
      <c r="N35" s="57"/>
      <c r="O35" s="25">
        <f>CALI!O35+HUNGRIA!O35+YUMBO!O35+'ADULTO MAYOR'!O35+'COMEDORES VALLE'!O35+BUGA!O35+'COMEDORES CALI'!O35+'CTAS EN PPACION'!O35+'COMEDORES PALMIRA'!O35+IMDERTY!O35</f>
        <v>7228000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7228000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/>
      <c r="J36" s="43"/>
      <c r="K36" s="57"/>
      <c r="L36" s="25"/>
      <c r="M36" s="43"/>
      <c r="N36" s="57"/>
      <c r="O36" s="25">
        <f>CALI!O36+HUNGRIA!O36+YUMBO!O36+'ADULTO MAYOR'!O36+'COMEDORES VALLE'!O36+BUGA!O36+'COMEDORES CALI'!O36+'CTAS EN PPACION'!O36+'COMEDORES PALMIRA'!O36+IMDERTY!O36</f>
        <v>2828000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2828000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/>
      <c r="J37" s="43"/>
      <c r="K37" s="57"/>
      <c r="L37" s="25"/>
      <c r="M37" s="43"/>
      <c r="N37" s="57"/>
      <c r="O37" s="25">
        <f>CALI!O37+HUNGRIA!O37+YUMBO!O37+'ADULTO MAYOR'!O37+'COMEDORES VALLE'!O37+BUGA!O37+'COMEDORES CALI'!O37+'CTAS EN PPACION'!O37+'COMEDORES PALMIRA'!O37+IMDERTY!O37</f>
        <v>2300000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2300000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/>
      <c r="J38" s="43"/>
      <c r="K38" s="57"/>
      <c r="L38" s="25"/>
      <c r="M38" s="43"/>
      <c r="N38" s="57"/>
      <c r="O38" s="25">
        <f>CALI!O38+HUNGRIA!O38+YUMBO!O38+'ADULTO MAYOR'!O38+'COMEDORES VALLE'!O38+BUGA!O38+'COMEDORES CALI'!O38+'CTAS EN PPACION'!O38+'COMEDORES PALMIRA'!O38+IMDERTY!O38</f>
        <v>20000000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20000000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/>
      <c r="J39" s="43"/>
      <c r="K39" s="57"/>
      <c r="L39" s="25"/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/>
      <c r="J40" s="43"/>
      <c r="K40" s="57"/>
      <c r="L40" s="25"/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/>
      <c r="J41" s="42"/>
      <c r="K41" s="56"/>
      <c r="L41" s="22"/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33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/>
      <c r="J42" s="488"/>
      <c r="K42" s="509"/>
      <c r="L42" s="487"/>
      <c r="M42" s="488"/>
      <c r="N42" s="509"/>
      <c r="O42" s="487">
        <f>+O14+O23-O28</f>
        <v>-10777400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-10777400</v>
      </c>
      <c r="AN42" s="592"/>
      <c r="AO42" s="509"/>
    </row>
    <row r="43" spans="2:41" ht="15" customHeight="1" thickTop="1" thickBot="1" x14ac:dyDescent="0.25">
      <c r="C43" s="929"/>
      <c r="D43" s="930"/>
      <c r="E43" s="931" t="e">
        <f>(C46+C61)/(C13-C20-C21-C22)</f>
        <v>#DIV/0!</v>
      </c>
      <c r="F43" s="929"/>
      <c r="G43" s="929"/>
      <c r="H43" s="962" t="e">
        <f>(F46+F61)/(F13-F20-F21-F22)</f>
        <v>#DIV/0!</v>
      </c>
      <c r="I43" s="929"/>
      <c r="J43" s="929"/>
      <c r="K43" s="932"/>
      <c r="L43" s="929"/>
      <c r="M43" s="929"/>
      <c r="N43" s="933" t="e">
        <f>(L46+L61)/(L13-L20-L21-L22)</f>
        <v>#DIV/0!</v>
      </c>
      <c r="O43" s="929"/>
      <c r="P43" s="929"/>
      <c r="Q43" s="934">
        <f>(O46+O61)/(O13-O20-O21-O22)</f>
        <v>30</v>
      </c>
      <c r="R43" s="929"/>
      <c r="S43" s="929"/>
      <c r="T43" s="933" t="e">
        <f>(R46+R61)/(R13-R20-R21-R22)</f>
        <v>#DIV/0!</v>
      </c>
      <c r="U43" s="929"/>
      <c r="V43" s="929"/>
      <c r="W43" s="933" t="e">
        <f>(U46+U61)/(U13-U20-U21-U22)</f>
        <v>#DIV/0!</v>
      </c>
      <c r="X43" s="929"/>
      <c r="Y43" s="929"/>
      <c r="Z43" s="933" t="e">
        <f>(X46+X61)/(X13-X20-X21-X22)</f>
        <v>#DIV/0!</v>
      </c>
      <c r="AA43" s="929">
        <f>650768778-AA29</f>
        <v>650768778</v>
      </c>
      <c r="AB43" s="929"/>
      <c r="AC43" s="933" t="e">
        <f>(AA46+AA61)/(AA13-AA20-AA21-AA22)</f>
        <v>#DIV/0!</v>
      </c>
      <c r="AD43" s="935"/>
      <c r="AE43" s="936"/>
      <c r="AF43" s="933" t="e">
        <f>(AD46+AD61)/(AD13-AD20-AD21-AD22)</f>
        <v>#DIV/0!</v>
      </c>
      <c r="AG43" s="936" t="e">
        <f>(AG13*AF43)-(AG46+AG61)</f>
        <v>#DIV/0!</v>
      </c>
      <c r="AH43" s="936"/>
      <c r="AI43" s="933" t="e">
        <f>(AG46+AG61)/(AG13-AG20-AG21-AG22)</f>
        <v>#DIV/0!</v>
      </c>
      <c r="AJ43" s="936" t="e">
        <f>(AJ13*AI43)-(AJ46+AJ61)</f>
        <v>#DIV/0!</v>
      </c>
      <c r="AK43" s="936"/>
      <c r="AL43" s="933" t="e">
        <f>(AJ46+AJ61)/(AJ13-AJ20-AJ21-AJ22)</f>
        <v>#DIV/0!</v>
      </c>
      <c r="AM43" s="866"/>
      <c r="AN43" s="695"/>
      <c r="AO43" s="937">
        <f>(AM46+AM61)/(AM13-AM20-AM21-AM22)</f>
        <v>-23.040606924771826</v>
      </c>
    </row>
    <row r="44" spans="2:41" ht="15" customHeight="1" thickTop="1" x14ac:dyDescent="0.2">
      <c r="B44" s="526" t="s">
        <v>344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/>
      <c r="J44" s="491"/>
      <c r="K44" s="492"/>
      <c r="L44" s="490"/>
      <c r="M44" s="491"/>
      <c r="N44" s="492" t="e">
        <f>L44/L13</f>
        <v>#DIV/0!</v>
      </c>
      <c r="O44" s="490">
        <f>+O45+O60+O78</f>
        <v>800000000</v>
      </c>
      <c r="P44" s="491"/>
      <c r="Q44" s="492">
        <f>O44/O13</f>
        <v>10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13290611014.039993</v>
      </c>
      <c r="AN44" s="594"/>
      <c r="AO44" s="492">
        <f>AM44/AM13</f>
        <v>166.13263767549992</v>
      </c>
    </row>
    <row r="45" spans="2:41" ht="15" customHeight="1" x14ac:dyDescent="0.2">
      <c r="B45" s="16" t="s">
        <v>35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/>
      <c r="J45" s="3"/>
      <c r="K45" s="150"/>
      <c r="L45" s="49"/>
      <c r="M45" s="3"/>
      <c r="N45" s="150" t="e">
        <f>L45/L13</f>
        <v>#DIV/0!</v>
      </c>
      <c r="O45" s="49">
        <f>+O46+O57</f>
        <v>280000000</v>
      </c>
      <c r="P45" s="3"/>
      <c r="Q45" s="150">
        <f>O45/O13</f>
        <v>3.5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6722736087.9699936</v>
      </c>
      <c r="AN45" s="197"/>
      <c r="AO45" s="150">
        <f>AM45/AM13</f>
        <v>84.034201099624923</v>
      </c>
    </row>
    <row r="46" spans="2:41" ht="15" customHeight="1" x14ac:dyDescent="0.2">
      <c r="B46" s="36" t="s">
        <v>539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/>
      <c r="J46" s="47"/>
      <c r="K46" s="152"/>
      <c r="L46" s="46"/>
      <c r="M46" s="47"/>
      <c r="N46" s="152" t="e">
        <f>L46/L13</f>
        <v>#DIV/0!</v>
      </c>
      <c r="O46" s="46">
        <f>SUM(O47:O56)</f>
        <v>240000000</v>
      </c>
      <c r="P46" s="47"/>
      <c r="Q46" s="152">
        <f>O46/O13</f>
        <v>3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6225968087.9699936</v>
      </c>
      <c r="AN46" s="199"/>
      <c r="AO46" s="152">
        <f>AM46/AM13</f>
        <v>77.824601099624914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/>
      <c r="J47" s="42"/>
      <c r="K47" s="56"/>
      <c r="L47" s="50"/>
      <c r="M47" s="42"/>
      <c r="N47" s="56"/>
      <c r="O47" s="50">
        <f>CALI!O47+HUNGRIA!O47+YUMBO!O47+'ADULTO MAYOR'!O47+'COMEDORES VALLE'!O47+BUGA!O47+'COMEDORES CALI'!O47+'CTAS EN PPACION'!O47+'COMEDORES PALMIRA'!O47+IMDERTY!O47</f>
        <v>100000000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6085968087.9699936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/>
      <c r="J48" s="43"/>
      <c r="K48" s="57"/>
      <c r="L48" s="25"/>
      <c r="M48" s="43"/>
      <c r="N48" s="57"/>
      <c r="O48" s="25">
        <f>CALI!O48+HUNGRIA!O48+YUMBO!O48+'ADULTO MAYOR'!O48+'COMEDORES VALLE'!O48+BUGA!O48+'COMEDORES CALI'!O48+'CTAS EN PPACION'!O48+'COMEDORES PALMIRA'!O48+IMDERTY!O48</f>
        <v>20000000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20000000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/>
      <c r="J49" s="43"/>
      <c r="K49" s="57"/>
      <c r="L49" s="25"/>
      <c r="M49" s="43"/>
      <c r="N49" s="57"/>
      <c r="O49" s="25">
        <f>CALI!O49+HUNGRIA!O49+YUMBO!O49+'ADULTO MAYOR'!O49+'COMEDORES VALLE'!O49+BUGA!O49+'COMEDORES CALI'!O49+'CTAS EN PPACION'!O49+'COMEDORES PALMIRA'!O49+IMDERTY!O49</f>
        <v>40000000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40000000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/>
      <c r="J50" s="43"/>
      <c r="K50" s="57"/>
      <c r="L50" s="25"/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/>
      <c r="J51" s="43"/>
      <c r="K51" s="57"/>
      <c r="L51" s="25"/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/>
      <c r="J52" s="43"/>
      <c r="K52" s="57"/>
      <c r="L52" s="25"/>
      <c r="M52" s="43"/>
      <c r="N52" s="57"/>
      <c r="O52" s="25">
        <f>CALI!O52+HUNGRIA!O52+YUMBO!O52+'ADULTO MAYOR'!O52+'COMEDORES VALLE'!O52+BUGA!O52+'COMEDORES CALI'!O52+'CTAS EN PPACION'!O52+'COMEDORES PALMIRA'!O52</f>
        <v>40000000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40000000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/>
      <c r="J53" s="43"/>
      <c r="K53" s="57"/>
      <c r="L53" s="25"/>
      <c r="M53" s="43"/>
      <c r="N53" s="57"/>
      <c r="O53" s="25">
        <f>CALI!O53+HUNGRIA!O53+YUMBO!O53+'ADULTO MAYOR'!O53+'COMEDORES VALLE'!O53+BUGA!O53+'COMEDORES CALI'!O53+'CTAS EN PPACION'!O53+'COMEDORES PALMIRA'!O53</f>
        <v>40000000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40000000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/>
      <c r="J54" s="43"/>
      <c r="K54" s="57"/>
      <c r="L54" s="25"/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/>
      <c r="J55" s="43"/>
      <c r="K55" s="57"/>
      <c r="L55" s="25"/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/>
      <c r="J56" s="42"/>
      <c r="K56" s="56"/>
      <c r="L56" s="22"/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505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/>
      <c r="J57" s="47"/>
      <c r="K57" s="59"/>
      <c r="L57" s="46"/>
      <c r="M57" s="67"/>
      <c r="N57" s="68"/>
      <c r="O57" s="46">
        <f>SUM(O58:O59)</f>
        <v>40000000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496768000</v>
      </c>
      <c r="AN57" s="196">
        <f>AM57/AM12</f>
        <v>1.2417784372581526</v>
      </c>
      <c r="AO57" s="59">
        <f>AM57/AM13</f>
        <v>6.2096</v>
      </c>
    </row>
    <row r="58" spans="2:41" ht="15" customHeight="1" x14ac:dyDescent="0.2">
      <c r="B58" s="411" t="s">
        <v>506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v>241842440</v>
      </c>
      <c r="J58" s="305"/>
      <c r="K58" s="86"/>
      <c r="L58" s="304"/>
      <c r="M58" s="305"/>
      <c r="N58" s="86"/>
      <c r="O58" s="304">
        <v>20000000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718610440</v>
      </c>
      <c r="AN58" s="204"/>
      <c r="AO58" s="86">
        <f>AM58/AM$13</f>
        <v>8.9826305000000009</v>
      </c>
    </row>
    <row r="59" spans="2:41" ht="15" customHeight="1" x14ac:dyDescent="0.2">
      <c r="B59" s="415" t="s">
        <v>507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v>241842440</v>
      </c>
      <c r="J59" s="84"/>
      <c r="K59" s="85"/>
      <c r="L59" s="83"/>
      <c r="M59" s="84"/>
      <c r="N59" s="85"/>
      <c r="O59" s="83">
        <v>20000000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261842440</v>
      </c>
      <c r="AN59" s="350"/>
      <c r="AO59" s="418">
        <f>AM59/AM$13</f>
        <v>3.2730305</v>
      </c>
    </row>
    <row r="60" spans="2:41" ht="15" customHeight="1" x14ac:dyDescent="0.2">
      <c r="B60" s="16" t="s">
        <v>37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/>
      <c r="J60" s="3"/>
      <c r="K60" s="150"/>
      <c r="L60" s="90"/>
      <c r="M60" s="3"/>
      <c r="N60" s="150" t="e">
        <f>L60/L13</f>
        <v>#DIV/0!</v>
      </c>
      <c r="O60" s="90">
        <f>+O61+O72+O75+O76+O77</f>
        <v>460000000</v>
      </c>
      <c r="P60" s="3"/>
      <c r="Q60" s="150">
        <f>O60/O13</f>
        <v>5.75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8">
        <f t="shared" si="1"/>
        <v>5176983361.0699997</v>
      </c>
      <c r="AN60" s="197"/>
      <c r="AO60" s="150">
        <f>AM60/$AM$13</f>
        <v>64.712292013374991</v>
      </c>
    </row>
    <row r="61" spans="2:41" ht="15" customHeight="1" x14ac:dyDescent="0.2">
      <c r="B61" s="36" t="s">
        <v>540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/>
      <c r="J61" s="67"/>
      <c r="K61" s="152"/>
      <c r="L61" s="46"/>
      <c r="M61" s="67"/>
      <c r="N61" s="152" t="e">
        <f>L61/L14</f>
        <v>#DIV/0!</v>
      </c>
      <c r="O61" s="46">
        <f>SUM(O62:O71)</f>
        <v>360000000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4457612969.0699997</v>
      </c>
      <c r="AN61" s="199"/>
      <c r="AO61" s="152">
        <f>AM61/$AM$13</f>
        <v>55.720162113374997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/>
      <c r="J62" s="79"/>
      <c r="K62" s="80"/>
      <c r="L62" s="78"/>
      <c r="M62" s="79"/>
      <c r="N62" s="80"/>
      <c r="O62" s="78">
        <f>CALI!O62+HUNGRIA!O62+YUMBO!O62+'ADULTO MAYOR'!O62+'COMEDORES VALLE'!O62+BUGA!O62+'COMEDORES CALI'!O62+'CTAS EN PPACION'!O62+'COMEDORES PALMIRA'!O62+IMDERTY!O62</f>
        <v>80000000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2152425633.1799998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/>
      <c r="J63" s="43"/>
      <c r="K63" s="57"/>
      <c r="L63" s="25"/>
      <c r="M63" s="43"/>
      <c r="N63" s="57"/>
      <c r="O63" s="25">
        <f>CALI!O63+HUNGRIA!O63+YUMBO!O63+'ADULTO MAYOR'!O63+'COMEDORES VALLE'!O63+BUGA!O63+'COMEDORES CALI'!O63+'CTAS EN PPACION'!O63+'COMEDORES PALMIRA'!O63+IMDERTY!O63</f>
        <v>80000000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1313594011.73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/>
      <c r="J64" s="43"/>
      <c r="K64" s="57"/>
      <c r="L64" s="82"/>
      <c r="M64" s="43"/>
      <c r="N64" s="57"/>
      <c r="O64" s="82">
        <f>CALI!O64+HUNGRIA!O64+YUMBO!O64+'ADULTO MAYOR'!O64+'COMEDORES VALLE'!O64+BUGA!O64+'COMEDORES CALI'!O64+'CTAS EN PPACION'!O64+'COMEDORES PALMIRA'!O64+IMDERTY!O64</f>
        <v>40000000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831593324.15999997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/>
      <c r="J65" s="43"/>
      <c r="K65" s="57"/>
      <c r="L65" s="25"/>
      <c r="M65" s="43"/>
      <c r="N65" s="57"/>
      <c r="O65" s="25">
        <f>CALI!O65+HUNGRIA!O65+YUMBO!O65+'ADULTO MAYOR'!O65+'COMEDORES VALLE'!O65+BUGA!O65+'COMEDORES CALI'!O65+'CTAS EN PPACION'!O65+'COMEDORES PALMIRA'!O65+IMDERTY!O65</f>
        <v>40000000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40000000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/>
      <c r="J66" s="43"/>
      <c r="K66" s="57"/>
      <c r="L66" s="25"/>
      <c r="M66" s="43"/>
      <c r="N66" s="57"/>
      <c r="O66" s="25">
        <f>CALI!O66+HUNGRIA!O66+YUMBO!O66+'ADULTO MAYOR'!O66+'COMEDORES VALLE'!O66+BUGA!O66+'COMEDORES CALI'!O66+'CTAS EN PPACION'!O66+'COMEDORES PALMIRA'!O66+IMDERTY!O66</f>
        <v>80000000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80000000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/>
      <c r="J67" s="43"/>
      <c r="K67" s="57"/>
      <c r="L67" s="25"/>
      <c r="M67" s="43"/>
      <c r="N67" s="57"/>
      <c r="O67" s="25">
        <f>CALI!O67+HUNGRIA!O67+YUMBO!O67+'ADULTO MAYOR'!O67+'COMEDORES VALLE'!O67+BUGA!O67+'COMEDORES CALI'!O67+'CTAS EN PPACION'!O67+'COMEDORES PALMIRA'!O67+IMDERTY!O67</f>
        <v>40000000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40000000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/>
      <c r="J68" s="43"/>
      <c r="K68" s="57"/>
      <c r="L68" s="25"/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/>
      <c r="J69" s="43"/>
      <c r="K69" s="57"/>
      <c r="L69" s="25"/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/>
      <c r="J70" s="43"/>
      <c r="K70" s="57"/>
      <c r="L70" s="25"/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/>
      <c r="J71" s="84"/>
      <c r="K71" s="85"/>
      <c r="L71" s="83"/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487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/>
      <c r="J72" s="47"/>
      <c r="K72" s="152"/>
      <c r="L72" s="46"/>
      <c r="M72" s="47" t="e">
        <f>L72/L12</f>
        <v>#DIV/0!</v>
      </c>
      <c r="N72" s="152" t="e">
        <f>L72/L13</f>
        <v>#DIV/0!</v>
      </c>
      <c r="O72" s="46">
        <f>SUM(O73:O74)</f>
        <v>40000000</v>
      </c>
      <c r="P72" s="47">
        <f>O72/O12</f>
        <v>0.1</v>
      </c>
      <c r="Q72" s="152">
        <f>O72/O13</f>
        <v>0.5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429128920</v>
      </c>
      <c r="AN72" s="196">
        <f>AM72/AM12</f>
        <v>1.0727000121986094</v>
      </c>
      <c r="AO72" s="152">
        <f>AM72/AM13</f>
        <v>5.3641114999999999</v>
      </c>
    </row>
    <row r="73" spans="2:41" ht="15" customHeight="1" x14ac:dyDescent="0.2">
      <c r="B73" s="411" t="s">
        <v>384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v>241842440</v>
      </c>
      <c r="J73" s="305"/>
      <c r="K73" s="86"/>
      <c r="L73" s="304"/>
      <c r="M73" s="305"/>
      <c r="N73" s="86"/>
      <c r="O73" s="304">
        <v>20000000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411735548</v>
      </c>
      <c r="AN73" s="204"/>
      <c r="AO73" s="419"/>
    </row>
    <row r="74" spans="2:41" ht="15" customHeight="1" x14ac:dyDescent="0.2">
      <c r="B74" s="415" t="s">
        <v>385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v>241842440</v>
      </c>
      <c r="J74" s="84"/>
      <c r="K74" s="85"/>
      <c r="L74" s="83"/>
      <c r="M74" s="84"/>
      <c r="N74" s="85"/>
      <c r="O74" s="83">
        <v>20000000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501078252</v>
      </c>
      <c r="AN74" s="350"/>
      <c r="AO74" s="645"/>
    </row>
    <row r="75" spans="2:41" ht="15" customHeight="1" x14ac:dyDescent="0.2">
      <c r="B75" s="36" t="s">
        <v>44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v>241842440</v>
      </c>
      <c r="J75" s="67"/>
      <c r="K75" s="68"/>
      <c r="L75" s="37"/>
      <c r="M75" s="67"/>
      <c r="N75" s="68"/>
      <c r="O75" s="37">
        <v>20000000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261878040</v>
      </c>
      <c r="AN75" s="199"/>
      <c r="AO75" s="149">
        <f>AM75/AM$13</f>
        <v>3.2734755</v>
      </c>
    </row>
    <row r="76" spans="2:41" ht="15" customHeight="1" x14ac:dyDescent="0.2">
      <c r="B76" s="36" t="s">
        <v>45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v>241842440</v>
      </c>
      <c r="J76" s="67"/>
      <c r="K76" s="68"/>
      <c r="L76" s="37"/>
      <c r="M76" s="67"/>
      <c r="N76" s="68"/>
      <c r="O76" s="37">
        <v>20000000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417105725</v>
      </c>
      <c r="AN76" s="199"/>
      <c r="AO76" s="646">
        <f>AM76/$AM$13</f>
        <v>5.2138215624999997</v>
      </c>
    </row>
    <row r="77" spans="2:41" ht="15" customHeight="1" x14ac:dyDescent="0.2">
      <c r="B77" s="66" t="s">
        <v>46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v>241842440</v>
      </c>
      <c r="J77" s="45"/>
      <c r="K77" s="58"/>
      <c r="L77" s="28"/>
      <c r="M77" s="45"/>
      <c r="N77" s="58"/>
      <c r="O77" s="28">
        <v>20000000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336785027</v>
      </c>
      <c r="AN77" s="194"/>
      <c r="AO77" s="646">
        <f>AM77/$AM$13</f>
        <v>4.2098128375000003</v>
      </c>
    </row>
    <row r="78" spans="2:41" ht="15" customHeight="1" x14ac:dyDescent="0.2">
      <c r="B78" s="16" t="s">
        <v>352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/>
      <c r="J78" s="3"/>
      <c r="K78" s="150"/>
      <c r="L78" s="49"/>
      <c r="M78" s="3"/>
      <c r="N78" s="150" t="e">
        <f>L78/L13</f>
        <v>#DIV/0!</v>
      </c>
      <c r="O78" s="49">
        <f>SUM(O79:O81)</f>
        <v>60000000</v>
      </c>
      <c r="P78" s="3"/>
      <c r="Q78" s="150">
        <f>O78/O13</f>
        <v>0.75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8">
        <f t="shared" si="1"/>
        <v>1390891565</v>
      </c>
      <c r="AN78" s="197"/>
      <c r="AO78" s="451">
        <f>AM78/(AM$13)</f>
        <v>17.3861445625</v>
      </c>
    </row>
    <row r="79" spans="2:41" ht="15" customHeight="1" x14ac:dyDescent="0.2">
      <c r="B79" s="39" t="s">
        <v>353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v>241842440</v>
      </c>
      <c r="J79" s="69"/>
      <c r="K79" s="306"/>
      <c r="L79" s="39"/>
      <c r="M79" s="69"/>
      <c r="N79" s="306" t="e">
        <f>L79/(L$13)</f>
        <v>#DIV/0!</v>
      </c>
      <c r="O79" s="39">
        <v>20000000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1397702359</v>
      </c>
      <c r="AN79" s="201"/>
      <c r="AO79" s="452">
        <f>AM79/(AM$13)</f>
        <v>17.471279487499999</v>
      </c>
    </row>
    <row r="80" spans="2:41" ht="15" customHeight="1" x14ac:dyDescent="0.2">
      <c r="B80" s="25" t="s">
        <v>386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v>241842440</v>
      </c>
      <c r="J80" s="43"/>
      <c r="K80" s="118"/>
      <c r="L80" s="25"/>
      <c r="M80" s="43"/>
      <c r="N80" s="118" t="e">
        <f>L80/(L$13)</f>
        <v>#DIV/0!</v>
      </c>
      <c r="O80" s="25">
        <v>20000000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454973099</v>
      </c>
      <c r="AN80" s="195"/>
      <c r="AO80" s="452">
        <f>AM80/(AM$13)</f>
        <v>5.6871637374999997</v>
      </c>
    </row>
    <row r="81" spans="1:41" ht="15" customHeight="1" thickBot="1" x14ac:dyDescent="0.25">
      <c r="B81" s="98" t="s">
        <v>541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v>241842440</v>
      </c>
      <c r="J81" s="214"/>
      <c r="K81" s="271"/>
      <c r="L81" s="269"/>
      <c r="M81" s="214"/>
      <c r="N81" s="271"/>
      <c r="O81" s="269">
        <v>20000000</v>
      </c>
      <c r="P81" s="214"/>
      <c r="Q81" s="271">
        <f>O81/O13</f>
        <v>0.25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263743427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51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/>
      <c r="J83" s="491"/>
      <c r="K83" s="492"/>
      <c r="L83" s="490"/>
      <c r="M83" s="491"/>
      <c r="N83" s="492" t="e">
        <f>L83/L13</f>
        <v>#DIV/0!</v>
      </c>
      <c r="O83" s="490">
        <f>+O84+O89+O92+O96+O99+O109+O114+O120+O123+O127</f>
        <v>980000000</v>
      </c>
      <c r="P83" s="491"/>
      <c r="Q83" s="492">
        <f>O83/O13</f>
        <v>12.25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52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/>
      <c r="J84" s="3"/>
      <c r="K84" s="150"/>
      <c r="L84" s="49"/>
      <c r="M84" s="3"/>
      <c r="N84" s="61" t="e">
        <f>L84/L$13</f>
        <v>#DIV/0!</v>
      </c>
      <c r="O84" s="49">
        <f>SUM(O85:O88)</f>
        <v>80000000</v>
      </c>
      <c r="P84" s="3"/>
      <c r="Q84" s="61">
        <f>O84/O$13</f>
        <v>1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53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v>241842440</v>
      </c>
      <c r="J85" s="69"/>
      <c r="K85" s="306"/>
      <c r="L85" s="39"/>
      <c r="M85" s="69"/>
      <c r="N85" s="306" t="e">
        <f>L85/L$13</f>
        <v>#DIV/0!</v>
      </c>
      <c r="O85" s="39">
        <v>20000000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54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v>241842440</v>
      </c>
      <c r="J86" s="43"/>
      <c r="K86" s="118"/>
      <c r="L86" s="25"/>
      <c r="M86" s="43"/>
      <c r="N86" s="118" t="e">
        <f>L86/L13</f>
        <v>#DIV/0!</v>
      </c>
      <c r="O86" s="25">
        <v>20000000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328728931</v>
      </c>
      <c r="AN86" s="195"/>
      <c r="AO86" s="118">
        <f>AM86/AM13</f>
        <v>4.1091116374999999</v>
      </c>
    </row>
    <row r="87" spans="1:41" ht="15" customHeight="1" x14ac:dyDescent="0.2">
      <c r="A87" s="744"/>
      <c r="B87" s="97" t="s">
        <v>55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v>241842440</v>
      </c>
      <c r="J87" s="42"/>
      <c r="K87" s="140"/>
      <c r="L87" s="22"/>
      <c r="M87" s="42"/>
      <c r="N87" s="140" t="e">
        <f>L87/L$13</f>
        <v>#DIV/0!</v>
      </c>
      <c r="O87" s="22">
        <v>20000000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305447940</v>
      </c>
      <c r="AN87" s="194"/>
      <c r="AO87" s="140">
        <f>AM87/AM$13</f>
        <v>3.8180992499999999</v>
      </c>
    </row>
    <row r="88" spans="1:41" ht="15" customHeight="1" x14ac:dyDescent="0.2">
      <c r="A88" s="744"/>
      <c r="B88" s="206" t="s">
        <v>161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v>241842440</v>
      </c>
      <c r="J88" s="84"/>
      <c r="K88" s="85"/>
      <c r="L88" s="83"/>
      <c r="M88" s="84"/>
      <c r="N88" s="85"/>
      <c r="O88" s="83">
        <v>20000000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266395253</v>
      </c>
      <c r="AN88" s="350"/>
      <c r="AO88" s="85"/>
    </row>
    <row r="89" spans="1:41" ht="15" customHeight="1" x14ac:dyDescent="0.2">
      <c r="B89" s="16" t="s">
        <v>56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/>
      <c r="J89" s="3"/>
      <c r="K89" s="61"/>
      <c r="L89" s="49"/>
      <c r="M89" s="3"/>
      <c r="N89" s="61" t="e">
        <f>L89/L$13</f>
        <v>#DIV/0!</v>
      </c>
      <c r="O89" s="49">
        <f>SUM(O90:O91)</f>
        <v>40000000</v>
      </c>
      <c r="P89" s="3"/>
      <c r="Q89" s="61">
        <f>O89/O$13</f>
        <v>0.5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40900000</v>
      </c>
      <c r="AN89" s="197"/>
      <c r="AO89" s="451">
        <f>AM89/(AM$13)</f>
        <v>0.51124999999999998</v>
      </c>
    </row>
    <row r="90" spans="1:41" ht="15" customHeight="1" outlineLevel="1" x14ac:dyDescent="0.2">
      <c r="B90" s="39" t="s">
        <v>57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v>241842440</v>
      </c>
      <c r="J90" s="69"/>
      <c r="K90" s="70"/>
      <c r="L90" s="39"/>
      <c r="M90" s="69"/>
      <c r="N90" s="70"/>
      <c r="O90" s="39">
        <v>20000000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262742440</v>
      </c>
      <c r="AN90" s="201"/>
      <c r="AO90" s="70"/>
    </row>
    <row r="91" spans="1:41" ht="15" customHeight="1" outlineLevel="1" x14ac:dyDescent="0.2">
      <c r="B91" s="83" t="s">
        <v>354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v>241842440</v>
      </c>
      <c r="J91" s="84"/>
      <c r="K91" s="85"/>
      <c r="L91" s="83"/>
      <c r="M91" s="84"/>
      <c r="N91" s="85"/>
      <c r="O91" s="83">
        <v>20000000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261842440</v>
      </c>
      <c r="AN91" s="350"/>
      <c r="AO91" s="85"/>
    </row>
    <row r="92" spans="1:41" ht="15" customHeight="1" x14ac:dyDescent="0.2">
      <c r="B92" s="16" t="s">
        <v>59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/>
      <c r="J92" s="3"/>
      <c r="K92" s="61"/>
      <c r="L92" s="49"/>
      <c r="M92" s="3"/>
      <c r="N92" s="61" t="e">
        <f>L92/L$13</f>
        <v>#DIV/0!</v>
      </c>
      <c r="O92" s="49">
        <f>SUM(O93:O95)</f>
        <v>60000000</v>
      </c>
      <c r="P92" s="3"/>
      <c r="Q92" s="61">
        <f>O92/O$13</f>
        <v>0.75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73622100</v>
      </c>
      <c r="AN92" s="197"/>
      <c r="AO92" s="451">
        <f>AM92/(AM$13)</f>
        <v>0.92027625000000002</v>
      </c>
    </row>
    <row r="93" spans="1:41" ht="15" customHeight="1" outlineLevel="1" x14ac:dyDescent="0.2">
      <c r="B93" s="39" t="s">
        <v>60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v>241842440</v>
      </c>
      <c r="J93" s="69"/>
      <c r="K93" s="70"/>
      <c r="L93" s="39"/>
      <c r="M93" s="69"/>
      <c r="N93" s="70"/>
      <c r="O93" s="39">
        <v>20000000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275464540</v>
      </c>
      <c r="AN93" s="201"/>
      <c r="AO93" s="70"/>
    </row>
    <row r="94" spans="1:41" ht="15" customHeight="1" outlineLevel="1" x14ac:dyDescent="0.2">
      <c r="B94" s="25" t="s">
        <v>61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v>241842440</v>
      </c>
      <c r="J94" s="43"/>
      <c r="K94" s="57"/>
      <c r="L94" s="25"/>
      <c r="M94" s="43"/>
      <c r="N94" s="57"/>
      <c r="O94" s="25">
        <v>20000000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261842440</v>
      </c>
      <c r="AN94" s="195"/>
      <c r="AO94" s="57"/>
    </row>
    <row r="95" spans="1:41" ht="15" customHeight="1" outlineLevel="1" x14ac:dyDescent="0.2">
      <c r="B95" s="28" t="s">
        <v>62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v>241842440</v>
      </c>
      <c r="J95" s="45"/>
      <c r="K95" s="58"/>
      <c r="L95" s="28"/>
      <c r="M95" s="45"/>
      <c r="N95" s="58"/>
      <c r="O95" s="28">
        <v>20000000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261842440</v>
      </c>
      <c r="AN95" s="200"/>
      <c r="AO95" s="58"/>
    </row>
    <row r="96" spans="1:41" ht="15" customHeight="1" x14ac:dyDescent="0.2">
      <c r="B96" s="16" t="s">
        <v>63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/>
      <c r="J96" s="3"/>
      <c r="K96" s="61"/>
      <c r="L96" s="49"/>
      <c r="M96" s="3"/>
      <c r="N96" s="61" t="e">
        <f>L96/L$13</f>
        <v>#DIV/0!</v>
      </c>
      <c r="O96" s="49">
        <f>SUM(O97:O98)</f>
        <v>40000000</v>
      </c>
      <c r="P96" s="3"/>
      <c r="Q96" s="61">
        <f>O96/O$13</f>
        <v>0.5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364308159.79000002</v>
      </c>
      <c r="AN96" s="197"/>
      <c r="AO96" s="451">
        <f>AM96/(AM$13)</f>
        <v>4.5538519973750002</v>
      </c>
    </row>
    <row r="97" spans="1:41" ht="15" customHeight="1" x14ac:dyDescent="0.2">
      <c r="A97" s="153" t="s">
        <v>64</v>
      </c>
      <c r="B97" s="39" t="s">
        <v>65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v>241842440</v>
      </c>
      <c r="J97" s="69"/>
      <c r="K97" s="70"/>
      <c r="L97" s="39"/>
      <c r="M97" s="69"/>
      <c r="N97" s="70"/>
      <c r="O97" s="39">
        <v>20000000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573989643.21000004</v>
      </c>
      <c r="AN97" s="201"/>
      <c r="AO97" s="70"/>
    </row>
    <row r="98" spans="1:41" ht="15" customHeight="1" x14ac:dyDescent="0.2">
      <c r="A98" s="153" t="s">
        <v>66</v>
      </c>
      <c r="B98" s="275" t="s">
        <v>388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v>241842440</v>
      </c>
      <c r="J98" s="276"/>
      <c r="K98" s="277"/>
      <c r="L98" s="275"/>
      <c r="M98" s="276"/>
      <c r="N98" s="277"/>
      <c r="O98" s="275">
        <v>20000000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274003396.58000004</v>
      </c>
      <c r="AN98" s="280"/>
      <c r="AO98" s="277"/>
    </row>
    <row r="99" spans="1:41" ht="15" customHeight="1" x14ac:dyDescent="0.2">
      <c r="B99" s="16" t="s">
        <v>68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/>
      <c r="J99" s="3"/>
      <c r="K99" s="61"/>
      <c r="L99" s="49"/>
      <c r="M99" s="3"/>
      <c r="N99" s="61" t="e">
        <f>L99/L$13</f>
        <v>#DIV/0!</v>
      </c>
      <c r="O99" s="49">
        <f>SUM(O100:O108)</f>
        <v>180000000</v>
      </c>
      <c r="P99" s="3"/>
      <c r="Q99" s="61">
        <f>O99/O$13</f>
        <v>2.25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237845839</v>
      </c>
      <c r="AN99" s="197"/>
      <c r="AO99" s="451">
        <f>AM99/(AM$13)</f>
        <v>2.9730729875000002</v>
      </c>
    </row>
    <row r="100" spans="1:41" ht="15" customHeight="1" x14ac:dyDescent="0.2">
      <c r="B100" s="39" t="s">
        <v>69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v>20000000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261842440</v>
      </c>
      <c r="AN100" s="201"/>
      <c r="AO100" s="70"/>
    </row>
    <row r="101" spans="1:41" ht="15" customHeight="1" x14ac:dyDescent="0.2">
      <c r="B101" s="25" t="s">
        <v>70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v>20000000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263265940</v>
      </c>
      <c r="AN101" s="195"/>
      <c r="AO101" s="57"/>
    </row>
    <row r="102" spans="1:41" ht="15" customHeight="1" x14ac:dyDescent="0.2">
      <c r="B102" s="25" t="s">
        <v>71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v>20000000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261842440</v>
      </c>
      <c r="AN102" s="195"/>
      <c r="AO102" s="57"/>
    </row>
    <row r="103" spans="1:41" ht="15" customHeight="1" x14ac:dyDescent="0.2">
      <c r="B103" s="25" t="s">
        <v>72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v>241842440</v>
      </c>
      <c r="J103" s="43"/>
      <c r="K103" s="57"/>
      <c r="L103" s="25"/>
      <c r="M103" s="43"/>
      <c r="N103" s="57"/>
      <c r="O103" s="25">
        <v>20000000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294371122</v>
      </c>
      <c r="AN103" s="195"/>
      <c r="AO103" s="57"/>
    </row>
    <row r="104" spans="1:41" ht="15" customHeight="1" x14ac:dyDescent="0.2">
      <c r="B104" s="25" t="s">
        <v>73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v>241842440</v>
      </c>
      <c r="J104" s="43"/>
      <c r="K104" s="57"/>
      <c r="L104" s="25"/>
      <c r="M104" s="43"/>
      <c r="N104" s="57"/>
      <c r="O104" s="25">
        <v>20000000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279449845</v>
      </c>
      <c r="AN104" s="195"/>
      <c r="AO104" s="57"/>
    </row>
    <row r="105" spans="1:41" ht="15" customHeight="1" x14ac:dyDescent="0.2">
      <c r="B105" s="25" t="s">
        <v>74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v>241842440</v>
      </c>
      <c r="J105" s="43"/>
      <c r="K105" s="57"/>
      <c r="L105" s="25"/>
      <c r="M105" s="43"/>
      <c r="N105" s="57"/>
      <c r="O105" s="25">
        <v>20000000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261997820</v>
      </c>
      <c r="AN105" s="195"/>
      <c r="AO105" s="57"/>
    </row>
    <row r="106" spans="1:41" ht="15" customHeight="1" x14ac:dyDescent="0.2">
      <c r="B106" s="25" t="s">
        <v>75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v>241842440</v>
      </c>
      <c r="J106" s="43"/>
      <c r="K106" s="57"/>
      <c r="L106" s="25"/>
      <c r="M106" s="43"/>
      <c r="N106" s="57"/>
      <c r="O106" s="25">
        <v>20000000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267080910</v>
      </c>
      <c r="AN106" s="195"/>
      <c r="AO106" s="57"/>
    </row>
    <row r="107" spans="1:41" ht="15" customHeight="1" x14ac:dyDescent="0.2">
      <c r="B107" s="205" t="s">
        <v>355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v>241842440</v>
      </c>
      <c r="J107" s="43"/>
      <c r="K107" s="57"/>
      <c r="L107" s="25"/>
      <c r="M107" s="43"/>
      <c r="N107" s="57"/>
      <c r="O107" s="25">
        <v>20000000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262666842</v>
      </c>
      <c r="AN107" s="195"/>
      <c r="AO107" s="57"/>
    </row>
    <row r="108" spans="1:41" ht="15" customHeight="1" x14ac:dyDescent="0.2">
      <c r="B108" s="97" t="s">
        <v>77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v>241842440</v>
      </c>
      <c r="J108" s="42"/>
      <c r="K108" s="56"/>
      <c r="L108" s="28"/>
      <c r="M108" s="42"/>
      <c r="N108" s="56"/>
      <c r="O108" s="22">
        <v>20000000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261910440</v>
      </c>
      <c r="AN108" s="194"/>
      <c r="AO108" s="56"/>
    </row>
    <row r="109" spans="1:41" ht="15" customHeight="1" x14ac:dyDescent="0.2">
      <c r="B109" s="16" t="s">
        <v>78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/>
      <c r="J109" s="3"/>
      <c r="K109" s="61"/>
      <c r="L109" s="49"/>
      <c r="M109" s="3"/>
      <c r="N109" s="61"/>
      <c r="O109" s="49">
        <f>SUM(O110:O113)</f>
        <v>80000000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80771191</v>
      </c>
      <c r="AN109" s="197"/>
      <c r="AO109" s="451">
        <f>AM109/(AM$13)</f>
        <v>1.0096398875000001</v>
      </c>
    </row>
    <row r="110" spans="1:41" ht="15" customHeight="1" x14ac:dyDescent="0.2">
      <c r="A110" s="153" t="s">
        <v>79</v>
      </c>
      <c r="B110" s="39" t="s">
        <v>80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v>241842440</v>
      </c>
      <c r="J110" s="69"/>
      <c r="K110" s="70"/>
      <c r="L110" s="39"/>
      <c r="M110" s="69"/>
      <c r="N110" s="70"/>
      <c r="O110" s="39">
        <v>20000000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262446431</v>
      </c>
      <c r="AN110" s="201"/>
      <c r="AO110" s="70"/>
    </row>
    <row r="111" spans="1:41" ht="15" customHeight="1" x14ac:dyDescent="0.2">
      <c r="A111" s="153" t="s">
        <v>81</v>
      </c>
      <c r="B111" s="25" t="s">
        <v>82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v>241842440</v>
      </c>
      <c r="J111" s="43"/>
      <c r="K111" s="57"/>
      <c r="L111" s="25"/>
      <c r="M111" s="43"/>
      <c r="N111" s="57"/>
      <c r="O111" s="25">
        <v>20000000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261842440</v>
      </c>
      <c r="AN111" s="195"/>
      <c r="AO111" s="57"/>
    </row>
    <row r="112" spans="1:41" ht="15" customHeight="1" x14ac:dyDescent="0.2">
      <c r="A112" s="153" t="s">
        <v>83</v>
      </c>
      <c r="B112" s="25" t="s">
        <v>84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v>241842440</v>
      </c>
      <c r="J112" s="43"/>
      <c r="K112" s="57"/>
      <c r="L112" s="25"/>
      <c r="M112" s="43"/>
      <c r="N112" s="57"/>
      <c r="O112" s="25">
        <v>20000000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261842440</v>
      </c>
      <c r="AN112" s="195"/>
      <c r="AO112" s="57"/>
    </row>
    <row r="113" spans="1:41" ht="15" customHeight="1" x14ac:dyDescent="0.2">
      <c r="A113" s="153" t="s">
        <v>85</v>
      </c>
      <c r="B113" s="28" t="s">
        <v>86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v>241842440</v>
      </c>
      <c r="J113" s="45"/>
      <c r="K113" s="58"/>
      <c r="L113" s="28"/>
      <c r="M113" s="45"/>
      <c r="N113" s="58"/>
      <c r="O113" s="28">
        <v>20000000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262009640</v>
      </c>
      <c r="AN113" s="200"/>
      <c r="AO113" s="58"/>
    </row>
    <row r="114" spans="1:41" ht="15" customHeight="1" x14ac:dyDescent="0.2">
      <c r="B114" s="16" t="s">
        <v>87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/>
      <c r="J114" s="3"/>
      <c r="K114" s="61"/>
      <c r="L114" s="49"/>
      <c r="M114" s="3"/>
      <c r="N114" s="61" t="e">
        <f>L114/L$13</f>
        <v>#DIV/0!</v>
      </c>
      <c r="O114" s="49">
        <f>SUM(O115:O119)</f>
        <v>100000000</v>
      </c>
      <c r="P114" s="3"/>
      <c r="Q114" s="61">
        <f>O114/O$13</f>
        <v>1.25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130178050</v>
      </c>
      <c r="AN114" s="197"/>
      <c r="AO114" s="451">
        <f>AM114/(AM$13)</f>
        <v>1.6272256249999999</v>
      </c>
    </row>
    <row r="115" spans="1:41" ht="15" customHeight="1" x14ac:dyDescent="0.2">
      <c r="A115" s="153" t="s">
        <v>88</v>
      </c>
      <c r="B115" s="39" t="s">
        <v>89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v>241842440</v>
      </c>
      <c r="J115" s="69"/>
      <c r="K115" s="70"/>
      <c r="L115" s="39"/>
      <c r="M115" s="69"/>
      <c r="N115" s="70"/>
      <c r="O115" s="39">
        <v>20000000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261842440</v>
      </c>
      <c r="AN115" s="201"/>
      <c r="AO115" s="70"/>
    </row>
    <row r="116" spans="1:41" ht="15" customHeight="1" x14ac:dyDescent="0.2">
      <c r="A116" s="153" t="s">
        <v>90</v>
      </c>
      <c r="B116" s="25" t="s">
        <v>91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v>20000000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261842440</v>
      </c>
      <c r="AN116" s="195"/>
      <c r="AO116" s="57"/>
    </row>
    <row r="117" spans="1:41" ht="15" customHeight="1" x14ac:dyDescent="0.2">
      <c r="A117" s="153" t="s">
        <v>92</v>
      </c>
      <c r="B117" s="205" t="s">
        <v>93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v>20000000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288313640</v>
      </c>
      <c r="AN117" s="195"/>
      <c r="AO117" s="57"/>
    </row>
    <row r="118" spans="1:41" ht="15" customHeight="1" x14ac:dyDescent="0.2">
      <c r="A118" s="153" t="s">
        <v>94</v>
      </c>
      <c r="B118" s="205" t="s">
        <v>95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v>20000000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261842440</v>
      </c>
      <c r="AN118" s="195"/>
      <c r="AO118" s="57"/>
    </row>
    <row r="119" spans="1:41" ht="15" customHeight="1" x14ac:dyDescent="0.2">
      <c r="A119" s="153" t="s">
        <v>96</v>
      </c>
      <c r="B119" s="97" t="s">
        <v>209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v>241842440</v>
      </c>
      <c r="J119" s="43"/>
      <c r="K119" s="57"/>
      <c r="L119" s="25"/>
      <c r="M119" s="42"/>
      <c r="N119" s="56"/>
      <c r="O119" s="25">
        <v>20000000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265549290</v>
      </c>
      <c r="AN119" s="194"/>
      <c r="AO119" s="56"/>
    </row>
    <row r="120" spans="1:41" ht="15" customHeight="1" x14ac:dyDescent="0.2">
      <c r="B120" s="16" t="s">
        <v>98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/>
      <c r="J120" s="3"/>
      <c r="K120" s="61"/>
      <c r="L120" s="49"/>
      <c r="M120" s="3"/>
      <c r="N120" s="61" t="e">
        <f>L120/L$13</f>
        <v>#DIV/0!</v>
      </c>
      <c r="O120" s="49">
        <f>SUM(O121:O122)</f>
        <v>40000000</v>
      </c>
      <c r="P120" s="3"/>
      <c r="Q120" s="61">
        <f>O120/O$13</f>
        <v>0.5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40000000</v>
      </c>
      <c r="AN120" s="197"/>
      <c r="AO120" s="451">
        <f>AM120/(AM$13)</f>
        <v>0.5</v>
      </c>
    </row>
    <row r="121" spans="1:41" ht="15" customHeight="1" x14ac:dyDescent="0.2">
      <c r="A121" s="153" t="s">
        <v>99</v>
      </c>
      <c r="B121" s="39" t="s">
        <v>100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v>241842440</v>
      </c>
      <c r="J121" s="69"/>
      <c r="K121" s="70"/>
      <c r="L121" s="39"/>
      <c r="M121" s="69"/>
      <c r="N121" s="70"/>
      <c r="O121" s="39">
        <v>20000000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261842440</v>
      </c>
      <c r="AN121" s="201"/>
      <c r="AO121" s="70"/>
    </row>
    <row r="122" spans="1:41" ht="15" customHeight="1" x14ac:dyDescent="0.2">
      <c r="A122" s="153" t="s">
        <v>101</v>
      </c>
      <c r="B122" s="284" t="s">
        <v>102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v>241842440</v>
      </c>
      <c r="J122" s="92"/>
      <c r="K122" s="88"/>
      <c r="L122" s="275"/>
      <c r="M122" s="92"/>
      <c r="N122" s="88"/>
      <c r="O122" s="91">
        <v>20000000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261842440</v>
      </c>
      <c r="AN122" s="203"/>
      <c r="AO122" s="88"/>
    </row>
    <row r="123" spans="1:41" ht="15" customHeight="1" x14ac:dyDescent="0.2">
      <c r="B123" s="16" t="s">
        <v>103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/>
      <c r="J123" s="3"/>
      <c r="K123" s="61"/>
      <c r="L123" s="49"/>
      <c r="M123" s="3"/>
      <c r="N123" s="61" t="e">
        <f>L123/L$13</f>
        <v>#DIV/0!</v>
      </c>
      <c r="O123" s="49">
        <f>SUM(O124:O126)</f>
        <v>60000000</v>
      </c>
      <c r="P123" s="3"/>
      <c r="Q123" s="61">
        <f>O123/O$13</f>
        <v>0.75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60000000</v>
      </c>
      <c r="AN123" s="197"/>
      <c r="AO123" s="451">
        <f>AM123/(AM$13)</f>
        <v>0.75</v>
      </c>
    </row>
    <row r="124" spans="1:41" ht="15" customHeight="1" x14ac:dyDescent="0.2">
      <c r="A124" s="153" t="s">
        <v>104</v>
      </c>
      <c r="B124" s="39" t="s">
        <v>105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v>241842440</v>
      </c>
      <c r="J124" s="69"/>
      <c r="K124" s="70"/>
      <c r="L124" s="39"/>
      <c r="M124" s="69"/>
      <c r="N124" s="70"/>
      <c r="O124" s="39">
        <v>20000000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261842440</v>
      </c>
      <c r="AN124" s="201"/>
      <c r="AO124" s="70"/>
    </row>
    <row r="125" spans="1:41" ht="15" customHeight="1" x14ac:dyDescent="0.2">
      <c r="A125" s="153" t="s">
        <v>106</v>
      </c>
      <c r="B125" s="25" t="s">
        <v>107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v>241842440</v>
      </c>
      <c r="J125" s="43"/>
      <c r="K125" s="57"/>
      <c r="L125" s="25"/>
      <c r="M125" s="43"/>
      <c r="N125" s="57"/>
      <c r="O125" s="25">
        <v>20000000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261842440</v>
      </c>
      <c r="AN125" s="195"/>
      <c r="AO125" s="57"/>
    </row>
    <row r="126" spans="1:41" ht="15" customHeight="1" x14ac:dyDescent="0.2">
      <c r="A126" s="153" t="s">
        <v>108</v>
      </c>
      <c r="B126" s="28" t="s">
        <v>109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v>241842440</v>
      </c>
      <c r="J126" s="45"/>
      <c r="K126" s="58"/>
      <c r="L126" s="28"/>
      <c r="M126" s="45"/>
      <c r="N126" s="58"/>
      <c r="O126" s="28">
        <v>20000000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261842440</v>
      </c>
      <c r="AN126" s="200"/>
      <c r="AO126" s="58"/>
    </row>
    <row r="127" spans="1:41" ht="15" customHeight="1" x14ac:dyDescent="0.2">
      <c r="B127" s="16" t="s">
        <v>110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/>
      <c r="J127" s="3"/>
      <c r="K127" s="61"/>
      <c r="L127" s="49"/>
      <c r="M127" s="3"/>
      <c r="N127" s="61" t="e">
        <f>L127/L$13</f>
        <v>#DIV/0!</v>
      </c>
      <c r="O127" s="49">
        <f>SUM(O128:O142)</f>
        <v>300000000</v>
      </c>
      <c r="P127" s="3"/>
      <c r="Q127" s="61">
        <f>O127/O$13</f>
        <v>3.75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437414895.22000003</v>
      </c>
      <c r="AN127" s="197"/>
      <c r="AO127" s="451">
        <f>AM127/(AM$13)</f>
        <v>5.4676861902500002</v>
      </c>
    </row>
    <row r="128" spans="1:41" ht="15" customHeight="1" x14ac:dyDescent="0.2">
      <c r="A128" s="153" t="s">
        <v>111</v>
      </c>
      <c r="B128" s="39" t="s">
        <v>390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v>20000000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309704150</v>
      </c>
      <c r="AN128" s="201"/>
      <c r="AO128" s="70"/>
    </row>
    <row r="129" spans="1:41" ht="15" customHeight="1" x14ac:dyDescent="0.2">
      <c r="A129" s="153" t="s">
        <v>113</v>
      </c>
      <c r="B129" s="25" t="s">
        <v>391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v>20000000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262262440</v>
      </c>
      <c r="AN129" s="195"/>
      <c r="AO129" s="57"/>
    </row>
    <row r="130" spans="1:41" ht="15" customHeight="1" x14ac:dyDescent="0.2">
      <c r="A130" s="153" t="s">
        <v>115</v>
      </c>
      <c r="B130" s="25" t="s">
        <v>116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319916228.94999999</v>
      </c>
      <c r="AN130" s="195"/>
      <c r="AO130" s="118"/>
    </row>
    <row r="131" spans="1:41" ht="15" customHeight="1" x14ac:dyDescent="0.2">
      <c r="A131" s="153" t="s">
        <v>117</v>
      </c>
      <c r="B131" s="25" t="s">
        <v>118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v>241842440</v>
      </c>
      <c r="J131" s="43"/>
      <c r="K131" s="57"/>
      <c r="L131" s="25"/>
      <c r="M131" s="43"/>
      <c r="N131" s="57"/>
      <c r="O131" s="25">
        <v>20000000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267455969</v>
      </c>
      <c r="AN131" s="195"/>
      <c r="AO131" s="57"/>
    </row>
    <row r="132" spans="1:41" ht="15" customHeight="1" x14ac:dyDescent="0.2">
      <c r="A132" s="153" t="s">
        <v>119</v>
      </c>
      <c r="B132" s="25" t="s">
        <v>120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v>241842440</v>
      </c>
      <c r="J132" s="43"/>
      <c r="K132" s="57"/>
      <c r="L132" s="25"/>
      <c r="M132" s="43"/>
      <c r="N132" s="57"/>
      <c r="O132" s="25">
        <v>20000000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261842440</v>
      </c>
      <c r="AN132" s="195"/>
      <c r="AO132" s="57"/>
    </row>
    <row r="133" spans="1:41" ht="15" customHeight="1" x14ac:dyDescent="0.2">
      <c r="A133" s="153" t="s">
        <v>121</v>
      </c>
      <c r="B133" s="25" t="s">
        <v>122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v>241842440</v>
      </c>
      <c r="J133" s="43"/>
      <c r="K133" s="57"/>
      <c r="L133" s="25"/>
      <c r="M133" s="43"/>
      <c r="N133" s="57"/>
      <c r="O133" s="25">
        <v>20000000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263019240</v>
      </c>
      <c r="AN133" s="195"/>
      <c r="AO133" s="57"/>
    </row>
    <row r="134" spans="1:41" ht="15" customHeight="1" x14ac:dyDescent="0.2">
      <c r="A134" s="153" t="s">
        <v>123</v>
      </c>
      <c r="B134" s="25" t="s">
        <v>124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v>241842440</v>
      </c>
      <c r="J134" s="43"/>
      <c r="K134" s="57"/>
      <c r="L134" s="25"/>
      <c r="M134" s="43"/>
      <c r="N134" s="57"/>
      <c r="O134" s="25">
        <v>20000000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265389441</v>
      </c>
      <c r="AN134" s="195"/>
      <c r="AO134" s="57"/>
    </row>
    <row r="135" spans="1:41" ht="15" customHeight="1" x14ac:dyDescent="0.2">
      <c r="A135" s="153" t="s">
        <v>125</v>
      </c>
      <c r="B135" s="25" t="s">
        <v>126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v>241842440</v>
      </c>
      <c r="J135" s="43"/>
      <c r="K135" s="57"/>
      <c r="L135" s="25"/>
      <c r="M135" s="43"/>
      <c r="N135" s="57"/>
      <c r="O135" s="25">
        <v>20000000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261846440</v>
      </c>
      <c r="AN135" s="195"/>
      <c r="AO135" s="57"/>
    </row>
    <row r="136" spans="1:41" ht="15" customHeight="1" x14ac:dyDescent="0.2">
      <c r="A136" s="153" t="s">
        <v>127</v>
      </c>
      <c r="B136" s="25" t="s">
        <v>236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v>241842440</v>
      </c>
      <c r="J136" s="43"/>
      <c r="K136" s="57"/>
      <c r="L136" s="25"/>
      <c r="M136" s="43"/>
      <c r="N136" s="57"/>
      <c r="O136" s="25">
        <v>20000000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261948240</v>
      </c>
      <c r="AN136" s="195"/>
      <c r="AO136" s="57"/>
    </row>
    <row r="137" spans="1:41" ht="15" customHeight="1" x14ac:dyDescent="0.2">
      <c r="A137" s="153" t="s">
        <v>129</v>
      </c>
      <c r="B137" s="25" t="s">
        <v>303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v>241842440</v>
      </c>
      <c r="J137" s="43"/>
      <c r="K137" s="57"/>
      <c r="L137" s="25"/>
      <c r="M137" s="43"/>
      <c r="N137" s="57"/>
      <c r="O137" s="25">
        <v>20000000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263507853.27000001</v>
      </c>
      <c r="AN137" s="195"/>
      <c r="AO137" s="57"/>
    </row>
    <row r="138" spans="1:41" ht="15" customHeight="1" x14ac:dyDescent="0.2">
      <c r="B138" s="25" t="s">
        <v>130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v>241842440</v>
      </c>
      <c r="J138" s="43"/>
      <c r="K138" s="57"/>
      <c r="L138" s="25"/>
      <c r="M138" s="43"/>
      <c r="N138" s="57"/>
      <c r="O138" s="25">
        <v>20000000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262100440</v>
      </c>
      <c r="AN138" s="195"/>
      <c r="AO138" s="57"/>
    </row>
    <row r="139" spans="1:41" ht="15" customHeight="1" x14ac:dyDescent="0.2">
      <c r="B139" s="25" t="s">
        <v>242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v>241842440</v>
      </c>
      <c r="J139" s="43"/>
      <c r="K139" s="57"/>
      <c r="L139" s="25"/>
      <c r="M139" s="43"/>
      <c r="N139" s="57"/>
      <c r="O139" s="25">
        <v>20000000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262269340</v>
      </c>
      <c r="AN139" s="195"/>
      <c r="AO139" s="57"/>
    </row>
    <row r="140" spans="1:41" ht="15" customHeight="1" x14ac:dyDescent="0.2">
      <c r="B140" s="25" t="s">
        <v>246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v>241842440</v>
      </c>
      <c r="J140" s="43"/>
      <c r="K140" s="57"/>
      <c r="L140" s="25"/>
      <c r="M140" s="43"/>
      <c r="N140" s="57"/>
      <c r="O140" s="25">
        <v>20000000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280005693</v>
      </c>
      <c r="AN140" s="195"/>
      <c r="AO140" s="57"/>
    </row>
    <row r="141" spans="1:41" ht="15" customHeight="1" x14ac:dyDescent="0.2">
      <c r="B141" s="25" t="s">
        <v>244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v>241842440</v>
      </c>
      <c r="J141" s="43"/>
      <c r="K141" s="57"/>
      <c r="L141" s="25"/>
      <c r="M141" s="43"/>
      <c r="N141" s="57"/>
      <c r="O141" s="25">
        <v>20000000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261941140</v>
      </c>
      <c r="AN141" s="195"/>
      <c r="AO141" s="57"/>
    </row>
    <row r="142" spans="1:41" ht="15" customHeight="1" thickBot="1" x14ac:dyDescent="0.25">
      <c r="A142" s="153" t="s">
        <v>133</v>
      </c>
      <c r="B142" s="269" t="s">
        <v>392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v>241842440</v>
      </c>
      <c r="J142" s="214"/>
      <c r="K142" s="271"/>
      <c r="L142" s="269"/>
      <c r="M142" s="214"/>
      <c r="N142" s="271"/>
      <c r="O142" s="269">
        <v>20000000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261842440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393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/>
      <c r="J144" s="494"/>
      <c r="K144" s="508"/>
      <c r="L144" s="493"/>
      <c r="M144" s="494"/>
      <c r="N144" s="508"/>
      <c r="O144" s="493">
        <f>+O42-O44-O83</f>
        <v>-1790777400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/>
      <c r="J145" s="488"/>
      <c r="K145" s="509"/>
      <c r="L145" s="496"/>
      <c r="M145" s="488"/>
      <c r="N145" s="509"/>
      <c r="O145" s="496">
        <f>IFERROR(O144/O13," ")</f>
        <v>-22.384717500000001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394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/>
      <c r="J147" s="491"/>
      <c r="K147" s="492"/>
      <c r="L147" s="490"/>
      <c r="M147" s="491"/>
      <c r="N147" s="492" t="e">
        <f>L147/L$13</f>
        <v>#DIV/0!</v>
      </c>
      <c r="O147" s="490">
        <f>SUM(O148:O151)</f>
        <v>80000000</v>
      </c>
      <c r="P147" s="491"/>
      <c r="Q147" s="492">
        <f>O147/O$13</f>
        <v>1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395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v>241842440</v>
      </c>
      <c r="J148" s="69"/>
      <c r="K148" s="70"/>
      <c r="L148" s="39"/>
      <c r="M148" s="69"/>
      <c r="N148" s="70"/>
      <c r="O148" s="39">
        <v>20000000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440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v>241842440</v>
      </c>
      <c r="J149" s="43"/>
      <c r="K149" s="57"/>
      <c r="L149" s="25"/>
      <c r="M149" s="43"/>
      <c r="N149" s="57"/>
      <c r="O149" s="25">
        <v>20000000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530498708.22000003</v>
      </c>
      <c r="AN149" s="195"/>
      <c r="AO149" s="118"/>
    </row>
    <row r="150" spans="2:41" ht="15" customHeight="1" x14ac:dyDescent="0.2">
      <c r="B150" s="107" t="s">
        <v>441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v>241842440</v>
      </c>
      <c r="J150" s="43"/>
      <c r="K150" s="57"/>
      <c r="L150" s="25"/>
      <c r="M150" s="43"/>
      <c r="N150" s="57"/>
      <c r="O150" s="25">
        <v>20000000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261842440</v>
      </c>
      <c r="AN150" s="194"/>
      <c r="AO150" s="140">
        <f>AM150/(AM$13)</f>
        <v>3.2730305</v>
      </c>
    </row>
    <row r="151" spans="2:41" ht="15" customHeight="1" thickBot="1" x14ac:dyDescent="0.25">
      <c r="B151" s="300" t="s">
        <v>442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v>241842440</v>
      </c>
      <c r="J151" s="72"/>
      <c r="K151" s="73"/>
      <c r="L151" s="71"/>
      <c r="M151" s="72"/>
      <c r="N151" s="73"/>
      <c r="O151" s="71">
        <v>20000000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398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/>
      <c r="J153" s="498"/>
      <c r="K153" s="499"/>
      <c r="L153" s="497"/>
      <c r="M153" s="498"/>
      <c r="N153" s="499" t="e">
        <f>L153/L13</f>
        <v>#DIV/0!</v>
      </c>
      <c r="O153" s="497">
        <f>SUM(O154:O160)</f>
        <v>140000000</v>
      </c>
      <c r="P153" s="498"/>
      <c r="Q153" s="499">
        <f>O153/O13</f>
        <v>1.75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140000000</v>
      </c>
      <c r="AN153" s="607"/>
      <c r="AO153" s="499">
        <f>AM153/AM13</f>
        <v>1.75</v>
      </c>
    </row>
    <row r="154" spans="2:41" ht="15" customHeight="1" thickTop="1" x14ac:dyDescent="0.2">
      <c r="B154" s="40" t="s">
        <v>399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v>241842440</v>
      </c>
      <c r="J154" s="230"/>
      <c r="K154" s="245"/>
      <c r="L154" s="288"/>
      <c r="M154" s="230"/>
      <c r="N154" s="245"/>
      <c r="O154" s="288">
        <v>20000000</v>
      </c>
      <c r="P154" s="230"/>
      <c r="Q154" s="245"/>
      <c r="R154" s="845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3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261842440</v>
      </c>
      <c r="AN154" s="290"/>
      <c r="AO154" s="245"/>
    </row>
    <row r="155" spans="2:41" ht="15" customHeight="1" x14ac:dyDescent="0.2">
      <c r="B155" s="689" t="s">
        <v>491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v>241842440</v>
      </c>
      <c r="J155" s="9"/>
      <c r="K155" s="240"/>
      <c r="L155" s="77"/>
      <c r="M155" s="9"/>
      <c r="N155" s="240"/>
      <c r="O155" s="77">
        <v>20000000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4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261842440</v>
      </c>
      <c r="AN155" s="297"/>
      <c r="AO155" s="240"/>
    </row>
    <row r="156" spans="2:41" ht="15" customHeight="1" x14ac:dyDescent="0.2">
      <c r="B156" s="674" t="s">
        <v>491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v>241842440</v>
      </c>
      <c r="J156" s="675"/>
      <c r="K156" s="679"/>
      <c r="L156" s="683"/>
      <c r="M156" s="675"/>
      <c r="N156" s="679"/>
      <c r="O156" s="683">
        <v>20000000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5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261842440</v>
      </c>
      <c r="AN156" s="684"/>
      <c r="AO156" s="679"/>
    </row>
    <row r="157" spans="2:41" ht="15" customHeight="1" x14ac:dyDescent="0.2">
      <c r="B157" s="550" t="s">
        <v>492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v>241842440</v>
      </c>
      <c r="J157" s="551"/>
      <c r="K157" s="555"/>
      <c r="L157" s="558"/>
      <c r="M157" s="551"/>
      <c r="N157" s="555"/>
      <c r="O157" s="558">
        <v>20000000</v>
      </c>
      <c r="P157" s="551"/>
      <c r="Q157" s="555"/>
      <c r="R157" s="846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6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261842440</v>
      </c>
      <c r="AN157" s="560"/>
      <c r="AO157" s="555"/>
    </row>
    <row r="158" spans="2:41" ht="15" customHeight="1" x14ac:dyDescent="0.2">
      <c r="B158" s="564" t="s">
        <v>492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v>241842440</v>
      </c>
      <c r="J158" s="9"/>
      <c r="K158" s="240"/>
      <c r="L158" s="77"/>
      <c r="M158" s="9"/>
      <c r="N158" s="240"/>
      <c r="O158" s="77">
        <v>20000000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7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261842440</v>
      </c>
      <c r="AN158" s="297"/>
      <c r="AO158" s="295"/>
    </row>
    <row r="159" spans="2:41" ht="15" customHeight="1" x14ac:dyDescent="0.2">
      <c r="B159" s="564" t="s">
        <v>492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v>241842440</v>
      </c>
      <c r="J159" s="9"/>
      <c r="K159" s="240"/>
      <c r="L159" s="77"/>
      <c r="M159" s="9"/>
      <c r="N159" s="240"/>
      <c r="O159" s="77">
        <v>20000000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7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261842440</v>
      </c>
      <c r="AN159" s="297"/>
      <c r="AO159" s="295"/>
    </row>
    <row r="160" spans="2:41" ht="15" customHeight="1" thickBot="1" x14ac:dyDescent="0.25">
      <c r="B160" s="291" t="s">
        <v>492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v>241842440</v>
      </c>
      <c r="J160" s="242"/>
      <c r="K160" s="243"/>
      <c r="L160" s="241"/>
      <c r="M160" s="242"/>
      <c r="N160" s="243"/>
      <c r="O160" s="241">
        <v>20000000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88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261842440</v>
      </c>
      <c r="AN160" s="250"/>
      <c r="AO160" s="293"/>
    </row>
    <row r="161" spans="1:65" ht="15" customHeight="1" thickTop="1" thickBot="1" x14ac:dyDescent="0.25">
      <c r="B161" s="524" t="s">
        <v>406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/>
      <c r="J161" s="498"/>
      <c r="K161" s="511"/>
      <c r="L161" s="497"/>
      <c r="M161" s="498"/>
      <c r="N161" s="511"/>
      <c r="O161" s="497">
        <f>O144-O147-O153</f>
        <v>-2010777400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542</v>
      </c>
      <c r="B162" s="528" t="s">
        <v>543</v>
      </c>
      <c r="C162" s="497"/>
      <c r="D162" s="498"/>
      <c r="E162" s="511"/>
      <c r="F162" s="497"/>
      <c r="G162" s="498"/>
      <c r="H162" s="511"/>
      <c r="I162" s="497">
        <v>241842440</v>
      </c>
      <c r="J162" s="498"/>
      <c r="K162" s="511"/>
      <c r="L162" s="497"/>
      <c r="M162" s="498"/>
      <c r="N162" s="511"/>
      <c r="O162" s="497">
        <v>20000000</v>
      </c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261842440</v>
      </c>
      <c r="AN162" s="607"/>
      <c r="AO162" s="512"/>
    </row>
    <row r="163" spans="1:65" ht="15" hidden="1" customHeight="1" thickTop="1" thickBot="1" x14ac:dyDescent="0.25">
      <c r="A163" s="153" t="s">
        <v>544</v>
      </c>
      <c r="B163" s="528" t="s">
        <v>545</v>
      </c>
      <c r="C163" s="497"/>
      <c r="D163" s="498"/>
      <c r="E163" s="511"/>
      <c r="F163" s="497"/>
      <c r="G163" s="498"/>
      <c r="H163" s="511"/>
      <c r="I163" s="497">
        <v>241842440</v>
      </c>
      <c r="J163" s="498"/>
      <c r="K163" s="511"/>
      <c r="L163" s="497"/>
      <c r="M163" s="498"/>
      <c r="N163" s="511"/>
      <c r="O163" s="497">
        <v>20000000</v>
      </c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261842440</v>
      </c>
      <c r="AN163" s="607"/>
      <c r="AO163" s="512"/>
    </row>
    <row r="164" spans="1:65" ht="15" hidden="1" customHeight="1" thickTop="1" thickBot="1" x14ac:dyDescent="0.25">
      <c r="A164" s="153" t="s">
        <v>546</v>
      </c>
      <c r="B164" s="528" t="s">
        <v>547</v>
      </c>
      <c r="C164" s="497"/>
      <c r="D164" s="498"/>
      <c r="E164" s="511"/>
      <c r="F164" s="497"/>
      <c r="G164" s="498"/>
      <c r="H164" s="511"/>
      <c r="I164" s="497">
        <v>241842440</v>
      </c>
      <c r="J164" s="498"/>
      <c r="K164" s="511"/>
      <c r="L164" s="497"/>
      <c r="M164" s="498"/>
      <c r="N164" s="511"/>
      <c r="O164" s="497">
        <v>20000000</v>
      </c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261842440</v>
      </c>
      <c r="AN164" s="607"/>
      <c r="AO164" s="512"/>
    </row>
    <row r="165" spans="1:65" ht="15" hidden="1" customHeight="1" thickTop="1" thickBot="1" x14ac:dyDescent="0.25">
      <c r="B165" s="528" t="s">
        <v>548</v>
      </c>
      <c r="C165" s="497"/>
      <c r="D165" s="498"/>
      <c r="E165" s="511"/>
      <c r="F165" s="497"/>
      <c r="G165" s="498"/>
      <c r="H165" s="511"/>
      <c r="I165" s="497">
        <v>241842440</v>
      </c>
      <c r="J165" s="498"/>
      <c r="K165" s="511"/>
      <c r="L165" s="497"/>
      <c r="M165" s="498"/>
      <c r="N165" s="511"/>
      <c r="O165" s="497">
        <v>20000000</v>
      </c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261842440</v>
      </c>
      <c r="AN165" s="607"/>
      <c r="AO165" s="512"/>
    </row>
    <row r="166" spans="1:65" ht="15" hidden="1" customHeight="1" thickTop="1" thickBot="1" x14ac:dyDescent="0.25">
      <c r="A166" s="153" t="s">
        <v>549</v>
      </c>
      <c r="B166" s="528" t="s">
        <v>550</v>
      </c>
      <c r="C166" s="497"/>
      <c r="D166" s="498"/>
      <c r="E166" s="511"/>
      <c r="F166" s="497"/>
      <c r="G166" s="498"/>
      <c r="H166" s="511"/>
      <c r="I166" s="511">
        <v>241842440</v>
      </c>
      <c r="J166" s="511"/>
      <c r="K166" s="511"/>
      <c r="L166" s="511"/>
      <c r="M166" s="511"/>
      <c r="N166" s="511"/>
      <c r="O166" s="511">
        <v>20000000</v>
      </c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261842440</v>
      </c>
      <c r="AN166" s="607"/>
      <c r="AO166" s="512"/>
    </row>
    <row r="167" spans="1:65" ht="15" hidden="1" customHeight="1" thickTop="1" thickBot="1" x14ac:dyDescent="0.25">
      <c r="B167" s="528" t="s">
        <v>551</v>
      </c>
      <c r="C167" s="497"/>
      <c r="D167" s="498"/>
      <c r="E167" s="511"/>
      <c r="F167" s="497"/>
      <c r="G167" s="498"/>
      <c r="H167" s="511"/>
      <c r="I167" s="497">
        <v>241842440</v>
      </c>
      <c r="J167" s="498"/>
      <c r="K167" s="511"/>
      <c r="L167" s="497"/>
      <c r="M167" s="498"/>
      <c r="N167" s="511"/>
      <c r="O167" s="497">
        <v>20000000</v>
      </c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261842440</v>
      </c>
      <c r="AN167" s="606"/>
      <c r="AO167" s="709"/>
    </row>
    <row r="168" spans="1:65" ht="15" customHeight="1" thickTop="1" thickBot="1" x14ac:dyDescent="0.3">
      <c r="B168" s="529" t="s">
        <v>552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/>
      <c r="J168" s="498"/>
      <c r="K168" s="511"/>
      <c r="L168" s="497"/>
      <c r="M168" s="498"/>
      <c r="N168" s="511"/>
      <c r="O168" s="497">
        <f>O161+O162+O163+O164-O165-O166-O167</f>
        <v>-2010777400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2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/>
      <c r="J169" s="501"/>
      <c r="K169" s="512"/>
      <c r="L169" s="500"/>
      <c r="M169" s="501"/>
      <c r="N169" s="512"/>
      <c r="O169" s="541">
        <f>IFERROR(O168/O13, " ")</f>
        <v>-25.134717500000001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553</v>
      </c>
      <c r="C170" s="497"/>
      <c r="D170" s="498"/>
      <c r="E170" s="511"/>
      <c r="F170" s="497"/>
      <c r="G170" s="498"/>
      <c r="H170" s="511"/>
      <c r="I170" s="493">
        <v>241842440</v>
      </c>
      <c r="J170" s="498"/>
      <c r="K170" s="511"/>
      <c r="L170" s="497"/>
      <c r="M170" s="498"/>
      <c r="N170" s="511"/>
      <c r="O170" s="497">
        <v>20000000</v>
      </c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1" t="s">
        <v>552</v>
      </c>
      <c r="C171" s="493"/>
      <c r="D171" s="494"/>
      <c r="E171" s="508"/>
      <c r="F171" s="493"/>
      <c r="G171" s="494"/>
      <c r="H171" s="508"/>
      <c r="I171" s="493">
        <v>241842440</v>
      </c>
      <c r="J171" s="494"/>
      <c r="K171" s="508"/>
      <c r="L171" s="493"/>
      <c r="M171" s="494"/>
      <c r="N171" s="508"/>
      <c r="O171" s="493">
        <v>20000000</v>
      </c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2" t="e">
        <f>AM168-AM170</f>
        <v>#DIV/0!</v>
      </c>
      <c r="AN171" s="602"/>
      <c r="AO171" s="853"/>
    </row>
    <row r="172" spans="1:65" ht="17.100000000000001" customHeight="1" thickTop="1" thickBot="1" x14ac:dyDescent="0.3">
      <c r="B172" s="848"/>
      <c r="C172" s="698"/>
      <c r="D172" s="698"/>
      <c r="E172" s="849"/>
      <c r="F172" s="698"/>
      <c r="G172" s="698"/>
      <c r="H172" s="849"/>
      <c r="I172" s="698"/>
      <c r="J172" s="698"/>
      <c r="K172" s="849"/>
      <c r="L172" s="698"/>
      <c r="M172" s="698"/>
      <c r="N172" s="849"/>
      <c r="O172" s="698"/>
      <c r="P172" s="698"/>
      <c r="Q172" s="849"/>
      <c r="R172" s="698"/>
      <c r="S172" s="698"/>
      <c r="T172" s="849"/>
      <c r="U172" s="698"/>
      <c r="V172" s="698"/>
      <c r="W172" s="849"/>
      <c r="X172" s="698"/>
      <c r="Y172" s="698"/>
      <c r="Z172" s="849"/>
      <c r="AA172" s="698"/>
      <c r="AB172" s="698"/>
      <c r="AC172" s="849"/>
      <c r="AD172" s="698"/>
      <c r="AE172" s="698"/>
      <c r="AF172" s="849"/>
      <c r="AG172" s="698"/>
      <c r="AH172" s="698"/>
      <c r="AI172" s="849"/>
      <c r="AJ172" s="698"/>
      <c r="AK172" s="698"/>
      <c r="AL172" s="849"/>
      <c r="AM172" s="850"/>
      <c r="AN172" s="698"/>
      <c r="AO172" s="706"/>
    </row>
    <row r="173" spans="1:65" s="108" customFormat="1" ht="17.100000000000001" customHeight="1" thickTop="1" thickBot="1" x14ac:dyDescent="0.3">
      <c r="A173" s="153"/>
      <c r="B173" s="854" t="s">
        <v>554</v>
      </c>
      <c r="C173" s="855">
        <f>CALI!C161+YUMBO!C161+BUGA!C161+'ADULTO MAYOR'!C161</f>
        <v>-2123836319.365104</v>
      </c>
      <c r="D173" s="856"/>
      <c r="E173" s="857"/>
      <c r="F173" s="855">
        <f>CALI!F161+YUMBO!F161+BUGA!F161+'ADULTO MAYOR'!F161</f>
        <v>-5814935365.0022049</v>
      </c>
      <c r="G173" s="856"/>
      <c r="H173" s="857"/>
      <c r="I173" s="855">
        <v>241842440</v>
      </c>
      <c r="J173" s="856"/>
      <c r="K173" s="857"/>
      <c r="L173" s="855"/>
      <c r="M173" s="856"/>
      <c r="N173" s="857"/>
      <c r="O173" s="855">
        <v>20000000</v>
      </c>
      <c r="P173" s="856"/>
      <c r="Q173" s="857"/>
      <c r="R173" s="855" t="e">
        <f>CALI!R161+YUMBO!R161+BUGA!R161+'ADULTO MAYOR'!R161</f>
        <v>#DIV/0!</v>
      </c>
      <c r="S173" s="856"/>
      <c r="T173" s="857"/>
      <c r="U173" s="855" t="e">
        <f>CALI!U161+YUMBO!U161+BUGA!U161+'ADULTO MAYOR'!U161</f>
        <v>#DIV/0!</v>
      </c>
      <c r="V173" s="856"/>
      <c r="W173" s="857"/>
      <c r="X173" s="855" t="e">
        <f>CALI!X161+YUMBO!X161+BUGA!X161+'ADULTO MAYOR'!X161</f>
        <v>#DIV/0!</v>
      </c>
      <c r="Y173" s="856"/>
      <c r="Z173" s="857"/>
      <c r="AA173" s="855" t="e">
        <f>CALI!AA161+YUMBO!AA161+BUGA!AA161+'ADULTO MAYOR'!AA161</f>
        <v>#DIV/0!</v>
      </c>
      <c r="AB173" s="856"/>
      <c r="AC173" s="857"/>
      <c r="AD173" s="855" t="e">
        <f>CALI!AD161+YUMBO!AD161+BUGA!AD161+'ADULTO MAYOR'!AD161</f>
        <v>#DIV/0!</v>
      </c>
      <c r="AE173" s="856"/>
      <c r="AF173" s="857"/>
      <c r="AG173" s="855" t="e">
        <f>CALI!AG161+YUMBO!AG161+BUGA!AG161+'ADULTO MAYOR'!AG161</f>
        <v>#DIV/0!</v>
      </c>
      <c r="AH173" s="856"/>
      <c r="AI173" s="857"/>
      <c r="AJ173" s="855" t="e">
        <f>CALI!AJ161+YUMBO!AJ161+BUGA!AJ161+'ADULTO MAYOR'!AJ161</f>
        <v>#DIV/0!</v>
      </c>
      <c r="AK173" s="856"/>
      <c r="AL173" s="857"/>
      <c r="AM173" s="858" t="e">
        <f>CALI!AM161+YUMBO!AM161+BUGA!AM161+'ADULTO MAYOR'!AM161</f>
        <v>#DIV/0!</v>
      </c>
      <c r="AN173" s="859"/>
      <c r="AO173" s="860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48"/>
      <c r="C174" s="861" t="e">
        <f>C173/(CALI!C13+YUMBO!C13+BUGA!C13+'ADULTO MAYOR'!C13)</f>
        <v>#DIV/0!</v>
      </c>
      <c r="D174" s="862"/>
      <c r="E174" s="863"/>
      <c r="F174" s="861" t="e">
        <f>F173/(CALI!F13+YUMBO!F13+BUGA!F13+'ADULTO MAYOR'!F13)</f>
        <v>#DIV/0!</v>
      </c>
      <c r="G174" s="862"/>
      <c r="H174" s="863"/>
      <c r="I174" s="861"/>
      <c r="J174" s="862"/>
      <c r="K174" s="863"/>
      <c r="L174" s="861"/>
      <c r="M174" s="862"/>
      <c r="N174" s="863"/>
      <c r="O174" s="861">
        <f>O173/(CALI!O13+YUMBO!O13+BUGA!O13+'ADULTO MAYOR'!O13)</f>
        <v>5.2631578947368418E-2</v>
      </c>
      <c r="P174" s="862"/>
      <c r="Q174" s="863"/>
      <c r="R174" s="861" t="e">
        <f>R173/(CALI!R13+YUMBO!R13+BUGA!R13+'ADULTO MAYOR'!R13)</f>
        <v>#DIV/0!</v>
      </c>
      <c r="S174" s="862"/>
      <c r="T174" s="863"/>
      <c r="U174" s="861" t="e">
        <f>U173/(CALI!U13+YUMBO!U13+BUGA!U13+'ADULTO MAYOR'!U13)</f>
        <v>#DIV/0!</v>
      </c>
      <c r="V174" s="862"/>
      <c r="W174" s="863"/>
      <c r="X174" s="861" t="e">
        <f>X173/(CALI!X13+YUMBO!X13+BUGA!X13+'ADULTO MAYOR'!X13)</f>
        <v>#DIV/0!</v>
      </c>
      <c r="Y174" s="862"/>
      <c r="Z174" s="863"/>
      <c r="AA174" s="861" t="e">
        <f>AA173/(CALI!AA13+YUMBO!AA13+BUGA!AA13+'ADULTO MAYOR'!AA13)</f>
        <v>#DIV/0!</v>
      </c>
      <c r="AB174" s="862"/>
      <c r="AC174" s="863"/>
      <c r="AD174" s="861" t="e">
        <f>AD173/(CALI!AD13+YUMBO!AD13+BUGA!AD13+'ADULTO MAYOR'!AD13)</f>
        <v>#DIV/0!</v>
      </c>
      <c r="AE174" s="862"/>
      <c r="AF174" s="863"/>
      <c r="AG174" s="861" t="e">
        <f>AG173/(CALI!AG13+YUMBO!AG13+BUGA!AG13+'ADULTO MAYOR'!AG13)</f>
        <v>#DIV/0!</v>
      </c>
      <c r="AH174" s="862"/>
      <c r="AI174" s="863"/>
      <c r="AJ174" s="861" t="e">
        <f>AJ173/(CALI!AJ13+YUMBO!AJ13+BUGA!AJ13+'ADULTO MAYOR'!AJ13)</f>
        <v>#DIV/0!</v>
      </c>
      <c r="AK174" s="862"/>
      <c r="AL174" s="863"/>
      <c r="AM174" s="861" t="e">
        <f>AM173/(CALI!AM13+YUMBO!AM13+BUGA!AM13+'ADULTO MAYOR'!AM13)</f>
        <v>#DIV/0!</v>
      </c>
      <c r="AN174" s="859"/>
      <c r="AO174" s="860"/>
    </row>
    <row r="175" spans="1:65" ht="17.100000000000001" customHeight="1" thickTop="1" x14ac:dyDescent="0.25">
      <c r="B175" s="848"/>
      <c r="C175" s="698"/>
      <c r="D175" s="698"/>
      <c r="E175" s="849"/>
      <c r="F175" s="698"/>
      <c r="G175" s="698"/>
      <c r="H175" s="849"/>
      <c r="I175" s="698"/>
      <c r="J175" s="698"/>
      <c r="K175" s="849"/>
      <c r="L175" s="698"/>
      <c r="M175" s="698"/>
      <c r="N175" s="849"/>
      <c r="O175" s="698"/>
      <c r="P175" s="698"/>
      <c r="Q175" s="849"/>
      <c r="R175" s="698"/>
      <c r="S175" s="698"/>
      <c r="T175" s="849"/>
      <c r="U175" s="698"/>
      <c r="V175" s="698"/>
      <c r="W175" s="849"/>
      <c r="X175" s="698"/>
      <c r="Y175" s="698"/>
      <c r="Z175" s="849"/>
      <c r="AA175" s="698"/>
      <c r="AB175" s="698"/>
      <c r="AC175" s="849"/>
      <c r="AD175" s="698"/>
      <c r="AE175" s="698"/>
      <c r="AF175" s="849"/>
      <c r="AG175" s="698"/>
      <c r="AH175" s="698"/>
      <c r="AI175" s="849"/>
      <c r="AJ175" s="698"/>
      <c r="AK175" s="698"/>
      <c r="AL175" s="849"/>
      <c r="AM175" s="850"/>
      <c r="AN175" s="698"/>
      <c r="AO175" s="706"/>
    </row>
    <row r="176" spans="1:65" s="108" customFormat="1" ht="17.100000000000001" customHeight="1" x14ac:dyDescent="0.2">
      <c r="A176" s="153"/>
      <c r="B176" s="952" t="s">
        <v>555</v>
      </c>
      <c r="C176" s="956"/>
      <c r="D176" s="956"/>
      <c r="E176" s="956"/>
      <c r="F176" s="956"/>
      <c r="G176" s="956"/>
      <c r="H176" s="956"/>
      <c r="I176" s="956">
        <v>241842440</v>
      </c>
      <c r="J176" s="956"/>
      <c r="K176" s="956"/>
      <c r="L176" s="956"/>
      <c r="M176" s="956"/>
      <c r="N176" s="956"/>
      <c r="O176" s="956">
        <v>20000000</v>
      </c>
      <c r="P176" s="956"/>
      <c r="Q176" s="956"/>
      <c r="R176" s="956"/>
      <c r="S176" s="956"/>
      <c r="T176" s="956"/>
      <c r="U176" s="956"/>
      <c r="V176" s="956"/>
      <c r="W176" s="956"/>
      <c r="X176" s="956"/>
      <c r="Y176" s="956"/>
      <c r="Z176" s="956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1"/>
      <c r="C177" s="957"/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57"/>
      <c r="V177" s="957"/>
      <c r="W177" s="957"/>
      <c r="X177" s="957"/>
      <c r="Y177" s="957"/>
      <c r="Z177" s="957"/>
      <c r="AA177" s="957"/>
      <c r="AB177" s="957"/>
      <c r="AC177" s="957"/>
      <c r="AD177" s="957"/>
      <c r="AE177" s="957"/>
      <c r="AF177" s="957"/>
      <c r="AG177" s="957"/>
      <c r="AH177" s="957"/>
      <c r="AI177" s="957"/>
      <c r="AJ177" s="957"/>
      <c r="AK177" s="957"/>
      <c r="AL177" s="957"/>
      <c r="AM177" s="957"/>
      <c r="AN177" s="706"/>
      <c r="AO177" s="706"/>
    </row>
    <row r="178" spans="1:65" s="108" customFormat="1" ht="11.1" customHeight="1" x14ac:dyDescent="0.2">
      <c r="A178" s="153"/>
      <c r="B178" s="951" t="s">
        <v>556</v>
      </c>
      <c r="C178" s="953">
        <f>CALI!C161+YUMBO!C161+BUGA!C161+'COMEDORES CALI'!C161+'CTAS EN PPACION'!C161+'COMEDORES VALLE'!C161+'COMEDORES PALMIRA'!C161+'ADULTO MAYOR'!C161</f>
        <v>-5646734218.2399998</v>
      </c>
      <c r="D178" s="953"/>
      <c r="E178" s="953"/>
      <c r="F178" s="953">
        <f>CALI!F161+YUMBO!F161+BUGA!F161+'COMEDORES CALI'!F161+'CTAS EN PPACION'!F161+'COMEDORES VALLE'!F161+'COMEDORES PALMIRA'!F161+'ADULTO MAYOR'!F161</f>
        <v>-9556249663.0399933</v>
      </c>
      <c r="G178" s="953"/>
      <c r="H178" s="953"/>
      <c r="I178" s="953">
        <v>241842440</v>
      </c>
      <c r="J178" s="953"/>
      <c r="K178" s="953"/>
      <c r="L178" s="953"/>
      <c r="M178" s="953"/>
      <c r="N178" s="953">
        <f>CALI!N161+YUMBO!N161+BUGA!N161+'COMEDORES CALI'!N161+'CTAS EN PPACION'!N161+'COMEDORES VALLE'!N161+'COMEDORES PALMIRA'!N161+'ADULTO MAYOR'!N161</f>
        <v>0</v>
      </c>
      <c r="O178" s="953">
        <v>20000000</v>
      </c>
      <c r="P178" s="953"/>
      <c r="Q178" s="953"/>
      <c r="R178" s="953" t="e">
        <f>CALI!R161+YUMBO!R161+BUGA!R161+'COMEDORES CALI'!R161+'CTAS EN PPACION'!R161+'COMEDORES VALLE'!R161+'COMEDORES PALMIRA'!R161+'ADULTO MAYOR'!R161</f>
        <v>#DIV/0!</v>
      </c>
      <c r="S178" s="953"/>
      <c r="T178" s="953"/>
      <c r="U178" s="953" t="e">
        <f>CALI!U161+YUMBO!U161+BUGA!U161+'COMEDORES CALI'!U161+'CTAS EN PPACION'!U161+'COMEDORES VALLE'!U161+'COMEDORES PALMIRA'!U161+'ADULTO MAYOR'!U161</f>
        <v>#DIV/0!</v>
      </c>
      <c r="V178" s="953"/>
      <c r="W178" s="953"/>
      <c r="X178" s="953" t="e">
        <f>CALI!X161+YUMBO!X161+BUGA!X161+'COMEDORES CALI'!X161+'CTAS EN PPACION'!X161+'COMEDORES VALLE'!X161+'COMEDORES PALMIRA'!X161+'ADULTO MAYOR'!X161</f>
        <v>#DIV/0!</v>
      </c>
      <c r="Y178" s="953"/>
      <c r="Z178" s="953"/>
      <c r="AA178" s="953" t="e">
        <f>CALI!AA161+YUMBO!AA161+BUGA!AA161+'COMEDORES CALI'!AA161+'CTAS EN PPACION'!AA161+'COMEDORES VALLE'!AA161+'COMEDORES PALMIRA'!AA161+'ADULTO MAYOR'!AA161</f>
        <v>#DIV/0!</v>
      </c>
      <c r="AB178" s="953"/>
      <c r="AC178" s="953"/>
      <c r="AD178" s="953" t="e">
        <f>CALI!AD161+YUMBO!AD161+BUGA!AD161+'COMEDORES CALI'!AD161+'CTAS EN PPACION'!AD161+'COMEDORES VALLE'!AD161+'COMEDORES PALMIRA'!AD161+'ADULTO MAYOR'!AD161</f>
        <v>#DIV/0!</v>
      </c>
      <c r="AE178" s="953"/>
      <c r="AF178" s="953"/>
      <c r="AG178" s="953" t="e">
        <f>CALI!AG161+YUMBO!AG161+BUGA!AG161+'COMEDORES CALI'!AG161+'CTAS EN PPACION'!AG161+'COMEDORES VALLE'!AG161+'COMEDORES PALMIRA'!AG161+'ADULTO MAYOR'!AG161</f>
        <v>#DIV/0!</v>
      </c>
      <c r="AH178" s="953"/>
      <c r="AI178" s="953"/>
      <c r="AJ178" s="953" t="e">
        <f>CALI!AJ161+YUMBO!AJ161+BUGA!AJ161+'COMEDORES CALI'!AJ161+'CTAS EN PPACION'!AJ161+'COMEDORES VALLE'!AJ161+'COMEDORES PALMIRA'!AJ161+'ADULTO MAYOR'!AJ161</f>
        <v>#DIV/0!</v>
      </c>
      <c r="AK178" s="953"/>
      <c r="AL178" s="953"/>
      <c r="AM178" s="953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1" t="s">
        <v>557</v>
      </c>
      <c r="C179" s="953">
        <f>C178-C168</f>
        <v>0</v>
      </c>
      <c r="D179" s="953"/>
      <c r="E179" s="953"/>
      <c r="F179" s="953">
        <f>F178-F168</f>
        <v>0</v>
      </c>
      <c r="G179" s="953"/>
      <c r="H179" s="953"/>
      <c r="I179" s="953"/>
      <c r="J179" s="953"/>
      <c r="K179" s="953"/>
      <c r="L179" s="953"/>
      <c r="M179" s="953"/>
      <c r="N179" s="953">
        <f>N178-N168</f>
        <v>0</v>
      </c>
      <c r="O179" s="953">
        <f>O178-O168</f>
        <v>2030777400</v>
      </c>
      <c r="P179" s="953"/>
      <c r="Q179" s="953"/>
      <c r="R179" s="953" t="e">
        <f>R178-R168</f>
        <v>#DIV/0!</v>
      </c>
      <c r="S179" s="953"/>
      <c r="T179" s="953"/>
      <c r="U179" s="953" t="e">
        <f>U178-U168</f>
        <v>#DIV/0!</v>
      </c>
      <c r="V179" s="953"/>
      <c r="W179" s="953"/>
      <c r="X179" s="953" t="e">
        <f>X178-X168</f>
        <v>#DIV/0!</v>
      </c>
      <c r="Y179" s="953"/>
      <c r="Z179" s="953"/>
      <c r="AA179" s="953" t="e">
        <f>AA178-AA168</f>
        <v>#DIV/0!</v>
      </c>
      <c r="AB179" s="953"/>
      <c r="AC179" s="953"/>
      <c r="AD179" s="953" t="e">
        <f>AD178-AD168</f>
        <v>#DIV/0!</v>
      </c>
      <c r="AE179" s="953"/>
      <c r="AF179" s="953"/>
      <c r="AG179" s="953" t="e">
        <f>AG178-AG168</f>
        <v>#DIV/0!</v>
      </c>
      <c r="AH179" s="953"/>
      <c r="AI179" s="953"/>
      <c r="AJ179" s="953" t="e">
        <f>AJ178-AJ168</f>
        <v>#DIV/0!</v>
      </c>
      <c r="AK179" s="953"/>
      <c r="AL179" s="953"/>
      <c r="AM179" s="953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0" t="s">
        <v>558</v>
      </c>
      <c r="C180" s="954">
        <f>'GASTOS ADMINISTRATIVOS'!C96-'PYG TOTAL'!C148</f>
        <v>0</v>
      </c>
      <c r="D180" s="954"/>
      <c r="E180" s="954"/>
      <c r="F180" s="954">
        <f>'GASTOS ADMINISTRATIVOS'!D96-'PYG TOTAL'!F148</f>
        <v>0</v>
      </c>
      <c r="G180" s="954"/>
      <c r="H180" s="954"/>
      <c r="I180" s="954">
        <v>241842440</v>
      </c>
      <c r="J180" s="954"/>
      <c r="K180" s="954"/>
      <c r="L180" s="954"/>
      <c r="M180" s="954"/>
      <c r="N180" s="954"/>
      <c r="O180" s="954">
        <v>20000000</v>
      </c>
      <c r="P180" s="954"/>
      <c r="Q180" s="954"/>
      <c r="R180" s="954" t="e">
        <f>'GASTOS ADMINISTRATIVOS'!H96-'PYG TOTAL'!R148</f>
        <v>#DIV/0!</v>
      </c>
      <c r="S180" s="954"/>
      <c r="T180" s="954"/>
      <c r="U180" s="954" t="e">
        <f>'GASTOS ADMINISTRATIVOS'!I96-'PYG TOTAL'!U148</f>
        <v>#DIV/0!</v>
      </c>
      <c r="V180" s="954"/>
      <c r="W180" s="954"/>
      <c r="X180" s="955" t="e">
        <f>'GASTOS ADMINISTRATIVOS'!J96-'PYG TOTAL'!X148</f>
        <v>#DIV/0!</v>
      </c>
      <c r="Y180" s="955"/>
      <c r="Z180" s="955"/>
      <c r="AA180" s="955" t="e">
        <f>'GASTOS ADMINISTRATIVOS'!K96-'PYG TOTAL'!AA148</f>
        <v>#DIV/0!</v>
      </c>
      <c r="AB180" s="955"/>
      <c r="AC180" s="955"/>
      <c r="AD180" s="955" t="e">
        <f>'GASTOS ADMINISTRATIVOS'!L96-'PYG TOTAL'!AD148</f>
        <v>#DIV/0!</v>
      </c>
      <c r="AE180" s="955"/>
      <c r="AF180" s="955"/>
      <c r="AG180" s="955" t="e">
        <f>'GASTOS ADMINISTRATIVOS'!M96-'PYG TOTAL'!AG148</f>
        <v>#DIV/0!</v>
      </c>
      <c r="AH180" s="955"/>
      <c r="AI180" s="955"/>
      <c r="AJ180" s="955" t="e">
        <f>'GASTOS ADMINISTRATIVOS'!N96-'PYG TOTAL'!AJ148</f>
        <v>#DIV/0!</v>
      </c>
      <c r="AK180" s="955"/>
      <c r="AL180" s="955"/>
      <c r="AM180" s="955" t="e">
        <f>'GASTOS ADMINISTRATIVOS'!O96-'PYG TOTAL'!AM148</f>
        <v>#DIV/0!</v>
      </c>
      <c r="AN180" s="464"/>
      <c r="AO180" s="464"/>
    </row>
    <row r="181" spans="1:65" ht="11.1" customHeight="1" x14ac:dyDescent="0.2">
      <c r="B181" s="950" t="s">
        <v>559</v>
      </c>
      <c r="C181" s="955">
        <f>'GASTOS OPERATIVOS'!C17+BUGA!C85+'CTAS EN PPACION'!C85+'COMEDORES VALLE'!C85-C85</f>
        <v>0</v>
      </c>
      <c r="D181" s="955"/>
      <c r="E181" s="955"/>
      <c r="F181" s="955">
        <f>'GASTOS OPERATIVOS'!D17+BUGA!F85+'CTAS EN PPACION'!F85+'COMEDORES VALLE'!F85-F85</f>
        <v>0</v>
      </c>
      <c r="G181" s="955"/>
      <c r="H181" s="955"/>
      <c r="I181" s="955">
        <v>241842440</v>
      </c>
      <c r="J181" s="955"/>
      <c r="K181" s="955"/>
      <c r="L181" s="955"/>
      <c r="M181" s="955"/>
      <c r="N181" s="955"/>
      <c r="O181" s="955">
        <v>20000000</v>
      </c>
      <c r="P181" s="955"/>
      <c r="Q181" s="955"/>
      <c r="R181" s="955" t="e">
        <f>'GASTOS OPERATIVOS'!H17+BUGA!R85+'CTAS EN PPACION'!R85+'COMEDORES VALLE'!R85-R85</f>
        <v>#DIV/0!</v>
      </c>
      <c r="S181" s="955"/>
      <c r="T181" s="955"/>
      <c r="U181" s="955" t="e">
        <f>'GASTOS OPERATIVOS'!I17+BUGA!U85+'CTAS EN PPACION'!U85+'COMEDORES VALLE'!U85-U85</f>
        <v>#DIV/0!</v>
      </c>
      <c r="V181" s="955"/>
      <c r="W181" s="955"/>
      <c r="X181" s="955" t="e">
        <f>'GASTOS OPERATIVOS'!J17+BUGA!X85+'CTAS EN PPACION'!X85+'COMEDORES VALLE'!X85-X85</f>
        <v>#DIV/0!</v>
      </c>
      <c r="Y181" s="955"/>
      <c r="Z181" s="955"/>
      <c r="AA181" s="955" t="e">
        <f>'GASTOS OPERATIVOS'!K17+BUGA!AA85+'CTAS EN PPACION'!AA85+'COMEDORES VALLE'!AA85-AA85</f>
        <v>#DIV/0!</v>
      </c>
      <c r="AB181" s="955"/>
      <c r="AC181" s="955"/>
      <c r="AD181" s="955" t="e">
        <f>'GASTOS OPERATIVOS'!L17+BUGA!AD85+'CTAS EN PPACION'!AD85+'COMEDORES VALLE'!AD85-AD85</f>
        <v>#DIV/0!</v>
      </c>
      <c r="AE181" s="955"/>
      <c r="AF181" s="955"/>
      <c r="AG181" s="955" t="e">
        <f>'GASTOS OPERATIVOS'!M17+BUGA!AG85+'CTAS EN PPACION'!AG85+'COMEDORES VALLE'!AG85-AG85</f>
        <v>#DIV/0!</v>
      </c>
      <c r="AH181" s="955"/>
      <c r="AI181" s="955"/>
      <c r="AJ181" s="955" t="e">
        <f>'GASTOS OPERATIVOS'!N17+BUGA!AJ85+'CTAS EN PPACION'!AJ85+'COMEDORES VALLE'!AJ85-AJ85</f>
        <v>#DIV/0!</v>
      </c>
      <c r="AK181" s="955"/>
      <c r="AL181" s="955"/>
      <c r="AM181" s="955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0" t="s">
        <v>560</v>
      </c>
      <c r="C182" s="955">
        <f>'GASTOS VEHICULOS'!C25-'PYG TOTAL'!C73</f>
        <v>0</v>
      </c>
      <c r="D182" s="955"/>
      <c r="E182" s="955"/>
      <c r="F182" s="955">
        <f>'GASTOS VEHICULOS'!D25-'PYG TOTAL'!F73</f>
        <v>0</v>
      </c>
      <c r="G182" s="955"/>
      <c r="H182" s="955"/>
      <c r="I182" s="955">
        <v>241842440</v>
      </c>
      <c r="J182" s="955"/>
      <c r="K182" s="955"/>
      <c r="L182" s="955"/>
      <c r="M182" s="955"/>
      <c r="N182" s="955"/>
      <c r="O182" s="955">
        <v>20000000</v>
      </c>
      <c r="P182" s="955"/>
      <c r="Q182" s="955"/>
      <c r="R182" s="955">
        <f>'GASTOS VEHICULOS'!H25-'PYG TOTAL'!R73</f>
        <v>0</v>
      </c>
      <c r="S182" s="955"/>
      <c r="T182" s="955"/>
      <c r="U182" s="955">
        <f>'GASTOS VEHICULOS'!I25-'PYG TOTAL'!U73</f>
        <v>0</v>
      </c>
      <c r="V182" s="955"/>
      <c r="W182" s="955"/>
      <c r="X182" s="955">
        <f>'GASTOS VEHICULOS'!J25-'PYG TOTAL'!X73</f>
        <v>0</v>
      </c>
      <c r="Y182" s="955"/>
      <c r="Z182" s="955"/>
      <c r="AA182" s="955">
        <f>'GASTOS VEHICULOS'!K25-'PYG TOTAL'!AA73</f>
        <v>0</v>
      </c>
      <c r="AB182" s="955"/>
      <c r="AC182" s="955"/>
      <c r="AD182" s="955">
        <f>'GASTOS VEHICULOS'!L25-'PYG TOTAL'!AD73</f>
        <v>0</v>
      </c>
      <c r="AE182" s="955"/>
      <c r="AF182" s="955"/>
      <c r="AG182" s="955">
        <f>'GASTOS VEHICULOS'!M25-'PYG TOTAL'!AG73</f>
        <v>0</v>
      </c>
      <c r="AH182" s="955"/>
      <c r="AI182" s="955"/>
      <c r="AJ182" s="955">
        <f>'GASTOS VEHICULOS'!N25-'PYG TOTAL'!AJ73</f>
        <v>0</v>
      </c>
      <c r="AK182" s="955"/>
      <c r="AL182" s="955"/>
      <c r="AM182" s="955">
        <f>'GASTOS VEHICULOS'!O25-'PYG TOTAL'!AM73</f>
        <v>6789745880</v>
      </c>
      <c r="AN182" s="464"/>
      <c r="AO182" s="464"/>
    </row>
    <row r="183" spans="1:65" x14ac:dyDescent="0.2">
      <c r="B183" s="950" t="s">
        <v>561</v>
      </c>
      <c r="C183" s="955">
        <f>'GASTOS ADMINISTRATIVOS'!C109-'PYG TOTAL'!C149+520117.4+29230.55+40203.2+79552.5+3501.4</f>
        <v>-1.1897554941242561E-8</v>
      </c>
      <c r="D183" s="955"/>
      <c r="E183" s="955"/>
      <c r="F183" s="955">
        <f>'GASTOS ADMINISTRATIVOS'!D109-'PYG TOTAL'!F149+129086.38+6000</f>
        <v>-5.4831616580486298E-8</v>
      </c>
      <c r="G183" s="955"/>
      <c r="H183" s="955"/>
      <c r="I183" s="955">
        <v>241842440</v>
      </c>
      <c r="J183" s="955"/>
      <c r="K183" s="955"/>
      <c r="L183" s="955"/>
      <c r="M183" s="955"/>
      <c r="N183" s="955"/>
      <c r="O183" s="955">
        <v>20000000</v>
      </c>
      <c r="P183" s="955"/>
      <c r="Q183" s="955"/>
      <c r="R183" s="955">
        <f>'GASTOS ADMINISTRATIVOS'!H109-'PYG TOTAL'!R149</f>
        <v>0</v>
      </c>
      <c r="S183" s="955"/>
      <c r="T183" s="955"/>
      <c r="U183" s="955">
        <f>'GASTOS ADMINISTRATIVOS'!I109-'PYG TOTAL'!U149</f>
        <v>0</v>
      </c>
      <c r="V183" s="955"/>
      <c r="W183" s="955"/>
      <c r="X183" s="955">
        <f>'GASTOS ADMINISTRATIVOS'!J109-'PYG TOTAL'!X149</f>
        <v>0</v>
      </c>
      <c r="Y183" s="955"/>
      <c r="Z183" s="955"/>
      <c r="AA183" s="955">
        <f>'GASTOS ADMINISTRATIVOS'!K109-'PYG TOTAL'!AA149</f>
        <v>0</v>
      </c>
      <c r="AB183" s="955"/>
      <c r="AC183" s="955"/>
      <c r="AD183" s="955">
        <f>'GASTOS ADMINISTRATIVOS'!L109-'PYG TOTAL'!AD149</f>
        <v>0</v>
      </c>
      <c r="AE183" s="955"/>
      <c r="AF183" s="955"/>
      <c r="AG183" s="955">
        <f>'GASTOS ADMINISTRATIVOS'!M109-'PYG TOTAL'!AG149</f>
        <v>0</v>
      </c>
      <c r="AH183" s="955"/>
      <c r="AI183" s="955"/>
      <c r="AJ183" s="955">
        <f>'GASTOS ADMINISTRATIVOS'!N109-'PYG TOTAL'!AJ149</f>
        <v>0</v>
      </c>
      <c r="AK183" s="955"/>
      <c r="AL183" s="955"/>
      <c r="AM183" s="955">
        <f>'GASTOS ADMINISTRATIVOS'!O109-'PYG TOTAL'!AM149+520117.4+29230.55+40203.2+79552.5+3501.4+129086.38+6000</f>
        <v>4775006359.999999</v>
      </c>
      <c r="AN183" s="1050"/>
      <c r="AO183" s="1044"/>
    </row>
    <row r="184" spans="1:65" x14ac:dyDescent="0.2">
      <c r="B184" s="950" t="s">
        <v>286</v>
      </c>
      <c r="C184" s="955">
        <f>'GASTOS ADMINISTRATIVOS'!C119-'PYG TOTAL'!C151</f>
        <v>0</v>
      </c>
      <c r="D184" s="955"/>
      <c r="E184" s="955"/>
      <c r="F184" s="955">
        <f>'GASTOS ADMINISTRATIVOS'!D119-'PYG TOTAL'!F151</f>
        <v>0</v>
      </c>
      <c r="G184" s="955"/>
      <c r="H184" s="955"/>
      <c r="I184" s="955">
        <v>241842440</v>
      </c>
      <c r="J184" s="955"/>
      <c r="K184" s="955"/>
      <c r="L184" s="955"/>
      <c r="M184" s="955"/>
      <c r="N184" s="955"/>
      <c r="O184" s="955">
        <v>20000000</v>
      </c>
      <c r="P184" s="955"/>
      <c r="Q184" s="955"/>
      <c r="R184" s="955" t="e">
        <f>'GASTOS ADMINISTRATIVOS'!H119-'PYG TOTAL'!R151</f>
        <v>#DIV/0!</v>
      </c>
      <c r="S184" s="955"/>
      <c r="T184" s="955"/>
      <c r="U184" s="955" t="e">
        <f>'GASTOS ADMINISTRATIVOS'!I119-'PYG TOTAL'!U151</f>
        <v>#DIV/0!</v>
      </c>
      <c r="V184" s="955"/>
      <c r="W184" s="955"/>
      <c r="X184" s="955" t="e">
        <f>'GASTOS ADMINISTRATIVOS'!J119-'PYG TOTAL'!X151</f>
        <v>#DIV/0!</v>
      </c>
      <c r="Y184" s="955"/>
      <c r="Z184" s="955"/>
      <c r="AA184" s="955" t="e">
        <f>'GASTOS ADMINISTRATIVOS'!K119-'PYG TOTAL'!AA151</f>
        <v>#DIV/0!</v>
      </c>
      <c r="AB184" s="955"/>
      <c r="AC184" s="955"/>
      <c r="AD184" s="955" t="e">
        <f>'GASTOS ADMINISTRATIVOS'!L119-'PYG TOTAL'!AD151</f>
        <v>#DIV/0!</v>
      </c>
      <c r="AE184" s="955"/>
      <c r="AF184" s="955"/>
      <c r="AG184" s="955" t="e">
        <f>'GASTOS ADMINISTRATIVOS'!M119-'PYG TOTAL'!AG151</f>
        <v>#DIV/0!</v>
      </c>
      <c r="AH184" s="955"/>
      <c r="AI184" s="955"/>
      <c r="AJ184" s="955" t="e">
        <f>'GASTOS ADMINISTRATIVOS'!N119-'PYG TOTAL'!AJ151</f>
        <v>#DIV/0!</v>
      </c>
      <c r="AK184" s="955"/>
      <c r="AL184" s="955"/>
      <c r="AM184" s="955" t="e">
        <f>'GASTOS ADMINISTRATIVOS'!O119-'PYG TOTAL'!AM151</f>
        <v>#DIV/0!</v>
      </c>
      <c r="AN184" s="401"/>
      <c r="AO184" s="399"/>
    </row>
    <row r="185" spans="1:65" x14ac:dyDescent="0.2">
      <c r="X185" s="399"/>
      <c r="Y185" s="864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1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4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51"/>
      <c r="AO186" s="1044"/>
    </row>
    <row r="187" spans="1:65" x14ac:dyDescent="0.2">
      <c r="S187" s="540"/>
      <c r="X187" s="399"/>
      <c r="Y187" s="864"/>
      <c r="Z187" s="399"/>
      <c r="AA187" s="399"/>
      <c r="AB187" s="864"/>
      <c r="AC187" s="399"/>
      <c r="AD187" s="878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79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7"/>
      <c r="AO204" s="399"/>
    </row>
    <row r="205" spans="9:41" x14ac:dyDescent="0.2">
      <c r="S205" s="399"/>
      <c r="T205" s="399" t="s">
        <v>518</v>
      </c>
      <c r="U205" s="399" t="e">
        <f>V205*U13</f>
        <v>#REF!</v>
      </c>
      <c r="V205" s="864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44"/>
      <c r="AO205" s="1044"/>
    </row>
    <row r="206" spans="9:41" x14ac:dyDescent="0.2">
      <c r="S206" s="399"/>
      <c r="T206" s="399" t="s">
        <v>562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563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564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565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566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567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B44" sqref="B4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73" width="11.44140625" style="2" customWidth="1"/>
    <col min="74" max="16384" width="11.44140625" style="2"/>
  </cols>
  <sheetData>
    <row r="2" spans="1:41" ht="24.9" customHeight="1" thickBot="1" x14ac:dyDescent="0.35">
      <c r="B2" s="236" t="s">
        <v>0</v>
      </c>
      <c r="C2" s="1042" t="s">
        <v>1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43"/>
      <c r="V2" s="1043"/>
      <c r="W2" s="1043"/>
      <c r="X2" s="1043"/>
      <c r="Y2" s="1043"/>
      <c r="Z2" s="1043"/>
      <c r="AA2" s="1043"/>
      <c r="AB2" s="1043"/>
      <c r="AC2" s="1043"/>
      <c r="AD2" s="1043"/>
      <c r="AE2" s="1043"/>
      <c r="AF2" s="1043"/>
      <c r="AG2" s="1043"/>
      <c r="AH2" s="1043"/>
      <c r="AI2" s="1043"/>
      <c r="AJ2" s="1043"/>
      <c r="AK2" s="1043"/>
      <c r="AL2" s="1043"/>
      <c r="AM2" s="1043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18</v>
      </c>
      <c r="C5" s="257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>
        <v>20000000</v>
      </c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261842440</v>
      </c>
      <c r="AN5" s="89"/>
      <c r="AO5" s="308">
        <f>AM5/AM12</f>
        <v>0.25</v>
      </c>
    </row>
    <row r="6" spans="1:41" s="223" customFormat="1" ht="15" hidden="1" customHeight="1" x14ac:dyDescent="0.2">
      <c r="A6" s="228"/>
      <c r="B6" s="258" t="s">
        <v>19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261842440</v>
      </c>
      <c r="AN6" s="43"/>
      <c r="AO6" s="309">
        <f>AM6/AM12</f>
        <v>0.25</v>
      </c>
    </row>
    <row r="7" spans="1:41" s="223" customFormat="1" ht="15" hidden="1" customHeight="1" x14ac:dyDescent="0.2">
      <c r="A7" s="228"/>
      <c r="B7" s="258" t="s">
        <v>20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261842440</v>
      </c>
      <c r="AN7" s="43"/>
      <c r="AO7" s="309">
        <f>AM7/AM12</f>
        <v>0.25</v>
      </c>
    </row>
    <row r="8" spans="1:41" s="223" customFormat="1" ht="15" hidden="1" customHeight="1" x14ac:dyDescent="0.2">
      <c r="A8" s="228"/>
      <c r="B8" s="258" t="s">
        <v>21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/>
      <c r="M8" s="43"/>
      <c r="N8" s="118"/>
      <c r="O8" s="74">
        <v>20000000</v>
      </c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261842440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22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1047369760</v>
      </c>
      <c r="AN12" s="47"/>
      <c r="AO12" s="311"/>
    </row>
    <row r="13" spans="1:41" ht="15" hidden="1" customHeight="1" x14ac:dyDescent="0.2">
      <c r="B13" s="19" t="s">
        <v>23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1692897080</v>
      </c>
      <c r="J13" s="10"/>
      <c r="K13" s="337"/>
      <c r="L13" s="48">
        <f>L14+L23</f>
        <v>0</v>
      </c>
      <c r="M13" s="10"/>
      <c r="N13" s="337"/>
      <c r="O13" s="48">
        <f>O14+O23</f>
        <v>140000000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1832897080</v>
      </c>
      <c r="AN13" s="10"/>
      <c r="AO13" s="312"/>
    </row>
    <row r="14" spans="1:41" ht="15" hidden="1" customHeight="1" x14ac:dyDescent="0.2">
      <c r="B14" s="16" t="s">
        <v>24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80000000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1047369760</v>
      </c>
      <c r="AN14" s="3"/>
      <c r="AO14" s="313"/>
    </row>
    <row r="15" spans="1:41" ht="15" hidden="1" customHeight="1" x14ac:dyDescent="0.2">
      <c r="B15" s="16" t="s">
        <v>25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80000000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1047369760</v>
      </c>
      <c r="AN15" s="3"/>
      <c r="AO15" s="313">
        <f>AM15/AM15</f>
        <v>1</v>
      </c>
    </row>
    <row r="16" spans="1:41" ht="15" hidden="1" customHeight="1" x14ac:dyDescent="0.2">
      <c r="B16" s="262" t="s">
        <v>18</v>
      </c>
      <c r="C16" s="103"/>
      <c r="D16" s="79"/>
      <c r="E16" s="147"/>
      <c r="F16" s="103"/>
      <c r="G16" s="79"/>
      <c r="H16" s="147"/>
      <c r="I16" s="103">
        <v>241842440</v>
      </c>
      <c r="J16" s="79"/>
      <c r="K16" s="147"/>
      <c r="L16" s="103"/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261842440</v>
      </c>
      <c r="AN16" s="79">
        <f>AM16/AM5</f>
        <v>1</v>
      </c>
      <c r="AO16" s="314">
        <f>AM16/AM$13</f>
        <v>0.14285714285714285</v>
      </c>
    </row>
    <row r="17" spans="2:41" ht="15" hidden="1" customHeight="1" x14ac:dyDescent="0.2">
      <c r="B17" s="104" t="s">
        <v>19</v>
      </c>
      <c r="C17" s="25"/>
      <c r="D17" s="43"/>
      <c r="E17" s="118"/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261842440</v>
      </c>
      <c r="AN17" s="43">
        <f>AM17/AM6</f>
        <v>1</v>
      </c>
      <c r="AO17" s="309">
        <f>AM17/AM$13</f>
        <v>0.14285714285714285</v>
      </c>
    </row>
    <row r="18" spans="2:41" ht="15" hidden="1" customHeight="1" x14ac:dyDescent="0.2">
      <c r="B18" s="104" t="s">
        <v>20</v>
      </c>
      <c r="C18" s="25"/>
      <c r="D18" s="43"/>
      <c r="E18" s="118"/>
      <c r="F18" s="25"/>
      <c r="G18" s="43"/>
      <c r="H18" s="118"/>
      <c r="I18" s="25">
        <v>241842440</v>
      </c>
      <c r="J18" s="43"/>
      <c r="K18" s="118"/>
      <c r="L18" s="25"/>
      <c r="M18" s="43"/>
      <c r="N18" s="118"/>
      <c r="O18" s="25">
        <v>20000000</v>
      </c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261842440</v>
      </c>
      <c r="AN18" s="43">
        <f>AM18/AM7</f>
        <v>1</v>
      </c>
      <c r="AO18" s="309">
        <f>AM18/AM$13</f>
        <v>0.14285714285714285</v>
      </c>
    </row>
    <row r="19" spans="2:41" ht="15" hidden="1" customHeight="1" x14ac:dyDescent="0.2">
      <c r="B19" s="104" t="s">
        <v>21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/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261842440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26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785527320</v>
      </c>
      <c r="AN23" s="3"/>
      <c r="AO23" s="313"/>
    </row>
    <row r="24" spans="2:41" ht="15" hidden="1" customHeight="1" outlineLevel="1" x14ac:dyDescent="0.2">
      <c r="B24" s="16" t="s">
        <v>27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2:41" ht="15" hidden="1" customHeight="1" outlineLevel="1" x14ac:dyDescent="0.2">
      <c r="B25" s="32" t="s">
        <v>28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2:41" ht="15" hidden="1" customHeight="1" outlineLevel="1" x14ac:dyDescent="0.2">
      <c r="B26" s="32" t="s">
        <v>29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2:41" ht="15" hidden="1" customHeight="1" outlineLevel="1" x14ac:dyDescent="0.2">
      <c r="B27" s="32" t="s">
        <v>30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2:41" ht="15" hidden="1" customHeight="1" collapsed="1" x14ac:dyDescent="0.2">
      <c r="B28" s="16" t="s">
        <v>31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32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>
        <f>O29/O13</f>
        <v>0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33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1692897080</v>
      </c>
      <c r="J42" s="55"/>
      <c r="K42" s="339"/>
      <c r="L42" s="54">
        <f>+L14+L23-L28</f>
        <v>0</v>
      </c>
      <c r="M42" s="55"/>
      <c r="N42" s="339"/>
      <c r="O42" s="54">
        <f>+O14+O23-O28</f>
        <v>140000000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1832897080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34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2902109280</v>
      </c>
      <c r="J44" s="491"/>
      <c r="K44" s="492"/>
      <c r="L44" s="490">
        <f>+L45+L60+L78</f>
        <v>0</v>
      </c>
      <c r="M44" s="491"/>
      <c r="N44" s="492"/>
      <c r="O44" s="490">
        <f>+O45+O60+O78</f>
        <v>240000000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3149347061</v>
      </c>
      <c r="AN44" s="491"/>
      <c r="AO44" s="580"/>
    </row>
    <row r="45" spans="2:41" ht="15" hidden="1" customHeight="1" x14ac:dyDescent="0.2">
      <c r="B45" s="16" t="s">
        <v>35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36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>
        <f>AM47/AM5</f>
        <v>0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37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2176581960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180000000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2356581960</v>
      </c>
      <c r="AN60" s="3"/>
      <c r="AO60" s="313"/>
    </row>
    <row r="61" spans="1:41" ht="15" hidden="1" customHeight="1" x14ac:dyDescent="0.2">
      <c r="B61" s="36" t="s">
        <v>36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967369760</v>
      </c>
      <c r="J61" s="67"/>
      <c r="K61" s="149"/>
      <c r="L61" s="37">
        <f>SUM(L62:L71)+L72</f>
        <v>0</v>
      </c>
      <c r="M61" s="67"/>
      <c r="N61" s="149"/>
      <c r="O61" s="37">
        <f>SUM(O62:O71)+O72</f>
        <v>80000000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1047369760</v>
      </c>
      <c r="AN61" s="67"/>
      <c r="AO61" s="318"/>
    </row>
    <row r="62" spans="1:41" ht="15" hidden="1" customHeight="1" x14ac:dyDescent="0.2">
      <c r="B62" s="100" t="s">
        <v>38</v>
      </c>
      <c r="C62" s="78"/>
      <c r="D62" s="79"/>
      <c r="E62" s="147"/>
      <c r="F62" s="78"/>
      <c r="G62" s="79"/>
      <c r="H62" s="147"/>
      <c r="I62" s="78">
        <v>241842440</v>
      </c>
      <c r="J62" s="79"/>
      <c r="K62" s="147"/>
      <c r="L62" s="78"/>
      <c r="M62" s="79"/>
      <c r="N62" s="147"/>
      <c r="O62" s="78">
        <v>20000000</v>
      </c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261842440</v>
      </c>
      <c r="AN62" s="79">
        <f>AM62/AM6</f>
        <v>1</v>
      </c>
      <c r="AO62" s="147"/>
    </row>
    <row r="63" spans="1:41" ht="15" hidden="1" customHeight="1" x14ac:dyDescent="0.2">
      <c r="B63" s="101" t="s">
        <v>39</v>
      </c>
      <c r="C63" s="25"/>
      <c r="D63" s="43"/>
      <c r="E63" s="118"/>
      <c r="F63" s="25"/>
      <c r="G63" s="43"/>
      <c r="H63" s="118"/>
      <c r="I63" s="25">
        <v>241842440</v>
      </c>
      <c r="J63" s="43"/>
      <c r="K63" s="118"/>
      <c r="L63" s="25"/>
      <c r="M63" s="43"/>
      <c r="N63" s="118"/>
      <c r="O63" s="25">
        <v>20000000</v>
      </c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261842440</v>
      </c>
      <c r="AN63" s="43">
        <f>AM63/AM7</f>
        <v>1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40</v>
      </c>
      <c r="C70" s="91"/>
      <c r="D70" s="92"/>
      <c r="E70" s="338"/>
      <c r="F70" s="91"/>
      <c r="G70" s="92"/>
      <c r="H70" s="338"/>
      <c r="I70" s="91">
        <v>241842440</v>
      </c>
      <c r="J70" s="92"/>
      <c r="K70" s="338"/>
      <c r="L70" s="91"/>
      <c r="M70" s="92"/>
      <c r="N70" s="338"/>
      <c r="O70" s="91">
        <v>20000000</v>
      </c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41</v>
      </c>
      <c r="C72" s="37"/>
      <c r="D72" s="67"/>
      <c r="E72" s="149"/>
      <c r="F72" s="37"/>
      <c r="G72" s="67"/>
      <c r="H72" s="149"/>
      <c r="I72" s="37">
        <v>241842440</v>
      </c>
      <c r="J72" s="67"/>
      <c r="K72" s="149"/>
      <c r="L72" s="37"/>
      <c r="M72" s="67"/>
      <c r="N72" s="149"/>
      <c r="O72" s="37">
        <v>20000000</v>
      </c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261842440</v>
      </c>
      <c r="AN72" s="67"/>
      <c r="AO72" s="318"/>
    </row>
    <row r="73" spans="2:44" ht="15" hidden="1" customHeight="1" x14ac:dyDescent="0.2">
      <c r="B73" s="36" t="s">
        <v>42</v>
      </c>
      <c r="C73" s="37"/>
      <c r="D73" s="67"/>
      <c r="E73" s="149"/>
      <c r="F73" s="37"/>
      <c r="G73" s="67"/>
      <c r="H73" s="149"/>
      <c r="I73" s="37">
        <v>241842440</v>
      </c>
      <c r="J73" s="67"/>
      <c r="K73" s="149"/>
      <c r="L73" s="37"/>
      <c r="M73" s="67"/>
      <c r="N73" s="149"/>
      <c r="O73" s="37">
        <v>20000000</v>
      </c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261842440</v>
      </c>
      <c r="AN73" s="67"/>
      <c r="AO73" s="320"/>
    </row>
    <row r="74" spans="2:44" ht="15" customHeight="1" x14ac:dyDescent="0.3">
      <c r="B74" s="36" t="s">
        <v>43</v>
      </c>
      <c r="C74" s="37">
        <v>0</v>
      </c>
      <c r="D74" s="67"/>
      <c r="E74" s="149"/>
      <c r="F74" s="37">
        <v>0</v>
      </c>
      <c r="G74" s="67"/>
      <c r="H74" s="149"/>
      <c r="I74" s="37">
        <v>241842440</v>
      </c>
      <c r="J74" s="365"/>
      <c r="K74" s="149"/>
      <c r="L74" s="37"/>
      <c r="M74" s="67"/>
      <c r="N74" s="149"/>
      <c r="O74" s="37">
        <v>20000000</v>
      </c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261842440</v>
      </c>
      <c r="AN74" s="67"/>
      <c r="AO74" s="320"/>
    </row>
    <row r="75" spans="2:44" ht="15" customHeight="1" x14ac:dyDescent="0.2">
      <c r="B75" s="36" t="s">
        <v>44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261842440</v>
      </c>
      <c r="AN75" s="67"/>
      <c r="AO75" s="318"/>
    </row>
    <row r="76" spans="2:44" ht="15" customHeight="1" x14ac:dyDescent="0.2">
      <c r="B76" s="36" t="s">
        <v>45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261842440</v>
      </c>
      <c r="AN76" s="67"/>
      <c r="AO76" s="320"/>
    </row>
    <row r="77" spans="2:44" ht="15" customHeight="1" x14ac:dyDescent="0.3">
      <c r="B77" s="66" t="s">
        <v>46</v>
      </c>
      <c r="C77" s="28"/>
      <c r="D77" s="45"/>
      <c r="E77" s="340"/>
      <c r="F77" s="366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261842440</v>
      </c>
      <c r="AN77" s="42"/>
      <c r="AO77" s="320"/>
    </row>
    <row r="78" spans="2:44" ht="15" customHeight="1" x14ac:dyDescent="0.2">
      <c r="B78" s="16" t="s">
        <v>47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725527320</v>
      </c>
      <c r="J78" s="3"/>
      <c r="K78" s="150"/>
      <c r="L78" s="49">
        <f>SUM(L79:L81)</f>
        <v>0</v>
      </c>
      <c r="M78" s="3"/>
      <c r="N78" s="150"/>
      <c r="O78" s="49">
        <f>SUM(O79:O81)</f>
        <v>60000000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792765101</v>
      </c>
      <c r="AN78" s="3"/>
      <c r="AO78" s="321"/>
    </row>
    <row r="79" spans="2:44" ht="15" customHeight="1" x14ac:dyDescent="0.2">
      <c r="B79" s="39" t="s">
        <v>48</v>
      </c>
      <c r="C79" s="266">
        <f>'[21]Hoja 1'!$D$42</f>
        <v>8526302</v>
      </c>
      <c r="D79" s="267"/>
      <c r="E79" s="306"/>
      <c r="F79" s="266">
        <f>'[29]Hoja 1'!$H$45</f>
        <v>-2551721</v>
      </c>
      <c r="G79" s="69"/>
      <c r="H79" s="306"/>
      <c r="I79" s="266">
        <v>241842440</v>
      </c>
      <c r="J79" s="69"/>
      <c r="K79" s="306"/>
      <c r="L79" s="266"/>
      <c r="M79" s="69"/>
      <c r="N79" s="306"/>
      <c r="O79" s="266">
        <v>20000000</v>
      </c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267817021</v>
      </c>
      <c r="AN79" s="4"/>
      <c r="AO79" s="322"/>
      <c r="AP79" s="144"/>
    </row>
    <row r="80" spans="2:44" ht="15" customHeight="1" x14ac:dyDescent="0.2">
      <c r="B80" s="25" t="s">
        <v>49</v>
      </c>
      <c r="C80" s="25">
        <f>'[9]Hoja 1'!$C$736</f>
        <v>631600</v>
      </c>
      <c r="D80" s="272"/>
      <c r="E80" s="118"/>
      <c r="F80" s="25">
        <f>'[10]Hoja 1'!$C$672</f>
        <v>631600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263105640</v>
      </c>
      <c r="AN80" s="43"/>
      <c r="AO80" s="309"/>
      <c r="AQ80" s="758"/>
      <c r="AR80" s="758"/>
    </row>
    <row r="81" spans="1:41" ht="15" customHeight="1" thickBot="1" x14ac:dyDescent="0.25">
      <c r="B81" s="98" t="s">
        <v>50</v>
      </c>
      <c r="C81" s="71"/>
      <c r="D81" s="799"/>
      <c r="E81" s="342"/>
      <c r="F81" s="71"/>
      <c r="G81" s="72"/>
      <c r="H81" s="342"/>
      <c r="I81" s="71">
        <v>241842440</v>
      </c>
      <c r="J81" s="72"/>
      <c r="K81" s="342"/>
      <c r="L81" s="71"/>
      <c r="M81" s="72"/>
      <c r="N81" s="342"/>
      <c r="O81" s="71">
        <v>20000000</v>
      </c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261842440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51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10882909800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900000000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11789369352</v>
      </c>
      <c r="AN83" s="491"/>
      <c r="AO83" s="582"/>
    </row>
    <row r="84" spans="1:41" ht="15" customHeight="1" x14ac:dyDescent="0.2">
      <c r="B84" s="16" t="s">
        <v>52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725527320</v>
      </c>
      <c r="J84" s="3"/>
      <c r="K84" s="150"/>
      <c r="L84" s="49">
        <f>SUM(L85:L87)</f>
        <v>0</v>
      </c>
      <c r="M84" s="3"/>
      <c r="N84" s="150"/>
      <c r="O84" s="49">
        <f>SUM(O85:O87)</f>
        <v>60000000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785527320</v>
      </c>
      <c r="AN84" s="3"/>
      <c r="AO84" s="321"/>
    </row>
    <row r="85" spans="1:41" ht="15" customHeight="1" x14ac:dyDescent="0.3">
      <c r="B85" s="39" t="s">
        <v>53</v>
      </c>
      <c r="C85" s="39"/>
      <c r="D85" s="69"/>
      <c r="E85" s="306"/>
      <c r="F85" s="353"/>
      <c r="G85" s="69"/>
      <c r="H85" s="306"/>
      <c r="I85" s="353">
        <v>241842440</v>
      </c>
      <c r="J85" s="69"/>
      <c r="K85" s="306"/>
      <c r="L85" s="39"/>
      <c r="M85" s="69"/>
      <c r="N85" s="306"/>
      <c r="O85" s="39">
        <v>20000000</v>
      </c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261842440</v>
      </c>
      <c r="AN85" s="69"/>
      <c r="AO85" s="324"/>
    </row>
    <row r="86" spans="1:41" ht="15" customHeight="1" x14ac:dyDescent="0.2">
      <c r="B86" s="25" t="s">
        <v>54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261842440</v>
      </c>
      <c r="AN86" s="43"/>
      <c r="AO86" s="309"/>
    </row>
    <row r="87" spans="1:41" ht="15" customHeight="1" x14ac:dyDescent="0.2">
      <c r="B87" s="97" t="s">
        <v>55</v>
      </c>
      <c r="C87" s="22"/>
      <c r="D87" s="42"/>
      <c r="E87" s="140"/>
      <c r="F87" s="273"/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261842440</v>
      </c>
      <c r="AN87" s="42"/>
      <c r="AO87" s="315"/>
    </row>
    <row r="88" spans="1:41" ht="15" customHeight="1" x14ac:dyDescent="0.2">
      <c r="B88" s="16" t="s">
        <v>56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483684880</v>
      </c>
      <c r="J88" s="3"/>
      <c r="K88" s="150"/>
      <c r="L88" s="49">
        <f>SUM(L89:L90)</f>
        <v>0</v>
      </c>
      <c r="M88" s="3"/>
      <c r="N88" s="150"/>
      <c r="O88" s="49">
        <f>SUM(O89:O90)</f>
        <v>40000000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523684880</v>
      </c>
      <c r="AN88" s="3"/>
      <c r="AO88" s="321"/>
    </row>
    <row r="89" spans="1:41" ht="15" customHeight="1" outlineLevel="1" x14ac:dyDescent="0.2">
      <c r="B89" s="39" t="s">
        <v>57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/>
      <c r="M89" s="69"/>
      <c r="N89" s="306"/>
      <c r="O89" s="39">
        <v>20000000</v>
      </c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261842440</v>
      </c>
      <c r="AN89" s="69"/>
      <c r="AO89" s="324"/>
    </row>
    <row r="90" spans="1:41" ht="15" customHeight="1" outlineLevel="1" x14ac:dyDescent="0.2">
      <c r="B90" s="83" t="s">
        <v>58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/>
      <c r="M90" s="84"/>
      <c r="N90" s="336"/>
      <c r="O90" s="83">
        <v>20000000</v>
      </c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261842440</v>
      </c>
      <c r="AN90" s="84"/>
      <c r="AO90" s="310"/>
    </row>
    <row r="91" spans="1:41" ht="15" customHeight="1" x14ac:dyDescent="0.2">
      <c r="B91" s="16" t="s">
        <v>59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725527320</v>
      </c>
      <c r="J91" s="3"/>
      <c r="K91" s="150"/>
      <c r="L91" s="49">
        <f>SUM(L92:L94)</f>
        <v>0</v>
      </c>
      <c r="M91" s="3"/>
      <c r="N91" s="150"/>
      <c r="O91" s="49">
        <f>SUM(O92:O94)</f>
        <v>60000000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787756422</v>
      </c>
      <c r="AN91" s="3"/>
      <c r="AO91" s="321"/>
    </row>
    <row r="92" spans="1:41" ht="15" customHeight="1" outlineLevel="1" x14ac:dyDescent="0.2">
      <c r="B92" s="39" t="s">
        <v>60</v>
      </c>
      <c r="C92" s="39">
        <f>'[9]Hoja 1'!$C$708</f>
        <v>2229102</v>
      </c>
      <c r="D92" s="69"/>
      <c r="E92" s="306"/>
      <c r="F92" s="39"/>
      <c r="G92" s="69"/>
      <c r="H92" s="306"/>
      <c r="I92" s="39">
        <v>241842440</v>
      </c>
      <c r="J92" s="69"/>
      <c r="K92" s="306"/>
      <c r="L92" s="39"/>
      <c r="M92" s="69"/>
      <c r="N92" s="306"/>
      <c r="O92" s="39">
        <v>20000000</v>
      </c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264071542</v>
      </c>
      <c r="AN92" s="69"/>
      <c r="AO92" s="324"/>
    </row>
    <row r="93" spans="1:41" ht="15" customHeight="1" outlineLevel="1" x14ac:dyDescent="0.2">
      <c r="B93" s="25" t="s">
        <v>61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/>
      <c r="M93" s="43"/>
      <c r="N93" s="118"/>
      <c r="O93" s="25">
        <v>20000000</v>
      </c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261842440</v>
      </c>
      <c r="AN93" s="43"/>
      <c r="AO93" s="309"/>
    </row>
    <row r="94" spans="1:41" ht="15" customHeight="1" outlineLevel="1" x14ac:dyDescent="0.2">
      <c r="B94" s="28" t="s">
        <v>62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/>
      <c r="M94" s="45"/>
      <c r="N94" s="117"/>
      <c r="O94" s="28">
        <v>20000000</v>
      </c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261842440</v>
      </c>
      <c r="AN94" s="45"/>
      <c r="AO94" s="325"/>
    </row>
    <row r="95" spans="1:41" ht="15" hidden="1" customHeight="1" x14ac:dyDescent="0.2">
      <c r="B95" s="106" t="s">
        <v>63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483684880</v>
      </c>
      <c r="J95" s="3"/>
      <c r="K95" s="150"/>
      <c r="L95" s="49">
        <f>SUM(L96:L97)</f>
        <v>0</v>
      </c>
      <c r="M95" s="3"/>
      <c r="N95" s="150"/>
      <c r="O95" s="49">
        <f>SUM(O96:O97)</f>
        <v>40000000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523684880</v>
      </c>
      <c r="AN95" s="3"/>
      <c r="AO95" s="321"/>
    </row>
    <row r="96" spans="1:41" s="108" customFormat="1" ht="15" hidden="1" customHeight="1" outlineLevel="1" x14ac:dyDescent="0.3">
      <c r="A96" s="229" t="s">
        <v>64</v>
      </c>
      <c r="B96" s="39" t="s">
        <v>65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53"/>
      <c r="M96" s="69"/>
      <c r="N96" s="306"/>
      <c r="O96" s="39">
        <v>20000000</v>
      </c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261842440</v>
      </c>
      <c r="AN96" s="69"/>
      <c r="AO96" s="324"/>
    </row>
    <row r="97" spans="1:41" s="108" customFormat="1" ht="15" hidden="1" customHeight="1" outlineLevel="1" x14ac:dyDescent="0.2">
      <c r="A97" s="229" t="s">
        <v>66</v>
      </c>
      <c r="B97" s="275" t="s">
        <v>67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/>
      <c r="M97" s="276"/>
      <c r="N97" s="341"/>
      <c r="O97" s="275">
        <v>20000000</v>
      </c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261842440</v>
      </c>
      <c r="AN97" s="276"/>
      <c r="AO97" s="326"/>
    </row>
    <row r="98" spans="1:41" ht="15" customHeight="1" collapsed="1" x14ac:dyDescent="0.2">
      <c r="B98" s="16" t="s">
        <v>68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2176581960</v>
      </c>
      <c r="J98" s="3"/>
      <c r="K98" s="150"/>
      <c r="L98" s="49">
        <f>SUM(L99:L107)</f>
        <v>0</v>
      </c>
      <c r="M98" s="3"/>
      <c r="N98" s="150"/>
      <c r="O98" s="49">
        <f>SUM(O99:O107)</f>
        <v>180000000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2356581960</v>
      </c>
      <c r="AN98" s="3"/>
      <c r="AO98" s="321"/>
    </row>
    <row r="99" spans="1:41" ht="15" customHeight="1" outlineLevel="1" x14ac:dyDescent="0.2">
      <c r="B99" s="39" t="s">
        <v>69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/>
      <c r="M99" s="69"/>
      <c r="N99" s="306"/>
      <c r="O99" s="39">
        <v>20000000</v>
      </c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261842440</v>
      </c>
      <c r="AN99" s="69"/>
      <c r="AO99" s="324"/>
    </row>
    <row r="100" spans="1:41" ht="15" customHeight="1" outlineLevel="1" x14ac:dyDescent="0.2">
      <c r="B100" s="25" t="s">
        <v>70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/>
      <c r="M100" s="43"/>
      <c r="N100" s="118"/>
      <c r="O100" s="25">
        <v>20000000</v>
      </c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261842440</v>
      </c>
      <c r="AN100" s="43"/>
      <c r="AO100" s="309"/>
    </row>
    <row r="101" spans="1:41" ht="15" customHeight="1" outlineLevel="1" x14ac:dyDescent="0.2">
      <c r="B101" s="25" t="s">
        <v>71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261842440</v>
      </c>
      <c r="AN101" s="43"/>
      <c r="AO101" s="309"/>
    </row>
    <row r="102" spans="1:41" ht="15" customHeight="1" outlineLevel="1" x14ac:dyDescent="0.2">
      <c r="B102" s="25" t="s">
        <v>72</v>
      </c>
      <c r="C102" s="281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261842440</v>
      </c>
      <c r="AN102" s="43"/>
      <c r="AO102" s="309"/>
    </row>
    <row r="103" spans="1:41" ht="15" customHeight="1" outlineLevel="1" x14ac:dyDescent="0.2">
      <c r="B103" s="25" t="s">
        <v>73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261842440</v>
      </c>
      <c r="AN103" s="43"/>
      <c r="AO103" s="309"/>
    </row>
    <row r="104" spans="1:41" ht="15" customHeight="1" outlineLevel="1" x14ac:dyDescent="0.2">
      <c r="B104" s="25" t="s">
        <v>74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261842440</v>
      </c>
      <c r="AN104" s="43"/>
      <c r="AO104" s="309"/>
    </row>
    <row r="105" spans="1:41" ht="15" customHeight="1" outlineLevel="1" x14ac:dyDescent="0.2">
      <c r="B105" s="25" t="s">
        <v>75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/>
      <c r="M105" s="43"/>
      <c r="N105" s="118"/>
      <c r="O105" s="274">
        <v>20000000</v>
      </c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261842440</v>
      </c>
      <c r="AN105" s="43"/>
      <c r="AO105" s="309"/>
    </row>
    <row r="106" spans="1:41" ht="15" customHeight="1" outlineLevel="1" x14ac:dyDescent="0.2">
      <c r="A106" s="226" t="s">
        <v>76</v>
      </c>
      <c r="B106" s="205" t="s">
        <v>77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/>
      <c r="M106" s="43"/>
      <c r="N106" s="118"/>
      <c r="O106" s="274">
        <v>20000000</v>
      </c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261842440</v>
      </c>
      <c r="AN106" s="43"/>
      <c r="AO106" s="309"/>
    </row>
    <row r="107" spans="1:41" ht="15" customHeight="1" outlineLevel="1" x14ac:dyDescent="0.2">
      <c r="B107" s="349" t="s">
        <v>43</v>
      </c>
      <c r="C107" s="22"/>
      <c r="D107" s="42"/>
      <c r="E107" s="140"/>
      <c r="F107" s="380"/>
      <c r="G107" s="42"/>
      <c r="H107" s="140"/>
      <c r="I107" s="2">
        <v>241842440</v>
      </c>
      <c r="J107" s="42"/>
      <c r="K107" s="140"/>
      <c r="L107" s="2"/>
      <c r="M107" s="42"/>
      <c r="N107" s="140"/>
      <c r="O107" s="2">
        <v>20000000</v>
      </c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261842440</v>
      </c>
      <c r="AN107" s="42"/>
      <c r="AO107" s="315"/>
    </row>
    <row r="108" spans="1:41" ht="15" customHeight="1" x14ac:dyDescent="0.2">
      <c r="B108" s="16" t="s">
        <v>78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967369760</v>
      </c>
      <c r="J108" s="3"/>
      <c r="K108" s="150"/>
      <c r="L108" s="49">
        <f>SUM(L109:L112)</f>
        <v>0</v>
      </c>
      <c r="M108" s="3"/>
      <c r="N108" s="150"/>
      <c r="O108" s="49">
        <f>SUM(O109:O112)</f>
        <v>80000000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1047369760</v>
      </c>
      <c r="AN108" s="3"/>
      <c r="AO108" s="321"/>
    </row>
    <row r="109" spans="1:41" ht="15" customHeight="1" outlineLevel="1" x14ac:dyDescent="0.2">
      <c r="A109" s="226" t="s">
        <v>79</v>
      </c>
      <c r="B109" s="39" t="s">
        <v>80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/>
      <c r="M109" s="69"/>
      <c r="N109" s="306"/>
      <c r="O109" s="39">
        <v>20000000</v>
      </c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261842440</v>
      </c>
      <c r="AN109" s="69"/>
      <c r="AO109" s="324"/>
    </row>
    <row r="110" spans="1:41" ht="15" customHeight="1" outlineLevel="1" x14ac:dyDescent="0.2">
      <c r="A110" s="226" t="s">
        <v>81</v>
      </c>
      <c r="B110" s="25" t="s">
        <v>82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/>
      <c r="M110" s="43"/>
      <c r="N110" s="118"/>
      <c r="O110" s="25">
        <v>20000000</v>
      </c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261842440</v>
      </c>
      <c r="AN110" s="43"/>
      <c r="AO110" s="309"/>
    </row>
    <row r="111" spans="1:41" ht="15" customHeight="1" outlineLevel="1" x14ac:dyDescent="0.2">
      <c r="A111" s="226" t="s">
        <v>83</v>
      </c>
      <c r="B111" s="25" t="s">
        <v>84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261842440</v>
      </c>
      <c r="AN111" s="43"/>
      <c r="AO111" s="309"/>
    </row>
    <row r="112" spans="1:41" ht="15" customHeight="1" outlineLevel="1" x14ac:dyDescent="0.2">
      <c r="A112" s="226" t="s">
        <v>85</v>
      </c>
      <c r="B112" s="28" t="s">
        <v>86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/>
      <c r="M112" s="45"/>
      <c r="N112" s="117"/>
      <c r="O112" s="28">
        <v>20000000</v>
      </c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261842440</v>
      </c>
      <c r="AN112" s="45"/>
      <c r="AO112" s="325"/>
    </row>
    <row r="113" spans="1:41" ht="15" customHeight="1" x14ac:dyDescent="0.2">
      <c r="B113" s="16" t="s">
        <v>87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1209212200</v>
      </c>
      <c r="J113" s="3"/>
      <c r="K113" s="150"/>
      <c r="L113" s="90">
        <f>SUM(L114:L118)</f>
        <v>0</v>
      </c>
      <c r="M113" s="3"/>
      <c r="N113" s="150"/>
      <c r="O113" s="90">
        <f>SUM(O114:O118)</f>
        <v>100000000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1309212200</v>
      </c>
      <c r="AN113" s="3"/>
      <c r="AO113" s="321"/>
    </row>
    <row r="114" spans="1:41" ht="15" customHeight="1" outlineLevel="1" x14ac:dyDescent="0.2">
      <c r="A114" s="226" t="s">
        <v>88</v>
      </c>
      <c r="B114" s="39" t="s">
        <v>89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/>
      <c r="M114" s="69"/>
      <c r="N114" s="306"/>
      <c r="O114" s="39">
        <v>20000000</v>
      </c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261842440</v>
      </c>
      <c r="AN114" s="69"/>
      <c r="AO114" s="324"/>
    </row>
    <row r="115" spans="1:41" ht="15" customHeight="1" outlineLevel="1" x14ac:dyDescent="0.2">
      <c r="A115" s="226" t="s">
        <v>90</v>
      </c>
      <c r="B115" s="25" t="s">
        <v>91</v>
      </c>
      <c r="C115" s="25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/>
      <c r="M115" s="43"/>
      <c r="N115" s="118"/>
      <c r="O115" s="25">
        <v>20000000</v>
      </c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261842440</v>
      </c>
      <c r="AN115" s="43"/>
      <c r="AO115" s="309"/>
    </row>
    <row r="116" spans="1:41" ht="15" customHeight="1" outlineLevel="1" x14ac:dyDescent="0.2">
      <c r="A116" s="226" t="s">
        <v>92</v>
      </c>
      <c r="B116" s="205" t="s">
        <v>93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261842440</v>
      </c>
      <c r="AN116" s="43"/>
      <c r="AO116" s="309"/>
    </row>
    <row r="117" spans="1:41" ht="15" customHeight="1" outlineLevel="1" x14ac:dyDescent="0.2">
      <c r="A117" s="226" t="s">
        <v>94</v>
      </c>
      <c r="B117" s="205" t="s">
        <v>95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261842440</v>
      </c>
      <c r="AN117" s="43"/>
      <c r="AO117" s="309"/>
    </row>
    <row r="118" spans="1:41" ht="15" customHeight="1" outlineLevel="1" x14ac:dyDescent="0.2">
      <c r="A118" s="226" t="s">
        <v>96</v>
      </c>
      <c r="B118" s="97" t="s">
        <v>97</v>
      </c>
      <c r="C118" s="28"/>
      <c r="D118" s="42"/>
      <c r="E118" s="140"/>
      <c r="F118" s="22"/>
      <c r="G118" s="42"/>
      <c r="H118" s="140"/>
      <c r="I118" s="22">
        <v>241842440</v>
      </c>
      <c r="J118" s="42"/>
      <c r="K118" s="140"/>
      <c r="L118" s="22"/>
      <c r="M118" s="42"/>
      <c r="N118" s="140"/>
      <c r="O118" s="22">
        <v>20000000</v>
      </c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261842440</v>
      </c>
      <c r="AN118" s="42"/>
      <c r="AO118" s="315"/>
    </row>
    <row r="119" spans="1:41" ht="15" customHeight="1" x14ac:dyDescent="0.2">
      <c r="B119" s="16" t="s">
        <v>98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241842440</v>
      </c>
      <c r="J119" s="3"/>
      <c r="K119" s="150"/>
      <c r="L119" s="49">
        <f>SUM(L120)</f>
        <v>0</v>
      </c>
      <c r="M119" s="3"/>
      <c r="N119" s="150"/>
      <c r="O119" s="49">
        <f>SUM(O120)</f>
        <v>20000000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261842440</v>
      </c>
      <c r="AN119" s="3"/>
      <c r="AO119" s="321"/>
    </row>
    <row r="120" spans="1:41" ht="15" customHeight="1" x14ac:dyDescent="0.2">
      <c r="A120" s="226" t="s">
        <v>99</v>
      </c>
      <c r="B120" s="39" t="s">
        <v>100</v>
      </c>
      <c r="C120" s="39"/>
      <c r="D120" s="69"/>
      <c r="E120" s="306"/>
      <c r="F120" s="39"/>
      <c r="G120" s="69"/>
      <c r="H120" s="306"/>
      <c r="I120" s="39">
        <v>241842440</v>
      </c>
      <c r="J120" s="69"/>
      <c r="K120" s="306"/>
      <c r="L120" s="39"/>
      <c r="M120" s="69"/>
      <c r="N120" s="306"/>
      <c r="O120" s="39">
        <v>20000000</v>
      </c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261842440</v>
      </c>
      <c r="AN120" s="69"/>
      <c r="AO120" s="324"/>
    </row>
    <row r="121" spans="1:41" ht="15" customHeight="1" thickBot="1" x14ac:dyDescent="0.25">
      <c r="A121" s="226" t="s">
        <v>101</v>
      </c>
      <c r="B121" s="301" t="s">
        <v>102</v>
      </c>
      <c r="C121" s="71"/>
      <c r="D121" s="72"/>
      <c r="E121" s="342"/>
      <c r="F121" s="71"/>
      <c r="G121" s="72"/>
      <c r="H121" s="342"/>
      <c r="I121" s="71">
        <v>241842440</v>
      </c>
      <c r="J121" s="72"/>
      <c r="K121" s="342"/>
      <c r="L121" s="71"/>
      <c r="M121" s="72"/>
      <c r="N121" s="342"/>
      <c r="O121" s="71">
        <v>20000000</v>
      </c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261842440</v>
      </c>
      <c r="AN121" s="72"/>
      <c r="AO121" s="331"/>
    </row>
    <row r="122" spans="1:41" ht="15" customHeight="1" thickTop="1" x14ac:dyDescent="0.2">
      <c r="B122" s="381" t="s">
        <v>103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725527320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60000000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785527320</v>
      </c>
      <c r="AN122" s="383"/>
      <c r="AO122" s="387"/>
    </row>
    <row r="123" spans="1:41" ht="15" customHeight="1" outlineLevel="1" x14ac:dyDescent="0.2">
      <c r="A123" s="226" t="s">
        <v>104</v>
      </c>
      <c r="B123" s="39" t="s">
        <v>105</v>
      </c>
      <c r="C123" s="39"/>
      <c r="D123" s="69"/>
      <c r="E123" s="306"/>
      <c r="F123" s="39"/>
      <c r="G123" s="69"/>
      <c r="H123" s="306"/>
      <c r="I123" s="39">
        <v>241842440</v>
      </c>
      <c r="J123" s="69"/>
      <c r="K123" s="306"/>
      <c r="L123" s="39"/>
      <c r="M123" s="69"/>
      <c r="N123" s="306"/>
      <c r="O123" s="39">
        <v>20000000</v>
      </c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261842440</v>
      </c>
      <c r="AN123" s="69"/>
      <c r="AO123" s="324"/>
    </row>
    <row r="124" spans="1:41" ht="15" customHeight="1" outlineLevel="1" x14ac:dyDescent="0.2">
      <c r="A124" s="226" t="s">
        <v>106</v>
      </c>
      <c r="B124" s="25" t="s">
        <v>107</v>
      </c>
      <c r="C124" s="25"/>
      <c r="D124" s="43"/>
      <c r="E124" s="118"/>
      <c r="F124" s="25"/>
      <c r="G124" s="43"/>
      <c r="H124" s="118"/>
      <c r="I124" s="25">
        <v>241842440</v>
      </c>
      <c r="J124" s="43"/>
      <c r="K124" s="118"/>
      <c r="L124" s="25"/>
      <c r="M124" s="43"/>
      <c r="N124" s="118"/>
      <c r="O124" s="25">
        <v>20000000</v>
      </c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261842440</v>
      </c>
      <c r="AN124" s="43"/>
      <c r="AO124" s="309"/>
    </row>
    <row r="125" spans="1:41" ht="15" customHeight="1" outlineLevel="1" x14ac:dyDescent="0.2">
      <c r="A125" s="226" t="s">
        <v>108</v>
      </c>
      <c r="B125" s="28" t="s">
        <v>109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/>
      <c r="M125" s="45"/>
      <c r="N125" s="117"/>
      <c r="O125" s="28">
        <v>20000000</v>
      </c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261842440</v>
      </c>
      <c r="AN125" s="45"/>
      <c r="AO125" s="325"/>
    </row>
    <row r="126" spans="1:41" ht="15" customHeight="1" x14ac:dyDescent="0.2">
      <c r="B126" s="16" t="s">
        <v>110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3143951720</v>
      </c>
      <c r="J126" s="3"/>
      <c r="K126" s="150"/>
      <c r="L126" s="49">
        <f>SUM(L127:L139)</f>
        <v>0</v>
      </c>
      <c r="M126" s="3"/>
      <c r="N126" s="150"/>
      <c r="O126" s="49">
        <f>SUM(O127:O139)</f>
        <v>260000000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3408182170</v>
      </c>
      <c r="AN126" s="3"/>
      <c r="AO126" s="321"/>
    </row>
    <row r="127" spans="1:41" ht="15" customHeight="1" outlineLevel="1" x14ac:dyDescent="0.2">
      <c r="A127" s="226" t="s">
        <v>111</v>
      </c>
      <c r="B127" s="39" t="s">
        <v>112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/>
      <c r="M127" s="69"/>
      <c r="N127" s="306"/>
      <c r="O127" s="39">
        <v>20000000</v>
      </c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261842440</v>
      </c>
      <c r="AN127" s="42"/>
      <c r="AO127" s="328"/>
    </row>
    <row r="128" spans="1:41" ht="15" customHeight="1" outlineLevel="1" x14ac:dyDescent="0.2">
      <c r="A128" s="226" t="s">
        <v>113</v>
      </c>
      <c r="B128" s="25" t="s">
        <v>114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/>
      <c r="M128" s="43"/>
      <c r="N128" s="118"/>
      <c r="O128" s="25">
        <v>20000000</v>
      </c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115</v>
      </c>
      <c r="B129" s="25" t="s">
        <v>116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261842440</v>
      </c>
      <c r="AN129" s="43"/>
      <c r="AO129" s="329"/>
    </row>
    <row r="130" spans="1:44" ht="15" customHeight="1" outlineLevel="1" x14ac:dyDescent="0.2">
      <c r="A130" s="226" t="s">
        <v>117</v>
      </c>
      <c r="B130" s="25" t="s">
        <v>118</v>
      </c>
      <c r="C130" s="25"/>
      <c r="D130" s="43"/>
      <c r="E130" s="118"/>
      <c r="F130" s="25">
        <f>'[10]Hoja 1'!$C$677</f>
        <v>142800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261985240</v>
      </c>
      <c r="AN130" s="43"/>
      <c r="AO130" s="329"/>
      <c r="AP130" s="367"/>
    </row>
    <row r="131" spans="1:44" ht="15" customHeight="1" outlineLevel="1" x14ac:dyDescent="0.2">
      <c r="A131" s="226" t="s">
        <v>119</v>
      </c>
      <c r="B131" s="25" t="s">
        <v>120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261842440</v>
      </c>
      <c r="AN131" s="43"/>
      <c r="AO131" s="309"/>
      <c r="AP131" s="367"/>
    </row>
    <row r="132" spans="1:44" ht="15" customHeight="1" outlineLevel="1" x14ac:dyDescent="0.2">
      <c r="A132" s="226" t="s">
        <v>121</v>
      </c>
      <c r="B132" s="25" t="s">
        <v>122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261842440</v>
      </c>
      <c r="AN132" s="43"/>
      <c r="AO132" s="309"/>
    </row>
    <row r="133" spans="1:44" ht="15" customHeight="1" outlineLevel="1" x14ac:dyDescent="0.2">
      <c r="A133" s="226" t="s">
        <v>123</v>
      </c>
      <c r="B133" s="25" t="s">
        <v>124</v>
      </c>
      <c r="C133" s="25"/>
      <c r="D133" s="43"/>
      <c r="E133" s="118"/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261842440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125</v>
      </c>
      <c r="B134" s="25" t="s">
        <v>126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261842440</v>
      </c>
      <c r="AN134" s="43"/>
      <c r="AO134" s="309"/>
    </row>
    <row r="135" spans="1:44" ht="15" customHeight="1" outlineLevel="1" x14ac:dyDescent="0.2">
      <c r="A135" s="226" t="s">
        <v>127</v>
      </c>
      <c r="B135" s="25" t="s">
        <v>128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261842440</v>
      </c>
      <c r="AN135" s="43"/>
      <c r="AO135" s="309"/>
    </row>
    <row r="136" spans="1:44" ht="15" customHeight="1" outlineLevel="1" x14ac:dyDescent="0.2">
      <c r="A136" s="226" t="s">
        <v>129</v>
      </c>
      <c r="B136" s="25" t="s">
        <v>130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261842440</v>
      </c>
      <c r="AN136" s="43"/>
      <c r="AO136" s="309"/>
    </row>
    <row r="137" spans="1:44" ht="15" customHeight="1" outlineLevel="1" x14ac:dyDescent="0.2">
      <c r="B137" s="25" t="s">
        <v>131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948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261842440</v>
      </c>
      <c r="AN137" s="43"/>
      <c r="AO137" s="309"/>
    </row>
    <row r="138" spans="1:44" ht="15" customHeight="1" outlineLevel="1" x14ac:dyDescent="0.2">
      <c r="B138" s="25" t="s">
        <v>132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261842440</v>
      </c>
      <c r="AN138" s="43"/>
      <c r="AO138" s="309"/>
    </row>
    <row r="139" spans="1:44" ht="15" customHeight="1" outlineLevel="1" thickBot="1" x14ac:dyDescent="0.25">
      <c r="A139" s="226" t="s">
        <v>133</v>
      </c>
      <c r="B139" s="269" t="s">
        <v>134</v>
      </c>
      <c r="C139" s="269">
        <f>'[9]Hoja 1'!$C$741</f>
        <v>4087650</v>
      </c>
      <c r="D139" s="214"/>
      <c r="E139" s="307"/>
      <c r="F139" s="269"/>
      <c r="G139" s="214"/>
      <c r="H139" s="307"/>
      <c r="I139" s="269">
        <v>241842440</v>
      </c>
      <c r="J139" s="214"/>
      <c r="K139" s="307"/>
      <c r="L139" s="269"/>
      <c r="M139" s="214"/>
      <c r="N139" s="307"/>
      <c r="O139" s="269">
        <v>20000000</v>
      </c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265930090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135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13785019080</v>
      </c>
      <c r="J141" s="494"/>
      <c r="K141" s="495"/>
      <c r="L141" s="493">
        <f>L44+L83</f>
        <v>0</v>
      </c>
      <c r="M141" s="494"/>
      <c r="N141" s="495"/>
      <c r="O141" s="493">
        <f>O44+O83</f>
        <v>1140000000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14938716413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>
        <f>IFERROR(I141/I13," ")</f>
        <v>8.1428571428571423</v>
      </c>
      <c r="J142" s="488"/>
      <c r="K142" s="489"/>
      <c r="L142" s="496" t="str">
        <f>IFERROR(L141/L13," ")</f>
        <v xml:space="preserve"> </v>
      </c>
      <c r="M142" s="488"/>
      <c r="N142" s="489"/>
      <c r="O142" s="496">
        <f>IFERROR(O141/O13," ")</f>
        <v>8.1428571428571423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>
        <f>IFERROR(AM141/AM13," ")</f>
        <v>8.150330193662592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13785019080</v>
      </c>
      <c r="L145" s="611">
        <f>L141</f>
        <v>0</v>
      </c>
      <c r="O145" s="611">
        <f>O141</f>
        <v>1140000000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'[9]Hoja 1'!$C$702-'[9]Hoja 1'!$C$738</f>
        <v>15474654</v>
      </c>
      <c r="F146" s="611">
        <f>'[10]Hoja 1'!$C$642-'[10]Hoja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13763728608</v>
      </c>
      <c r="L147" s="235">
        <f>L145-L146</f>
        <v>-11834112.800000001</v>
      </c>
      <c r="O147" s="235">
        <f>O145-O146</f>
        <v>1097795798.7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COMEDORES PALMIRA</vt:lpstr>
      <vt:lpstr>CTAS EN PPACION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2026-03-31T15:36:07Z</dcterms:modified>
</cp:coreProperties>
</file>