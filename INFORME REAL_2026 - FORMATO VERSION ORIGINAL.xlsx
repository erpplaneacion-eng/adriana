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C0DCA77D-8E3D-4464-8448-721C76A906E1}" xr6:coauthVersionLast="47" xr6:coauthVersionMax="47" xr10:uidLastSave="{00000000-0000-0000-0000-000000000000}"/>
  <bookViews>
    <workbookView xWindow="-108" yWindow="-108" windowWidth="23256" windowHeight="12456" tabRatio="866" firstSheet="3" activeTab="8" xr2:uid="{00000000-000D-0000-FFFF-FFFF00000000}"/>
  </bookViews>
  <sheets>
    <sheet name="%DIST" sheetId="1" r:id="rId1"/>
    <sheet name="GASTOS ADMINISTRATIVOS" sheetId="2" r:id="rId2"/>
    <sheet name="GASTOS OPERATIVOS" sheetId="3" r:id="rId3"/>
    <sheet name="GASTOS VEHICULOS" sheetId="4" r:id="rId4"/>
    <sheet name="CASINO" sheetId="5" r:id="rId5"/>
    <sheet name="HUNGRIA" sheetId="6" state="hidden" r:id="rId6"/>
    <sheet name="CALI" sheetId="7" r:id="rId7"/>
    <sheet name="YUMBO" sheetId="8" r:id="rId8"/>
    <sheet name="BUGA" sheetId="9" r:id="rId9"/>
    <sheet name="IMDERTY" sheetId="10" state="hidden" r:id="rId10"/>
    <sheet name="COMEDORES CALI" sheetId="11" r:id="rId11"/>
    <sheet name="CTAS EN PPACION" sheetId="12" r:id="rId12"/>
    <sheet name="COMEDORES PALMIRA" sheetId="13" r:id="rId13"/>
    <sheet name="COMEDORES VALLE" sheetId="14" state="hidden" r:id="rId14"/>
    <sheet name="ADULTO MAYOR" sheetId="15" state="hidden" r:id="rId15"/>
    <sheet name="PYG TOTAL" sheetId="16" r:id="rId16"/>
    <sheet name="RECREARTE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AUMENTO" localSheetId="12">'GASTOS ADMINISTRATIVOS'!#REF!</definedName>
    <definedName name="AUMENTO" localSheetId="9">'GASTOS ADMINISTRATIVOS'!#REF!</definedName>
    <definedName name="AUMENTO">'GASTOS ADMINISTRATIVOS'!#REF!</definedName>
    <definedName name="FACT" localSheetId="12">'COMEDORES VALLE'!#REF!</definedName>
    <definedName name="FACT" localSheetId="9">'COMEDORES VALLE'!#REF!</definedName>
    <definedName name="FACT">'COMEDORES VALLE'!#REF!</definedName>
    <definedName name="INCREMENTO" localSheetId="12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6" i="17" l="1"/>
  <c r="C146" i="17"/>
  <c r="AM139" i="17"/>
  <c r="C139" i="17"/>
  <c r="C126" i="17" s="1"/>
  <c r="AM138" i="17"/>
  <c r="AM137" i="17"/>
  <c r="AM136" i="17"/>
  <c r="AM135" i="17"/>
  <c r="AM134" i="17"/>
  <c r="AM133" i="17"/>
  <c r="AM132" i="17"/>
  <c r="AM131" i="17"/>
  <c r="AM130" i="17"/>
  <c r="F130" i="17"/>
  <c r="AM129" i="17"/>
  <c r="AM127" i="17"/>
  <c r="AJ126" i="17"/>
  <c r="AG126" i="17"/>
  <c r="AD126" i="17"/>
  <c r="AA126" i="17"/>
  <c r="X126" i="17"/>
  <c r="U126" i="17"/>
  <c r="R126" i="17"/>
  <c r="O126" i="17"/>
  <c r="L126" i="17"/>
  <c r="I126" i="17"/>
  <c r="F126" i="17"/>
  <c r="AM125" i="17"/>
  <c r="AM124" i="17"/>
  <c r="AM123" i="17"/>
  <c r="AJ122" i="17"/>
  <c r="AG122" i="17"/>
  <c r="AA122" i="17"/>
  <c r="X122" i="17"/>
  <c r="U122" i="17"/>
  <c r="R122" i="17"/>
  <c r="R83" i="17" s="1"/>
  <c r="O122" i="17"/>
  <c r="AM122" i="17" s="1"/>
  <c r="L122" i="17"/>
  <c r="I122" i="17"/>
  <c r="F122" i="17"/>
  <c r="C122" i="17"/>
  <c r="AM121" i="17"/>
  <c r="AM120" i="17"/>
  <c r="AJ119" i="17"/>
  <c r="AG119" i="17"/>
  <c r="AD119" i="17"/>
  <c r="AA119" i="17"/>
  <c r="X119" i="17"/>
  <c r="U119" i="17"/>
  <c r="R119" i="17"/>
  <c r="O119" i="17"/>
  <c r="L119" i="17"/>
  <c r="I119" i="17"/>
  <c r="F119" i="17"/>
  <c r="C119" i="17"/>
  <c r="AM118" i="17"/>
  <c r="AM117" i="17"/>
  <c r="AM116" i="17"/>
  <c r="AM115" i="17"/>
  <c r="AM114" i="17"/>
  <c r="AJ113" i="17"/>
  <c r="AG113" i="17"/>
  <c r="AD113" i="17"/>
  <c r="AA113" i="17"/>
  <c r="X113" i="17"/>
  <c r="U113" i="17"/>
  <c r="U83" i="17" s="1"/>
  <c r="R113" i="17"/>
  <c r="O113" i="17"/>
  <c r="L113" i="17"/>
  <c r="I113" i="17"/>
  <c r="F113" i="17"/>
  <c r="AM113" i="17" s="1"/>
  <c r="C113" i="17"/>
  <c r="AM112" i="17"/>
  <c r="AM111" i="17"/>
  <c r="AM110" i="17"/>
  <c r="AM109" i="17"/>
  <c r="AJ108" i="17"/>
  <c r="AG108" i="17"/>
  <c r="AD108" i="17"/>
  <c r="AA108" i="17"/>
  <c r="X108" i="17"/>
  <c r="U108" i="17"/>
  <c r="R108" i="17"/>
  <c r="O108" i="17"/>
  <c r="L108" i="17"/>
  <c r="I108" i="17"/>
  <c r="F108" i="17"/>
  <c r="C108" i="17"/>
  <c r="AM107" i="17"/>
  <c r="AM106" i="17"/>
  <c r="AM105" i="17"/>
  <c r="AM104" i="17"/>
  <c r="AM103" i="17"/>
  <c r="AM102" i="17"/>
  <c r="AM101" i="17"/>
  <c r="AM100" i="17"/>
  <c r="AM99" i="17"/>
  <c r="AJ98" i="17"/>
  <c r="AG98" i="17"/>
  <c r="AD98" i="17"/>
  <c r="AA98" i="17"/>
  <c r="X98" i="17"/>
  <c r="U98" i="17"/>
  <c r="R98" i="17"/>
  <c r="O98" i="17"/>
  <c r="L98" i="17"/>
  <c r="I98" i="17"/>
  <c r="F98" i="17"/>
  <c r="C98" i="17"/>
  <c r="AM97" i="17"/>
  <c r="AM96" i="17"/>
  <c r="AJ95" i="17"/>
  <c r="AG95" i="17"/>
  <c r="AD95" i="17"/>
  <c r="AA95" i="17"/>
  <c r="X95" i="17"/>
  <c r="U95" i="17"/>
  <c r="R95" i="17"/>
  <c r="O95" i="17"/>
  <c r="L95" i="17"/>
  <c r="I95" i="17"/>
  <c r="F95" i="17"/>
  <c r="C95" i="17"/>
  <c r="AM95" i="17" s="1"/>
  <c r="AM94" i="17"/>
  <c r="AM93" i="17"/>
  <c r="C92" i="17"/>
  <c r="AM92" i="17" s="1"/>
  <c r="AJ91" i="17"/>
  <c r="AG91" i="17"/>
  <c r="AD91" i="17"/>
  <c r="AA91" i="17"/>
  <c r="X91" i="17"/>
  <c r="U91" i="17"/>
  <c r="R91" i="17"/>
  <c r="O91" i="17"/>
  <c r="L91" i="17"/>
  <c r="I91" i="17"/>
  <c r="F91" i="17"/>
  <c r="AM90" i="17"/>
  <c r="AM89" i="17"/>
  <c r="AJ88" i="17"/>
  <c r="AG88" i="17"/>
  <c r="AD88" i="17"/>
  <c r="AA88" i="17"/>
  <c r="X88" i="17"/>
  <c r="U88" i="17"/>
  <c r="R88" i="17"/>
  <c r="O88" i="17"/>
  <c r="L88" i="17"/>
  <c r="I88" i="17"/>
  <c r="F88" i="17"/>
  <c r="C88" i="17"/>
  <c r="AM87" i="17"/>
  <c r="AM86" i="17"/>
  <c r="AM85" i="17"/>
  <c r="AJ84" i="17"/>
  <c r="AG84" i="17"/>
  <c r="AD84" i="17"/>
  <c r="AA84" i="17"/>
  <c r="X84" i="17"/>
  <c r="U84" i="17"/>
  <c r="R84" i="17"/>
  <c r="O84" i="17"/>
  <c r="L84" i="17"/>
  <c r="I84" i="17"/>
  <c r="I83" i="17" s="1"/>
  <c r="F84" i="17"/>
  <c r="C84" i="17"/>
  <c r="AM84" i="17" s="1"/>
  <c r="AM81" i="17"/>
  <c r="F80" i="17"/>
  <c r="C80" i="17"/>
  <c r="AM80" i="17" s="1"/>
  <c r="F79" i="17"/>
  <c r="C79" i="17"/>
  <c r="AM79" i="17" s="1"/>
  <c r="AJ78" i="17"/>
  <c r="AJ44" i="17" s="1"/>
  <c r="AG78" i="17"/>
  <c r="AD78" i="17"/>
  <c r="AA78" i="17"/>
  <c r="X78" i="17"/>
  <c r="U78" i="17"/>
  <c r="R78" i="17"/>
  <c r="O78" i="17"/>
  <c r="L78" i="17"/>
  <c r="I78" i="17"/>
  <c r="F78" i="17"/>
  <c r="C78" i="17"/>
  <c r="AM78" i="17" s="1"/>
  <c r="AM77" i="17"/>
  <c r="AM76" i="17"/>
  <c r="AM75" i="17"/>
  <c r="AM74" i="17"/>
  <c r="AM73" i="17"/>
  <c r="AM72" i="17"/>
  <c r="AM71" i="17"/>
  <c r="AM66" i="17"/>
  <c r="AM65" i="17"/>
  <c r="AM64" i="17"/>
  <c r="AM63" i="17"/>
  <c r="AN63" i="17" s="1"/>
  <c r="AN62" i="17"/>
  <c r="AM62" i="17"/>
  <c r="AJ61" i="17"/>
  <c r="AG61" i="17"/>
  <c r="AG60" i="17" s="1"/>
  <c r="AD61" i="17"/>
  <c r="AA61" i="17"/>
  <c r="AA60" i="17" s="1"/>
  <c r="X61" i="17"/>
  <c r="X60" i="17" s="1"/>
  <c r="U61" i="17"/>
  <c r="R61" i="17"/>
  <c r="O61" i="17"/>
  <c r="O60" i="17" s="1"/>
  <c r="L61" i="17"/>
  <c r="L60" i="17" s="1"/>
  <c r="I61" i="17"/>
  <c r="I60" i="17" s="1"/>
  <c r="F61" i="17"/>
  <c r="C61" i="17"/>
  <c r="AJ60" i="17"/>
  <c r="AD60" i="17"/>
  <c r="U60" i="17"/>
  <c r="R60" i="17"/>
  <c r="F60" i="17"/>
  <c r="C60" i="17"/>
  <c r="AJ46" i="17"/>
  <c r="AJ45" i="17" s="1"/>
  <c r="AG46" i="17"/>
  <c r="AG45" i="17" s="1"/>
  <c r="AD46" i="17"/>
  <c r="AA46" i="17"/>
  <c r="AA45" i="17" s="1"/>
  <c r="AA44" i="17" s="1"/>
  <c r="X46" i="17"/>
  <c r="U46" i="17"/>
  <c r="R46" i="17"/>
  <c r="R45" i="17" s="1"/>
  <c r="R44" i="17" s="1"/>
  <c r="R141" i="17" s="1"/>
  <c r="O46" i="17"/>
  <c r="O45" i="17" s="1"/>
  <c r="O44" i="17" s="1"/>
  <c r="L46" i="17"/>
  <c r="L45" i="17" s="1"/>
  <c r="I46" i="17"/>
  <c r="F46" i="17"/>
  <c r="F45" i="17" s="1"/>
  <c r="C46" i="17"/>
  <c r="AD45" i="17"/>
  <c r="AD44" i="17" s="1"/>
  <c r="X45" i="17"/>
  <c r="X44" i="17" s="1"/>
  <c r="U45" i="17"/>
  <c r="U44" i="17" s="1"/>
  <c r="I45" i="17"/>
  <c r="C45" i="17"/>
  <c r="AG44" i="17"/>
  <c r="AD42" i="17"/>
  <c r="AM35" i="17"/>
  <c r="AM34" i="17"/>
  <c r="AM33" i="17"/>
  <c r="AM32" i="17"/>
  <c r="AM31" i="17"/>
  <c r="AM30" i="17"/>
  <c r="AJ29" i="17"/>
  <c r="AJ28" i="17" s="1"/>
  <c r="AG29" i="17"/>
  <c r="AD29" i="17"/>
  <c r="AD28" i="17" s="1"/>
  <c r="AA29" i="17"/>
  <c r="AA28" i="17" s="1"/>
  <c r="X29" i="17"/>
  <c r="U29" i="17"/>
  <c r="R29" i="17"/>
  <c r="O29" i="17"/>
  <c r="L29" i="17"/>
  <c r="L28" i="17" s="1"/>
  <c r="I29" i="17"/>
  <c r="F29" i="17"/>
  <c r="F28" i="17" s="1"/>
  <c r="C29" i="17"/>
  <c r="AG28" i="17"/>
  <c r="X28" i="17"/>
  <c r="U28" i="17"/>
  <c r="R28" i="17"/>
  <c r="O28" i="17"/>
  <c r="AM27" i="17"/>
  <c r="AM26" i="17"/>
  <c r="AM25" i="17"/>
  <c r="AJ24" i="17"/>
  <c r="AG24" i="17"/>
  <c r="AD24" i="17"/>
  <c r="AA24" i="17"/>
  <c r="AA23" i="17" s="1"/>
  <c r="AA42" i="17" s="1"/>
  <c r="X24" i="17"/>
  <c r="X23" i="17" s="1"/>
  <c r="U24" i="17"/>
  <c r="U23" i="17" s="1"/>
  <c r="R24" i="17"/>
  <c r="O24" i="17"/>
  <c r="L24" i="17"/>
  <c r="I24" i="17"/>
  <c r="F24" i="17"/>
  <c r="F23" i="17" s="1"/>
  <c r="C24" i="17"/>
  <c r="R23" i="17"/>
  <c r="R13" i="17" s="1"/>
  <c r="O23" i="17"/>
  <c r="L23" i="17"/>
  <c r="I23" i="17"/>
  <c r="C23" i="17"/>
  <c r="AM22" i="17"/>
  <c r="AM21" i="17"/>
  <c r="AM20" i="17"/>
  <c r="AM19" i="17"/>
  <c r="AM18" i="17"/>
  <c r="AN17" i="17"/>
  <c r="AM17" i="17"/>
  <c r="AM16" i="17"/>
  <c r="AJ15" i="17"/>
  <c r="AJ14" i="17" s="1"/>
  <c r="AJ42" i="17" s="1"/>
  <c r="AI15" i="17"/>
  <c r="AG15" i="17"/>
  <c r="AF15" i="17"/>
  <c r="AD15" i="17"/>
  <c r="AD14" i="17" s="1"/>
  <c r="AD13" i="17" s="1"/>
  <c r="AC15" i="17"/>
  <c r="AA15" i="17"/>
  <c r="AA14" i="17" s="1"/>
  <c r="X15" i="17"/>
  <c r="Z15" i="17" s="1"/>
  <c r="U15" i="17"/>
  <c r="U14" i="17" s="1"/>
  <c r="R15" i="17"/>
  <c r="O15" i="17"/>
  <c r="L15" i="17"/>
  <c r="I15" i="17"/>
  <c r="I14" i="17" s="1"/>
  <c r="F15" i="17"/>
  <c r="F14" i="17" s="1"/>
  <c r="C15" i="17"/>
  <c r="AG14" i="17"/>
  <c r="R14" i="17"/>
  <c r="O14" i="17"/>
  <c r="L14" i="17"/>
  <c r="L13" i="17"/>
  <c r="N29" i="17" s="1"/>
  <c r="I13" i="17"/>
  <c r="AJ12" i="17"/>
  <c r="AG12" i="17"/>
  <c r="AD12" i="17"/>
  <c r="AA12" i="17"/>
  <c r="X12" i="17"/>
  <c r="U12" i="17"/>
  <c r="R12" i="17"/>
  <c r="O12" i="17"/>
  <c r="L12" i="17"/>
  <c r="I12" i="17"/>
  <c r="F12" i="17"/>
  <c r="C12" i="17"/>
  <c r="AM11" i="17"/>
  <c r="AM10" i="17"/>
  <c r="AM9" i="17"/>
  <c r="AM8" i="17"/>
  <c r="AM7" i="17"/>
  <c r="AM6" i="17"/>
  <c r="AM5" i="17"/>
  <c r="AM3" i="17"/>
  <c r="AM207" i="16"/>
  <c r="I203" i="16"/>
  <c r="X201" i="16"/>
  <c r="L183" i="16"/>
  <c r="N179" i="16"/>
  <c r="N178" i="16"/>
  <c r="AM167" i="16"/>
  <c r="AM166" i="16"/>
  <c r="AM165" i="16"/>
  <c r="AM164" i="16"/>
  <c r="AM163" i="16"/>
  <c r="AM162" i="16"/>
  <c r="AJ160" i="16"/>
  <c r="AG160" i="16"/>
  <c r="AD160" i="16"/>
  <c r="AA160" i="16"/>
  <c r="X160" i="16"/>
  <c r="U160" i="16"/>
  <c r="R160" i="16"/>
  <c r="O160" i="16"/>
  <c r="L160" i="16"/>
  <c r="I160" i="16"/>
  <c r="F160" i="16"/>
  <c r="C160" i="16"/>
  <c r="L159" i="16"/>
  <c r="I159" i="16"/>
  <c r="F159" i="16"/>
  <c r="C159" i="16"/>
  <c r="L158" i="16"/>
  <c r="I158" i="16"/>
  <c r="F158" i="16"/>
  <c r="C158" i="16"/>
  <c r="L157" i="16"/>
  <c r="I157" i="16"/>
  <c r="AJ154" i="16"/>
  <c r="AD154" i="16"/>
  <c r="AA154" i="16"/>
  <c r="X154" i="16"/>
  <c r="U154" i="16"/>
  <c r="R154" i="16"/>
  <c r="O154" i="16"/>
  <c r="L154" i="16"/>
  <c r="I154" i="16"/>
  <c r="F154" i="16"/>
  <c r="C154" i="16"/>
  <c r="AJ150" i="16"/>
  <c r="AG150" i="16"/>
  <c r="AD150" i="16"/>
  <c r="AA150" i="16"/>
  <c r="X150" i="16"/>
  <c r="U150" i="16"/>
  <c r="R150" i="16"/>
  <c r="O150" i="16"/>
  <c r="L150" i="16"/>
  <c r="I150" i="16"/>
  <c r="F150" i="16"/>
  <c r="C150" i="16"/>
  <c r="AJ149" i="16"/>
  <c r="AG149" i="16"/>
  <c r="AD149" i="16"/>
  <c r="AA149" i="16"/>
  <c r="X149" i="16"/>
  <c r="U149" i="16"/>
  <c r="R149" i="16"/>
  <c r="O149" i="16"/>
  <c r="L149" i="16"/>
  <c r="I149" i="16"/>
  <c r="AJ142" i="16"/>
  <c r="AG142" i="16"/>
  <c r="AD142" i="16"/>
  <c r="AA142" i="16"/>
  <c r="X142" i="16"/>
  <c r="U142" i="16"/>
  <c r="R142" i="16"/>
  <c r="O142" i="16"/>
  <c r="L142" i="16"/>
  <c r="I142" i="16"/>
  <c r="F142" i="16"/>
  <c r="C142" i="16"/>
  <c r="AJ141" i="16"/>
  <c r="AG141" i="16"/>
  <c r="AD141" i="16"/>
  <c r="AA141" i="16"/>
  <c r="X141" i="16"/>
  <c r="U141" i="16"/>
  <c r="R141" i="16"/>
  <c r="O141" i="16"/>
  <c r="L141" i="16"/>
  <c r="I141" i="16"/>
  <c r="F141" i="16"/>
  <c r="AJ140" i="16"/>
  <c r="AG140" i="16"/>
  <c r="AD140" i="16"/>
  <c r="AA140" i="16"/>
  <c r="X140" i="16"/>
  <c r="U140" i="16"/>
  <c r="R140" i="16"/>
  <c r="O140" i="16"/>
  <c r="L140" i="16"/>
  <c r="I140" i="16"/>
  <c r="C140" i="16"/>
  <c r="AJ139" i="16"/>
  <c r="AG139" i="16"/>
  <c r="AD139" i="16"/>
  <c r="AA139" i="16"/>
  <c r="X139" i="16"/>
  <c r="U139" i="16"/>
  <c r="R139" i="16"/>
  <c r="R127" i="16" s="1"/>
  <c r="O139" i="16"/>
  <c r="L139" i="16"/>
  <c r="I139" i="16"/>
  <c r="AJ138" i="16"/>
  <c r="AG138" i="16"/>
  <c r="AD138" i="16"/>
  <c r="AA138" i="16"/>
  <c r="X138" i="16"/>
  <c r="U138" i="16"/>
  <c r="R138" i="16"/>
  <c r="O138" i="16"/>
  <c r="L138" i="16"/>
  <c r="I138" i="16"/>
  <c r="F138" i="16"/>
  <c r="AJ137" i="16"/>
  <c r="AG137" i="16"/>
  <c r="AD137" i="16"/>
  <c r="AA137" i="16"/>
  <c r="X137" i="16"/>
  <c r="U137" i="16"/>
  <c r="R137" i="16"/>
  <c r="O137" i="16"/>
  <c r="L137" i="16"/>
  <c r="I137" i="16"/>
  <c r="AJ136" i="16"/>
  <c r="AG136" i="16"/>
  <c r="AD136" i="16"/>
  <c r="AA136" i="16"/>
  <c r="X136" i="16"/>
  <c r="U136" i="16"/>
  <c r="R136" i="16"/>
  <c r="O136" i="16"/>
  <c r="L136" i="16"/>
  <c r="I136" i="16"/>
  <c r="C136" i="16"/>
  <c r="AJ135" i="16"/>
  <c r="AG135" i="16"/>
  <c r="AD135" i="16"/>
  <c r="AA135" i="16"/>
  <c r="X135" i="16"/>
  <c r="U135" i="16"/>
  <c r="R135" i="16"/>
  <c r="O135" i="16"/>
  <c r="L135" i="16"/>
  <c r="I135" i="16"/>
  <c r="F135" i="16"/>
  <c r="AJ134" i="16"/>
  <c r="AG134" i="16"/>
  <c r="AD134" i="16"/>
  <c r="AA134" i="16"/>
  <c r="X134" i="16"/>
  <c r="U134" i="16"/>
  <c r="R134" i="16"/>
  <c r="O134" i="16"/>
  <c r="L134" i="16"/>
  <c r="I134" i="16"/>
  <c r="AJ133" i="16"/>
  <c r="AG133" i="16"/>
  <c r="AD133" i="16"/>
  <c r="AA133" i="16"/>
  <c r="X133" i="16"/>
  <c r="U133" i="16"/>
  <c r="R133" i="16"/>
  <c r="O133" i="16"/>
  <c r="L133" i="16"/>
  <c r="I133" i="16"/>
  <c r="AJ132" i="16"/>
  <c r="AG132" i="16"/>
  <c r="AD132" i="16"/>
  <c r="AA132" i="16"/>
  <c r="X132" i="16"/>
  <c r="U132" i="16"/>
  <c r="R132" i="16"/>
  <c r="O132" i="16"/>
  <c r="L132" i="16"/>
  <c r="I132" i="16"/>
  <c r="F132" i="16"/>
  <c r="C132" i="16"/>
  <c r="AM132" i="16" s="1"/>
  <c r="AJ131" i="16"/>
  <c r="AG131" i="16"/>
  <c r="AD131" i="16"/>
  <c r="AA131" i="16"/>
  <c r="X131" i="16"/>
  <c r="U131" i="16"/>
  <c r="R131" i="16"/>
  <c r="O131" i="16"/>
  <c r="L131" i="16"/>
  <c r="I131" i="16"/>
  <c r="AJ130" i="16"/>
  <c r="AG130" i="16"/>
  <c r="AD130" i="16"/>
  <c r="AA130" i="16"/>
  <c r="X130" i="16"/>
  <c r="U130" i="16"/>
  <c r="R130" i="16"/>
  <c r="O130" i="16"/>
  <c r="L130" i="16"/>
  <c r="I130" i="16"/>
  <c r="AJ129" i="16"/>
  <c r="AG129" i="16"/>
  <c r="AD129" i="16"/>
  <c r="AA129" i="16"/>
  <c r="X129" i="16"/>
  <c r="U129" i="16"/>
  <c r="R129" i="16"/>
  <c r="O129" i="16"/>
  <c r="L129" i="16"/>
  <c r="I129" i="16"/>
  <c r="C129" i="16"/>
  <c r="AJ128" i="16"/>
  <c r="AG128" i="16"/>
  <c r="AD128" i="16"/>
  <c r="AA128" i="16"/>
  <c r="X128" i="16"/>
  <c r="U128" i="16"/>
  <c r="R128" i="16"/>
  <c r="O128" i="16"/>
  <c r="L128" i="16"/>
  <c r="I128" i="16"/>
  <c r="O127" i="16"/>
  <c r="AJ126" i="16"/>
  <c r="AG126" i="16"/>
  <c r="AD126" i="16"/>
  <c r="AA126" i="16"/>
  <c r="X126" i="16"/>
  <c r="U126" i="16"/>
  <c r="R126" i="16"/>
  <c r="O126" i="16"/>
  <c r="L126" i="16"/>
  <c r="I126" i="16"/>
  <c r="F126" i="16"/>
  <c r="C126" i="16"/>
  <c r="AJ125" i="16"/>
  <c r="AG125" i="16"/>
  <c r="AD125" i="16"/>
  <c r="AA125" i="16"/>
  <c r="AA123" i="16" s="1"/>
  <c r="X125" i="16"/>
  <c r="U125" i="16"/>
  <c r="R125" i="16"/>
  <c r="O125" i="16"/>
  <c r="L125" i="16"/>
  <c r="I125" i="16"/>
  <c r="F125" i="16"/>
  <c r="F123" i="16" s="1"/>
  <c r="C125" i="16"/>
  <c r="AJ124" i="16"/>
  <c r="AG124" i="16"/>
  <c r="AG123" i="16" s="1"/>
  <c r="AD124" i="16"/>
  <c r="AD123" i="16" s="1"/>
  <c r="AA124" i="16"/>
  <c r="X124" i="16"/>
  <c r="U124" i="16"/>
  <c r="U123" i="16" s="1"/>
  <c r="R124" i="16"/>
  <c r="O124" i="16"/>
  <c r="L124" i="16"/>
  <c r="I124" i="16"/>
  <c r="I123" i="16" s="1"/>
  <c r="F124" i="16"/>
  <c r="C124" i="16"/>
  <c r="AJ123" i="16"/>
  <c r="X123" i="16"/>
  <c r="R123" i="16"/>
  <c r="O123" i="16"/>
  <c r="AJ122" i="16"/>
  <c r="AG122" i="16"/>
  <c r="AD122" i="16"/>
  <c r="AA122" i="16"/>
  <c r="AA120" i="16" s="1"/>
  <c r="X122" i="16"/>
  <c r="U122" i="16"/>
  <c r="R122" i="16"/>
  <c r="O122" i="16"/>
  <c r="L122" i="16"/>
  <c r="I122" i="16"/>
  <c r="I120" i="16" s="1"/>
  <c r="F122" i="16"/>
  <c r="C122" i="16"/>
  <c r="AJ121" i="16"/>
  <c r="AG121" i="16"/>
  <c r="AD121" i="16"/>
  <c r="AD120" i="16" s="1"/>
  <c r="AA121" i="16"/>
  <c r="X121" i="16"/>
  <c r="X120" i="16" s="1"/>
  <c r="U121" i="16"/>
  <c r="R121" i="16"/>
  <c r="O121" i="16"/>
  <c r="O120" i="16" s="1"/>
  <c r="L121" i="16"/>
  <c r="L120" i="16" s="1"/>
  <c r="I121" i="16"/>
  <c r="F121" i="16"/>
  <c r="F120" i="16" s="1"/>
  <c r="C121" i="16"/>
  <c r="AJ120" i="16"/>
  <c r="AG120" i="16"/>
  <c r="U120" i="16"/>
  <c r="R120" i="16"/>
  <c r="AJ119" i="16"/>
  <c r="AG119" i="16"/>
  <c r="AD119" i="16"/>
  <c r="AA119" i="16"/>
  <c r="X119" i="16"/>
  <c r="U119" i="16"/>
  <c r="R119" i="16"/>
  <c r="O119" i="16"/>
  <c r="L119" i="16"/>
  <c r="I119" i="16"/>
  <c r="C119" i="16"/>
  <c r="AJ118" i="16"/>
  <c r="AG118" i="16"/>
  <c r="AD118" i="16"/>
  <c r="AA118" i="16"/>
  <c r="X118" i="16"/>
  <c r="U118" i="16"/>
  <c r="R118" i="16"/>
  <c r="O118" i="16"/>
  <c r="L118" i="16"/>
  <c r="I118" i="16"/>
  <c r="F118" i="16"/>
  <c r="C118" i="16"/>
  <c r="AJ117" i="16"/>
  <c r="AG117" i="16"/>
  <c r="AD117" i="16"/>
  <c r="AA117" i="16"/>
  <c r="X117" i="16"/>
  <c r="U117" i="16"/>
  <c r="R117" i="16"/>
  <c r="O117" i="16"/>
  <c r="O114" i="16" s="1"/>
  <c r="L117" i="16"/>
  <c r="I117" i="16"/>
  <c r="AJ116" i="16"/>
  <c r="AG116" i="16"/>
  <c r="AD116" i="16"/>
  <c r="AA116" i="16"/>
  <c r="AA114" i="16" s="1"/>
  <c r="X116" i="16"/>
  <c r="U116" i="16"/>
  <c r="R116" i="16"/>
  <c r="O116" i="16"/>
  <c r="L116" i="16"/>
  <c r="I116" i="16"/>
  <c r="I114" i="16" s="1"/>
  <c r="F116" i="16"/>
  <c r="C116" i="16"/>
  <c r="AJ115" i="16"/>
  <c r="AG115" i="16"/>
  <c r="AD115" i="16"/>
  <c r="AD114" i="16" s="1"/>
  <c r="AA115" i="16"/>
  <c r="X115" i="16"/>
  <c r="U115" i="16"/>
  <c r="R115" i="16"/>
  <c r="R114" i="16" s="1"/>
  <c r="O115" i="16"/>
  <c r="L115" i="16"/>
  <c r="I115" i="16"/>
  <c r="F115" i="16"/>
  <c r="C115" i="16"/>
  <c r="AJ114" i="16"/>
  <c r="X114" i="16"/>
  <c r="U114" i="16"/>
  <c r="AJ113" i="16"/>
  <c r="AG113" i="16"/>
  <c r="AD113" i="16"/>
  <c r="AA113" i="16"/>
  <c r="X113" i="16"/>
  <c r="U113" i="16"/>
  <c r="R113" i="16"/>
  <c r="O113" i="16"/>
  <c r="L113" i="16"/>
  <c r="I113" i="16"/>
  <c r="F113" i="16"/>
  <c r="AJ112" i="16"/>
  <c r="AG112" i="16"/>
  <c r="AD112" i="16"/>
  <c r="AA112" i="16"/>
  <c r="X112" i="16"/>
  <c r="X109" i="16" s="1"/>
  <c r="U112" i="16"/>
  <c r="R112" i="16"/>
  <c r="O112" i="16"/>
  <c r="O109" i="16" s="1"/>
  <c r="L112" i="16"/>
  <c r="I112" i="16"/>
  <c r="F112" i="16"/>
  <c r="C112" i="16"/>
  <c r="AM112" i="16" s="1"/>
  <c r="AJ111" i="16"/>
  <c r="AG111" i="16"/>
  <c r="AD111" i="16"/>
  <c r="AA111" i="16"/>
  <c r="X111" i="16"/>
  <c r="U111" i="16"/>
  <c r="R111" i="16"/>
  <c r="R109" i="16" s="1"/>
  <c r="O111" i="16"/>
  <c r="L111" i="16"/>
  <c r="L109" i="16" s="1"/>
  <c r="I111" i="16"/>
  <c r="F111" i="16"/>
  <c r="C111" i="16"/>
  <c r="AJ110" i="16"/>
  <c r="AG110" i="16"/>
  <c r="AG109" i="16" s="1"/>
  <c r="AD110" i="16"/>
  <c r="AD109" i="16" s="1"/>
  <c r="AA110" i="16"/>
  <c r="X110" i="16"/>
  <c r="U110" i="16"/>
  <c r="R110" i="16"/>
  <c r="O110" i="16"/>
  <c r="L110" i="16"/>
  <c r="I110" i="16"/>
  <c r="I109" i="16" s="1"/>
  <c r="AJ109" i="16"/>
  <c r="AJ108" i="16"/>
  <c r="AG108" i="16"/>
  <c r="AD108" i="16"/>
  <c r="AA108" i="16"/>
  <c r="X108" i="16"/>
  <c r="U108" i="16"/>
  <c r="R108" i="16"/>
  <c r="O108" i="16"/>
  <c r="L108" i="16"/>
  <c r="I108" i="16"/>
  <c r="AJ107" i="16"/>
  <c r="AG107" i="16"/>
  <c r="AD107" i="16"/>
  <c r="AA107" i="16"/>
  <c r="X107" i="16"/>
  <c r="U107" i="16"/>
  <c r="R107" i="16"/>
  <c r="O107" i="16"/>
  <c r="L107" i="16"/>
  <c r="I107" i="16"/>
  <c r="AJ106" i="16"/>
  <c r="AG106" i="16"/>
  <c r="AD106" i="16"/>
  <c r="AA106" i="16"/>
  <c r="X106" i="16"/>
  <c r="U106" i="16"/>
  <c r="R106" i="16"/>
  <c r="O106" i="16"/>
  <c r="L106" i="16"/>
  <c r="I106" i="16"/>
  <c r="I99" i="16" s="1"/>
  <c r="AJ105" i="16"/>
  <c r="AG105" i="16"/>
  <c r="AD105" i="16"/>
  <c r="AA105" i="16"/>
  <c r="X105" i="16"/>
  <c r="U105" i="16"/>
  <c r="R105" i="16"/>
  <c r="O105" i="16"/>
  <c r="L105" i="16"/>
  <c r="I105" i="16"/>
  <c r="AJ104" i="16"/>
  <c r="AG104" i="16"/>
  <c r="AD104" i="16"/>
  <c r="AA104" i="16"/>
  <c r="X104" i="16"/>
  <c r="U104" i="16"/>
  <c r="R104" i="16"/>
  <c r="O104" i="16"/>
  <c r="L104" i="16"/>
  <c r="I104" i="16"/>
  <c r="AJ103" i="16"/>
  <c r="AG103" i="16"/>
  <c r="AD103" i="16"/>
  <c r="AA103" i="16"/>
  <c r="X103" i="16"/>
  <c r="U103" i="16"/>
  <c r="R103" i="16"/>
  <c r="O103" i="16"/>
  <c r="L103" i="16"/>
  <c r="I103" i="16"/>
  <c r="C103" i="16"/>
  <c r="AJ102" i="16"/>
  <c r="AG102" i="16"/>
  <c r="AD102" i="16"/>
  <c r="AA102" i="16"/>
  <c r="X102" i="16"/>
  <c r="U102" i="16"/>
  <c r="R102" i="16"/>
  <c r="O102" i="16"/>
  <c r="L102" i="16"/>
  <c r="I102" i="16"/>
  <c r="F102" i="16"/>
  <c r="C102" i="16"/>
  <c r="AJ101" i="16"/>
  <c r="AG101" i="16"/>
  <c r="AD101" i="16"/>
  <c r="AA101" i="16"/>
  <c r="X101" i="16"/>
  <c r="U101" i="16"/>
  <c r="R101" i="16"/>
  <c r="O101" i="16"/>
  <c r="L101" i="16"/>
  <c r="L99" i="16" s="1"/>
  <c r="I101" i="16"/>
  <c r="F101" i="16"/>
  <c r="AJ100" i="16"/>
  <c r="AG100" i="16"/>
  <c r="AD100" i="16"/>
  <c r="AA100" i="16"/>
  <c r="X100" i="16"/>
  <c r="U100" i="16"/>
  <c r="R100" i="16"/>
  <c r="R99" i="16" s="1"/>
  <c r="O100" i="16"/>
  <c r="L100" i="16"/>
  <c r="I100" i="16"/>
  <c r="F100" i="16"/>
  <c r="C100" i="16"/>
  <c r="AJ99" i="16"/>
  <c r="AJ98" i="16"/>
  <c r="AG98" i="16"/>
  <c r="AG96" i="16" s="1"/>
  <c r="AD98" i="16"/>
  <c r="AA98" i="16"/>
  <c r="X98" i="16"/>
  <c r="U98" i="16"/>
  <c r="R98" i="16"/>
  <c r="O98" i="16"/>
  <c r="L98" i="16"/>
  <c r="I98" i="16"/>
  <c r="AJ97" i="16"/>
  <c r="AG97" i="16"/>
  <c r="AD97" i="16"/>
  <c r="AD96" i="16" s="1"/>
  <c r="AA97" i="16"/>
  <c r="AA96" i="16" s="1"/>
  <c r="X97" i="16"/>
  <c r="U97" i="16"/>
  <c r="R97" i="16"/>
  <c r="O97" i="16"/>
  <c r="L97" i="16"/>
  <c r="I97" i="16"/>
  <c r="I96" i="16" s="1"/>
  <c r="AJ96" i="16"/>
  <c r="X96" i="16"/>
  <c r="O96" i="16"/>
  <c r="L96" i="16"/>
  <c r="AJ95" i="16"/>
  <c r="AG95" i="16"/>
  <c r="AD95" i="16"/>
  <c r="AA95" i="16"/>
  <c r="X95" i="16"/>
  <c r="U95" i="16"/>
  <c r="R95" i="16"/>
  <c r="O95" i="16"/>
  <c r="O92" i="16" s="1"/>
  <c r="L95" i="16"/>
  <c r="I95" i="16"/>
  <c r="I92" i="16" s="1"/>
  <c r="F95" i="16"/>
  <c r="C95" i="16"/>
  <c r="AJ94" i="16"/>
  <c r="AG94" i="16"/>
  <c r="AD94" i="16"/>
  <c r="AA94" i="16"/>
  <c r="X94" i="16"/>
  <c r="U94" i="16"/>
  <c r="R94" i="16"/>
  <c r="O94" i="16"/>
  <c r="L94" i="16"/>
  <c r="I94" i="16"/>
  <c r="F94" i="16"/>
  <c r="C94" i="16"/>
  <c r="AJ93" i="16"/>
  <c r="AG93" i="16"/>
  <c r="AG92" i="16" s="1"/>
  <c r="AD93" i="16"/>
  <c r="AD92" i="16" s="1"/>
  <c r="AA93" i="16"/>
  <c r="AA92" i="16" s="1"/>
  <c r="X93" i="16"/>
  <c r="X92" i="16" s="1"/>
  <c r="U93" i="16"/>
  <c r="R93" i="16"/>
  <c r="O93" i="16"/>
  <c r="L93" i="16"/>
  <c r="L92" i="16" s="1"/>
  <c r="I93" i="16"/>
  <c r="AJ92" i="16"/>
  <c r="U92" i="16"/>
  <c r="AJ91" i="16"/>
  <c r="AJ89" i="16" s="1"/>
  <c r="AG91" i="16"/>
  <c r="AD91" i="16"/>
  <c r="AA91" i="16"/>
  <c r="X91" i="16"/>
  <c r="U91" i="16"/>
  <c r="R91" i="16"/>
  <c r="O91" i="16"/>
  <c r="L91" i="16"/>
  <c r="I91" i="16"/>
  <c r="F91" i="16"/>
  <c r="C91" i="16"/>
  <c r="AM91" i="16" s="1"/>
  <c r="AJ90" i="16"/>
  <c r="AG90" i="16"/>
  <c r="AD90" i="16"/>
  <c r="AD89" i="16" s="1"/>
  <c r="AA90" i="16"/>
  <c r="X90" i="16"/>
  <c r="U90" i="16"/>
  <c r="R90" i="16"/>
  <c r="O90" i="16"/>
  <c r="O89" i="16" s="1"/>
  <c r="L90" i="16"/>
  <c r="L89" i="16" s="1"/>
  <c r="I90" i="16"/>
  <c r="I89" i="16" s="1"/>
  <c r="F90" i="16"/>
  <c r="F89" i="16" s="1"/>
  <c r="AG89" i="16"/>
  <c r="AA89" i="16"/>
  <c r="X89" i="16"/>
  <c r="U89" i="16"/>
  <c r="R89" i="16"/>
  <c r="AJ88" i="16"/>
  <c r="AG88" i="16"/>
  <c r="AD88" i="16"/>
  <c r="AA88" i="16"/>
  <c r="X88" i="16"/>
  <c r="U88" i="16"/>
  <c r="R88" i="16"/>
  <c r="O88" i="16"/>
  <c r="L88" i="16"/>
  <c r="I88" i="16"/>
  <c r="AJ87" i="16"/>
  <c r="AG87" i="16"/>
  <c r="AD87" i="16"/>
  <c r="AA87" i="16"/>
  <c r="X87" i="16"/>
  <c r="U87" i="16"/>
  <c r="R87" i="16"/>
  <c r="O87" i="16"/>
  <c r="L87" i="16"/>
  <c r="I87" i="16"/>
  <c r="AJ86" i="16"/>
  <c r="AG86" i="16"/>
  <c r="AD86" i="16"/>
  <c r="AA86" i="16"/>
  <c r="X86" i="16"/>
  <c r="U86" i="16"/>
  <c r="R86" i="16"/>
  <c r="O86" i="16"/>
  <c r="L86" i="16"/>
  <c r="I86" i="16"/>
  <c r="C86" i="16"/>
  <c r="AJ81" i="16"/>
  <c r="AG81" i="16"/>
  <c r="AD81" i="16"/>
  <c r="AA81" i="16"/>
  <c r="X81" i="16"/>
  <c r="U81" i="16"/>
  <c r="R81" i="16"/>
  <c r="O81" i="16"/>
  <c r="L81" i="16"/>
  <c r="I81" i="16"/>
  <c r="AJ80" i="16"/>
  <c r="AG80" i="16"/>
  <c r="AD80" i="16"/>
  <c r="AA80" i="16"/>
  <c r="X80" i="16"/>
  <c r="U80" i="16"/>
  <c r="R80" i="16"/>
  <c r="O80" i="16"/>
  <c r="L80" i="16"/>
  <c r="I80" i="16"/>
  <c r="AJ79" i="16"/>
  <c r="AG79" i="16"/>
  <c r="AD79" i="16"/>
  <c r="AD78" i="16" s="1"/>
  <c r="AA79" i="16"/>
  <c r="X79" i="16"/>
  <c r="U79" i="16"/>
  <c r="R79" i="16"/>
  <c r="O79" i="16"/>
  <c r="L79" i="16"/>
  <c r="I79" i="16"/>
  <c r="I78" i="16" s="1"/>
  <c r="AA78" i="16"/>
  <c r="X78" i="16"/>
  <c r="U78" i="16"/>
  <c r="O78" i="16"/>
  <c r="AJ77" i="16"/>
  <c r="AG77" i="16"/>
  <c r="AD77" i="16"/>
  <c r="AA77" i="16"/>
  <c r="X77" i="16"/>
  <c r="U77" i="16"/>
  <c r="R77" i="16"/>
  <c r="O77" i="16"/>
  <c r="L77" i="16"/>
  <c r="I77" i="16"/>
  <c r="AJ76" i="16"/>
  <c r="AG76" i="16"/>
  <c r="AD76" i="16"/>
  <c r="AA76" i="16"/>
  <c r="X76" i="16"/>
  <c r="U76" i="16"/>
  <c r="R76" i="16"/>
  <c r="O76" i="16"/>
  <c r="L76" i="16"/>
  <c r="I76" i="16"/>
  <c r="AJ75" i="16"/>
  <c r="AG75" i="16"/>
  <c r="AD75" i="16"/>
  <c r="AA75" i="16"/>
  <c r="X75" i="16"/>
  <c r="U75" i="16"/>
  <c r="R75" i="16"/>
  <c r="O75" i="16"/>
  <c r="L75" i="16"/>
  <c r="I75" i="16"/>
  <c r="AJ74" i="16"/>
  <c r="AG74" i="16"/>
  <c r="AD74" i="16"/>
  <c r="AA74" i="16"/>
  <c r="X74" i="16"/>
  <c r="U74" i="16"/>
  <c r="R74" i="16"/>
  <c r="O74" i="16"/>
  <c r="L74" i="16"/>
  <c r="I74" i="16"/>
  <c r="AJ71" i="16"/>
  <c r="AG71" i="16"/>
  <c r="AD71" i="16"/>
  <c r="AA71" i="16"/>
  <c r="X71" i="16"/>
  <c r="U71" i="16"/>
  <c r="R71" i="16"/>
  <c r="O71" i="16"/>
  <c r="L71" i="16"/>
  <c r="I71" i="16"/>
  <c r="F71" i="16"/>
  <c r="C71" i="16"/>
  <c r="AJ70" i="16"/>
  <c r="AG70" i="16"/>
  <c r="AD70" i="16"/>
  <c r="AA70" i="16"/>
  <c r="X70" i="16"/>
  <c r="U70" i="16"/>
  <c r="R70" i="16"/>
  <c r="O70" i="16"/>
  <c r="L70" i="16"/>
  <c r="I70" i="16"/>
  <c r="F70" i="16"/>
  <c r="C70" i="16"/>
  <c r="AJ69" i="16"/>
  <c r="AG69" i="16"/>
  <c r="AD69" i="16"/>
  <c r="AA69" i="16"/>
  <c r="X69" i="16"/>
  <c r="U69" i="16"/>
  <c r="R69" i="16"/>
  <c r="O69" i="16"/>
  <c r="L69" i="16"/>
  <c r="I69" i="16"/>
  <c r="F69" i="16"/>
  <c r="C69" i="16"/>
  <c r="AJ68" i="16"/>
  <c r="AG68" i="16"/>
  <c r="AD68" i="16"/>
  <c r="AA68" i="16"/>
  <c r="X68" i="16"/>
  <c r="U68" i="16"/>
  <c r="R68" i="16"/>
  <c r="O68" i="16"/>
  <c r="L68" i="16"/>
  <c r="I68" i="16"/>
  <c r="F68" i="16"/>
  <c r="C68" i="16"/>
  <c r="AJ67" i="16"/>
  <c r="AG67" i="16"/>
  <c r="AD67" i="16"/>
  <c r="AA67" i="16"/>
  <c r="X67" i="16"/>
  <c r="U67" i="16"/>
  <c r="R67" i="16"/>
  <c r="O67" i="16"/>
  <c r="L67" i="16"/>
  <c r="I67" i="16"/>
  <c r="F67" i="16"/>
  <c r="C67" i="16"/>
  <c r="AJ66" i="16"/>
  <c r="AG66" i="16"/>
  <c r="AD66" i="16"/>
  <c r="AA66" i="16"/>
  <c r="X66" i="16"/>
  <c r="U66" i="16"/>
  <c r="R66" i="16"/>
  <c r="O66" i="16"/>
  <c r="L66" i="16"/>
  <c r="I66" i="16"/>
  <c r="F66" i="16"/>
  <c r="C66" i="16"/>
  <c r="AJ65" i="16"/>
  <c r="AG65" i="16"/>
  <c r="AD65" i="16"/>
  <c r="AA65" i="16"/>
  <c r="AA61" i="16" s="1"/>
  <c r="X65" i="16"/>
  <c r="U65" i="16"/>
  <c r="R65" i="16"/>
  <c r="O65" i="16"/>
  <c r="L65" i="16"/>
  <c r="I65" i="16"/>
  <c r="F65" i="16"/>
  <c r="C65" i="16"/>
  <c r="AJ64" i="16"/>
  <c r="AG64" i="16"/>
  <c r="AD64" i="16"/>
  <c r="AA64" i="16"/>
  <c r="X64" i="16"/>
  <c r="U64" i="16"/>
  <c r="R64" i="16"/>
  <c r="O64" i="16"/>
  <c r="L64" i="16"/>
  <c r="I64" i="16"/>
  <c r="AJ63" i="16"/>
  <c r="AG63" i="16"/>
  <c r="AD63" i="16"/>
  <c r="AA63" i="16"/>
  <c r="X63" i="16"/>
  <c r="U63" i="16"/>
  <c r="R63" i="16"/>
  <c r="O63" i="16"/>
  <c r="O61" i="16" s="1"/>
  <c r="L63" i="16"/>
  <c r="I63" i="16"/>
  <c r="AJ62" i="16"/>
  <c r="AG62" i="16"/>
  <c r="AD62" i="16"/>
  <c r="AA62" i="16"/>
  <c r="X62" i="16"/>
  <c r="X61" i="16" s="1"/>
  <c r="U62" i="16"/>
  <c r="R62" i="16"/>
  <c r="O62" i="16"/>
  <c r="L62" i="16"/>
  <c r="I62" i="16"/>
  <c r="I61" i="16" s="1"/>
  <c r="U61" i="16"/>
  <c r="R61" i="16"/>
  <c r="AJ59" i="16"/>
  <c r="AG59" i="16"/>
  <c r="AD59" i="16"/>
  <c r="AA59" i="16"/>
  <c r="X59" i="16"/>
  <c r="U59" i="16"/>
  <c r="R59" i="16"/>
  <c r="O59" i="16"/>
  <c r="L59" i="16"/>
  <c r="I59" i="16"/>
  <c r="F59" i="16"/>
  <c r="C59" i="16"/>
  <c r="AG58" i="16"/>
  <c r="AD58" i="16"/>
  <c r="AD57" i="16" s="1"/>
  <c r="AA58" i="16"/>
  <c r="X58" i="16"/>
  <c r="X57" i="16" s="1"/>
  <c r="R58" i="16"/>
  <c r="O58" i="16"/>
  <c r="L58" i="16"/>
  <c r="I58" i="16"/>
  <c r="AG57" i="16"/>
  <c r="R57" i="16"/>
  <c r="O57" i="16"/>
  <c r="I57" i="16"/>
  <c r="AJ56" i="16"/>
  <c r="AG56" i="16"/>
  <c r="AD56" i="16"/>
  <c r="AA56" i="16"/>
  <c r="X56" i="16"/>
  <c r="U56" i="16"/>
  <c r="R56" i="16"/>
  <c r="O56" i="16"/>
  <c r="L56" i="16"/>
  <c r="I56" i="16"/>
  <c r="F56" i="16"/>
  <c r="C56" i="16"/>
  <c r="AJ55" i="16"/>
  <c r="AG55" i="16"/>
  <c r="AD55" i="16"/>
  <c r="AA55" i="16"/>
  <c r="X55" i="16"/>
  <c r="U55" i="16"/>
  <c r="R55" i="16"/>
  <c r="O55" i="16"/>
  <c r="L55" i="16"/>
  <c r="I55" i="16"/>
  <c r="F55" i="16"/>
  <c r="C55" i="16"/>
  <c r="AJ54" i="16"/>
  <c r="AG54" i="16"/>
  <c r="AD54" i="16"/>
  <c r="AA54" i="16"/>
  <c r="X54" i="16"/>
  <c r="U54" i="16"/>
  <c r="R54" i="16"/>
  <c r="O54" i="16"/>
  <c r="L54" i="16"/>
  <c r="I54" i="16"/>
  <c r="F54" i="16"/>
  <c r="C54" i="16"/>
  <c r="AJ53" i="16"/>
  <c r="AG53" i="16"/>
  <c r="AD53" i="16"/>
  <c r="AA53" i="16"/>
  <c r="X53" i="16"/>
  <c r="U53" i="16"/>
  <c r="R53" i="16"/>
  <c r="O53" i="16"/>
  <c r="L53" i="16"/>
  <c r="I53" i="16"/>
  <c r="F53" i="16"/>
  <c r="C53" i="16"/>
  <c r="AJ52" i="16"/>
  <c r="AG52" i="16"/>
  <c r="AD52" i="16"/>
  <c r="AA52" i="16"/>
  <c r="X52" i="16"/>
  <c r="U52" i="16"/>
  <c r="R52" i="16"/>
  <c r="O52" i="16"/>
  <c r="O46" i="16" s="1"/>
  <c r="L52" i="16"/>
  <c r="I52" i="16"/>
  <c r="F52" i="16"/>
  <c r="C52" i="16"/>
  <c r="AJ51" i="16"/>
  <c r="AG51" i="16"/>
  <c r="AD51" i="16"/>
  <c r="AA51" i="16"/>
  <c r="X51" i="16"/>
  <c r="U51" i="16"/>
  <c r="R51" i="16"/>
  <c r="O51" i="16"/>
  <c r="L51" i="16"/>
  <c r="I51" i="16"/>
  <c r="F51" i="16"/>
  <c r="C51" i="16"/>
  <c r="AM51" i="16" s="1"/>
  <c r="AJ50" i="16"/>
  <c r="AG50" i="16"/>
  <c r="AD50" i="16"/>
  <c r="AA50" i="16"/>
  <c r="X50" i="16"/>
  <c r="U50" i="16"/>
  <c r="R50" i="16"/>
  <c r="O50" i="16"/>
  <c r="L50" i="16"/>
  <c r="I50" i="16"/>
  <c r="F50" i="16"/>
  <c r="C50" i="16"/>
  <c r="AM50" i="16" s="1"/>
  <c r="AJ49" i="16"/>
  <c r="AG49" i="16"/>
  <c r="AD49" i="16"/>
  <c r="AA49" i="16"/>
  <c r="X49" i="16"/>
  <c r="U49" i="16"/>
  <c r="R49" i="16"/>
  <c r="O49" i="16"/>
  <c r="L49" i="16"/>
  <c r="I49" i="16"/>
  <c r="F49" i="16"/>
  <c r="C49" i="16"/>
  <c r="AJ48" i="16"/>
  <c r="AG48" i="16"/>
  <c r="AD48" i="16"/>
  <c r="AA48" i="16"/>
  <c r="X48" i="16"/>
  <c r="U48" i="16"/>
  <c r="R48" i="16"/>
  <c r="O48" i="16"/>
  <c r="L48" i="16"/>
  <c r="I48" i="16"/>
  <c r="F48" i="16"/>
  <c r="C48" i="16"/>
  <c r="AM48" i="16" s="1"/>
  <c r="AG47" i="16"/>
  <c r="AD47" i="16"/>
  <c r="AD46" i="16" s="1"/>
  <c r="AA47" i="16"/>
  <c r="X47" i="16"/>
  <c r="U47" i="16"/>
  <c r="R47" i="16"/>
  <c r="O47" i="16"/>
  <c r="L47" i="16"/>
  <c r="AA46" i="16"/>
  <c r="AD45" i="16"/>
  <c r="AJ41" i="16"/>
  <c r="AG41" i="16"/>
  <c r="AD41" i="16"/>
  <c r="AA41" i="16"/>
  <c r="X41" i="16"/>
  <c r="U41" i="16"/>
  <c r="R41" i="16"/>
  <c r="O41" i="16"/>
  <c r="L41" i="16"/>
  <c r="I41" i="16"/>
  <c r="F41" i="16"/>
  <c r="C41" i="16"/>
  <c r="AM41" i="16" s="1"/>
  <c r="AJ40" i="16"/>
  <c r="AG40" i="16"/>
  <c r="AD40" i="16"/>
  <c r="AA40" i="16"/>
  <c r="X40" i="16"/>
  <c r="U40" i="16"/>
  <c r="R40" i="16"/>
  <c r="O40" i="16"/>
  <c r="L40" i="16"/>
  <c r="I40" i="16"/>
  <c r="F40" i="16"/>
  <c r="C40" i="16"/>
  <c r="AM40" i="16" s="1"/>
  <c r="AJ39" i="16"/>
  <c r="AG39" i="16"/>
  <c r="AD39" i="16"/>
  <c r="AA39" i="16"/>
  <c r="X39" i="16"/>
  <c r="U39" i="16"/>
  <c r="R39" i="16"/>
  <c r="O39" i="16"/>
  <c r="L39" i="16"/>
  <c r="I39" i="16"/>
  <c r="F39" i="16"/>
  <c r="C39" i="16"/>
  <c r="AJ38" i="16"/>
  <c r="AG38" i="16"/>
  <c r="AD38" i="16"/>
  <c r="AA38" i="16"/>
  <c r="X38" i="16"/>
  <c r="U38" i="16"/>
  <c r="R38" i="16"/>
  <c r="O38" i="16"/>
  <c r="L38" i="16"/>
  <c r="I38" i="16"/>
  <c r="F38" i="16"/>
  <c r="C38" i="16"/>
  <c r="AJ27" i="16"/>
  <c r="AG27" i="16"/>
  <c r="AD27" i="16"/>
  <c r="AA27" i="16"/>
  <c r="X27" i="16"/>
  <c r="U27" i="16"/>
  <c r="R27" i="16"/>
  <c r="O27" i="16"/>
  <c r="O24" i="16" s="1"/>
  <c r="O23" i="16" s="1"/>
  <c r="L27" i="16"/>
  <c r="I27" i="16"/>
  <c r="F27" i="16"/>
  <c r="C27" i="16"/>
  <c r="AJ26" i="16"/>
  <c r="AG26" i="16"/>
  <c r="AD26" i="16"/>
  <c r="AA26" i="16"/>
  <c r="X26" i="16"/>
  <c r="U26" i="16"/>
  <c r="R26" i="16"/>
  <c r="R24" i="16" s="1"/>
  <c r="R23" i="16" s="1"/>
  <c r="O26" i="16"/>
  <c r="L26" i="16"/>
  <c r="I26" i="16"/>
  <c r="I24" i="16" s="1"/>
  <c r="I23" i="16" s="1"/>
  <c r="F26" i="16"/>
  <c r="C26" i="16"/>
  <c r="C24" i="16" s="1"/>
  <c r="AJ25" i="16"/>
  <c r="AG25" i="16"/>
  <c r="AD25" i="16"/>
  <c r="AA25" i="16"/>
  <c r="X25" i="16"/>
  <c r="U25" i="16"/>
  <c r="U24" i="16" s="1"/>
  <c r="U23" i="16" s="1"/>
  <c r="R25" i="16"/>
  <c r="O25" i="16"/>
  <c r="L25" i="16"/>
  <c r="L24" i="16" s="1"/>
  <c r="L23" i="16" s="1"/>
  <c r="I25" i="16"/>
  <c r="F25" i="16"/>
  <c r="C25" i="16"/>
  <c r="AA24" i="16"/>
  <c r="AA23" i="16" s="1"/>
  <c r="X24" i="16"/>
  <c r="X23" i="16" s="1"/>
  <c r="AJ22" i="16"/>
  <c r="AG22" i="16"/>
  <c r="AD22" i="16"/>
  <c r="AA22" i="16"/>
  <c r="X22" i="16"/>
  <c r="U22" i="16"/>
  <c r="R22" i="16"/>
  <c r="O22" i="16"/>
  <c r="L22" i="16"/>
  <c r="I22" i="16"/>
  <c r="F22" i="16"/>
  <c r="C22" i="16"/>
  <c r="AM22" i="16" s="1"/>
  <c r="AJ21" i="16"/>
  <c r="AG21" i="16"/>
  <c r="AD21" i="16"/>
  <c r="AA21" i="16"/>
  <c r="X21" i="16"/>
  <c r="U21" i="16"/>
  <c r="R21" i="16"/>
  <c r="O21" i="16"/>
  <c r="L21" i="16"/>
  <c r="I21" i="16"/>
  <c r="F21" i="16"/>
  <c r="C21" i="16"/>
  <c r="AJ20" i="16"/>
  <c r="AD20" i="16"/>
  <c r="AA20" i="16"/>
  <c r="X20" i="16"/>
  <c r="U20" i="16"/>
  <c r="R20" i="16"/>
  <c r="O20" i="16"/>
  <c r="L20" i="16"/>
  <c r="I20" i="16"/>
  <c r="F20" i="16"/>
  <c r="C20" i="16"/>
  <c r="AJ19" i="16"/>
  <c r="AG19" i="16"/>
  <c r="AD19" i="16"/>
  <c r="AA19" i="16"/>
  <c r="X19" i="16"/>
  <c r="U19" i="16"/>
  <c r="R19" i="16"/>
  <c r="O19" i="16"/>
  <c r="L19" i="16"/>
  <c r="I19" i="16"/>
  <c r="F19" i="16"/>
  <c r="C19" i="16"/>
  <c r="AM19" i="16" s="1"/>
  <c r="AJ18" i="16"/>
  <c r="AG18" i="16"/>
  <c r="AD18" i="16"/>
  <c r="AA18" i="16"/>
  <c r="X18" i="16"/>
  <c r="U18" i="16"/>
  <c r="R18" i="16"/>
  <c r="O18" i="16"/>
  <c r="L18" i="16"/>
  <c r="I18" i="16"/>
  <c r="F18" i="16"/>
  <c r="C18" i="16"/>
  <c r="AJ17" i="16"/>
  <c r="AG17" i="16"/>
  <c r="AD17" i="16"/>
  <c r="AA17" i="16"/>
  <c r="X17" i="16"/>
  <c r="U17" i="16"/>
  <c r="R17" i="16"/>
  <c r="O17" i="16"/>
  <c r="L17" i="16"/>
  <c r="I17" i="16"/>
  <c r="F17" i="16"/>
  <c r="C17" i="16"/>
  <c r="AJ16" i="16"/>
  <c r="AG16" i="16"/>
  <c r="AD16" i="16"/>
  <c r="AA16" i="16"/>
  <c r="X16" i="16"/>
  <c r="U16" i="16"/>
  <c r="R16" i="16"/>
  <c r="O16" i="16"/>
  <c r="L16" i="16"/>
  <c r="I16" i="16"/>
  <c r="F16" i="16"/>
  <c r="C16" i="16"/>
  <c r="AJ12" i="16"/>
  <c r="C12" i="16"/>
  <c r="AJ11" i="16"/>
  <c r="AG11" i="16"/>
  <c r="AD11" i="16"/>
  <c r="AA11" i="16"/>
  <c r="X11" i="16"/>
  <c r="U11" i="16"/>
  <c r="U12" i="16" s="1"/>
  <c r="R11" i="16"/>
  <c r="O11" i="16"/>
  <c r="L11" i="16"/>
  <c r="I11" i="16"/>
  <c r="F11" i="16"/>
  <c r="C11" i="16"/>
  <c r="AM11" i="16" s="1"/>
  <c r="AJ10" i="16"/>
  <c r="AG10" i="16"/>
  <c r="AD10" i="16"/>
  <c r="AA10" i="16"/>
  <c r="X10" i="16"/>
  <c r="U10" i="16"/>
  <c r="R10" i="16"/>
  <c r="O10" i="16"/>
  <c r="L10" i="16"/>
  <c r="I10" i="16"/>
  <c r="F10" i="16"/>
  <c r="C10" i="16"/>
  <c r="AM10" i="16" s="1"/>
  <c r="AJ9" i="16"/>
  <c r="AG9" i="16"/>
  <c r="AD9" i="16"/>
  <c r="AA9" i="16"/>
  <c r="X9" i="16"/>
  <c r="U9" i="16"/>
  <c r="R9" i="16"/>
  <c r="O9" i="16"/>
  <c r="L9" i="16"/>
  <c r="I9" i="16"/>
  <c r="F9" i="16"/>
  <c r="C9" i="16"/>
  <c r="AJ8" i="16"/>
  <c r="AG8" i="16"/>
  <c r="AD8" i="16"/>
  <c r="AA8" i="16"/>
  <c r="X8" i="16"/>
  <c r="U8" i="16"/>
  <c r="R8" i="16"/>
  <c r="O8" i="16"/>
  <c r="L8" i="16"/>
  <c r="I8" i="16"/>
  <c r="F8" i="16"/>
  <c r="C8" i="16"/>
  <c r="AJ7" i="16"/>
  <c r="AG7" i="16"/>
  <c r="AD7" i="16"/>
  <c r="AA7" i="16"/>
  <c r="X7" i="16"/>
  <c r="U7" i="16"/>
  <c r="R7" i="16"/>
  <c r="O7" i="16"/>
  <c r="L7" i="16"/>
  <c r="I7" i="16"/>
  <c r="F7" i="16"/>
  <c r="C7" i="16"/>
  <c r="AJ6" i="16"/>
  <c r="AG6" i="16"/>
  <c r="AD6" i="16"/>
  <c r="AA6" i="16"/>
  <c r="X6" i="16"/>
  <c r="X12" i="16" s="1"/>
  <c r="U6" i="16"/>
  <c r="R6" i="16"/>
  <c r="O6" i="16"/>
  <c r="L6" i="16"/>
  <c r="I6" i="16"/>
  <c r="F6" i="16"/>
  <c r="C6" i="16"/>
  <c r="AM6" i="16" s="1"/>
  <c r="AJ5" i="16"/>
  <c r="AG5" i="16"/>
  <c r="AD5" i="16"/>
  <c r="AA5" i="16"/>
  <c r="X5" i="16"/>
  <c r="U5" i="16"/>
  <c r="R5" i="16"/>
  <c r="R12" i="16" s="1"/>
  <c r="O5" i="16"/>
  <c r="L5" i="16"/>
  <c r="I5" i="16"/>
  <c r="F5" i="16"/>
  <c r="C5" i="16"/>
  <c r="AM5" i="16" s="1"/>
  <c r="AM160" i="15"/>
  <c r="AM159" i="15"/>
  <c r="AM158" i="15"/>
  <c r="AM157" i="15"/>
  <c r="AM156" i="15"/>
  <c r="AM155" i="15"/>
  <c r="AM154" i="15"/>
  <c r="AQ153" i="15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M151" i="15"/>
  <c r="AM150" i="15"/>
  <c r="AM149" i="15"/>
  <c r="AM148" i="15"/>
  <c r="AQ147" i="15"/>
  <c r="AJ147" i="15"/>
  <c r="AG147" i="15"/>
  <c r="AD147" i="15"/>
  <c r="AF147" i="15" s="1"/>
  <c r="AA147" i="15"/>
  <c r="X147" i="15"/>
  <c r="U147" i="15"/>
  <c r="R147" i="15"/>
  <c r="O147" i="15"/>
  <c r="L147" i="15"/>
  <c r="I147" i="15"/>
  <c r="F147" i="15"/>
  <c r="C147" i="15"/>
  <c r="AM142" i="15"/>
  <c r="AM141" i="15"/>
  <c r="AM140" i="15"/>
  <c r="AM139" i="15"/>
  <c r="AM138" i="15"/>
  <c r="AM137" i="15"/>
  <c r="AM136" i="15"/>
  <c r="AM135" i="15"/>
  <c r="AM134" i="15"/>
  <c r="AM133" i="15"/>
  <c r="AM132" i="15"/>
  <c r="AM131" i="15"/>
  <c r="AM130" i="15"/>
  <c r="AM129" i="15"/>
  <c r="AM128" i="15"/>
  <c r="AQ127" i="15"/>
  <c r="AJ127" i="15"/>
  <c r="AG127" i="15"/>
  <c r="AI127" i="15" s="1"/>
  <c r="AD127" i="15"/>
  <c r="AA127" i="15"/>
  <c r="X127" i="15"/>
  <c r="U127" i="15"/>
  <c r="R127" i="15"/>
  <c r="O127" i="15"/>
  <c r="L127" i="15"/>
  <c r="I127" i="15"/>
  <c r="F127" i="15"/>
  <c r="C127" i="15"/>
  <c r="AM126" i="15"/>
  <c r="AM125" i="15"/>
  <c r="AM124" i="15"/>
  <c r="AQ123" i="15"/>
  <c r="AJ123" i="15"/>
  <c r="AG123" i="15"/>
  <c r="AF123" i="15"/>
  <c r="AA123" i="15"/>
  <c r="X123" i="15"/>
  <c r="U123" i="15"/>
  <c r="R123" i="15"/>
  <c r="O123" i="15"/>
  <c r="L123" i="15"/>
  <c r="I123" i="15"/>
  <c r="F123" i="15"/>
  <c r="C123" i="15"/>
  <c r="AM122" i="15"/>
  <c r="AM121" i="15"/>
  <c r="AQ120" i="15"/>
  <c r="AJ120" i="15"/>
  <c r="AG120" i="15"/>
  <c r="AF120" i="15"/>
  <c r="AD120" i="15"/>
  <c r="AA120" i="15"/>
  <c r="X120" i="15"/>
  <c r="U120" i="15"/>
  <c r="R120" i="15"/>
  <c r="O120" i="15"/>
  <c r="L120" i="15"/>
  <c r="I120" i="15"/>
  <c r="F120" i="15"/>
  <c r="C120" i="15"/>
  <c r="AM119" i="15"/>
  <c r="AM118" i="15"/>
  <c r="AM117" i="15"/>
  <c r="AM116" i="15"/>
  <c r="AM115" i="15"/>
  <c r="AQ114" i="15"/>
  <c r="AJ114" i="15"/>
  <c r="AG114" i="15"/>
  <c r="AA114" i="15"/>
  <c r="X114" i="15"/>
  <c r="U114" i="15"/>
  <c r="R114" i="15"/>
  <c r="O114" i="15"/>
  <c r="L114" i="15"/>
  <c r="I114" i="15"/>
  <c r="F114" i="15"/>
  <c r="C114" i="15"/>
  <c r="AM113" i="15"/>
  <c r="AM112" i="15"/>
  <c r="AM111" i="15"/>
  <c r="AM110" i="15"/>
  <c r="AQ109" i="15"/>
  <c r="AJ109" i="15"/>
  <c r="AG109" i="15"/>
  <c r="AD109" i="15"/>
  <c r="AA109" i="15"/>
  <c r="X109" i="15"/>
  <c r="U109" i="15"/>
  <c r="R109" i="15"/>
  <c r="O109" i="15"/>
  <c r="L109" i="15"/>
  <c r="I109" i="15"/>
  <c r="F109" i="15"/>
  <c r="C109" i="15"/>
  <c r="AM108" i="15"/>
  <c r="AM107" i="15"/>
  <c r="AM106" i="15"/>
  <c r="AM105" i="15"/>
  <c r="AM104" i="15"/>
  <c r="AM103" i="15"/>
  <c r="AM102" i="15"/>
  <c r="AM101" i="15"/>
  <c r="AM100" i="15"/>
  <c r="AQ99" i="15"/>
  <c r="AJ99" i="15"/>
  <c r="AG99" i="15"/>
  <c r="AF99" i="15"/>
  <c r="AD99" i="15"/>
  <c r="AA99" i="15"/>
  <c r="X99" i="15"/>
  <c r="U99" i="15"/>
  <c r="R99" i="15"/>
  <c r="O99" i="15"/>
  <c r="L99" i="15"/>
  <c r="I99" i="15"/>
  <c r="F99" i="15"/>
  <c r="C99" i="15"/>
  <c r="AM98" i="15"/>
  <c r="AM97" i="15"/>
  <c r="AR96" i="15"/>
  <c r="AQ96" i="15"/>
  <c r="AJ96" i="15"/>
  <c r="AG96" i="15"/>
  <c r="AF96" i="15"/>
  <c r="AD96" i="15"/>
  <c r="AA96" i="15"/>
  <c r="X96" i="15"/>
  <c r="U96" i="15"/>
  <c r="R96" i="15"/>
  <c r="R83" i="15" s="1"/>
  <c r="O96" i="15"/>
  <c r="L96" i="15"/>
  <c r="I96" i="15"/>
  <c r="F96" i="15"/>
  <c r="C96" i="15"/>
  <c r="AM95" i="15"/>
  <c r="AM94" i="15"/>
  <c r="AM93" i="15"/>
  <c r="AQ92" i="15"/>
  <c r="AJ92" i="15"/>
  <c r="AG92" i="15"/>
  <c r="AD92" i="15"/>
  <c r="AF92" i="15" s="1"/>
  <c r="AA92" i="15"/>
  <c r="X92" i="15"/>
  <c r="U92" i="15"/>
  <c r="R92" i="15"/>
  <c r="O92" i="15"/>
  <c r="L92" i="15"/>
  <c r="I92" i="15"/>
  <c r="AM92" i="15" s="1"/>
  <c r="F92" i="15"/>
  <c r="C92" i="15"/>
  <c r="AM91" i="15"/>
  <c r="AM90" i="15"/>
  <c r="AR89" i="15"/>
  <c r="AQ89" i="15"/>
  <c r="AJ89" i="15"/>
  <c r="AG89" i="15"/>
  <c r="AD89" i="15"/>
  <c r="AF89" i="15" s="1"/>
  <c r="AA89" i="15"/>
  <c r="X89" i="15"/>
  <c r="U89" i="15"/>
  <c r="R89" i="15"/>
  <c r="O89" i="15"/>
  <c r="O83" i="15" s="1"/>
  <c r="L89" i="15"/>
  <c r="I89" i="15"/>
  <c r="F89" i="15"/>
  <c r="C89" i="15"/>
  <c r="AM88" i="15"/>
  <c r="AM87" i="15"/>
  <c r="AM86" i="15"/>
  <c r="AM85" i="15"/>
  <c r="AQ84" i="15"/>
  <c r="AJ84" i="15"/>
  <c r="AG84" i="15"/>
  <c r="AD84" i="15"/>
  <c r="AF84" i="15" s="1"/>
  <c r="AA84" i="15"/>
  <c r="X84" i="15"/>
  <c r="U84" i="15"/>
  <c r="R84" i="15"/>
  <c r="O84" i="15"/>
  <c r="L84" i="15"/>
  <c r="I84" i="15"/>
  <c r="F84" i="15"/>
  <c r="C84" i="15"/>
  <c r="AD83" i="15"/>
  <c r="AF83" i="15" s="1"/>
  <c r="AM81" i="15"/>
  <c r="AM80" i="15"/>
  <c r="AM79" i="15"/>
  <c r="AR78" i="15"/>
  <c r="AQ78" i="15"/>
  <c r="AJ78" i="15"/>
  <c r="AG78" i="15"/>
  <c r="AF78" i="15"/>
  <c r="AD78" i="15"/>
  <c r="AA78" i="15"/>
  <c r="X78" i="15"/>
  <c r="U78" i="15"/>
  <c r="R78" i="15"/>
  <c r="O78" i="15"/>
  <c r="L78" i="15"/>
  <c r="I78" i="15"/>
  <c r="F78" i="15"/>
  <c r="C78" i="15"/>
  <c r="AM77" i="15"/>
  <c r="AM76" i="15"/>
  <c r="AM75" i="15"/>
  <c r="AM74" i="15"/>
  <c r="AQ72" i="15"/>
  <c r="AJ72" i="15"/>
  <c r="I72" i="15"/>
  <c r="F72" i="15"/>
  <c r="AN71" i="15"/>
  <c r="AM71" i="15"/>
  <c r="AN70" i="15"/>
  <c r="AN69" i="15"/>
  <c r="AN68" i="15"/>
  <c r="AN67" i="15"/>
  <c r="AM66" i="15"/>
  <c r="AN66" i="15" s="1"/>
  <c r="AN65" i="15"/>
  <c r="AM65" i="15"/>
  <c r="AS64" i="15"/>
  <c r="AR64" i="15"/>
  <c r="AN64" i="15"/>
  <c r="AM64" i="15"/>
  <c r="AS63" i="15"/>
  <c r="AR63" i="15"/>
  <c r="AN63" i="15"/>
  <c r="AM63" i="15"/>
  <c r="AS62" i="15"/>
  <c r="AR62" i="15"/>
  <c r="AN62" i="15"/>
  <c r="AM62" i="15"/>
  <c r="AQ61" i="15"/>
  <c r="AJ61" i="15"/>
  <c r="AG61" i="15"/>
  <c r="AD61" i="15"/>
  <c r="AA61" i="15"/>
  <c r="X61" i="15"/>
  <c r="U61" i="15"/>
  <c r="V61" i="15" s="1"/>
  <c r="S61" i="15"/>
  <c r="R61" i="15"/>
  <c r="O61" i="15"/>
  <c r="L61" i="15"/>
  <c r="I61" i="15"/>
  <c r="I60" i="15" s="1"/>
  <c r="F61" i="15"/>
  <c r="C61" i="15"/>
  <c r="C60" i="15" s="1"/>
  <c r="AQ60" i="15"/>
  <c r="AQ44" i="15" s="1"/>
  <c r="F60" i="15"/>
  <c r="AM59" i="15"/>
  <c r="AM58" i="15"/>
  <c r="AJ57" i="15"/>
  <c r="AG57" i="15"/>
  <c r="AD57" i="15"/>
  <c r="AD45" i="15" s="1"/>
  <c r="AA57" i="15"/>
  <c r="X57" i="15"/>
  <c r="U57" i="15"/>
  <c r="R57" i="15"/>
  <c r="O57" i="15"/>
  <c r="L57" i="15"/>
  <c r="J57" i="15"/>
  <c r="I57" i="15"/>
  <c r="F57" i="15"/>
  <c r="AM53" i="15"/>
  <c r="AM52" i="15"/>
  <c r="AM51" i="15"/>
  <c r="AM50" i="15"/>
  <c r="AM49" i="15"/>
  <c r="AR48" i="15"/>
  <c r="AM48" i="15"/>
  <c r="AM47" i="15"/>
  <c r="AL47" i="15"/>
  <c r="AK47" i="15"/>
  <c r="AI47" i="15"/>
  <c r="AH47" i="15"/>
  <c r="AF47" i="15"/>
  <c r="AE47" i="15"/>
  <c r="AC47" i="15"/>
  <c r="AB47" i="15"/>
  <c r="Z47" i="15"/>
  <c r="Y47" i="15"/>
  <c r="W47" i="15"/>
  <c r="V47" i="15"/>
  <c r="T47" i="15"/>
  <c r="S47" i="15"/>
  <c r="Q47" i="15"/>
  <c r="P47" i="15"/>
  <c r="N47" i="15"/>
  <c r="M47" i="15"/>
  <c r="K47" i="15"/>
  <c r="J47" i="15"/>
  <c r="H47" i="15"/>
  <c r="G47" i="15"/>
  <c r="AQ46" i="15"/>
  <c r="AQ45" i="15" s="1"/>
  <c r="AJ46" i="15"/>
  <c r="AJ45" i="15" s="1"/>
  <c r="AH46" i="15"/>
  <c r="AG46" i="15"/>
  <c r="AD46" i="15"/>
  <c r="AE46" i="15" s="1"/>
  <c r="AB46" i="15"/>
  <c r="AA46" i="15"/>
  <c r="X46" i="15"/>
  <c r="U46" i="15"/>
  <c r="U45" i="15" s="1"/>
  <c r="R46" i="15"/>
  <c r="R45" i="15" s="1"/>
  <c r="O46" i="15"/>
  <c r="L46" i="15"/>
  <c r="I46" i="15"/>
  <c r="I45" i="15" s="1"/>
  <c r="F46" i="15"/>
  <c r="AM46" i="15" s="1"/>
  <c r="C46" i="15"/>
  <c r="AG45" i="15"/>
  <c r="AA45" i="15"/>
  <c r="O45" i="15"/>
  <c r="F45" i="15"/>
  <c r="C45" i="15"/>
  <c r="C44" i="15" s="1"/>
  <c r="AQ42" i="15"/>
  <c r="AM37" i="15"/>
  <c r="AG36" i="15"/>
  <c r="AD36" i="15"/>
  <c r="R36" i="15"/>
  <c r="AD35" i="15"/>
  <c r="AD34" i="15"/>
  <c r="AD33" i="15"/>
  <c r="AQ29" i="15"/>
  <c r="AQ28" i="15"/>
  <c r="AM27" i="15"/>
  <c r="AM26" i="15"/>
  <c r="AM25" i="15"/>
  <c r="AJ24" i="15"/>
  <c r="AG24" i="15"/>
  <c r="AD24" i="15"/>
  <c r="AA24" i="15"/>
  <c r="AA23" i="15" s="1"/>
  <c r="X24" i="15"/>
  <c r="X23" i="15" s="1"/>
  <c r="U24" i="15"/>
  <c r="U23" i="15" s="1"/>
  <c r="R24" i="15"/>
  <c r="O24" i="15"/>
  <c r="L24" i="15"/>
  <c r="L23" i="15" s="1"/>
  <c r="I24" i="15"/>
  <c r="I23" i="15" s="1"/>
  <c r="F24" i="15"/>
  <c r="C24" i="15"/>
  <c r="R23" i="15"/>
  <c r="O23" i="15"/>
  <c r="F23" i="15"/>
  <c r="C23" i="15"/>
  <c r="AM22" i="15"/>
  <c r="AM21" i="15"/>
  <c r="AM20" i="15"/>
  <c r="AM19" i="15"/>
  <c r="AM18" i="15"/>
  <c r="AM17" i="15"/>
  <c r="AR16" i="15"/>
  <c r="AM16" i="15"/>
  <c r="M16" i="15"/>
  <c r="AQ15" i="15"/>
  <c r="AJ15" i="15"/>
  <c r="AJ14" i="15" s="1"/>
  <c r="AG15" i="15"/>
  <c r="AI15" i="15" s="1"/>
  <c r="AF15" i="15"/>
  <c r="AD15" i="15"/>
  <c r="AA15" i="15"/>
  <c r="AC15" i="15" s="1"/>
  <c r="X15" i="15"/>
  <c r="U15" i="15"/>
  <c r="R15" i="15"/>
  <c r="R14" i="15" s="1"/>
  <c r="O15" i="15"/>
  <c r="L15" i="15"/>
  <c r="I15" i="15"/>
  <c r="F15" i="15"/>
  <c r="F14" i="15" s="1"/>
  <c r="C15" i="15"/>
  <c r="AQ14" i="15"/>
  <c r="AQ13" i="15" s="1"/>
  <c r="AG14" i="15"/>
  <c r="AG13" i="15" s="1"/>
  <c r="AD14" i="15"/>
  <c r="AA14" i="15"/>
  <c r="AA36" i="15" s="1"/>
  <c r="U14" i="15"/>
  <c r="O14" i="15"/>
  <c r="O36" i="15" s="1"/>
  <c r="L14" i="15"/>
  <c r="L36" i="15" s="1"/>
  <c r="I14" i="15"/>
  <c r="AD13" i="15"/>
  <c r="AQ12" i="15"/>
  <c r="AJ12" i="15"/>
  <c r="AG12" i="15"/>
  <c r="AD12" i="15"/>
  <c r="AA12" i="15"/>
  <c r="X12" i="15"/>
  <c r="U12" i="15"/>
  <c r="R12" i="15"/>
  <c r="O12" i="15"/>
  <c r="L12" i="15"/>
  <c r="I12" i="15"/>
  <c r="F12" i="15"/>
  <c r="C12" i="15"/>
  <c r="AM12" i="15" s="1"/>
  <c r="AM11" i="15"/>
  <c r="AM10" i="15"/>
  <c r="AM9" i="15"/>
  <c r="AM8" i="15"/>
  <c r="AM7" i="15"/>
  <c r="AO7" i="15" s="1"/>
  <c r="AM6" i="15"/>
  <c r="AM5" i="15"/>
  <c r="AR47" i="15" s="1"/>
  <c r="AM3" i="15"/>
  <c r="AM160" i="14"/>
  <c r="X159" i="14"/>
  <c r="X159" i="16" s="1"/>
  <c r="R159" i="14"/>
  <c r="R159" i="16" s="1"/>
  <c r="O159" i="14"/>
  <c r="AD158" i="14"/>
  <c r="AD158" i="16" s="1"/>
  <c r="AD157" i="14"/>
  <c r="AM156" i="14"/>
  <c r="AM155" i="14"/>
  <c r="AG154" i="14"/>
  <c r="AQ153" i="14"/>
  <c r="L153" i="14"/>
  <c r="I153" i="14"/>
  <c r="F153" i="14"/>
  <c r="C153" i="14"/>
  <c r="AM151" i="14"/>
  <c r="AM150" i="14"/>
  <c r="AM149" i="14"/>
  <c r="AM148" i="14"/>
  <c r="AQ147" i="14"/>
  <c r="AJ147" i="14"/>
  <c r="AG147" i="14"/>
  <c r="AF147" i="14"/>
  <c r="AD147" i="14"/>
  <c r="AA147" i="14"/>
  <c r="X147" i="14"/>
  <c r="U147" i="14"/>
  <c r="R147" i="14"/>
  <c r="O147" i="14"/>
  <c r="L147" i="14"/>
  <c r="I147" i="14"/>
  <c r="F147" i="14"/>
  <c r="C147" i="14"/>
  <c r="AM142" i="14"/>
  <c r="AM141" i="14"/>
  <c r="AM140" i="14"/>
  <c r="AM139" i="14"/>
  <c r="AM138" i="14"/>
  <c r="AM137" i="14"/>
  <c r="AM136" i="14"/>
  <c r="AM135" i="14"/>
  <c r="AM134" i="14"/>
  <c r="AM133" i="14"/>
  <c r="AM132" i="14"/>
  <c r="AM131" i="14"/>
  <c r="AM130" i="14"/>
  <c r="AM129" i="14"/>
  <c r="AM128" i="14"/>
  <c r="AR127" i="14"/>
  <c r="AQ127" i="14"/>
  <c r="AJ127" i="14"/>
  <c r="AG127" i="14"/>
  <c r="AF127" i="14"/>
  <c r="AD127" i="14"/>
  <c r="AA127" i="14"/>
  <c r="X127" i="14"/>
  <c r="U127" i="14"/>
  <c r="R127" i="14"/>
  <c r="O127" i="14"/>
  <c r="N127" i="14"/>
  <c r="L127" i="14"/>
  <c r="I127" i="14"/>
  <c r="F127" i="14"/>
  <c r="C127" i="14"/>
  <c r="AM127" i="14" s="1"/>
  <c r="AM126" i="14"/>
  <c r="AM125" i="14"/>
  <c r="AM124" i="14"/>
  <c r="AQ123" i="14"/>
  <c r="AR123" i="14" s="1"/>
  <c r="AJ123" i="14"/>
  <c r="AG123" i="14"/>
  <c r="AF123" i="14"/>
  <c r="AA123" i="14"/>
  <c r="X123" i="14"/>
  <c r="U123" i="14"/>
  <c r="R123" i="14"/>
  <c r="O123" i="14"/>
  <c r="L123" i="14"/>
  <c r="I123" i="14"/>
  <c r="F123" i="14"/>
  <c r="C123" i="14"/>
  <c r="AM122" i="14"/>
  <c r="AM121" i="14"/>
  <c r="AQ120" i="14"/>
  <c r="AR120" i="14" s="1"/>
  <c r="AJ120" i="14"/>
  <c r="AG120" i="14"/>
  <c r="AD120" i="14"/>
  <c r="AF120" i="14" s="1"/>
  <c r="AA120" i="14"/>
  <c r="X120" i="14"/>
  <c r="U120" i="14"/>
  <c r="R120" i="14"/>
  <c r="O120" i="14"/>
  <c r="L120" i="14"/>
  <c r="N120" i="14" s="1"/>
  <c r="I120" i="14"/>
  <c r="F120" i="14"/>
  <c r="H120" i="14" s="1"/>
  <c r="C120" i="14"/>
  <c r="AM119" i="14"/>
  <c r="AM118" i="14"/>
  <c r="AM117" i="14"/>
  <c r="AM116" i="14"/>
  <c r="AM115" i="14"/>
  <c r="AR114" i="14"/>
  <c r="AQ114" i="14"/>
  <c r="AJ114" i="14"/>
  <c r="AG114" i="14"/>
  <c r="AA114" i="14"/>
  <c r="X114" i="14"/>
  <c r="U114" i="14"/>
  <c r="R114" i="14"/>
  <c r="O114" i="14"/>
  <c r="L114" i="14"/>
  <c r="N114" i="14" s="1"/>
  <c r="I114" i="14"/>
  <c r="F114" i="14"/>
  <c r="C114" i="14"/>
  <c r="AM113" i="14"/>
  <c r="AM112" i="14"/>
  <c r="AM111" i="14"/>
  <c r="AM110" i="14"/>
  <c r="AQ109" i="14"/>
  <c r="AR109" i="14" s="1"/>
  <c r="AJ109" i="14"/>
  <c r="AG109" i="14"/>
  <c r="AD109" i="14"/>
  <c r="AA109" i="14"/>
  <c r="X109" i="14"/>
  <c r="U109" i="14"/>
  <c r="R109" i="14"/>
  <c r="O109" i="14"/>
  <c r="L109" i="14"/>
  <c r="I109" i="14"/>
  <c r="F109" i="14"/>
  <c r="C109" i="14"/>
  <c r="AM108" i="14"/>
  <c r="AM107" i="14"/>
  <c r="AM106" i="14"/>
  <c r="AM105" i="14"/>
  <c r="AM104" i="14"/>
  <c r="AM103" i="14"/>
  <c r="AM102" i="14"/>
  <c r="AM101" i="14"/>
  <c r="AM100" i="14"/>
  <c r="AR99" i="14"/>
  <c r="AQ99" i="14"/>
  <c r="AJ99" i="14"/>
  <c r="AG99" i="14"/>
  <c r="AD99" i="14"/>
  <c r="AF99" i="14" s="1"/>
  <c r="AA99" i="14"/>
  <c r="X99" i="14"/>
  <c r="U99" i="14"/>
  <c r="R99" i="14"/>
  <c r="O99" i="14"/>
  <c r="L99" i="14"/>
  <c r="I99" i="14"/>
  <c r="F99" i="14"/>
  <c r="C99" i="14"/>
  <c r="AM99" i="14" s="1"/>
  <c r="AM98" i="14"/>
  <c r="AM97" i="14"/>
  <c r="AQ96" i="14"/>
  <c r="AJ96" i="14"/>
  <c r="AG96" i="14"/>
  <c r="AD96" i="14"/>
  <c r="AF96" i="14" s="1"/>
  <c r="AA96" i="14"/>
  <c r="X96" i="14"/>
  <c r="U96" i="14"/>
  <c r="R96" i="14"/>
  <c r="O96" i="14"/>
  <c r="L96" i="14"/>
  <c r="I96" i="14"/>
  <c r="F96" i="14"/>
  <c r="C96" i="14"/>
  <c r="AM95" i="14"/>
  <c r="AM94" i="14"/>
  <c r="AM93" i="14"/>
  <c r="AR92" i="14"/>
  <c r="AQ92" i="14"/>
  <c r="AJ92" i="14"/>
  <c r="AG92" i="14"/>
  <c r="AD92" i="14"/>
  <c r="AF92" i="14" s="1"/>
  <c r="AA92" i="14"/>
  <c r="X92" i="14"/>
  <c r="U92" i="14"/>
  <c r="R92" i="14"/>
  <c r="O92" i="14"/>
  <c r="N92" i="14"/>
  <c r="L92" i="14"/>
  <c r="I92" i="14"/>
  <c r="F92" i="14"/>
  <c r="C92" i="14"/>
  <c r="AM91" i="14"/>
  <c r="AM90" i="14"/>
  <c r="AQ89" i="14"/>
  <c r="AR89" i="14" s="1"/>
  <c r="AJ89" i="14"/>
  <c r="AG89" i="14"/>
  <c r="AD89" i="14"/>
  <c r="AA89" i="14"/>
  <c r="X89" i="14"/>
  <c r="U89" i="14"/>
  <c r="R89" i="14"/>
  <c r="O89" i="14"/>
  <c r="L89" i="14"/>
  <c r="I89" i="14"/>
  <c r="F89" i="14"/>
  <c r="C89" i="14"/>
  <c r="AM88" i="14"/>
  <c r="AM87" i="14"/>
  <c r="AM86" i="14"/>
  <c r="AM85" i="14"/>
  <c r="D85" i="14"/>
  <c r="AQ84" i="14"/>
  <c r="AJ84" i="14"/>
  <c r="AG84" i="14"/>
  <c r="AF84" i="14"/>
  <c r="AD84" i="14"/>
  <c r="AA84" i="14"/>
  <c r="X84" i="14"/>
  <c r="U84" i="14"/>
  <c r="R84" i="14"/>
  <c r="O84" i="14"/>
  <c r="L84" i="14"/>
  <c r="I84" i="14"/>
  <c r="F84" i="14"/>
  <c r="C84" i="14"/>
  <c r="AQ83" i="14"/>
  <c r="AR83" i="14" s="1"/>
  <c r="O83" i="14"/>
  <c r="AM81" i="14"/>
  <c r="AM80" i="14"/>
  <c r="AM79" i="14"/>
  <c r="AQ78" i="14"/>
  <c r="AJ78" i="14"/>
  <c r="AG78" i="14"/>
  <c r="AD78" i="14"/>
  <c r="AF78" i="14" s="1"/>
  <c r="AA78" i="14"/>
  <c r="X78" i="14"/>
  <c r="U78" i="14"/>
  <c r="R78" i="14"/>
  <c r="O78" i="14"/>
  <c r="L78" i="14"/>
  <c r="I78" i="14"/>
  <c r="H78" i="14"/>
  <c r="F78" i="14"/>
  <c r="C78" i="14"/>
  <c r="AM77" i="14"/>
  <c r="AM76" i="14"/>
  <c r="AM75" i="14"/>
  <c r="AU74" i="14"/>
  <c r="AM74" i="14"/>
  <c r="AR72" i="14"/>
  <c r="AQ72" i="14"/>
  <c r="AJ72" i="14"/>
  <c r="L72" i="14"/>
  <c r="M72" i="14" s="1"/>
  <c r="I72" i="14"/>
  <c r="I60" i="14" s="1"/>
  <c r="F72" i="14"/>
  <c r="C72" i="14"/>
  <c r="AN71" i="14"/>
  <c r="AM71" i="14"/>
  <c r="AN70" i="14"/>
  <c r="AN69" i="14"/>
  <c r="AN68" i="14"/>
  <c r="AN67" i="14"/>
  <c r="AN66" i="14"/>
  <c r="AM66" i="14"/>
  <c r="AM65" i="14"/>
  <c r="AS64" i="14"/>
  <c r="AR64" i="14"/>
  <c r="AM64" i="14"/>
  <c r="AN64" i="14" s="1"/>
  <c r="AS63" i="14"/>
  <c r="AR63" i="14"/>
  <c r="AN63" i="14"/>
  <c r="AM63" i="14"/>
  <c r="AS62" i="14"/>
  <c r="AR62" i="14"/>
  <c r="AN62" i="14"/>
  <c r="AM62" i="14"/>
  <c r="AQ61" i="14"/>
  <c r="AJ61" i="14"/>
  <c r="AG61" i="14"/>
  <c r="AD61" i="14"/>
  <c r="AA61" i="14"/>
  <c r="X61" i="14"/>
  <c r="U61" i="14"/>
  <c r="S61" i="14"/>
  <c r="R61" i="14"/>
  <c r="O61" i="14"/>
  <c r="L61" i="14"/>
  <c r="L60" i="14" s="1"/>
  <c r="I61" i="14"/>
  <c r="F61" i="14"/>
  <c r="C61" i="14"/>
  <c r="AJ60" i="14"/>
  <c r="AM59" i="14"/>
  <c r="AM58" i="14"/>
  <c r="AJ57" i="14"/>
  <c r="AJ45" i="14" s="1"/>
  <c r="AG57" i="14"/>
  <c r="AD57" i="14"/>
  <c r="AA57" i="14"/>
  <c r="X57" i="14"/>
  <c r="U57" i="14"/>
  <c r="R57" i="14"/>
  <c r="O57" i="14"/>
  <c r="L57" i="14"/>
  <c r="L45" i="14" s="1"/>
  <c r="L44" i="14" s="1"/>
  <c r="I57" i="14"/>
  <c r="G57" i="14"/>
  <c r="F57" i="14"/>
  <c r="AM53" i="14"/>
  <c r="AM52" i="14"/>
  <c r="AM51" i="14"/>
  <c r="AM50" i="14"/>
  <c r="AM49" i="14"/>
  <c r="AM48" i="14"/>
  <c r="AS47" i="14"/>
  <c r="AR47" i="14"/>
  <c r="AJ47" i="14"/>
  <c r="AJ47" i="16" s="1"/>
  <c r="AI47" i="14"/>
  <c r="AH47" i="14"/>
  <c r="AF47" i="14"/>
  <c r="AC47" i="14"/>
  <c r="Z47" i="14"/>
  <c r="Y47" i="14"/>
  <c r="W47" i="14"/>
  <c r="V47" i="14"/>
  <c r="T47" i="14"/>
  <c r="S47" i="14"/>
  <c r="Q47" i="14"/>
  <c r="P47" i="14"/>
  <c r="N47" i="14"/>
  <c r="L47" i="14"/>
  <c r="J47" i="14"/>
  <c r="I47" i="14"/>
  <c r="H47" i="14"/>
  <c r="G47" i="14"/>
  <c r="E47" i="14"/>
  <c r="D47" i="14"/>
  <c r="AQ46" i="14"/>
  <c r="AJ46" i="14"/>
  <c r="AG46" i="14"/>
  <c r="AG45" i="14" s="1"/>
  <c r="AD46" i="14"/>
  <c r="AA46" i="14"/>
  <c r="X46" i="14"/>
  <c r="X45" i="14" s="1"/>
  <c r="U46" i="14"/>
  <c r="R46" i="14"/>
  <c r="R45" i="14" s="1"/>
  <c r="O46" i="14"/>
  <c r="O45" i="14" s="1"/>
  <c r="L46" i="14"/>
  <c r="F46" i="14"/>
  <c r="C46" i="14"/>
  <c r="AQ45" i="14"/>
  <c r="AD45" i="14"/>
  <c r="AA45" i="14"/>
  <c r="U45" i="14"/>
  <c r="F45" i="14"/>
  <c r="C45" i="14"/>
  <c r="AM35" i="14"/>
  <c r="AM34" i="14"/>
  <c r="AM33" i="14"/>
  <c r="AM32" i="14"/>
  <c r="AM31" i="14"/>
  <c r="AM30" i="14"/>
  <c r="AQ29" i="14"/>
  <c r="AQ28" i="14" s="1"/>
  <c r="AJ29" i="14"/>
  <c r="AG29" i="14"/>
  <c r="AD29" i="14"/>
  <c r="AA29" i="14"/>
  <c r="X29" i="14"/>
  <c r="U29" i="14"/>
  <c r="U28" i="14" s="1"/>
  <c r="R29" i="14"/>
  <c r="O29" i="14"/>
  <c r="L29" i="14"/>
  <c r="I29" i="14"/>
  <c r="F29" i="14"/>
  <c r="C29" i="14"/>
  <c r="AJ28" i="14"/>
  <c r="AJ42" i="14" s="1"/>
  <c r="AG28" i="14"/>
  <c r="AD28" i="14"/>
  <c r="AA28" i="14"/>
  <c r="X28" i="14"/>
  <c r="I28" i="14"/>
  <c r="F28" i="14"/>
  <c r="C28" i="14"/>
  <c r="AM27" i="14"/>
  <c r="AM26" i="14"/>
  <c r="AM25" i="14"/>
  <c r="AJ24" i="14"/>
  <c r="AG24" i="14"/>
  <c r="AD24" i="14"/>
  <c r="AA24" i="14"/>
  <c r="AA23" i="14" s="1"/>
  <c r="X24" i="14"/>
  <c r="U24" i="14"/>
  <c r="U23" i="14" s="1"/>
  <c r="R24" i="14"/>
  <c r="R23" i="14" s="1"/>
  <c r="O24" i="14"/>
  <c r="O23" i="14" s="1"/>
  <c r="L24" i="14"/>
  <c r="I24" i="14"/>
  <c r="I23" i="14" s="1"/>
  <c r="F24" i="14"/>
  <c r="C24" i="14"/>
  <c r="X23" i="14"/>
  <c r="L23" i="14"/>
  <c r="F23" i="14"/>
  <c r="C23" i="14"/>
  <c r="AM22" i="14"/>
  <c r="AM21" i="14"/>
  <c r="AM20" i="14"/>
  <c r="AM19" i="14"/>
  <c r="AM18" i="14"/>
  <c r="AM17" i="14"/>
  <c r="D17" i="14"/>
  <c r="AN16" i="14"/>
  <c r="AM16" i="14"/>
  <c r="D16" i="14"/>
  <c r="AQ15" i="14"/>
  <c r="AQ14" i="14" s="1"/>
  <c r="AJ15" i="14"/>
  <c r="AJ14" i="14" s="1"/>
  <c r="AJ13" i="14" s="1"/>
  <c r="AJ157" i="14" s="1"/>
  <c r="AG15" i="14"/>
  <c r="AD15" i="14"/>
  <c r="AF15" i="14" s="1"/>
  <c r="AA15" i="14"/>
  <c r="X15" i="14"/>
  <c r="Z15" i="14" s="1"/>
  <c r="U15" i="14"/>
  <c r="R15" i="14"/>
  <c r="O15" i="14"/>
  <c r="L15" i="14"/>
  <c r="L14" i="14" s="1"/>
  <c r="L13" i="14" s="1"/>
  <c r="N72" i="14" s="1"/>
  <c r="I15" i="14"/>
  <c r="I14" i="14" s="1"/>
  <c r="F15" i="14"/>
  <c r="C15" i="14"/>
  <c r="C14" i="14" s="1"/>
  <c r="AD14" i="14"/>
  <c r="AA14" i="14"/>
  <c r="X14" i="14"/>
  <c r="U14" i="14"/>
  <c r="R14" i="14"/>
  <c r="O14" i="14"/>
  <c r="F14" i="14"/>
  <c r="AD13" i="14"/>
  <c r="AF114" i="14" s="1"/>
  <c r="F13" i="14"/>
  <c r="AQ12" i="14"/>
  <c r="AJ12" i="14"/>
  <c r="AJ159" i="14" s="1"/>
  <c r="AJ159" i="16" s="1"/>
  <c r="AG12" i="14"/>
  <c r="AG159" i="14" s="1"/>
  <c r="AG159" i="16" s="1"/>
  <c r="AD12" i="14"/>
  <c r="AA12" i="14"/>
  <c r="AB47" i="14" s="1"/>
  <c r="X12" i="14"/>
  <c r="U12" i="14"/>
  <c r="U159" i="14" s="1"/>
  <c r="U159" i="16" s="1"/>
  <c r="R12" i="14"/>
  <c r="O12" i="14"/>
  <c r="L12" i="14"/>
  <c r="M47" i="14" s="1"/>
  <c r="I12" i="14"/>
  <c r="J57" i="14" s="1"/>
  <c r="F12" i="14"/>
  <c r="C12" i="14"/>
  <c r="AM11" i="14"/>
  <c r="AM10" i="14"/>
  <c r="AM9" i="14"/>
  <c r="AM8" i="14"/>
  <c r="AM7" i="14"/>
  <c r="AM6" i="14"/>
  <c r="AV5" i="14"/>
  <c r="AM5" i="14"/>
  <c r="AN17" i="14" s="1"/>
  <c r="AM3" i="14"/>
  <c r="F165" i="13"/>
  <c r="C165" i="13"/>
  <c r="AM160" i="13"/>
  <c r="AM159" i="13"/>
  <c r="AM158" i="13"/>
  <c r="AJ157" i="13"/>
  <c r="AG157" i="13"/>
  <c r="AD157" i="13"/>
  <c r="AA157" i="13"/>
  <c r="X157" i="13"/>
  <c r="U157" i="13"/>
  <c r="R157" i="13"/>
  <c r="O157" i="13"/>
  <c r="F157" i="13"/>
  <c r="C157" i="13"/>
  <c r="C157" i="16" s="1"/>
  <c r="AJ156" i="13"/>
  <c r="AJ156" i="16" s="1"/>
  <c r="AG156" i="13"/>
  <c r="AG156" i="16" s="1"/>
  <c r="AD156" i="13"/>
  <c r="AD156" i="16" s="1"/>
  <c r="AA156" i="13"/>
  <c r="AA156" i="16" s="1"/>
  <c r="X156" i="13"/>
  <c r="X156" i="16" s="1"/>
  <c r="U156" i="13"/>
  <c r="U156" i="16" s="1"/>
  <c r="R156" i="13"/>
  <c r="R156" i="16" s="1"/>
  <c r="O156" i="13"/>
  <c r="O156" i="16" s="1"/>
  <c r="L156" i="13"/>
  <c r="L156" i="16" s="1"/>
  <c r="I156" i="13"/>
  <c r="F156" i="13"/>
  <c r="F156" i="16" s="1"/>
  <c r="C156" i="13"/>
  <c r="C156" i="16" s="1"/>
  <c r="AJ155" i="13"/>
  <c r="AG155" i="13"/>
  <c r="AD155" i="13"/>
  <c r="AD155" i="16" s="1"/>
  <c r="AA155" i="13"/>
  <c r="AA155" i="16" s="1"/>
  <c r="X155" i="13"/>
  <c r="X155" i="16" s="1"/>
  <c r="U155" i="13"/>
  <c r="U155" i="16" s="1"/>
  <c r="R155" i="13"/>
  <c r="O155" i="13"/>
  <c r="L155" i="13"/>
  <c r="I155" i="13"/>
  <c r="I155" i="16" s="1"/>
  <c r="F155" i="13"/>
  <c r="F155" i="16" s="1"/>
  <c r="C155" i="13"/>
  <c r="C155" i="16" s="1"/>
  <c r="AM154" i="13"/>
  <c r="AA153" i="13"/>
  <c r="X153" i="13"/>
  <c r="O153" i="13"/>
  <c r="C153" i="13"/>
  <c r="AM150" i="13"/>
  <c r="AJ147" i="13"/>
  <c r="AG147" i="13"/>
  <c r="AD147" i="13"/>
  <c r="AA147" i="13"/>
  <c r="X147" i="13"/>
  <c r="U147" i="13"/>
  <c r="R147" i="13"/>
  <c r="O147" i="13"/>
  <c r="N147" i="13"/>
  <c r="L147" i="13"/>
  <c r="I147" i="13"/>
  <c r="AM142" i="13"/>
  <c r="AM141" i="13"/>
  <c r="AM140" i="13"/>
  <c r="AM139" i="13"/>
  <c r="AM138" i="13"/>
  <c r="AM137" i="13"/>
  <c r="AM136" i="13"/>
  <c r="F136" i="13"/>
  <c r="AM135" i="13"/>
  <c r="AM134" i="13"/>
  <c r="F134" i="13"/>
  <c r="F133" i="13"/>
  <c r="AM133" i="13" s="1"/>
  <c r="AM132" i="13"/>
  <c r="C131" i="13"/>
  <c r="AM130" i="13"/>
  <c r="AM129" i="13"/>
  <c r="AM128" i="13"/>
  <c r="AJ127" i="13"/>
  <c r="AG127" i="13"/>
  <c r="AD127" i="13"/>
  <c r="AA127" i="13"/>
  <c r="X127" i="13"/>
  <c r="U127" i="13"/>
  <c r="R127" i="13"/>
  <c r="O127" i="13"/>
  <c r="L127" i="13"/>
  <c r="I127" i="13"/>
  <c r="F127" i="13"/>
  <c r="AM126" i="13"/>
  <c r="AM125" i="13"/>
  <c r="AM124" i="13"/>
  <c r="AJ123" i="13"/>
  <c r="AG123" i="13"/>
  <c r="AA123" i="13"/>
  <c r="X123" i="13"/>
  <c r="U123" i="13"/>
  <c r="R123" i="13"/>
  <c r="O123" i="13"/>
  <c r="N123" i="13"/>
  <c r="L123" i="13"/>
  <c r="I123" i="13"/>
  <c r="F123" i="13"/>
  <c r="C123" i="13"/>
  <c r="AM122" i="13"/>
  <c r="AM121" i="13"/>
  <c r="AJ120" i="13"/>
  <c r="AG120" i="13"/>
  <c r="AD120" i="13"/>
  <c r="AA120" i="13"/>
  <c r="X120" i="13"/>
  <c r="U120" i="13"/>
  <c r="R120" i="13"/>
  <c r="O120" i="13"/>
  <c r="L120" i="13"/>
  <c r="N120" i="13" s="1"/>
  <c r="I120" i="13"/>
  <c r="F120" i="13"/>
  <c r="C120" i="13"/>
  <c r="AM119" i="13"/>
  <c r="AM118" i="13"/>
  <c r="AM117" i="13"/>
  <c r="AM116" i="13"/>
  <c r="AM115" i="13"/>
  <c r="AJ114" i="13"/>
  <c r="AG114" i="13"/>
  <c r="AA114" i="13"/>
  <c r="X114" i="13"/>
  <c r="U114" i="13"/>
  <c r="R114" i="13"/>
  <c r="O114" i="13"/>
  <c r="N114" i="13"/>
  <c r="L114" i="13"/>
  <c r="I114" i="13"/>
  <c r="F114" i="13"/>
  <c r="C114" i="13"/>
  <c r="AM113" i="13"/>
  <c r="AM112" i="13"/>
  <c r="AM111" i="13"/>
  <c r="AM110" i="13"/>
  <c r="AJ109" i="13"/>
  <c r="AG109" i="13"/>
  <c r="AD109" i="13"/>
  <c r="AA109" i="13"/>
  <c r="X109" i="13"/>
  <c r="U109" i="13"/>
  <c r="R109" i="13"/>
  <c r="O109" i="13"/>
  <c r="L109" i="13"/>
  <c r="I109" i="13"/>
  <c r="F109" i="13"/>
  <c r="C109" i="13"/>
  <c r="AM108" i="13"/>
  <c r="AM107" i="13"/>
  <c r="AM106" i="13"/>
  <c r="AM105" i="13"/>
  <c r="AM104" i="13"/>
  <c r="AM103" i="13"/>
  <c r="AM102" i="13"/>
  <c r="AM101" i="13"/>
  <c r="AM100" i="13"/>
  <c r="AJ99" i="13"/>
  <c r="AG99" i="13"/>
  <c r="AD99" i="13"/>
  <c r="AA99" i="13"/>
  <c r="X99" i="13"/>
  <c r="U99" i="13"/>
  <c r="R99" i="13"/>
  <c r="O99" i="13"/>
  <c r="N99" i="13"/>
  <c r="L99" i="13"/>
  <c r="I99" i="13"/>
  <c r="F99" i="13"/>
  <c r="C99" i="13"/>
  <c r="AM98" i="13"/>
  <c r="AM97" i="13"/>
  <c r="AJ96" i="13"/>
  <c r="AG96" i="13"/>
  <c r="AG83" i="13" s="1"/>
  <c r="AD96" i="13"/>
  <c r="AA96" i="13"/>
  <c r="X96" i="13"/>
  <c r="U96" i="13"/>
  <c r="R96" i="13"/>
  <c r="O96" i="13"/>
  <c r="L96" i="13"/>
  <c r="N96" i="13" s="1"/>
  <c r="I96" i="13"/>
  <c r="F96" i="13"/>
  <c r="C96" i="13"/>
  <c r="AM95" i="13"/>
  <c r="AM94" i="13"/>
  <c r="AM93" i="13"/>
  <c r="AJ92" i="13"/>
  <c r="AG92" i="13"/>
  <c r="AD92" i="13"/>
  <c r="AA92" i="13"/>
  <c r="X92" i="13"/>
  <c r="U92" i="13"/>
  <c r="R92" i="13"/>
  <c r="O92" i="13"/>
  <c r="N92" i="13"/>
  <c r="L92" i="13"/>
  <c r="I92" i="13"/>
  <c r="F92" i="13"/>
  <c r="C92" i="13"/>
  <c r="AM91" i="13"/>
  <c r="AM90" i="13"/>
  <c r="AJ89" i="13"/>
  <c r="AJ83" i="13" s="1"/>
  <c r="AG89" i="13"/>
  <c r="AD89" i="13"/>
  <c r="AA89" i="13"/>
  <c r="X89" i="13"/>
  <c r="U89" i="13"/>
  <c r="R89" i="13"/>
  <c r="O89" i="13"/>
  <c r="N89" i="13"/>
  <c r="L89" i="13"/>
  <c r="I89" i="13"/>
  <c r="F89" i="13"/>
  <c r="C89" i="13"/>
  <c r="AM88" i="13"/>
  <c r="AM87" i="13"/>
  <c r="AM86" i="13"/>
  <c r="D85" i="13"/>
  <c r="AJ84" i="13"/>
  <c r="AG84" i="13"/>
  <c r="AD84" i="13"/>
  <c r="AA84" i="13"/>
  <c r="X84" i="13"/>
  <c r="U84" i="13"/>
  <c r="R84" i="13"/>
  <c r="O84" i="13"/>
  <c r="N84" i="13"/>
  <c r="L84" i="13"/>
  <c r="I84" i="13"/>
  <c r="L83" i="13"/>
  <c r="N83" i="13" s="1"/>
  <c r="I83" i="13"/>
  <c r="K83" i="13" s="1"/>
  <c r="AM81" i="13"/>
  <c r="AM80" i="13"/>
  <c r="AM79" i="13"/>
  <c r="AJ78" i="13"/>
  <c r="AG78" i="13"/>
  <c r="AD78" i="13"/>
  <c r="AA78" i="13"/>
  <c r="X78" i="13"/>
  <c r="U78" i="13"/>
  <c r="R78" i="13"/>
  <c r="O78" i="13"/>
  <c r="L78" i="13"/>
  <c r="I78" i="13"/>
  <c r="F78" i="13"/>
  <c r="C78" i="13"/>
  <c r="AM77" i="13"/>
  <c r="AM76" i="13"/>
  <c r="F75" i="13"/>
  <c r="AM75" i="13" s="1"/>
  <c r="F74" i="13"/>
  <c r="C74" i="13"/>
  <c r="AM74" i="13" s="1"/>
  <c r="S72" i="13"/>
  <c r="R72" i="13"/>
  <c r="O72" i="13"/>
  <c r="L72" i="13"/>
  <c r="J72" i="13"/>
  <c r="I72" i="13"/>
  <c r="AM71" i="13"/>
  <c r="AN71" i="13" s="1"/>
  <c r="AN70" i="13"/>
  <c r="AN69" i="13"/>
  <c r="AN68" i="13"/>
  <c r="AN67" i="13"/>
  <c r="AN66" i="13"/>
  <c r="AM66" i="13"/>
  <c r="AN65" i="13"/>
  <c r="AM65" i="13"/>
  <c r="AM64" i="13"/>
  <c r="AN63" i="13"/>
  <c r="AM63" i="13"/>
  <c r="AN62" i="13"/>
  <c r="AM62" i="13"/>
  <c r="AJ61" i="13"/>
  <c r="AG61" i="13"/>
  <c r="AD61" i="13"/>
  <c r="AA61" i="13"/>
  <c r="X61" i="13"/>
  <c r="V61" i="13"/>
  <c r="U61" i="13"/>
  <c r="R61" i="13"/>
  <c r="P61" i="13"/>
  <c r="O61" i="13"/>
  <c r="L61" i="13"/>
  <c r="I61" i="13"/>
  <c r="F61" i="13"/>
  <c r="C61" i="13"/>
  <c r="O60" i="13"/>
  <c r="L60" i="13"/>
  <c r="I60" i="13"/>
  <c r="AM59" i="13"/>
  <c r="AM58" i="13"/>
  <c r="AJ57" i="13"/>
  <c r="AG57" i="13"/>
  <c r="AG45" i="13" s="1"/>
  <c r="AD57" i="13"/>
  <c r="AA57" i="13"/>
  <c r="X57" i="13"/>
  <c r="U57" i="13"/>
  <c r="U45" i="13" s="1"/>
  <c r="R57" i="13"/>
  <c r="O57" i="13"/>
  <c r="L57" i="13"/>
  <c r="I57" i="13"/>
  <c r="G57" i="13"/>
  <c r="F57" i="13"/>
  <c r="AM53" i="13"/>
  <c r="AM52" i="13"/>
  <c r="AM51" i="13"/>
  <c r="AM50" i="13"/>
  <c r="AM49" i="13"/>
  <c r="AM48" i="13"/>
  <c r="AL47" i="13"/>
  <c r="AK47" i="13"/>
  <c r="AI47" i="13"/>
  <c r="AH47" i="13"/>
  <c r="AF47" i="13"/>
  <c r="AE47" i="13"/>
  <c r="AC47" i="13"/>
  <c r="AB47" i="13"/>
  <c r="Z47" i="13"/>
  <c r="Y47" i="13"/>
  <c r="W47" i="13"/>
  <c r="V47" i="13"/>
  <c r="T47" i="13"/>
  <c r="S47" i="13"/>
  <c r="Q47" i="13"/>
  <c r="P47" i="13"/>
  <c r="N47" i="13"/>
  <c r="M47" i="13"/>
  <c r="K47" i="13"/>
  <c r="J47" i="13"/>
  <c r="G47" i="13"/>
  <c r="F47" i="13"/>
  <c r="H47" i="13" s="1"/>
  <c r="D47" i="13"/>
  <c r="C47" i="13"/>
  <c r="E47" i="13" s="1"/>
  <c r="AJ46" i="13"/>
  <c r="AG46" i="13"/>
  <c r="AD46" i="13"/>
  <c r="AD45" i="13" s="1"/>
  <c r="AA46" i="13"/>
  <c r="X46" i="13"/>
  <c r="U46" i="13"/>
  <c r="R46" i="13"/>
  <c r="R45" i="13" s="1"/>
  <c r="O46" i="13"/>
  <c r="O45" i="13" s="1"/>
  <c r="L46" i="13"/>
  <c r="I46" i="13"/>
  <c r="I45" i="13" s="1"/>
  <c r="F46" i="13"/>
  <c r="AJ45" i="13"/>
  <c r="AA45" i="13"/>
  <c r="X45" i="13"/>
  <c r="T45" i="13"/>
  <c r="L45" i="13"/>
  <c r="F45" i="13"/>
  <c r="L42" i="13"/>
  <c r="AM35" i="13"/>
  <c r="AM34" i="13"/>
  <c r="AM33" i="13"/>
  <c r="AM32" i="13"/>
  <c r="AM31" i="13"/>
  <c r="AM30" i="13"/>
  <c r="AJ29" i="13"/>
  <c r="AG29" i="13"/>
  <c r="AD29" i="13"/>
  <c r="AA29" i="13"/>
  <c r="AA28" i="13" s="1"/>
  <c r="X29" i="13"/>
  <c r="U29" i="13"/>
  <c r="U28" i="13" s="1"/>
  <c r="R29" i="13"/>
  <c r="O29" i="13"/>
  <c r="N29" i="13"/>
  <c r="L29" i="13"/>
  <c r="L28" i="13" s="1"/>
  <c r="I29" i="13"/>
  <c r="F29" i="13"/>
  <c r="F28" i="13" s="1"/>
  <c r="C29" i="13"/>
  <c r="AJ28" i="13"/>
  <c r="AD28" i="13"/>
  <c r="X28" i="13"/>
  <c r="I28" i="13"/>
  <c r="C28" i="13"/>
  <c r="AM27" i="13"/>
  <c r="AM26" i="13"/>
  <c r="AM25" i="13"/>
  <c r="AJ24" i="13"/>
  <c r="AG24" i="13"/>
  <c r="AD24" i="13"/>
  <c r="AA24" i="13"/>
  <c r="X24" i="13"/>
  <c r="U24" i="13"/>
  <c r="R24" i="13"/>
  <c r="O24" i="13"/>
  <c r="O23" i="13" s="1"/>
  <c r="L24" i="13"/>
  <c r="L23" i="13" s="1"/>
  <c r="L13" i="13" s="1"/>
  <c r="I24" i="13"/>
  <c r="I23" i="13" s="1"/>
  <c r="F24" i="13"/>
  <c r="F23" i="13" s="1"/>
  <c r="C24" i="13"/>
  <c r="C23" i="13" s="1"/>
  <c r="AA23" i="13"/>
  <c r="X23" i="13"/>
  <c r="X13" i="13" s="1"/>
  <c r="Z96" i="13" s="1"/>
  <c r="U23" i="13"/>
  <c r="R23" i="13"/>
  <c r="AM22" i="13"/>
  <c r="AM21" i="13"/>
  <c r="AM20" i="13"/>
  <c r="AM19" i="13"/>
  <c r="AM18" i="13"/>
  <c r="AN17" i="13"/>
  <c r="AM17" i="13"/>
  <c r="AK17" i="13"/>
  <c r="AH17" i="13"/>
  <c r="AE17" i="13"/>
  <c r="AB17" i="13"/>
  <c r="Y17" i="13"/>
  <c r="V17" i="13"/>
  <c r="S17" i="13"/>
  <c r="P17" i="13"/>
  <c r="M17" i="13"/>
  <c r="J17" i="13"/>
  <c r="AN16" i="13"/>
  <c r="AM16" i="13"/>
  <c r="AK16" i="13"/>
  <c r="AH16" i="13"/>
  <c r="AE16" i="13"/>
  <c r="AB16" i="13"/>
  <c r="Y16" i="13"/>
  <c r="V16" i="13"/>
  <c r="S16" i="13"/>
  <c r="P16" i="13"/>
  <c r="M16" i="13"/>
  <c r="J16" i="13"/>
  <c r="AL15" i="13"/>
  <c r="AJ15" i="13"/>
  <c r="AG15" i="13"/>
  <c r="AI15" i="13" s="1"/>
  <c r="AD15" i="13"/>
  <c r="AF15" i="13" s="1"/>
  <c r="AA15" i="13"/>
  <c r="AA14" i="13" s="1"/>
  <c r="X15" i="13"/>
  <c r="Z15" i="13" s="1"/>
  <c r="U15" i="13"/>
  <c r="R15" i="13"/>
  <c r="O15" i="13"/>
  <c r="L15" i="13"/>
  <c r="L14" i="13" s="1"/>
  <c r="I15" i="13"/>
  <c r="F15" i="13"/>
  <c r="C15" i="13"/>
  <c r="AJ14" i="13"/>
  <c r="AG14" i="13"/>
  <c r="AD14" i="13"/>
  <c r="X14" i="13"/>
  <c r="X42" i="13" s="1"/>
  <c r="U14" i="13"/>
  <c r="R14" i="13"/>
  <c r="R13" i="13" s="1"/>
  <c r="I14" i="13"/>
  <c r="I42" i="13" s="1"/>
  <c r="F14" i="13"/>
  <c r="C14" i="13"/>
  <c r="AG13" i="13"/>
  <c r="U13" i="13"/>
  <c r="I13" i="13"/>
  <c r="AJ12" i="13"/>
  <c r="AG12" i="13"/>
  <c r="AD12" i="13"/>
  <c r="AA12" i="13"/>
  <c r="X12" i="13"/>
  <c r="U12" i="13"/>
  <c r="R12" i="13"/>
  <c r="O12" i="13"/>
  <c r="L12" i="13"/>
  <c r="I12" i="13"/>
  <c r="F12" i="13"/>
  <c r="C12" i="13"/>
  <c r="AM11" i="13"/>
  <c r="AM10" i="13"/>
  <c r="AM9" i="13"/>
  <c r="AM8" i="13"/>
  <c r="AM7" i="13"/>
  <c r="AM6" i="13"/>
  <c r="AM5" i="13"/>
  <c r="AM3" i="13"/>
  <c r="AM216" i="12"/>
  <c r="AM160" i="12"/>
  <c r="AM159" i="12"/>
  <c r="AM158" i="12"/>
  <c r="AM157" i="12"/>
  <c r="AM156" i="12"/>
  <c r="AM155" i="12"/>
  <c r="AM154" i="12"/>
  <c r="AJ153" i="12"/>
  <c r="AG153" i="12"/>
  <c r="AD153" i="12"/>
  <c r="AA153" i="12"/>
  <c r="X153" i="12"/>
  <c r="U153" i="12"/>
  <c r="R153" i="12"/>
  <c r="O153" i="12"/>
  <c r="L153" i="12"/>
  <c r="I153" i="12"/>
  <c r="F153" i="12"/>
  <c r="C153" i="12"/>
  <c r="AM153" i="12" s="1"/>
  <c r="AM151" i="12"/>
  <c r="AM150" i="12"/>
  <c r="AM149" i="12"/>
  <c r="AJ147" i="12"/>
  <c r="AG147" i="12"/>
  <c r="AD147" i="12"/>
  <c r="AC147" i="12"/>
  <c r="AA147" i="12"/>
  <c r="X147" i="12"/>
  <c r="U147" i="12"/>
  <c r="R147" i="12"/>
  <c r="O147" i="12"/>
  <c r="L147" i="12"/>
  <c r="I147" i="12"/>
  <c r="AM142" i="12"/>
  <c r="AM141" i="12"/>
  <c r="AM140" i="12"/>
  <c r="AM139" i="12"/>
  <c r="AM138" i="12"/>
  <c r="AM137" i="12"/>
  <c r="AM136" i="12"/>
  <c r="AM135" i="12"/>
  <c r="AM134" i="12"/>
  <c r="AM133" i="12"/>
  <c r="AM132" i="12"/>
  <c r="AM131" i="12"/>
  <c r="AM130" i="12"/>
  <c r="AM129" i="12"/>
  <c r="AM128" i="12"/>
  <c r="AJ127" i="12"/>
  <c r="AG127" i="12"/>
  <c r="AD127" i="12"/>
  <c r="AA127" i="12"/>
  <c r="AC127" i="12" s="1"/>
  <c r="X127" i="12"/>
  <c r="U127" i="12"/>
  <c r="R127" i="12"/>
  <c r="O127" i="12"/>
  <c r="L127" i="12"/>
  <c r="I127" i="12"/>
  <c r="F127" i="12"/>
  <c r="C127" i="12"/>
  <c r="AM126" i="12"/>
  <c r="AM125" i="12"/>
  <c r="AM124" i="12"/>
  <c r="AJ123" i="12"/>
  <c r="AG123" i="12"/>
  <c r="AA123" i="12"/>
  <c r="AC123" i="12" s="1"/>
  <c r="X123" i="12"/>
  <c r="U123" i="12"/>
  <c r="T123" i="12"/>
  <c r="R123" i="12"/>
  <c r="O123" i="12"/>
  <c r="L123" i="12"/>
  <c r="I123" i="12"/>
  <c r="F123" i="12"/>
  <c r="C123" i="12"/>
  <c r="AM122" i="12"/>
  <c r="AM121" i="12"/>
  <c r="AJ120" i="12"/>
  <c r="AG120" i="12"/>
  <c r="AD120" i="12"/>
  <c r="AC120" i="12"/>
  <c r="AA120" i="12"/>
  <c r="X120" i="12"/>
  <c r="U120" i="12"/>
  <c r="R120" i="12"/>
  <c r="O120" i="12"/>
  <c r="L120" i="12"/>
  <c r="I120" i="12"/>
  <c r="F120" i="12"/>
  <c r="C120" i="12"/>
  <c r="AM119" i="12"/>
  <c r="AM118" i="12"/>
  <c r="AM117" i="12"/>
  <c r="AM116" i="12"/>
  <c r="AM115" i="12"/>
  <c r="AJ114" i="12"/>
  <c r="AG114" i="12"/>
  <c r="AD114" i="12"/>
  <c r="AA114" i="12"/>
  <c r="X114" i="12"/>
  <c r="U114" i="12"/>
  <c r="R114" i="12"/>
  <c r="O114" i="12"/>
  <c r="L114" i="12"/>
  <c r="I114" i="12"/>
  <c r="F114" i="12"/>
  <c r="C114" i="12"/>
  <c r="AM114" i="12" s="1"/>
  <c r="AM113" i="12"/>
  <c r="AM112" i="12"/>
  <c r="AM111" i="12"/>
  <c r="AM110" i="12"/>
  <c r="AJ109" i="12"/>
  <c r="AG109" i="12"/>
  <c r="AD109" i="12"/>
  <c r="AA109" i="12"/>
  <c r="AC109" i="12" s="1"/>
  <c r="X109" i="12"/>
  <c r="U109" i="12"/>
  <c r="R109" i="12"/>
  <c r="O109" i="12"/>
  <c r="L109" i="12"/>
  <c r="I109" i="12"/>
  <c r="F109" i="12"/>
  <c r="C109" i="12"/>
  <c r="AM108" i="12"/>
  <c r="AM107" i="12"/>
  <c r="AM106" i="12"/>
  <c r="AM105" i="12"/>
  <c r="AM104" i="12"/>
  <c r="AM103" i="12"/>
  <c r="AM102" i="12"/>
  <c r="AM101" i="12"/>
  <c r="AM100" i="12"/>
  <c r="AM99" i="12"/>
  <c r="AJ99" i="12"/>
  <c r="AG99" i="12"/>
  <c r="AD99" i="12"/>
  <c r="AA99" i="12"/>
  <c r="AC99" i="12" s="1"/>
  <c r="X99" i="12"/>
  <c r="U99" i="12"/>
  <c r="R99" i="12"/>
  <c r="O99" i="12"/>
  <c r="L99" i="12"/>
  <c r="I99" i="12"/>
  <c r="F99" i="12"/>
  <c r="C99" i="12"/>
  <c r="AM98" i="12"/>
  <c r="AM97" i="12"/>
  <c r="AJ96" i="12"/>
  <c r="AG96" i="12"/>
  <c r="AD96" i="12"/>
  <c r="AC96" i="12"/>
  <c r="AA96" i="12"/>
  <c r="X96" i="12"/>
  <c r="U96" i="12"/>
  <c r="R96" i="12"/>
  <c r="O96" i="12"/>
  <c r="L96" i="12"/>
  <c r="I96" i="12"/>
  <c r="F96" i="12"/>
  <c r="C96" i="12"/>
  <c r="AM95" i="12"/>
  <c r="AM94" i="12"/>
  <c r="AM93" i="12"/>
  <c r="AJ92" i="12"/>
  <c r="AG92" i="12"/>
  <c r="AD92" i="12"/>
  <c r="AA92" i="12"/>
  <c r="AC92" i="12" s="1"/>
  <c r="X92" i="12"/>
  <c r="U92" i="12"/>
  <c r="R92" i="12"/>
  <c r="O92" i="12"/>
  <c r="L92" i="12"/>
  <c r="I92" i="12"/>
  <c r="F92" i="12"/>
  <c r="C92" i="12"/>
  <c r="AM91" i="12"/>
  <c r="AM90" i="12"/>
  <c r="AJ89" i="12"/>
  <c r="AG89" i="12"/>
  <c r="AD89" i="12"/>
  <c r="AA89" i="12"/>
  <c r="AC89" i="12" s="1"/>
  <c r="X89" i="12"/>
  <c r="U89" i="12"/>
  <c r="R89" i="12"/>
  <c r="O89" i="12"/>
  <c r="L89" i="12"/>
  <c r="I89" i="12"/>
  <c r="F89" i="12"/>
  <c r="C89" i="12"/>
  <c r="AM88" i="12"/>
  <c r="AM87" i="12"/>
  <c r="AM86" i="12"/>
  <c r="F85" i="12"/>
  <c r="C85" i="12"/>
  <c r="AJ84" i="12"/>
  <c r="AG84" i="12"/>
  <c r="AD84" i="12"/>
  <c r="AA84" i="12"/>
  <c r="X84" i="12"/>
  <c r="U84" i="12"/>
  <c r="R84" i="12"/>
  <c r="O84" i="12"/>
  <c r="L84" i="12"/>
  <c r="I84" i="12"/>
  <c r="F84" i="12"/>
  <c r="AJ83" i="12"/>
  <c r="AG83" i="12"/>
  <c r="L83" i="12"/>
  <c r="I83" i="12"/>
  <c r="U82" i="12"/>
  <c r="R82" i="12"/>
  <c r="O82" i="12"/>
  <c r="L82" i="12"/>
  <c r="I82" i="12"/>
  <c r="AM81" i="12"/>
  <c r="AM80" i="12"/>
  <c r="AM79" i="12"/>
  <c r="AJ78" i="12"/>
  <c r="AG78" i="12"/>
  <c r="AD78" i="12"/>
  <c r="AC78" i="12"/>
  <c r="AA78" i="12"/>
  <c r="X78" i="12"/>
  <c r="U78" i="12"/>
  <c r="R78" i="12"/>
  <c r="O78" i="12"/>
  <c r="L78" i="12"/>
  <c r="I78" i="12"/>
  <c r="F78" i="12"/>
  <c r="C78" i="12"/>
  <c r="AM77" i="12"/>
  <c r="AM76" i="12"/>
  <c r="AM75" i="12"/>
  <c r="AM74" i="12"/>
  <c r="AM73" i="12"/>
  <c r="AJ72" i="12"/>
  <c r="AG72" i="12"/>
  <c r="AE72" i="12"/>
  <c r="AD72" i="12"/>
  <c r="AC72" i="12"/>
  <c r="AA72" i="12"/>
  <c r="X72" i="12"/>
  <c r="U72" i="12"/>
  <c r="R72" i="12"/>
  <c r="O72" i="12"/>
  <c r="O60" i="12" s="1"/>
  <c r="L72" i="12"/>
  <c r="I72" i="12"/>
  <c r="F72" i="12"/>
  <c r="G72" i="12" s="1"/>
  <c r="AM71" i="12"/>
  <c r="AM66" i="12"/>
  <c r="AM65" i="12"/>
  <c r="AM64" i="12"/>
  <c r="AM63" i="12"/>
  <c r="AM62" i="12"/>
  <c r="AJ61" i="12"/>
  <c r="AJ60" i="12" s="1"/>
  <c r="AG61" i="12"/>
  <c r="AD61" i="12"/>
  <c r="AA61" i="12"/>
  <c r="X61" i="12"/>
  <c r="U61" i="12"/>
  <c r="V61" i="12" s="1"/>
  <c r="R61" i="12"/>
  <c r="P61" i="12"/>
  <c r="O61" i="12"/>
  <c r="L61" i="12"/>
  <c r="I61" i="12"/>
  <c r="F61" i="12"/>
  <c r="C61" i="12"/>
  <c r="AG60" i="12"/>
  <c r="AD60" i="12"/>
  <c r="AA60" i="12"/>
  <c r="U60" i="12"/>
  <c r="L60" i="12"/>
  <c r="K60" i="12"/>
  <c r="I60" i="12"/>
  <c r="C60" i="12"/>
  <c r="AM59" i="12"/>
  <c r="F58" i="12"/>
  <c r="F58" i="16" s="1"/>
  <c r="F57" i="16" s="1"/>
  <c r="C58" i="12"/>
  <c r="AJ57" i="12"/>
  <c r="AG57" i="12"/>
  <c r="AD57" i="12"/>
  <c r="AA57" i="12"/>
  <c r="X57" i="12"/>
  <c r="Y57" i="12" s="1"/>
  <c r="U57" i="12"/>
  <c r="S57" i="12"/>
  <c r="R57" i="12"/>
  <c r="P57" i="12"/>
  <c r="O57" i="12"/>
  <c r="M57" i="12"/>
  <c r="L57" i="12"/>
  <c r="I57" i="12"/>
  <c r="J57" i="12" s="1"/>
  <c r="F57" i="12"/>
  <c r="C57" i="12"/>
  <c r="AM53" i="12"/>
  <c r="AM52" i="12"/>
  <c r="AM51" i="12"/>
  <c r="AM50" i="12"/>
  <c r="AM49" i="12"/>
  <c r="AM48" i="12"/>
  <c r="AM47" i="12"/>
  <c r="AE47" i="12"/>
  <c r="Y47" i="12"/>
  <c r="S47" i="12"/>
  <c r="P47" i="12"/>
  <c r="G47" i="12"/>
  <c r="AJ46" i="12"/>
  <c r="AG46" i="12"/>
  <c r="AD46" i="12"/>
  <c r="AA46" i="12"/>
  <c r="X46" i="12"/>
  <c r="U46" i="12"/>
  <c r="R46" i="12"/>
  <c r="R45" i="12" s="1"/>
  <c r="O46" i="12"/>
  <c r="L46" i="12"/>
  <c r="L45" i="12" s="1"/>
  <c r="I46" i="12"/>
  <c r="I45" i="12" s="1"/>
  <c r="F46" i="12"/>
  <c r="C46" i="12"/>
  <c r="AD45" i="12"/>
  <c r="AD44" i="12" s="1"/>
  <c r="AA45" i="12"/>
  <c r="O45" i="12"/>
  <c r="O44" i="12" s="1"/>
  <c r="C45" i="12"/>
  <c r="C44" i="12" s="1"/>
  <c r="AA44" i="12"/>
  <c r="AM35" i="12"/>
  <c r="AM34" i="12"/>
  <c r="AM33" i="12"/>
  <c r="AM32" i="12"/>
  <c r="AM31" i="12"/>
  <c r="AM30" i="12"/>
  <c r="AJ29" i="12"/>
  <c r="AG29" i="12"/>
  <c r="AD29" i="12"/>
  <c r="AC29" i="12"/>
  <c r="AA29" i="12"/>
  <c r="AA28" i="12" s="1"/>
  <c r="AA42" i="12" s="1"/>
  <c r="X29" i="12"/>
  <c r="U29" i="12"/>
  <c r="U28" i="12" s="1"/>
  <c r="R29" i="12"/>
  <c r="O29" i="12"/>
  <c r="L29" i="12"/>
  <c r="I29" i="12"/>
  <c r="F29" i="12"/>
  <c r="C29" i="12"/>
  <c r="AJ28" i="12"/>
  <c r="AG28" i="12"/>
  <c r="AD28" i="12"/>
  <c r="X28" i="12"/>
  <c r="R28" i="12"/>
  <c r="O28" i="12"/>
  <c r="L28" i="12"/>
  <c r="F28" i="12"/>
  <c r="AM27" i="12"/>
  <c r="AM26" i="12"/>
  <c r="AM25" i="12"/>
  <c r="AJ24" i="12"/>
  <c r="AG24" i="12"/>
  <c r="AD24" i="12"/>
  <c r="AA24" i="12"/>
  <c r="AA23" i="12" s="1"/>
  <c r="X24" i="12"/>
  <c r="X23" i="12" s="1"/>
  <c r="U24" i="12"/>
  <c r="R24" i="12"/>
  <c r="O24" i="12"/>
  <c r="L24" i="12"/>
  <c r="L23" i="12" s="1"/>
  <c r="L13" i="12" s="1"/>
  <c r="I24" i="12"/>
  <c r="I23" i="12" s="1"/>
  <c r="F24" i="12"/>
  <c r="F23" i="12" s="1"/>
  <c r="C24" i="12"/>
  <c r="U23" i="12"/>
  <c r="R23" i="12"/>
  <c r="R42" i="12" s="1"/>
  <c r="O23" i="12"/>
  <c r="C23" i="12"/>
  <c r="AM22" i="12"/>
  <c r="AM21" i="12"/>
  <c r="AM20" i="12"/>
  <c r="AM19" i="12"/>
  <c r="AM18" i="12"/>
  <c r="AH18" i="12"/>
  <c r="AE18" i="12"/>
  <c r="AB18" i="12"/>
  <c r="Y18" i="12"/>
  <c r="V18" i="12"/>
  <c r="S18" i="12"/>
  <c r="P18" i="12"/>
  <c r="M18" i="12"/>
  <c r="J18" i="12"/>
  <c r="AM17" i="12"/>
  <c r="AK17" i="12"/>
  <c r="AH17" i="12"/>
  <c r="AE17" i="12"/>
  <c r="AB17" i="12"/>
  <c r="Y17" i="12"/>
  <c r="V17" i="12"/>
  <c r="S17" i="12"/>
  <c r="P17" i="12"/>
  <c r="M17" i="12"/>
  <c r="J17" i="12"/>
  <c r="AM16" i="12"/>
  <c r="AJ15" i="12"/>
  <c r="AG15" i="12"/>
  <c r="AF15" i="12"/>
  <c r="AD15" i="12"/>
  <c r="AC15" i="12"/>
  <c r="AA15" i="12"/>
  <c r="Z15" i="12"/>
  <c r="X15" i="12"/>
  <c r="X14" i="12" s="1"/>
  <c r="U15" i="12"/>
  <c r="R15" i="12"/>
  <c r="R14" i="12" s="1"/>
  <c r="R13" i="12" s="1"/>
  <c r="O15" i="12"/>
  <c r="L15" i="12"/>
  <c r="I15" i="12"/>
  <c r="F15" i="12"/>
  <c r="F14" i="12" s="1"/>
  <c r="C15" i="12"/>
  <c r="AJ14" i="12"/>
  <c r="AJ42" i="12" s="1"/>
  <c r="AD14" i="12"/>
  <c r="AD13" i="12" s="1"/>
  <c r="AA14" i="12"/>
  <c r="AA13" i="12" s="1"/>
  <c r="AC47" i="12" s="1"/>
  <c r="U14" i="12"/>
  <c r="O14" i="12"/>
  <c r="L14" i="12"/>
  <c r="I14" i="12"/>
  <c r="C14" i="12"/>
  <c r="I13" i="12"/>
  <c r="AJ12" i="12"/>
  <c r="AK47" i="12" s="1"/>
  <c r="AG12" i="12"/>
  <c r="AH47" i="12" s="1"/>
  <c r="AD12" i="12"/>
  <c r="AA12" i="12"/>
  <c r="AB47" i="12" s="1"/>
  <c r="X12" i="12"/>
  <c r="U12" i="12"/>
  <c r="R12" i="12"/>
  <c r="O12" i="12"/>
  <c r="L12" i="12"/>
  <c r="M47" i="12" s="1"/>
  <c r="I12" i="12"/>
  <c r="J72" i="12" s="1"/>
  <c r="F12" i="12"/>
  <c r="C12" i="12"/>
  <c r="D57" i="12" s="1"/>
  <c r="AM11" i="12"/>
  <c r="AM10" i="12"/>
  <c r="AM9" i="12"/>
  <c r="AM8" i="12"/>
  <c r="AM7" i="12"/>
  <c r="AM6" i="12"/>
  <c r="AM5" i="12"/>
  <c r="AM3" i="12"/>
  <c r="F165" i="11"/>
  <c r="C165" i="11"/>
  <c r="AM160" i="11"/>
  <c r="AM159" i="11"/>
  <c r="AM158" i="11"/>
  <c r="AM157" i="11"/>
  <c r="AM156" i="11"/>
  <c r="AM155" i="11"/>
  <c r="AM154" i="11"/>
  <c r="AJ153" i="11"/>
  <c r="AG153" i="11"/>
  <c r="AD153" i="11"/>
  <c r="AA153" i="11"/>
  <c r="X153" i="11"/>
  <c r="U153" i="11"/>
  <c r="R153" i="11"/>
  <c r="O153" i="11"/>
  <c r="L153" i="11"/>
  <c r="I153" i="11"/>
  <c r="F153" i="11"/>
  <c r="C153" i="11"/>
  <c r="AM150" i="11"/>
  <c r="AJ147" i="11"/>
  <c r="AG147" i="11"/>
  <c r="AI147" i="11" s="1"/>
  <c r="AD147" i="11"/>
  <c r="AA147" i="11"/>
  <c r="X147" i="11"/>
  <c r="U147" i="11"/>
  <c r="R147" i="11"/>
  <c r="O147" i="11"/>
  <c r="L147" i="11"/>
  <c r="K147" i="11"/>
  <c r="I147" i="11"/>
  <c r="AM142" i="11"/>
  <c r="AM141" i="11"/>
  <c r="AM140" i="11"/>
  <c r="AM139" i="11"/>
  <c r="AM138" i="11"/>
  <c r="AM137" i="11"/>
  <c r="AM136" i="11"/>
  <c r="AM135" i="11"/>
  <c r="AM134" i="11"/>
  <c r="C133" i="11"/>
  <c r="AM133" i="11" s="1"/>
  <c r="AM132" i="11"/>
  <c r="AM131" i="11"/>
  <c r="F130" i="11"/>
  <c r="F127" i="11" s="1"/>
  <c r="C130" i="11"/>
  <c r="AM129" i="11"/>
  <c r="AM128" i="11"/>
  <c r="AJ127" i="11"/>
  <c r="AG127" i="11"/>
  <c r="AI127" i="11" s="1"/>
  <c r="AD127" i="11"/>
  <c r="AA127" i="11"/>
  <c r="X127" i="11"/>
  <c r="U127" i="11"/>
  <c r="R127" i="11"/>
  <c r="O127" i="11"/>
  <c r="L127" i="11"/>
  <c r="I127" i="11"/>
  <c r="AM126" i="11"/>
  <c r="AM125" i="11"/>
  <c r="AM124" i="11"/>
  <c r="AJ123" i="11"/>
  <c r="AI123" i="11"/>
  <c r="AG123" i="11"/>
  <c r="AA123" i="11"/>
  <c r="X123" i="11"/>
  <c r="U123" i="11"/>
  <c r="R123" i="11"/>
  <c r="O123" i="11"/>
  <c r="L123" i="11"/>
  <c r="I123" i="11"/>
  <c r="F123" i="11"/>
  <c r="C123" i="11"/>
  <c r="AM122" i="11"/>
  <c r="AM121" i="11"/>
  <c r="AJ120" i="11"/>
  <c r="AG120" i="11"/>
  <c r="AI120" i="11" s="1"/>
  <c r="AD120" i="11"/>
  <c r="AA120" i="11"/>
  <c r="X120" i="11"/>
  <c r="U120" i="11"/>
  <c r="R120" i="11"/>
  <c r="O120" i="11"/>
  <c r="L120" i="11"/>
  <c r="I120" i="11"/>
  <c r="F120" i="11"/>
  <c r="C120" i="11"/>
  <c r="AM119" i="11"/>
  <c r="AM118" i="11"/>
  <c r="AM117" i="11"/>
  <c r="AM116" i="11"/>
  <c r="AM115" i="11"/>
  <c r="AJ114" i="11"/>
  <c r="AG114" i="11"/>
  <c r="AD114" i="11"/>
  <c r="AA114" i="11"/>
  <c r="X114" i="11"/>
  <c r="U114" i="11"/>
  <c r="R114" i="11"/>
  <c r="O114" i="11"/>
  <c r="L114" i="11"/>
  <c r="I114" i="11"/>
  <c r="F114" i="11"/>
  <c r="C114" i="11"/>
  <c r="AM113" i="11"/>
  <c r="AM112" i="11"/>
  <c r="AM111" i="11"/>
  <c r="AM110" i="11"/>
  <c r="AM109" i="11"/>
  <c r="AJ109" i="11"/>
  <c r="AJ83" i="11" s="1"/>
  <c r="AG109" i="11"/>
  <c r="AD109" i="11"/>
  <c r="AA109" i="11"/>
  <c r="X109" i="11"/>
  <c r="U109" i="11"/>
  <c r="R109" i="11"/>
  <c r="O109" i="11"/>
  <c r="L109" i="11"/>
  <c r="I109" i="11"/>
  <c r="F109" i="11"/>
  <c r="C109" i="11"/>
  <c r="AM108" i="11"/>
  <c r="AM107" i="11"/>
  <c r="AM106" i="11"/>
  <c r="AM105" i="11"/>
  <c r="AM104" i="11"/>
  <c r="AM103" i="11"/>
  <c r="AM102" i="11"/>
  <c r="AM101" i="11"/>
  <c r="AM100" i="11"/>
  <c r="AJ99" i="11"/>
  <c r="AG99" i="11"/>
  <c r="AI99" i="11" s="1"/>
  <c r="AD99" i="11"/>
  <c r="AA99" i="11"/>
  <c r="X99" i="11"/>
  <c r="U99" i="11"/>
  <c r="R99" i="11"/>
  <c r="O99" i="11"/>
  <c r="L99" i="11"/>
  <c r="I99" i="11"/>
  <c r="F99" i="11"/>
  <c r="C99" i="11"/>
  <c r="AM98" i="11"/>
  <c r="AM97" i="11"/>
  <c r="AJ96" i="11"/>
  <c r="AI96" i="11"/>
  <c r="AG96" i="11"/>
  <c r="AD96" i="11"/>
  <c r="AA96" i="11"/>
  <c r="X96" i="11"/>
  <c r="U96" i="11"/>
  <c r="R96" i="11"/>
  <c r="O96" i="11"/>
  <c r="L96" i="11"/>
  <c r="K96" i="11"/>
  <c r="I96" i="11"/>
  <c r="F96" i="11"/>
  <c r="C96" i="11"/>
  <c r="AM95" i="11"/>
  <c r="AM94" i="11"/>
  <c r="AM93" i="11"/>
  <c r="AJ92" i="11"/>
  <c r="AI92" i="11"/>
  <c r="AG92" i="11"/>
  <c r="AD92" i="11"/>
  <c r="AA92" i="11"/>
  <c r="X92" i="11"/>
  <c r="U92" i="11"/>
  <c r="R92" i="11"/>
  <c r="O92" i="11"/>
  <c r="L92" i="11"/>
  <c r="I92" i="11"/>
  <c r="F92" i="11"/>
  <c r="C92" i="11"/>
  <c r="AM91" i="11"/>
  <c r="AM90" i="11"/>
  <c r="AJ89" i="11"/>
  <c r="AG89" i="11"/>
  <c r="AD89" i="11"/>
  <c r="AA89" i="11"/>
  <c r="X89" i="11"/>
  <c r="U89" i="11"/>
  <c r="R89" i="11"/>
  <c r="O89" i="11"/>
  <c r="L89" i="11"/>
  <c r="I89" i="11"/>
  <c r="F89" i="11"/>
  <c r="C89" i="11"/>
  <c r="AM87" i="11"/>
  <c r="AM86" i="11"/>
  <c r="AJ84" i="11"/>
  <c r="AG84" i="11"/>
  <c r="AI84" i="11" s="1"/>
  <c r="AD84" i="11"/>
  <c r="AA84" i="11"/>
  <c r="X84" i="11"/>
  <c r="U84" i="11"/>
  <c r="R84" i="11"/>
  <c r="O84" i="11"/>
  <c r="L84" i="11"/>
  <c r="I84" i="11"/>
  <c r="AA83" i="11"/>
  <c r="AM81" i="11"/>
  <c r="F80" i="11"/>
  <c r="F78" i="11" s="1"/>
  <c r="C80" i="11"/>
  <c r="AM79" i="11"/>
  <c r="AJ78" i="11"/>
  <c r="AG78" i="11"/>
  <c r="AD78" i="11"/>
  <c r="AA78" i="11"/>
  <c r="X78" i="11"/>
  <c r="U78" i="11"/>
  <c r="R78" i="11"/>
  <c r="O78" i="11"/>
  <c r="AM78" i="11" s="1"/>
  <c r="L78" i="11"/>
  <c r="I78" i="11"/>
  <c r="C78" i="11"/>
  <c r="AM77" i="11"/>
  <c r="AM76" i="11"/>
  <c r="AM75" i="11"/>
  <c r="F75" i="11"/>
  <c r="F75" i="16" s="1"/>
  <c r="C75" i="11"/>
  <c r="C75" i="16" s="1"/>
  <c r="F74" i="11"/>
  <c r="C74" i="11"/>
  <c r="AN71" i="11"/>
  <c r="AM71" i="11"/>
  <c r="AN70" i="11"/>
  <c r="AN69" i="11"/>
  <c r="AN68" i="11"/>
  <c r="AN67" i="11"/>
  <c r="AN66" i="11"/>
  <c r="AM66" i="11"/>
  <c r="AM65" i="11"/>
  <c r="AN65" i="11" s="1"/>
  <c r="AM64" i="11"/>
  <c r="AN63" i="11"/>
  <c r="AM63" i="11"/>
  <c r="AM62" i="11"/>
  <c r="AJ61" i="11"/>
  <c r="AG61" i="11"/>
  <c r="AD61" i="11"/>
  <c r="AA61" i="11"/>
  <c r="X61" i="11"/>
  <c r="V61" i="11"/>
  <c r="U61" i="11"/>
  <c r="S61" i="11"/>
  <c r="R61" i="11"/>
  <c r="O61" i="11"/>
  <c r="L61" i="11"/>
  <c r="I61" i="11"/>
  <c r="F61" i="11"/>
  <c r="C61" i="11"/>
  <c r="AM59" i="11"/>
  <c r="AM58" i="11"/>
  <c r="AJ57" i="11"/>
  <c r="AG57" i="11"/>
  <c r="AD57" i="11"/>
  <c r="AA57" i="11"/>
  <c r="X57" i="11"/>
  <c r="U57" i="11"/>
  <c r="R57" i="11"/>
  <c r="R45" i="11" s="1"/>
  <c r="O57" i="11"/>
  <c r="O45" i="11" s="1"/>
  <c r="L57" i="11"/>
  <c r="J57" i="11"/>
  <c r="I57" i="11"/>
  <c r="F57" i="11"/>
  <c r="AM53" i="11"/>
  <c r="AM52" i="11"/>
  <c r="AM51" i="11"/>
  <c r="AM50" i="11"/>
  <c r="AM49" i="11"/>
  <c r="AN49" i="11" s="1"/>
  <c r="AM48" i="11"/>
  <c r="AN47" i="11"/>
  <c r="AM47" i="11"/>
  <c r="AL47" i="11"/>
  <c r="AI47" i="11"/>
  <c r="AH47" i="11"/>
  <c r="AF47" i="11"/>
  <c r="AC47" i="11"/>
  <c r="AB47" i="11"/>
  <c r="Z47" i="11"/>
  <c r="W47" i="11"/>
  <c r="T47" i="11"/>
  <c r="Q47" i="11"/>
  <c r="P47" i="11"/>
  <c r="N47" i="11"/>
  <c r="M47" i="11"/>
  <c r="K47" i="11"/>
  <c r="J47" i="11"/>
  <c r="H47" i="11"/>
  <c r="E47" i="11"/>
  <c r="AJ46" i="11"/>
  <c r="AJ45" i="11" s="1"/>
  <c r="AG46" i="11"/>
  <c r="AG45" i="11" s="1"/>
  <c r="AD46" i="11"/>
  <c r="AD45" i="11" s="1"/>
  <c r="AA46" i="11"/>
  <c r="X46" i="11"/>
  <c r="U46" i="11"/>
  <c r="R46" i="11"/>
  <c r="O46" i="11"/>
  <c r="L46" i="11"/>
  <c r="L45" i="11" s="1"/>
  <c r="I46" i="11"/>
  <c r="F46" i="11"/>
  <c r="F45" i="11" s="1"/>
  <c r="C46" i="11"/>
  <c r="C45" i="11" s="1"/>
  <c r="AA45" i="11"/>
  <c r="X45" i="11"/>
  <c r="U45" i="11"/>
  <c r="I45" i="11"/>
  <c r="AG42" i="11"/>
  <c r="AM35" i="11"/>
  <c r="AM34" i="11"/>
  <c r="AM33" i="11"/>
  <c r="AM32" i="11"/>
  <c r="AM31" i="11"/>
  <c r="AM30" i="11"/>
  <c r="AM29" i="11"/>
  <c r="AJ29" i="11"/>
  <c r="AJ28" i="11" s="1"/>
  <c r="AG29" i="11"/>
  <c r="AD29" i="11"/>
  <c r="AA29" i="11"/>
  <c r="AA28" i="11" s="1"/>
  <c r="X29" i="11"/>
  <c r="X28" i="11" s="1"/>
  <c r="U29" i="11"/>
  <c r="R29" i="11"/>
  <c r="O29" i="11"/>
  <c r="L29" i="11"/>
  <c r="I29" i="11"/>
  <c r="F29" i="11"/>
  <c r="C29" i="11"/>
  <c r="AG28" i="11"/>
  <c r="F28" i="11"/>
  <c r="C28" i="11"/>
  <c r="AM27" i="11"/>
  <c r="AM26" i="11"/>
  <c r="AM25" i="11"/>
  <c r="AJ24" i="11"/>
  <c r="AG24" i="11"/>
  <c r="AD24" i="11"/>
  <c r="AA24" i="11"/>
  <c r="AA23" i="11" s="1"/>
  <c r="X24" i="11"/>
  <c r="X23" i="11" s="1"/>
  <c r="U24" i="11"/>
  <c r="U23" i="11" s="1"/>
  <c r="R24" i="11"/>
  <c r="R23" i="11" s="1"/>
  <c r="O24" i="11"/>
  <c r="O23" i="11" s="1"/>
  <c r="L24" i="11"/>
  <c r="I24" i="11"/>
  <c r="F24" i="11"/>
  <c r="C24" i="11"/>
  <c r="L23" i="11"/>
  <c r="I23" i="11"/>
  <c r="F23" i="11"/>
  <c r="C23" i="11"/>
  <c r="AM22" i="11"/>
  <c r="AM21" i="11"/>
  <c r="AM20" i="11"/>
  <c r="AM19" i="11"/>
  <c r="AM18" i="11"/>
  <c r="AK18" i="11"/>
  <c r="AH18" i="11"/>
  <c r="AE18" i="11"/>
  <c r="AB18" i="11"/>
  <c r="Y18" i="11"/>
  <c r="V18" i="11"/>
  <c r="S18" i="11"/>
  <c r="P18" i="11"/>
  <c r="M18" i="11"/>
  <c r="J18" i="11"/>
  <c r="AM17" i="11"/>
  <c r="AM16" i="11"/>
  <c r="AK16" i="11"/>
  <c r="AH16" i="11"/>
  <c r="AE16" i="11"/>
  <c r="AB16" i="11"/>
  <c r="Y16" i="11"/>
  <c r="V16" i="11"/>
  <c r="S16" i="11"/>
  <c r="P16" i="11"/>
  <c r="M16" i="11"/>
  <c r="J16" i="11"/>
  <c r="AJ15" i="11"/>
  <c r="AJ14" i="11" s="1"/>
  <c r="AI15" i="11"/>
  <c r="AG15" i="11"/>
  <c r="AF15" i="11"/>
  <c r="AD15" i="11"/>
  <c r="AA15" i="11"/>
  <c r="AC15" i="11" s="1"/>
  <c r="Z15" i="11"/>
  <c r="X15" i="11"/>
  <c r="U15" i="11"/>
  <c r="U14" i="11" s="1"/>
  <c r="R15" i="11"/>
  <c r="O15" i="11"/>
  <c r="L15" i="11"/>
  <c r="L14" i="11" s="1"/>
  <c r="I15" i="11"/>
  <c r="I14" i="11" s="1"/>
  <c r="F15" i="11"/>
  <c r="C15" i="11"/>
  <c r="C14" i="11" s="1"/>
  <c r="AG14" i="11"/>
  <c r="AD14" i="11"/>
  <c r="AD13" i="11" s="1"/>
  <c r="AA14" i="11"/>
  <c r="X14" i="11"/>
  <c r="R14" i="11"/>
  <c r="O14" i="11"/>
  <c r="O13" i="11" s="1"/>
  <c r="F14" i="11"/>
  <c r="AG13" i="11"/>
  <c r="AI78" i="11" s="1"/>
  <c r="I13" i="11"/>
  <c r="K123" i="11" s="1"/>
  <c r="AJ12" i="11"/>
  <c r="AK47" i="11" s="1"/>
  <c r="AG12" i="11"/>
  <c r="AD12" i="11"/>
  <c r="AE47" i="11" s="1"/>
  <c r="AA12" i="11"/>
  <c r="X12" i="11"/>
  <c r="Y47" i="11" s="1"/>
  <c r="U12" i="11"/>
  <c r="V47" i="11" s="1"/>
  <c r="R12" i="11"/>
  <c r="S47" i="11" s="1"/>
  <c r="O12" i="11"/>
  <c r="L12" i="11"/>
  <c r="I12" i="11"/>
  <c r="F12" i="11"/>
  <c r="G47" i="11" s="1"/>
  <c r="C12" i="11"/>
  <c r="D47" i="11" s="1"/>
  <c r="AM11" i="11"/>
  <c r="AM10" i="11"/>
  <c r="AM9" i="11"/>
  <c r="AM8" i="11"/>
  <c r="AM7" i="11"/>
  <c r="AM6" i="11"/>
  <c r="AM5" i="11"/>
  <c r="AM3" i="11"/>
  <c r="AM160" i="10"/>
  <c r="AM159" i="10"/>
  <c r="AM158" i="10"/>
  <c r="AM157" i="10"/>
  <c r="AM156" i="10"/>
  <c r="AM155" i="10"/>
  <c r="AM154" i="10"/>
  <c r="AQ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M151" i="10"/>
  <c r="AM150" i="10"/>
  <c r="AM149" i="10"/>
  <c r="AM148" i="10"/>
  <c r="AQ147" i="10"/>
  <c r="AJ147" i="10"/>
  <c r="AG147" i="10"/>
  <c r="AD147" i="10"/>
  <c r="AA147" i="10"/>
  <c r="X147" i="10"/>
  <c r="U147" i="10"/>
  <c r="R147" i="10"/>
  <c r="O147" i="10"/>
  <c r="L147" i="10"/>
  <c r="I147" i="10"/>
  <c r="F147" i="10"/>
  <c r="C147" i="10"/>
  <c r="AM142" i="10"/>
  <c r="AM141" i="10"/>
  <c r="AM140" i="10"/>
  <c r="AM139" i="10"/>
  <c r="AM138" i="10"/>
  <c r="AM137" i="10"/>
  <c r="AM136" i="10"/>
  <c r="AM135" i="10"/>
  <c r="AM134" i="10"/>
  <c r="AM133" i="10"/>
  <c r="AM132" i="10"/>
  <c r="AM131" i="10"/>
  <c r="AM130" i="10"/>
  <c r="AM129" i="10"/>
  <c r="AM128" i="10"/>
  <c r="AQ127" i="10"/>
  <c r="AJ127" i="10"/>
  <c r="AG127" i="10"/>
  <c r="AD127" i="10"/>
  <c r="AA127" i="10"/>
  <c r="X127" i="10"/>
  <c r="U127" i="10"/>
  <c r="R127" i="10"/>
  <c r="O127" i="10"/>
  <c r="L127" i="10"/>
  <c r="I127" i="10"/>
  <c r="F127" i="10"/>
  <c r="C127" i="10"/>
  <c r="AM126" i="10"/>
  <c r="AM125" i="10"/>
  <c r="AM124" i="10"/>
  <c r="AQ123" i="10"/>
  <c r="AJ123" i="10"/>
  <c r="AG123" i="10"/>
  <c r="AA123" i="10"/>
  <c r="X123" i="10"/>
  <c r="U123" i="10"/>
  <c r="R123" i="10"/>
  <c r="O123" i="10"/>
  <c r="L123" i="10"/>
  <c r="I123" i="10"/>
  <c r="F123" i="10"/>
  <c r="C123" i="10"/>
  <c r="AM122" i="10"/>
  <c r="AM121" i="10"/>
  <c r="AQ120" i="10"/>
  <c r="AJ120" i="10"/>
  <c r="AG120" i="10"/>
  <c r="AD120" i="10"/>
  <c r="AA120" i="10"/>
  <c r="X120" i="10"/>
  <c r="U120" i="10"/>
  <c r="R120" i="10"/>
  <c r="O120" i="10"/>
  <c r="L120" i="10"/>
  <c r="I120" i="10"/>
  <c r="F120" i="10"/>
  <c r="C120" i="10"/>
  <c r="AM119" i="10"/>
  <c r="AM118" i="10"/>
  <c r="AM117" i="10"/>
  <c r="AM116" i="10"/>
  <c r="AM115" i="10"/>
  <c r="AQ114" i="10"/>
  <c r="AJ114" i="10"/>
  <c r="AG114" i="10"/>
  <c r="AD114" i="10"/>
  <c r="AC114" i="10"/>
  <c r="AA114" i="10"/>
  <c r="X114" i="10"/>
  <c r="U114" i="10"/>
  <c r="R114" i="10"/>
  <c r="O114" i="10"/>
  <c r="L114" i="10"/>
  <c r="I114" i="10"/>
  <c r="F114" i="10"/>
  <c r="C114" i="10"/>
  <c r="AM114" i="10" s="1"/>
  <c r="AM113" i="10"/>
  <c r="AM112" i="10"/>
  <c r="AM111" i="10"/>
  <c r="AM110" i="10"/>
  <c r="AQ109" i="10"/>
  <c r="AJ109" i="10"/>
  <c r="AG109" i="10"/>
  <c r="AD109" i="10"/>
  <c r="AA109" i="10"/>
  <c r="X109" i="10"/>
  <c r="U109" i="10"/>
  <c r="R109" i="10"/>
  <c r="O109" i="10"/>
  <c r="L109" i="10"/>
  <c r="I109" i="10"/>
  <c r="F109" i="10"/>
  <c r="C109" i="10"/>
  <c r="AM108" i="10"/>
  <c r="AM107" i="10"/>
  <c r="AM106" i="10"/>
  <c r="AM105" i="10"/>
  <c r="AM104" i="10"/>
  <c r="AM103" i="10"/>
  <c r="AM102" i="10"/>
  <c r="AM101" i="10"/>
  <c r="AM100" i="10"/>
  <c r="AJ99" i="10"/>
  <c r="AG99" i="10"/>
  <c r="AD99" i="10"/>
  <c r="AA99" i="10"/>
  <c r="AC99" i="10" s="1"/>
  <c r="X99" i="10"/>
  <c r="U99" i="10"/>
  <c r="R99" i="10"/>
  <c r="T99" i="10" s="1"/>
  <c r="O99" i="10"/>
  <c r="L99" i="10"/>
  <c r="I99" i="10"/>
  <c r="F99" i="10"/>
  <c r="C99" i="10"/>
  <c r="AM98" i="10"/>
  <c r="AM97" i="10"/>
  <c r="AQ96" i="10"/>
  <c r="AJ96" i="10"/>
  <c r="AG96" i="10"/>
  <c r="AD96" i="10"/>
  <c r="AA96" i="10"/>
  <c r="X96" i="10"/>
  <c r="U96" i="10"/>
  <c r="R96" i="10"/>
  <c r="O96" i="10"/>
  <c r="L96" i="10"/>
  <c r="I96" i="10"/>
  <c r="F96" i="10"/>
  <c r="C96" i="10"/>
  <c r="AM95" i="10"/>
  <c r="AM94" i="10"/>
  <c r="AM93" i="10"/>
  <c r="AJ92" i="10"/>
  <c r="AG92" i="10"/>
  <c r="AD92" i="10"/>
  <c r="AA92" i="10"/>
  <c r="X92" i="10"/>
  <c r="U92" i="10"/>
  <c r="R92" i="10"/>
  <c r="O92" i="10"/>
  <c r="L92" i="10"/>
  <c r="I92" i="10"/>
  <c r="F92" i="10"/>
  <c r="C92" i="10"/>
  <c r="AM91" i="10"/>
  <c r="AM90" i="10"/>
  <c r="AJ89" i="10"/>
  <c r="AG89" i="10"/>
  <c r="AD89" i="10"/>
  <c r="AA89" i="10"/>
  <c r="X89" i="10"/>
  <c r="U89" i="10"/>
  <c r="R89" i="10"/>
  <c r="T89" i="10" s="1"/>
  <c r="O89" i="10"/>
  <c r="L89" i="10"/>
  <c r="AM89" i="10" s="1"/>
  <c r="I89" i="10"/>
  <c r="F89" i="10"/>
  <c r="C89" i="10"/>
  <c r="AM88" i="10"/>
  <c r="AM87" i="10"/>
  <c r="AM86" i="10"/>
  <c r="AM85" i="10"/>
  <c r="AQ84" i="10"/>
  <c r="AJ84" i="10"/>
  <c r="AG84" i="10"/>
  <c r="AD84" i="10"/>
  <c r="AA84" i="10"/>
  <c r="X84" i="10"/>
  <c r="U84" i="10"/>
  <c r="R84" i="10"/>
  <c r="O84" i="10"/>
  <c r="L84" i="10"/>
  <c r="L83" i="10" s="1"/>
  <c r="I84" i="10"/>
  <c r="F84" i="10"/>
  <c r="C84" i="10"/>
  <c r="O83" i="10"/>
  <c r="Q83" i="10" s="1"/>
  <c r="AM81" i="10"/>
  <c r="AM80" i="10"/>
  <c r="AM79" i="10"/>
  <c r="AQ78" i="10"/>
  <c r="AJ78" i="10"/>
  <c r="AG78" i="10"/>
  <c r="AD78" i="10"/>
  <c r="AA78" i="10"/>
  <c r="X78" i="10"/>
  <c r="U78" i="10"/>
  <c r="R78" i="10"/>
  <c r="O78" i="10"/>
  <c r="L78" i="10"/>
  <c r="I78" i="10"/>
  <c r="F78" i="10"/>
  <c r="C78" i="10"/>
  <c r="AM77" i="10"/>
  <c r="AM76" i="10"/>
  <c r="AM75" i="10"/>
  <c r="AM74" i="10"/>
  <c r="AM73" i="10"/>
  <c r="AQ72" i="10"/>
  <c r="AJ72" i="10"/>
  <c r="AG72" i="10"/>
  <c r="AG60" i="10" s="1"/>
  <c r="AD72" i="10"/>
  <c r="AD60" i="10" s="1"/>
  <c r="AB72" i="10"/>
  <c r="AA72" i="10"/>
  <c r="X72" i="10"/>
  <c r="U72" i="10"/>
  <c r="R72" i="10"/>
  <c r="P72" i="10"/>
  <c r="O72" i="10"/>
  <c r="L72" i="10"/>
  <c r="I72" i="10"/>
  <c r="F72" i="10"/>
  <c r="AN71" i="10"/>
  <c r="AM71" i="10"/>
  <c r="AN70" i="10"/>
  <c r="AN69" i="10"/>
  <c r="AN68" i="10"/>
  <c r="AO67" i="10"/>
  <c r="AN67" i="10"/>
  <c r="AN66" i="10"/>
  <c r="AM66" i="10"/>
  <c r="AM65" i="10"/>
  <c r="AN64" i="10"/>
  <c r="AM64" i="10"/>
  <c r="AN63" i="10"/>
  <c r="AM63" i="10"/>
  <c r="AM62" i="10"/>
  <c r="AN62" i="10" s="1"/>
  <c r="AQ61" i="10"/>
  <c r="AQ60" i="10" s="1"/>
  <c r="AQ44" i="10" s="1"/>
  <c r="AJ61" i="10"/>
  <c r="AG61" i="10"/>
  <c r="AD61" i="10"/>
  <c r="AA61" i="10"/>
  <c r="AA60" i="10" s="1"/>
  <c r="X61" i="10"/>
  <c r="X60" i="10" s="1"/>
  <c r="V61" i="10"/>
  <c r="U61" i="10"/>
  <c r="R61" i="10"/>
  <c r="O61" i="10"/>
  <c r="P61" i="10" s="1"/>
  <c r="L61" i="10"/>
  <c r="I61" i="10"/>
  <c r="I60" i="10" s="1"/>
  <c r="F61" i="10"/>
  <c r="C61" i="10"/>
  <c r="AJ60" i="10"/>
  <c r="U60" i="10"/>
  <c r="L60" i="10"/>
  <c r="F60" i="10"/>
  <c r="C60" i="10"/>
  <c r="AM59" i="10"/>
  <c r="AM58" i="10"/>
  <c r="AJ57" i="10"/>
  <c r="AJ45" i="10" s="1"/>
  <c r="AJ44" i="10" s="1"/>
  <c r="AG57" i="10"/>
  <c r="AD57" i="10"/>
  <c r="AA57" i="10"/>
  <c r="X57" i="10"/>
  <c r="U57" i="10"/>
  <c r="U45" i="10" s="1"/>
  <c r="R57" i="10"/>
  <c r="O57" i="10"/>
  <c r="L57" i="10"/>
  <c r="J57" i="10"/>
  <c r="I57" i="10"/>
  <c r="G57" i="10"/>
  <c r="F57" i="10"/>
  <c r="AM53" i="10"/>
  <c r="AM52" i="10"/>
  <c r="AM51" i="10"/>
  <c r="AM50" i="10"/>
  <c r="AM49" i="10"/>
  <c r="AM48" i="10"/>
  <c r="AM47" i="10"/>
  <c r="AN47" i="10" s="1"/>
  <c r="AL47" i="10"/>
  <c r="AK47" i="10"/>
  <c r="AI47" i="10"/>
  <c r="AH47" i="10"/>
  <c r="AF47" i="10"/>
  <c r="AE47" i="10"/>
  <c r="AC47" i="10"/>
  <c r="AB47" i="10"/>
  <c r="Z47" i="10"/>
  <c r="Y47" i="10"/>
  <c r="W47" i="10"/>
  <c r="V47" i="10"/>
  <c r="T47" i="10"/>
  <c r="S47" i="10"/>
  <c r="Q47" i="10"/>
  <c r="P47" i="10"/>
  <c r="K47" i="10"/>
  <c r="J47" i="10"/>
  <c r="AQ46" i="10"/>
  <c r="AJ46" i="10"/>
  <c r="AG46" i="10"/>
  <c r="AD46" i="10"/>
  <c r="AA46" i="10"/>
  <c r="X46" i="10"/>
  <c r="X45" i="10" s="1"/>
  <c r="U46" i="10"/>
  <c r="R46" i="10"/>
  <c r="O46" i="10"/>
  <c r="L46" i="10"/>
  <c r="L45" i="10" s="1"/>
  <c r="I46" i="10"/>
  <c r="I45" i="10" s="1"/>
  <c r="F46" i="10"/>
  <c r="C46" i="10"/>
  <c r="C45" i="10" s="1"/>
  <c r="AQ45" i="10"/>
  <c r="AG45" i="10"/>
  <c r="AD45" i="10"/>
  <c r="O45" i="10"/>
  <c r="F45" i="10"/>
  <c r="F44" i="10"/>
  <c r="AQ42" i="10"/>
  <c r="AM35" i="10"/>
  <c r="AM33" i="10"/>
  <c r="AM32" i="10"/>
  <c r="AA30" i="10"/>
  <c r="AA29" i="10" s="1"/>
  <c r="AQ29" i="10"/>
  <c r="AQ28" i="10" s="1"/>
  <c r="T29" i="10"/>
  <c r="R29" i="10"/>
  <c r="O29" i="10"/>
  <c r="O28" i="10" s="1"/>
  <c r="L29" i="10"/>
  <c r="L28" i="10" s="1"/>
  <c r="F29" i="10"/>
  <c r="R28" i="10"/>
  <c r="F28" i="10"/>
  <c r="AM27" i="10"/>
  <c r="AM26" i="10"/>
  <c r="AM25" i="10"/>
  <c r="AJ24" i="10"/>
  <c r="AG24" i="10"/>
  <c r="AD24" i="10"/>
  <c r="AA24" i="10"/>
  <c r="AA23" i="10" s="1"/>
  <c r="X24" i="10"/>
  <c r="U24" i="10"/>
  <c r="U23" i="10" s="1"/>
  <c r="R24" i="10"/>
  <c r="R23" i="10" s="1"/>
  <c r="O24" i="10"/>
  <c r="L24" i="10"/>
  <c r="L23" i="10" s="1"/>
  <c r="I24" i="10"/>
  <c r="F24" i="10"/>
  <c r="C24" i="10"/>
  <c r="C23" i="10" s="1"/>
  <c r="X23" i="10"/>
  <c r="O23" i="10"/>
  <c r="I23" i="10"/>
  <c r="F23" i="10"/>
  <c r="AM22" i="10"/>
  <c r="AM21" i="10"/>
  <c r="AM20" i="10"/>
  <c r="AM19" i="10"/>
  <c r="AK19" i="10"/>
  <c r="AH19" i="10"/>
  <c r="AE19" i="10"/>
  <c r="AM18" i="10"/>
  <c r="AM17" i="10"/>
  <c r="AM16" i="10"/>
  <c r="AK16" i="10"/>
  <c r="AH16" i="10"/>
  <c r="AE16" i="10"/>
  <c r="AB16" i="10"/>
  <c r="Y16" i="10"/>
  <c r="V16" i="10"/>
  <c r="S16" i="10"/>
  <c r="P16" i="10"/>
  <c r="J16" i="10"/>
  <c r="AQ15" i="10"/>
  <c r="AQ14" i="10" s="1"/>
  <c r="AQ13" i="10" s="1"/>
  <c r="AJ15" i="10"/>
  <c r="AJ14" i="10" s="1"/>
  <c r="AG15" i="10"/>
  <c r="AD15" i="10"/>
  <c r="AA15" i="10"/>
  <c r="AC15" i="10" s="1"/>
  <c r="X15" i="10"/>
  <c r="Z15" i="10" s="1"/>
  <c r="U15" i="10"/>
  <c r="R15" i="10"/>
  <c r="R14" i="10" s="1"/>
  <c r="R42" i="10" s="1"/>
  <c r="O15" i="10"/>
  <c r="L15" i="10"/>
  <c r="L14" i="10" s="1"/>
  <c r="I15" i="10"/>
  <c r="F15" i="10"/>
  <c r="C15" i="10"/>
  <c r="C14" i="10" s="1"/>
  <c r="AA14" i="10"/>
  <c r="X14" i="10"/>
  <c r="U14" i="10"/>
  <c r="O14" i="10"/>
  <c r="I14" i="10"/>
  <c r="F14" i="10"/>
  <c r="AA13" i="10"/>
  <c r="AC109" i="10" s="1"/>
  <c r="R13" i="10"/>
  <c r="O13" i="10"/>
  <c r="AQ12" i="10"/>
  <c r="AJ12" i="10"/>
  <c r="AG12" i="10"/>
  <c r="V13" i="1" s="1"/>
  <c r="AD12" i="10"/>
  <c r="AA12" i="10"/>
  <c r="X12" i="10"/>
  <c r="Y72" i="10" s="1"/>
  <c r="U12" i="10"/>
  <c r="R12" i="10"/>
  <c r="O12" i="10"/>
  <c r="L12" i="10"/>
  <c r="I12" i="10"/>
  <c r="F12" i="10"/>
  <c r="G72" i="10" s="1"/>
  <c r="C12" i="10"/>
  <c r="AM11" i="10"/>
  <c r="AM10" i="10"/>
  <c r="AM9" i="10"/>
  <c r="AM8" i="10"/>
  <c r="AM7" i="10"/>
  <c r="AM6" i="10"/>
  <c r="AM5" i="10"/>
  <c r="AM3" i="10"/>
  <c r="F165" i="9"/>
  <c r="C165" i="9"/>
  <c r="AM160" i="9"/>
  <c r="AM159" i="9"/>
  <c r="AM158" i="9"/>
  <c r="AM157" i="9"/>
  <c r="AM156" i="9"/>
  <c r="AM155" i="9"/>
  <c r="AM154" i="9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M153" i="9" s="1"/>
  <c r="AM150" i="9"/>
  <c r="AM142" i="9"/>
  <c r="C141" i="9"/>
  <c r="C141" i="16" s="1"/>
  <c r="AM141" i="16" s="1"/>
  <c r="AM140" i="9"/>
  <c r="F140" i="9"/>
  <c r="AM139" i="9"/>
  <c r="F139" i="9"/>
  <c r="C139" i="9"/>
  <c r="C138" i="9"/>
  <c r="F137" i="9"/>
  <c r="F137" i="16" s="1"/>
  <c r="C137" i="9"/>
  <c r="AM136" i="9"/>
  <c r="F136" i="9"/>
  <c r="F136" i="16" s="1"/>
  <c r="AM135" i="9"/>
  <c r="AM134" i="9"/>
  <c r="F134" i="9"/>
  <c r="C134" i="9"/>
  <c r="AM133" i="9"/>
  <c r="F133" i="9"/>
  <c r="C133" i="9"/>
  <c r="AM132" i="9"/>
  <c r="F131" i="9"/>
  <c r="C131" i="9"/>
  <c r="C131" i="16" s="1"/>
  <c r="F130" i="9"/>
  <c r="C130" i="9"/>
  <c r="AM130" i="9" s="1"/>
  <c r="F129" i="9"/>
  <c r="AM129" i="9" s="1"/>
  <c r="AM128" i="9"/>
  <c r="F128" i="9"/>
  <c r="C128" i="9"/>
  <c r="C128" i="16" s="1"/>
  <c r="AJ127" i="9"/>
  <c r="AG127" i="9"/>
  <c r="AD127" i="9"/>
  <c r="AF127" i="9" s="1"/>
  <c r="AA127" i="9"/>
  <c r="X127" i="9"/>
  <c r="U127" i="9"/>
  <c r="R127" i="9"/>
  <c r="O127" i="9"/>
  <c r="L127" i="9"/>
  <c r="I127" i="9"/>
  <c r="AM126" i="9"/>
  <c r="AM125" i="9"/>
  <c r="AM124" i="9"/>
  <c r="AJ123" i="9"/>
  <c r="AG123" i="9"/>
  <c r="AD123" i="9"/>
  <c r="AA123" i="9"/>
  <c r="X123" i="9"/>
  <c r="U123" i="9"/>
  <c r="R123" i="9"/>
  <c r="O123" i="9"/>
  <c r="L123" i="9"/>
  <c r="I123" i="9"/>
  <c r="F123" i="9"/>
  <c r="C123" i="9"/>
  <c r="AM122" i="9"/>
  <c r="AM121" i="9"/>
  <c r="AJ120" i="9"/>
  <c r="AG120" i="9"/>
  <c r="AD120" i="9"/>
  <c r="AA120" i="9"/>
  <c r="X120" i="9"/>
  <c r="U120" i="9"/>
  <c r="W120" i="9" s="1"/>
  <c r="R120" i="9"/>
  <c r="O120" i="9"/>
  <c r="L120" i="9"/>
  <c r="I120" i="9"/>
  <c r="F120" i="9"/>
  <c r="C120" i="9"/>
  <c r="AM119" i="9"/>
  <c r="AM118" i="9"/>
  <c r="F117" i="9"/>
  <c r="C117" i="9"/>
  <c r="AM117" i="9" s="1"/>
  <c r="AM116" i="9"/>
  <c r="AM115" i="9"/>
  <c r="AJ114" i="9"/>
  <c r="AG114" i="9"/>
  <c r="AD114" i="9"/>
  <c r="AA114" i="9"/>
  <c r="X114" i="9"/>
  <c r="U114" i="9"/>
  <c r="R114" i="9"/>
  <c r="O114" i="9"/>
  <c r="L114" i="9"/>
  <c r="I114" i="9"/>
  <c r="F114" i="9"/>
  <c r="C114" i="9"/>
  <c r="C113" i="9"/>
  <c r="AM112" i="9"/>
  <c r="AM111" i="9"/>
  <c r="AM110" i="9"/>
  <c r="AJ109" i="9"/>
  <c r="AJ83" i="9" s="1"/>
  <c r="AG109" i="9"/>
  <c r="AF109" i="9"/>
  <c r="AD109" i="9"/>
  <c r="AA109" i="9"/>
  <c r="X109" i="9"/>
  <c r="U109" i="9"/>
  <c r="R109" i="9"/>
  <c r="O109" i="9"/>
  <c r="L109" i="9"/>
  <c r="I109" i="9"/>
  <c r="F109" i="9"/>
  <c r="F108" i="9"/>
  <c r="F108" i="16" s="1"/>
  <c r="C108" i="9"/>
  <c r="C108" i="16" s="1"/>
  <c r="AM108" i="16" s="1"/>
  <c r="F107" i="9"/>
  <c r="F107" i="16" s="1"/>
  <c r="C107" i="9"/>
  <c r="F106" i="9"/>
  <c r="F106" i="16" s="1"/>
  <c r="C106" i="9"/>
  <c r="F105" i="9"/>
  <c r="F105" i="16" s="1"/>
  <c r="C105" i="9"/>
  <c r="C105" i="16" s="1"/>
  <c r="AM105" i="16" s="1"/>
  <c r="F104" i="9"/>
  <c r="C104" i="9"/>
  <c r="AM104" i="9" s="1"/>
  <c r="F103" i="9"/>
  <c r="AM103" i="9" s="1"/>
  <c r="AM102" i="9"/>
  <c r="AM101" i="9"/>
  <c r="AM100" i="9"/>
  <c r="AJ99" i="9"/>
  <c r="AG99" i="9"/>
  <c r="AD99" i="9"/>
  <c r="AA99" i="9"/>
  <c r="X99" i="9"/>
  <c r="U99" i="9"/>
  <c r="W99" i="9" s="1"/>
  <c r="R99" i="9"/>
  <c r="O99" i="9"/>
  <c r="L99" i="9"/>
  <c r="I99" i="9"/>
  <c r="F99" i="9"/>
  <c r="AM98" i="9"/>
  <c r="C98" i="9"/>
  <c r="C97" i="9"/>
  <c r="AJ96" i="9"/>
  <c r="AG96" i="9"/>
  <c r="AF96" i="9"/>
  <c r="AD96" i="9"/>
  <c r="AA96" i="9"/>
  <c r="X96" i="9"/>
  <c r="U96" i="9"/>
  <c r="R96" i="9"/>
  <c r="O96" i="9"/>
  <c r="L96" i="9"/>
  <c r="I96" i="9"/>
  <c r="F96" i="9"/>
  <c r="AM95" i="9"/>
  <c r="AM94" i="9"/>
  <c r="F93" i="9"/>
  <c r="C93" i="9"/>
  <c r="C93" i="16" s="1"/>
  <c r="AJ92" i="9"/>
  <c r="AG92" i="9"/>
  <c r="AD92" i="9"/>
  <c r="AA92" i="9"/>
  <c r="X92" i="9"/>
  <c r="W92" i="9"/>
  <c r="U92" i="9"/>
  <c r="R92" i="9"/>
  <c r="O92" i="9"/>
  <c r="L92" i="9"/>
  <c r="I92" i="9"/>
  <c r="C92" i="9"/>
  <c r="AM91" i="9"/>
  <c r="AM90" i="9"/>
  <c r="AJ89" i="9"/>
  <c r="AG89" i="9"/>
  <c r="AD89" i="9"/>
  <c r="AA89" i="9"/>
  <c r="X89" i="9"/>
  <c r="U89" i="9"/>
  <c r="R89" i="9"/>
  <c r="O89" i="9"/>
  <c r="L89" i="9"/>
  <c r="I89" i="9"/>
  <c r="F89" i="9"/>
  <c r="C89" i="9"/>
  <c r="F88" i="9"/>
  <c r="AM88" i="9" s="1"/>
  <c r="AM87" i="9"/>
  <c r="F87" i="9"/>
  <c r="C87" i="9"/>
  <c r="C84" i="9" s="1"/>
  <c r="F86" i="9"/>
  <c r="AM86" i="9" s="1"/>
  <c r="F85" i="9"/>
  <c r="C85" i="9"/>
  <c r="AM85" i="9" s="1"/>
  <c r="AJ84" i="9"/>
  <c r="AG84" i="9"/>
  <c r="AD84" i="9"/>
  <c r="AA84" i="9"/>
  <c r="X84" i="9"/>
  <c r="U84" i="9"/>
  <c r="U83" i="9" s="1"/>
  <c r="W83" i="9" s="1"/>
  <c r="R84" i="9"/>
  <c r="O84" i="9"/>
  <c r="L84" i="9"/>
  <c r="I84" i="9"/>
  <c r="AA83" i="9"/>
  <c r="F81" i="9"/>
  <c r="C81" i="9"/>
  <c r="C81" i="16" s="1"/>
  <c r="F80" i="9"/>
  <c r="C80" i="9"/>
  <c r="C78" i="9" s="1"/>
  <c r="AM79" i="9"/>
  <c r="F79" i="9"/>
  <c r="C79" i="9"/>
  <c r="AJ78" i="9"/>
  <c r="AG78" i="9"/>
  <c r="AF78" i="9"/>
  <c r="AD78" i="9"/>
  <c r="AE78" i="9" s="1"/>
  <c r="AA78" i="9"/>
  <c r="X78" i="9"/>
  <c r="U78" i="9"/>
  <c r="S78" i="9"/>
  <c r="R78" i="9"/>
  <c r="O78" i="9"/>
  <c r="L78" i="9"/>
  <c r="I78" i="9"/>
  <c r="AM77" i="9"/>
  <c r="AN77" i="9" s="1"/>
  <c r="F77" i="9"/>
  <c r="C77" i="9"/>
  <c r="F76" i="9"/>
  <c r="C76" i="9"/>
  <c r="AM76" i="9" s="1"/>
  <c r="AM75" i="9"/>
  <c r="F74" i="9"/>
  <c r="C74" i="9"/>
  <c r="L73" i="9"/>
  <c r="L72" i="9" s="1"/>
  <c r="AM71" i="9"/>
  <c r="AM66" i="9"/>
  <c r="AM65" i="9"/>
  <c r="AM64" i="9"/>
  <c r="AN63" i="9"/>
  <c r="AM63" i="9"/>
  <c r="AO63" i="9" s="1"/>
  <c r="AI63" i="9"/>
  <c r="AH63" i="9"/>
  <c r="AF63" i="9"/>
  <c r="AE63" i="9"/>
  <c r="AC63" i="9"/>
  <c r="AB63" i="9"/>
  <c r="Z63" i="9"/>
  <c r="Y63" i="9"/>
  <c r="W63" i="9"/>
  <c r="V63" i="9"/>
  <c r="T63" i="9"/>
  <c r="S63" i="9"/>
  <c r="Q63" i="9"/>
  <c r="P63" i="9"/>
  <c r="N63" i="9"/>
  <c r="M63" i="9"/>
  <c r="K63" i="9"/>
  <c r="J63" i="9"/>
  <c r="H63" i="9"/>
  <c r="G63" i="9"/>
  <c r="F63" i="9"/>
  <c r="C63" i="9"/>
  <c r="AO62" i="9"/>
  <c r="AM62" i="9"/>
  <c r="AN62" i="9" s="1"/>
  <c r="AI62" i="9"/>
  <c r="AH62" i="9"/>
  <c r="AF62" i="9"/>
  <c r="AE62" i="9"/>
  <c r="AC62" i="9"/>
  <c r="AB62" i="9"/>
  <c r="Z62" i="9"/>
  <c r="Y62" i="9"/>
  <c r="W62" i="9"/>
  <c r="V62" i="9"/>
  <c r="T62" i="9"/>
  <c r="S62" i="9"/>
  <c r="Q62" i="9"/>
  <c r="P62" i="9"/>
  <c r="N62" i="9"/>
  <c r="M62" i="9"/>
  <c r="K62" i="9"/>
  <c r="J62" i="9"/>
  <c r="G62" i="9"/>
  <c r="F62" i="9"/>
  <c r="E62" i="9"/>
  <c r="D62" i="9"/>
  <c r="C62" i="9"/>
  <c r="AJ61" i="9"/>
  <c r="AG61" i="9"/>
  <c r="AD61" i="9"/>
  <c r="AA61" i="9"/>
  <c r="X61" i="9"/>
  <c r="U61" i="9"/>
  <c r="R61" i="9"/>
  <c r="O61" i="9"/>
  <c r="L61" i="9"/>
  <c r="I61" i="9"/>
  <c r="AM59" i="9"/>
  <c r="AH59" i="9"/>
  <c r="AE59" i="9"/>
  <c r="AB59" i="9"/>
  <c r="J59" i="9"/>
  <c r="AM58" i="9"/>
  <c r="AJ57" i="9"/>
  <c r="AG57" i="9"/>
  <c r="AD57" i="9"/>
  <c r="AB57" i="9"/>
  <c r="AA57" i="9"/>
  <c r="Y57" i="9"/>
  <c r="X57" i="9"/>
  <c r="U57" i="9"/>
  <c r="W57" i="9" s="1"/>
  <c r="R57" i="9"/>
  <c r="O57" i="9"/>
  <c r="M57" i="9"/>
  <c r="L57" i="9"/>
  <c r="I57" i="9"/>
  <c r="F57" i="9"/>
  <c r="AM55" i="9"/>
  <c r="AM54" i="9"/>
  <c r="AM53" i="9"/>
  <c r="AM52" i="9"/>
  <c r="AM51" i="9"/>
  <c r="AM50" i="9"/>
  <c r="AM49" i="9"/>
  <c r="AM48" i="9"/>
  <c r="AM47" i="9"/>
  <c r="F47" i="9"/>
  <c r="C47" i="9"/>
  <c r="AJ46" i="9"/>
  <c r="AJ45" i="9" s="1"/>
  <c r="AG46" i="9"/>
  <c r="AD46" i="9"/>
  <c r="AA46" i="9"/>
  <c r="X46" i="9"/>
  <c r="X45" i="9" s="1"/>
  <c r="U46" i="9"/>
  <c r="R46" i="9"/>
  <c r="O46" i="9"/>
  <c r="L46" i="9"/>
  <c r="L45" i="9" s="1"/>
  <c r="I46" i="9"/>
  <c r="F46" i="9"/>
  <c r="C46" i="9"/>
  <c r="C45" i="9" s="1"/>
  <c r="AG45" i="9"/>
  <c r="AD45" i="9"/>
  <c r="AF45" i="9" s="1"/>
  <c r="F45" i="9"/>
  <c r="AM38" i="9"/>
  <c r="AD37" i="9"/>
  <c r="AD36" i="9"/>
  <c r="U36" i="9"/>
  <c r="AD34" i="9"/>
  <c r="U33" i="9"/>
  <c r="U30" i="9"/>
  <c r="AM27" i="9"/>
  <c r="AM26" i="9"/>
  <c r="AM25" i="9"/>
  <c r="AJ24" i="9"/>
  <c r="AJ23" i="9" s="1"/>
  <c r="AG24" i="9"/>
  <c r="AD24" i="9"/>
  <c r="AA24" i="9"/>
  <c r="X24" i="9"/>
  <c r="U24" i="9"/>
  <c r="R24" i="9"/>
  <c r="O24" i="9"/>
  <c r="L24" i="9"/>
  <c r="I24" i="9"/>
  <c r="F24" i="9"/>
  <c r="F23" i="9" s="1"/>
  <c r="C24" i="9"/>
  <c r="AG23" i="9"/>
  <c r="AD23" i="9"/>
  <c r="AA23" i="9"/>
  <c r="X23" i="9"/>
  <c r="U23" i="9"/>
  <c r="R23" i="9"/>
  <c r="O23" i="9"/>
  <c r="L23" i="9"/>
  <c r="I23" i="9"/>
  <c r="C23" i="9"/>
  <c r="AM22" i="9"/>
  <c r="AM21" i="9"/>
  <c r="AM20" i="9"/>
  <c r="AM19" i="9"/>
  <c r="AM18" i="9"/>
  <c r="G18" i="9"/>
  <c r="D18" i="9"/>
  <c r="AM17" i="9"/>
  <c r="AN17" i="9" s="1"/>
  <c r="G17" i="9"/>
  <c r="D17" i="9"/>
  <c r="AM16" i="9"/>
  <c r="G16" i="9"/>
  <c r="D16" i="9"/>
  <c r="AJ15" i="9"/>
  <c r="AG15" i="9"/>
  <c r="AD15" i="9"/>
  <c r="AD14" i="9" s="1"/>
  <c r="AA15" i="9"/>
  <c r="X15" i="9"/>
  <c r="X14" i="9" s="1"/>
  <c r="U15" i="9"/>
  <c r="R15" i="9"/>
  <c r="O15" i="9"/>
  <c r="O14" i="9" s="1"/>
  <c r="L15" i="9"/>
  <c r="I15" i="9"/>
  <c r="F15" i="9"/>
  <c r="F14" i="9" s="1"/>
  <c r="C15" i="9"/>
  <c r="C14" i="9" s="1"/>
  <c r="AJ14" i="9"/>
  <c r="AG14" i="9"/>
  <c r="AA14" i="9"/>
  <c r="U14" i="9"/>
  <c r="R14" i="9"/>
  <c r="L14" i="9"/>
  <c r="I14" i="9"/>
  <c r="AD13" i="9"/>
  <c r="U13" i="9"/>
  <c r="W59" i="9" s="1"/>
  <c r="AJ12" i="9"/>
  <c r="AG12" i="9"/>
  <c r="AD12" i="9"/>
  <c r="AA12" i="9"/>
  <c r="X12" i="9"/>
  <c r="Y59" i="9" s="1"/>
  <c r="U12" i="9"/>
  <c r="V59" i="9" s="1"/>
  <c r="R12" i="9"/>
  <c r="S59" i="9" s="1"/>
  <c r="O12" i="9"/>
  <c r="L12" i="9"/>
  <c r="M59" i="9" s="1"/>
  <c r="I12" i="9"/>
  <c r="J78" i="9" s="1"/>
  <c r="F12" i="9"/>
  <c r="G59" i="9" s="1"/>
  <c r="C12" i="9"/>
  <c r="AM11" i="9"/>
  <c r="AM10" i="9"/>
  <c r="AM9" i="9"/>
  <c r="AM8" i="9"/>
  <c r="AM7" i="9"/>
  <c r="AN18" i="9" s="1"/>
  <c r="AM6" i="9"/>
  <c r="AM5" i="9"/>
  <c r="AM3" i="9"/>
  <c r="AC189" i="7"/>
  <c r="AC188" i="7"/>
  <c r="F165" i="7"/>
  <c r="C165" i="7"/>
  <c r="AM160" i="7"/>
  <c r="AM159" i="7"/>
  <c r="AM158" i="7"/>
  <c r="AM157" i="7"/>
  <c r="AM156" i="7"/>
  <c r="AM155" i="7"/>
  <c r="AM154" i="7"/>
  <c r="AJ153" i="7"/>
  <c r="AG153" i="7"/>
  <c r="AD153" i="7"/>
  <c r="AA153" i="7"/>
  <c r="X153" i="7"/>
  <c r="U153" i="7"/>
  <c r="R153" i="7"/>
  <c r="O153" i="7"/>
  <c r="L153" i="7"/>
  <c r="I153" i="7"/>
  <c r="F153" i="7"/>
  <c r="C153" i="7"/>
  <c r="AM150" i="7"/>
  <c r="AM142" i="7"/>
  <c r="AM141" i="7"/>
  <c r="AM140" i="7"/>
  <c r="F140" i="7"/>
  <c r="AM139" i="7"/>
  <c r="F139" i="7"/>
  <c r="AM138" i="7"/>
  <c r="AM137" i="7"/>
  <c r="AM136" i="7"/>
  <c r="AM135" i="7"/>
  <c r="AM134" i="7"/>
  <c r="F134" i="7"/>
  <c r="C134" i="7"/>
  <c r="C134" i="16" s="1"/>
  <c r="F133" i="7"/>
  <c r="C133" i="7"/>
  <c r="AM132" i="7"/>
  <c r="F131" i="7"/>
  <c r="AM130" i="7"/>
  <c r="F130" i="7"/>
  <c r="C130" i="7"/>
  <c r="AM129" i="7"/>
  <c r="F129" i="7"/>
  <c r="AM128" i="7"/>
  <c r="F128" i="7"/>
  <c r="AJ127" i="7"/>
  <c r="AI127" i="7"/>
  <c r="AG127" i="7"/>
  <c r="AD127" i="7"/>
  <c r="AA127" i="7"/>
  <c r="X127" i="7"/>
  <c r="U127" i="7"/>
  <c r="T127" i="7"/>
  <c r="R127" i="7"/>
  <c r="Q127" i="7"/>
  <c r="O127" i="7"/>
  <c r="L127" i="7"/>
  <c r="I127" i="7"/>
  <c r="AM126" i="7"/>
  <c r="AM125" i="7"/>
  <c r="AM124" i="7"/>
  <c r="AM123" i="7"/>
  <c r="AJ123" i="7"/>
  <c r="AG123" i="7"/>
  <c r="AD123" i="7"/>
  <c r="AA123" i="7"/>
  <c r="X123" i="7"/>
  <c r="U123" i="7"/>
  <c r="W123" i="7" s="1"/>
  <c r="R123" i="7"/>
  <c r="O123" i="7"/>
  <c r="L123" i="7"/>
  <c r="I123" i="7"/>
  <c r="F123" i="7"/>
  <c r="C123" i="7"/>
  <c r="E123" i="7" s="1"/>
  <c r="AM122" i="7"/>
  <c r="AM121" i="7"/>
  <c r="AJ120" i="7"/>
  <c r="AG120" i="7"/>
  <c r="AI120" i="7" s="1"/>
  <c r="AD120" i="7"/>
  <c r="AA120" i="7"/>
  <c r="X120" i="7"/>
  <c r="U120" i="7"/>
  <c r="R120" i="7"/>
  <c r="O120" i="7"/>
  <c r="L120" i="7"/>
  <c r="I120" i="7"/>
  <c r="F120" i="7"/>
  <c r="C120" i="7"/>
  <c r="AM119" i="7"/>
  <c r="F119" i="7"/>
  <c r="F119" i="16" s="1"/>
  <c r="AM118" i="7"/>
  <c r="F117" i="7"/>
  <c r="C117" i="7"/>
  <c r="AM116" i="7"/>
  <c r="AM115" i="7"/>
  <c r="AM114" i="7"/>
  <c r="AJ114" i="7"/>
  <c r="AG114" i="7"/>
  <c r="AD114" i="7"/>
  <c r="AA114" i="7"/>
  <c r="X114" i="7"/>
  <c r="U114" i="7"/>
  <c r="R114" i="7"/>
  <c r="T114" i="7" s="1"/>
  <c r="O114" i="7"/>
  <c r="L114" i="7"/>
  <c r="I114" i="7"/>
  <c r="F114" i="7"/>
  <c r="C114" i="7"/>
  <c r="AM113" i="7"/>
  <c r="AM112" i="7"/>
  <c r="AM111" i="7"/>
  <c r="F110" i="7"/>
  <c r="F110" i="16" s="1"/>
  <c r="F109" i="16" s="1"/>
  <c r="C110" i="7"/>
  <c r="AJ109" i="7"/>
  <c r="AG109" i="7"/>
  <c r="AD109" i="7"/>
  <c r="AA109" i="7"/>
  <c r="Z109" i="7"/>
  <c r="X109" i="7"/>
  <c r="U109" i="7"/>
  <c r="R109" i="7"/>
  <c r="O109" i="7"/>
  <c r="L109" i="7"/>
  <c r="I109" i="7"/>
  <c r="F109" i="7"/>
  <c r="AM109" i="7" s="1"/>
  <c r="C109" i="7"/>
  <c r="AM108" i="7"/>
  <c r="AM107" i="7"/>
  <c r="AM106" i="7"/>
  <c r="AM105" i="7"/>
  <c r="F104" i="7"/>
  <c r="C104" i="7"/>
  <c r="F103" i="7"/>
  <c r="AM102" i="7"/>
  <c r="AM101" i="7"/>
  <c r="AM100" i="7"/>
  <c r="AJ99" i="7"/>
  <c r="AG99" i="7"/>
  <c r="AD99" i="7"/>
  <c r="AA99" i="7"/>
  <c r="X99" i="7"/>
  <c r="U99" i="7"/>
  <c r="R99" i="7"/>
  <c r="T99" i="7" s="1"/>
  <c r="Q99" i="7"/>
  <c r="O99" i="7"/>
  <c r="L99" i="7"/>
  <c r="I99" i="7"/>
  <c r="F98" i="7"/>
  <c r="F98" i="16" s="1"/>
  <c r="C98" i="7"/>
  <c r="F97" i="7"/>
  <c r="C97" i="7"/>
  <c r="AJ96" i="7"/>
  <c r="AG96" i="7"/>
  <c r="AD96" i="7"/>
  <c r="AA96" i="7"/>
  <c r="X96" i="7"/>
  <c r="Z96" i="7" s="1"/>
  <c r="U96" i="7"/>
  <c r="T96" i="7"/>
  <c r="R96" i="7"/>
  <c r="O96" i="7"/>
  <c r="L96" i="7"/>
  <c r="I96" i="7"/>
  <c r="AM95" i="7"/>
  <c r="AM94" i="7"/>
  <c r="AM93" i="7"/>
  <c r="AJ92" i="7"/>
  <c r="AG92" i="7"/>
  <c r="AD92" i="7"/>
  <c r="AA92" i="7"/>
  <c r="Z92" i="7"/>
  <c r="X92" i="7"/>
  <c r="U92" i="7"/>
  <c r="R92" i="7"/>
  <c r="O92" i="7"/>
  <c r="L92" i="7"/>
  <c r="I92" i="7"/>
  <c r="F92" i="7"/>
  <c r="C92" i="7"/>
  <c r="AM91" i="7"/>
  <c r="C90" i="7"/>
  <c r="AJ89" i="7"/>
  <c r="AG89" i="7"/>
  <c r="AD89" i="7"/>
  <c r="AA89" i="7"/>
  <c r="X89" i="7"/>
  <c r="W89" i="7"/>
  <c r="U89" i="7"/>
  <c r="R89" i="7"/>
  <c r="O89" i="7"/>
  <c r="L89" i="7"/>
  <c r="I89" i="7"/>
  <c r="F89" i="7"/>
  <c r="AM88" i="7"/>
  <c r="F88" i="7"/>
  <c r="AM87" i="7"/>
  <c r="F87" i="7"/>
  <c r="C87" i="7"/>
  <c r="F86" i="7"/>
  <c r="AM81" i="7"/>
  <c r="F80" i="7"/>
  <c r="C80" i="7"/>
  <c r="AM79" i="7"/>
  <c r="F79" i="7"/>
  <c r="C79" i="7"/>
  <c r="AJ78" i="7"/>
  <c r="AI78" i="7"/>
  <c r="AG78" i="7"/>
  <c r="AD78" i="7"/>
  <c r="AA78" i="7"/>
  <c r="X78" i="7"/>
  <c r="U78" i="7"/>
  <c r="R78" i="7"/>
  <c r="O78" i="7"/>
  <c r="L78" i="7"/>
  <c r="I78" i="7"/>
  <c r="F78" i="7"/>
  <c r="F77" i="7"/>
  <c r="C77" i="7"/>
  <c r="F76" i="7"/>
  <c r="C76" i="7"/>
  <c r="AM75" i="7"/>
  <c r="F74" i="7"/>
  <c r="C74" i="7"/>
  <c r="AM71" i="7"/>
  <c r="AM67" i="7"/>
  <c r="AM66" i="7"/>
  <c r="AM65" i="7"/>
  <c r="AM64" i="7"/>
  <c r="AL64" i="7"/>
  <c r="AK64" i="7"/>
  <c r="AI64" i="7"/>
  <c r="AH64" i="7"/>
  <c r="AF64" i="7"/>
  <c r="AE64" i="7"/>
  <c r="AC64" i="7"/>
  <c r="AB64" i="7"/>
  <c r="Z64" i="7"/>
  <c r="Y64" i="7"/>
  <c r="W64" i="7"/>
  <c r="V64" i="7"/>
  <c r="T64" i="7"/>
  <c r="S64" i="7"/>
  <c r="Q64" i="7"/>
  <c r="P64" i="7"/>
  <c r="N64" i="7"/>
  <c r="M64" i="7"/>
  <c r="K64" i="7"/>
  <c r="J64" i="7"/>
  <c r="G64" i="7"/>
  <c r="F64" i="7"/>
  <c r="E64" i="7"/>
  <c r="D64" i="7"/>
  <c r="C64" i="7"/>
  <c r="AL63" i="7"/>
  <c r="AK63" i="7"/>
  <c r="AI63" i="7"/>
  <c r="AH63" i="7"/>
  <c r="AF63" i="7"/>
  <c r="AE63" i="7"/>
  <c r="AC63" i="7"/>
  <c r="AB63" i="7"/>
  <c r="Z63" i="7"/>
  <c r="Y63" i="7"/>
  <c r="W63" i="7"/>
  <c r="V63" i="7"/>
  <c r="T63" i="7"/>
  <c r="S63" i="7"/>
  <c r="Q63" i="7"/>
  <c r="P63" i="7"/>
  <c r="N63" i="7"/>
  <c r="M63" i="7"/>
  <c r="K63" i="7"/>
  <c r="J63" i="7"/>
  <c r="G63" i="7"/>
  <c r="F63" i="7"/>
  <c r="D63" i="7"/>
  <c r="C63" i="7"/>
  <c r="AM62" i="7"/>
  <c r="AL62" i="7"/>
  <c r="AK62" i="7"/>
  <c r="AI62" i="7"/>
  <c r="AH62" i="7"/>
  <c r="AF62" i="7"/>
  <c r="AE62" i="7"/>
  <c r="AC62" i="7"/>
  <c r="AB62" i="7"/>
  <c r="Z62" i="7"/>
  <c r="Y62" i="7"/>
  <c r="W62" i="7"/>
  <c r="V62" i="7"/>
  <c r="T62" i="7"/>
  <c r="S62" i="7"/>
  <c r="Q62" i="7"/>
  <c r="P62" i="7"/>
  <c r="N62" i="7"/>
  <c r="M62" i="7"/>
  <c r="K62" i="7"/>
  <c r="J62" i="7"/>
  <c r="H62" i="7"/>
  <c r="F62" i="7"/>
  <c r="E62" i="7"/>
  <c r="D62" i="7"/>
  <c r="C62" i="7"/>
  <c r="AJ61" i="7"/>
  <c r="AG61" i="7"/>
  <c r="AD61" i="7"/>
  <c r="AA61" i="7"/>
  <c r="X61" i="7"/>
  <c r="Z43" i="7" s="1"/>
  <c r="W61" i="7"/>
  <c r="U61" i="7"/>
  <c r="R61" i="7"/>
  <c r="O61" i="7"/>
  <c r="L61" i="7"/>
  <c r="I61" i="7"/>
  <c r="F61" i="7"/>
  <c r="AM59" i="7"/>
  <c r="AM58" i="7"/>
  <c r="AJ57" i="7"/>
  <c r="AG57" i="7"/>
  <c r="AG45" i="7" s="1"/>
  <c r="AD57" i="7"/>
  <c r="AB57" i="7"/>
  <c r="AA57" i="7"/>
  <c r="Y57" i="7"/>
  <c r="X57" i="7"/>
  <c r="W57" i="7"/>
  <c r="V57" i="7"/>
  <c r="U57" i="7"/>
  <c r="S57" i="7"/>
  <c r="R57" i="7"/>
  <c r="T57" i="7" s="1"/>
  <c r="O57" i="7"/>
  <c r="M57" i="7"/>
  <c r="L57" i="7"/>
  <c r="J57" i="7"/>
  <c r="I57" i="7"/>
  <c r="K57" i="7" s="1"/>
  <c r="G57" i="7"/>
  <c r="F57" i="7"/>
  <c r="H57" i="7" s="1"/>
  <c r="C57" i="7"/>
  <c r="AM56" i="7"/>
  <c r="AM55" i="7"/>
  <c r="AM54" i="7"/>
  <c r="AM53" i="7"/>
  <c r="AM52" i="7"/>
  <c r="AM51" i="7"/>
  <c r="AM50" i="7"/>
  <c r="AM49" i="7"/>
  <c r="AM48" i="7"/>
  <c r="AN48" i="7" s="1"/>
  <c r="AL47" i="7"/>
  <c r="AK47" i="7"/>
  <c r="AI47" i="7"/>
  <c r="AH47" i="7"/>
  <c r="AF47" i="7"/>
  <c r="AE47" i="7"/>
  <c r="AC47" i="7"/>
  <c r="AB47" i="7"/>
  <c r="Z47" i="7"/>
  <c r="Y47" i="7"/>
  <c r="W47" i="7"/>
  <c r="V47" i="7"/>
  <c r="T47" i="7"/>
  <c r="S47" i="7"/>
  <c r="Q47" i="7"/>
  <c r="P47" i="7"/>
  <c r="N47" i="7"/>
  <c r="M47" i="7"/>
  <c r="K47" i="7"/>
  <c r="J47" i="7"/>
  <c r="F47" i="7"/>
  <c r="D47" i="7"/>
  <c r="C47" i="7"/>
  <c r="AJ46" i="7"/>
  <c r="AJ45" i="7" s="1"/>
  <c r="AG46" i="7"/>
  <c r="AD46" i="7"/>
  <c r="AA46" i="7"/>
  <c r="X46" i="7"/>
  <c r="U46" i="7"/>
  <c r="R46" i="7"/>
  <c r="O46" i="7"/>
  <c r="L46" i="7"/>
  <c r="I46" i="7"/>
  <c r="C46" i="7"/>
  <c r="AA45" i="7"/>
  <c r="X45" i="7"/>
  <c r="W45" i="7"/>
  <c r="U45" i="7"/>
  <c r="I45" i="7"/>
  <c r="AI43" i="7"/>
  <c r="W43" i="7"/>
  <c r="AM36" i="7"/>
  <c r="AG35" i="7"/>
  <c r="X35" i="7"/>
  <c r="R35" i="7"/>
  <c r="X34" i="7"/>
  <c r="R34" i="7"/>
  <c r="C34" i="7"/>
  <c r="X32" i="7"/>
  <c r="R32" i="7"/>
  <c r="X31" i="7"/>
  <c r="R31" i="7"/>
  <c r="AG30" i="7"/>
  <c r="X30" i="7"/>
  <c r="AM27" i="7"/>
  <c r="AM26" i="7"/>
  <c r="AM25" i="7"/>
  <c r="AJ24" i="7"/>
  <c r="AG24" i="7"/>
  <c r="AD24" i="7"/>
  <c r="AA24" i="7"/>
  <c r="AA23" i="7" s="1"/>
  <c r="X24" i="7"/>
  <c r="U24" i="7"/>
  <c r="R24" i="7"/>
  <c r="O24" i="7"/>
  <c r="L24" i="7"/>
  <c r="I24" i="7"/>
  <c r="F24" i="7"/>
  <c r="C24" i="7"/>
  <c r="C23" i="7" s="1"/>
  <c r="AJ23" i="7"/>
  <c r="AG23" i="7"/>
  <c r="AD23" i="7"/>
  <c r="X23" i="7"/>
  <c r="X13" i="7" s="1"/>
  <c r="Z78" i="7" s="1"/>
  <c r="U23" i="7"/>
  <c r="R23" i="7"/>
  <c r="R13" i="7" s="1"/>
  <c r="R33" i="7" s="1"/>
  <c r="O23" i="7"/>
  <c r="L23" i="7"/>
  <c r="I23" i="7"/>
  <c r="F23" i="7"/>
  <c r="AM22" i="7"/>
  <c r="AM21" i="7"/>
  <c r="AM20" i="7"/>
  <c r="AM19" i="7"/>
  <c r="D19" i="7"/>
  <c r="AM18" i="7"/>
  <c r="D18" i="7"/>
  <c r="AM17" i="7"/>
  <c r="D17" i="7"/>
  <c r="AM16" i="7"/>
  <c r="D16" i="7"/>
  <c r="AJ15" i="7"/>
  <c r="AG15" i="7"/>
  <c r="AD15" i="7"/>
  <c r="AD14" i="7" s="1"/>
  <c r="AC15" i="7"/>
  <c r="AA15" i="7"/>
  <c r="X15" i="7"/>
  <c r="U15" i="7"/>
  <c r="R15" i="7"/>
  <c r="O15" i="7"/>
  <c r="L15" i="7"/>
  <c r="I15" i="7"/>
  <c r="I15" i="16" s="1"/>
  <c r="I14" i="16" s="1"/>
  <c r="F15" i="7"/>
  <c r="C15" i="7"/>
  <c r="AG14" i="7"/>
  <c r="X14" i="7"/>
  <c r="U14" i="7"/>
  <c r="U13" i="7" s="1"/>
  <c r="R14" i="7"/>
  <c r="O14" i="7"/>
  <c r="L14" i="7"/>
  <c r="F14" i="7"/>
  <c r="C14" i="7"/>
  <c r="AG13" i="7"/>
  <c r="AI46" i="7" s="1"/>
  <c r="O13" i="7"/>
  <c r="C13" i="7"/>
  <c r="AJ12" i="7"/>
  <c r="AG12" i="7"/>
  <c r="AD12" i="7"/>
  <c r="AA12" i="7"/>
  <c r="X12" i="7"/>
  <c r="P4" i="1" s="1"/>
  <c r="U12" i="7"/>
  <c r="R12" i="7"/>
  <c r="O12" i="7"/>
  <c r="L12" i="7"/>
  <c r="I12" i="7"/>
  <c r="F12" i="7"/>
  <c r="C12" i="7"/>
  <c r="AM12" i="7" s="1"/>
  <c r="AM11" i="7"/>
  <c r="AM10" i="7"/>
  <c r="AM9" i="7"/>
  <c r="AM8" i="7"/>
  <c r="AM7" i="7"/>
  <c r="AM6" i="7"/>
  <c r="AM5" i="7"/>
  <c r="AM3" i="7"/>
  <c r="AM160" i="6"/>
  <c r="AM158" i="6"/>
  <c r="AM157" i="6"/>
  <c r="AM156" i="6"/>
  <c r="AM155" i="6"/>
  <c r="AM154" i="6"/>
  <c r="AQ153" i="6"/>
  <c r="AJ153" i="6"/>
  <c r="AG153" i="6"/>
  <c r="AD153" i="6"/>
  <c r="AA153" i="6"/>
  <c r="X153" i="6"/>
  <c r="U153" i="6"/>
  <c r="R153" i="6"/>
  <c r="O153" i="6"/>
  <c r="L153" i="6"/>
  <c r="I153" i="6"/>
  <c r="F153" i="6"/>
  <c r="C153" i="6"/>
  <c r="AM153" i="6" s="1"/>
  <c r="AM151" i="6"/>
  <c r="AS150" i="6"/>
  <c r="AM150" i="6"/>
  <c r="AM149" i="6"/>
  <c r="AM148" i="6"/>
  <c r="AQ147" i="6"/>
  <c r="AJ147" i="6"/>
  <c r="AG147" i="6"/>
  <c r="AD147" i="6"/>
  <c r="AA147" i="6"/>
  <c r="X147" i="6"/>
  <c r="U147" i="6"/>
  <c r="R147" i="6"/>
  <c r="O147" i="6"/>
  <c r="L147" i="6"/>
  <c r="I147" i="6"/>
  <c r="F147" i="6"/>
  <c r="C147" i="6"/>
  <c r="AM142" i="6"/>
  <c r="AM141" i="6"/>
  <c r="AM140" i="6"/>
  <c r="AM139" i="6"/>
  <c r="AM138" i="6"/>
  <c r="AM137" i="6"/>
  <c r="AM135" i="6"/>
  <c r="AM134" i="6"/>
  <c r="AM133" i="6"/>
  <c r="AM132" i="6"/>
  <c r="AM131" i="6"/>
  <c r="AM130" i="6"/>
  <c r="AM129" i="6"/>
  <c r="AM128" i="6"/>
  <c r="AQ127" i="6"/>
  <c r="AM127" i="6"/>
  <c r="AG127" i="6"/>
  <c r="AD127" i="6"/>
  <c r="AA127" i="6"/>
  <c r="X127" i="6"/>
  <c r="U127" i="6"/>
  <c r="R127" i="6"/>
  <c r="O127" i="6"/>
  <c r="L127" i="6"/>
  <c r="K127" i="6"/>
  <c r="I127" i="6"/>
  <c r="F127" i="6"/>
  <c r="C127" i="6"/>
  <c r="AM126" i="6"/>
  <c r="AM125" i="6"/>
  <c r="AM124" i="6"/>
  <c r="AS123" i="6"/>
  <c r="AQ123" i="6"/>
  <c r="AA123" i="6"/>
  <c r="X123" i="6"/>
  <c r="U123" i="6"/>
  <c r="R123" i="6"/>
  <c r="O123" i="6"/>
  <c r="L123" i="6"/>
  <c r="I123" i="6"/>
  <c r="F123" i="6"/>
  <c r="C123" i="6"/>
  <c r="AM121" i="6"/>
  <c r="AQ120" i="6"/>
  <c r="AG120" i="6"/>
  <c r="AD120" i="6"/>
  <c r="AA120" i="6"/>
  <c r="Z120" i="6"/>
  <c r="X120" i="6"/>
  <c r="U120" i="6"/>
  <c r="R120" i="6"/>
  <c r="O120" i="6"/>
  <c r="L120" i="6"/>
  <c r="I120" i="6"/>
  <c r="F120" i="6"/>
  <c r="C120" i="6"/>
  <c r="AM119" i="6"/>
  <c r="AM118" i="6"/>
  <c r="AM117" i="6"/>
  <c r="AM116" i="6"/>
  <c r="AM115" i="6"/>
  <c r="AS114" i="6"/>
  <c r="AQ114" i="6"/>
  <c r="AA114" i="6"/>
  <c r="X114" i="6"/>
  <c r="Z114" i="6" s="1"/>
  <c r="U114" i="6"/>
  <c r="R114" i="6"/>
  <c r="O114" i="6"/>
  <c r="L114" i="6"/>
  <c r="I114" i="6"/>
  <c r="F114" i="6"/>
  <c r="C114" i="6"/>
  <c r="AM113" i="6"/>
  <c r="AM112" i="6"/>
  <c r="AM111" i="6"/>
  <c r="AM110" i="6"/>
  <c r="AS109" i="6"/>
  <c r="AQ109" i="6"/>
  <c r="AA109" i="6"/>
  <c r="X109" i="6"/>
  <c r="U109" i="6"/>
  <c r="R109" i="6"/>
  <c r="O109" i="6"/>
  <c r="L109" i="6"/>
  <c r="I109" i="6"/>
  <c r="F109" i="6"/>
  <c r="C109" i="6"/>
  <c r="AM106" i="6"/>
  <c r="AM105" i="6"/>
  <c r="AM104" i="6"/>
  <c r="AM103" i="6"/>
  <c r="AM102" i="6"/>
  <c r="AM101" i="6"/>
  <c r="AM100" i="6"/>
  <c r="AS99" i="6"/>
  <c r="AQ99" i="6"/>
  <c r="AA99" i="6"/>
  <c r="Z99" i="6"/>
  <c r="X99" i="6"/>
  <c r="U99" i="6"/>
  <c r="R99" i="6"/>
  <c r="O99" i="6"/>
  <c r="L99" i="6"/>
  <c r="I99" i="6"/>
  <c r="F99" i="6"/>
  <c r="C99" i="6"/>
  <c r="AM98" i="6"/>
  <c r="AM97" i="6"/>
  <c r="AS96" i="6"/>
  <c r="AQ96" i="6"/>
  <c r="AG96" i="6"/>
  <c r="AG83" i="6" s="1"/>
  <c r="AA96" i="6"/>
  <c r="X96" i="6"/>
  <c r="U96" i="6"/>
  <c r="R96" i="6"/>
  <c r="O96" i="6"/>
  <c r="L96" i="6"/>
  <c r="I96" i="6"/>
  <c r="F96" i="6"/>
  <c r="C96" i="6"/>
  <c r="AM95" i="6"/>
  <c r="AM94" i="6"/>
  <c r="AM93" i="6"/>
  <c r="AS92" i="6"/>
  <c r="AA92" i="6"/>
  <c r="X92" i="6"/>
  <c r="U92" i="6"/>
  <c r="R92" i="6"/>
  <c r="O92" i="6"/>
  <c r="L92" i="6"/>
  <c r="I92" i="6"/>
  <c r="F92" i="6"/>
  <c r="C92" i="6"/>
  <c r="C83" i="6" s="1"/>
  <c r="AM91" i="6"/>
  <c r="AM90" i="6"/>
  <c r="AS89" i="6"/>
  <c r="AA89" i="6"/>
  <c r="X89" i="6"/>
  <c r="U89" i="6"/>
  <c r="R89" i="6"/>
  <c r="O89" i="6"/>
  <c r="L89" i="6"/>
  <c r="I89" i="6"/>
  <c r="F89" i="6"/>
  <c r="C89" i="6"/>
  <c r="AM87" i="6"/>
  <c r="AM86" i="6"/>
  <c r="AS85" i="6"/>
  <c r="AM85" i="6"/>
  <c r="AS84" i="6"/>
  <c r="AQ84" i="6"/>
  <c r="AJ84" i="6"/>
  <c r="AG84" i="6"/>
  <c r="AD84" i="6"/>
  <c r="AA84" i="6"/>
  <c r="AA83" i="6" s="1"/>
  <c r="X84" i="6"/>
  <c r="U84" i="6"/>
  <c r="R84" i="6"/>
  <c r="O84" i="6"/>
  <c r="L84" i="6"/>
  <c r="I84" i="6"/>
  <c r="F84" i="6"/>
  <c r="C84" i="6"/>
  <c r="AM84" i="6" s="1"/>
  <c r="AJ83" i="6"/>
  <c r="AM81" i="6"/>
  <c r="AS80" i="6"/>
  <c r="AM80" i="6"/>
  <c r="AM79" i="6"/>
  <c r="AQ78" i="6"/>
  <c r="AG78" i="6"/>
  <c r="AD78" i="6"/>
  <c r="AA78" i="6"/>
  <c r="Z78" i="6"/>
  <c r="X78" i="6"/>
  <c r="U78" i="6"/>
  <c r="R78" i="6"/>
  <c r="O78" i="6"/>
  <c r="L78" i="6"/>
  <c r="I78" i="6"/>
  <c r="F78" i="6"/>
  <c r="C78" i="6"/>
  <c r="AS77" i="6"/>
  <c r="AM77" i="6"/>
  <c r="AM76" i="6"/>
  <c r="AM75" i="6"/>
  <c r="AM74" i="6"/>
  <c r="AM73" i="6"/>
  <c r="AQ72" i="6"/>
  <c r="AS72" i="6" s="1"/>
  <c r="AJ72" i="6"/>
  <c r="AH72" i="6"/>
  <c r="AG72" i="6"/>
  <c r="AD72" i="6"/>
  <c r="AA72" i="6"/>
  <c r="Z72" i="6"/>
  <c r="X72" i="6"/>
  <c r="Y72" i="6" s="1"/>
  <c r="U72" i="6"/>
  <c r="R72" i="6"/>
  <c r="P72" i="6"/>
  <c r="O72" i="6"/>
  <c r="L72" i="6"/>
  <c r="I72" i="6"/>
  <c r="F72" i="6"/>
  <c r="AM66" i="6"/>
  <c r="AM65" i="6"/>
  <c r="AS64" i="6"/>
  <c r="AR64" i="6"/>
  <c r="AM64" i="6"/>
  <c r="AS63" i="6"/>
  <c r="AR63" i="6"/>
  <c r="AM63" i="6"/>
  <c r="AS62" i="6"/>
  <c r="AR62" i="6"/>
  <c r="AM62" i="6"/>
  <c r="AQ61" i="6"/>
  <c r="AJ61" i="6"/>
  <c r="AG61" i="6"/>
  <c r="AG60" i="6" s="1"/>
  <c r="AD61" i="6"/>
  <c r="AD60" i="6" s="1"/>
  <c r="AA61" i="6"/>
  <c r="X61" i="6"/>
  <c r="U61" i="6"/>
  <c r="R61" i="6"/>
  <c r="O61" i="6"/>
  <c r="L61" i="6"/>
  <c r="I61" i="6"/>
  <c r="F61" i="6"/>
  <c r="F60" i="6" s="1"/>
  <c r="C61" i="6"/>
  <c r="C60" i="6" s="1"/>
  <c r="AJ60" i="6"/>
  <c r="AA60" i="6"/>
  <c r="X60" i="6"/>
  <c r="X44" i="6" s="1"/>
  <c r="L60" i="6"/>
  <c r="I60" i="6"/>
  <c r="AM59" i="6"/>
  <c r="AJ58" i="6"/>
  <c r="AJ58" i="16" s="1"/>
  <c r="AJ57" i="16" s="1"/>
  <c r="AJ57" i="6"/>
  <c r="AJ45" i="6" s="1"/>
  <c r="AJ44" i="6" s="1"/>
  <c r="AJ144" i="6" s="1"/>
  <c r="AI57" i="6"/>
  <c r="AH57" i="6"/>
  <c r="AG57" i="6"/>
  <c r="AE57" i="6"/>
  <c r="AD57" i="6"/>
  <c r="AF57" i="6" s="1"/>
  <c r="AC57" i="6"/>
  <c r="AA57" i="6"/>
  <c r="AB57" i="6" s="1"/>
  <c r="X57" i="6"/>
  <c r="Z57" i="6" s="1"/>
  <c r="T57" i="6"/>
  <c r="R57" i="6"/>
  <c r="S57" i="6" s="1"/>
  <c r="O57" i="6"/>
  <c r="N57" i="6"/>
  <c r="L57" i="6"/>
  <c r="M57" i="6" s="1"/>
  <c r="I57" i="6"/>
  <c r="F57" i="6"/>
  <c r="AM56" i="6"/>
  <c r="AM53" i="6"/>
  <c r="AM52" i="6"/>
  <c r="AM51" i="6"/>
  <c r="AM50" i="6"/>
  <c r="AM49" i="6"/>
  <c r="AM48" i="6"/>
  <c r="AS47" i="6"/>
  <c r="AR47" i="6"/>
  <c r="AN47" i="6"/>
  <c r="AM47" i="6"/>
  <c r="AO47" i="6" s="1"/>
  <c r="AH47" i="6"/>
  <c r="Z47" i="6"/>
  <c r="Y47" i="6"/>
  <c r="V47" i="6"/>
  <c r="T47" i="6"/>
  <c r="S47" i="6"/>
  <c r="Q47" i="6"/>
  <c r="P47" i="6"/>
  <c r="N47" i="6"/>
  <c r="M47" i="6"/>
  <c r="K47" i="6"/>
  <c r="J47" i="6"/>
  <c r="H47" i="6"/>
  <c r="G47" i="6"/>
  <c r="AQ46" i="6"/>
  <c r="AJ46" i="6"/>
  <c r="AG46" i="6"/>
  <c r="AG45" i="6" s="1"/>
  <c r="AD46" i="6"/>
  <c r="AD45" i="6" s="1"/>
  <c r="AA46" i="6"/>
  <c r="AA45" i="6" s="1"/>
  <c r="AA44" i="6" s="1"/>
  <c r="X46" i="6"/>
  <c r="U46" i="6"/>
  <c r="R46" i="6"/>
  <c r="R45" i="6" s="1"/>
  <c r="O46" i="6"/>
  <c r="L46" i="6"/>
  <c r="I46" i="6"/>
  <c r="F46" i="6"/>
  <c r="F45" i="6" s="1"/>
  <c r="C46" i="6"/>
  <c r="X45" i="6"/>
  <c r="L45" i="6"/>
  <c r="L44" i="6" s="1"/>
  <c r="C45" i="6"/>
  <c r="X42" i="6"/>
  <c r="P56" i="1" s="1"/>
  <c r="AM35" i="6"/>
  <c r="AM34" i="6"/>
  <c r="AM33" i="6"/>
  <c r="AM32" i="6"/>
  <c r="AM31" i="6"/>
  <c r="AQ29" i="6"/>
  <c r="X29" i="6"/>
  <c r="X28" i="6" s="1"/>
  <c r="AQ28" i="6"/>
  <c r="AM27" i="6"/>
  <c r="AM26" i="6"/>
  <c r="AM25" i="6"/>
  <c r="AG24" i="6"/>
  <c r="AD24" i="6"/>
  <c r="AA24" i="6"/>
  <c r="X24" i="6"/>
  <c r="U24" i="6"/>
  <c r="R24" i="6"/>
  <c r="AM24" i="6" s="1"/>
  <c r="O24" i="6"/>
  <c r="L24" i="6"/>
  <c r="I24" i="6"/>
  <c r="F24" i="6"/>
  <c r="C24" i="6"/>
  <c r="AG23" i="6"/>
  <c r="AD23" i="6"/>
  <c r="AA23" i="6"/>
  <c r="X23" i="6"/>
  <c r="U23" i="6"/>
  <c r="R23" i="6"/>
  <c r="O23" i="6"/>
  <c r="L23" i="6"/>
  <c r="I23" i="6"/>
  <c r="F23" i="6"/>
  <c r="C23" i="6"/>
  <c r="AM20" i="6"/>
  <c r="AG20" i="6"/>
  <c r="V20" i="6"/>
  <c r="S20" i="6"/>
  <c r="P20" i="6"/>
  <c r="M20" i="6"/>
  <c r="J20" i="6"/>
  <c r="AM19" i="6"/>
  <c r="AM18" i="6"/>
  <c r="AM17" i="6"/>
  <c r="AR16" i="6"/>
  <c r="AM16" i="6"/>
  <c r="AH16" i="6"/>
  <c r="AE16" i="6"/>
  <c r="AB16" i="6"/>
  <c r="Y16" i="6"/>
  <c r="S16" i="6"/>
  <c r="M16" i="6"/>
  <c r="J16" i="6"/>
  <c r="G16" i="6"/>
  <c r="AQ15" i="6"/>
  <c r="AQ14" i="6" s="1"/>
  <c r="AQ13" i="6" s="1"/>
  <c r="AD15" i="6"/>
  <c r="AA15" i="6"/>
  <c r="AC47" i="6" s="1"/>
  <c r="Z15" i="6"/>
  <c r="X15" i="6"/>
  <c r="U15" i="6"/>
  <c r="U14" i="6" s="1"/>
  <c r="R15" i="6"/>
  <c r="T15" i="6" s="1"/>
  <c r="Q15" i="6"/>
  <c r="O15" i="6"/>
  <c r="O14" i="6" s="1"/>
  <c r="N15" i="6"/>
  <c r="L15" i="6"/>
  <c r="I15" i="6"/>
  <c r="K15" i="6" s="1"/>
  <c r="F15" i="6"/>
  <c r="H15" i="6" s="1"/>
  <c r="C15" i="6"/>
  <c r="X14" i="6"/>
  <c r="X13" i="6" s="1"/>
  <c r="R14" i="6"/>
  <c r="L14" i="6"/>
  <c r="I14" i="6"/>
  <c r="I13" i="6"/>
  <c r="I30" i="6" s="1"/>
  <c r="I29" i="6" s="1"/>
  <c r="AQ12" i="6"/>
  <c r="AJ12" i="6"/>
  <c r="AG12" i="6"/>
  <c r="AD12" i="6"/>
  <c r="AE47" i="6" s="1"/>
  <c r="AA12" i="6"/>
  <c r="X12" i="6"/>
  <c r="U12" i="6"/>
  <c r="R12" i="6"/>
  <c r="O12" i="6"/>
  <c r="L12" i="6"/>
  <c r="I12" i="6"/>
  <c r="J72" i="6" s="1"/>
  <c r="F12" i="6"/>
  <c r="C12" i="6"/>
  <c r="AM9" i="6"/>
  <c r="AM8" i="6"/>
  <c r="AM7" i="6"/>
  <c r="AM6" i="6"/>
  <c r="AM5" i="6"/>
  <c r="AM3" i="6"/>
  <c r="M198" i="5"/>
  <c r="M197" i="5"/>
  <c r="M200" i="5" s="1"/>
  <c r="F142" i="5"/>
  <c r="C142" i="5"/>
  <c r="AM142" i="5" s="1"/>
  <c r="AM138" i="5"/>
  <c r="AM137" i="5"/>
  <c r="AM136" i="5"/>
  <c r="AM135" i="5"/>
  <c r="AM134" i="5"/>
  <c r="F133" i="5"/>
  <c r="C133" i="5"/>
  <c r="AM133" i="5" s="1"/>
  <c r="AM132" i="5"/>
  <c r="AM131" i="5"/>
  <c r="AM130" i="5"/>
  <c r="F129" i="5"/>
  <c r="C129" i="5"/>
  <c r="AM127" i="5"/>
  <c r="AJ126" i="5"/>
  <c r="AG126" i="5"/>
  <c r="AF126" i="5"/>
  <c r="AD126" i="5"/>
  <c r="AA126" i="5"/>
  <c r="X126" i="5"/>
  <c r="U126" i="5"/>
  <c r="R126" i="5"/>
  <c r="O126" i="5"/>
  <c r="L126" i="5"/>
  <c r="I126" i="5"/>
  <c r="H126" i="5"/>
  <c r="F126" i="5"/>
  <c r="AM125" i="5"/>
  <c r="AM124" i="5"/>
  <c r="AM123" i="5"/>
  <c r="AJ122" i="5"/>
  <c r="AG122" i="5"/>
  <c r="AI122" i="5" s="1"/>
  <c r="AA122" i="5"/>
  <c r="X122" i="5"/>
  <c r="X83" i="5" s="1"/>
  <c r="U122" i="5"/>
  <c r="R122" i="5"/>
  <c r="O122" i="5"/>
  <c r="L122" i="5"/>
  <c r="N122" i="5" s="1"/>
  <c r="I122" i="5"/>
  <c r="F122" i="5"/>
  <c r="C122" i="5"/>
  <c r="AM121" i="5"/>
  <c r="AM120" i="5"/>
  <c r="AJ119" i="5"/>
  <c r="AG119" i="5"/>
  <c r="AI119" i="5" s="1"/>
  <c r="AF119" i="5"/>
  <c r="AD119" i="5"/>
  <c r="AA119" i="5"/>
  <c r="X119" i="5"/>
  <c r="U119" i="5"/>
  <c r="R119" i="5"/>
  <c r="O119" i="5"/>
  <c r="L119" i="5"/>
  <c r="N119" i="5" s="1"/>
  <c r="I119" i="5"/>
  <c r="H119" i="5"/>
  <c r="F119" i="5"/>
  <c r="C119" i="5"/>
  <c r="AM119" i="5" s="1"/>
  <c r="AM118" i="5"/>
  <c r="AM117" i="5"/>
  <c r="AM116" i="5"/>
  <c r="AM115" i="5"/>
  <c r="AM114" i="5"/>
  <c r="AJ113" i="5"/>
  <c r="AG113" i="5"/>
  <c r="AI113" i="5" s="1"/>
  <c r="AD113" i="5"/>
  <c r="AF113" i="5" s="1"/>
  <c r="AA113" i="5"/>
  <c r="X113" i="5"/>
  <c r="U113" i="5"/>
  <c r="R113" i="5"/>
  <c r="O113" i="5"/>
  <c r="L113" i="5"/>
  <c r="AM113" i="5" s="1"/>
  <c r="I113" i="5"/>
  <c r="H113" i="5"/>
  <c r="F113" i="5"/>
  <c r="C113" i="5"/>
  <c r="AM112" i="5"/>
  <c r="AM111" i="5"/>
  <c r="AM110" i="5"/>
  <c r="AM109" i="5"/>
  <c r="AJ108" i="5"/>
  <c r="AG108" i="5"/>
  <c r="AI108" i="5" s="1"/>
  <c r="AF108" i="5"/>
  <c r="AD108" i="5"/>
  <c r="AA108" i="5"/>
  <c r="X108" i="5"/>
  <c r="U108" i="5"/>
  <c r="R108" i="5"/>
  <c r="O108" i="5"/>
  <c r="L108" i="5"/>
  <c r="I108" i="5"/>
  <c r="H108" i="5"/>
  <c r="F108" i="5"/>
  <c r="C108" i="5"/>
  <c r="AM107" i="5"/>
  <c r="AM106" i="5"/>
  <c r="AM105" i="5"/>
  <c r="AM104" i="5"/>
  <c r="AM103" i="5"/>
  <c r="AM102" i="5"/>
  <c r="AM101" i="5"/>
  <c r="AM100" i="5"/>
  <c r="AM99" i="5"/>
  <c r="AJ98" i="5"/>
  <c r="AG98" i="5"/>
  <c r="AD98" i="5"/>
  <c r="AA98" i="5"/>
  <c r="X98" i="5"/>
  <c r="U98" i="5"/>
  <c r="R98" i="5"/>
  <c r="O98" i="5"/>
  <c r="L98" i="5"/>
  <c r="I98" i="5"/>
  <c r="F98" i="5"/>
  <c r="C98" i="5"/>
  <c r="AM97" i="5"/>
  <c r="AM96" i="5"/>
  <c r="AJ95" i="5"/>
  <c r="AG95" i="5"/>
  <c r="AI95" i="5" s="1"/>
  <c r="AD95" i="5"/>
  <c r="AA95" i="5"/>
  <c r="X95" i="5"/>
  <c r="U95" i="5"/>
  <c r="R95" i="5"/>
  <c r="O95" i="5"/>
  <c r="L95" i="5"/>
  <c r="I95" i="5"/>
  <c r="F95" i="5"/>
  <c r="H95" i="5" s="1"/>
  <c r="C95" i="5"/>
  <c r="AM94" i="5"/>
  <c r="AM93" i="5"/>
  <c r="AM92" i="5"/>
  <c r="AJ91" i="5"/>
  <c r="AG91" i="5"/>
  <c r="AF91" i="5"/>
  <c r="AD91" i="5"/>
  <c r="AA91" i="5"/>
  <c r="AA83" i="5" s="1"/>
  <c r="X91" i="5"/>
  <c r="U91" i="5"/>
  <c r="R91" i="5"/>
  <c r="O91" i="5"/>
  <c r="L91" i="5"/>
  <c r="N91" i="5" s="1"/>
  <c r="I91" i="5"/>
  <c r="F91" i="5"/>
  <c r="C91" i="5"/>
  <c r="AM90" i="5"/>
  <c r="AM89" i="5"/>
  <c r="AJ88" i="5"/>
  <c r="AG88" i="5"/>
  <c r="AF88" i="5"/>
  <c r="AD88" i="5"/>
  <c r="AA88" i="5"/>
  <c r="X88" i="5"/>
  <c r="U88" i="5"/>
  <c r="R88" i="5"/>
  <c r="O88" i="5"/>
  <c r="L88" i="5"/>
  <c r="I88" i="5"/>
  <c r="F88" i="5"/>
  <c r="H88" i="5" s="1"/>
  <c r="C88" i="5"/>
  <c r="AM87" i="5"/>
  <c r="AM86" i="5"/>
  <c r="AM85" i="5"/>
  <c r="AJ84" i="5"/>
  <c r="AI84" i="5"/>
  <c r="AG84" i="5"/>
  <c r="AF84" i="5"/>
  <c r="AD84" i="5"/>
  <c r="AA84" i="5"/>
  <c r="X84" i="5"/>
  <c r="U84" i="5"/>
  <c r="R84" i="5"/>
  <c r="O84" i="5"/>
  <c r="L84" i="5"/>
  <c r="N84" i="5" s="1"/>
  <c r="I84" i="5"/>
  <c r="H84" i="5"/>
  <c r="F84" i="5"/>
  <c r="C84" i="5"/>
  <c r="R83" i="5"/>
  <c r="AM81" i="5"/>
  <c r="AM80" i="5"/>
  <c r="AM79" i="5"/>
  <c r="F79" i="5"/>
  <c r="C79" i="5"/>
  <c r="AJ78" i="5"/>
  <c r="AG78" i="5"/>
  <c r="AD78" i="5"/>
  <c r="AA78" i="5"/>
  <c r="X78" i="5"/>
  <c r="U78" i="5"/>
  <c r="R78" i="5"/>
  <c r="O78" i="5"/>
  <c r="L78" i="5"/>
  <c r="I78" i="5"/>
  <c r="F78" i="5"/>
  <c r="C78" i="5"/>
  <c r="AM78" i="5" s="1"/>
  <c r="F77" i="5"/>
  <c r="F60" i="5" s="1"/>
  <c r="F44" i="5" s="1"/>
  <c r="C77" i="5"/>
  <c r="AM76" i="5"/>
  <c r="F76" i="5"/>
  <c r="C76" i="5"/>
  <c r="AM75" i="5"/>
  <c r="AM74" i="5"/>
  <c r="AM73" i="5"/>
  <c r="AM72" i="5"/>
  <c r="AM71" i="5"/>
  <c r="AM66" i="5"/>
  <c r="AM65" i="5"/>
  <c r="AM64" i="5"/>
  <c r="AM63" i="5"/>
  <c r="F63" i="5"/>
  <c r="C63" i="5"/>
  <c r="F62" i="5"/>
  <c r="C62" i="5"/>
  <c r="AM62" i="5" s="1"/>
  <c r="AJ61" i="5"/>
  <c r="AG61" i="5"/>
  <c r="AG60" i="5" s="1"/>
  <c r="AG44" i="5" s="1"/>
  <c r="AD61" i="5"/>
  <c r="AA61" i="5"/>
  <c r="AA60" i="5" s="1"/>
  <c r="AA44" i="5" s="1"/>
  <c r="X61" i="5"/>
  <c r="U61" i="5"/>
  <c r="R61" i="5"/>
  <c r="O61" i="5"/>
  <c r="L61" i="5"/>
  <c r="I61" i="5"/>
  <c r="F61" i="5"/>
  <c r="C61" i="5"/>
  <c r="C60" i="5" s="1"/>
  <c r="AJ60" i="5"/>
  <c r="AD60" i="5"/>
  <c r="X60" i="5"/>
  <c r="X44" i="5" s="1"/>
  <c r="U60" i="5"/>
  <c r="U44" i="5" s="1"/>
  <c r="R60" i="5"/>
  <c r="R44" i="5" s="1"/>
  <c r="O60" i="5"/>
  <c r="L60" i="5"/>
  <c r="I60" i="5"/>
  <c r="AM59" i="5"/>
  <c r="AM58" i="5"/>
  <c r="AM57" i="5"/>
  <c r="AM53" i="5"/>
  <c r="AM52" i="5"/>
  <c r="AM51" i="5"/>
  <c r="AM50" i="5"/>
  <c r="AM49" i="5"/>
  <c r="AM48" i="5"/>
  <c r="AM47" i="5"/>
  <c r="AM46" i="5"/>
  <c r="AM45" i="5"/>
  <c r="AJ44" i="5"/>
  <c r="AD44" i="5"/>
  <c r="L44" i="5"/>
  <c r="I44" i="5"/>
  <c r="AM35" i="5"/>
  <c r="AM34" i="5"/>
  <c r="AM33" i="5"/>
  <c r="AM32" i="5"/>
  <c r="AM31" i="5"/>
  <c r="AM30" i="5"/>
  <c r="AJ29" i="5"/>
  <c r="AJ28" i="5" s="1"/>
  <c r="AG29" i="5"/>
  <c r="AG28" i="5" s="1"/>
  <c r="AD29" i="5"/>
  <c r="AF29" i="5" s="1"/>
  <c r="AA29" i="5"/>
  <c r="X29" i="5"/>
  <c r="U29" i="5"/>
  <c r="R29" i="5"/>
  <c r="O29" i="5"/>
  <c r="O28" i="5" s="1"/>
  <c r="L29" i="5"/>
  <c r="N29" i="5" s="1"/>
  <c r="I29" i="5"/>
  <c r="F29" i="5"/>
  <c r="C29" i="5"/>
  <c r="AD28" i="5"/>
  <c r="AD42" i="5" s="1"/>
  <c r="U28" i="5"/>
  <c r="R28" i="5"/>
  <c r="I28" i="5"/>
  <c r="AM27" i="5"/>
  <c r="AM26" i="5"/>
  <c r="AM25" i="5"/>
  <c r="AJ24" i="5"/>
  <c r="AG24" i="5"/>
  <c r="AD24" i="5"/>
  <c r="AA24" i="5"/>
  <c r="AA23" i="5" s="1"/>
  <c r="X24" i="5"/>
  <c r="U24" i="5"/>
  <c r="U23" i="5" s="1"/>
  <c r="R24" i="5"/>
  <c r="R23" i="5" s="1"/>
  <c r="O24" i="5"/>
  <c r="L24" i="5"/>
  <c r="I24" i="5"/>
  <c r="I23" i="5" s="1"/>
  <c r="F24" i="5"/>
  <c r="C24" i="5"/>
  <c r="C23" i="5" s="1"/>
  <c r="X23" i="5"/>
  <c r="O23" i="5"/>
  <c r="L23" i="5"/>
  <c r="F23" i="5"/>
  <c r="F13" i="5" s="1"/>
  <c r="AM22" i="5"/>
  <c r="AM21" i="5"/>
  <c r="AM20" i="5"/>
  <c r="AM19" i="5"/>
  <c r="U18" i="5"/>
  <c r="R18" i="5"/>
  <c r="R15" i="5" s="1"/>
  <c r="R14" i="5" s="1"/>
  <c r="R13" i="5" s="1"/>
  <c r="T29" i="5" s="1"/>
  <c r="O18" i="5"/>
  <c r="AM18" i="5" s="1"/>
  <c r="AO72" i="5" s="1"/>
  <c r="AM17" i="5"/>
  <c r="F16" i="5"/>
  <c r="C16" i="5"/>
  <c r="AJ15" i="5"/>
  <c r="AG15" i="5"/>
  <c r="AD15" i="5"/>
  <c r="AD14" i="5" s="1"/>
  <c r="AD13" i="5" s="1"/>
  <c r="AA15" i="5"/>
  <c r="X15" i="5"/>
  <c r="X14" i="5" s="1"/>
  <c r="U15" i="5"/>
  <c r="O15" i="5"/>
  <c r="O14" i="5" s="1"/>
  <c r="L15" i="5"/>
  <c r="I15" i="5"/>
  <c r="F15" i="5"/>
  <c r="AJ14" i="5"/>
  <c r="AG14" i="5"/>
  <c r="AG13" i="5" s="1"/>
  <c r="AI126" i="5" s="1"/>
  <c r="AA14" i="5"/>
  <c r="U14" i="5"/>
  <c r="L14" i="5"/>
  <c r="I14" i="5"/>
  <c r="F14" i="5"/>
  <c r="O13" i="5"/>
  <c r="L13" i="5"/>
  <c r="N126" i="5" s="1"/>
  <c r="AJ12" i="5"/>
  <c r="AG12" i="5"/>
  <c r="AD12" i="5"/>
  <c r="AA12" i="5"/>
  <c r="X12" i="5"/>
  <c r="U12" i="5"/>
  <c r="R12" i="5"/>
  <c r="O12" i="5"/>
  <c r="I12" i="5"/>
  <c r="F12" i="5"/>
  <c r="AM11" i="5"/>
  <c r="AM10" i="5"/>
  <c r="AM9" i="5"/>
  <c r="AM8" i="5"/>
  <c r="AM7" i="5"/>
  <c r="AM6" i="5"/>
  <c r="AM5" i="5"/>
  <c r="L5" i="5"/>
  <c r="L12" i="5" s="1"/>
  <c r="I5" i="5"/>
  <c r="C5" i="5"/>
  <c r="C12" i="5" s="1"/>
  <c r="AM3" i="5"/>
  <c r="M25" i="4"/>
  <c r="C25" i="4"/>
  <c r="C73" i="8" s="1"/>
  <c r="O24" i="4"/>
  <c r="O23" i="4"/>
  <c r="D23" i="4"/>
  <c r="D22" i="4" s="1"/>
  <c r="C23" i="4"/>
  <c r="N22" i="4"/>
  <c r="M22" i="4"/>
  <c r="L22" i="4"/>
  <c r="K22" i="4"/>
  <c r="J22" i="4"/>
  <c r="I22" i="4"/>
  <c r="H22" i="4"/>
  <c r="G22" i="4"/>
  <c r="F22" i="4"/>
  <c r="E22" i="4"/>
  <c r="C22" i="4"/>
  <c r="D21" i="4"/>
  <c r="O20" i="4"/>
  <c r="D20" i="4"/>
  <c r="N19" i="4"/>
  <c r="M19" i="4"/>
  <c r="L19" i="4"/>
  <c r="K19" i="4"/>
  <c r="J19" i="4"/>
  <c r="I19" i="4"/>
  <c r="H19" i="4"/>
  <c r="G19" i="4"/>
  <c r="F19" i="4"/>
  <c r="E19" i="4"/>
  <c r="E25" i="4" s="1"/>
  <c r="C19" i="4"/>
  <c r="D18" i="4"/>
  <c r="C18" i="4"/>
  <c r="O18" i="4" s="1"/>
  <c r="D17" i="4"/>
  <c r="D15" i="4" s="1"/>
  <c r="C17" i="4"/>
  <c r="C15" i="4" s="1"/>
  <c r="D16" i="4"/>
  <c r="C16" i="4"/>
  <c r="O16" i="4" s="1"/>
  <c r="N15" i="4"/>
  <c r="M15" i="4"/>
  <c r="L15" i="4"/>
  <c r="K15" i="4"/>
  <c r="J15" i="4"/>
  <c r="I15" i="4"/>
  <c r="H15" i="4"/>
  <c r="G15" i="4"/>
  <c r="F15" i="4"/>
  <c r="E15" i="4"/>
  <c r="O14" i="4"/>
  <c r="C14" i="4"/>
  <c r="O13" i="4"/>
  <c r="D13" i="4"/>
  <c r="O12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C10" i="4"/>
  <c r="C9" i="4" s="1"/>
  <c r="N9" i="4"/>
  <c r="M9" i="4"/>
  <c r="L9" i="4"/>
  <c r="K9" i="4"/>
  <c r="K25" i="4" s="1"/>
  <c r="J9" i="4"/>
  <c r="I9" i="4"/>
  <c r="H9" i="4"/>
  <c r="G9" i="4"/>
  <c r="F9" i="4"/>
  <c r="F25" i="4" s="1"/>
  <c r="E9" i="4"/>
  <c r="D9" i="4"/>
  <c r="O8" i="4"/>
  <c r="O7" i="4"/>
  <c r="D6" i="4"/>
  <c r="D5" i="4" s="1"/>
  <c r="C6" i="4"/>
  <c r="N5" i="4"/>
  <c r="M5" i="4"/>
  <c r="L5" i="4"/>
  <c r="K5" i="4"/>
  <c r="J5" i="4"/>
  <c r="I5" i="4"/>
  <c r="H5" i="4"/>
  <c r="G5" i="4"/>
  <c r="F5" i="4"/>
  <c r="E5" i="4"/>
  <c r="C5" i="4"/>
  <c r="K34" i="3"/>
  <c r="K25" i="3"/>
  <c r="K27" i="3" s="1"/>
  <c r="K28" i="3" s="1"/>
  <c r="K29" i="3" s="1"/>
  <c r="M22" i="3"/>
  <c r="L22" i="3"/>
  <c r="K22" i="3"/>
  <c r="J22" i="3"/>
  <c r="N21" i="3"/>
  <c r="N22" i="3" s="1"/>
  <c r="M21" i="3"/>
  <c r="L21" i="3"/>
  <c r="K21" i="3"/>
  <c r="J21" i="3"/>
  <c r="I21" i="3"/>
  <c r="I22" i="3" s="1"/>
  <c r="G21" i="3"/>
  <c r="G22" i="3" s="1"/>
  <c r="F21" i="3"/>
  <c r="F22" i="3" s="1"/>
  <c r="E21" i="3"/>
  <c r="E22" i="3" s="1"/>
  <c r="O20" i="3"/>
  <c r="H17" i="3"/>
  <c r="F17" i="3"/>
  <c r="O16" i="3"/>
  <c r="D16" i="3"/>
  <c r="C16" i="3"/>
  <c r="O15" i="3"/>
  <c r="D14" i="3"/>
  <c r="C14" i="3"/>
  <c r="O14" i="3" s="1"/>
  <c r="D13" i="3"/>
  <c r="C13" i="3"/>
  <c r="N12" i="3"/>
  <c r="M12" i="3"/>
  <c r="L12" i="3"/>
  <c r="K12" i="3"/>
  <c r="J12" i="3"/>
  <c r="I12" i="3"/>
  <c r="H12" i="3"/>
  <c r="G12" i="3"/>
  <c r="F12" i="3"/>
  <c r="E12" i="3"/>
  <c r="D12" i="3"/>
  <c r="D10" i="3"/>
  <c r="O10" i="3" s="1"/>
  <c r="D9" i="3"/>
  <c r="D6" i="3" s="1"/>
  <c r="C9" i="3"/>
  <c r="C6" i="3" s="1"/>
  <c r="O8" i="3"/>
  <c r="D7" i="3"/>
  <c r="O7" i="3" s="1"/>
  <c r="C7" i="3"/>
  <c r="N5" i="3"/>
  <c r="N17" i="3" s="1"/>
  <c r="M5" i="3"/>
  <c r="L5" i="3"/>
  <c r="K5" i="3"/>
  <c r="K17" i="3" s="1"/>
  <c r="J5" i="3"/>
  <c r="J17" i="3" s="1"/>
  <c r="I5" i="3"/>
  <c r="I17" i="3" s="1"/>
  <c r="H5" i="3"/>
  <c r="G5" i="3"/>
  <c r="G17" i="3" s="1"/>
  <c r="F5" i="3"/>
  <c r="E5" i="3"/>
  <c r="D128" i="2"/>
  <c r="D122" i="2"/>
  <c r="N119" i="2"/>
  <c r="M119" i="2"/>
  <c r="L119" i="2"/>
  <c r="K119" i="2"/>
  <c r="J119" i="2"/>
  <c r="I119" i="2"/>
  <c r="H119" i="2"/>
  <c r="G119" i="2"/>
  <c r="E119" i="2"/>
  <c r="O118" i="2"/>
  <c r="O117" i="2"/>
  <c r="D117" i="2"/>
  <c r="O116" i="2"/>
  <c r="D116" i="2"/>
  <c r="O115" i="2"/>
  <c r="O113" i="2"/>
  <c r="O111" i="2"/>
  <c r="N109" i="2"/>
  <c r="AJ183" i="16" s="1"/>
  <c r="M109" i="2"/>
  <c r="AG183" i="16" s="1"/>
  <c r="K109" i="2"/>
  <c r="AA183" i="16" s="1"/>
  <c r="J109" i="2"/>
  <c r="X183" i="16" s="1"/>
  <c r="E109" i="2"/>
  <c r="I183" i="16" s="1"/>
  <c r="O108" i="2"/>
  <c r="D108" i="2"/>
  <c r="C108" i="2"/>
  <c r="C107" i="2"/>
  <c r="O107" i="2" s="1"/>
  <c r="D106" i="2"/>
  <c r="O106" i="2" s="1"/>
  <c r="C106" i="2"/>
  <c r="O105" i="2"/>
  <c r="D104" i="2"/>
  <c r="O104" i="2" s="1"/>
  <c r="O103" i="2"/>
  <c r="O102" i="2"/>
  <c r="C102" i="2"/>
  <c r="O101" i="2"/>
  <c r="D101" i="2"/>
  <c r="C101" i="2"/>
  <c r="D100" i="2"/>
  <c r="C100" i="2"/>
  <c r="D99" i="2"/>
  <c r="C99" i="2"/>
  <c r="O99" i="2" s="1"/>
  <c r="N98" i="2"/>
  <c r="M98" i="2"/>
  <c r="L98" i="2"/>
  <c r="L109" i="2" s="1"/>
  <c r="AD183" i="16" s="1"/>
  <c r="K98" i="2"/>
  <c r="J98" i="2"/>
  <c r="I98" i="2"/>
  <c r="I109" i="2" s="1"/>
  <c r="U183" i="16" s="1"/>
  <c r="H98" i="2"/>
  <c r="H109" i="2" s="1"/>
  <c r="R183" i="16" s="1"/>
  <c r="G98" i="2"/>
  <c r="G109" i="2" s="1"/>
  <c r="O183" i="16" s="1"/>
  <c r="E98" i="2"/>
  <c r="C98" i="2"/>
  <c r="C109" i="2" s="1"/>
  <c r="H96" i="2"/>
  <c r="D95" i="2"/>
  <c r="C95" i="2"/>
  <c r="O95" i="2" s="1"/>
  <c r="D94" i="2"/>
  <c r="C94" i="2"/>
  <c r="O94" i="2" s="1"/>
  <c r="D93" i="2"/>
  <c r="O93" i="2" s="1"/>
  <c r="O90" i="2" s="1"/>
  <c r="C93" i="2"/>
  <c r="O92" i="2"/>
  <c r="O91" i="2"/>
  <c r="N90" i="2"/>
  <c r="M90" i="2"/>
  <c r="L90" i="2"/>
  <c r="K90" i="2"/>
  <c r="J90" i="2"/>
  <c r="I90" i="2"/>
  <c r="H90" i="2"/>
  <c r="G90" i="2"/>
  <c r="E90" i="2"/>
  <c r="O88" i="2"/>
  <c r="D88" i="2"/>
  <c r="C88" i="2"/>
  <c r="D87" i="2"/>
  <c r="O87" i="2" s="1"/>
  <c r="O86" i="2"/>
  <c r="O85" i="2"/>
  <c r="D85" i="2"/>
  <c r="C85" i="2"/>
  <c r="O84" i="2"/>
  <c r="D84" i="2"/>
  <c r="C84" i="2"/>
  <c r="O83" i="2"/>
  <c r="D83" i="2"/>
  <c r="C83" i="2"/>
  <c r="D82" i="2"/>
  <c r="C82" i="2"/>
  <c r="O82" i="2" s="1"/>
  <c r="O81" i="2"/>
  <c r="D81" i="2"/>
  <c r="C81" i="2"/>
  <c r="O80" i="2"/>
  <c r="D80" i="2"/>
  <c r="C80" i="2"/>
  <c r="O79" i="2"/>
  <c r="D79" i="2"/>
  <c r="C79" i="2"/>
  <c r="D78" i="2"/>
  <c r="C78" i="2"/>
  <c r="O78" i="2" s="1"/>
  <c r="D77" i="2"/>
  <c r="O77" i="2" s="1"/>
  <c r="C77" i="2"/>
  <c r="D76" i="2"/>
  <c r="O76" i="2" s="1"/>
  <c r="C76" i="2"/>
  <c r="O75" i="2"/>
  <c r="D75" i="2"/>
  <c r="C75" i="2"/>
  <c r="D74" i="2"/>
  <c r="C74" i="2"/>
  <c r="O74" i="2" s="1"/>
  <c r="O73" i="2"/>
  <c r="D73" i="2"/>
  <c r="C73" i="2"/>
  <c r="O72" i="2"/>
  <c r="O71" i="2"/>
  <c r="D70" i="2"/>
  <c r="C70" i="2"/>
  <c r="D69" i="2"/>
  <c r="C69" i="2"/>
  <c r="O69" i="2" s="1"/>
  <c r="O68" i="2"/>
  <c r="D67" i="2"/>
  <c r="C67" i="2"/>
  <c r="N66" i="2"/>
  <c r="M66" i="2"/>
  <c r="L66" i="2"/>
  <c r="K66" i="2"/>
  <c r="J66" i="2"/>
  <c r="I66" i="2"/>
  <c r="H66" i="2"/>
  <c r="G66" i="2"/>
  <c r="E66" i="2"/>
  <c r="O65" i="2"/>
  <c r="O64" i="2"/>
  <c r="O63" i="2"/>
  <c r="O62" i="2"/>
  <c r="N62" i="2"/>
  <c r="M62" i="2"/>
  <c r="L62" i="2"/>
  <c r="K62" i="2"/>
  <c r="J62" i="2"/>
  <c r="I62" i="2"/>
  <c r="H62" i="2"/>
  <c r="G62" i="2"/>
  <c r="E62" i="2"/>
  <c r="D62" i="2"/>
  <c r="C62" i="2"/>
  <c r="O61" i="2"/>
  <c r="O60" i="2"/>
  <c r="N59" i="2"/>
  <c r="M59" i="2"/>
  <c r="L59" i="2"/>
  <c r="K59" i="2"/>
  <c r="J59" i="2"/>
  <c r="I59" i="2"/>
  <c r="H59" i="2"/>
  <c r="G59" i="2"/>
  <c r="E59" i="2"/>
  <c r="D59" i="2"/>
  <c r="C59" i="2"/>
  <c r="C58" i="2"/>
  <c r="O58" i="2" s="1"/>
  <c r="O57" i="2"/>
  <c r="C57" i="2"/>
  <c r="C56" i="2"/>
  <c r="O56" i="2" s="1"/>
  <c r="O55" i="2"/>
  <c r="D54" i="2"/>
  <c r="O54" i="2" s="1"/>
  <c r="D53" i="2"/>
  <c r="D52" i="2" s="1"/>
  <c r="C53" i="2"/>
  <c r="O53" i="2" s="1"/>
  <c r="N52" i="2"/>
  <c r="M52" i="2"/>
  <c r="L52" i="2"/>
  <c r="K52" i="2"/>
  <c r="J52" i="2"/>
  <c r="I52" i="2"/>
  <c r="H52" i="2"/>
  <c r="G52" i="2"/>
  <c r="E52" i="2"/>
  <c r="D51" i="2"/>
  <c r="C51" i="2"/>
  <c r="O51" i="2" s="1"/>
  <c r="O50" i="2"/>
  <c r="O49" i="2"/>
  <c r="C49" i="2"/>
  <c r="O48" i="2"/>
  <c r="D48" i="2"/>
  <c r="C47" i="2"/>
  <c r="N46" i="2"/>
  <c r="M46" i="2"/>
  <c r="L46" i="2"/>
  <c r="K46" i="2"/>
  <c r="J46" i="2"/>
  <c r="I46" i="2"/>
  <c r="H46" i="2"/>
  <c r="G46" i="2"/>
  <c r="E46" i="2"/>
  <c r="O45" i="2"/>
  <c r="D45" i="2"/>
  <c r="C45" i="2"/>
  <c r="O44" i="2"/>
  <c r="D43" i="2"/>
  <c r="C43" i="2"/>
  <c r="O43" i="2" s="1"/>
  <c r="D42" i="2"/>
  <c r="C42" i="2"/>
  <c r="O42" i="2" s="1"/>
  <c r="O41" i="2"/>
  <c r="D41" i="2"/>
  <c r="C41" i="2"/>
  <c r="D40" i="2"/>
  <c r="C40" i="2"/>
  <c r="O40" i="2" s="1"/>
  <c r="D39" i="2"/>
  <c r="C39" i="2"/>
  <c r="O39" i="2" s="1"/>
  <c r="D38" i="2"/>
  <c r="C38" i="2"/>
  <c r="O38" i="2" s="1"/>
  <c r="D37" i="2"/>
  <c r="O37" i="2" s="1"/>
  <c r="C37" i="2"/>
  <c r="O36" i="2"/>
  <c r="D36" i="2"/>
  <c r="O35" i="2"/>
  <c r="D34" i="2"/>
  <c r="C34" i="2"/>
  <c r="O34" i="2" s="1"/>
  <c r="D33" i="2"/>
  <c r="C33" i="2"/>
  <c r="N32" i="2"/>
  <c r="M32" i="2"/>
  <c r="L32" i="2"/>
  <c r="K32" i="2"/>
  <c r="J32" i="2"/>
  <c r="I32" i="2"/>
  <c r="H32" i="2"/>
  <c r="G32" i="2"/>
  <c r="E32" i="2"/>
  <c r="O31" i="2"/>
  <c r="D31" i="2"/>
  <c r="O30" i="2"/>
  <c r="O29" i="2"/>
  <c r="N28" i="2"/>
  <c r="M28" i="2"/>
  <c r="L28" i="2"/>
  <c r="K28" i="2"/>
  <c r="J28" i="2"/>
  <c r="I28" i="2"/>
  <c r="H28" i="2"/>
  <c r="G28" i="2"/>
  <c r="E28" i="2"/>
  <c r="D28" i="2"/>
  <c r="C28" i="2"/>
  <c r="O27" i="2"/>
  <c r="D26" i="2"/>
  <c r="O26" i="2" s="1"/>
  <c r="O25" i="2"/>
  <c r="D25" i="2"/>
  <c r="C25" i="2"/>
  <c r="D24" i="2"/>
  <c r="C24" i="2"/>
  <c r="O24" i="2" s="1"/>
  <c r="D23" i="2"/>
  <c r="C23" i="2"/>
  <c r="O23" i="2" s="1"/>
  <c r="N22" i="2"/>
  <c r="M22" i="2"/>
  <c r="L22" i="2"/>
  <c r="L96" i="2" s="1"/>
  <c r="K22" i="2"/>
  <c r="J22" i="2"/>
  <c r="I22" i="2"/>
  <c r="H22" i="2"/>
  <c r="G22" i="2"/>
  <c r="E22" i="2"/>
  <c r="D22" i="2"/>
  <c r="O21" i="2"/>
  <c r="O20" i="2"/>
  <c r="O19" i="2"/>
  <c r="N19" i="2"/>
  <c r="M19" i="2"/>
  <c r="L19" i="2"/>
  <c r="K19" i="2"/>
  <c r="J19" i="2"/>
  <c r="I19" i="2"/>
  <c r="H19" i="2"/>
  <c r="G19" i="2"/>
  <c r="E19" i="2"/>
  <c r="D19" i="2"/>
  <c r="C19" i="2"/>
  <c r="D18" i="2"/>
  <c r="O18" i="2" s="1"/>
  <c r="C18" i="2"/>
  <c r="O17" i="2"/>
  <c r="D16" i="2"/>
  <c r="O16" i="2" s="1"/>
  <c r="C16" i="2"/>
  <c r="O15" i="2"/>
  <c r="D14" i="2"/>
  <c r="C14" i="2"/>
  <c r="N13" i="2"/>
  <c r="N96" i="2" s="1"/>
  <c r="M13" i="2"/>
  <c r="L13" i="2"/>
  <c r="K13" i="2"/>
  <c r="J13" i="2"/>
  <c r="I13" i="2"/>
  <c r="H13" i="2"/>
  <c r="G13" i="2"/>
  <c r="E13" i="2"/>
  <c r="O12" i="2"/>
  <c r="D12" i="2"/>
  <c r="O11" i="2"/>
  <c r="D11" i="2"/>
  <c r="C11" i="2"/>
  <c r="O10" i="2"/>
  <c r="D10" i="2"/>
  <c r="C10" i="2"/>
  <c r="O9" i="2"/>
  <c r="D8" i="2"/>
  <c r="C8" i="2"/>
  <c r="D7" i="2"/>
  <c r="C7" i="2"/>
  <c r="O7" i="2" s="1"/>
  <c r="O6" i="2"/>
  <c r="D6" i="2"/>
  <c r="C6" i="2"/>
  <c r="N5" i="2"/>
  <c r="M5" i="2"/>
  <c r="L5" i="2"/>
  <c r="K5" i="2"/>
  <c r="J5" i="2"/>
  <c r="I5" i="2"/>
  <c r="H5" i="2"/>
  <c r="G5" i="2"/>
  <c r="E5" i="2"/>
  <c r="E96" i="2" s="1"/>
  <c r="C5" i="2"/>
  <c r="E62" i="1"/>
  <c r="D62" i="1"/>
  <c r="C62" i="1"/>
  <c r="B62" i="1"/>
  <c r="L61" i="1"/>
  <c r="P59" i="1"/>
  <c r="H59" i="1"/>
  <c r="F59" i="1"/>
  <c r="T58" i="1"/>
  <c r="X56" i="1"/>
  <c r="D44" i="1"/>
  <c r="B44" i="1"/>
  <c r="D43" i="1"/>
  <c r="B43" i="1"/>
  <c r="D42" i="1"/>
  <c r="B42" i="1"/>
  <c r="D41" i="1"/>
  <c r="B41" i="1"/>
  <c r="D40" i="1"/>
  <c r="B40" i="1"/>
  <c r="D39" i="1"/>
  <c r="B39" i="1"/>
  <c r="B46" i="1" s="1"/>
  <c r="D38" i="1"/>
  <c r="B38" i="1"/>
  <c r="D37" i="1"/>
  <c r="B37" i="1"/>
  <c r="D36" i="1"/>
  <c r="B36" i="1"/>
  <c r="X30" i="1"/>
  <c r="V30" i="1"/>
  <c r="T30" i="1"/>
  <c r="R30" i="1"/>
  <c r="P30" i="1"/>
  <c r="N30" i="1"/>
  <c r="L30" i="1"/>
  <c r="J30" i="1"/>
  <c r="H30" i="1"/>
  <c r="F30" i="1"/>
  <c r="D30" i="1"/>
  <c r="B30" i="1"/>
  <c r="E14" i="1"/>
  <c r="D14" i="1"/>
  <c r="C14" i="1"/>
  <c r="B14" i="1"/>
  <c r="X13" i="1"/>
  <c r="T13" i="1"/>
  <c r="R13" i="1"/>
  <c r="P13" i="1"/>
  <c r="N13" i="1"/>
  <c r="L13" i="1"/>
  <c r="J13" i="1"/>
  <c r="H13" i="1"/>
  <c r="F13" i="1"/>
  <c r="X12" i="1"/>
  <c r="V12" i="1"/>
  <c r="T12" i="1"/>
  <c r="R12" i="1"/>
  <c r="P12" i="1"/>
  <c r="N12" i="1"/>
  <c r="L12" i="1"/>
  <c r="J12" i="1"/>
  <c r="H12" i="1"/>
  <c r="F12" i="1"/>
  <c r="X11" i="1"/>
  <c r="V11" i="1"/>
  <c r="T11" i="1"/>
  <c r="R11" i="1"/>
  <c r="P11" i="1"/>
  <c r="N11" i="1"/>
  <c r="L11" i="1"/>
  <c r="J11" i="1"/>
  <c r="H11" i="1"/>
  <c r="F11" i="1"/>
  <c r="X9" i="1"/>
  <c r="V9" i="1"/>
  <c r="T9" i="1"/>
  <c r="R9" i="1"/>
  <c r="P9" i="1"/>
  <c r="N9" i="1"/>
  <c r="L9" i="1"/>
  <c r="J9" i="1"/>
  <c r="H9" i="1"/>
  <c r="F9" i="1"/>
  <c r="X8" i="1"/>
  <c r="V8" i="1"/>
  <c r="T8" i="1"/>
  <c r="R8" i="1"/>
  <c r="P8" i="1"/>
  <c r="N8" i="1"/>
  <c r="L8" i="1"/>
  <c r="J8" i="1"/>
  <c r="H8" i="1"/>
  <c r="X5" i="1"/>
  <c r="V5" i="1"/>
  <c r="L5" i="1"/>
  <c r="F5" i="1"/>
  <c r="X4" i="1"/>
  <c r="V4" i="1"/>
  <c r="T4" i="1"/>
  <c r="R4" i="1"/>
  <c r="N4" i="1"/>
  <c r="L4" i="1"/>
  <c r="J4" i="1"/>
  <c r="H4" i="1"/>
  <c r="H14" i="1" s="1"/>
  <c r="F4" i="1"/>
  <c r="E2" i="1"/>
  <c r="X182" i="8"/>
  <c r="AD173" i="8"/>
  <c r="AD172" i="8"/>
  <c r="F165" i="8"/>
  <c r="C165" i="8"/>
  <c r="AM160" i="8"/>
  <c r="AM159" i="8"/>
  <c r="AM158" i="8"/>
  <c r="AM157" i="8"/>
  <c r="AM156" i="8"/>
  <c r="AM155" i="8"/>
  <c r="AM154" i="8"/>
  <c r="AJ153" i="8"/>
  <c r="AG153" i="8"/>
  <c r="AD153" i="8"/>
  <c r="AA153" i="8"/>
  <c r="X153" i="8"/>
  <c r="U153" i="8"/>
  <c r="R153" i="8"/>
  <c r="O153" i="8"/>
  <c r="L153" i="8"/>
  <c r="I153" i="8"/>
  <c r="F153" i="8"/>
  <c r="C153" i="8"/>
  <c r="AM153" i="8" s="1"/>
  <c r="AM150" i="8"/>
  <c r="AM142" i="8"/>
  <c r="AM141" i="8"/>
  <c r="F140" i="8"/>
  <c r="AM140" i="8" s="1"/>
  <c r="F139" i="8"/>
  <c r="C139" i="8"/>
  <c r="C139" i="16" s="1"/>
  <c r="AM138" i="8"/>
  <c r="AM137" i="8"/>
  <c r="AM136" i="8"/>
  <c r="AM135" i="8"/>
  <c r="C135" i="8"/>
  <c r="C135" i="16" s="1"/>
  <c r="AM135" i="16" s="1"/>
  <c r="F134" i="8"/>
  <c r="AM134" i="8" s="1"/>
  <c r="F133" i="8"/>
  <c r="C133" i="8"/>
  <c r="AM133" i="8" s="1"/>
  <c r="AM132" i="8"/>
  <c r="F131" i="8"/>
  <c r="AM131" i="8" s="1"/>
  <c r="F130" i="8"/>
  <c r="F127" i="8" s="1"/>
  <c r="AM127" i="8" s="1"/>
  <c r="F129" i="8"/>
  <c r="AM129" i="8" s="1"/>
  <c r="AM128" i="8"/>
  <c r="F128" i="8"/>
  <c r="AJ127" i="8"/>
  <c r="AG127" i="8"/>
  <c r="AD127" i="8"/>
  <c r="AA127" i="8"/>
  <c r="X127" i="8"/>
  <c r="U127" i="8"/>
  <c r="R127" i="8"/>
  <c r="O127" i="8"/>
  <c r="L127" i="8"/>
  <c r="I127" i="8"/>
  <c r="C127" i="8"/>
  <c r="AM126" i="8"/>
  <c r="AM125" i="8"/>
  <c r="AM124" i="8"/>
  <c r="AJ123" i="8"/>
  <c r="AG123" i="8"/>
  <c r="AD123" i="8"/>
  <c r="AA123" i="8"/>
  <c r="X123" i="8"/>
  <c r="U123" i="8"/>
  <c r="R123" i="8"/>
  <c r="O123" i="8"/>
  <c r="L123" i="8"/>
  <c r="I123" i="8"/>
  <c r="F123" i="8"/>
  <c r="C123" i="8"/>
  <c r="AM122" i="8"/>
  <c r="AM121" i="8"/>
  <c r="AM120" i="8"/>
  <c r="AJ120" i="8"/>
  <c r="AG120" i="8"/>
  <c r="AD120" i="8"/>
  <c r="AA120" i="8"/>
  <c r="X120" i="8"/>
  <c r="U120" i="8"/>
  <c r="R120" i="8"/>
  <c r="O120" i="8"/>
  <c r="L120" i="8"/>
  <c r="I120" i="8"/>
  <c r="F120" i="8"/>
  <c r="C120" i="8"/>
  <c r="AM119" i="8"/>
  <c r="AM118" i="8"/>
  <c r="F117" i="8"/>
  <c r="F114" i="8" s="1"/>
  <c r="C117" i="8"/>
  <c r="AM116" i="8"/>
  <c r="AM115" i="8"/>
  <c r="AJ114" i="8"/>
  <c r="AG114" i="8"/>
  <c r="AD114" i="8"/>
  <c r="AA114" i="8"/>
  <c r="X114" i="8"/>
  <c r="U114" i="8"/>
  <c r="R114" i="8"/>
  <c r="O114" i="8"/>
  <c r="Q114" i="8" s="1"/>
  <c r="L114" i="8"/>
  <c r="I114" i="8"/>
  <c r="AM113" i="8"/>
  <c r="AM112" i="8"/>
  <c r="AM111" i="8"/>
  <c r="AM110" i="8"/>
  <c r="C110" i="8"/>
  <c r="C109" i="8" s="1"/>
  <c r="AJ109" i="8"/>
  <c r="AG109" i="8"/>
  <c r="AD109" i="8"/>
  <c r="AA109" i="8"/>
  <c r="X109" i="8"/>
  <c r="U109" i="8"/>
  <c r="R109" i="8"/>
  <c r="O109" i="8"/>
  <c r="L109" i="8"/>
  <c r="I109" i="8"/>
  <c r="F109" i="8"/>
  <c r="AM108" i="8"/>
  <c r="AM107" i="8"/>
  <c r="AM106" i="8"/>
  <c r="AM105" i="8"/>
  <c r="F104" i="8"/>
  <c r="AM104" i="8" s="1"/>
  <c r="C104" i="8"/>
  <c r="AM103" i="8"/>
  <c r="F103" i="8"/>
  <c r="AM102" i="8"/>
  <c r="AM101" i="8"/>
  <c r="C101" i="8"/>
  <c r="C101" i="16" s="1"/>
  <c r="AM101" i="16" s="1"/>
  <c r="AM100" i="8"/>
  <c r="AJ99" i="8"/>
  <c r="AG99" i="8"/>
  <c r="AD99" i="8"/>
  <c r="AA99" i="8"/>
  <c r="X99" i="8"/>
  <c r="U99" i="8"/>
  <c r="R99" i="8"/>
  <c r="O99" i="8"/>
  <c r="L99" i="8"/>
  <c r="I99" i="8"/>
  <c r="C99" i="8"/>
  <c r="C98" i="8"/>
  <c r="AM98" i="8" s="1"/>
  <c r="AM97" i="8"/>
  <c r="C97" i="8"/>
  <c r="AJ96" i="8"/>
  <c r="AG96" i="8"/>
  <c r="AD96" i="8"/>
  <c r="AA96" i="8"/>
  <c r="X96" i="8"/>
  <c r="U96" i="8"/>
  <c r="R96" i="8"/>
  <c r="O96" i="8"/>
  <c r="L96" i="8"/>
  <c r="I96" i="8"/>
  <c r="F96" i="8"/>
  <c r="AM95" i="8"/>
  <c r="AM94" i="8"/>
  <c r="AM93" i="8"/>
  <c r="AJ92" i="8"/>
  <c r="AG92" i="8"/>
  <c r="AI92" i="8" s="1"/>
  <c r="AD92" i="8"/>
  <c r="AA92" i="8"/>
  <c r="X92" i="8"/>
  <c r="U92" i="8"/>
  <c r="R92" i="8"/>
  <c r="O92" i="8"/>
  <c r="L92" i="8"/>
  <c r="I92" i="8"/>
  <c r="F92" i="8"/>
  <c r="C92" i="8"/>
  <c r="AM91" i="8"/>
  <c r="AM90" i="8"/>
  <c r="AJ89" i="8"/>
  <c r="AG89" i="8"/>
  <c r="AD89" i="8"/>
  <c r="AA89" i="8"/>
  <c r="X89" i="8"/>
  <c r="U89" i="8"/>
  <c r="R89" i="8"/>
  <c r="O89" i="8"/>
  <c r="L89" i="8"/>
  <c r="I89" i="8"/>
  <c r="F89" i="8"/>
  <c r="C89" i="8"/>
  <c r="F88" i="8"/>
  <c r="C88" i="8"/>
  <c r="C88" i="16" s="1"/>
  <c r="AM87" i="8"/>
  <c r="F87" i="8"/>
  <c r="F86" i="8"/>
  <c r="AM86" i="8" s="1"/>
  <c r="AM81" i="8"/>
  <c r="F80" i="8"/>
  <c r="C80" i="8"/>
  <c r="AM80" i="8" s="1"/>
  <c r="F79" i="8"/>
  <c r="C79" i="8"/>
  <c r="AM79" i="8" s="1"/>
  <c r="AJ78" i="8"/>
  <c r="AG78" i="8"/>
  <c r="AE78" i="8"/>
  <c r="AD78" i="8"/>
  <c r="AA78" i="8"/>
  <c r="X78" i="8"/>
  <c r="U78" i="8"/>
  <c r="V78" i="8" s="1"/>
  <c r="S78" i="8"/>
  <c r="R78" i="8"/>
  <c r="O78" i="8"/>
  <c r="M78" i="8"/>
  <c r="L78" i="8"/>
  <c r="I78" i="8"/>
  <c r="F77" i="8"/>
  <c r="C77" i="8"/>
  <c r="F76" i="8"/>
  <c r="AM76" i="8" s="1"/>
  <c r="AM75" i="8"/>
  <c r="F74" i="8"/>
  <c r="C74" i="8"/>
  <c r="AM74" i="8" s="1"/>
  <c r="AG73" i="8"/>
  <c r="AG72" i="8" s="1"/>
  <c r="AH72" i="8" s="1"/>
  <c r="L73" i="8"/>
  <c r="M72" i="8"/>
  <c r="L72" i="8"/>
  <c r="AM71" i="8"/>
  <c r="AM70" i="8"/>
  <c r="AM69" i="8"/>
  <c r="AM68" i="8"/>
  <c r="AM67" i="8"/>
  <c r="AM66" i="8"/>
  <c r="AM65" i="8"/>
  <c r="AL64" i="8"/>
  <c r="AK64" i="8"/>
  <c r="AI64" i="8"/>
  <c r="AH64" i="8"/>
  <c r="AF64" i="8"/>
  <c r="AE64" i="8"/>
  <c r="AC64" i="8"/>
  <c r="AB64" i="8"/>
  <c r="Z64" i="8"/>
  <c r="Y64" i="8"/>
  <c r="W64" i="8"/>
  <c r="V64" i="8"/>
  <c r="T64" i="8"/>
  <c r="S64" i="8"/>
  <c r="Q64" i="8"/>
  <c r="P64" i="8"/>
  <c r="N64" i="8"/>
  <c r="M64" i="8"/>
  <c r="K64" i="8"/>
  <c r="J64" i="8"/>
  <c r="F64" i="8"/>
  <c r="D64" i="8"/>
  <c r="C64" i="8"/>
  <c r="AL63" i="8"/>
  <c r="AK63" i="8"/>
  <c r="AI63" i="8"/>
  <c r="AH63" i="8"/>
  <c r="AF63" i="8"/>
  <c r="AE63" i="8"/>
  <c r="AC63" i="8"/>
  <c r="AB63" i="8"/>
  <c r="Z63" i="8"/>
  <c r="Y63" i="8"/>
  <c r="W63" i="8"/>
  <c r="V63" i="8"/>
  <c r="T63" i="8"/>
  <c r="S63" i="8"/>
  <c r="Q63" i="8"/>
  <c r="P63" i="8"/>
  <c r="N63" i="8"/>
  <c r="M63" i="8"/>
  <c r="K63" i="8"/>
  <c r="J63" i="8"/>
  <c r="F63" i="8"/>
  <c r="H63" i="8" s="1"/>
  <c r="E63" i="8"/>
  <c r="D63" i="8"/>
  <c r="C63" i="8"/>
  <c r="AN62" i="8"/>
  <c r="AM62" i="8"/>
  <c r="AL62" i="8"/>
  <c r="AK62" i="8"/>
  <c r="AI62" i="8"/>
  <c r="AH62" i="8"/>
  <c r="AF62" i="8"/>
  <c r="AE62" i="8"/>
  <c r="AC62" i="8"/>
  <c r="AB62" i="8"/>
  <c r="Z62" i="8"/>
  <c r="Y62" i="8"/>
  <c r="W62" i="8"/>
  <c r="V62" i="8"/>
  <c r="T62" i="8"/>
  <c r="S62" i="8"/>
  <c r="Q62" i="8"/>
  <c r="P62" i="8"/>
  <c r="N62" i="8"/>
  <c r="M62" i="8"/>
  <c r="K62" i="8"/>
  <c r="J62" i="8"/>
  <c r="G62" i="8"/>
  <c r="F62" i="8"/>
  <c r="H62" i="8" s="1"/>
  <c r="E62" i="8"/>
  <c r="D62" i="8"/>
  <c r="C62" i="8"/>
  <c r="AJ61" i="8"/>
  <c r="AG61" i="8"/>
  <c r="AD61" i="8"/>
  <c r="AA61" i="8"/>
  <c r="X61" i="8"/>
  <c r="U61" i="8"/>
  <c r="R61" i="8"/>
  <c r="O61" i="8"/>
  <c r="L61" i="8"/>
  <c r="I61" i="8"/>
  <c r="F61" i="8"/>
  <c r="AM59" i="8"/>
  <c r="Y59" i="8"/>
  <c r="V59" i="8"/>
  <c r="S59" i="8"/>
  <c r="M59" i="8"/>
  <c r="J59" i="8"/>
  <c r="G59" i="8"/>
  <c r="AM58" i="8"/>
  <c r="AH58" i="8"/>
  <c r="Y58" i="8"/>
  <c r="V58" i="8"/>
  <c r="S58" i="8"/>
  <c r="M58" i="8"/>
  <c r="J58" i="8"/>
  <c r="G58" i="8"/>
  <c r="AJ57" i="8"/>
  <c r="AG57" i="8"/>
  <c r="AD57" i="8"/>
  <c r="AE57" i="8" s="1"/>
  <c r="AB57" i="8"/>
  <c r="AA57" i="8"/>
  <c r="X57" i="8"/>
  <c r="U57" i="8"/>
  <c r="S57" i="8"/>
  <c r="R57" i="8"/>
  <c r="O57" i="8"/>
  <c r="M57" i="8"/>
  <c r="L57" i="8"/>
  <c r="I57" i="8"/>
  <c r="F57" i="8"/>
  <c r="AM53" i="8"/>
  <c r="AM52" i="8"/>
  <c r="AM51" i="8"/>
  <c r="AM50" i="8"/>
  <c r="AM49" i="8"/>
  <c r="AI49" i="8"/>
  <c r="AH49" i="8"/>
  <c r="AF49" i="8"/>
  <c r="AE49" i="8"/>
  <c r="AC49" i="8"/>
  <c r="AB49" i="8"/>
  <c r="AM48" i="8"/>
  <c r="AI48" i="8"/>
  <c r="AH48" i="8"/>
  <c r="AF48" i="8"/>
  <c r="AE48" i="8"/>
  <c r="AC48" i="8"/>
  <c r="AB48" i="8"/>
  <c r="AN47" i="8"/>
  <c r="AM47" i="8"/>
  <c r="Y47" i="8"/>
  <c r="V47" i="8"/>
  <c r="S47" i="8"/>
  <c r="M47" i="8"/>
  <c r="J47" i="8"/>
  <c r="G47" i="8"/>
  <c r="AJ46" i="8"/>
  <c r="AG46" i="8"/>
  <c r="AD46" i="8"/>
  <c r="AD45" i="8" s="1"/>
  <c r="AA46" i="8"/>
  <c r="AA45" i="8" s="1"/>
  <c r="X46" i="8"/>
  <c r="U46" i="8"/>
  <c r="U45" i="8" s="1"/>
  <c r="R46" i="8"/>
  <c r="R45" i="8" s="1"/>
  <c r="O46" i="8"/>
  <c r="L46" i="8"/>
  <c r="I46" i="8"/>
  <c r="F46" i="8"/>
  <c r="C46" i="8"/>
  <c r="X45" i="8"/>
  <c r="O45" i="8"/>
  <c r="L45" i="8"/>
  <c r="I45" i="8"/>
  <c r="AM38" i="8"/>
  <c r="O36" i="8"/>
  <c r="AM27" i="8"/>
  <c r="AM26" i="8"/>
  <c r="AM25" i="8"/>
  <c r="AJ24" i="8"/>
  <c r="AJ23" i="8" s="1"/>
  <c r="AG24" i="8"/>
  <c r="AD24" i="8"/>
  <c r="AA24" i="8"/>
  <c r="AA23" i="8" s="1"/>
  <c r="AA13" i="8" s="1"/>
  <c r="X24" i="8"/>
  <c r="X23" i="8" s="1"/>
  <c r="U24" i="8"/>
  <c r="U23" i="8" s="1"/>
  <c r="R24" i="8"/>
  <c r="R23" i="8" s="1"/>
  <c r="O24" i="8"/>
  <c r="O23" i="8" s="1"/>
  <c r="L24" i="8"/>
  <c r="L23" i="8" s="1"/>
  <c r="I24" i="8"/>
  <c r="I23" i="8" s="1"/>
  <c r="F24" i="8"/>
  <c r="C24" i="8"/>
  <c r="AM24" i="8" s="1"/>
  <c r="AG23" i="8"/>
  <c r="AG13" i="8" s="1"/>
  <c r="AD23" i="8"/>
  <c r="F23" i="8"/>
  <c r="F13" i="8" s="1"/>
  <c r="C23" i="8"/>
  <c r="AM22" i="8"/>
  <c r="AM21" i="8"/>
  <c r="AM20" i="8"/>
  <c r="AM19" i="8"/>
  <c r="AM18" i="8"/>
  <c r="G18" i="8"/>
  <c r="D18" i="8"/>
  <c r="AM17" i="8"/>
  <c r="G17" i="8"/>
  <c r="D17" i="8"/>
  <c r="AM16" i="8"/>
  <c r="G16" i="8"/>
  <c r="D16" i="8"/>
  <c r="AJ15" i="8"/>
  <c r="AG15" i="8"/>
  <c r="AD15" i="8"/>
  <c r="AA15" i="8"/>
  <c r="X15" i="8"/>
  <c r="U15" i="8"/>
  <c r="R15" i="8"/>
  <c r="O15" i="8"/>
  <c r="L15" i="8"/>
  <c r="L14" i="8" s="1"/>
  <c r="I15" i="8"/>
  <c r="F15" i="8"/>
  <c r="C15" i="8"/>
  <c r="AM15" i="8" s="1"/>
  <c r="AO15" i="8" s="1"/>
  <c r="AJ14" i="8"/>
  <c r="AG14" i="8"/>
  <c r="AD14" i="8"/>
  <c r="AA14" i="8"/>
  <c r="X14" i="8"/>
  <c r="U14" i="8"/>
  <c r="R14" i="8"/>
  <c r="O14" i="8"/>
  <c r="O13" i="8" s="1"/>
  <c r="I14" i="8"/>
  <c r="F14" i="8"/>
  <c r="C14" i="8"/>
  <c r="R13" i="8"/>
  <c r="R33" i="8" s="1"/>
  <c r="AJ12" i="8"/>
  <c r="AG12" i="8"/>
  <c r="AH59" i="8" s="1"/>
  <c r="AD12" i="8"/>
  <c r="AA12" i="8"/>
  <c r="X12" i="8"/>
  <c r="P5" i="1" s="1"/>
  <c r="U12" i="8"/>
  <c r="N5" i="1" s="1"/>
  <c r="R12" i="8"/>
  <c r="O12" i="8"/>
  <c r="L12" i="8"/>
  <c r="H5" i="1" s="1"/>
  <c r="I12" i="8"/>
  <c r="J57" i="8" s="1"/>
  <c r="F12" i="8"/>
  <c r="C12" i="8"/>
  <c r="AM12" i="8" s="1"/>
  <c r="AO5" i="8" s="1"/>
  <c r="AM11" i="8"/>
  <c r="AM10" i="8"/>
  <c r="AM9" i="8"/>
  <c r="AM8" i="8"/>
  <c r="AM7" i="8"/>
  <c r="AM6" i="8"/>
  <c r="AM5" i="8"/>
  <c r="AM3" i="8"/>
  <c r="AN127" i="8" l="1"/>
  <c r="C13" i="8"/>
  <c r="E89" i="8" s="1"/>
  <c r="AM14" i="8"/>
  <c r="AN80" i="8"/>
  <c r="W5" i="1"/>
  <c r="W2" i="1" s="1"/>
  <c r="Z83" i="5"/>
  <c r="P78" i="8"/>
  <c r="J5" i="1"/>
  <c r="AM23" i="8"/>
  <c r="AC58" i="8"/>
  <c r="AC47" i="8"/>
  <c r="AA33" i="8"/>
  <c r="AC57" i="8"/>
  <c r="AC61" i="8"/>
  <c r="AA34" i="8"/>
  <c r="AA30" i="8"/>
  <c r="AA31" i="8"/>
  <c r="AA37" i="8"/>
  <c r="AA32" i="8"/>
  <c r="AC78" i="8"/>
  <c r="AC59" i="8"/>
  <c r="AA35" i="8"/>
  <c r="AA36" i="8"/>
  <c r="F35" i="8"/>
  <c r="F33" i="8"/>
  <c r="H47" i="8"/>
  <c r="F31" i="8"/>
  <c r="H59" i="8"/>
  <c r="F32" i="8"/>
  <c r="H58" i="8"/>
  <c r="F37" i="8"/>
  <c r="F30" i="8"/>
  <c r="F29" i="8" s="1"/>
  <c r="N61" i="8"/>
  <c r="L60" i="8"/>
  <c r="L44" i="8" s="1"/>
  <c r="AN74" i="8"/>
  <c r="I13" i="1"/>
  <c r="I9" i="1"/>
  <c r="I6" i="1"/>
  <c r="I8" i="1"/>
  <c r="I10" i="1"/>
  <c r="I7" i="1"/>
  <c r="I5" i="1"/>
  <c r="I2" i="1" s="1"/>
  <c r="I11" i="1"/>
  <c r="I4" i="1"/>
  <c r="I14" i="1" s="1"/>
  <c r="Z44" i="6"/>
  <c r="O30" i="8"/>
  <c r="Q109" i="8"/>
  <c r="Q78" i="8"/>
  <c r="O37" i="8"/>
  <c r="O32" i="8"/>
  <c r="Q123" i="8"/>
  <c r="O33" i="8"/>
  <c r="Q127" i="8"/>
  <c r="O35" i="8"/>
  <c r="Q99" i="8"/>
  <c r="O34" i="8"/>
  <c r="Q61" i="8"/>
  <c r="C72" i="8"/>
  <c r="AO7" i="8"/>
  <c r="AI120" i="8"/>
  <c r="AI61" i="8"/>
  <c r="AI59" i="8"/>
  <c r="AI96" i="8"/>
  <c r="AG35" i="8"/>
  <c r="AI46" i="8"/>
  <c r="AG30" i="8"/>
  <c r="AI58" i="8"/>
  <c r="AG36" i="8"/>
  <c r="AG31" i="8"/>
  <c r="AG37" i="8"/>
  <c r="AI72" i="8"/>
  <c r="AG32" i="8"/>
  <c r="AI99" i="8"/>
  <c r="O31" i="8"/>
  <c r="H57" i="8"/>
  <c r="AM92" i="8"/>
  <c r="AI109" i="8"/>
  <c r="AN75" i="7"/>
  <c r="AO6" i="7"/>
  <c r="AO7" i="7"/>
  <c r="AO5" i="7"/>
  <c r="K120" i="8"/>
  <c r="W12" i="1"/>
  <c r="X13" i="8"/>
  <c r="AI127" i="8"/>
  <c r="O8" i="1"/>
  <c r="I13" i="8"/>
  <c r="AI114" i="8"/>
  <c r="Q120" i="8"/>
  <c r="T14" i="1"/>
  <c r="U12" i="1" s="1"/>
  <c r="AA42" i="5"/>
  <c r="Q89" i="6"/>
  <c r="AD13" i="8"/>
  <c r="AG33" i="8"/>
  <c r="K109" i="8"/>
  <c r="O22" i="2"/>
  <c r="AA140" i="5"/>
  <c r="AA144" i="5" s="1"/>
  <c r="AA148" i="5"/>
  <c r="AA149" i="5" s="1"/>
  <c r="AG34" i="8"/>
  <c r="AI89" i="8"/>
  <c r="Q96" i="8"/>
  <c r="AM16" i="5"/>
  <c r="C15" i="5"/>
  <c r="X148" i="5"/>
  <c r="X149" i="5" s="1"/>
  <c r="AJ145" i="6"/>
  <c r="AJ161" i="6"/>
  <c r="AJ162" i="6" s="1"/>
  <c r="T114" i="6"/>
  <c r="AM114" i="6"/>
  <c r="L13" i="8"/>
  <c r="K127" i="8"/>
  <c r="F14" i="1"/>
  <c r="I12" i="1"/>
  <c r="AJ13" i="5"/>
  <c r="AJ42" i="5"/>
  <c r="AN79" i="9"/>
  <c r="AO59" i="8"/>
  <c r="AO58" i="8"/>
  <c r="R37" i="8"/>
  <c r="R32" i="8"/>
  <c r="T58" i="8"/>
  <c r="T57" i="8"/>
  <c r="T78" i="8"/>
  <c r="R34" i="8"/>
  <c r="T47" i="8"/>
  <c r="R35" i="8"/>
  <c r="R30" i="8"/>
  <c r="T59" i="8"/>
  <c r="R36" i="8"/>
  <c r="R31" i="8"/>
  <c r="F36" i="8"/>
  <c r="K114" i="8"/>
  <c r="I73" i="11"/>
  <c r="I72" i="11" s="1"/>
  <c r="I73" i="7"/>
  <c r="I73" i="9"/>
  <c r="I72" i="9" s="1"/>
  <c r="I73" i="8"/>
  <c r="I72" i="8" s="1"/>
  <c r="K29" i="6"/>
  <c r="I28" i="6"/>
  <c r="M72" i="9"/>
  <c r="AG44" i="6"/>
  <c r="AM78" i="6"/>
  <c r="C114" i="8"/>
  <c r="AM117" i="8"/>
  <c r="AM130" i="8"/>
  <c r="N14" i="1"/>
  <c r="G13" i="1"/>
  <c r="D5" i="2"/>
  <c r="O17" i="4"/>
  <c r="O15" i="4" s="1"/>
  <c r="AA13" i="5"/>
  <c r="AC83" i="5" s="1"/>
  <c r="O42" i="5"/>
  <c r="K96" i="6"/>
  <c r="I83" i="6"/>
  <c r="K83" i="6" s="1"/>
  <c r="AR99" i="6"/>
  <c r="AQ83" i="6"/>
  <c r="K109" i="6"/>
  <c r="AM147" i="6"/>
  <c r="AJ15" i="16"/>
  <c r="AJ14" i="16" s="1"/>
  <c r="AJ14" i="7"/>
  <c r="F76" i="16"/>
  <c r="F97" i="16"/>
  <c r="F96" i="16" s="1"/>
  <c r="F96" i="7"/>
  <c r="H25" i="4"/>
  <c r="AM12" i="5"/>
  <c r="L28" i="5"/>
  <c r="L42" i="5" s="1"/>
  <c r="AJ83" i="5"/>
  <c r="N95" i="5"/>
  <c r="R13" i="6"/>
  <c r="U13" i="6"/>
  <c r="U30" i="6" s="1"/>
  <c r="U29" i="6" s="1"/>
  <c r="U28" i="6" s="1"/>
  <c r="U42" i="6" s="1"/>
  <c r="C44" i="6"/>
  <c r="AQ45" i="6"/>
  <c r="AS43" i="6"/>
  <c r="W47" i="6"/>
  <c r="N84" i="6"/>
  <c r="T89" i="6"/>
  <c r="T120" i="6"/>
  <c r="O31" i="7"/>
  <c r="O35" i="7"/>
  <c r="O33" i="7"/>
  <c r="Q109" i="7"/>
  <c r="O32" i="7"/>
  <c r="Q78" i="7"/>
  <c r="O34" i="7"/>
  <c r="Q123" i="7"/>
  <c r="O30" i="7"/>
  <c r="F15" i="16"/>
  <c r="F14" i="16" s="1"/>
  <c r="AM15" i="7"/>
  <c r="AO15" i="7" s="1"/>
  <c r="AM57" i="7"/>
  <c r="AN57" i="7" s="1"/>
  <c r="E57" i="7"/>
  <c r="D57" i="7"/>
  <c r="Q120" i="7"/>
  <c r="Z120" i="9"/>
  <c r="X83" i="9"/>
  <c r="Z83" i="9" s="1"/>
  <c r="AI57" i="8"/>
  <c r="N127" i="8"/>
  <c r="O14" i="2"/>
  <c r="O13" i="2" s="1"/>
  <c r="D13" i="2"/>
  <c r="O45" i="7"/>
  <c r="Q57" i="7"/>
  <c r="P57" i="7"/>
  <c r="C74" i="16"/>
  <c r="AM74" i="7"/>
  <c r="AO6" i="8"/>
  <c r="U13" i="8"/>
  <c r="G5" i="1"/>
  <c r="G2" i="1" s="1"/>
  <c r="M17" i="3"/>
  <c r="K84" i="6"/>
  <c r="K89" i="6"/>
  <c r="K72" i="6"/>
  <c r="K78" i="6"/>
  <c r="K99" i="6"/>
  <c r="H123" i="9"/>
  <c r="AN79" i="8"/>
  <c r="K92" i="8"/>
  <c r="K99" i="8"/>
  <c r="W9" i="1"/>
  <c r="AA73" i="15"/>
  <c r="AA72" i="15" s="1"/>
  <c r="AA73" i="14"/>
  <c r="AA72" i="14" s="1"/>
  <c r="AA73" i="13"/>
  <c r="AA72" i="13" s="1"/>
  <c r="AA73" i="11"/>
  <c r="AA72" i="11" s="1"/>
  <c r="AA73" i="9"/>
  <c r="AA72" i="9" s="1"/>
  <c r="AA73" i="7"/>
  <c r="AA73" i="8"/>
  <c r="AA72" i="8" s="1"/>
  <c r="AM95" i="5"/>
  <c r="AD44" i="6"/>
  <c r="AM96" i="6"/>
  <c r="R13" i="9"/>
  <c r="V57" i="9"/>
  <c r="U45" i="9"/>
  <c r="W78" i="9"/>
  <c r="V78" i="9"/>
  <c r="AM89" i="11"/>
  <c r="Q5" i="1"/>
  <c r="P14" i="1"/>
  <c r="Q11" i="1" s="1"/>
  <c r="AM123" i="8"/>
  <c r="AB58" i="8"/>
  <c r="AB78" i="8"/>
  <c r="V57" i="8"/>
  <c r="T5" i="1"/>
  <c r="AE58" i="8"/>
  <c r="AM88" i="8"/>
  <c r="L14" i="1"/>
  <c r="M5" i="1" s="1"/>
  <c r="Y57" i="8"/>
  <c r="Z127" i="6"/>
  <c r="Z109" i="6"/>
  <c r="Z92" i="6"/>
  <c r="Z89" i="6"/>
  <c r="Z96" i="6"/>
  <c r="AM23" i="6"/>
  <c r="F44" i="6"/>
  <c r="O83" i="6"/>
  <c r="I13" i="16"/>
  <c r="AI96" i="9"/>
  <c r="H64" i="8"/>
  <c r="G64" i="8"/>
  <c r="C73" i="11"/>
  <c r="C73" i="13"/>
  <c r="C73" i="9"/>
  <c r="C73" i="7"/>
  <c r="Z122" i="5"/>
  <c r="AN79" i="7"/>
  <c r="D78" i="9"/>
  <c r="AM92" i="12"/>
  <c r="AH57" i="8"/>
  <c r="G96" i="2"/>
  <c r="L83" i="5"/>
  <c r="AD140" i="5"/>
  <c r="AD144" i="5" s="1"/>
  <c r="P57" i="6"/>
  <c r="Q57" i="6"/>
  <c r="T57" i="9"/>
  <c r="S57" i="9"/>
  <c r="R45" i="9"/>
  <c r="AM57" i="9"/>
  <c r="K120" i="10"/>
  <c r="T61" i="8"/>
  <c r="AI123" i="8"/>
  <c r="K30" i="3"/>
  <c r="K32" i="3" s="1"/>
  <c r="K120" i="6"/>
  <c r="AD13" i="7"/>
  <c r="X13" i="9"/>
  <c r="AM80" i="9"/>
  <c r="W57" i="8"/>
  <c r="W61" i="8"/>
  <c r="J78" i="8"/>
  <c r="Y78" i="8"/>
  <c r="N99" i="8"/>
  <c r="I96" i="2"/>
  <c r="AG73" i="11"/>
  <c r="AG72" i="11" s="1"/>
  <c r="AG73" i="15"/>
  <c r="AG72" i="15" s="1"/>
  <c r="AI72" i="15" s="1"/>
  <c r="AG73" i="14"/>
  <c r="AG72" i="14" s="1"/>
  <c r="AG73" i="9"/>
  <c r="AG72" i="9" s="1"/>
  <c r="AG73" i="13"/>
  <c r="AG72" i="13" s="1"/>
  <c r="AG73" i="7"/>
  <c r="X13" i="5"/>
  <c r="Q29" i="5"/>
  <c r="AG45" i="8"/>
  <c r="AM57" i="8"/>
  <c r="G57" i="8"/>
  <c r="K78" i="8"/>
  <c r="AB59" i="8"/>
  <c r="N78" i="8"/>
  <c r="AJ13" i="8"/>
  <c r="AL61" i="8" s="1"/>
  <c r="AM89" i="8"/>
  <c r="AM139" i="8"/>
  <c r="J96" i="2"/>
  <c r="C149" i="11"/>
  <c r="C149" i="9"/>
  <c r="C149" i="13"/>
  <c r="C149" i="7"/>
  <c r="C149" i="8"/>
  <c r="I13" i="5"/>
  <c r="I42" i="5"/>
  <c r="Z29" i="5"/>
  <c r="X28" i="5"/>
  <c r="X42" i="5" s="1"/>
  <c r="X140" i="5" s="1"/>
  <c r="X144" i="5" s="1"/>
  <c r="N113" i="5"/>
  <c r="AB47" i="6"/>
  <c r="AB72" i="6"/>
  <c r="AM99" i="6"/>
  <c r="K147" i="6"/>
  <c r="F45" i="8"/>
  <c r="AM46" i="8"/>
  <c r="AE59" i="8"/>
  <c r="AM63" i="8"/>
  <c r="AM77" i="8"/>
  <c r="K96" i="8"/>
  <c r="F99" i="8"/>
  <c r="AM99" i="8" s="1"/>
  <c r="AM109" i="8"/>
  <c r="R5" i="1"/>
  <c r="O33" i="2"/>
  <c r="O32" i="2" s="1"/>
  <c r="C32" i="2"/>
  <c r="O47" i="2"/>
  <c r="O46" i="2" s="1"/>
  <c r="C46" i="2"/>
  <c r="D98" i="2"/>
  <c r="D109" i="2" s="1"/>
  <c r="O100" i="2"/>
  <c r="O98" i="2" s="1"/>
  <c r="O109" i="2" s="1"/>
  <c r="C21" i="3"/>
  <c r="O6" i="3"/>
  <c r="C5" i="3"/>
  <c r="G25" i="4"/>
  <c r="O10" i="4"/>
  <c r="O9" i="4" s="1"/>
  <c r="O19" i="4"/>
  <c r="R42" i="5"/>
  <c r="R140" i="5" s="1"/>
  <c r="R144" i="5" s="1"/>
  <c r="R156" i="5" s="1"/>
  <c r="AA14" i="6"/>
  <c r="Y57" i="6"/>
  <c r="Q72" i="6"/>
  <c r="O60" i="6"/>
  <c r="AM60" i="6" s="1"/>
  <c r="L15" i="16"/>
  <c r="L14" i="16" s="1"/>
  <c r="Z45" i="7"/>
  <c r="Q114" i="7"/>
  <c r="K43" i="9"/>
  <c r="I60" i="9"/>
  <c r="K60" i="9" s="1"/>
  <c r="AF61" i="8"/>
  <c r="F8" i="1"/>
  <c r="D21" i="3"/>
  <c r="D22" i="3" s="1"/>
  <c r="D5" i="3"/>
  <c r="D17" i="3" s="1"/>
  <c r="T78" i="6"/>
  <c r="F13" i="7"/>
  <c r="H89" i="7" s="1"/>
  <c r="AO62" i="7"/>
  <c r="AN62" i="7"/>
  <c r="C13" i="9"/>
  <c r="AM23" i="9"/>
  <c r="L60" i="9"/>
  <c r="N43" i="9"/>
  <c r="T92" i="9"/>
  <c r="H96" i="9"/>
  <c r="X13" i="10"/>
  <c r="Z89" i="10" s="1"/>
  <c r="AG60" i="8"/>
  <c r="G63" i="8"/>
  <c r="K89" i="8"/>
  <c r="C96" i="8"/>
  <c r="AM96" i="8" s="1"/>
  <c r="D46" i="1"/>
  <c r="M96" i="2"/>
  <c r="C22" i="2"/>
  <c r="O67" i="2"/>
  <c r="O66" i="2" s="1"/>
  <c r="C66" i="2"/>
  <c r="O9" i="3"/>
  <c r="O83" i="5"/>
  <c r="AM91" i="5"/>
  <c r="AI91" i="5"/>
  <c r="AM108" i="5"/>
  <c r="O45" i="6"/>
  <c r="O44" i="6" s="1"/>
  <c r="Q44" i="6" s="1"/>
  <c r="S72" i="6"/>
  <c r="T72" i="6"/>
  <c r="U83" i="6"/>
  <c r="AM92" i="6"/>
  <c r="T147" i="6"/>
  <c r="I14" i="7"/>
  <c r="I83" i="9"/>
  <c r="K83" i="9" s="1"/>
  <c r="K96" i="9"/>
  <c r="H61" i="8"/>
  <c r="AF15" i="10"/>
  <c r="AM15" i="10"/>
  <c r="AO15" i="10" s="1"/>
  <c r="C61" i="8"/>
  <c r="AM64" i="8"/>
  <c r="E64" i="8"/>
  <c r="C78" i="8"/>
  <c r="AI78" i="8"/>
  <c r="G4" i="1"/>
  <c r="X14" i="1"/>
  <c r="Y8" i="1" s="1"/>
  <c r="G11" i="1"/>
  <c r="D66" i="2"/>
  <c r="O22" i="4"/>
  <c r="AI29" i="5"/>
  <c r="AG42" i="5"/>
  <c r="F83" i="5"/>
  <c r="H83" i="5" s="1"/>
  <c r="N98" i="5"/>
  <c r="N108" i="5"/>
  <c r="AM12" i="6"/>
  <c r="AN59" i="6" s="1"/>
  <c r="AR92" i="6"/>
  <c r="AR80" i="6"/>
  <c r="AR76" i="6"/>
  <c r="AR89" i="6"/>
  <c r="AR84" i="6"/>
  <c r="AR120" i="6"/>
  <c r="AR114" i="6"/>
  <c r="AR79" i="6"/>
  <c r="AR77" i="6"/>
  <c r="AR109" i="6"/>
  <c r="AR78" i="6"/>
  <c r="AR127" i="6"/>
  <c r="K57" i="6"/>
  <c r="J57" i="6"/>
  <c r="V72" i="6"/>
  <c r="AM89" i="6"/>
  <c r="X144" i="6"/>
  <c r="L13" i="7"/>
  <c r="N57" i="7"/>
  <c r="L45" i="7"/>
  <c r="AE57" i="7"/>
  <c r="AD45" i="7"/>
  <c r="AO64" i="7"/>
  <c r="AN64" i="7"/>
  <c r="AM92" i="7"/>
  <c r="T43" i="9"/>
  <c r="W13" i="1"/>
  <c r="AD14" i="10"/>
  <c r="AJ13" i="10"/>
  <c r="K60" i="10"/>
  <c r="I83" i="10"/>
  <c r="K83" i="10" s="1"/>
  <c r="AM92" i="10"/>
  <c r="O52" i="2"/>
  <c r="L17" i="3"/>
  <c r="AM15" i="6"/>
  <c r="AO15" i="6" s="1"/>
  <c r="C30" i="6"/>
  <c r="AF47" i="6"/>
  <c r="AD14" i="6"/>
  <c r="Z84" i="6"/>
  <c r="AM120" i="6"/>
  <c r="C35" i="7"/>
  <c r="C32" i="7"/>
  <c r="C31" i="7"/>
  <c r="AM23" i="7"/>
  <c r="AM24" i="7"/>
  <c r="C104" i="16"/>
  <c r="C99" i="7"/>
  <c r="AM104" i="7"/>
  <c r="C117" i="16"/>
  <c r="AM117" i="7"/>
  <c r="Q114" i="9"/>
  <c r="H114" i="10"/>
  <c r="K96" i="2"/>
  <c r="O13" i="3"/>
  <c r="O12" i="3" s="1"/>
  <c r="C12" i="3"/>
  <c r="J25" i="4"/>
  <c r="L73" i="15"/>
  <c r="L73" i="11"/>
  <c r="L72" i="11" s="1"/>
  <c r="AM60" i="5"/>
  <c r="C44" i="5"/>
  <c r="AM61" i="5"/>
  <c r="AO73" i="5"/>
  <c r="AD83" i="5"/>
  <c r="AF83" i="5" s="1"/>
  <c r="AS153" i="6"/>
  <c r="AS147" i="6"/>
  <c r="AS87" i="6"/>
  <c r="AS127" i="6"/>
  <c r="AQ42" i="6"/>
  <c r="AM61" i="6"/>
  <c r="AR72" i="6"/>
  <c r="L83" i="6"/>
  <c r="N83" i="6" s="1"/>
  <c r="AS86" i="6"/>
  <c r="Q109" i="6"/>
  <c r="AI45" i="7"/>
  <c r="W99" i="7"/>
  <c r="W120" i="7"/>
  <c r="AI123" i="7"/>
  <c r="W127" i="7"/>
  <c r="AG83" i="9"/>
  <c r="AI83" i="9" s="1"/>
  <c r="Z123" i="9"/>
  <c r="K45" i="10"/>
  <c r="AJ45" i="8"/>
  <c r="O8" i="2"/>
  <c r="O5" i="2" s="1"/>
  <c r="C52" i="2"/>
  <c r="AO47" i="5"/>
  <c r="AO74" i="5"/>
  <c r="AG83" i="5"/>
  <c r="AI83" i="5" s="1"/>
  <c r="U83" i="5"/>
  <c r="Z88" i="5"/>
  <c r="AM46" i="6"/>
  <c r="AQ60" i="6"/>
  <c r="G72" i="6"/>
  <c r="AM72" i="6"/>
  <c r="AR123" i="6"/>
  <c r="U34" i="7"/>
  <c r="U32" i="7"/>
  <c r="U15" i="16"/>
  <c r="U14" i="16" s="1"/>
  <c r="C30" i="7"/>
  <c r="U31" i="7"/>
  <c r="C33" i="7"/>
  <c r="AG34" i="7"/>
  <c r="C45" i="7"/>
  <c r="AH57" i="7"/>
  <c r="C76" i="16"/>
  <c r="AM76" i="7"/>
  <c r="T78" i="7"/>
  <c r="C97" i="16"/>
  <c r="C96" i="7"/>
  <c r="Z99" i="7"/>
  <c r="AM110" i="7"/>
  <c r="W114" i="7"/>
  <c r="AM12" i="9"/>
  <c r="AO7" i="9" s="1"/>
  <c r="F13" i="9"/>
  <c r="AM24" i="9"/>
  <c r="AM89" i="9"/>
  <c r="F78" i="8"/>
  <c r="N89" i="8"/>
  <c r="D90" i="2"/>
  <c r="O21" i="4"/>
  <c r="D19" i="4"/>
  <c r="D25" i="4" s="1"/>
  <c r="Z84" i="5"/>
  <c r="AM122" i="5"/>
  <c r="H122" i="5"/>
  <c r="AM129" i="5"/>
  <c r="C126" i="5"/>
  <c r="AM126" i="5" s="1"/>
  <c r="C14" i="6"/>
  <c r="I45" i="6"/>
  <c r="I44" i="6" s="1"/>
  <c r="K44" i="6" s="1"/>
  <c r="AS78" i="6"/>
  <c r="AS148" i="6"/>
  <c r="AA15" i="16"/>
  <c r="AA14" i="16" s="1"/>
  <c r="AA14" i="7"/>
  <c r="C77" i="16"/>
  <c r="AM77" i="7"/>
  <c r="AM97" i="7"/>
  <c r="W109" i="7"/>
  <c r="Z114" i="7"/>
  <c r="AF59" i="9"/>
  <c r="AF46" i="9"/>
  <c r="AF120" i="9"/>
  <c r="AD32" i="9"/>
  <c r="AD35" i="9"/>
  <c r="AF114" i="9"/>
  <c r="AF92" i="9"/>
  <c r="AD33" i="9"/>
  <c r="AD30" i="9"/>
  <c r="AD31" i="9"/>
  <c r="G57" i="9"/>
  <c r="H57" i="9"/>
  <c r="AF84" i="9"/>
  <c r="AF123" i="9"/>
  <c r="AQ144" i="10"/>
  <c r="Z57" i="8"/>
  <c r="AO62" i="8"/>
  <c r="V14" i="1"/>
  <c r="O70" i="2"/>
  <c r="C90" i="2"/>
  <c r="E17" i="3"/>
  <c r="N25" i="4"/>
  <c r="AM23" i="5"/>
  <c r="AM24" i="5"/>
  <c r="AA28" i="5"/>
  <c r="O44" i="5"/>
  <c r="AM88" i="5"/>
  <c r="AM98" i="5"/>
  <c r="F14" i="6"/>
  <c r="O13" i="6"/>
  <c r="Q114" i="6" s="1"/>
  <c r="X83" i="6"/>
  <c r="Z83" i="6" s="1"/>
  <c r="AR96" i="6"/>
  <c r="K114" i="6"/>
  <c r="Q120" i="6"/>
  <c r="AM123" i="6"/>
  <c r="AI114" i="7"/>
  <c r="AG33" i="7"/>
  <c r="AI99" i="7"/>
  <c r="AI89" i="7"/>
  <c r="AG32" i="7"/>
  <c r="R30" i="7"/>
  <c r="T109" i="7"/>
  <c r="T92" i="7"/>
  <c r="T120" i="7"/>
  <c r="AG31" i="7"/>
  <c r="U33" i="7"/>
  <c r="Q43" i="7"/>
  <c r="C47" i="16"/>
  <c r="AM47" i="7"/>
  <c r="E47" i="7"/>
  <c r="F62" i="16"/>
  <c r="G62" i="7"/>
  <c r="C63" i="16"/>
  <c r="E63" i="7"/>
  <c r="AM63" i="7"/>
  <c r="F86" i="16"/>
  <c r="AM86" i="7"/>
  <c r="AI92" i="7"/>
  <c r="W96" i="7"/>
  <c r="C98" i="16"/>
  <c r="AM98" i="16" s="1"/>
  <c r="AM98" i="7"/>
  <c r="F140" i="16"/>
  <c r="AM140" i="16" s="1"/>
  <c r="O13" i="9"/>
  <c r="Q99" i="9" s="1"/>
  <c r="O83" i="9"/>
  <c r="AN29" i="11"/>
  <c r="U42" i="5"/>
  <c r="U13" i="5"/>
  <c r="W98" i="5" s="1"/>
  <c r="C28" i="5"/>
  <c r="AM28" i="5" s="1"/>
  <c r="AM29" i="5"/>
  <c r="R148" i="5"/>
  <c r="R149" i="5" s="1"/>
  <c r="Z95" i="5"/>
  <c r="I42" i="6"/>
  <c r="R60" i="6"/>
  <c r="N72" i="6"/>
  <c r="AE72" i="6"/>
  <c r="AD15" i="16"/>
  <c r="AD14" i="16" s="1"/>
  <c r="R45" i="7"/>
  <c r="T43" i="7"/>
  <c r="C80" i="16"/>
  <c r="AM80" i="7"/>
  <c r="E114" i="7"/>
  <c r="C133" i="16"/>
  <c r="AM133" i="7"/>
  <c r="C127" i="7"/>
  <c r="AM153" i="7"/>
  <c r="X44" i="10"/>
  <c r="C83" i="10"/>
  <c r="AM84" i="10"/>
  <c r="J14" i="1"/>
  <c r="K4" i="1" s="1"/>
  <c r="D46" i="2"/>
  <c r="O6" i="4"/>
  <c r="O5" i="4" s="1"/>
  <c r="O25" i="4" s="1"/>
  <c r="H29" i="5"/>
  <c r="F28" i="5"/>
  <c r="F42" i="5" s="1"/>
  <c r="F140" i="5" s="1"/>
  <c r="F144" i="5" s="1"/>
  <c r="AM77" i="5"/>
  <c r="AM84" i="5"/>
  <c r="AI88" i="5"/>
  <c r="AI98" i="5"/>
  <c r="L13" i="6"/>
  <c r="R44" i="6"/>
  <c r="T44" i="6" s="1"/>
  <c r="U60" i="6"/>
  <c r="M72" i="6"/>
  <c r="AS76" i="6"/>
  <c r="AS79" i="6"/>
  <c r="AM109" i="6"/>
  <c r="AI15" i="7"/>
  <c r="Z123" i="7"/>
  <c r="Z120" i="7"/>
  <c r="X33" i="7"/>
  <c r="Z46" i="7"/>
  <c r="U30" i="7"/>
  <c r="U35" i="7"/>
  <c r="F63" i="16"/>
  <c r="H63" i="7"/>
  <c r="L73" i="7"/>
  <c r="Z89" i="7"/>
  <c r="E109" i="7"/>
  <c r="T123" i="7"/>
  <c r="F133" i="16"/>
  <c r="AO5" i="9"/>
  <c r="L13" i="9"/>
  <c r="N72" i="9" s="1"/>
  <c r="E63" i="9"/>
  <c r="D63" i="9"/>
  <c r="C61" i="9"/>
  <c r="AM74" i="9"/>
  <c r="T89" i="9"/>
  <c r="U13" i="10"/>
  <c r="X13" i="11"/>
  <c r="X42" i="11"/>
  <c r="Q109" i="11"/>
  <c r="AO69" i="11"/>
  <c r="AO68" i="11"/>
  <c r="Q99" i="11"/>
  <c r="Q96" i="11"/>
  <c r="Q92" i="11"/>
  <c r="AO70" i="11"/>
  <c r="AO71" i="11"/>
  <c r="Q89" i="11"/>
  <c r="T61" i="11"/>
  <c r="Q123" i="11"/>
  <c r="AO67" i="11"/>
  <c r="Q147" i="11"/>
  <c r="AO66" i="11"/>
  <c r="AO65" i="11"/>
  <c r="U42" i="11"/>
  <c r="U13" i="11"/>
  <c r="W114" i="11" s="1"/>
  <c r="AM23" i="11"/>
  <c r="C42" i="11"/>
  <c r="C13" i="11"/>
  <c r="I28" i="11"/>
  <c r="K29" i="11"/>
  <c r="AA60" i="8"/>
  <c r="AA44" i="8" s="1"/>
  <c r="D32" i="2"/>
  <c r="L25" i="4"/>
  <c r="I83" i="5"/>
  <c r="I140" i="5" s="1"/>
  <c r="I144" i="5" s="1"/>
  <c r="N88" i="5"/>
  <c r="H98" i="5"/>
  <c r="K92" i="6"/>
  <c r="Z147" i="6"/>
  <c r="F47" i="16"/>
  <c r="F46" i="16" s="1"/>
  <c r="F46" i="7"/>
  <c r="H47" i="7"/>
  <c r="G47" i="7"/>
  <c r="F88" i="16"/>
  <c r="AM88" i="16" s="1"/>
  <c r="AI109" i="7"/>
  <c r="I13" i="9"/>
  <c r="K92" i="9" s="1"/>
  <c r="AI45" i="9"/>
  <c r="AI43" i="9"/>
  <c r="AC78" i="9"/>
  <c r="AB78" i="9"/>
  <c r="F81" i="16"/>
  <c r="AM81" i="9"/>
  <c r="AD83" i="9"/>
  <c r="AF83" i="9" s="1"/>
  <c r="N96" i="9"/>
  <c r="C44" i="10"/>
  <c r="AM46" i="10"/>
  <c r="R13" i="11"/>
  <c r="F128" i="16"/>
  <c r="F127" i="7"/>
  <c r="H127" i="7" s="1"/>
  <c r="AO69" i="10"/>
  <c r="AO68" i="10"/>
  <c r="AO71" i="10"/>
  <c r="AO63" i="10"/>
  <c r="W61" i="10"/>
  <c r="AO70" i="10"/>
  <c r="AO62" i="10"/>
  <c r="AM23" i="10"/>
  <c r="T147" i="10"/>
  <c r="AM153" i="10"/>
  <c r="AL57" i="12"/>
  <c r="AK57" i="12"/>
  <c r="AF99" i="9"/>
  <c r="T109" i="10"/>
  <c r="T127" i="10"/>
  <c r="T123" i="10"/>
  <c r="AA28" i="10"/>
  <c r="AA42" i="10" s="1"/>
  <c r="AC29" i="10"/>
  <c r="AM78" i="10"/>
  <c r="W123" i="10"/>
  <c r="AM127" i="10"/>
  <c r="H45" i="11"/>
  <c r="AM45" i="11"/>
  <c r="Y72" i="12"/>
  <c r="W99" i="13"/>
  <c r="W123" i="13"/>
  <c r="AI78" i="9"/>
  <c r="AI99" i="9"/>
  <c r="AM105" i="9"/>
  <c r="AM120" i="9"/>
  <c r="AE72" i="10"/>
  <c r="X83" i="10"/>
  <c r="AD83" i="10"/>
  <c r="T114" i="11"/>
  <c r="AF122" i="5"/>
  <c r="AF95" i="5"/>
  <c r="AF98" i="5"/>
  <c r="F83" i="6"/>
  <c r="AD83" i="6"/>
  <c r="F64" i="16"/>
  <c r="H64" i="7"/>
  <c r="AA13" i="9"/>
  <c r="AC83" i="9" s="1"/>
  <c r="U35" i="9"/>
  <c r="J57" i="9"/>
  <c r="I45" i="9"/>
  <c r="AA45" i="9"/>
  <c r="AC57" i="9"/>
  <c r="Q89" i="9"/>
  <c r="C106" i="16"/>
  <c r="AM106" i="16" s="1"/>
  <c r="AM106" i="9"/>
  <c r="E120" i="9"/>
  <c r="AM131" i="9"/>
  <c r="L42" i="10"/>
  <c r="L13" i="10"/>
  <c r="H45" i="10"/>
  <c r="AM60" i="10"/>
  <c r="T84" i="10"/>
  <c r="W92" i="10"/>
  <c r="L44" i="11"/>
  <c r="AM120" i="7"/>
  <c r="Z127" i="7"/>
  <c r="P59" i="9"/>
  <c r="P57" i="9"/>
  <c r="AG13" i="9"/>
  <c r="U32" i="9"/>
  <c r="O45" i="9"/>
  <c r="Q43" i="9"/>
  <c r="AA60" i="9"/>
  <c r="AC60" i="9" s="1"/>
  <c r="E92" i="9"/>
  <c r="AM92" i="9"/>
  <c r="E114" i="9"/>
  <c r="W123" i="9"/>
  <c r="F127" i="9"/>
  <c r="H127" i="9" s="1"/>
  <c r="AM72" i="10"/>
  <c r="AC44" i="12"/>
  <c r="W78" i="7"/>
  <c r="C79" i="16"/>
  <c r="C78" i="7"/>
  <c r="AI96" i="7"/>
  <c r="E120" i="7"/>
  <c r="AJ13" i="9"/>
  <c r="AF57" i="9"/>
  <c r="AE57" i="9"/>
  <c r="P78" i="9"/>
  <c r="F84" i="9"/>
  <c r="AD44" i="10"/>
  <c r="AM99" i="10"/>
  <c r="C90" i="16"/>
  <c r="C89" i="7"/>
  <c r="AM89" i="7" s="1"/>
  <c r="AM90" i="7"/>
  <c r="W43" i="9"/>
  <c r="L83" i="9"/>
  <c r="N83" i="9" s="1"/>
  <c r="Z96" i="9"/>
  <c r="K99" i="9"/>
  <c r="K114" i="9"/>
  <c r="AM114" i="9"/>
  <c r="K120" i="9"/>
  <c r="AM57" i="10"/>
  <c r="O60" i="10"/>
  <c r="Q72" i="10"/>
  <c r="T78" i="10"/>
  <c r="F131" i="16"/>
  <c r="AM131" i="16" s="1"/>
  <c r="AM131" i="7"/>
  <c r="U31" i="9"/>
  <c r="U29" i="9" s="1"/>
  <c r="W96" i="9"/>
  <c r="U37" i="9"/>
  <c r="W127" i="9"/>
  <c r="W109" i="9"/>
  <c r="U34" i="9"/>
  <c r="Z43" i="9"/>
  <c r="T78" i="9"/>
  <c r="W84" i="9"/>
  <c r="AM84" i="9"/>
  <c r="N99" i="9"/>
  <c r="AC123" i="9"/>
  <c r="U44" i="10"/>
  <c r="W44" i="10" s="1"/>
  <c r="T96" i="10"/>
  <c r="AG83" i="10"/>
  <c r="Q61" i="11"/>
  <c r="P61" i="11"/>
  <c r="AF92" i="11"/>
  <c r="AD83" i="11"/>
  <c r="AF83" i="11" s="1"/>
  <c r="AM120" i="12"/>
  <c r="AF120" i="12"/>
  <c r="R60" i="10"/>
  <c r="T61" i="10"/>
  <c r="F83" i="10"/>
  <c r="AA83" i="10"/>
  <c r="AC83" i="10" s="1"/>
  <c r="AC89" i="10"/>
  <c r="T92" i="10"/>
  <c r="R83" i="11"/>
  <c r="K109" i="11"/>
  <c r="T127" i="12"/>
  <c r="T47" i="12"/>
  <c r="T96" i="12"/>
  <c r="T29" i="12"/>
  <c r="T120" i="12"/>
  <c r="T147" i="12"/>
  <c r="AA144" i="12"/>
  <c r="T89" i="12"/>
  <c r="AI109" i="13"/>
  <c r="AI120" i="13"/>
  <c r="AI114" i="13"/>
  <c r="AI123" i="13"/>
  <c r="AI99" i="13"/>
  <c r="AI92" i="13"/>
  <c r="AI84" i="13"/>
  <c r="C138" i="16"/>
  <c r="AM138" i="16" s="1"/>
  <c r="AM138" i="9"/>
  <c r="AC78" i="10"/>
  <c r="AC123" i="10"/>
  <c r="I44" i="10"/>
  <c r="L44" i="10"/>
  <c r="S61" i="10"/>
  <c r="S72" i="10"/>
  <c r="AH72" i="10"/>
  <c r="AC84" i="10"/>
  <c r="K99" i="10"/>
  <c r="K114" i="10"/>
  <c r="T120" i="10"/>
  <c r="K127" i="10"/>
  <c r="AA42" i="11"/>
  <c r="AA13" i="11"/>
  <c r="L28" i="11"/>
  <c r="AM28" i="11" s="1"/>
  <c r="AN79" i="11"/>
  <c r="W84" i="11"/>
  <c r="U83" i="11"/>
  <c r="T96" i="11"/>
  <c r="Q120" i="11"/>
  <c r="AM85" i="12"/>
  <c r="C84" i="12"/>
  <c r="T114" i="12"/>
  <c r="AM14" i="9"/>
  <c r="AM15" i="9"/>
  <c r="AO15" i="9" s="1"/>
  <c r="AF43" i="9"/>
  <c r="AC89" i="9"/>
  <c r="C107" i="16"/>
  <c r="AM107" i="16" s="1"/>
  <c r="AM107" i="9"/>
  <c r="T72" i="10"/>
  <c r="AC96" i="10"/>
  <c r="AC147" i="10"/>
  <c r="AF120" i="11"/>
  <c r="AF123" i="11"/>
  <c r="AF96" i="11"/>
  <c r="AF109" i="11"/>
  <c r="AF78" i="11"/>
  <c r="AF84" i="11"/>
  <c r="AM24" i="11"/>
  <c r="Q29" i="11"/>
  <c r="O28" i="11"/>
  <c r="O42" i="11" s="1"/>
  <c r="K78" i="11"/>
  <c r="X83" i="11"/>
  <c r="O42" i="12"/>
  <c r="O13" i="12"/>
  <c r="Q89" i="12" s="1"/>
  <c r="F83" i="12"/>
  <c r="AI89" i="13"/>
  <c r="O83" i="13"/>
  <c r="AM45" i="9"/>
  <c r="Y78" i="9"/>
  <c r="Z78" i="9"/>
  <c r="T84" i="9"/>
  <c r="R83" i="9"/>
  <c r="T83" i="9" s="1"/>
  <c r="AF89" i="9"/>
  <c r="T99" i="9"/>
  <c r="O44" i="10"/>
  <c r="Q44" i="10" s="1"/>
  <c r="R83" i="10"/>
  <c r="T83" i="10" s="1"/>
  <c r="K89" i="10"/>
  <c r="AM96" i="10"/>
  <c r="AM109" i="10"/>
  <c r="R28" i="11"/>
  <c r="R42" i="11" s="1"/>
  <c r="K57" i="11"/>
  <c r="U42" i="12"/>
  <c r="AA83" i="13"/>
  <c r="AM92" i="13"/>
  <c r="C92" i="16"/>
  <c r="F42" i="10"/>
  <c r="AL44" i="10"/>
  <c r="T114" i="10"/>
  <c r="AM123" i="10"/>
  <c r="K120" i="11"/>
  <c r="K114" i="11"/>
  <c r="K84" i="11"/>
  <c r="K127" i="11"/>
  <c r="K45" i="11"/>
  <c r="Q78" i="11"/>
  <c r="AM114" i="11"/>
  <c r="C13" i="2"/>
  <c r="O59" i="2"/>
  <c r="H91" i="5"/>
  <c r="AC108" i="5"/>
  <c r="N78" i="6"/>
  <c r="R83" i="6"/>
  <c r="T83" i="6" s="1"/>
  <c r="AS120" i="6"/>
  <c r="C15" i="16"/>
  <c r="W92" i="7"/>
  <c r="F104" i="16"/>
  <c r="F117" i="16"/>
  <c r="F114" i="16" s="1"/>
  <c r="AM46" i="9"/>
  <c r="K89" i="9"/>
  <c r="F93" i="16"/>
  <c r="F92" i="16" s="1"/>
  <c r="F92" i="9"/>
  <c r="H92" i="9" s="1"/>
  <c r="C96" i="9"/>
  <c r="AM97" i="9"/>
  <c r="W114" i="9"/>
  <c r="AO64" i="10"/>
  <c r="AJ83" i="10"/>
  <c r="AL83" i="10" s="1"/>
  <c r="T78" i="11"/>
  <c r="Z89" i="11"/>
  <c r="N60" i="12"/>
  <c r="W84" i="13"/>
  <c r="U83" i="13"/>
  <c r="W83" i="13" s="1"/>
  <c r="M78" i="9"/>
  <c r="N89" i="9"/>
  <c r="AM93" i="9"/>
  <c r="AM108" i="9"/>
  <c r="C113" i="16"/>
  <c r="AM113" i="16" s="1"/>
  <c r="AM113" i="9"/>
  <c r="C109" i="9"/>
  <c r="Z114" i="9"/>
  <c r="AA45" i="10"/>
  <c r="AA44" i="10" s="1"/>
  <c r="AC44" i="10" s="1"/>
  <c r="AC92" i="10"/>
  <c r="AM147" i="10"/>
  <c r="AC83" i="11"/>
  <c r="AC89" i="11"/>
  <c r="W96" i="12"/>
  <c r="Z109" i="9"/>
  <c r="AC114" i="9"/>
  <c r="Z127" i="9"/>
  <c r="F13" i="10"/>
  <c r="H92" i="10" s="1"/>
  <c r="O42" i="10"/>
  <c r="O144" i="10" s="1"/>
  <c r="AG44" i="10"/>
  <c r="AM61" i="10"/>
  <c r="AO65" i="10"/>
  <c r="AN65" i="10"/>
  <c r="L13" i="11"/>
  <c r="L42" i="11"/>
  <c r="AO49" i="11"/>
  <c r="AO62" i="11"/>
  <c r="AN62" i="11"/>
  <c r="T127" i="11"/>
  <c r="AF147" i="11"/>
  <c r="N84" i="12"/>
  <c r="N29" i="12"/>
  <c r="N147" i="12"/>
  <c r="N120" i="12"/>
  <c r="N89" i="12"/>
  <c r="N78" i="12"/>
  <c r="N127" i="12"/>
  <c r="N99" i="12"/>
  <c r="N47" i="12"/>
  <c r="Z96" i="12"/>
  <c r="F61" i="9"/>
  <c r="H43" i="9" s="1"/>
  <c r="H62" i="9"/>
  <c r="Z92" i="9"/>
  <c r="C99" i="9"/>
  <c r="H109" i="9"/>
  <c r="AM123" i="9"/>
  <c r="C127" i="9"/>
  <c r="AC127" i="9"/>
  <c r="AM141" i="9"/>
  <c r="AO66" i="10"/>
  <c r="J72" i="10"/>
  <c r="K72" i="10"/>
  <c r="AC72" i="10"/>
  <c r="U83" i="10"/>
  <c r="Z99" i="10"/>
  <c r="AM120" i="10"/>
  <c r="AC127" i="10"/>
  <c r="W127" i="11"/>
  <c r="I44" i="12"/>
  <c r="K44" i="12" s="1"/>
  <c r="K45" i="12"/>
  <c r="AM57" i="12"/>
  <c r="AH57" i="12"/>
  <c r="AG45" i="12"/>
  <c r="AG44" i="12" s="1"/>
  <c r="N123" i="12"/>
  <c r="AM46" i="11"/>
  <c r="AO46" i="11" s="1"/>
  <c r="T45" i="11"/>
  <c r="L60" i="11"/>
  <c r="AG83" i="11"/>
  <c r="AI83" i="11" s="1"/>
  <c r="E120" i="11"/>
  <c r="AF127" i="11"/>
  <c r="AF109" i="12"/>
  <c r="AF47" i="12"/>
  <c r="AF99" i="12"/>
  <c r="AF96" i="12"/>
  <c r="AF72" i="12"/>
  <c r="AF123" i="12"/>
  <c r="AF89" i="12"/>
  <c r="AF127" i="12"/>
  <c r="AF147" i="12"/>
  <c r="AF29" i="12"/>
  <c r="L44" i="12"/>
  <c r="N92" i="12"/>
  <c r="N109" i="12"/>
  <c r="O14" i="13"/>
  <c r="AM15" i="13"/>
  <c r="AO15" i="13" s="1"/>
  <c r="K45" i="13"/>
  <c r="I44" i="13"/>
  <c r="N44" i="14"/>
  <c r="T109" i="11"/>
  <c r="K47" i="12"/>
  <c r="K109" i="12"/>
  <c r="K89" i="12"/>
  <c r="K92" i="12"/>
  <c r="K99" i="12"/>
  <c r="K72" i="12"/>
  <c r="K120" i="12"/>
  <c r="K123" i="12"/>
  <c r="K127" i="12"/>
  <c r="K147" i="12"/>
  <c r="AM29" i="12"/>
  <c r="Q92" i="12"/>
  <c r="AF114" i="12"/>
  <c r="F157" i="16"/>
  <c r="F153" i="16" s="1"/>
  <c r="AM157" i="13"/>
  <c r="F153" i="13"/>
  <c r="AM153" i="13" s="1"/>
  <c r="F44" i="15"/>
  <c r="H44" i="15" s="1"/>
  <c r="H45" i="15"/>
  <c r="W29" i="11"/>
  <c r="U28" i="11"/>
  <c r="K89" i="11"/>
  <c r="I83" i="11"/>
  <c r="K83" i="11" s="1"/>
  <c r="AF78" i="12"/>
  <c r="T92" i="12"/>
  <c r="T99" i="12"/>
  <c r="I156" i="16"/>
  <c r="I153" i="16" s="1"/>
  <c r="K153" i="16" s="1"/>
  <c r="I153" i="13"/>
  <c r="I42" i="11"/>
  <c r="AJ42" i="11"/>
  <c r="AJ13" i="11"/>
  <c r="AM120" i="11"/>
  <c r="F13" i="12"/>
  <c r="H96" i="12" s="1"/>
  <c r="F42" i="12"/>
  <c r="AI15" i="12"/>
  <c r="AG14" i="12"/>
  <c r="AM14" i="12" s="1"/>
  <c r="C28" i="12"/>
  <c r="C42" i="12" s="1"/>
  <c r="AD42" i="12"/>
  <c r="AD144" i="12" s="1"/>
  <c r="V57" i="12"/>
  <c r="U45" i="12"/>
  <c r="K83" i="12"/>
  <c r="W92" i="12"/>
  <c r="W109" i="12"/>
  <c r="O44" i="13"/>
  <c r="AF147" i="13"/>
  <c r="AM24" i="10"/>
  <c r="R45" i="10"/>
  <c r="AM45" i="10" s="1"/>
  <c r="W72" i="10"/>
  <c r="AQ83" i="10"/>
  <c r="F42" i="11"/>
  <c r="F13" i="11"/>
  <c r="AM15" i="11"/>
  <c r="AO15" i="11" s="1"/>
  <c r="AO63" i="11"/>
  <c r="AJ13" i="12"/>
  <c r="AL47" i="12" s="1"/>
  <c r="K29" i="12"/>
  <c r="H57" i="12"/>
  <c r="N83" i="12"/>
  <c r="X83" i="12"/>
  <c r="Z83" i="12" s="1"/>
  <c r="K96" i="12"/>
  <c r="Z109" i="12"/>
  <c r="Z147" i="13"/>
  <c r="Z127" i="13"/>
  <c r="Z109" i="13"/>
  <c r="Z114" i="13"/>
  <c r="Z89" i="13"/>
  <c r="Z99" i="13"/>
  <c r="W127" i="13"/>
  <c r="AI147" i="13"/>
  <c r="R145" i="17"/>
  <c r="R147" i="17" s="1"/>
  <c r="R142" i="17"/>
  <c r="O28" i="2"/>
  <c r="I25" i="4"/>
  <c r="AG20" i="16"/>
  <c r="AM20" i="16" s="1"/>
  <c r="AG15" i="6"/>
  <c r="Q147" i="6"/>
  <c r="O15" i="16"/>
  <c r="O14" i="16" s="1"/>
  <c r="C62" i="16"/>
  <c r="C61" i="7"/>
  <c r="F79" i="16"/>
  <c r="C87" i="16"/>
  <c r="T89" i="7"/>
  <c r="F103" i="16"/>
  <c r="AM103" i="7"/>
  <c r="F99" i="7"/>
  <c r="F139" i="16"/>
  <c r="AM139" i="16" s="1"/>
  <c r="K78" i="9"/>
  <c r="F78" i="9"/>
  <c r="W89" i="9"/>
  <c r="AC99" i="9"/>
  <c r="K127" i="9"/>
  <c r="C137" i="16"/>
  <c r="AM137" i="16" s="1"/>
  <c r="AM137" i="9"/>
  <c r="AG14" i="10"/>
  <c r="AI15" i="10"/>
  <c r="H72" i="10"/>
  <c r="V72" i="10"/>
  <c r="AN16" i="11"/>
  <c r="W61" i="11"/>
  <c r="AM99" i="11"/>
  <c r="H99" i="11"/>
  <c r="AF99" i="11"/>
  <c r="AC109" i="11"/>
  <c r="Z147" i="11"/>
  <c r="I28" i="12"/>
  <c r="I42" i="12" s="1"/>
  <c r="I144" i="12" s="1"/>
  <c r="AN47" i="12"/>
  <c r="G57" i="12"/>
  <c r="X60" i="12"/>
  <c r="R83" i="12"/>
  <c r="T83" i="12" s="1"/>
  <c r="Z84" i="12"/>
  <c r="N96" i="12"/>
  <c r="AM96" i="12"/>
  <c r="AD42" i="13"/>
  <c r="AD13" i="13"/>
  <c r="AF96" i="13" s="1"/>
  <c r="S61" i="13"/>
  <c r="R60" i="13"/>
  <c r="R44" i="13" s="1"/>
  <c r="Z78" i="13"/>
  <c r="N89" i="14"/>
  <c r="AM89" i="14"/>
  <c r="AM147" i="14"/>
  <c r="AA83" i="15"/>
  <c r="AC83" i="15" s="1"/>
  <c r="AC84" i="15"/>
  <c r="AN18" i="11"/>
  <c r="L83" i="11"/>
  <c r="E96" i="11"/>
  <c r="AM96" i="11"/>
  <c r="K99" i="11"/>
  <c r="E153" i="11"/>
  <c r="AM153" i="11"/>
  <c r="C13" i="12"/>
  <c r="AF44" i="12"/>
  <c r="AD164" i="12"/>
  <c r="U83" i="12"/>
  <c r="AA83" i="12"/>
  <c r="AC83" i="12" s="1"/>
  <c r="AC84" i="12"/>
  <c r="K72" i="13"/>
  <c r="W45" i="11"/>
  <c r="H96" i="11"/>
  <c r="AM130" i="11"/>
  <c r="C127" i="11"/>
  <c r="H153" i="11"/>
  <c r="V47" i="12"/>
  <c r="V72" i="12"/>
  <c r="X42" i="12"/>
  <c r="Q44" i="12"/>
  <c r="K57" i="12"/>
  <c r="AM72" i="12"/>
  <c r="T78" i="12"/>
  <c r="AD83" i="12"/>
  <c r="AF83" i="12" s="1"/>
  <c r="AF84" i="12"/>
  <c r="AM89" i="12"/>
  <c r="AF92" i="12"/>
  <c r="Q127" i="9"/>
  <c r="AM12" i="10"/>
  <c r="I13" i="10"/>
  <c r="K123" i="10" s="1"/>
  <c r="K57" i="10"/>
  <c r="H99" i="10"/>
  <c r="Z109" i="10"/>
  <c r="AC120" i="10"/>
  <c r="AM12" i="11"/>
  <c r="AO47" i="11"/>
  <c r="O83" i="11"/>
  <c r="Q83" i="11" s="1"/>
  <c r="Q84" i="11"/>
  <c r="AM92" i="11"/>
  <c r="Q114" i="11"/>
  <c r="AO7" i="12"/>
  <c r="L42" i="12"/>
  <c r="AM23" i="12"/>
  <c r="AJ45" i="12"/>
  <c r="AJ44" i="12" s="1"/>
  <c r="AJ164" i="12" s="1"/>
  <c r="AJ166" i="12" s="1"/>
  <c r="F60" i="12"/>
  <c r="AM109" i="12"/>
  <c r="AM12" i="13"/>
  <c r="AO7" i="13" s="1"/>
  <c r="K123" i="13"/>
  <c r="K89" i="13"/>
  <c r="K29" i="13"/>
  <c r="K114" i="13"/>
  <c r="K109" i="13"/>
  <c r="K92" i="13"/>
  <c r="K84" i="13"/>
  <c r="K78" i="13"/>
  <c r="K147" i="13"/>
  <c r="K99" i="13"/>
  <c r="O28" i="13"/>
  <c r="AM28" i="13" s="1"/>
  <c r="AM29" i="13"/>
  <c r="K120" i="13"/>
  <c r="W109" i="14"/>
  <c r="AM109" i="14"/>
  <c r="L155" i="16"/>
  <c r="L153" i="16" s="1"/>
  <c r="L153" i="13"/>
  <c r="AM14" i="14"/>
  <c r="C42" i="14"/>
  <c r="C13" i="14"/>
  <c r="E147" i="14" s="1"/>
  <c r="AM15" i="14"/>
  <c r="AO15" i="14" s="1"/>
  <c r="AM23" i="14"/>
  <c r="T45" i="12"/>
  <c r="R60" i="12"/>
  <c r="T60" i="12" s="1"/>
  <c r="S61" i="12"/>
  <c r="I144" i="13"/>
  <c r="AM78" i="13"/>
  <c r="AI78" i="13"/>
  <c r="AI83" i="13"/>
  <c r="AQ42" i="14"/>
  <c r="AQ144" i="14" s="1"/>
  <c r="AQ13" i="14"/>
  <c r="V61" i="14"/>
  <c r="AN155" i="12"/>
  <c r="T120" i="13"/>
  <c r="T78" i="13"/>
  <c r="T84" i="13"/>
  <c r="T123" i="13"/>
  <c r="T96" i="13"/>
  <c r="T99" i="13"/>
  <c r="R28" i="13"/>
  <c r="R42" i="13" s="1"/>
  <c r="T29" i="13"/>
  <c r="W45" i="13"/>
  <c r="AN64" i="13"/>
  <c r="T109" i="13"/>
  <c r="H127" i="14"/>
  <c r="H99" i="14"/>
  <c r="H84" i="14"/>
  <c r="H57" i="14"/>
  <c r="I42" i="14"/>
  <c r="I13" i="14"/>
  <c r="K123" i="14" s="1"/>
  <c r="AJ144" i="14"/>
  <c r="W123" i="14"/>
  <c r="AS127" i="14"/>
  <c r="AS120" i="15"/>
  <c r="AS47" i="15"/>
  <c r="AS153" i="15"/>
  <c r="AS72" i="15"/>
  <c r="AS92" i="15"/>
  <c r="AS147" i="15"/>
  <c r="AS96" i="15"/>
  <c r="AS89" i="15"/>
  <c r="AS78" i="15"/>
  <c r="AA13" i="15"/>
  <c r="AC123" i="15" s="1"/>
  <c r="AM12" i="16"/>
  <c r="X45" i="12"/>
  <c r="Q109" i="12"/>
  <c r="W29" i="13"/>
  <c r="AM96" i="13"/>
  <c r="W109" i="13"/>
  <c r="W120" i="13"/>
  <c r="T78" i="14"/>
  <c r="R83" i="14"/>
  <c r="T83" i="14" s="1"/>
  <c r="H96" i="14"/>
  <c r="AJ13" i="15"/>
  <c r="AJ36" i="15"/>
  <c r="AN64" i="11"/>
  <c r="AO64" i="11"/>
  <c r="AM74" i="11"/>
  <c r="AC92" i="11"/>
  <c r="AC99" i="11"/>
  <c r="H123" i="11"/>
  <c r="Q127" i="11"/>
  <c r="AM12" i="12"/>
  <c r="U13" i="12"/>
  <c r="X13" i="12"/>
  <c r="AF57" i="12"/>
  <c r="AE57" i="12"/>
  <c r="AB72" i="12"/>
  <c r="O83" i="12"/>
  <c r="Q83" i="12" s="1"/>
  <c r="K84" i="12"/>
  <c r="W99" i="12"/>
  <c r="T109" i="12"/>
  <c r="AM127" i="12"/>
  <c r="Q147" i="12"/>
  <c r="AA42" i="13"/>
  <c r="Z29" i="13"/>
  <c r="AA60" i="13"/>
  <c r="AA44" i="13" s="1"/>
  <c r="AD83" i="13"/>
  <c r="K96" i="13"/>
  <c r="AM114" i="13"/>
  <c r="Z120" i="13"/>
  <c r="AM24" i="14"/>
  <c r="AM57" i="14"/>
  <c r="W78" i="14"/>
  <c r="F13" i="15"/>
  <c r="AM61" i="12"/>
  <c r="AM78" i="12"/>
  <c r="T84" i="12"/>
  <c r="AJ42" i="13"/>
  <c r="AJ13" i="13"/>
  <c r="AL84" i="13" s="1"/>
  <c r="C42" i="13"/>
  <c r="AM23" i="13"/>
  <c r="AM24" i="13"/>
  <c r="AI29" i="13"/>
  <c r="N72" i="13"/>
  <c r="M72" i="13"/>
  <c r="X83" i="13"/>
  <c r="Z83" i="13" s="1"/>
  <c r="Z84" i="13"/>
  <c r="AM89" i="13"/>
  <c r="AG155" i="16"/>
  <c r="AG153" i="13"/>
  <c r="AS43" i="14"/>
  <c r="AQ60" i="14"/>
  <c r="AQ44" i="14" s="1"/>
  <c r="AS44" i="14" s="1"/>
  <c r="Q99" i="6"/>
  <c r="R15" i="16"/>
  <c r="R14" i="16" s="1"/>
  <c r="AF43" i="7"/>
  <c r="F130" i="16"/>
  <c r="AH57" i="9"/>
  <c r="H114" i="9"/>
  <c r="AM14" i="10"/>
  <c r="C13" i="10"/>
  <c r="AD28" i="11"/>
  <c r="AD42" i="11" s="1"/>
  <c r="AF29" i="11"/>
  <c r="AM57" i="11"/>
  <c r="G57" i="11"/>
  <c r="AM61" i="11"/>
  <c r="AM80" i="11"/>
  <c r="N89" i="11"/>
  <c r="AM24" i="12"/>
  <c r="AM46" i="12"/>
  <c r="D47" i="12"/>
  <c r="T57" i="12"/>
  <c r="AO5" i="13"/>
  <c r="AA13" i="13"/>
  <c r="F13" i="13"/>
  <c r="H114" i="13" s="1"/>
  <c r="F42" i="13"/>
  <c r="AM57" i="13"/>
  <c r="P72" i="13"/>
  <c r="W78" i="13"/>
  <c r="C127" i="13"/>
  <c r="AM127" i="13" s="1"/>
  <c r="AM131" i="13"/>
  <c r="U13" i="14"/>
  <c r="U42" i="14"/>
  <c r="R28" i="14"/>
  <c r="R42" i="14" s="1"/>
  <c r="J72" i="14"/>
  <c r="AM123" i="14"/>
  <c r="Z120" i="10"/>
  <c r="AI109" i="11"/>
  <c r="AI89" i="11"/>
  <c r="AI29" i="11"/>
  <c r="H78" i="11"/>
  <c r="AM15" i="12"/>
  <c r="AO15" i="12" s="1"/>
  <c r="F45" i="12"/>
  <c r="AH72" i="12"/>
  <c r="K78" i="12"/>
  <c r="AO6" i="13"/>
  <c r="L44" i="13"/>
  <c r="L144" i="13" s="1"/>
  <c r="T72" i="13"/>
  <c r="AM109" i="13"/>
  <c r="Z123" i="13"/>
  <c r="H123" i="14"/>
  <c r="AG83" i="15"/>
  <c r="AI83" i="15" s="1"/>
  <c r="AI127" i="13"/>
  <c r="W84" i="14"/>
  <c r="W89" i="14"/>
  <c r="U83" i="14"/>
  <c r="W83" i="14" s="1"/>
  <c r="AM23" i="15"/>
  <c r="AS44" i="15"/>
  <c r="T89" i="13"/>
  <c r="T114" i="13"/>
  <c r="AM123" i="13"/>
  <c r="K127" i="13"/>
  <c r="R155" i="16"/>
  <c r="R153" i="13"/>
  <c r="AD159" i="14"/>
  <c r="AD159" i="16" s="1"/>
  <c r="AE47" i="14"/>
  <c r="AS83" i="14"/>
  <c r="X83" i="14"/>
  <c r="Z83" i="14" s="1"/>
  <c r="H92" i="14"/>
  <c r="T99" i="14"/>
  <c r="N109" i="14"/>
  <c r="AA159" i="14"/>
  <c r="AA159" i="16" s="1"/>
  <c r="AG78" i="16"/>
  <c r="W89" i="13"/>
  <c r="W114" i="13"/>
  <c r="F42" i="14"/>
  <c r="W29" i="14"/>
  <c r="AJ44" i="14"/>
  <c r="AA83" i="14"/>
  <c r="N96" i="14"/>
  <c r="AS96" i="14"/>
  <c r="AM61" i="15"/>
  <c r="AG28" i="13"/>
  <c r="AG42" i="13" s="1"/>
  <c r="R83" i="13"/>
  <c r="T83" i="13" s="1"/>
  <c r="U153" i="13"/>
  <c r="R168" i="13"/>
  <c r="X42" i="14"/>
  <c r="AM61" i="14"/>
  <c r="C60" i="14"/>
  <c r="AD83" i="14"/>
  <c r="AF83" i="14" s="1"/>
  <c r="AM92" i="14"/>
  <c r="AR96" i="14"/>
  <c r="N123" i="14"/>
  <c r="AM120" i="13"/>
  <c r="AM12" i="14"/>
  <c r="AO5" i="14" s="1"/>
  <c r="AM78" i="14"/>
  <c r="W114" i="14"/>
  <c r="AD153" i="14"/>
  <c r="AO6" i="15"/>
  <c r="AN79" i="15"/>
  <c r="AG32" i="15"/>
  <c r="AG30" i="15"/>
  <c r="AI123" i="15"/>
  <c r="AG34" i="15"/>
  <c r="AI92" i="15"/>
  <c r="AG35" i="15"/>
  <c r="AI109" i="15"/>
  <c r="AI89" i="15"/>
  <c r="AI114" i="15"/>
  <c r="AI78" i="15"/>
  <c r="AI96" i="15"/>
  <c r="AN79" i="13"/>
  <c r="AI96" i="13"/>
  <c r="T127" i="13"/>
  <c r="H45" i="14"/>
  <c r="I83" i="14"/>
  <c r="AJ83" i="14"/>
  <c r="Q92" i="14"/>
  <c r="H147" i="14"/>
  <c r="P61" i="15"/>
  <c r="AS114" i="15"/>
  <c r="F77" i="16"/>
  <c r="F80" i="16"/>
  <c r="F87" i="16"/>
  <c r="F129" i="16"/>
  <c r="F134" i="16"/>
  <c r="AM134" i="16" s="1"/>
  <c r="AF89" i="11"/>
  <c r="N57" i="12"/>
  <c r="AC57" i="12"/>
  <c r="AB57" i="12"/>
  <c r="Q60" i="12"/>
  <c r="AM123" i="12"/>
  <c r="C13" i="13"/>
  <c r="U42" i="13"/>
  <c r="N78" i="13"/>
  <c r="N109" i="13"/>
  <c r="AJ155" i="16"/>
  <c r="AJ153" i="13"/>
  <c r="AJ157" i="16"/>
  <c r="H29" i="14"/>
  <c r="I47" i="16"/>
  <c r="I46" i="16" s="1"/>
  <c r="I46" i="14"/>
  <c r="AM47" i="14"/>
  <c r="AO62" i="14"/>
  <c r="D72" i="14"/>
  <c r="E72" i="14"/>
  <c r="N84" i="14"/>
  <c r="AM120" i="14"/>
  <c r="N147" i="14"/>
  <c r="AJ158" i="14"/>
  <c r="AJ158" i="16" s="1"/>
  <c r="O13" i="15"/>
  <c r="AG33" i="15"/>
  <c r="O45" i="16"/>
  <c r="Y78" i="16"/>
  <c r="K57" i="13"/>
  <c r="J57" i="13"/>
  <c r="C153" i="16"/>
  <c r="AM155" i="13"/>
  <c r="O13" i="14"/>
  <c r="Q127" i="14" s="1"/>
  <c r="AA42" i="14"/>
  <c r="AA13" i="14"/>
  <c r="AN65" i="14"/>
  <c r="G72" i="14"/>
  <c r="F60" i="14"/>
  <c r="F44" i="14" s="1"/>
  <c r="N78" i="14"/>
  <c r="AS84" i="14"/>
  <c r="AR84" i="14"/>
  <c r="C83" i="15"/>
  <c r="AM127" i="15"/>
  <c r="X15" i="16"/>
  <c r="X14" i="16" s="1"/>
  <c r="C64" i="16"/>
  <c r="AM64" i="16" s="1"/>
  <c r="F74" i="16"/>
  <c r="C110" i="16"/>
  <c r="C130" i="16"/>
  <c r="AM130" i="16" s="1"/>
  <c r="AM81" i="16"/>
  <c r="AM14" i="11"/>
  <c r="AM75" i="16"/>
  <c r="W120" i="11"/>
  <c r="AM123" i="11"/>
  <c r="Q84" i="12"/>
  <c r="AC114" i="12"/>
  <c r="AN156" i="12"/>
  <c r="C46" i="13"/>
  <c r="T92" i="13"/>
  <c r="AM156" i="13"/>
  <c r="X13" i="14"/>
  <c r="Z29" i="14" s="1"/>
  <c r="AI15" i="14"/>
  <c r="AG14" i="14"/>
  <c r="L28" i="14"/>
  <c r="N29" i="14"/>
  <c r="AM29" i="14"/>
  <c r="L42" i="14"/>
  <c r="K47" i="14"/>
  <c r="AO66" i="14"/>
  <c r="H72" i="14"/>
  <c r="AS78" i="14"/>
  <c r="AR78" i="14"/>
  <c r="Z92" i="14"/>
  <c r="K127" i="14"/>
  <c r="AS153" i="14"/>
  <c r="AM47" i="13"/>
  <c r="AM61" i="13"/>
  <c r="AJ153" i="14"/>
  <c r="O28" i="14"/>
  <c r="O42" i="14" s="1"/>
  <c r="AN79" i="14"/>
  <c r="Q120" i="14"/>
  <c r="AG154" i="16"/>
  <c r="AM154" i="14"/>
  <c r="O159" i="16"/>
  <c r="AM159" i="14"/>
  <c r="I13" i="15"/>
  <c r="K123" i="15" s="1"/>
  <c r="AM45" i="15"/>
  <c r="H60" i="15"/>
  <c r="X83" i="15"/>
  <c r="AM84" i="15"/>
  <c r="AN16" i="17"/>
  <c r="AN47" i="17"/>
  <c r="AG13" i="17"/>
  <c r="AI29" i="17" s="1"/>
  <c r="AG42" i="17"/>
  <c r="AG60" i="15"/>
  <c r="Q83" i="15"/>
  <c r="AI120" i="15"/>
  <c r="AA12" i="16"/>
  <c r="C14" i="15"/>
  <c r="AM15" i="15"/>
  <c r="AO15" i="15" s="1"/>
  <c r="X45" i="15"/>
  <c r="AJ60" i="15"/>
  <c r="AJ44" i="15" s="1"/>
  <c r="AO71" i="15"/>
  <c r="U83" i="15"/>
  <c r="AR84" i="15"/>
  <c r="AS84" i="15"/>
  <c r="AQ83" i="15"/>
  <c r="AQ144" i="15" s="1"/>
  <c r="AD12" i="16"/>
  <c r="K96" i="15"/>
  <c r="AM120" i="15"/>
  <c r="AM147" i="15"/>
  <c r="H147" i="15"/>
  <c r="G72" i="15"/>
  <c r="K147" i="15"/>
  <c r="AM17" i="16"/>
  <c r="AM18" i="16"/>
  <c r="AM21" i="16"/>
  <c r="AM54" i="16"/>
  <c r="AG44" i="15"/>
  <c r="AM57" i="15"/>
  <c r="AA45" i="16"/>
  <c r="F12" i="16"/>
  <c r="G57" i="16" s="1"/>
  <c r="AM7" i="16"/>
  <c r="AM8" i="16"/>
  <c r="AM9" i="16"/>
  <c r="K92" i="11"/>
  <c r="AF114" i="11"/>
  <c r="J47" i="12"/>
  <c r="C58" i="16"/>
  <c r="AM58" i="12"/>
  <c r="K114" i="12"/>
  <c r="W92" i="13"/>
  <c r="AM99" i="13"/>
  <c r="W147" i="13"/>
  <c r="AD153" i="13"/>
  <c r="AO6" i="14"/>
  <c r="AD42" i="14"/>
  <c r="P61" i="14"/>
  <c r="H89" i="14"/>
  <c r="AG83" i="14"/>
  <c r="AS147" i="14"/>
  <c r="Z15" i="15"/>
  <c r="X14" i="15"/>
  <c r="K45" i="15"/>
  <c r="I44" i="15"/>
  <c r="AN47" i="15"/>
  <c r="AO63" i="15"/>
  <c r="AM99" i="15"/>
  <c r="AM25" i="16"/>
  <c r="C23" i="16"/>
  <c r="AM26" i="16"/>
  <c r="I127" i="16"/>
  <c r="K127" i="16" s="1"/>
  <c r="AI114" i="11"/>
  <c r="N114" i="12"/>
  <c r="Z92" i="13"/>
  <c r="N127" i="13"/>
  <c r="AD157" i="16"/>
  <c r="AD153" i="16" s="1"/>
  <c r="AF29" i="14"/>
  <c r="L83" i="14"/>
  <c r="N83" i="14" s="1"/>
  <c r="K89" i="14"/>
  <c r="H109" i="14"/>
  <c r="AF109" i="14"/>
  <c r="H114" i="14"/>
  <c r="AM114" i="14"/>
  <c r="AR127" i="15"/>
  <c r="AR120" i="15"/>
  <c r="AR92" i="15"/>
  <c r="AN48" i="15"/>
  <c r="AM24" i="15"/>
  <c r="F83" i="15"/>
  <c r="H83" i="15" s="1"/>
  <c r="AM89" i="15"/>
  <c r="AS99" i="15"/>
  <c r="AR99" i="15"/>
  <c r="AS123" i="15"/>
  <c r="AS127" i="15"/>
  <c r="U46" i="16"/>
  <c r="K120" i="16"/>
  <c r="T45" i="15"/>
  <c r="L45" i="15"/>
  <c r="AS45" i="15"/>
  <c r="AC92" i="15"/>
  <c r="AR109" i="15"/>
  <c r="AR123" i="15"/>
  <c r="AM153" i="15"/>
  <c r="X46" i="16"/>
  <c r="K61" i="16"/>
  <c r="AM65" i="16"/>
  <c r="AM67" i="16"/>
  <c r="K78" i="16"/>
  <c r="F83" i="14"/>
  <c r="H83" i="14" s="1"/>
  <c r="N99" i="14"/>
  <c r="AO5" i="15"/>
  <c r="L13" i="15"/>
  <c r="AS43" i="15"/>
  <c r="G57" i="15"/>
  <c r="AO62" i="15"/>
  <c r="I83" i="15"/>
  <c r="AC89" i="15"/>
  <c r="AS109" i="15"/>
  <c r="AR114" i="15"/>
  <c r="AI147" i="15"/>
  <c r="K79" i="16"/>
  <c r="U13" i="15"/>
  <c r="W147" i="15" s="1"/>
  <c r="U36" i="15"/>
  <c r="R13" i="15"/>
  <c r="T109" i="15" s="1"/>
  <c r="AM78" i="15"/>
  <c r="AI84" i="15"/>
  <c r="AM16" i="16"/>
  <c r="K92" i="16"/>
  <c r="AD99" i="16"/>
  <c r="AG12" i="16"/>
  <c r="AG46" i="16"/>
  <c r="T147" i="13"/>
  <c r="R13" i="14"/>
  <c r="C83" i="14"/>
  <c r="T123" i="14"/>
  <c r="AF114" i="15"/>
  <c r="AD32" i="15"/>
  <c r="AD30" i="15"/>
  <c r="AD29" i="15" s="1"/>
  <c r="AJ83" i="15"/>
  <c r="AL83" i="15" s="1"/>
  <c r="L83" i="15"/>
  <c r="AI99" i="15"/>
  <c r="AF127" i="15"/>
  <c r="AJ24" i="16"/>
  <c r="AJ23" i="16" s="1"/>
  <c r="AM53" i="16"/>
  <c r="AM55" i="16"/>
  <c r="AM56" i="16"/>
  <c r="W96" i="13"/>
  <c r="O155" i="16"/>
  <c r="AM155" i="16" s="1"/>
  <c r="O168" i="13"/>
  <c r="O169" i="13" s="1"/>
  <c r="AF89" i="14"/>
  <c r="AM96" i="14"/>
  <c r="W147" i="14"/>
  <c r="AA60" i="15"/>
  <c r="AA44" i="15" s="1"/>
  <c r="AM109" i="15"/>
  <c r="AF109" i="15"/>
  <c r="I12" i="16"/>
  <c r="J57" i="16" s="1"/>
  <c r="F24" i="16"/>
  <c r="F23" i="16" s="1"/>
  <c r="AM27" i="16"/>
  <c r="K57" i="16"/>
  <c r="AA57" i="16"/>
  <c r="H109" i="15"/>
  <c r="L12" i="16"/>
  <c r="L46" i="16"/>
  <c r="U109" i="16"/>
  <c r="L57" i="16"/>
  <c r="L61" i="16"/>
  <c r="AA99" i="16"/>
  <c r="R46" i="16"/>
  <c r="AM66" i="16"/>
  <c r="K96" i="16"/>
  <c r="X99" i="16"/>
  <c r="AM159" i="16"/>
  <c r="AM84" i="14"/>
  <c r="H89" i="15"/>
  <c r="AM114" i="15"/>
  <c r="AG24" i="16"/>
  <c r="AG23" i="16" s="1"/>
  <c r="K89" i="16"/>
  <c r="K29" i="14"/>
  <c r="AJ46" i="16"/>
  <c r="AS120" i="14"/>
  <c r="AL84" i="15"/>
  <c r="H92" i="15"/>
  <c r="AM96" i="15"/>
  <c r="AG61" i="16"/>
  <c r="AD61" i="16"/>
  <c r="AM154" i="16"/>
  <c r="AM49" i="16"/>
  <c r="AJ61" i="16"/>
  <c r="AG99" i="16"/>
  <c r="AG114" i="16"/>
  <c r="L127" i="16"/>
  <c r="AM118" i="16"/>
  <c r="AM119" i="16"/>
  <c r="R78" i="16"/>
  <c r="C99" i="16"/>
  <c r="C114" i="16"/>
  <c r="AM115" i="16"/>
  <c r="AM116" i="16"/>
  <c r="U127" i="16"/>
  <c r="AM23" i="17"/>
  <c r="O12" i="16"/>
  <c r="AM38" i="16"/>
  <c r="AM39" i="16"/>
  <c r="AM52" i="16"/>
  <c r="AM111" i="16"/>
  <c r="AM126" i="16"/>
  <c r="AA127" i="16"/>
  <c r="AD127" i="16"/>
  <c r="AL44" i="17"/>
  <c r="AM123" i="15"/>
  <c r="Q147" i="15"/>
  <c r="AD24" i="16"/>
  <c r="AD23" i="16" s="1"/>
  <c r="AM59" i="16"/>
  <c r="AM68" i="16"/>
  <c r="AM121" i="16"/>
  <c r="AM122" i="16"/>
  <c r="K123" i="16"/>
  <c r="AJ127" i="16"/>
  <c r="AJ78" i="16"/>
  <c r="AM94" i="16"/>
  <c r="U99" i="16"/>
  <c r="R96" i="16"/>
  <c r="U96" i="16"/>
  <c r="AM100" i="16"/>
  <c r="AM102" i="16"/>
  <c r="AM103" i="16"/>
  <c r="U141" i="17"/>
  <c r="AM95" i="16"/>
  <c r="L114" i="16"/>
  <c r="K114" i="16"/>
  <c r="C120" i="16"/>
  <c r="C123" i="16"/>
  <c r="AM124" i="16"/>
  <c r="AM136" i="16"/>
  <c r="AM160" i="16"/>
  <c r="X141" i="17"/>
  <c r="AM108" i="17"/>
  <c r="AM69" i="16"/>
  <c r="AM70" i="16"/>
  <c r="AM71" i="16"/>
  <c r="AM125" i="16"/>
  <c r="X127" i="16"/>
  <c r="AM86" i="16"/>
  <c r="O99" i="16"/>
  <c r="L123" i="16"/>
  <c r="R92" i="16"/>
  <c r="AJ83" i="17"/>
  <c r="AJ141" i="17" s="1"/>
  <c r="AM129" i="16"/>
  <c r="AG127" i="16"/>
  <c r="AJ153" i="16"/>
  <c r="F83" i="17"/>
  <c r="AC119" i="17"/>
  <c r="AJ13" i="17"/>
  <c r="U42" i="17"/>
  <c r="U13" i="17"/>
  <c r="W29" i="17" s="1"/>
  <c r="AM29" i="17"/>
  <c r="C28" i="17"/>
  <c r="AM60" i="17"/>
  <c r="L83" i="17"/>
  <c r="AM88" i="17"/>
  <c r="L42" i="17"/>
  <c r="F44" i="17"/>
  <c r="F141" i="17" s="1"/>
  <c r="O83" i="17"/>
  <c r="O141" i="17" s="1"/>
  <c r="O42" i="17"/>
  <c r="O13" i="17"/>
  <c r="Q29" i="17" s="1"/>
  <c r="AA13" i="17"/>
  <c r="AN18" i="17"/>
  <c r="K29" i="17"/>
  <c r="R42" i="17"/>
  <c r="L44" i="17"/>
  <c r="F99" i="16"/>
  <c r="AM142" i="16"/>
  <c r="AM150" i="16"/>
  <c r="AA83" i="17"/>
  <c r="L78" i="16"/>
  <c r="AA109" i="16"/>
  <c r="AM15" i="17"/>
  <c r="AO15" i="17" s="1"/>
  <c r="T29" i="17"/>
  <c r="AM45" i="17"/>
  <c r="AM12" i="17"/>
  <c r="AO7" i="17" s="1"/>
  <c r="F42" i="17"/>
  <c r="I44" i="17"/>
  <c r="I141" i="17" s="1"/>
  <c r="AG83" i="17"/>
  <c r="AG141" i="17" s="1"/>
  <c r="AM98" i="17"/>
  <c r="F13" i="17"/>
  <c r="H29" i="17" s="1"/>
  <c r="AA141" i="17"/>
  <c r="AM61" i="17"/>
  <c r="AM126" i="17"/>
  <c r="AM119" i="17"/>
  <c r="AD83" i="17"/>
  <c r="AD141" i="17" s="1"/>
  <c r="AM24" i="17"/>
  <c r="C14" i="17"/>
  <c r="AC29" i="17"/>
  <c r="I28" i="17"/>
  <c r="I42" i="17" s="1"/>
  <c r="AF29" i="17"/>
  <c r="AM46" i="17"/>
  <c r="X83" i="17"/>
  <c r="C44" i="17"/>
  <c r="X14" i="17"/>
  <c r="C91" i="17"/>
  <c r="D89" i="2" l="1"/>
  <c r="F156" i="5"/>
  <c r="R144" i="13"/>
  <c r="L59" i="1"/>
  <c r="J57" i="1"/>
  <c r="AC44" i="8"/>
  <c r="U28" i="9"/>
  <c r="U42" i="9" s="1"/>
  <c r="W29" i="9"/>
  <c r="K14" i="1"/>
  <c r="O85" i="7"/>
  <c r="AN99" i="8"/>
  <c r="I161" i="12"/>
  <c r="I162" i="12" s="1"/>
  <c r="I145" i="12"/>
  <c r="AD142" i="17"/>
  <c r="AD145" i="17"/>
  <c r="AD147" i="17" s="1"/>
  <c r="L57" i="1"/>
  <c r="M2" i="1"/>
  <c r="R85" i="8"/>
  <c r="R84" i="8" s="1"/>
  <c r="N56" i="1"/>
  <c r="AQ161" i="15"/>
  <c r="AQ162" i="15" s="1"/>
  <c r="AQ145" i="15"/>
  <c r="AA164" i="15"/>
  <c r="AA166" i="15" s="1"/>
  <c r="AC44" i="15"/>
  <c r="AL44" i="15"/>
  <c r="AJ164" i="15"/>
  <c r="AJ166" i="15" s="1"/>
  <c r="L161" i="13"/>
  <c r="L162" i="13" s="1"/>
  <c r="L145" i="13"/>
  <c r="AA144" i="10"/>
  <c r="R61" i="1"/>
  <c r="AJ145" i="17"/>
  <c r="AJ147" i="17" s="1"/>
  <c r="AJ142" i="17"/>
  <c r="AG145" i="17"/>
  <c r="AG147" i="17" s="1"/>
  <c r="AG142" i="17"/>
  <c r="F164" i="14"/>
  <c r="F166" i="14" s="1"/>
  <c r="H44" i="14"/>
  <c r="AM99" i="16"/>
  <c r="L35" i="15"/>
  <c r="L32" i="15"/>
  <c r="N147" i="15"/>
  <c r="L33" i="15"/>
  <c r="L34" i="15"/>
  <c r="L30" i="15"/>
  <c r="AJ161" i="14"/>
  <c r="AJ162" i="14" s="1"/>
  <c r="AJ145" i="14"/>
  <c r="H83" i="12"/>
  <c r="H43" i="7"/>
  <c r="F45" i="7"/>
  <c r="P57" i="1"/>
  <c r="U29" i="7"/>
  <c r="AA13" i="7"/>
  <c r="F73" i="13"/>
  <c r="F72" i="13" s="1"/>
  <c r="F73" i="11"/>
  <c r="F72" i="11" s="1"/>
  <c r="F73" i="7"/>
  <c r="F73" i="9"/>
  <c r="F72" i="9" s="1"/>
  <c r="F73" i="8"/>
  <c r="AM76" i="16"/>
  <c r="L32" i="7"/>
  <c r="L34" i="7"/>
  <c r="N114" i="7"/>
  <c r="N109" i="7"/>
  <c r="N120" i="7"/>
  <c r="L31" i="7"/>
  <c r="L35" i="7"/>
  <c r="L30" i="7"/>
  <c r="N123" i="7"/>
  <c r="N99" i="7"/>
  <c r="L33" i="7"/>
  <c r="C149" i="16"/>
  <c r="AI72" i="11"/>
  <c r="AH72" i="11"/>
  <c r="AA73" i="16"/>
  <c r="AA72" i="7"/>
  <c r="H96" i="7"/>
  <c r="D96" i="2"/>
  <c r="J72" i="11"/>
  <c r="I60" i="11"/>
  <c r="I44" i="11" s="1"/>
  <c r="K72" i="11"/>
  <c r="G12" i="1"/>
  <c r="G10" i="1"/>
  <c r="G7" i="1"/>
  <c r="G6" i="1"/>
  <c r="M11" i="1"/>
  <c r="G9" i="1"/>
  <c r="AI44" i="15"/>
  <c r="AG164" i="15"/>
  <c r="AG166" i="15" s="1"/>
  <c r="E83" i="14"/>
  <c r="AM83" i="14"/>
  <c r="X36" i="15"/>
  <c r="AM36" i="15" s="1"/>
  <c r="X13" i="15"/>
  <c r="W83" i="15"/>
  <c r="AN72" i="12"/>
  <c r="O164" i="13"/>
  <c r="O166" i="13" s="1"/>
  <c r="AM127" i="9"/>
  <c r="E127" i="9"/>
  <c r="N120" i="11"/>
  <c r="N84" i="11"/>
  <c r="N99" i="11"/>
  <c r="N96" i="11"/>
  <c r="AJ144" i="12"/>
  <c r="AM109" i="9"/>
  <c r="E109" i="9"/>
  <c r="AL83" i="13"/>
  <c r="AM60" i="12"/>
  <c r="N109" i="11"/>
  <c r="E78" i="7"/>
  <c r="AM78" i="7"/>
  <c r="F127" i="16"/>
  <c r="F45" i="16"/>
  <c r="Z78" i="11"/>
  <c r="Z109" i="11"/>
  <c r="Z29" i="11"/>
  <c r="Z99" i="11"/>
  <c r="E127" i="7"/>
  <c r="AM127" i="7"/>
  <c r="H44" i="10"/>
  <c r="AA13" i="16"/>
  <c r="AN72" i="6"/>
  <c r="X73" i="15"/>
  <c r="X72" i="15" s="1"/>
  <c r="X73" i="14"/>
  <c r="X72" i="14" s="1"/>
  <c r="X73" i="11"/>
  <c r="X72" i="11" s="1"/>
  <c r="X73" i="13"/>
  <c r="X72" i="13" s="1"/>
  <c r="X73" i="7"/>
  <c r="X73" i="9"/>
  <c r="X72" i="9" s="1"/>
  <c r="X73" i="8"/>
  <c r="X72" i="8" s="1"/>
  <c r="X145" i="6"/>
  <c r="X161" i="6"/>
  <c r="X162" i="6" s="1"/>
  <c r="AO64" i="8"/>
  <c r="AN64" i="8"/>
  <c r="AG29" i="7"/>
  <c r="AN96" i="8"/>
  <c r="L44" i="9"/>
  <c r="N60" i="9"/>
  <c r="L85" i="7"/>
  <c r="S5" i="1"/>
  <c r="R14" i="1"/>
  <c r="AB72" i="9"/>
  <c r="AC72" i="9"/>
  <c r="E99" i="8"/>
  <c r="R29" i="8"/>
  <c r="U10" i="1"/>
  <c r="U7" i="1"/>
  <c r="U6" i="1"/>
  <c r="U13" i="1"/>
  <c r="U9" i="1"/>
  <c r="U8" i="1"/>
  <c r="X33" i="8"/>
  <c r="X32" i="8"/>
  <c r="X31" i="8"/>
  <c r="X30" i="8"/>
  <c r="Z61" i="8"/>
  <c r="Z59" i="8"/>
  <c r="X35" i="8"/>
  <c r="X36" i="8"/>
  <c r="X34" i="8"/>
  <c r="Z47" i="8"/>
  <c r="Z58" i="8"/>
  <c r="X37" i="8"/>
  <c r="AG29" i="8"/>
  <c r="L85" i="8"/>
  <c r="L84" i="8" s="1"/>
  <c r="AO57" i="11"/>
  <c r="AN57" i="11"/>
  <c r="C127" i="16"/>
  <c r="U157" i="14"/>
  <c r="W99" i="14"/>
  <c r="W92" i="14"/>
  <c r="W45" i="14"/>
  <c r="W96" i="14"/>
  <c r="U158" i="14"/>
  <c r="U158" i="16" s="1"/>
  <c r="N58" i="1"/>
  <c r="AF83" i="13"/>
  <c r="H96" i="13"/>
  <c r="R44" i="12"/>
  <c r="AM128" i="16"/>
  <c r="E43" i="7"/>
  <c r="AM61" i="7"/>
  <c r="AN155" i="14"/>
  <c r="H114" i="11"/>
  <c r="H109" i="11"/>
  <c r="H57" i="11"/>
  <c r="H29" i="11"/>
  <c r="H127" i="11"/>
  <c r="H89" i="11"/>
  <c r="H92" i="11"/>
  <c r="W96" i="11"/>
  <c r="O13" i="13"/>
  <c r="O42" i="13"/>
  <c r="H120" i="10"/>
  <c r="AG60" i="11"/>
  <c r="AG44" i="11" s="1"/>
  <c r="C78" i="16"/>
  <c r="AM79" i="16"/>
  <c r="AA32" i="9"/>
  <c r="AA30" i="9"/>
  <c r="AA31" i="9"/>
  <c r="AC109" i="9"/>
  <c r="AA37" i="9"/>
  <c r="AA35" i="9"/>
  <c r="AA36" i="9"/>
  <c r="AA36" i="16" s="1"/>
  <c r="AC43" i="9"/>
  <c r="AC96" i="9"/>
  <c r="AC84" i="9"/>
  <c r="AC59" i="9"/>
  <c r="AC46" i="9"/>
  <c r="AA34" i="9"/>
  <c r="AA33" i="9"/>
  <c r="T123" i="11"/>
  <c r="T120" i="11"/>
  <c r="T89" i="11"/>
  <c r="T92" i="11"/>
  <c r="T147" i="11"/>
  <c r="T99" i="11"/>
  <c r="U30" i="10"/>
  <c r="U29" i="10" s="1"/>
  <c r="W99" i="10"/>
  <c r="W114" i="10"/>
  <c r="W147" i="10"/>
  <c r="W84" i="10"/>
  <c r="W89" i="10"/>
  <c r="W78" i="10"/>
  <c r="W109" i="10"/>
  <c r="AN63" i="7"/>
  <c r="AO63" i="7"/>
  <c r="AJ73" i="11"/>
  <c r="AJ72" i="11" s="1"/>
  <c r="AJ73" i="13"/>
  <c r="AJ72" i="13" s="1"/>
  <c r="AJ73" i="7"/>
  <c r="AJ73" i="9"/>
  <c r="AJ72" i="9" s="1"/>
  <c r="AJ60" i="9" s="1"/>
  <c r="AJ44" i="9" s="1"/>
  <c r="AJ164" i="9" s="1"/>
  <c r="AJ166" i="9" s="1"/>
  <c r="AJ73" i="8"/>
  <c r="AJ72" i="8" s="1"/>
  <c r="AJ60" i="8" s="1"/>
  <c r="AM45" i="7"/>
  <c r="E45" i="7"/>
  <c r="AM61" i="8"/>
  <c r="C60" i="8"/>
  <c r="E61" i="8"/>
  <c r="O73" i="15"/>
  <c r="O72" i="15" s="1"/>
  <c r="O73" i="14"/>
  <c r="O73" i="7"/>
  <c r="O73" i="9"/>
  <c r="O72" i="9" s="1"/>
  <c r="O73" i="11"/>
  <c r="O72" i="11" s="1"/>
  <c r="O73" i="8"/>
  <c r="O72" i="8" s="1"/>
  <c r="AD35" i="7"/>
  <c r="AD34" i="7"/>
  <c r="AD33" i="7"/>
  <c r="AD32" i="7"/>
  <c r="AD31" i="7"/>
  <c r="AD30" i="7"/>
  <c r="AF46" i="7"/>
  <c r="AF78" i="7"/>
  <c r="W108" i="5"/>
  <c r="K86" i="16"/>
  <c r="K81" i="16"/>
  <c r="K80" i="16"/>
  <c r="K87" i="16"/>
  <c r="K99" i="16"/>
  <c r="W45" i="9"/>
  <c r="AB72" i="11"/>
  <c r="AA60" i="11"/>
  <c r="AA44" i="11" s="1"/>
  <c r="AC72" i="11"/>
  <c r="K9" i="1"/>
  <c r="O29" i="8"/>
  <c r="AM91" i="17"/>
  <c r="C83" i="17"/>
  <c r="AM83" i="17" s="1"/>
  <c r="AO6" i="17"/>
  <c r="T96" i="16"/>
  <c r="AN61" i="15"/>
  <c r="AO61" i="15"/>
  <c r="AM120" i="16"/>
  <c r="Q61" i="14"/>
  <c r="L144" i="14"/>
  <c r="AM46" i="13"/>
  <c r="C45" i="13"/>
  <c r="C109" i="16"/>
  <c r="AM110" i="16"/>
  <c r="K84" i="14"/>
  <c r="AM44" i="17"/>
  <c r="AN29" i="14"/>
  <c r="C44" i="14"/>
  <c r="Q29" i="12"/>
  <c r="Q96" i="12"/>
  <c r="Q61" i="12"/>
  <c r="Q127" i="12"/>
  <c r="Q99" i="12"/>
  <c r="Q78" i="12"/>
  <c r="Q47" i="12"/>
  <c r="Q114" i="12"/>
  <c r="W61" i="12"/>
  <c r="T61" i="12"/>
  <c r="Q57" i="12"/>
  <c r="N29" i="11"/>
  <c r="T83" i="11"/>
  <c r="L144" i="10"/>
  <c r="H61" i="1"/>
  <c r="L30" i="6"/>
  <c r="L29" i="6" s="1"/>
  <c r="N120" i="6"/>
  <c r="N92" i="6"/>
  <c r="N114" i="6"/>
  <c r="N96" i="6"/>
  <c r="N44" i="6"/>
  <c r="N99" i="6"/>
  <c r="N127" i="6"/>
  <c r="N109" i="6"/>
  <c r="N89" i="6"/>
  <c r="AM133" i="16"/>
  <c r="Q83" i="9"/>
  <c r="I85" i="7"/>
  <c r="I85" i="8"/>
  <c r="I84" i="8" s="1"/>
  <c r="F36" i="9"/>
  <c r="F34" i="9"/>
  <c r="H59" i="9"/>
  <c r="H89" i="9"/>
  <c r="F31" i="9"/>
  <c r="H120" i="9"/>
  <c r="F37" i="9"/>
  <c r="F35" i="9"/>
  <c r="F32" i="9"/>
  <c r="F30" i="9"/>
  <c r="F33" i="9"/>
  <c r="AM117" i="16"/>
  <c r="N127" i="7"/>
  <c r="W72" i="6"/>
  <c r="I13" i="7"/>
  <c r="F85" i="13"/>
  <c r="F84" i="13" s="1"/>
  <c r="F85" i="11"/>
  <c r="F84" i="11" s="1"/>
  <c r="F85" i="8"/>
  <c r="F84" i="8" s="1"/>
  <c r="F85" i="7"/>
  <c r="L13" i="16"/>
  <c r="C17" i="3"/>
  <c r="AM149" i="11"/>
  <c r="AG44" i="8"/>
  <c r="Y12" i="1"/>
  <c r="AN57" i="9"/>
  <c r="L140" i="5"/>
  <c r="L144" i="5" s="1"/>
  <c r="N83" i="5"/>
  <c r="AB72" i="13"/>
  <c r="AC72" i="13"/>
  <c r="W47" i="8"/>
  <c r="U33" i="8"/>
  <c r="U34" i="8"/>
  <c r="U30" i="8"/>
  <c r="U29" i="8" s="1"/>
  <c r="W59" i="8"/>
  <c r="U36" i="8"/>
  <c r="U36" i="16" s="1"/>
  <c r="U31" i="8"/>
  <c r="U35" i="8"/>
  <c r="U32" i="8"/>
  <c r="U37" i="8"/>
  <c r="U37" i="16" s="1"/>
  <c r="W58" i="8"/>
  <c r="T127" i="6"/>
  <c r="T99" i="6"/>
  <c r="T109" i="6"/>
  <c r="T84" i="6"/>
  <c r="R30" i="6"/>
  <c r="R29" i="6" s="1"/>
  <c r="R28" i="6" s="1"/>
  <c r="R42" i="6" s="1"/>
  <c r="Q92" i="6"/>
  <c r="O11" i="1"/>
  <c r="O6" i="1"/>
  <c r="O12" i="1"/>
  <c r="O13" i="1"/>
  <c r="O10" i="1"/>
  <c r="O9" i="1"/>
  <c r="O7" i="1"/>
  <c r="O4" i="1"/>
  <c r="AG140" i="5"/>
  <c r="AG144" i="5" s="1"/>
  <c r="AM15" i="5"/>
  <c r="C14" i="5"/>
  <c r="M8" i="1"/>
  <c r="O5" i="1"/>
  <c r="W127" i="15"/>
  <c r="U33" i="15"/>
  <c r="U34" i="15"/>
  <c r="U30" i="15"/>
  <c r="W114" i="15"/>
  <c r="W84" i="15"/>
  <c r="U32" i="15"/>
  <c r="W96" i="15"/>
  <c r="U35" i="15"/>
  <c r="I31" i="15"/>
  <c r="K84" i="15"/>
  <c r="K89" i="15"/>
  <c r="K114" i="15"/>
  <c r="K78" i="15"/>
  <c r="I30" i="15"/>
  <c r="I34" i="15"/>
  <c r="K92" i="15"/>
  <c r="K72" i="15"/>
  <c r="K109" i="15"/>
  <c r="K43" i="16"/>
  <c r="K46" i="16"/>
  <c r="I45" i="16"/>
  <c r="H120" i="13"/>
  <c r="H29" i="13"/>
  <c r="H109" i="13"/>
  <c r="H99" i="13"/>
  <c r="H45" i="13"/>
  <c r="H78" i="13"/>
  <c r="AN48" i="10"/>
  <c r="AO6" i="10"/>
  <c r="AO5" i="10"/>
  <c r="AM123" i="16"/>
  <c r="K96" i="14"/>
  <c r="K92" i="14"/>
  <c r="K99" i="14"/>
  <c r="K57" i="14"/>
  <c r="K109" i="14"/>
  <c r="K72" i="14"/>
  <c r="K114" i="14"/>
  <c r="F78" i="16"/>
  <c r="X13" i="17"/>
  <c r="X42" i="17"/>
  <c r="Z99" i="16"/>
  <c r="AO61" i="13"/>
  <c r="AN61" i="13"/>
  <c r="T78" i="15"/>
  <c r="R157" i="14"/>
  <c r="R158" i="14"/>
  <c r="R158" i="16" s="1"/>
  <c r="T147" i="14"/>
  <c r="T109" i="14"/>
  <c r="T89" i="14"/>
  <c r="T84" i="14"/>
  <c r="L58" i="1"/>
  <c r="T45" i="14"/>
  <c r="E47" i="12"/>
  <c r="E57" i="12"/>
  <c r="AO99" i="11"/>
  <c r="C61" i="16"/>
  <c r="AM62" i="16"/>
  <c r="AC122" i="17"/>
  <c r="AC113" i="17"/>
  <c r="AC108" i="17"/>
  <c r="N114" i="16"/>
  <c r="K127" i="15"/>
  <c r="K99" i="15"/>
  <c r="AO7" i="14"/>
  <c r="AM23" i="16"/>
  <c r="W127" i="14"/>
  <c r="H89" i="12"/>
  <c r="T127" i="15"/>
  <c r="K57" i="15"/>
  <c r="Z109" i="14"/>
  <c r="H78" i="12"/>
  <c r="Z127" i="10"/>
  <c r="T83" i="15"/>
  <c r="AA164" i="13"/>
  <c r="AA166" i="13" s="1"/>
  <c r="Z47" i="12"/>
  <c r="Z123" i="12"/>
  <c r="Z120" i="12"/>
  <c r="Z127" i="12"/>
  <c r="Z99" i="12"/>
  <c r="Z147" i="12"/>
  <c r="Z29" i="12"/>
  <c r="Z114" i="12"/>
  <c r="Z57" i="12"/>
  <c r="Z78" i="12"/>
  <c r="AS157" i="14"/>
  <c r="AS99" i="14"/>
  <c r="AS123" i="14"/>
  <c r="AS89" i="14"/>
  <c r="AS72" i="14"/>
  <c r="AS109" i="14"/>
  <c r="AS45" i="14"/>
  <c r="AS114" i="14"/>
  <c r="AS92" i="14"/>
  <c r="Z120" i="14"/>
  <c r="T120" i="14"/>
  <c r="K147" i="14"/>
  <c r="H72" i="12"/>
  <c r="O13" i="16"/>
  <c r="Z92" i="12"/>
  <c r="W127" i="10"/>
  <c r="X57" i="1"/>
  <c r="Z89" i="12"/>
  <c r="H120" i="11"/>
  <c r="E99" i="9"/>
  <c r="AM99" i="9"/>
  <c r="AN61" i="10"/>
  <c r="AO61" i="10"/>
  <c r="Z72" i="10"/>
  <c r="O144" i="12"/>
  <c r="AC127" i="11"/>
  <c r="AC84" i="11"/>
  <c r="AC147" i="11"/>
  <c r="AC123" i="11"/>
  <c r="AC96" i="11"/>
  <c r="AC29" i="11"/>
  <c r="AC78" i="11"/>
  <c r="AC114" i="11"/>
  <c r="AC120" i="11"/>
  <c r="K44" i="10"/>
  <c r="T84" i="11"/>
  <c r="F83" i="9"/>
  <c r="H83" i="9" s="1"/>
  <c r="H84" i="9"/>
  <c r="Q123" i="12"/>
  <c r="Z72" i="12"/>
  <c r="E123" i="11"/>
  <c r="E109" i="11"/>
  <c r="E114" i="11"/>
  <c r="E99" i="11"/>
  <c r="AM13" i="11"/>
  <c r="E92" i="11"/>
  <c r="H114" i="7"/>
  <c r="I144" i="6"/>
  <c r="F56" i="1"/>
  <c r="AM63" i="16"/>
  <c r="R29" i="7"/>
  <c r="C37" i="9"/>
  <c r="C35" i="9"/>
  <c r="C34" i="9"/>
  <c r="C36" i="9"/>
  <c r="C31" i="9"/>
  <c r="E84" i="9"/>
  <c r="C32" i="9"/>
  <c r="C33" i="9"/>
  <c r="E123" i="9"/>
  <c r="AM13" i="9"/>
  <c r="AO123" i="9" s="1"/>
  <c r="C30" i="9"/>
  <c r="N147" i="6"/>
  <c r="K33" i="3"/>
  <c r="K35" i="3" s="1"/>
  <c r="O5" i="3"/>
  <c r="O17" i="3" s="1"/>
  <c r="T45" i="9"/>
  <c r="AD148" i="5"/>
  <c r="AD149" i="5" s="1"/>
  <c r="C73" i="16"/>
  <c r="C72" i="7"/>
  <c r="Q83" i="6"/>
  <c r="E123" i="8"/>
  <c r="R32" i="9"/>
  <c r="R30" i="9"/>
  <c r="T120" i="9"/>
  <c r="R37" i="9"/>
  <c r="R31" i="9"/>
  <c r="R31" i="16" s="1"/>
  <c r="T123" i="9"/>
  <c r="T96" i="9"/>
  <c r="T127" i="9"/>
  <c r="T114" i="9"/>
  <c r="T109" i="9"/>
  <c r="R34" i="9"/>
  <c r="T59" i="9"/>
  <c r="R35" i="9"/>
  <c r="R36" i="9"/>
  <c r="R33" i="9"/>
  <c r="AB72" i="14"/>
  <c r="AC72" i="14"/>
  <c r="AA60" i="14"/>
  <c r="AA44" i="14" s="1"/>
  <c r="AA164" i="14" s="1"/>
  <c r="AA166" i="14" s="1"/>
  <c r="O31" i="16"/>
  <c r="AG148" i="5"/>
  <c r="AG149" i="5" s="1"/>
  <c r="AO59" i="5"/>
  <c r="AO58" i="5"/>
  <c r="N78" i="7"/>
  <c r="W89" i="15"/>
  <c r="H92" i="13"/>
  <c r="AM87" i="16"/>
  <c r="L144" i="11"/>
  <c r="H57" i="1"/>
  <c r="AN61" i="14"/>
  <c r="AO61" i="14"/>
  <c r="T78" i="16"/>
  <c r="AO5" i="17"/>
  <c r="W120" i="15"/>
  <c r="R13" i="16"/>
  <c r="AF89" i="13"/>
  <c r="AA142" i="17"/>
  <c r="AA145" i="17"/>
  <c r="AA147" i="17" s="1"/>
  <c r="W120" i="14"/>
  <c r="N46" i="16"/>
  <c r="N43" i="16"/>
  <c r="L45" i="16"/>
  <c r="X13" i="16"/>
  <c r="AO65" i="14"/>
  <c r="Q45" i="16"/>
  <c r="T127" i="14"/>
  <c r="F34" i="15"/>
  <c r="H123" i="15"/>
  <c r="H114" i="15"/>
  <c r="F30" i="15"/>
  <c r="H99" i="15"/>
  <c r="H96" i="15"/>
  <c r="H57" i="15"/>
  <c r="H127" i="15"/>
  <c r="H78" i="15"/>
  <c r="F31" i="15"/>
  <c r="AM31" i="15" s="1"/>
  <c r="W120" i="12"/>
  <c r="W47" i="12"/>
  <c r="W84" i="12"/>
  <c r="W78" i="12"/>
  <c r="W114" i="12"/>
  <c r="W57" i="12"/>
  <c r="W123" i="12"/>
  <c r="AJ32" i="15"/>
  <c r="AJ35" i="15"/>
  <c r="AJ30" i="15"/>
  <c r="AJ29" i="15" s="1"/>
  <c r="AJ28" i="15" s="1"/>
  <c r="AJ42" i="15" s="1"/>
  <c r="AJ34" i="15"/>
  <c r="AJ33" i="15"/>
  <c r="AQ161" i="14"/>
  <c r="AQ162" i="14" s="1"/>
  <c r="AQ145" i="14"/>
  <c r="Q89" i="14"/>
  <c r="AO153" i="11"/>
  <c r="H78" i="9"/>
  <c r="G78" i="9"/>
  <c r="U44" i="12"/>
  <c r="W45" i="12"/>
  <c r="I144" i="11"/>
  <c r="F57" i="1"/>
  <c r="AN29" i="12"/>
  <c r="W89" i="12"/>
  <c r="AG164" i="12"/>
  <c r="AG166" i="12" s="1"/>
  <c r="Z120" i="11"/>
  <c r="Z84" i="11"/>
  <c r="AA144" i="11"/>
  <c r="R57" i="1"/>
  <c r="W29" i="12"/>
  <c r="Z83" i="10"/>
  <c r="I35" i="9"/>
  <c r="I33" i="9"/>
  <c r="I30" i="9"/>
  <c r="I37" i="9"/>
  <c r="I31" i="9"/>
  <c r="I34" i="9"/>
  <c r="K57" i="9"/>
  <c r="K59" i="9"/>
  <c r="I32" i="9"/>
  <c r="K109" i="9"/>
  <c r="I36" i="9"/>
  <c r="AM42" i="11"/>
  <c r="K84" i="9"/>
  <c r="Q59" i="9"/>
  <c r="O33" i="9"/>
  <c r="O31" i="9"/>
  <c r="O36" i="9"/>
  <c r="O36" i="16" s="1"/>
  <c r="Q120" i="9"/>
  <c r="Q123" i="9"/>
  <c r="Q96" i="9"/>
  <c r="Q92" i="9"/>
  <c r="Q57" i="9"/>
  <c r="Q109" i="9"/>
  <c r="Q84" i="9"/>
  <c r="O34" i="9"/>
  <c r="Q78" i="9"/>
  <c r="O37" i="9"/>
  <c r="O32" i="9"/>
  <c r="O30" i="9"/>
  <c r="O29" i="9" s="1"/>
  <c r="O28" i="9" s="1"/>
  <c r="O42" i="9" s="1"/>
  <c r="O35" i="9"/>
  <c r="Q78" i="6"/>
  <c r="Q96" i="6"/>
  <c r="O30" i="6"/>
  <c r="O29" i="6" s="1"/>
  <c r="O28" i="6" s="1"/>
  <c r="O42" i="6" s="1"/>
  <c r="Q127" i="6"/>
  <c r="AJ44" i="8"/>
  <c r="E99" i="7"/>
  <c r="AM99" i="7"/>
  <c r="G8" i="1"/>
  <c r="G14" i="1" s="1"/>
  <c r="C22" i="3"/>
  <c r="O21" i="3"/>
  <c r="O22" i="3" s="1"/>
  <c r="C72" i="9"/>
  <c r="Q84" i="6"/>
  <c r="AC72" i="15"/>
  <c r="N47" i="8"/>
  <c r="L31" i="8"/>
  <c r="N114" i="8"/>
  <c r="N58" i="8"/>
  <c r="N123" i="8"/>
  <c r="N59" i="8"/>
  <c r="N57" i="8"/>
  <c r="L36" i="8"/>
  <c r="N96" i="8"/>
  <c r="N109" i="8"/>
  <c r="L33" i="8"/>
  <c r="L34" i="8"/>
  <c r="L35" i="8"/>
  <c r="L30" i="8"/>
  <c r="N72" i="8"/>
  <c r="L32" i="8"/>
  <c r="L37" i="8"/>
  <c r="E127" i="8"/>
  <c r="N92" i="8"/>
  <c r="K5" i="1"/>
  <c r="H47" i="12"/>
  <c r="H123" i="12"/>
  <c r="H120" i="12"/>
  <c r="H99" i="12"/>
  <c r="H127" i="12"/>
  <c r="H114" i="12"/>
  <c r="H29" i="12"/>
  <c r="H109" i="12"/>
  <c r="AO47" i="13"/>
  <c r="AN47" i="13"/>
  <c r="K83" i="14"/>
  <c r="AM28" i="14"/>
  <c r="T57" i="1"/>
  <c r="N78" i="16"/>
  <c r="AM28" i="17"/>
  <c r="T92" i="16"/>
  <c r="R45" i="16"/>
  <c r="T46" i="16"/>
  <c r="T43" i="16"/>
  <c r="AM24" i="16"/>
  <c r="T96" i="15"/>
  <c r="Z127" i="11"/>
  <c r="N123" i="16"/>
  <c r="U145" i="17"/>
  <c r="U147" i="17" s="1"/>
  <c r="U142" i="17"/>
  <c r="E84" i="14"/>
  <c r="W109" i="15"/>
  <c r="N43" i="15"/>
  <c r="H84" i="15"/>
  <c r="H120" i="15"/>
  <c r="AG42" i="14"/>
  <c r="AG13" i="14"/>
  <c r="AI83" i="14" s="1"/>
  <c r="AO123" i="11"/>
  <c r="AA158" i="14"/>
  <c r="AA158" i="16" s="1"/>
  <c r="AA157" i="14"/>
  <c r="R58" i="1"/>
  <c r="K78" i="14"/>
  <c r="AF109" i="13"/>
  <c r="AJ164" i="14"/>
  <c r="AJ166" i="14" s="1"/>
  <c r="Q114" i="14"/>
  <c r="AA144" i="13"/>
  <c r="R59" i="1"/>
  <c r="AO5" i="12"/>
  <c r="AN48" i="12"/>
  <c r="AO6" i="12"/>
  <c r="T114" i="14"/>
  <c r="X44" i="12"/>
  <c r="H123" i="13"/>
  <c r="AN29" i="13"/>
  <c r="AO5" i="11"/>
  <c r="AO6" i="11"/>
  <c r="R164" i="13"/>
  <c r="R166" i="13" s="1"/>
  <c r="T44" i="13"/>
  <c r="AG14" i="6"/>
  <c r="AI47" i="6"/>
  <c r="AO7" i="11"/>
  <c r="N92" i="11"/>
  <c r="L164" i="12"/>
  <c r="L166" i="12" s="1"/>
  <c r="N44" i="12"/>
  <c r="W83" i="10"/>
  <c r="AI44" i="10"/>
  <c r="AM15" i="16"/>
  <c r="C14" i="16"/>
  <c r="AO114" i="11"/>
  <c r="F144" i="10"/>
  <c r="T29" i="11"/>
  <c r="Z83" i="11"/>
  <c r="W120" i="10"/>
  <c r="AC61" i="9"/>
  <c r="AA164" i="12"/>
  <c r="AA166" i="12" s="1"/>
  <c r="AO45" i="11"/>
  <c r="AG15" i="16"/>
  <c r="AG14" i="16" s="1"/>
  <c r="W91" i="5"/>
  <c r="AM80" i="16"/>
  <c r="F61" i="16"/>
  <c r="H43" i="16" s="1"/>
  <c r="F13" i="6"/>
  <c r="W7" i="1"/>
  <c r="W6" i="1"/>
  <c r="W10" i="1"/>
  <c r="W8" i="1"/>
  <c r="W4" i="1"/>
  <c r="W14" i="1" s="1"/>
  <c r="W11" i="1"/>
  <c r="AD29" i="9"/>
  <c r="AM14" i="6"/>
  <c r="C13" i="6"/>
  <c r="U11" i="1"/>
  <c r="U31" i="16"/>
  <c r="W83" i="5"/>
  <c r="U140" i="5"/>
  <c r="U144" i="5" s="1"/>
  <c r="N147" i="11"/>
  <c r="AM104" i="16"/>
  <c r="AD13" i="6"/>
  <c r="K92" i="10"/>
  <c r="U4" i="1"/>
  <c r="U14" i="1" s="1"/>
  <c r="Z113" i="5"/>
  <c r="Z108" i="5"/>
  <c r="Z126" i="5"/>
  <c r="Z119" i="5"/>
  <c r="Z98" i="5"/>
  <c r="C72" i="13"/>
  <c r="AM74" i="16"/>
  <c r="W96" i="10"/>
  <c r="T92" i="6"/>
  <c r="AJ148" i="5"/>
  <c r="AJ149" i="5" s="1"/>
  <c r="AJ140" i="5"/>
  <c r="AJ144" i="5" s="1"/>
  <c r="AJ13" i="7"/>
  <c r="Z91" i="5"/>
  <c r="I34" i="8"/>
  <c r="I32" i="8"/>
  <c r="K123" i="8"/>
  <c r="K59" i="8"/>
  <c r="K61" i="8"/>
  <c r="I31" i="8"/>
  <c r="I36" i="8"/>
  <c r="I36" i="16" s="1"/>
  <c r="K57" i="8"/>
  <c r="I37" i="8"/>
  <c r="K58" i="8"/>
  <c r="I33" i="8"/>
  <c r="I30" i="8"/>
  <c r="I35" i="8"/>
  <c r="K47" i="8"/>
  <c r="X164" i="6"/>
  <c r="X166" i="6" s="1"/>
  <c r="N44" i="8"/>
  <c r="AA37" i="16"/>
  <c r="AD161" i="12"/>
  <c r="AD162" i="12" s="1"/>
  <c r="AD145" i="12"/>
  <c r="AN57" i="12"/>
  <c r="F60" i="9"/>
  <c r="O145" i="10"/>
  <c r="O161" i="10"/>
  <c r="O162" i="10" s="1"/>
  <c r="AO45" i="9"/>
  <c r="AM84" i="12"/>
  <c r="C83" i="12"/>
  <c r="C144" i="12" s="1"/>
  <c r="AA161" i="12"/>
  <c r="AA162" i="12" s="1"/>
  <c r="AA145" i="12"/>
  <c r="Z114" i="11"/>
  <c r="N44" i="11"/>
  <c r="L164" i="11"/>
  <c r="L166" i="11" s="1"/>
  <c r="AO120" i="9"/>
  <c r="W123" i="11"/>
  <c r="W109" i="11"/>
  <c r="W147" i="11"/>
  <c r="W78" i="11"/>
  <c r="W92" i="11"/>
  <c r="W99" i="11"/>
  <c r="W89" i="11"/>
  <c r="AM61" i="9"/>
  <c r="AO43" i="9" s="1"/>
  <c r="E43" i="9"/>
  <c r="AM13" i="7"/>
  <c r="AO80" i="7" s="1"/>
  <c r="K13" i="1"/>
  <c r="K6" i="1"/>
  <c r="K10" i="1"/>
  <c r="K11" i="1"/>
  <c r="K8" i="1"/>
  <c r="K7" i="1"/>
  <c r="C29" i="7"/>
  <c r="N96" i="7"/>
  <c r="AF45" i="7"/>
  <c r="X30" i="10"/>
  <c r="X29" i="10" s="1"/>
  <c r="Z123" i="10"/>
  <c r="Z114" i="10"/>
  <c r="Z92" i="10"/>
  <c r="Z84" i="10"/>
  <c r="F149" i="11"/>
  <c r="F149" i="13"/>
  <c r="AM149" i="13" s="1"/>
  <c r="F149" i="9"/>
  <c r="AM149" i="9" s="1"/>
  <c r="F149" i="7"/>
  <c r="F149" i="16" s="1"/>
  <c r="F183" i="16" s="1"/>
  <c r="F149" i="8"/>
  <c r="AN77" i="8"/>
  <c r="AO89" i="8"/>
  <c r="AG73" i="16"/>
  <c r="AG72" i="7"/>
  <c r="N92" i="7"/>
  <c r="H92" i="12"/>
  <c r="C72" i="11"/>
  <c r="H44" i="6"/>
  <c r="K12" i="1"/>
  <c r="F13" i="16"/>
  <c r="H114" i="16" s="1"/>
  <c r="C83" i="5"/>
  <c r="AM83" i="5" s="1"/>
  <c r="AJ13" i="16"/>
  <c r="AL78" i="16" s="1"/>
  <c r="AM114" i="8"/>
  <c r="E114" i="8"/>
  <c r="W122" i="5"/>
  <c r="AD33" i="8"/>
  <c r="AD32" i="8"/>
  <c r="AD31" i="8"/>
  <c r="AD30" i="8"/>
  <c r="AF59" i="8"/>
  <c r="AD37" i="8"/>
  <c r="AD37" i="16" s="1"/>
  <c r="AD36" i="8"/>
  <c r="AD36" i="16" s="1"/>
  <c r="AD35" i="8"/>
  <c r="AD34" i="8"/>
  <c r="AF78" i="8"/>
  <c r="AF47" i="8"/>
  <c r="AF58" i="8"/>
  <c r="AF57" i="8"/>
  <c r="C36" i="8"/>
  <c r="C35" i="8"/>
  <c r="C35" i="16" s="1"/>
  <c r="C30" i="8"/>
  <c r="E120" i="8"/>
  <c r="AM13" i="8"/>
  <c r="C37" i="8"/>
  <c r="C33" i="8"/>
  <c r="E109" i="8"/>
  <c r="C32" i="8"/>
  <c r="AM32" i="8" s="1"/>
  <c r="C31" i="8"/>
  <c r="AM31" i="8" s="1"/>
  <c r="E92" i="8"/>
  <c r="AG45" i="16"/>
  <c r="AA144" i="14"/>
  <c r="L164" i="13"/>
  <c r="L166" i="13" s="1"/>
  <c r="N44" i="13"/>
  <c r="AJ45" i="16"/>
  <c r="AL43" i="16"/>
  <c r="AL46" i="16"/>
  <c r="N61" i="16"/>
  <c r="K83" i="15"/>
  <c r="K120" i="15"/>
  <c r="X158" i="14"/>
  <c r="X158" i="16" s="1"/>
  <c r="Z127" i="14"/>
  <c r="Z96" i="14"/>
  <c r="Z123" i="14"/>
  <c r="Z99" i="14"/>
  <c r="Z78" i="14"/>
  <c r="X157" i="14"/>
  <c r="Z147" i="14"/>
  <c r="P58" i="1"/>
  <c r="W78" i="15"/>
  <c r="O158" i="14"/>
  <c r="AO70" i="14"/>
  <c r="AO67" i="14"/>
  <c r="Q99" i="14"/>
  <c r="AO69" i="14"/>
  <c r="Q78" i="14"/>
  <c r="T61" i="14"/>
  <c r="Q147" i="14"/>
  <c r="Q84" i="14"/>
  <c r="AO64" i="14"/>
  <c r="Q96" i="14"/>
  <c r="Q109" i="14"/>
  <c r="O157" i="14"/>
  <c r="AO68" i="14"/>
  <c r="AO63" i="14"/>
  <c r="AO71" i="14"/>
  <c r="J58" i="1"/>
  <c r="AG29" i="15"/>
  <c r="F144" i="14"/>
  <c r="AO123" i="13"/>
  <c r="AO57" i="13"/>
  <c r="AN57" i="13"/>
  <c r="AM42" i="13"/>
  <c r="AN57" i="14"/>
  <c r="AC120" i="15"/>
  <c r="AC114" i="15"/>
  <c r="AA33" i="15"/>
  <c r="AA34" i="15"/>
  <c r="AC99" i="15"/>
  <c r="AC96" i="15"/>
  <c r="AC78" i="15"/>
  <c r="AA30" i="15"/>
  <c r="AA35" i="15"/>
  <c r="AA32" i="15"/>
  <c r="AC127" i="15"/>
  <c r="AC109" i="15"/>
  <c r="C144" i="14"/>
  <c r="AM42" i="14"/>
  <c r="H60" i="12"/>
  <c r="AO96" i="11"/>
  <c r="H99" i="7"/>
  <c r="U73" i="15"/>
  <c r="U72" i="15" s="1"/>
  <c r="U58" i="6"/>
  <c r="U73" i="13"/>
  <c r="U72" i="13" s="1"/>
  <c r="U73" i="14"/>
  <c r="U72" i="14" s="1"/>
  <c r="U73" i="11"/>
  <c r="U72" i="11" s="1"/>
  <c r="U73" i="9"/>
  <c r="U72" i="9" s="1"/>
  <c r="U73" i="8"/>
  <c r="U72" i="8" s="1"/>
  <c r="U73" i="7"/>
  <c r="O164" i="12"/>
  <c r="O166" i="12" s="1"/>
  <c r="R44" i="10"/>
  <c r="AM44" i="10" s="1"/>
  <c r="T45" i="10"/>
  <c r="AM28" i="12"/>
  <c r="L164" i="14"/>
  <c r="L166" i="14" s="1"/>
  <c r="N123" i="11"/>
  <c r="H78" i="10"/>
  <c r="H29" i="10"/>
  <c r="H57" i="10"/>
  <c r="H96" i="10"/>
  <c r="H123" i="10"/>
  <c r="H109" i="10"/>
  <c r="H127" i="10"/>
  <c r="H147" i="10"/>
  <c r="Q83" i="13"/>
  <c r="H89" i="10"/>
  <c r="AN85" i="12"/>
  <c r="H83" i="10"/>
  <c r="AI83" i="10"/>
  <c r="AN57" i="10"/>
  <c r="AO89" i="7"/>
  <c r="H83" i="6"/>
  <c r="N57" i="1"/>
  <c r="L73" i="16"/>
  <c r="L72" i="7"/>
  <c r="T45" i="7"/>
  <c r="AO47" i="7"/>
  <c r="AN47" i="7"/>
  <c r="AN77" i="7"/>
  <c r="H78" i="8"/>
  <c r="G78" i="8"/>
  <c r="E96" i="7"/>
  <c r="AM96" i="7"/>
  <c r="U13" i="16"/>
  <c r="AM44" i="5"/>
  <c r="C29" i="6"/>
  <c r="Y4" i="1"/>
  <c r="Y13" i="1"/>
  <c r="Y10" i="1"/>
  <c r="Y7" i="1"/>
  <c r="Y6" i="1"/>
  <c r="Y11" i="1"/>
  <c r="Y9" i="1"/>
  <c r="Y5" i="1"/>
  <c r="AJ85" i="8" s="1"/>
  <c r="AJ84" i="8" s="1"/>
  <c r="AJ83" i="8" s="1"/>
  <c r="AN63" i="8"/>
  <c r="AO63" i="8"/>
  <c r="AJ37" i="8"/>
  <c r="AJ36" i="8"/>
  <c r="AJ35" i="8"/>
  <c r="AJ34" i="8"/>
  <c r="AJ30" i="8"/>
  <c r="AJ31" i="8"/>
  <c r="AJ32" i="8"/>
  <c r="AJ33" i="8"/>
  <c r="AI72" i="13"/>
  <c r="AG60" i="13"/>
  <c r="AG44" i="13" s="1"/>
  <c r="AH72" i="13"/>
  <c r="M13" i="1"/>
  <c r="M12" i="1"/>
  <c r="M10" i="1"/>
  <c r="M9" i="1"/>
  <c r="M7" i="1"/>
  <c r="M6" i="1"/>
  <c r="M4" i="1"/>
  <c r="Q6" i="1"/>
  <c r="Q8" i="1"/>
  <c r="Q9" i="1"/>
  <c r="Q10" i="1"/>
  <c r="Q7" i="1"/>
  <c r="Q4" i="1"/>
  <c r="O29" i="7"/>
  <c r="AC113" i="5"/>
  <c r="AC119" i="5"/>
  <c r="AC84" i="5"/>
  <c r="AC98" i="5"/>
  <c r="AC88" i="5"/>
  <c r="AC91" i="5"/>
  <c r="AC126" i="5"/>
  <c r="AC95" i="5"/>
  <c r="H29" i="8"/>
  <c r="F28" i="8"/>
  <c r="F42" i="8" s="1"/>
  <c r="AA29" i="8"/>
  <c r="AC99" i="16"/>
  <c r="C57" i="16"/>
  <c r="AC45" i="16"/>
  <c r="AM14" i="15"/>
  <c r="C13" i="15"/>
  <c r="Z83" i="15"/>
  <c r="AM83" i="15"/>
  <c r="E85" i="14"/>
  <c r="W99" i="15"/>
  <c r="AO78" i="13"/>
  <c r="AG42" i="12"/>
  <c r="AM42" i="12" s="1"/>
  <c r="AG13" i="12"/>
  <c r="AI44" i="12" s="1"/>
  <c r="AM92" i="16"/>
  <c r="AO7" i="10"/>
  <c r="AJ36" i="9"/>
  <c r="AJ31" i="9"/>
  <c r="AJ32" i="9"/>
  <c r="AJ35" i="9"/>
  <c r="AJ33" i="9"/>
  <c r="AJ30" i="9"/>
  <c r="AJ34" i="9"/>
  <c r="AJ37" i="9"/>
  <c r="AM83" i="10"/>
  <c r="W119" i="5"/>
  <c r="W95" i="5"/>
  <c r="W126" i="5"/>
  <c r="W113" i="5"/>
  <c r="W84" i="5"/>
  <c r="C46" i="16"/>
  <c r="AM47" i="16"/>
  <c r="AG33" i="16"/>
  <c r="O147" i="5"/>
  <c r="O149" i="5" s="1"/>
  <c r="O140" i="5"/>
  <c r="O144" i="5" s="1"/>
  <c r="AQ161" i="10"/>
  <c r="AQ162" i="10" s="1"/>
  <c r="AQ145" i="10"/>
  <c r="AM77" i="16"/>
  <c r="U32" i="16"/>
  <c r="N45" i="7"/>
  <c r="F34" i="7"/>
  <c r="F33" i="7"/>
  <c r="F33" i="16" s="1"/>
  <c r="F32" i="7"/>
  <c r="F32" i="16" s="1"/>
  <c r="H123" i="7"/>
  <c r="H120" i="7"/>
  <c r="F35" i="7"/>
  <c r="F35" i="16" s="1"/>
  <c r="H92" i="7"/>
  <c r="F31" i="7"/>
  <c r="F31" i="16" s="1"/>
  <c r="H78" i="7"/>
  <c r="F30" i="7"/>
  <c r="AG60" i="9"/>
  <c r="AG44" i="9" s="1"/>
  <c r="AI72" i="9"/>
  <c r="AH72" i="9"/>
  <c r="AN80" i="9"/>
  <c r="AO80" i="9"/>
  <c r="Q2" i="1"/>
  <c r="X85" i="8"/>
  <c r="X84" i="8" s="1"/>
  <c r="X83" i="8" s="1"/>
  <c r="Z83" i="8" s="1"/>
  <c r="Q45" i="7"/>
  <c r="J72" i="8"/>
  <c r="K72" i="8"/>
  <c r="I60" i="8"/>
  <c r="I44" i="8" s="1"/>
  <c r="F36" i="16"/>
  <c r="R37" i="16"/>
  <c r="F37" i="16"/>
  <c r="W88" i="5"/>
  <c r="AM97" i="16"/>
  <c r="C96" i="16"/>
  <c r="I142" i="17"/>
  <c r="I145" i="17"/>
  <c r="I147" i="17" s="1"/>
  <c r="F145" i="17"/>
  <c r="F147" i="17" s="1"/>
  <c r="F142" i="17"/>
  <c r="D114" i="2"/>
  <c r="D119" i="2" s="1"/>
  <c r="W96" i="16"/>
  <c r="AC127" i="16"/>
  <c r="V59" i="1"/>
  <c r="Z89" i="14"/>
  <c r="X59" i="1"/>
  <c r="N89" i="7"/>
  <c r="AN72" i="10"/>
  <c r="AN79" i="10"/>
  <c r="AA44" i="9"/>
  <c r="AC45" i="9"/>
  <c r="K123" i="9"/>
  <c r="Z44" i="10"/>
  <c r="AC29" i="5"/>
  <c r="AM46" i="7"/>
  <c r="AO43" i="7" s="1"/>
  <c r="H99" i="9"/>
  <c r="U34" i="16"/>
  <c r="W29" i="5"/>
  <c r="M72" i="11"/>
  <c r="N72" i="11"/>
  <c r="Z96" i="10"/>
  <c r="AC122" i="5"/>
  <c r="AL84" i="10"/>
  <c r="AJ30" i="10"/>
  <c r="AJ29" i="10" s="1"/>
  <c r="AJ28" i="10" s="1"/>
  <c r="AJ42" i="10" s="1"/>
  <c r="AM14" i="7"/>
  <c r="AA13" i="6"/>
  <c r="AH72" i="14"/>
  <c r="AI72" i="14"/>
  <c r="AG60" i="14"/>
  <c r="AG44" i="14" s="1"/>
  <c r="X30" i="9"/>
  <c r="Z99" i="9"/>
  <c r="X34" i="9"/>
  <c r="X35" i="9"/>
  <c r="Z59" i="9"/>
  <c r="X37" i="9"/>
  <c r="X32" i="9"/>
  <c r="Z57" i="9"/>
  <c r="X33" i="9"/>
  <c r="Z84" i="9"/>
  <c r="X36" i="9"/>
  <c r="X31" i="9"/>
  <c r="Z89" i="9"/>
  <c r="E78" i="9"/>
  <c r="AO89" i="11"/>
  <c r="AG85" i="7"/>
  <c r="AG85" i="8"/>
  <c r="AG84" i="8" s="1"/>
  <c r="H45" i="9"/>
  <c r="O34" i="16"/>
  <c r="R73" i="15"/>
  <c r="R72" i="15" s="1"/>
  <c r="R73" i="14"/>
  <c r="R72" i="14" s="1"/>
  <c r="R73" i="11"/>
  <c r="R72" i="11" s="1"/>
  <c r="R73" i="9"/>
  <c r="R72" i="9" s="1"/>
  <c r="R73" i="8"/>
  <c r="R72" i="8" s="1"/>
  <c r="R73" i="7"/>
  <c r="Z45" i="9"/>
  <c r="K72" i="9"/>
  <c r="J72" i="9"/>
  <c r="T96" i="6"/>
  <c r="AM83" i="6"/>
  <c r="W92" i="15"/>
  <c r="W45" i="15"/>
  <c r="K60" i="15"/>
  <c r="R170" i="13"/>
  <c r="R169" i="13"/>
  <c r="C34" i="10"/>
  <c r="O142" i="17"/>
  <c r="O145" i="17"/>
  <c r="O147" i="17" s="1"/>
  <c r="X145" i="17"/>
  <c r="X147" i="17" s="1"/>
  <c r="X142" i="17"/>
  <c r="AF127" i="16"/>
  <c r="N127" i="16"/>
  <c r="AD28" i="15"/>
  <c r="AD42" i="15" s="1"/>
  <c r="AF29" i="15"/>
  <c r="T123" i="15"/>
  <c r="T92" i="15"/>
  <c r="T89" i="15"/>
  <c r="T120" i="15"/>
  <c r="T114" i="15"/>
  <c r="R34" i="15"/>
  <c r="R34" i="16" s="1"/>
  <c r="R35" i="15"/>
  <c r="R35" i="16" s="1"/>
  <c r="R32" i="15"/>
  <c r="R32" i="16" s="1"/>
  <c r="T84" i="15"/>
  <c r="T99" i="15"/>
  <c r="R33" i="15"/>
  <c r="R33" i="16" s="1"/>
  <c r="T147" i="15"/>
  <c r="R30" i="15"/>
  <c r="Z46" i="16"/>
  <c r="Z43" i="16"/>
  <c r="X45" i="16"/>
  <c r="H57" i="13"/>
  <c r="E127" i="11"/>
  <c r="AM127" i="11"/>
  <c r="AO127" i="11" s="1"/>
  <c r="AF29" i="13"/>
  <c r="AF123" i="13"/>
  <c r="AF114" i="13"/>
  <c r="AF84" i="13"/>
  <c r="AF99" i="13"/>
  <c r="AF92" i="13"/>
  <c r="AF120" i="13"/>
  <c r="AF127" i="13"/>
  <c r="H127" i="13"/>
  <c r="AM90" i="16"/>
  <c r="C89" i="16"/>
  <c r="AM89" i="16" s="1"/>
  <c r="H99" i="16"/>
  <c r="Q123" i="14"/>
  <c r="AS83" i="15"/>
  <c r="AR83" i="15"/>
  <c r="Q29" i="14"/>
  <c r="AM156" i="16"/>
  <c r="AO47" i="14"/>
  <c r="AN47" i="14"/>
  <c r="N59" i="1"/>
  <c r="Z114" i="14"/>
  <c r="Q83" i="14"/>
  <c r="T92" i="14"/>
  <c r="I145" i="13"/>
  <c r="I161" i="13"/>
  <c r="I162" i="13" s="1"/>
  <c r="W83" i="12"/>
  <c r="N83" i="11"/>
  <c r="T59" i="1"/>
  <c r="N127" i="11"/>
  <c r="I164" i="13"/>
  <c r="I166" i="13" s="1"/>
  <c r="K44" i="13"/>
  <c r="E96" i="9"/>
  <c r="AM96" i="9"/>
  <c r="AO96" i="9" s="1"/>
  <c r="AM93" i="16"/>
  <c r="C42" i="17"/>
  <c r="C13" i="17"/>
  <c r="AM13" i="17" s="1"/>
  <c r="AO29" i="17" s="1"/>
  <c r="AM14" i="17"/>
  <c r="L141" i="17"/>
  <c r="AM114" i="16"/>
  <c r="W123" i="15"/>
  <c r="W46" i="16"/>
  <c r="K120" i="14"/>
  <c r="K44" i="15"/>
  <c r="AN57" i="15"/>
  <c r="H72" i="15"/>
  <c r="AL72" i="15"/>
  <c r="Z147" i="10"/>
  <c r="AO67" i="15"/>
  <c r="AO70" i="15"/>
  <c r="O35" i="15"/>
  <c r="O35" i="16" s="1"/>
  <c r="AO65" i="15"/>
  <c r="W61" i="15"/>
  <c r="T61" i="15"/>
  <c r="O33" i="15"/>
  <c r="O33" i="16" s="1"/>
  <c r="AO69" i="15"/>
  <c r="O34" i="15"/>
  <c r="AO64" i="15"/>
  <c r="AO68" i="15"/>
  <c r="O32" i="15"/>
  <c r="O32" i="16" s="1"/>
  <c r="O30" i="15"/>
  <c r="O29" i="15" s="1"/>
  <c r="O28" i="15" s="1"/>
  <c r="O42" i="15" s="1"/>
  <c r="AO66" i="15"/>
  <c r="I45" i="14"/>
  <c r="AM46" i="14"/>
  <c r="AM13" i="13"/>
  <c r="AO96" i="13" s="1"/>
  <c r="H87" i="16"/>
  <c r="T96" i="14"/>
  <c r="AM14" i="13"/>
  <c r="Z84" i="14"/>
  <c r="AF78" i="13"/>
  <c r="AC147" i="15"/>
  <c r="F44" i="12"/>
  <c r="AM45" i="12"/>
  <c r="H45" i="12"/>
  <c r="T29" i="14"/>
  <c r="AN61" i="11"/>
  <c r="AO61" i="11"/>
  <c r="AC92" i="9"/>
  <c r="H89" i="13"/>
  <c r="W147" i="12"/>
  <c r="AO114" i="13"/>
  <c r="N78" i="11"/>
  <c r="W61" i="14"/>
  <c r="N153" i="16"/>
  <c r="L144" i="12"/>
  <c r="I30" i="10"/>
  <c r="K147" i="10"/>
  <c r="K96" i="10"/>
  <c r="I31" i="10"/>
  <c r="AM31" i="10" s="1"/>
  <c r="K109" i="10"/>
  <c r="K84" i="10"/>
  <c r="K78" i="10"/>
  <c r="I34" i="10"/>
  <c r="N114" i="11"/>
  <c r="AN79" i="12"/>
  <c r="W127" i="12"/>
  <c r="Z123" i="11"/>
  <c r="AG13" i="10"/>
  <c r="Z96" i="11"/>
  <c r="Q120" i="12"/>
  <c r="AO92" i="13"/>
  <c r="H84" i="12"/>
  <c r="W83" i="11"/>
  <c r="H84" i="10"/>
  <c r="W45" i="10"/>
  <c r="AO114" i="9"/>
  <c r="Z92" i="11"/>
  <c r="H60" i="10"/>
  <c r="AI59" i="9"/>
  <c r="AG37" i="9"/>
  <c r="AG37" i="16" s="1"/>
  <c r="AG30" i="9"/>
  <c r="AG33" i="9"/>
  <c r="AI57" i="9"/>
  <c r="AG35" i="9"/>
  <c r="AG35" i="16" s="1"/>
  <c r="AI46" i="9"/>
  <c r="AG36" i="9"/>
  <c r="AG32" i="9"/>
  <c r="AG32" i="16" s="1"/>
  <c r="AG31" i="9"/>
  <c r="AG31" i="16" s="1"/>
  <c r="AG34" i="9"/>
  <c r="AG34" i="16" s="1"/>
  <c r="K45" i="9"/>
  <c r="I44" i="9"/>
  <c r="AD73" i="15"/>
  <c r="AD72" i="15" s="1"/>
  <c r="AD73" i="14"/>
  <c r="AD72" i="14" s="1"/>
  <c r="AD73" i="11"/>
  <c r="AD72" i="11" s="1"/>
  <c r="AD73" i="13"/>
  <c r="AD72" i="13" s="1"/>
  <c r="AD73" i="8"/>
  <c r="AD72" i="8" s="1"/>
  <c r="AD73" i="9"/>
  <c r="AD72" i="9" s="1"/>
  <c r="AD73" i="7"/>
  <c r="L34" i="9"/>
  <c r="N59" i="9"/>
  <c r="L32" i="9"/>
  <c r="L35" i="9"/>
  <c r="N84" i="9"/>
  <c r="L36" i="9"/>
  <c r="L33" i="9"/>
  <c r="N120" i="9"/>
  <c r="N123" i="9"/>
  <c r="L30" i="9"/>
  <c r="N127" i="9"/>
  <c r="N92" i="9"/>
  <c r="N57" i="9"/>
  <c r="L37" i="9"/>
  <c r="N78" i="9"/>
  <c r="N45" i="9"/>
  <c r="N109" i="9"/>
  <c r="N114" i="9"/>
  <c r="L31" i="9"/>
  <c r="U35" i="16"/>
  <c r="Z78" i="10"/>
  <c r="AD13" i="16"/>
  <c r="AF43" i="16" s="1"/>
  <c r="U33" i="16"/>
  <c r="N43" i="7"/>
  <c r="E89" i="9"/>
  <c r="AO76" i="7"/>
  <c r="AN76" i="7"/>
  <c r="L72" i="15"/>
  <c r="AD13" i="10"/>
  <c r="U148" i="5"/>
  <c r="U149" i="5" s="1"/>
  <c r="AM78" i="8"/>
  <c r="E78" i="8"/>
  <c r="D78" i="8"/>
  <c r="Q12" i="1"/>
  <c r="C83" i="9"/>
  <c r="H109" i="7"/>
  <c r="AM45" i="8"/>
  <c r="AM149" i="8"/>
  <c r="Z78" i="8"/>
  <c r="W78" i="8"/>
  <c r="AM78" i="9"/>
  <c r="AC120" i="9"/>
  <c r="U5" i="1"/>
  <c r="U2" i="1" s="1"/>
  <c r="E89" i="11"/>
  <c r="AB72" i="8"/>
  <c r="AC72" i="8"/>
  <c r="AQ44" i="6"/>
  <c r="AS44" i="6" s="1"/>
  <c r="AO6" i="9"/>
  <c r="AS83" i="6"/>
  <c r="AR83" i="6"/>
  <c r="I73" i="16"/>
  <c r="I72" i="7"/>
  <c r="R36" i="16"/>
  <c r="X29" i="7"/>
  <c r="N120" i="8"/>
  <c r="AG36" i="16"/>
  <c r="E72" i="8"/>
  <c r="D72" i="8"/>
  <c r="O37" i="16"/>
  <c r="Q13" i="1"/>
  <c r="C145" i="12" l="1"/>
  <c r="D72" i="7"/>
  <c r="E72" i="7"/>
  <c r="AM32" i="9"/>
  <c r="T29" i="7"/>
  <c r="R28" i="7"/>
  <c r="R42" i="7" s="1"/>
  <c r="U28" i="8"/>
  <c r="U42" i="8" s="1"/>
  <c r="W29" i="8"/>
  <c r="I33" i="7"/>
  <c r="K114" i="7"/>
  <c r="I35" i="7"/>
  <c r="I35" i="16" s="1"/>
  <c r="AM35" i="16" s="1"/>
  <c r="I30" i="7"/>
  <c r="K123" i="7"/>
  <c r="I31" i="7"/>
  <c r="I31" i="16" s="1"/>
  <c r="K78" i="7"/>
  <c r="K109" i="7"/>
  <c r="I34" i="7"/>
  <c r="I34" i="16" s="1"/>
  <c r="K43" i="7"/>
  <c r="K120" i="7"/>
  <c r="I32" i="7"/>
  <c r="I32" i="16" s="1"/>
  <c r="K45" i="7"/>
  <c r="K99" i="7"/>
  <c r="K96" i="7"/>
  <c r="K89" i="7"/>
  <c r="K127" i="7"/>
  <c r="K92" i="7"/>
  <c r="AD32" i="16"/>
  <c r="O73" i="16"/>
  <c r="O72" i="7"/>
  <c r="C32" i="16"/>
  <c r="L83" i="8"/>
  <c r="N84" i="8"/>
  <c r="H46" i="16"/>
  <c r="AO109" i="9"/>
  <c r="L35" i="16"/>
  <c r="G72" i="9"/>
  <c r="H72" i="9"/>
  <c r="U30" i="16"/>
  <c r="U29" i="16" s="1"/>
  <c r="H153" i="16"/>
  <c r="AM33" i="8"/>
  <c r="V72" i="8"/>
  <c r="W72" i="8"/>
  <c r="U60" i="8"/>
  <c r="U44" i="8" s="1"/>
  <c r="C37" i="16"/>
  <c r="AM37" i="8"/>
  <c r="AD30" i="6"/>
  <c r="AD29" i="6" s="1"/>
  <c r="AD28" i="6" s="1"/>
  <c r="AD42" i="6" s="1"/>
  <c r="AF72" i="6"/>
  <c r="AG13" i="16"/>
  <c r="T45" i="16"/>
  <c r="O85" i="8"/>
  <c r="O84" i="8" s="1"/>
  <c r="K2" i="1"/>
  <c r="L36" i="16"/>
  <c r="AM73" i="9"/>
  <c r="C72" i="16"/>
  <c r="C182" i="16"/>
  <c r="R30" i="16"/>
  <c r="R29" i="16" s="1"/>
  <c r="AO120" i="7"/>
  <c r="Z95" i="17"/>
  <c r="Z108" i="17"/>
  <c r="Z113" i="17"/>
  <c r="Z29" i="17"/>
  <c r="Z119" i="17"/>
  <c r="Z122" i="17"/>
  <c r="L161" i="14"/>
  <c r="L162" i="14" s="1"/>
  <c r="L145" i="14"/>
  <c r="AD33" i="16"/>
  <c r="AM73" i="14"/>
  <c r="O72" i="14"/>
  <c r="AG164" i="11"/>
  <c r="AG166" i="11" s="1"/>
  <c r="AI44" i="11"/>
  <c r="AG144" i="11"/>
  <c r="AI29" i="8"/>
  <c r="AG28" i="8"/>
  <c r="AG42" i="8" s="1"/>
  <c r="AG43" i="8"/>
  <c r="H45" i="16"/>
  <c r="AJ161" i="12"/>
  <c r="AJ162" i="12" s="1"/>
  <c r="AJ145" i="12"/>
  <c r="AC72" i="7"/>
  <c r="AB72" i="7"/>
  <c r="AA60" i="7"/>
  <c r="AA44" i="7" s="1"/>
  <c r="L31" i="16"/>
  <c r="F73" i="16"/>
  <c r="F72" i="7"/>
  <c r="AM72" i="7" s="1"/>
  <c r="L29" i="15"/>
  <c r="N55" i="1"/>
  <c r="AD144" i="15"/>
  <c r="T60" i="1"/>
  <c r="F164" i="12"/>
  <c r="H44" i="12"/>
  <c r="AM44" i="12"/>
  <c r="W72" i="9"/>
  <c r="V72" i="9"/>
  <c r="U60" i="9"/>
  <c r="C161" i="14"/>
  <c r="C145" i="14"/>
  <c r="AO86" i="8"/>
  <c r="AO47" i="8"/>
  <c r="AO87" i="8"/>
  <c r="AO127" i="8"/>
  <c r="AO76" i="8"/>
  <c r="AO74" i="8"/>
  <c r="AO80" i="8"/>
  <c r="AO120" i="8"/>
  <c r="AO150" i="8"/>
  <c r="AO79" i="8"/>
  <c r="H150" i="16"/>
  <c r="H120" i="16"/>
  <c r="H123" i="16"/>
  <c r="H89" i="16"/>
  <c r="H57" i="16"/>
  <c r="AO77" i="8"/>
  <c r="Z29" i="10"/>
  <c r="X28" i="10"/>
  <c r="X42" i="10" s="1"/>
  <c r="AM73" i="13"/>
  <c r="AO29" i="13"/>
  <c r="AO120" i="13"/>
  <c r="AN99" i="7"/>
  <c r="AO99" i="7"/>
  <c r="AO109" i="13"/>
  <c r="AM31" i="9"/>
  <c r="H78" i="16"/>
  <c r="O14" i="1"/>
  <c r="U85" i="7"/>
  <c r="AO109" i="8"/>
  <c r="E44" i="14"/>
  <c r="C164" i="14"/>
  <c r="C166" i="14" s="1"/>
  <c r="AD34" i="16"/>
  <c r="Q72" i="15"/>
  <c r="O60" i="15"/>
  <c r="O44" i="15" s="1"/>
  <c r="X37" i="16"/>
  <c r="S10" i="1"/>
  <c r="S6" i="1"/>
  <c r="S12" i="1"/>
  <c r="S7" i="1"/>
  <c r="S11" i="1"/>
  <c r="S13" i="1"/>
  <c r="S9" i="1"/>
  <c r="S8" i="1"/>
  <c r="S4" i="1"/>
  <c r="AA72" i="16"/>
  <c r="AA182" i="16"/>
  <c r="H72" i="11"/>
  <c r="G72" i="11"/>
  <c r="F60" i="11"/>
  <c r="F44" i="11" s="1"/>
  <c r="AO153" i="13"/>
  <c r="AF72" i="8"/>
  <c r="AE72" i="8"/>
  <c r="AD60" i="8"/>
  <c r="AD44" i="8" s="1"/>
  <c r="AF96" i="10"/>
  <c r="AF78" i="10"/>
  <c r="AD30" i="10"/>
  <c r="AD29" i="10" s="1"/>
  <c r="AF120" i="10"/>
  <c r="AF147" i="10"/>
  <c r="AF84" i="10"/>
  <c r="AF123" i="10"/>
  <c r="AF127" i="10"/>
  <c r="AF109" i="10"/>
  <c r="AF72" i="10"/>
  <c r="AF89" i="10"/>
  <c r="AF92" i="10"/>
  <c r="AF114" i="10"/>
  <c r="AF99" i="10"/>
  <c r="AA30" i="6"/>
  <c r="AA29" i="6" s="1"/>
  <c r="AA28" i="6" s="1"/>
  <c r="AA42" i="6" s="1"/>
  <c r="AC72" i="6"/>
  <c r="AG85" i="16"/>
  <c r="AG84" i="7"/>
  <c r="AM96" i="16"/>
  <c r="AJ29" i="8"/>
  <c r="AJ28" i="8" s="1"/>
  <c r="AJ42" i="8" s="1"/>
  <c r="W114" i="16"/>
  <c r="W120" i="16"/>
  <c r="W89" i="16"/>
  <c r="W61" i="16"/>
  <c r="W78" i="16"/>
  <c r="W123" i="16"/>
  <c r="W92" i="16"/>
  <c r="W72" i="11"/>
  <c r="V72" i="11"/>
  <c r="U60" i="11"/>
  <c r="U44" i="11" s="1"/>
  <c r="AA145" i="14"/>
  <c r="D72" i="13"/>
  <c r="AM72" i="13"/>
  <c r="E72" i="13"/>
  <c r="C60" i="13"/>
  <c r="L145" i="11"/>
  <c r="L161" i="11"/>
  <c r="L162" i="11" s="1"/>
  <c r="AM36" i="9"/>
  <c r="H79" i="16"/>
  <c r="C85" i="13"/>
  <c r="C85" i="11"/>
  <c r="C85" i="8"/>
  <c r="C85" i="7"/>
  <c r="AM35" i="7"/>
  <c r="W99" i="16"/>
  <c r="AD35" i="16"/>
  <c r="AF83" i="10"/>
  <c r="S2" i="1"/>
  <c r="AA85" i="8"/>
  <c r="AA84" i="8" s="1"/>
  <c r="AA83" i="8" s="1"/>
  <c r="C31" i="16"/>
  <c r="AC81" i="16"/>
  <c r="AC123" i="16"/>
  <c r="AC78" i="16"/>
  <c r="AC114" i="16"/>
  <c r="AC120" i="16"/>
  <c r="AC43" i="16"/>
  <c r="AC46" i="16"/>
  <c r="AC89" i="16"/>
  <c r="AC92" i="16"/>
  <c r="AC96" i="16"/>
  <c r="H127" i="16"/>
  <c r="Z127" i="15"/>
  <c r="X30" i="15"/>
  <c r="X29" i="15" s="1"/>
  <c r="Z99" i="15"/>
  <c r="Z147" i="15"/>
  <c r="Z109" i="15"/>
  <c r="X34" i="15"/>
  <c r="X33" i="15"/>
  <c r="X33" i="16" s="1"/>
  <c r="X32" i="15"/>
  <c r="X32" i="16" s="1"/>
  <c r="X35" i="15"/>
  <c r="Z123" i="15"/>
  <c r="Z92" i="15"/>
  <c r="Z89" i="15"/>
  <c r="Z84" i="15"/>
  <c r="Z96" i="15"/>
  <c r="Z114" i="15"/>
  <c r="Z120" i="15"/>
  <c r="Z78" i="15"/>
  <c r="H72" i="13"/>
  <c r="G72" i="13"/>
  <c r="F60" i="13"/>
  <c r="F44" i="13" s="1"/>
  <c r="H45" i="7"/>
  <c r="AI44" i="14"/>
  <c r="AG164" i="14"/>
  <c r="AG166" i="14" s="1"/>
  <c r="AI114" i="12"/>
  <c r="AI29" i="12"/>
  <c r="AI99" i="12"/>
  <c r="AI127" i="12"/>
  <c r="AI147" i="12"/>
  <c r="AI92" i="12"/>
  <c r="AI123" i="12"/>
  <c r="AI89" i="12"/>
  <c r="AI72" i="12"/>
  <c r="AI78" i="12"/>
  <c r="AI96" i="12"/>
  <c r="AI47" i="12"/>
  <c r="AI57" i="12"/>
  <c r="AI83" i="12"/>
  <c r="AI109" i="12"/>
  <c r="AI84" i="12"/>
  <c r="AI120" i="12"/>
  <c r="AG72" i="16"/>
  <c r="AG182" i="16"/>
  <c r="AM83" i="12"/>
  <c r="C164" i="12"/>
  <c r="N72" i="15"/>
  <c r="L60" i="15"/>
  <c r="AM72" i="15"/>
  <c r="AO72" i="15" s="1"/>
  <c r="AM73" i="15"/>
  <c r="AF72" i="15"/>
  <c r="AD60" i="15"/>
  <c r="AD44" i="15" s="1"/>
  <c r="AG29" i="9"/>
  <c r="F144" i="12"/>
  <c r="L142" i="17"/>
  <c r="L145" i="17"/>
  <c r="L147" i="17" s="1"/>
  <c r="Z45" i="16"/>
  <c r="AJ144" i="10"/>
  <c r="X61" i="1"/>
  <c r="AM13" i="14"/>
  <c r="AC29" i="8"/>
  <c r="AA28" i="8"/>
  <c r="AA42" i="8" s="1"/>
  <c r="AO96" i="7"/>
  <c r="AN96" i="7"/>
  <c r="W72" i="14"/>
  <c r="V72" i="14"/>
  <c r="U60" i="14"/>
  <c r="U44" i="14" s="1"/>
  <c r="AI45" i="16"/>
  <c r="AM30" i="8"/>
  <c r="C29" i="8"/>
  <c r="AD29" i="8"/>
  <c r="AM34" i="8"/>
  <c r="Z44" i="12"/>
  <c r="X164" i="12"/>
  <c r="X166" i="12" s="1"/>
  <c r="L37" i="16"/>
  <c r="AJ164" i="8"/>
  <c r="AJ166" i="8" s="1"/>
  <c r="I29" i="9"/>
  <c r="AM34" i="9"/>
  <c r="I161" i="6"/>
  <c r="I162" i="6" s="1"/>
  <c r="I145" i="6"/>
  <c r="O145" i="12"/>
  <c r="O161" i="12"/>
  <c r="O162" i="12" s="1"/>
  <c r="C60" i="16"/>
  <c r="AM61" i="16"/>
  <c r="H92" i="16"/>
  <c r="AA29" i="9"/>
  <c r="O144" i="13"/>
  <c r="J59" i="1"/>
  <c r="L85" i="16"/>
  <c r="L84" i="7"/>
  <c r="Z72" i="8"/>
  <c r="Y72" i="8"/>
  <c r="X60" i="8"/>
  <c r="X44" i="8" s="1"/>
  <c r="H86" i="16"/>
  <c r="AO78" i="7"/>
  <c r="AN78" i="7"/>
  <c r="I29" i="8"/>
  <c r="AM35" i="9"/>
  <c r="Q81" i="16"/>
  <c r="Q127" i="16"/>
  <c r="Q78" i="16"/>
  <c r="Q43" i="16"/>
  <c r="Q46" i="16"/>
  <c r="Q96" i="16"/>
  <c r="Q123" i="16"/>
  <c r="Q89" i="16"/>
  <c r="Q114" i="16"/>
  <c r="Q120" i="16"/>
  <c r="Q92" i="16"/>
  <c r="R153" i="14"/>
  <c r="R157" i="16"/>
  <c r="R153" i="16" s="1"/>
  <c r="T153" i="16" s="1"/>
  <c r="U29" i="15"/>
  <c r="N80" i="16"/>
  <c r="N87" i="16"/>
  <c r="N86" i="16"/>
  <c r="N96" i="16"/>
  <c r="N99" i="16"/>
  <c r="N89" i="16"/>
  <c r="N92" i="16"/>
  <c r="N120" i="16"/>
  <c r="N79" i="16"/>
  <c r="I83" i="8"/>
  <c r="K83" i="8" s="1"/>
  <c r="K84" i="8"/>
  <c r="C141" i="17"/>
  <c r="O28" i="8"/>
  <c r="O42" i="8" s="1"/>
  <c r="Q29" i="8"/>
  <c r="C44" i="8"/>
  <c r="Q89" i="13"/>
  <c r="AO67" i="13"/>
  <c r="AO71" i="13"/>
  <c r="Q92" i="13"/>
  <c r="Q84" i="13"/>
  <c r="AO70" i="13"/>
  <c r="AO63" i="13"/>
  <c r="Q127" i="13"/>
  <c r="Q114" i="13"/>
  <c r="Q109" i="13"/>
  <c r="AO65" i="13"/>
  <c r="Q61" i="13"/>
  <c r="Q99" i="13"/>
  <c r="AO69" i="13"/>
  <c r="AO68" i="13"/>
  <c r="Q147" i="13"/>
  <c r="AO64" i="13"/>
  <c r="Q96" i="13"/>
  <c r="T61" i="13"/>
  <c r="Q72" i="13"/>
  <c r="Q123" i="13"/>
  <c r="Q120" i="13"/>
  <c r="Q29" i="13"/>
  <c r="AO62" i="13"/>
  <c r="AO66" i="13"/>
  <c r="W61" i="13"/>
  <c r="Q78" i="13"/>
  <c r="C60" i="7"/>
  <c r="X34" i="16"/>
  <c r="Z72" i="9"/>
  <c r="Y72" i="9"/>
  <c r="X60" i="9"/>
  <c r="X44" i="9" s="1"/>
  <c r="AM149" i="7"/>
  <c r="L34" i="16"/>
  <c r="AC99" i="7"/>
  <c r="AC96" i="7"/>
  <c r="AA35" i="7"/>
  <c r="AA35" i="16" s="1"/>
  <c r="AC114" i="7"/>
  <c r="AA33" i="7"/>
  <c r="AA33" i="16" s="1"/>
  <c r="AC120" i="7"/>
  <c r="AA31" i="7"/>
  <c r="AA31" i="16" s="1"/>
  <c r="AA34" i="7"/>
  <c r="AA34" i="16" s="1"/>
  <c r="AA30" i="7"/>
  <c r="AC92" i="7"/>
  <c r="AC123" i="7"/>
  <c r="AC109" i="7"/>
  <c r="AC46" i="7"/>
  <c r="AA32" i="7"/>
  <c r="AA32" i="16" s="1"/>
  <c r="AC127" i="7"/>
  <c r="AC45" i="7"/>
  <c r="AC89" i="7"/>
  <c r="AC43" i="7"/>
  <c r="AC78" i="7"/>
  <c r="AM32" i="15"/>
  <c r="T44" i="10"/>
  <c r="R144" i="10"/>
  <c r="AN78" i="9"/>
  <c r="AO78" i="9"/>
  <c r="L29" i="9"/>
  <c r="AJ29" i="9"/>
  <c r="AJ28" i="9" s="1"/>
  <c r="AJ42" i="9" s="1"/>
  <c r="U73" i="16"/>
  <c r="U72" i="7"/>
  <c r="AG28" i="15"/>
  <c r="AG42" i="15" s="1"/>
  <c r="AI29" i="15"/>
  <c r="K72" i="7"/>
  <c r="I60" i="7"/>
  <c r="I44" i="7" s="1"/>
  <c r="J72" i="7"/>
  <c r="M14" i="1"/>
  <c r="R85" i="7"/>
  <c r="AD60" i="11"/>
  <c r="AD44" i="11" s="1"/>
  <c r="AE72" i="11"/>
  <c r="AF72" i="11"/>
  <c r="AF72" i="14"/>
  <c r="AE72" i="14"/>
  <c r="AD60" i="14"/>
  <c r="AD44" i="14" s="1"/>
  <c r="R73" i="16"/>
  <c r="R72" i="7"/>
  <c r="Q29" i="7"/>
  <c r="O28" i="7"/>
  <c r="O42" i="7" s="1"/>
  <c r="Y14" i="1"/>
  <c r="AJ85" i="7"/>
  <c r="AI147" i="10"/>
  <c r="AG30" i="10"/>
  <c r="AG29" i="10" s="1"/>
  <c r="AI72" i="10"/>
  <c r="AI96" i="10"/>
  <c r="AI99" i="10"/>
  <c r="AI123" i="10"/>
  <c r="AI89" i="10"/>
  <c r="AI114" i="10"/>
  <c r="AI109" i="10"/>
  <c r="AI127" i="10"/>
  <c r="AI92" i="10"/>
  <c r="AI84" i="10"/>
  <c r="AI120" i="10"/>
  <c r="AI78" i="10"/>
  <c r="S72" i="8"/>
  <c r="T72" i="8"/>
  <c r="R60" i="8"/>
  <c r="R44" i="8" s="1"/>
  <c r="O30" i="16"/>
  <c r="O29" i="16" s="1"/>
  <c r="AJ36" i="16"/>
  <c r="M72" i="7"/>
  <c r="N72" i="7"/>
  <c r="L60" i="7"/>
  <c r="L44" i="7" s="1"/>
  <c r="U58" i="16"/>
  <c r="AM58" i="6"/>
  <c r="U57" i="6"/>
  <c r="C36" i="16"/>
  <c r="AM36" i="8"/>
  <c r="AF83" i="6"/>
  <c r="AO89" i="13"/>
  <c r="I29" i="15"/>
  <c r="F85" i="16"/>
  <c r="F84" i="7"/>
  <c r="I85" i="16"/>
  <c r="I84" i="7"/>
  <c r="AO92" i="8"/>
  <c r="AO61" i="8"/>
  <c r="AJ73" i="16"/>
  <c r="AJ72" i="7"/>
  <c r="AJ60" i="7" s="1"/>
  <c r="AJ44" i="7" s="1"/>
  <c r="X36" i="16"/>
  <c r="L164" i="9"/>
  <c r="L166" i="9" s="1"/>
  <c r="N44" i="9"/>
  <c r="X73" i="16"/>
  <c r="X72" i="7"/>
  <c r="AO127" i="7"/>
  <c r="AN127" i="7"/>
  <c r="I164" i="11"/>
  <c r="I166" i="11" s="1"/>
  <c r="K44" i="11"/>
  <c r="AM149" i="16"/>
  <c r="AM183" i="16" s="1"/>
  <c r="C183" i="16"/>
  <c r="L32" i="16"/>
  <c r="AM35" i="15"/>
  <c r="X153" i="14"/>
  <c r="X157" i="16"/>
  <c r="X153" i="16" s="1"/>
  <c r="Z153" i="16" s="1"/>
  <c r="AD73" i="16"/>
  <c r="AD72" i="7"/>
  <c r="J60" i="1"/>
  <c r="R60" i="15"/>
  <c r="R44" i="15" s="1"/>
  <c r="T72" i="15"/>
  <c r="F151" i="13"/>
  <c r="F151" i="11"/>
  <c r="F151" i="9"/>
  <c r="F151" i="8"/>
  <c r="F151" i="7"/>
  <c r="AG164" i="9"/>
  <c r="AG166" i="9" s="1"/>
  <c r="AI44" i="9"/>
  <c r="AG144" i="12"/>
  <c r="V57" i="1"/>
  <c r="AG164" i="13"/>
  <c r="AG166" i="13" s="1"/>
  <c r="AI44" i="13"/>
  <c r="C28" i="7"/>
  <c r="E29" i="7"/>
  <c r="AO17" i="7"/>
  <c r="AO150" i="7"/>
  <c r="AO16" i="7"/>
  <c r="AO158" i="7"/>
  <c r="AO159" i="7"/>
  <c r="AO18" i="7"/>
  <c r="AO114" i="7"/>
  <c r="AO157" i="7"/>
  <c r="AO19" i="7"/>
  <c r="AO87" i="7"/>
  <c r="AO79" i="7"/>
  <c r="AO109" i="7"/>
  <c r="AO123" i="7"/>
  <c r="H60" i="9"/>
  <c r="F44" i="9"/>
  <c r="AJ30" i="7"/>
  <c r="AJ34" i="7"/>
  <c r="AJ34" i="16" s="1"/>
  <c r="AJ35" i="7"/>
  <c r="AJ35" i="16" s="1"/>
  <c r="AJ33" i="7"/>
  <c r="AJ33" i="16" s="1"/>
  <c r="AJ31" i="7"/>
  <c r="AJ31" i="16" s="1"/>
  <c r="AJ32" i="7"/>
  <c r="AJ32" i="16" s="1"/>
  <c r="AL43" i="7"/>
  <c r="F30" i="6"/>
  <c r="H84" i="6"/>
  <c r="H127" i="6"/>
  <c r="H72" i="6"/>
  <c r="H92" i="6"/>
  <c r="H147" i="6"/>
  <c r="H120" i="6"/>
  <c r="H99" i="6"/>
  <c r="H114" i="6"/>
  <c r="H78" i="6"/>
  <c r="H109" i="6"/>
  <c r="H89" i="6"/>
  <c r="H96" i="6"/>
  <c r="AA153" i="14"/>
  <c r="AA161" i="14" s="1"/>
  <c r="AA162" i="14" s="1"/>
  <c r="AA157" i="16"/>
  <c r="AA153" i="16" s="1"/>
  <c r="AC153" i="16" s="1"/>
  <c r="C33" i="16"/>
  <c r="AJ144" i="15"/>
  <c r="X60" i="1"/>
  <c r="AM37" i="9"/>
  <c r="AM83" i="9"/>
  <c r="AO83" i="9" s="1"/>
  <c r="E83" i="9"/>
  <c r="I29" i="10"/>
  <c r="AM30" i="10"/>
  <c r="AM42" i="17"/>
  <c r="R29" i="15"/>
  <c r="T72" i="9"/>
  <c r="S72" i="9"/>
  <c r="R60" i="9"/>
  <c r="AO83" i="10"/>
  <c r="C34" i="15"/>
  <c r="AM13" i="15"/>
  <c r="Q14" i="1"/>
  <c r="X85" i="7"/>
  <c r="AJ37" i="16"/>
  <c r="C28" i="6"/>
  <c r="L72" i="16"/>
  <c r="L182" i="16"/>
  <c r="W72" i="15"/>
  <c r="U60" i="15"/>
  <c r="U44" i="15" s="1"/>
  <c r="AA29" i="15"/>
  <c r="Q99" i="16"/>
  <c r="D72" i="11"/>
  <c r="E72" i="11"/>
  <c r="C60" i="11"/>
  <c r="AM72" i="11"/>
  <c r="L29" i="8"/>
  <c r="I161" i="11"/>
  <c r="I162" i="11" s="1"/>
  <c r="I145" i="11"/>
  <c r="Z120" i="16"/>
  <c r="Z61" i="16"/>
  <c r="Z92" i="16"/>
  <c r="Z114" i="16"/>
  <c r="Z78" i="16"/>
  <c r="Z123" i="16"/>
  <c r="Z89" i="16"/>
  <c r="Z96" i="16"/>
  <c r="T123" i="16"/>
  <c r="T89" i="16"/>
  <c r="T99" i="16"/>
  <c r="T127" i="16"/>
  <c r="T114" i="16"/>
  <c r="T120" i="16"/>
  <c r="T61" i="16"/>
  <c r="R29" i="9"/>
  <c r="AO92" i="7"/>
  <c r="AO86" i="11"/>
  <c r="AM165" i="11"/>
  <c r="AO18" i="11"/>
  <c r="AO75" i="11"/>
  <c r="AO109" i="11"/>
  <c r="AO17" i="11"/>
  <c r="AO58" i="11"/>
  <c r="AO16" i="11"/>
  <c r="AO78" i="11"/>
  <c r="AO59" i="11"/>
  <c r="AO29" i="11"/>
  <c r="H84" i="8"/>
  <c r="F83" i="8"/>
  <c r="H83" i="8" s="1"/>
  <c r="F29" i="9"/>
  <c r="L28" i="6"/>
  <c r="L42" i="6" s="1"/>
  <c r="N29" i="6"/>
  <c r="AL72" i="13"/>
  <c r="AK72" i="13"/>
  <c r="AJ60" i="13"/>
  <c r="AJ44" i="13" s="1"/>
  <c r="U153" i="14"/>
  <c r="U157" i="16"/>
  <c r="U153" i="16" s="1"/>
  <c r="X35" i="16"/>
  <c r="Z72" i="13"/>
  <c r="Y72" i="13"/>
  <c r="X60" i="13"/>
  <c r="X44" i="13" s="1"/>
  <c r="AO127" i="9"/>
  <c r="AQ144" i="6"/>
  <c r="AA145" i="10"/>
  <c r="AA161" i="10"/>
  <c r="AA162" i="10" s="1"/>
  <c r="AF153" i="16"/>
  <c r="AO99" i="8"/>
  <c r="D72" i="9"/>
  <c r="AM72" i="9"/>
  <c r="E72" i="9"/>
  <c r="J55" i="1"/>
  <c r="AE72" i="13"/>
  <c r="AF72" i="13"/>
  <c r="AD60" i="13"/>
  <c r="AD44" i="13" s="1"/>
  <c r="C45" i="16"/>
  <c r="AM46" i="16"/>
  <c r="I72" i="16"/>
  <c r="I182" i="16"/>
  <c r="AG83" i="8"/>
  <c r="AI83" i="8" s="1"/>
  <c r="AI84" i="8"/>
  <c r="AM13" i="10"/>
  <c r="AG144" i="13"/>
  <c r="AO83" i="15"/>
  <c r="W72" i="13"/>
  <c r="V72" i="13"/>
  <c r="U60" i="13"/>
  <c r="U44" i="13" s="1"/>
  <c r="O153" i="14"/>
  <c r="O157" i="16"/>
  <c r="O158" i="16"/>
  <c r="AM35" i="8"/>
  <c r="I164" i="9"/>
  <c r="I166" i="9" s="1"/>
  <c r="K44" i="9"/>
  <c r="AO59" i="13"/>
  <c r="AO75" i="13"/>
  <c r="AO58" i="13"/>
  <c r="AO150" i="13"/>
  <c r="AO17" i="17"/>
  <c r="AO18" i="17"/>
  <c r="AO16" i="17"/>
  <c r="AM34" i="10"/>
  <c r="C29" i="10"/>
  <c r="L145" i="12"/>
  <c r="L161" i="12"/>
  <c r="L162" i="12" s="1"/>
  <c r="K45" i="14"/>
  <c r="I44" i="14"/>
  <c r="AM45" i="14"/>
  <c r="W43" i="16"/>
  <c r="V205" i="16" s="1"/>
  <c r="U205" i="16" s="1"/>
  <c r="U213" i="16" s="1"/>
  <c r="T72" i="11"/>
  <c r="S72" i="11"/>
  <c r="R60" i="11"/>
  <c r="R44" i="11" s="1"/>
  <c r="X29" i="9"/>
  <c r="AA164" i="9"/>
  <c r="AA166" i="9" s="1"/>
  <c r="AC44" i="9"/>
  <c r="F34" i="16"/>
  <c r="AM34" i="7"/>
  <c r="AO77" i="7"/>
  <c r="AM73" i="11"/>
  <c r="C30" i="16"/>
  <c r="C60" i="9"/>
  <c r="I37" i="16"/>
  <c r="AG13" i="6"/>
  <c r="O144" i="6"/>
  <c r="J56" i="1"/>
  <c r="C29" i="9"/>
  <c r="AM30" i="9"/>
  <c r="AO99" i="9"/>
  <c r="X144" i="12"/>
  <c r="AM13" i="12"/>
  <c r="AO84" i="12" s="1"/>
  <c r="H84" i="11"/>
  <c r="F83" i="11"/>
  <c r="H83" i="11" s="1"/>
  <c r="AD85" i="8"/>
  <c r="AD84" i="8" s="1"/>
  <c r="AD83" i="8" s="1"/>
  <c r="AF83" i="8" s="1"/>
  <c r="AL72" i="11"/>
  <c r="AK72" i="11"/>
  <c r="AJ60" i="11"/>
  <c r="AJ44" i="11" s="1"/>
  <c r="W29" i="10"/>
  <c r="U28" i="10"/>
  <c r="U42" i="10" s="1"/>
  <c r="AM78" i="16"/>
  <c r="AO92" i="11"/>
  <c r="AM127" i="16"/>
  <c r="T29" i="8"/>
  <c r="R28" i="8"/>
  <c r="R42" i="8" s="1"/>
  <c r="AO96" i="8"/>
  <c r="Y72" i="11"/>
  <c r="Z72" i="11"/>
  <c r="X60" i="11"/>
  <c r="X44" i="11" s="1"/>
  <c r="Z127" i="16"/>
  <c r="L33" i="16"/>
  <c r="AO86" i="7"/>
  <c r="T84" i="8"/>
  <c r="R83" i="8"/>
  <c r="T83" i="8" s="1"/>
  <c r="R161" i="13"/>
  <c r="R162" i="13" s="1"/>
  <c r="R145" i="13"/>
  <c r="H61" i="16"/>
  <c r="F145" i="10"/>
  <c r="F161" i="10"/>
  <c r="F162" i="10" s="1"/>
  <c r="W44" i="12"/>
  <c r="U164" i="12"/>
  <c r="U166" i="12" s="1"/>
  <c r="H80" i="16"/>
  <c r="AO18" i="9"/>
  <c r="AO17" i="9"/>
  <c r="AO77" i="9"/>
  <c r="AO130" i="9"/>
  <c r="AO87" i="9"/>
  <c r="AO128" i="9"/>
  <c r="AO150" i="9"/>
  <c r="AO76" i="9"/>
  <c r="AO85" i="9"/>
  <c r="AO86" i="9"/>
  <c r="AO153" i="9"/>
  <c r="AO79" i="9"/>
  <c r="O2" i="1"/>
  <c r="U85" i="8"/>
  <c r="U84" i="8" s="1"/>
  <c r="U83" i="8" s="1"/>
  <c r="W83" i="8" s="1"/>
  <c r="AO57" i="9"/>
  <c r="F83" i="13"/>
  <c r="H83" i="13" s="1"/>
  <c r="H84" i="13"/>
  <c r="L161" i="10"/>
  <c r="L162" i="10" s="1"/>
  <c r="L145" i="10"/>
  <c r="Q72" i="8"/>
  <c r="P72" i="8"/>
  <c r="O60" i="8"/>
  <c r="O44" i="8" s="1"/>
  <c r="AD85" i="7"/>
  <c r="AF44" i="10"/>
  <c r="T44" i="12"/>
  <c r="R164" i="12"/>
  <c r="R166" i="12" s="1"/>
  <c r="R144" i="12"/>
  <c r="H96" i="16"/>
  <c r="AI29" i="7"/>
  <c r="AG28" i="7"/>
  <c r="AG42" i="7" s="1"/>
  <c r="Z72" i="14"/>
  <c r="Y72" i="14"/>
  <c r="X60" i="14"/>
  <c r="X44" i="14" s="1"/>
  <c r="AO120" i="11"/>
  <c r="F148" i="13"/>
  <c r="F147" i="13" s="1"/>
  <c r="H147" i="13" s="1"/>
  <c r="F148" i="12"/>
  <c r="F147" i="12" s="1"/>
  <c r="H147" i="12" s="1"/>
  <c r="F148" i="11"/>
  <c r="F148" i="9"/>
  <c r="F148" i="7"/>
  <c r="F148" i="8"/>
  <c r="F147" i="8" s="1"/>
  <c r="H147" i="8" s="1"/>
  <c r="D121" i="2"/>
  <c r="D123" i="2" s="1"/>
  <c r="D130" i="2" s="1"/>
  <c r="AO153" i="7"/>
  <c r="O85" i="16"/>
  <c r="O84" i="7"/>
  <c r="AO123" i="8"/>
  <c r="AA161" i="11"/>
  <c r="AA162" i="11" s="1"/>
  <c r="AA145" i="11"/>
  <c r="AM30" i="15"/>
  <c r="F29" i="15"/>
  <c r="N45" i="16"/>
  <c r="AO127" i="13"/>
  <c r="AO92" i="9"/>
  <c r="AM109" i="16"/>
  <c r="AO99" i="13"/>
  <c r="AA164" i="11"/>
  <c r="AA166" i="11" s="1"/>
  <c r="AC44" i="11"/>
  <c r="AD29" i="7"/>
  <c r="P72" i="11"/>
  <c r="Q72" i="11"/>
  <c r="O60" i="11"/>
  <c r="O44" i="11" s="1"/>
  <c r="U144" i="12"/>
  <c r="X29" i="8"/>
  <c r="X30" i="16"/>
  <c r="Z72" i="15"/>
  <c r="X60" i="15"/>
  <c r="X44" i="15" s="1"/>
  <c r="Q44" i="13"/>
  <c r="AO89" i="9"/>
  <c r="S72" i="14"/>
  <c r="R60" i="14"/>
  <c r="R44" i="14" s="1"/>
  <c r="T72" i="14"/>
  <c r="AO114" i="8"/>
  <c r="AN114" i="8"/>
  <c r="AA161" i="13"/>
  <c r="AA162" i="13" s="1"/>
  <c r="AA145" i="13"/>
  <c r="AG158" i="14"/>
  <c r="AG158" i="16" s="1"/>
  <c r="AI99" i="14"/>
  <c r="AI120" i="14"/>
  <c r="AI84" i="14"/>
  <c r="AG157" i="14"/>
  <c r="AI29" i="14"/>
  <c r="AI147" i="14"/>
  <c r="V58" i="1"/>
  <c r="AI89" i="14"/>
  <c r="AI123" i="14"/>
  <c r="AI96" i="14"/>
  <c r="AI78" i="14"/>
  <c r="AI114" i="14"/>
  <c r="AI92" i="14"/>
  <c r="AI127" i="14"/>
  <c r="AI109" i="14"/>
  <c r="X28" i="7"/>
  <c r="X42" i="7" s="1"/>
  <c r="Z29" i="7"/>
  <c r="AO78" i="8"/>
  <c r="AN78" i="8"/>
  <c r="AF123" i="16"/>
  <c r="AF92" i="16"/>
  <c r="AF45" i="16"/>
  <c r="AF114" i="16"/>
  <c r="AF120" i="16"/>
  <c r="AF78" i="16"/>
  <c r="AF96" i="16"/>
  <c r="AF46" i="16"/>
  <c r="AF89" i="16"/>
  <c r="AF72" i="9"/>
  <c r="AE72" i="9"/>
  <c r="AD60" i="9"/>
  <c r="AF99" i="16"/>
  <c r="K44" i="8"/>
  <c r="I164" i="8"/>
  <c r="I166" i="8" s="1"/>
  <c r="F30" i="16"/>
  <c r="F29" i="16" s="1"/>
  <c r="F29" i="7"/>
  <c r="F145" i="14"/>
  <c r="F161" i="14"/>
  <c r="F162" i="14" s="1"/>
  <c r="AL45" i="16"/>
  <c r="AI72" i="7"/>
  <c r="AH72" i="7"/>
  <c r="AG60" i="7"/>
  <c r="AG44" i="7" s="1"/>
  <c r="AD28" i="9"/>
  <c r="AD42" i="9" s="1"/>
  <c r="AF29" i="9"/>
  <c r="AM14" i="16"/>
  <c r="C13" i="16"/>
  <c r="E96" i="16" s="1"/>
  <c r="AG144" i="14"/>
  <c r="W127" i="16"/>
  <c r="AM73" i="7"/>
  <c r="AM33" i="9"/>
  <c r="K45" i="16"/>
  <c r="C42" i="5"/>
  <c r="C13" i="5"/>
  <c r="AM14" i="5"/>
  <c r="L56" i="1"/>
  <c r="R144" i="6"/>
  <c r="AG164" i="8"/>
  <c r="AG166" i="8" s="1"/>
  <c r="AI44" i="8"/>
  <c r="AO84" i="9"/>
  <c r="AM45" i="13"/>
  <c r="C44" i="13"/>
  <c r="AD31" i="16"/>
  <c r="P72" i="9"/>
  <c r="Q72" i="9"/>
  <c r="O60" i="9"/>
  <c r="AM32" i="7"/>
  <c r="AO46" i="9"/>
  <c r="X31" i="16"/>
  <c r="L30" i="16"/>
  <c r="L29" i="7"/>
  <c r="F72" i="8"/>
  <c r="AM73" i="8"/>
  <c r="U28" i="7"/>
  <c r="U42" i="7" s="1"/>
  <c r="W29" i="7"/>
  <c r="AO72" i="7" l="1"/>
  <c r="AN72" i="7"/>
  <c r="X29" i="16"/>
  <c r="I164" i="14"/>
  <c r="I166" i="14" s="1"/>
  <c r="K44" i="14"/>
  <c r="I144" i="14"/>
  <c r="E78" i="16"/>
  <c r="AC29" i="15"/>
  <c r="AA28" i="15"/>
  <c r="AA42" i="15" s="1"/>
  <c r="AJ161" i="15"/>
  <c r="AJ162" i="15" s="1"/>
  <c r="AJ145" i="15"/>
  <c r="AJ30" i="16"/>
  <c r="AJ29" i="16" s="1"/>
  <c r="AJ29" i="7"/>
  <c r="AJ28" i="7" s="1"/>
  <c r="AJ42" i="7" s="1"/>
  <c r="AD72" i="16"/>
  <c r="AD182" i="16"/>
  <c r="I84" i="16"/>
  <c r="K85" i="16"/>
  <c r="I181" i="16"/>
  <c r="J52" i="1"/>
  <c r="X164" i="8"/>
  <c r="X166" i="8" s="1"/>
  <c r="Z44" i="8"/>
  <c r="E60" i="16"/>
  <c r="AM85" i="13"/>
  <c r="AO85" i="13" s="1"/>
  <c r="C84" i="13"/>
  <c r="E85" i="13"/>
  <c r="U85" i="16"/>
  <c r="U84" i="7"/>
  <c r="AG43" i="16"/>
  <c r="AI89" i="16"/>
  <c r="AI96" i="16"/>
  <c r="AI81" i="16"/>
  <c r="AI120" i="16"/>
  <c r="AI92" i="16"/>
  <c r="AI123" i="16"/>
  <c r="AI46" i="16"/>
  <c r="AI78" i="16"/>
  <c r="AI114" i="16"/>
  <c r="AI43" i="16"/>
  <c r="AJ43" i="16" s="1"/>
  <c r="AI99" i="16"/>
  <c r="AI127" i="16"/>
  <c r="Q72" i="7"/>
  <c r="P72" i="7"/>
  <c r="O60" i="7"/>
  <c r="O44" i="7" s="1"/>
  <c r="L52" i="1"/>
  <c r="E86" i="16"/>
  <c r="AM13" i="16"/>
  <c r="E75" i="16"/>
  <c r="E150" i="16"/>
  <c r="E80" i="16"/>
  <c r="E153" i="16"/>
  <c r="E99" i="16"/>
  <c r="E76" i="16"/>
  <c r="E79" i="16"/>
  <c r="E92" i="16"/>
  <c r="E77" i="16"/>
  <c r="E120" i="16"/>
  <c r="E87" i="16"/>
  <c r="E114" i="16"/>
  <c r="E123" i="16"/>
  <c r="H29" i="16"/>
  <c r="F28" i="16"/>
  <c r="F42" i="16" s="1"/>
  <c r="AD85" i="16"/>
  <c r="AD84" i="7"/>
  <c r="U164" i="13"/>
  <c r="U166" i="13" s="1"/>
  <c r="W44" i="13"/>
  <c r="U144" i="13"/>
  <c r="Q60" i="9"/>
  <c r="O44" i="9"/>
  <c r="Z44" i="15"/>
  <c r="X164" i="15"/>
  <c r="X166" i="15" s="1"/>
  <c r="E46" i="16"/>
  <c r="U164" i="15"/>
  <c r="U166" i="15" s="1"/>
  <c r="W44" i="15"/>
  <c r="T60" i="9"/>
  <c r="R44" i="9"/>
  <c r="F164" i="9"/>
  <c r="F166" i="9" s="1"/>
  <c r="H44" i="9"/>
  <c r="F151" i="16"/>
  <c r="F184" i="16" s="1"/>
  <c r="Z72" i="7"/>
  <c r="Y72" i="7"/>
  <c r="X60" i="7"/>
  <c r="X44" i="7" s="1"/>
  <c r="F83" i="7"/>
  <c r="H83" i="7" s="1"/>
  <c r="H84" i="7"/>
  <c r="R161" i="10"/>
  <c r="R162" i="10" s="1"/>
  <c r="R145" i="10"/>
  <c r="AD28" i="8"/>
  <c r="AD42" i="8" s="1"/>
  <c r="AF29" i="8"/>
  <c r="AO148" i="14"/>
  <c r="AO59" i="14"/>
  <c r="AO75" i="14"/>
  <c r="AO99" i="14"/>
  <c r="AO58" i="14"/>
  <c r="AO150" i="14"/>
  <c r="AO85" i="14"/>
  <c r="AO127" i="14"/>
  <c r="AO84" i="14"/>
  <c r="AO109" i="14"/>
  <c r="AO120" i="14"/>
  <c r="AO57" i="14"/>
  <c r="AO78" i="14"/>
  <c r="AO96" i="14"/>
  <c r="AO147" i="14"/>
  <c r="AO89" i="14"/>
  <c r="AO114" i="14"/>
  <c r="AO92" i="14"/>
  <c r="AO123" i="14"/>
  <c r="AO29" i="14"/>
  <c r="X28" i="15"/>
  <c r="X42" i="15" s="1"/>
  <c r="Z29" i="15"/>
  <c r="W44" i="11"/>
  <c r="U164" i="11"/>
  <c r="U166" i="11" s="1"/>
  <c r="U144" i="11"/>
  <c r="AO96" i="16"/>
  <c r="F164" i="11"/>
  <c r="F166" i="11" s="1"/>
  <c r="H44" i="11"/>
  <c r="F144" i="11"/>
  <c r="P72" i="14"/>
  <c r="Q72" i="14"/>
  <c r="AM72" i="14"/>
  <c r="O60" i="14"/>
  <c r="O72" i="16"/>
  <c r="O182" i="16"/>
  <c r="H29" i="7"/>
  <c r="F28" i="7"/>
  <c r="F42" i="7" s="1"/>
  <c r="X161" i="12"/>
  <c r="X162" i="12" s="1"/>
  <c r="X145" i="12"/>
  <c r="E43" i="16"/>
  <c r="AM13" i="5"/>
  <c r="Q84" i="7"/>
  <c r="O83" i="7"/>
  <c r="Q83" i="7" s="1"/>
  <c r="Q44" i="8"/>
  <c r="AO78" i="16"/>
  <c r="AM42" i="5"/>
  <c r="C140" i="5"/>
  <c r="T55" i="1"/>
  <c r="E109" i="16"/>
  <c r="O84" i="16"/>
  <c r="O181" i="16"/>
  <c r="X164" i="14"/>
  <c r="X166" i="14" s="1"/>
  <c r="Z44" i="14"/>
  <c r="X144" i="14"/>
  <c r="U144" i="10"/>
  <c r="N61" i="1"/>
  <c r="E45" i="16"/>
  <c r="C44" i="16"/>
  <c r="AM33" i="16"/>
  <c r="X72" i="16"/>
  <c r="X182" i="16"/>
  <c r="H85" i="16"/>
  <c r="F84" i="16"/>
  <c r="F181" i="16"/>
  <c r="K44" i="7"/>
  <c r="J53" i="1"/>
  <c r="C28" i="8"/>
  <c r="E29" i="8"/>
  <c r="AM29" i="8"/>
  <c r="AO29" i="8" s="1"/>
  <c r="AM31" i="16"/>
  <c r="AI84" i="7"/>
  <c r="AG83" i="7"/>
  <c r="AI83" i="7" s="1"/>
  <c r="R28" i="16"/>
  <c r="R42" i="16" s="1"/>
  <c r="T29" i="16"/>
  <c r="W29" i="16"/>
  <c r="U28" i="16"/>
  <c r="U42" i="16" s="1"/>
  <c r="I28" i="15"/>
  <c r="I42" i="15" s="1"/>
  <c r="K29" i="15"/>
  <c r="Q29" i="16"/>
  <c r="O28" i="16"/>
  <c r="O42" i="16" s="1"/>
  <c r="S72" i="7"/>
  <c r="T72" i="7"/>
  <c r="R60" i="7"/>
  <c r="R44" i="7" s="1"/>
  <c r="Z44" i="9"/>
  <c r="X164" i="9"/>
  <c r="X166" i="9" s="1"/>
  <c r="C145" i="17"/>
  <c r="C147" i="17" s="1"/>
  <c r="C142" i="17"/>
  <c r="AM141" i="17"/>
  <c r="AM142" i="17" s="1"/>
  <c r="C114" i="2"/>
  <c r="W29" i="15"/>
  <c r="U28" i="15"/>
  <c r="U42" i="15" s="1"/>
  <c r="N84" i="7"/>
  <c r="L83" i="7"/>
  <c r="N83" i="7" s="1"/>
  <c r="AM60" i="15"/>
  <c r="L44" i="15"/>
  <c r="AC83" i="8"/>
  <c r="AA164" i="8"/>
  <c r="AA166" i="8" s="1"/>
  <c r="AG84" i="16"/>
  <c r="AG181" i="16"/>
  <c r="AD161" i="15"/>
  <c r="AD162" i="15" s="1"/>
  <c r="AD145" i="15"/>
  <c r="T56" i="1"/>
  <c r="AD144" i="6"/>
  <c r="R72" i="16"/>
  <c r="R182" i="16"/>
  <c r="AA30" i="16"/>
  <c r="AA29" i="16" s="1"/>
  <c r="AA29" i="7"/>
  <c r="L84" i="16"/>
  <c r="N85" i="16"/>
  <c r="L181" i="16"/>
  <c r="AJ161" i="10"/>
  <c r="AJ162" i="10" s="1"/>
  <c r="AJ145" i="10"/>
  <c r="AM33" i="15"/>
  <c r="E72" i="16"/>
  <c r="D72" i="16"/>
  <c r="Z44" i="11"/>
  <c r="X164" i="11"/>
  <c r="X166" i="11" s="1"/>
  <c r="X144" i="11"/>
  <c r="T29" i="15"/>
  <c r="R28" i="15"/>
  <c r="R42" i="15" s="1"/>
  <c r="AO150" i="10"/>
  <c r="AO59" i="10"/>
  <c r="AO18" i="10"/>
  <c r="AO85" i="10"/>
  <c r="AO75" i="10"/>
  <c r="AO58" i="10"/>
  <c r="AO89" i="10"/>
  <c r="AO17" i="10"/>
  <c r="AO148" i="10"/>
  <c r="AO114" i="10"/>
  <c r="AO16" i="10"/>
  <c r="AO47" i="10"/>
  <c r="AO127" i="10"/>
  <c r="AO123" i="10"/>
  <c r="AO120" i="10"/>
  <c r="AO92" i="10"/>
  <c r="AO153" i="10"/>
  <c r="AO78" i="10"/>
  <c r="AO109" i="10"/>
  <c r="AO99" i="10"/>
  <c r="AO96" i="10"/>
  <c r="AO72" i="10"/>
  <c r="AO147" i="10"/>
  <c r="AO84" i="10"/>
  <c r="AO57" i="10"/>
  <c r="C42" i="6"/>
  <c r="T44" i="8"/>
  <c r="R164" i="8"/>
  <c r="R166" i="8" s="1"/>
  <c r="AF44" i="14"/>
  <c r="AD164" i="14"/>
  <c r="AD166" i="14" s="1"/>
  <c r="AD144" i="14"/>
  <c r="AG144" i="15"/>
  <c r="V60" i="1"/>
  <c r="AB72" i="16"/>
  <c r="AC72" i="16"/>
  <c r="AA60" i="16"/>
  <c r="Q44" i="15"/>
  <c r="O164" i="15"/>
  <c r="O166" i="15" s="1"/>
  <c r="AM73" i="16"/>
  <c r="AM182" i="16" s="1"/>
  <c r="I30" i="16"/>
  <c r="I29" i="7"/>
  <c r="E44" i="13"/>
  <c r="AM44" i="13"/>
  <c r="AO44" i="13" s="1"/>
  <c r="AG144" i="7"/>
  <c r="V52" i="1"/>
  <c r="N29" i="8"/>
  <c r="L28" i="8"/>
  <c r="L42" i="8" s="1"/>
  <c r="F29" i="6"/>
  <c r="AM30" i="6"/>
  <c r="C42" i="7"/>
  <c r="AM29" i="7"/>
  <c r="AO29" i="7" s="1"/>
  <c r="W72" i="7"/>
  <c r="V72" i="7"/>
  <c r="U60" i="7"/>
  <c r="U44" i="7" s="1"/>
  <c r="O161" i="13"/>
  <c r="O162" i="13" s="1"/>
  <c r="O145" i="13"/>
  <c r="W44" i="14"/>
  <c r="U164" i="14"/>
  <c r="U166" i="14" s="1"/>
  <c r="U144" i="14"/>
  <c r="AO83" i="12"/>
  <c r="AA144" i="6"/>
  <c r="R56" i="1"/>
  <c r="AF29" i="10"/>
  <c r="AD28" i="10"/>
  <c r="AD42" i="10" s="1"/>
  <c r="AM31" i="7"/>
  <c r="L28" i="15"/>
  <c r="L42" i="15" s="1"/>
  <c r="N29" i="15"/>
  <c r="AL44" i="11"/>
  <c r="AJ164" i="11"/>
  <c r="AJ166" i="11" s="1"/>
  <c r="AJ144" i="11"/>
  <c r="AD164" i="13"/>
  <c r="AD166" i="13" s="1"/>
  <c r="AF44" i="13"/>
  <c r="AD144" i="13"/>
  <c r="N72" i="16"/>
  <c r="M72" i="16"/>
  <c r="L60" i="16"/>
  <c r="U145" i="12"/>
  <c r="U161" i="12"/>
  <c r="U162" i="12" s="1"/>
  <c r="O145" i="6"/>
  <c r="O161" i="6"/>
  <c r="O162" i="6" s="1"/>
  <c r="AF60" i="9"/>
  <c r="AD44" i="9"/>
  <c r="AD144" i="9" s="1"/>
  <c r="Q44" i="11"/>
  <c r="O164" i="11"/>
  <c r="O166" i="11" s="1"/>
  <c r="O144" i="11"/>
  <c r="AN72" i="11"/>
  <c r="AO72" i="11"/>
  <c r="AO74" i="11"/>
  <c r="H72" i="8"/>
  <c r="G72" i="8"/>
  <c r="F60" i="8"/>
  <c r="AM72" i="8"/>
  <c r="F148" i="16"/>
  <c r="F147" i="7"/>
  <c r="H147" i="7" s="1"/>
  <c r="L53" i="1"/>
  <c r="R144" i="8"/>
  <c r="AG30" i="6"/>
  <c r="AI83" i="6"/>
  <c r="AI72" i="6"/>
  <c r="C28" i="10"/>
  <c r="AM29" i="10"/>
  <c r="AO29" i="10" s="1"/>
  <c r="AM158" i="14"/>
  <c r="AO158" i="14" s="1"/>
  <c r="AQ145" i="6"/>
  <c r="AQ161" i="6"/>
  <c r="AQ162" i="6" s="1"/>
  <c r="L144" i="6"/>
  <c r="H56" i="1"/>
  <c r="AM60" i="11"/>
  <c r="C44" i="11"/>
  <c r="K29" i="10"/>
  <c r="I28" i="10"/>
  <c r="I42" i="10" s="1"/>
  <c r="AM36" i="16"/>
  <c r="U72" i="16"/>
  <c r="U182" i="16"/>
  <c r="C44" i="7"/>
  <c r="AA28" i="9"/>
  <c r="AA42" i="9" s="1"/>
  <c r="AC29" i="9"/>
  <c r="K29" i="9"/>
  <c r="I28" i="9"/>
  <c r="I42" i="9" s="1"/>
  <c r="H44" i="13"/>
  <c r="F164" i="13"/>
  <c r="F166" i="13" s="1"/>
  <c r="F144" i="13"/>
  <c r="AM60" i="13"/>
  <c r="S14" i="1"/>
  <c r="AA85" i="7"/>
  <c r="C162" i="14"/>
  <c r="V53" i="1"/>
  <c r="AG144" i="8"/>
  <c r="AM37" i="16"/>
  <c r="AM30" i="7"/>
  <c r="L28" i="7"/>
  <c r="L42" i="7" s="1"/>
  <c r="N29" i="7"/>
  <c r="R164" i="14"/>
  <c r="R166" i="14" s="1"/>
  <c r="T44" i="14"/>
  <c r="R144" i="14"/>
  <c r="F28" i="15"/>
  <c r="F42" i="15" s="1"/>
  <c r="F144" i="15" s="1"/>
  <c r="H29" i="15"/>
  <c r="F147" i="9"/>
  <c r="H147" i="9" s="1"/>
  <c r="R145" i="12"/>
  <c r="R161" i="12"/>
  <c r="R162" i="12" s="1"/>
  <c r="AJ72" i="16"/>
  <c r="AJ182" i="16"/>
  <c r="W57" i="6"/>
  <c r="V57" i="6"/>
  <c r="AM57" i="6"/>
  <c r="U45" i="6"/>
  <c r="AG28" i="10"/>
  <c r="AG42" i="10" s="1"/>
  <c r="AI29" i="10"/>
  <c r="X55" i="1"/>
  <c r="AJ144" i="9"/>
  <c r="K29" i="8"/>
  <c r="I28" i="8"/>
  <c r="I42" i="8" s="1"/>
  <c r="AI72" i="16"/>
  <c r="AG60" i="16"/>
  <c r="W60" i="9"/>
  <c r="U44" i="9"/>
  <c r="H72" i="7"/>
  <c r="G72" i="7"/>
  <c r="F60" i="7"/>
  <c r="F44" i="7" s="1"/>
  <c r="I33" i="16"/>
  <c r="AM33" i="7"/>
  <c r="E127" i="16"/>
  <c r="AM13" i="6"/>
  <c r="Z29" i="9"/>
  <c r="X28" i="9"/>
  <c r="X42" i="9" s="1"/>
  <c r="O153" i="16"/>
  <c r="AM157" i="16"/>
  <c r="X164" i="13"/>
  <c r="X166" i="13" s="1"/>
  <c r="Z44" i="13"/>
  <c r="X144" i="13"/>
  <c r="F72" i="16"/>
  <c r="F182" i="16"/>
  <c r="W44" i="8"/>
  <c r="U164" i="8"/>
  <c r="U166" i="8" s="1"/>
  <c r="AG164" i="7"/>
  <c r="AG166" i="7" s="1"/>
  <c r="AI44" i="7"/>
  <c r="AO109" i="16"/>
  <c r="C28" i="9"/>
  <c r="E29" i="9"/>
  <c r="AM29" i="9"/>
  <c r="AO29" i="9" s="1"/>
  <c r="AL44" i="13"/>
  <c r="AJ164" i="13"/>
  <c r="AJ166" i="13" s="1"/>
  <c r="AJ144" i="13"/>
  <c r="Z29" i="8"/>
  <c r="X28" i="8"/>
  <c r="X42" i="8" s="1"/>
  <c r="AG145" i="13"/>
  <c r="AG161" i="13"/>
  <c r="AG162" i="13" s="1"/>
  <c r="N52" i="1"/>
  <c r="AM158" i="16"/>
  <c r="H29" i="9"/>
  <c r="F28" i="9"/>
  <c r="F42" i="9" s="1"/>
  <c r="F144" i="9" s="1"/>
  <c r="X85" i="16"/>
  <c r="X84" i="7"/>
  <c r="T44" i="15"/>
  <c r="R164" i="15"/>
  <c r="R166" i="15" s="1"/>
  <c r="L29" i="16"/>
  <c r="AG145" i="14"/>
  <c r="P52" i="1"/>
  <c r="AG153" i="14"/>
  <c r="AG161" i="14" s="1"/>
  <c r="AG162" i="14" s="1"/>
  <c r="AG157" i="16"/>
  <c r="AG153" i="16" s="1"/>
  <c r="AF29" i="7"/>
  <c r="AD28" i="7"/>
  <c r="AD42" i="7" s="1"/>
  <c r="F147" i="11"/>
  <c r="H147" i="11" s="1"/>
  <c r="AO58" i="6"/>
  <c r="F161" i="12"/>
  <c r="F162" i="12" s="1"/>
  <c r="F145" i="12"/>
  <c r="C85" i="16"/>
  <c r="C84" i="7"/>
  <c r="AN72" i="13"/>
  <c r="AO72" i="13"/>
  <c r="AF44" i="8"/>
  <c r="AD164" i="8"/>
  <c r="AD166" i="8" s="1"/>
  <c r="Q84" i="8"/>
  <c r="O83" i="8"/>
  <c r="Q83" i="8" s="1"/>
  <c r="R161" i="6"/>
  <c r="R162" i="6" s="1"/>
  <c r="R145" i="6"/>
  <c r="AD30" i="16"/>
  <c r="AD29" i="16" s="1"/>
  <c r="AO127" i="16"/>
  <c r="T44" i="11"/>
  <c r="R164" i="11"/>
  <c r="R166" i="11" s="1"/>
  <c r="R144" i="11"/>
  <c r="AM157" i="14"/>
  <c r="AO157" i="14" s="1"/>
  <c r="K72" i="16"/>
  <c r="J72" i="16"/>
  <c r="I60" i="16"/>
  <c r="AN72" i="9"/>
  <c r="AO72" i="9"/>
  <c r="AO59" i="15"/>
  <c r="AO160" i="15"/>
  <c r="AO18" i="15"/>
  <c r="AO75" i="15"/>
  <c r="AO17" i="15"/>
  <c r="AO85" i="15"/>
  <c r="AO92" i="15"/>
  <c r="N96" i="15"/>
  <c r="AO47" i="15"/>
  <c r="AO58" i="15"/>
  <c r="AO16" i="15"/>
  <c r="AO150" i="15"/>
  <c r="AO148" i="15"/>
  <c r="AO43" i="15"/>
  <c r="AO147" i="15"/>
  <c r="AO114" i="15"/>
  <c r="AO120" i="15"/>
  <c r="AO89" i="15"/>
  <c r="AO109" i="15"/>
  <c r="AO127" i="15"/>
  <c r="AO153" i="15"/>
  <c r="AO57" i="15"/>
  <c r="AO99" i="15"/>
  <c r="AO96" i="15"/>
  <c r="AO78" i="15"/>
  <c r="AO123" i="15"/>
  <c r="AO84" i="15"/>
  <c r="AG161" i="12"/>
  <c r="AG162" i="12" s="1"/>
  <c r="AG145" i="12"/>
  <c r="O144" i="15"/>
  <c r="AO83" i="14"/>
  <c r="U57" i="16"/>
  <c r="AM58" i="16"/>
  <c r="AO58" i="16" s="1"/>
  <c r="AJ85" i="16"/>
  <c r="AJ84" i="7"/>
  <c r="AJ83" i="7" s="1"/>
  <c r="AJ164" i="7" s="1"/>
  <c r="AJ166" i="7" s="1"/>
  <c r="AD164" i="11"/>
  <c r="AD166" i="11" s="1"/>
  <c r="AF44" i="11"/>
  <c r="AD144" i="11"/>
  <c r="N29" i="9"/>
  <c r="L28" i="9"/>
  <c r="L42" i="9" s="1"/>
  <c r="E61" i="16"/>
  <c r="AI29" i="9"/>
  <c r="AG28" i="9"/>
  <c r="AG42" i="9" s="1"/>
  <c r="AM85" i="8"/>
  <c r="AO85" i="8" s="1"/>
  <c r="C84" i="8"/>
  <c r="AG161" i="11"/>
  <c r="AG162" i="11" s="1"/>
  <c r="AG145" i="11"/>
  <c r="N83" i="8"/>
  <c r="L164" i="8"/>
  <c r="L166" i="8" s="1"/>
  <c r="N53" i="1"/>
  <c r="U144" i="8"/>
  <c r="AM144" i="12"/>
  <c r="AM145" i="12" s="1"/>
  <c r="AO150" i="12"/>
  <c r="AO59" i="12"/>
  <c r="AO114" i="12"/>
  <c r="AO99" i="12"/>
  <c r="AO153" i="12"/>
  <c r="AO157" i="12"/>
  <c r="AO158" i="12"/>
  <c r="AO47" i="12"/>
  <c r="AO159" i="12"/>
  <c r="AO78" i="12"/>
  <c r="AO89" i="12"/>
  <c r="AO57" i="12"/>
  <c r="AO92" i="12"/>
  <c r="AO85" i="12"/>
  <c r="AO96" i="12"/>
  <c r="AO120" i="12"/>
  <c r="AO29" i="12"/>
  <c r="AO58" i="12"/>
  <c r="AO127" i="12"/>
  <c r="AO109" i="12"/>
  <c r="AO123" i="12"/>
  <c r="AO72" i="12"/>
  <c r="AM60" i="9"/>
  <c r="C44" i="9"/>
  <c r="AM153" i="14"/>
  <c r="AO153" i="14" s="1"/>
  <c r="AO46" i="16"/>
  <c r="AO43" i="16"/>
  <c r="T29" i="9"/>
  <c r="R28" i="9"/>
  <c r="R42" i="9" s="1"/>
  <c r="AM34" i="15"/>
  <c r="C29" i="15"/>
  <c r="C34" i="16"/>
  <c r="AM34" i="16" s="1"/>
  <c r="AE72" i="7"/>
  <c r="AF72" i="7"/>
  <c r="AD60" i="7"/>
  <c r="AD44" i="7" s="1"/>
  <c r="K84" i="7"/>
  <c r="I83" i="7"/>
  <c r="K83" i="7" s="1"/>
  <c r="N44" i="7"/>
  <c r="L164" i="7"/>
  <c r="L166" i="7" s="1"/>
  <c r="R85" i="16"/>
  <c r="R84" i="7"/>
  <c r="AO61" i="16"/>
  <c r="R53" i="1"/>
  <c r="AA144" i="8"/>
  <c r="AF44" i="15"/>
  <c r="AD164" i="15"/>
  <c r="AD166" i="15" s="1"/>
  <c r="AM85" i="11"/>
  <c r="AO85" i="11" s="1"/>
  <c r="C84" i="11"/>
  <c r="AJ144" i="8"/>
  <c r="X53" i="1"/>
  <c r="X144" i="10"/>
  <c r="P61" i="1"/>
  <c r="AO44" i="12"/>
  <c r="AC44" i="7"/>
  <c r="AM32" i="16"/>
  <c r="AO44" i="10"/>
  <c r="AD145" i="9" l="1"/>
  <c r="AJ28" i="16"/>
  <c r="AJ42" i="16" s="1"/>
  <c r="AL29" i="16"/>
  <c r="AJ145" i="13"/>
  <c r="AJ161" i="13"/>
  <c r="AJ162" i="13" s="1"/>
  <c r="G72" i="16"/>
  <c r="H72" i="16"/>
  <c r="F60" i="16"/>
  <c r="AJ145" i="9"/>
  <c r="C164" i="7"/>
  <c r="C166" i="7" s="1"/>
  <c r="E44" i="7"/>
  <c r="AM44" i="7"/>
  <c r="AO44" i="7" s="1"/>
  <c r="F147" i="16"/>
  <c r="H147" i="16" s="1"/>
  <c r="H148" i="16"/>
  <c r="F180" i="16"/>
  <c r="L144" i="8"/>
  <c r="H53" i="1"/>
  <c r="C144" i="6"/>
  <c r="U144" i="15"/>
  <c r="N60" i="1"/>
  <c r="E44" i="16"/>
  <c r="AM60" i="7"/>
  <c r="AN72" i="8"/>
  <c r="AO72" i="8"/>
  <c r="AC60" i="16"/>
  <c r="AA44" i="16"/>
  <c r="AC44" i="16" s="1"/>
  <c r="AM28" i="8"/>
  <c r="C42" i="8"/>
  <c r="AM140" i="5"/>
  <c r="AM144" i="5" s="1"/>
  <c r="C144" i="5"/>
  <c r="F144" i="7"/>
  <c r="U161" i="11"/>
  <c r="U162" i="11" s="1"/>
  <c r="U145" i="11"/>
  <c r="Q44" i="7"/>
  <c r="O164" i="7"/>
  <c r="O166" i="7" s="1"/>
  <c r="AA144" i="15"/>
  <c r="R60" i="1"/>
  <c r="O114" i="2"/>
  <c r="C119" i="2"/>
  <c r="C29" i="16"/>
  <c r="R84" i="16"/>
  <c r="R181" i="16"/>
  <c r="R144" i="9"/>
  <c r="L55" i="1"/>
  <c r="C83" i="8"/>
  <c r="AM84" i="8"/>
  <c r="E84" i="8"/>
  <c r="F145" i="9"/>
  <c r="F161" i="9"/>
  <c r="F162" i="9" s="1"/>
  <c r="X145" i="13"/>
  <c r="X161" i="13"/>
  <c r="X162" i="13" s="1"/>
  <c r="AG144" i="10"/>
  <c r="V61" i="1"/>
  <c r="R161" i="14"/>
  <c r="R162" i="14" s="1"/>
  <c r="R145" i="14"/>
  <c r="W72" i="16"/>
  <c r="V72" i="16"/>
  <c r="U60" i="16"/>
  <c r="W60" i="16" s="1"/>
  <c r="L144" i="15"/>
  <c r="H60" i="1"/>
  <c r="U164" i="7"/>
  <c r="U166" i="7" s="1"/>
  <c r="W44" i="7"/>
  <c r="AG145" i="7"/>
  <c r="R144" i="15"/>
  <c r="L60" i="1"/>
  <c r="AD144" i="8"/>
  <c r="T53" i="1"/>
  <c r="AM30" i="16"/>
  <c r="J62" i="1"/>
  <c r="K52" i="1" s="1"/>
  <c r="U44" i="6"/>
  <c r="AM45" i="6"/>
  <c r="AO45" i="6" s="1"/>
  <c r="AI84" i="16"/>
  <c r="AG83" i="16"/>
  <c r="AI83" i="16" s="1"/>
  <c r="U145" i="10"/>
  <c r="U161" i="10"/>
  <c r="U162" i="10" s="1"/>
  <c r="Q72" i="16"/>
  <c r="P72" i="16"/>
  <c r="O60" i="16"/>
  <c r="AF84" i="7"/>
  <c r="AD83" i="7"/>
  <c r="AF83" i="7" s="1"/>
  <c r="O144" i="7"/>
  <c r="AJ84" i="16"/>
  <c r="AJ83" i="16" s="1"/>
  <c r="AL83" i="16" s="1"/>
  <c r="AJ181" i="16"/>
  <c r="T52" i="1"/>
  <c r="F164" i="7"/>
  <c r="F166" i="7" s="1"/>
  <c r="H44" i="7"/>
  <c r="I144" i="15"/>
  <c r="F60" i="1"/>
  <c r="R164" i="9"/>
  <c r="R166" i="9" s="1"/>
  <c r="T44" i="9"/>
  <c r="AJ145" i="8"/>
  <c r="U45" i="16"/>
  <c r="AM57" i="16"/>
  <c r="E84" i="11"/>
  <c r="AM84" i="11"/>
  <c r="AO84" i="11" s="1"/>
  <c r="C83" i="11"/>
  <c r="AG144" i="9"/>
  <c r="V55" i="1"/>
  <c r="AM28" i="9"/>
  <c r="C42" i="9"/>
  <c r="U164" i="9"/>
  <c r="U166" i="9" s="1"/>
  <c r="W44" i="9"/>
  <c r="U144" i="9"/>
  <c r="AO57" i="6"/>
  <c r="AN57" i="6"/>
  <c r="F145" i="13"/>
  <c r="F161" i="13"/>
  <c r="F162" i="13" s="1"/>
  <c r="AM28" i="10"/>
  <c r="C42" i="10"/>
  <c r="N60" i="16"/>
  <c r="L44" i="16"/>
  <c r="N44" i="16" s="1"/>
  <c r="T61" i="1"/>
  <c r="AD144" i="10"/>
  <c r="I164" i="7"/>
  <c r="I166" i="7" s="1"/>
  <c r="X161" i="14"/>
  <c r="X162" i="14" s="1"/>
  <c r="X145" i="14"/>
  <c r="O164" i="8"/>
  <c r="O166" i="8" s="1"/>
  <c r="O44" i="14"/>
  <c r="AM60" i="14"/>
  <c r="X144" i="15"/>
  <c r="P60" i="1"/>
  <c r="AD84" i="16"/>
  <c r="AD181" i="16"/>
  <c r="I145" i="14"/>
  <c r="I161" i="14"/>
  <c r="AO72" i="14"/>
  <c r="AN72" i="14"/>
  <c r="U83" i="7"/>
  <c r="W84" i="7"/>
  <c r="AA28" i="7"/>
  <c r="AA42" i="7" s="1"/>
  <c r="AC29" i="7"/>
  <c r="L164" i="15"/>
  <c r="L166" i="15" s="1"/>
  <c r="AM44" i="15"/>
  <c r="AO44" i="15" s="1"/>
  <c r="F83" i="16"/>
  <c r="H83" i="16" s="1"/>
  <c r="H84" i="16"/>
  <c r="X161" i="10"/>
  <c r="X162" i="10" s="1"/>
  <c r="X145" i="10"/>
  <c r="K60" i="16"/>
  <c r="I44" i="16"/>
  <c r="K44" i="16" s="1"/>
  <c r="Q153" i="16"/>
  <c r="AM153" i="16"/>
  <c r="AO153" i="16" s="1"/>
  <c r="H52" i="1"/>
  <c r="L144" i="7"/>
  <c r="AD145" i="14"/>
  <c r="AD161" i="14"/>
  <c r="AD162" i="14" s="1"/>
  <c r="Z29" i="16"/>
  <c r="X28" i="16"/>
  <c r="X42" i="16" s="1"/>
  <c r="AA144" i="9"/>
  <c r="R55" i="1"/>
  <c r="L161" i="6"/>
  <c r="L162" i="6" s="1"/>
  <c r="L145" i="6"/>
  <c r="AD164" i="9"/>
  <c r="AD166" i="9" s="1"/>
  <c r="AF44" i="9"/>
  <c r="AJ145" i="11"/>
  <c r="AJ161" i="11"/>
  <c r="AJ162" i="11" s="1"/>
  <c r="H29" i="6"/>
  <c r="F28" i="6"/>
  <c r="AD161" i="6"/>
  <c r="AD162" i="6" s="1"/>
  <c r="AD145" i="6"/>
  <c r="U145" i="13"/>
  <c r="U161" i="13"/>
  <c r="U162" i="13" s="1"/>
  <c r="AM29" i="15"/>
  <c r="AO29" i="15" s="1"/>
  <c r="C28" i="15"/>
  <c r="X83" i="7"/>
  <c r="Z84" i="7"/>
  <c r="R83" i="7"/>
  <c r="T84" i="7"/>
  <c r="X84" i="16"/>
  <c r="X181" i="16"/>
  <c r="F161" i="15"/>
  <c r="F162" i="15" s="1"/>
  <c r="F145" i="15"/>
  <c r="AA85" i="16"/>
  <c r="AA84" i="7"/>
  <c r="F44" i="8"/>
  <c r="AM60" i="8"/>
  <c r="O144" i="8"/>
  <c r="O161" i="15"/>
  <c r="O162" i="15" s="1"/>
  <c r="O145" i="15"/>
  <c r="R161" i="11"/>
  <c r="R162" i="11" s="1"/>
  <c r="R145" i="11"/>
  <c r="I144" i="10"/>
  <c r="F61" i="1"/>
  <c r="AG145" i="15"/>
  <c r="AG161" i="15"/>
  <c r="AG162" i="15" s="1"/>
  <c r="X161" i="11"/>
  <c r="X162" i="11" s="1"/>
  <c r="X145" i="11"/>
  <c r="N84" i="16"/>
  <c r="L83" i="16"/>
  <c r="N83" i="16" s="1"/>
  <c r="E84" i="7"/>
  <c r="C83" i="7"/>
  <c r="U207" i="16"/>
  <c r="U84" i="16"/>
  <c r="U181" i="16"/>
  <c r="I83" i="16"/>
  <c r="K83" i="16" s="1"/>
  <c r="K84" i="16"/>
  <c r="AD164" i="7"/>
  <c r="AD166" i="7" s="1"/>
  <c r="AF44" i="7"/>
  <c r="C164" i="9"/>
  <c r="C166" i="9" s="1"/>
  <c r="E44" i="9"/>
  <c r="AM44" i="9"/>
  <c r="AO44" i="9" s="1"/>
  <c r="L144" i="9"/>
  <c r="H55" i="1"/>
  <c r="AM85" i="7"/>
  <c r="AO85" i="7" s="1"/>
  <c r="X144" i="9"/>
  <c r="P55" i="1"/>
  <c r="AI60" i="16"/>
  <c r="AG44" i="16"/>
  <c r="AI44" i="16" s="1"/>
  <c r="I144" i="9"/>
  <c r="F55" i="1"/>
  <c r="AM44" i="11"/>
  <c r="AO44" i="11" s="1"/>
  <c r="E44" i="11"/>
  <c r="C144" i="11"/>
  <c r="AG29" i="6"/>
  <c r="AG28" i="6" s="1"/>
  <c r="AG42" i="6" s="1"/>
  <c r="AG30" i="16"/>
  <c r="AG29" i="16" s="1"/>
  <c r="O145" i="11"/>
  <c r="O161" i="11"/>
  <c r="O162" i="11" s="1"/>
  <c r="AD145" i="13"/>
  <c r="AD161" i="13"/>
  <c r="AD162" i="13" s="1"/>
  <c r="AA145" i="6"/>
  <c r="AA161" i="6"/>
  <c r="AA162" i="6" s="1"/>
  <c r="I28" i="7"/>
  <c r="I42" i="7" s="1"/>
  <c r="K29" i="7"/>
  <c r="AA43" i="16"/>
  <c r="AC29" i="16"/>
  <c r="AA28" i="16"/>
  <c r="AA42" i="16" s="1"/>
  <c r="T44" i="7"/>
  <c r="R164" i="7"/>
  <c r="R166" i="7" s="1"/>
  <c r="Z44" i="7"/>
  <c r="X164" i="7"/>
  <c r="X166" i="7" s="1"/>
  <c r="AA145" i="8"/>
  <c r="U145" i="8"/>
  <c r="C84" i="16"/>
  <c r="E85" i="16"/>
  <c r="C181" i="16"/>
  <c r="AL72" i="16"/>
  <c r="AJ60" i="16"/>
  <c r="AO60" i="11"/>
  <c r="AN60" i="11"/>
  <c r="R145" i="8"/>
  <c r="I29" i="16"/>
  <c r="AM72" i="16"/>
  <c r="O83" i="16"/>
  <c r="Q83" i="16" s="1"/>
  <c r="Q84" i="16"/>
  <c r="AO45" i="5"/>
  <c r="AO79" i="5"/>
  <c r="AO113" i="5"/>
  <c r="AO78" i="5"/>
  <c r="AO119" i="5"/>
  <c r="AO85" i="5"/>
  <c r="AO29" i="5"/>
  <c r="AO98" i="5"/>
  <c r="AO95" i="5"/>
  <c r="AO91" i="5"/>
  <c r="AO88" i="5"/>
  <c r="AO126" i="5"/>
  <c r="AO84" i="5"/>
  <c r="AO108" i="5"/>
  <c r="AO122" i="5"/>
  <c r="AO83" i="5"/>
  <c r="F145" i="11"/>
  <c r="F161" i="11"/>
  <c r="F162" i="11" s="1"/>
  <c r="O164" i="9"/>
  <c r="O166" i="9" s="1"/>
  <c r="O144" i="9"/>
  <c r="AO59" i="16"/>
  <c r="AO150" i="16"/>
  <c r="AO86" i="16"/>
  <c r="AO75" i="16"/>
  <c r="AO120" i="16"/>
  <c r="AO114" i="16"/>
  <c r="AO92" i="16"/>
  <c r="AO76" i="16"/>
  <c r="AO89" i="16"/>
  <c r="AO123" i="16"/>
  <c r="AO87" i="16"/>
  <c r="AO79" i="16"/>
  <c r="AO99" i="16"/>
  <c r="AO80" i="16"/>
  <c r="AO77" i="16"/>
  <c r="E84" i="13"/>
  <c r="AM84" i="13"/>
  <c r="AO84" i="13" s="1"/>
  <c r="C83" i="13"/>
  <c r="AF72" i="16"/>
  <c r="AE72" i="16"/>
  <c r="AD60" i="16"/>
  <c r="AD161" i="11"/>
  <c r="AD162" i="11" s="1"/>
  <c r="AD145" i="11"/>
  <c r="AD28" i="16"/>
  <c r="AD42" i="16" s="1"/>
  <c r="AF29" i="16"/>
  <c r="L28" i="16"/>
  <c r="L42" i="16" s="1"/>
  <c r="L144" i="16" s="1"/>
  <c r="N29" i="16"/>
  <c r="X144" i="8"/>
  <c r="P53" i="1"/>
  <c r="AO157" i="6"/>
  <c r="AO150" i="6"/>
  <c r="AO79" i="6"/>
  <c r="AO59" i="6"/>
  <c r="AO148" i="6"/>
  <c r="AO85" i="6"/>
  <c r="AO84" i="6"/>
  <c r="AO153" i="6"/>
  <c r="AO16" i="6"/>
  <c r="AO127" i="6"/>
  <c r="AO60" i="6"/>
  <c r="AO46" i="6"/>
  <c r="AO120" i="6"/>
  <c r="AO78" i="6"/>
  <c r="AO109" i="6"/>
  <c r="AO89" i="6"/>
  <c r="AO114" i="6"/>
  <c r="AO123" i="6"/>
  <c r="AO96" i="6"/>
  <c r="AO147" i="6"/>
  <c r="AO72" i="6"/>
  <c r="AO99" i="6"/>
  <c r="AO92" i="6"/>
  <c r="AO83" i="6"/>
  <c r="F53" i="1"/>
  <c r="I144" i="8"/>
  <c r="AG145" i="8"/>
  <c r="U161" i="14"/>
  <c r="U162" i="14" s="1"/>
  <c r="U145" i="14"/>
  <c r="T72" i="16"/>
  <c r="S72" i="16"/>
  <c r="R60" i="16"/>
  <c r="Z72" i="16"/>
  <c r="Y72" i="16"/>
  <c r="X60" i="16"/>
  <c r="AJ144" i="7"/>
  <c r="X52" i="1"/>
  <c r="K62" i="1" l="1"/>
  <c r="J36" i="1"/>
  <c r="O151" i="7"/>
  <c r="U145" i="9"/>
  <c r="W44" i="6"/>
  <c r="AM44" i="6"/>
  <c r="AO44" i="6" s="1"/>
  <c r="U144" i="6"/>
  <c r="E29" i="16"/>
  <c r="C28" i="16"/>
  <c r="AM29" i="16"/>
  <c r="AO29" i="16" s="1"/>
  <c r="C144" i="8"/>
  <c r="AM42" i="8"/>
  <c r="O145" i="7"/>
  <c r="C151" i="13"/>
  <c r="AM151" i="13" s="1"/>
  <c r="C151" i="11"/>
  <c r="AM151" i="11" s="1"/>
  <c r="C151" i="9"/>
  <c r="C151" i="7"/>
  <c r="C151" i="8"/>
  <c r="O119" i="2"/>
  <c r="U145" i="15"/>
  <c r="U161" i="15"/>
  <c r="U162" i="15" s="1"/>
  <c r="L145" i="7"/>
  <c r="E83" i="13"/>
  <c r="AM83" i="13"/>
  <c r="AO83" i="13" s="1"/>
  <c r="C164" i="13"/>
  <c r="C166" i="13" s="1"/>
  <c r="C144" i="13"/>
  <c r="AD161" i="10"/>
  <c r="AD162" i="10" s="1"/>
  <c r="AD145" i="10"/>
  <c r="K61" i="1"/>
  <c r="K54" i="1"/>
  <c r="J38" i="1" s="1"/>
  <c r="K58" i="1"/>
  <c r="J42" i="1" s="1"/>
  <c r="K57" i="1"/>
  <c r="J41" i="1" s="1"/>
  <c r="K55" i="1"/>
  <c r="K56" i="1"/>
  <c r="J40" i="1" s="1"/>
  <c r="K59" i="1"/>
  <c r="J43" i="1" s="1"/>
  <c r="K60" i="1"/>
  <c r="J44" i="1" s="1"/>
  <c r="H60" i="16"/>
  <c r="F44" i="16"/>
  <c r="AM60" i="16"/>
  <c r="AO60" i="16" s="1"/>
  <c r="F164" i="8"/>
  <c r="F166" i="8" s="1"/>
  <c r="H44" i="8"/>
  <c r="F144" i="8"/>
  <c r="AM44" i="8"/>
  <c r="AO44" i="8" s="1"/>
  <c r="AA83" i="7"/>
  <c r="AC84" i="7"/>
  <c r="W84" i="16"/>
  <c r="U83" i="16"/>
  <c r="W83" i="16" s="1"/>
  <c r="U61" i="1"/>
  <c r="U53" i="1"/>
  <c r="AA145" i="15"/>
  <c r="AA161" i="15"/>
  <c r="AA162" i="15" s="1"/>
  <c r="C145" i="6"/>
  <c r="C161" i="6"/>
  <c r="I145" i="8"/>
  <c r="U44" i="16"/>
  <c r="W45" i="16"/>
  <c r="AM45" i="16"/>
  <c r="AO45" i="16" s="1"/>
  <c r="X145" i="8"/>
  <c r="AM42" i="9"/>
  <c r="C144" i="9"/>
  <c r="I60" i="1"/>
  <c r="H44" i="1" s="1"/>
  <c r="AN84" i="8"/>
  <c r="AO84" i="8"/>
  <c r="AL60" i="16"/>
  <c r="AJ44" i="16"/>
  <c r="AL44" i="16" s="1"/>
  <c r="E84" i="16"/>
  <c r="C83" i="16"/>
  <c r="AA145" i="9"/>
  <c r="AM144" i="11"/>
  <c r="AM145" i="11" s="1"/>
  <c r="C145" i="11"/>
  <c r="Z60" i="16"/>
  <c r="X44" i="16"/>
  <c r="Z44" i="16" s="1"/>
  <c r="I145" i="9"/>
  <c r="AG145" i="10"/>
  <c r="AG161" i="10"/>
  <c r="AG162" i="10" s="1"/>
  <c r="H62" i="1"/>
  <c r="I52" i="1"/>
  <c r="T60" i="16"/>
  <c r="R44" i="16"/>
  <c r="AD145" i="8"/>
  <c r="I162" i="14"/>
  <c r="AA84" i="16"/>
  <c r="AA181" i="16"/>
  <c r="X145" i="9"/>
  <c r="N62" i="1"/>
  <c r="AF60" i="16"/>
  <c r="AD44" i="16"/>
  <c r="AF44" i="16" s="1"/>
  <c r="AM28" i="15"/>
  <c r="C42" i="15"/>
  <c r="I145" i="10"/>
  <c r="I161" i="10"/>
  <c r="I162" i="10" s="1"/>
  <c r="L145" i="16"/>
  <c r="AI29" i="16"/>
  <c r="AG28" i="16"/>
  <c r="AG42" i="16" s="1"/>
  <c r="AG144" i="16" s="1"/>
  <c r="AD83" i="16"/>
  <c r="AF83" i="16" s="1"/>
  <c r="AF84" i="16"/>
  <c r="Q60" i="16"/>
  <c r="O44" i="16"/>
  <c r="L161" i="15"/>
  <c r="L162" i="15" s="1"/>
  <c r="L145" i="15"/>
  <c r="AG144" i="6"/>
  <c r="V56" i="1"/>
  <c r="AM84" i="7"/>
  <c r="AO84" i="7" s="1"/>
  <c r="Q60" i="1"/>
  <c r="P44" i="1" s="1"/>
  <c r="I161" i="15"/>
  <c r="I162" i="15" s="1"/>
  <c r="I145" i="15"/>
  <c r="AN72" i="16"/>
  <c r="AO72" i="16"/>
  <c r="AM85" i="16"/>
  <c r="L145" i="9"/>
  <c r="AM83" i="7"/>
  <c r="AO83" i="7" s="1"/>
  <c r="E83" i="7"/>
  <c r="X83" i="16"/>
  <c r="Z83" i="16" s="1"/>
  <c r="Z84" i="16"/>
  <c r="AA144" i="7"/>
  <c r="R52" i="1"/>
  <c r="X161" i="15"/>
  <c r="X162" i="15" s="1"/>
  <c r="X145" i="15"/>
  <c r="C144" i="10"/>
  <c r="AM42" i="10"/>
  <c r="AG145" i="9"/>
  <c r="AM83" i="8"/>
  <c r="AO83" i="8" s="1"/>
  <c r="E83" i="8"/>
  <c r="C164" i="8"/>
  <c r="C166" i="8" s="1"/>
  <c r="L145" i="8"/>
  <c r="I28" i="16"/>
  <c r="I42" i="16" s="1"/>
  <c r="I144" i="16" s="1"/>
  <c r="K29" i="16"/>
  <c r="I144" i="7"/>
  <c r="F52" i="1"/>
  <c r="AM29" i="6"/>
  <c r="AO29" i="6" s="1"/>
  <c r="AM83" i="11"/>
  <c r="AO83" i="11" s="1"/>
  <c r="E83" i="11"/>
  <c r="K53" i="1"/>
  <c r="M55" i="1"/>
  <c r="O145" i="9"/>
  <c r="AM28" i="7"/>
  <c r="AM42" i="7"/>
  <c r="O145" i="8"/>
  <c r="T83" i="7"/>
  <c r="R144" i="7"/>
  <c r="F42" i="6"/>
  <c r="AM28" i="6"/>
  <c r="P62" i="1"/>
  <c r="W83" i="7"/>
  <c r="U144" i="7"/>
  <c r="O164" i="14"/>
  <c r="O166" i="14" s="1"/>
  <c r="Q44" i="14"/>
  <c r="O144" i="14"/>
  <c r="AM44" i="14"/>
  <c r="AO44" i="14" s="1"/>
  <c r="T62" i="1"/>
  <c r="U52" i="1"/>
  <c r="R145" i="9"/>
  <c r="L62" i="1"/>
  <c r="M60" i="1" s="1"/>
  <c r="L44" i="1" s="1"/>
  <c r="X62" i="1"/>
  <c r="Y52" i="1"/>
  <c r="C144" i="7"/>
  <c r="C164" i="11"/>
  <c r="C166" i="11" s="1"/>
  <c r="V62" i="1"/>
  <c r="AD144" i="7"/>
  <c r="F145" i="7"/>
  <c r="F161" i="7"/>
  <c r="AJ144" i="16"/>
  <c r="AJ145" i="7"/>
  <c r="Z83" i="7"/>
  <c r="X144" i="7"/>
  <c r="AO57" i="16"/>
  <c r="AN57" i="16"/>
  <c r="R161" i="15"/>
  <c r="R162" i="15" s="1"/>
  <c r="R145" i="15"/>
  <c r="T84" i="16"/>
  <c r="R83" i="16"/>
  <c r="T83" i="16" s="1"/>
  <c r="C89" i="2"/>
  <c r="C156" i="5"/>
  <c r="F145" i="8" l="1"/>
  <c r="F161" i="8"/>
  <c r="F162" i="8" s="1"/>
  <c r="AM144" i="8"/>
  <c r="AM145" i="8" s="1"/>
  <c r="C145" i="8"/>
  <c r="I145" i="16"/>
  <c r="AG145" i="16"/>
  <c r="AM28" i="16"/>
  <c r="C42" i="16"/>
  <c r="AA145" i="7"/>
  <c r="U145" i="7"/>
  <c r="L39" i="1"/>
  <c r="R148" i="9" s="1"/>
  <c r="R147" i="9" s="1"/>
  <c r="R151" i="9"/>
  <c r="C151" i="16"/>
  <c r="R62" i="1"/>
  <c r="S52" i="1" s="1"/>
  <c r="X36" i="1"/>
  <c r="Y62" i="1"/>
  <c r="AJ151" i="7"/>
  <c r="AD151" i="8"/>
  <c r="T37" i="1"/>
  <c r="AD148" i="8" s="1"/>
  <c r="AD147" i="8" s="1"/>
  <c r="H44" i="16"/>
  <c r="AM44" i="16"/>
  <c r="AO44" i="16" s="1"/>
  <c r="F144" i="16"/>
  <c r="C145" i="13"/>
  <c r="AM144" i="13"/>
  <c r="AM145" i="13" s="1"/>
  <c r="U145" i="6"/>
  <c r="U161" i="6"/>
  <c r="U162" i="6" s="1"/>
  <c r="AJ145" i="16"/>
  <c r="R145" i="7"/>
  <c r="X144" i="16"/>
  <c r="X145" i="7"/>
  <c r="AM144" i="7"/>
  <c r="AM145" i="7" s="1"/>
  <c r="C145" i="7"/>
  <c r="L151" i="7"/>
  <c r="H36" i="1"/>
  <c r="AA83" i="16"/>
  <c r="AC84" i="16"/>
  <c r="AO158" i="9"/>
  <c r="AO157" i="9"/>
  <c r="O89" i="2"/>
  <c r="O96" i="2" s="1"/>
  <c r="C96" i="2"/>
  <c r="U54" i="1"/>
  <c r="T38" i="1" s="1"/>
  <c r="U58" i="1"/>
  <c r="T42" i="1" s="1"/>
  <c r="U57" i="1"/>
  <c r="T41" i="1" s="1"/>
  <c r="U59" i="1"/>
  <c r="T43" i="1" s="1"/>
  <c r="U60" i="1"/>
  <c r="T44" i="1" s="1"/>
  <c r="U55" i="1"/>
  <c r="U56" i="1"/>
  <c r="T40" i="1" s="1"/>
  <c r="W54" i="1"/>
  <c r="V38" i="1" s="1"/>
  <c r="W59" i="1"/>
  <c r="V43" i="1" s="1"/>
  <c r="W57" i="1"/>
  <c r="V41" i="1" s="1"/>
  <c r="W58" i="1"/>
  <c r="V42" i="1" s="1"/>
  <c r="W52" i="1"/>
  <c r="W53" i="1"/>
  <c r="W60" i="1"/>
  <c r="V44" i="1" s="1"/>
  <c r="I58" i="1"/>
  <c r="H42" i="1" s="1"/>
  <c r="I59" i="1"/>
  <c r="H43" i="1" s="1"/>
  <c r="I54" i="1"/>
  <c r="H38" i="1" s="1"/>
  <c r="I61" i="1"/>
  <c r="I57" i="1"/>
  <c r="H41" i="1" s="1"/>
  <c r="I56" i="1"/>
  <c r="H40" i="1" s="1"/>
  <c r="Q54" i="1"/>
  <c r="P38" i="1" s="1"/>
  <c r="Q59" i="1"/>
  <c r="P43" i="1" s="1"/>
  <c r="Q56" i="1"/>
  <c r="P40" i="1" s="1"/>
  <c r="Q58" i="1"/>
  <c r="P42" i="1" s="1"/>
  <c r="Q57" i="1"/>
  <c r="P41" i="1" s="1"/>
  <c r="Q52" i="1"/>
  <c r="Q61" i="1"/>
  <c r="AM84" i="16"/>
  <c r="AO84" i="16" s="1"/>
  <c r="F144" i="6"/>
  <c r="AM42" i="6"/>
  <c r="AG145" i="6"/>
  <c r="AG161" i="6"/>
  <c r="AG162" i="6" s="1"/>
  <c r="AO160" i="10"/>
  <c r="AO158" i="10"/>
  <c r="AO157" i="10"/>
  <c r="AO159" i="10"/>
  <c r="W61" i="1"/>
  <c r="F62" i="1"/>
  <c r="G52" i="1"/>
  <c r="I55" i="1"/>
  <c r="I145" i="7"/>
  <c r="T44" i="16"/>
  <c r="R144" i="16"/>
  <c r="I53" i="1"/>
  <c r="I62" i="1" s="1"/>
  <c r="J39" i="1"/>
  <c r="O148" i="9" s="1"/>
  <c r="O147" i="9" s="1"/>
  <c r="O151" i="9"/>
  <c r="O54" i="1"/>
  <c r="N38" i="1" s="1"/>
  <c r="O59" i="1"/>
  <c r="N43" i="1" s="1"/>
  <c r="O58" i="1"/>
  <c r="N42" i="1" s="1"/>
  <c r="O56" i="1"/>
  <c r="N40" i="1" s="1"/>
  <c r="O57" i="1"/>
  <c r="N41" i="1" s="1"/>
  <c r="O55" i="1"/>
  <c r="O53" i="1"/>
  <c r="O61" i="1"/>
  <c r="O52" i="1"/>
  <c r="W55" i="1"/>
  <c r="C145" i="9"/>
  <c r="AM144" i="9"/>
  <c r="AM145" i="9" s="1"/>
  <c r="Y58" i="1"/>
  <c r="X42" i="1" s="1"/>
  <c r="Y54" i="1"/>
  <c r="X38" i="1" s="1"/>
  <c r="Y56" i="1"/>
  <c r="X40" i="1" s="1"/>
  <c r="Y57" i="1"/>
  <c r="X41" i="1" s="1"/>
  <c r="Y59" i="1"/>
  <c r="X43" i="1" s="1"/>
  <c r="Y61" i="1"/>
  <c r="Y60" i="1"/>
  <c r="X44" i="1" s="1"/>
  <c r="Y53" i="1"/>
  <c r="Y55" i="1"/>
  <c r="J37" i="1"/>
  <c r="O148" i="8" s="1"/>
  <c r="O147" i="8" s="1"/>
  <c r="O161" i="8" s="1"/>
  <c r="O162" i="8" s="1"/>
  <c r="O151" i="8"/>
  <c r="O151" i="16" s="1"/>
  <c r="O184" i="16" s="1"/>
  <c r="Q53" i="1"/>
  <c r="M54" i="1"/>
  <c r="L38" i="1" s="1"/>
  <c r="M61" i="1"/>
  <c r="M57" i="1"/>
  <c r="L41" i="1" s="1"/>
  <c r="M58" i="1"/>
  <c r="L42" i="1" s="1"/>
  <c r="M59" i="1"/>
  <c r="L43" i="1" s="1"/>
  <c r="M56" i="1"/>
  <c r="L40" i="1" s="1"/>
  <c r="M52" i="1"/>
  <c r="M53" i="1"/>
  <c r="W56" i="1"/>
  <c r="V40" i="1" s="1"/>
  <c r="E83" i="16"/>
  <c r="AM83" i="16"/>
  <c r="AO83" i="16" s="1"/>
  <c r="F178" i="16"/>
  <c r="F173" i="16"/>
  <c r="F174" i="16" s="1"/>
  <c r="F162" i="7"/>
  <c r="U62" i="1"/>
  <c r="T36" i="1"/>
  <c r="AD151" i="7"/>
  <c r="AO85" i="16"/>
  <c r="AM181" i="16"/>
  <c r="C144" i="15"/>
  <c r="AM42" i="15"/>
  <c r="AM144" i="10"/>
  <c r="AM145" i="10" s="1"/>
  <c r="C145" i="10"/>
  <c r="C161" i="10"/>
  <c r="Q44" i="16"/>
  <c r="O144" i="16"/>
  <c r="W44" i="16"/>
  <c r="U144" i="16"/>
  <c r="Q55" i="1"/>
  <c r="AD145" i="7"/>
  <c r="O145" i="14"/>
  <c r="O161" i="14"/>
  <c r="AM144" i="14"/>
  <c r="AM145" i="14" s="1"/>
  <c r="AD144" i="16"/>
  <c r="AC83" i="7"/>
  <c r="AA164" i="7"/>
  <c r="AA166" i="7" s="1"/>
  <c r="O60" i="1"/>
  <c r="N44" i="1" s="1"/>
  <c r="J46" i="1"/>
  <c r="O148" i="7"/>
  <c r="C162" i="6"/>
  <c r="AO158" i="8"/>
  <c r="AO156" i="8"/>
  <c r="AO160" i="8"/>
  <c r="R36" i="1" l="1"/>
  <c r="S62" i="1"/>
  <c r="AA151" i="7"/>
  <c r="X46" i="1"/>
  <c r="AJ148" i="7"/>
  <c r="F36" i="1"/>
  <c r="I151" i="7"/>
  <c r="S54" i="1"/>
  <c r="R38" i="1" s="1"/>
  <c r="S58" i="1"/>
  <c r="R42" i="1" s="1"/>
  <c r="S59" i="1"/>
  <c r="R43" i="1" s="1"/>
  <c r="S61" i="1"/>
  <c r="S57" i="1"/>
  <c r="R41" i="1" s="1"/>
  <c r="S53" i="1"/>
  <c r="S56" i="1"/>
  <c r="R40" i="1" s="1"/>
  <c r="S60" i="1"/>
  <c r="R44" i="1" s="1"/>
  <c r="S55" i="1"/>
  <c r="C184" i="16"/>
  <c r="C148" i="12"/>
  <c r="C148" i="7"/>
  <c r="C148" i="13"/>
  <c r="C148" i="11"/>
  <c r="C148" i="9"/>
  <c r="C148" i="8"/>
  <c r="X39" i="1"/>
  <c r="AJ148" i="9" s="1"/>
  <c r="AJ147" i="9" s="1"/>
  <c r="AJ161" i="9" s="1"/>
  <c r="AJ162" i="9" s="1"/>
  <c r="AJ151" i="9"/>
  <c r="T147" i="9"/>
  <c r="R161" i="9"/>
  <c r="R162" i="9" s="1"/>
  <c r="O145" i="16"/>
  <c r="C162" i="10"/>
  <c r="AM161" i="10"/>
  <c r="AM162" i="10" s="1"/>
  <c r="X151" i="8"/>
  <c r="P37" i="1"/>
  <c r="X148" i="8" s="1"/>
  <c r="X147" i="8" s="1"/>
  <c r="X161" i="8" s="1"/>
  <c r="X162" i="8" s="1"/>
  <c r="AD145" i="16"/>
  <c r="AO158" i="15"/>
  <c r="AO157" i="15"/>
  <c r="AO159" i="15"/>
  <c r="Q147" i="9"/>
  <c r="O161" i="9"/>
  <c r="O162" i="9" s="1"/>
  <c r="X145" i="16"/>
  <c r="G58" i="1"/>
  <c r="F42" i="1" s="1"/>
  <c r="G54" i="1"/>
  <c r="F38" i="1" s="1"/>
  <c r="G59" i="1"/>
  <c r="F43" i="1" s="1"/>
  <c r="G56" i="1"/>
  <c r="F40" i="1" s="1"/>
  <c r="G57" i="1"/>
  <c r="F41" i="1" s="1"/>
  <c r="G53" i="1"/>
  <c r="G55" i="1"/>
  <c r="G61" i="1"/>
  <c r="G60" i="1"/>
  <c r="F44" i="1" s="1"/>
  <c r="X151" i="7"/>
  <c r="Q62" i="1"/>
  <c r="P36" i="1"/>
  <c r="AG151" i="8"/>
  <c r="V37" i="1"/>
  <c r="AG148" i="8" s="1"/>
  <c r="AG147" i="8" s="1"/>
  <c r="W62" i="1"/>
  <c r="AG151" i="7"/>
  <c r="V36" i="1"/>
  <c r="L151" i="9"/>
  <c r="H39" i="1"/>
  <c r="L148" i="9" s="1"/>
  <c r="L147" i="9" s="1"/>
  <c r="F145" i="16"/>
  <c r="F161" i="16"/>
  <c r="F168" i="16" s="1"/>
  <c r="F169" i="16" s="1"/>
  <c r="O162" i="14"/>
  <c r="AM161" i="14"/>
  <c r="AM162" i="14" s="1"/>
  <c r="AG151" i="9"/>
  <c r="V39" i="1"/>
  <c r="AG148" i="9" s="1"/>
  <c r="AG147" i="9" s="1"/>
  <c r="AG161" i="9" s="1"/>
  <c r="AG162" i="9" s="1"/>
  <c r="X37" i="1"/>
  <c r="AJ148" i="8" s="1"/>
  <c r="AJ147" i="8" s="1"/>
  <c r="AJ161" i="8" s="1"/>
  <c r="AJ162" i="8" s="1"/>
  <c r="AJ151" i="8"/>
  <c r="R145" i="16"/>
  <c r="P39" i="1"/>
  <c r="X148" i="9" s="1"/>
  <c r="X147" i="9" s="1"/>
  <c r="X151" i="9"/>
  <c r="N39" i="1"/>
  <c r="U148" i="9" s="1"/>
  <c r="U147" i="9" s="1"/>
  <c r="U151" i="9"/>
  <c r="T39" i="1"/>
  <c r="AD148" i="9" s="1"/>
  <c r="AD147" i="9" s="1"/>
  <c r="AD151" i="9"/>
  <c r="AD151" i="16" s="1"/>
  <c r="AD184" i="16" s="1"/>
  <c r="AJ151" i="16"/>
  <c r="AJ184" i="16" s="1"/>
  <c r="AM144" i="15"/>
  <c r="AM145" i="15" s="1"/>
  <c r="C161" i="15"/>
  <c r="C145" i="15"/>
  <c r="R151" i="8"/>
  <c r="L37" i="1"/>
  <c r="R148" i="8" s="1"/>
  <c r="R147" i="8" s="1"/>
  <c r="R161" i="8" s="1"/>
  <c r="R162" i="8" s="1"/>
  <c r="O62" i="1"/>
  <c r="N36" i="1"/>
  <c r="U151" i="7"/>
  <c r="L151" i="8"/>
  <c r="L151" i="16" s="1"/>
  <c r="L184" i="16" s="1"/>
  <c r="H37" i="1"/>
  <c r="L148" i="8" s="1"/>
  <c r="L147" i="8" s="1"/>
  <c r="M62" i="1"/>
  <c r="L36" i="1"/>
  <c r="R151" i="7"/>
  <c r="AF147" i="8"/>
  <c r="AD161" i="8"/>
  <c r="AD162" i="8" s="1"/>
  <c r="N37" i="1"/>
  <c r="U148" i="8" s="1"/>
  <c r="U147" i="8" s="1"/>
  <c r="U161" i="8" s="1"/>
  <c r="U162" i="8" s="1"/>
  <c r="U151" i="8"/>
  <c r="AC83" i="16"/>
  <c r="AA144" i="16"/>
  <c r="O148" i="16"/>
  <c r="O147" i="7"/>
  <c r="O161" i="7" s="1"/>
  <c r="U145" i="16"/>
  <c r="T46" i="1"/>
  <c r="AD148" i="7"/>
  <c r="F145" i="6"/>
  <c r="F161" i="6"/>
  <c r="AM144" i="6"/>
  <c r="AM145" i="6" s="1"/>
  <c r="L148" i="7"/>
  <c r="C144" i="16"/>
  <c r="AM42" i="16"/>
  <c r="AM144" i="16" s="1"/>
  <c r="AM145" i="16" s="1"/>
  <c r="C147" i="13" l="1"/>
  <c r="AM148" i="13"/>
  <c r="AO148" i="13" s="1"/>
  <c r="C148" i="16"/>
  <c r="C147" i="7"/>
  <c r="C147" i="12"/>
  <c r="AM148" i="12"/>
  <c r="AO148" i="12" s="1"/>
  <c r="N147" i="8"/>
  <c r="L161" i="8"/>
  <c r="L162" i="8" s="1"/>
  <c r="X151" i="16"/>
  <c r="X184" i="16" s="1"/>
  <c r="AM151" i="7"/>
  <c r="I148" i="7"/>
  <c r="AM148" i="7" s="1"/>
  <c r="AO148" i="7" s="1"/>
  <c r="L46" i="1"/>
  <c r="R148" i="7"/>
  <c r="AA145" i="16"/>
  <c r="G62" i="1"/>
  <c r="AJ148" i="16"/>
  <c r="AJ147" i="7"/>
  <c r="AJ161" i="7" s="1"/>
  <c r="L148" i="16"/>
  <c r="L147" i="7"/>
  <c r="H46" i="1"/>
  <c r="Z147" i="9"/>
  <c r="X161" i="9"/>
  <c r="X162" i="9" s="1"/>
  <c r="F179" i="16"/>
  <c r="P46" i="1"/>
  <c r="X148" i="7"/>
  <c r="O147" i="16"/>
  <c r="O180" i="16"/>
  <c r="N147" i="9"/>
  <c r="L161" i="9"/>
  <c r="L162" i="9" s="1"/>
  <c r="R39" i="1"/>
  <c r="AA148" i="9" s="1"/>
  <c r="AA147" i="9" s="1"/>
  <c r="AA151" i="9"/>
  <c r="AF147" i="9"/>
  <c r="AD161" i="9"/>
  <c r="AD162" i="9" s="1"/>
  <c r="O173" i="16"/>
  <c r="O174" i="16" s="1"/>
  <c r="O178" i="16"/>
  <c r="O162" i="7"/>
  <c r="U151" i="16"/>
  <c r="U184" i="16" s="1"/>
  <c r="W147" i="9"/>
  <c r="U161" i="9"/>
  <c r="U162" i="9" s="1"/>
  <c r="C145" i="16"/>
  <c r="N46" i="1"/>
  <c r="U148" i="7"/>
  <c r="F39" i="1"/>
  <c r="I148" i="9" s="1"/>
  <c r="I151" i="9"/>
  <c r="AM151" i="9" s="1"/>
  <c r="F37" i="1"/>
  <c r="I148" i="8" s="1"/>
  <c r="I147" i="8" s="1"/>
  <c r="I151" i="8"/>
  <c r="F162" i="6"/>
  <c r="AM161" i="6"/>
  <c r="AM162" i="6" s="1"/>
  <c r="V46" i="1"/>
  <c r="AG148" i="7"/>
  <c r="C162" i="15"/>
  <c r="AM161" i="15"/>
  <c r="AM162" i="15" s="1"/>
  <c r="AG151" i="16"/>
  <c r="AG184" i="16" s="1"/>
  <c r="C147" i="8"/>
  <c r="R37" i="1"/>
  <c r="AA148" i="8" s="1"/>
  <c r="AA147" i="8" s="1"/>
  <c r="AA151" i="8"/>
  <c r="AA151" i="16" s="1"/>
  <c r="AA184" i="16" s="1"/>
  <c r="AD148" i="16"/>
  <c r="AD147" i="7"/>
  <c r="R151" i="16"/>
  <c r="R184" i="16" s="1"/>
  <c r="E148" i="9"/>
  <c r="C147" i="9"/>
  <c r="AI147" i="8"/>
  <c r="AG161" i="8"/>
  <c r="AG162" i="8" s="1"/>
  <c r="C147" i="11"/>
  <c r="AM148" i="11"/>
  <c r="R46" i="1"/>
  <c r="AA148" i="7"/>
  <c r="AC147" i="8" l="1"/>
  <c r="AA161" i="8"/>
  <c r="AA162" i="8" s="1"/>
  <c r="I147" i="9"/>
  <c r="L180" i="16"/>
  <c r="L147" i="16"/>
  <c r="AJ173" i="16"/>
  <c r="AJ174" i="16" s="1"/>
  <c r="AJ178" i="16"/>
  <c r="AJ162" i="7"/>
  <c r="K147" i="8"/>
  <c r="I161" i="8"/>
  <c r="I162" i="8" s="1"/>
  <c r="AM147" i="8"/>
  <c r="AO147" i="8" s="1"/>
  <c r="E147" i="8"/>
  <c r="C161" i="8"/>
  <c r="U148" i="16"/>
  <c r="U147" i="7"/>
  <c r="N147" i="7"/>
  <c r="L161" i="7"/>
  <c r="I151" i="16"/>
  <c r="AJ147" i="16"/>
  <c r="AJ180" i="16"/>
  <c r="AM148" i="9"/>
  <c r="AO148" i="9" s="1"/>
  <c r="Q147" i="16"/>
  <c r="O161" i="16"/>
  <c r="O168" i="16" s="1"/>
  <c r="O169" i="16" s="1"/>
  <c r="AD147" i="16"/>
  <c r="AD180" i="16"/>
  <c r="R148" i="16"/>
  <c r="R147" i="7"/>
  <c r="AM147" i="11"/>
  <c r="AO147" i="11" s="1"/>
  <c r="E147" i="11"/>
  <c r="C161" i="11"/>
  <c r="AM148" i="8"/>
  <c r="AO148" i="8" s="1"/>
  <c r="AC147" i="9"/>
  <c r="AA161" i="9"/>
  <c r="AA162" i="9" s="1"/>
  <c r="E147" i="9"/>
  <c r="AM147" i="9"/>
  <c r="AO147" i="9" s="1"/>
  <c r="C161" i="9"/>
  <c r="AG148" i="16"/>
  <c r="AG147" i="7"/>
  <c r="AM147" i="12"/>
  <c r="C161" i="12"/>
  <c r="AF147" i="7"/>
  <c r="AD161" i="7"/>
  <c r="X148" i="16"/>
  <c r="X147" i="7"/>
  <c r="E147" i="7"/>
  <c r="C161" i="7"/>
  <c r="AA148" i="16"/>
  <c r="AA147" i="7"/>
  <c r="AM151" i="8"/>
  <c r="E148" i="16"/>
  <c r="C147" i="16"/>
  <c r="C180" i="16"/>
  <c r="I148" i="16"/>
  <c r="I147" i="7"/>
  <c r="F46" i="1"/>
  <c r="AM147" i="13"/>
  <c r="AO147" i="13" s="1"/>
  <c r="E147" i="13"/>
  <c r="C161" i="13"/>
  <c r="AJ179" i="16" l="1"/>
  <c r="E147" i="16"/>
  <c r="C161" i="16"/>
  <c r="AM161" i="11"/>
  <c r="C162" i="11"/>
  <c r="C162" i="12"/>
  <c r="AM161" i="12"/>
  <c r="AM162" i="12" s="1"/>
  <c r="K147" i="7"/>
  <c r="I161" i="7"/>
  <c r="I147" i="16"/>
  <c r="I180" i="16"/>
  <c r="X147" i="16"/>
  <c r="X180" i="16"/>
  <c r="I184" i="16"/>
  <c r="AM151" i="16"/>
  <c r="AM184" i="16" s="1"/>
  <c r="N147" i="16"/>
  <c r="L161" i="16"/>
  <c r="L168" i="16" s="1"/>
  <c r="L169" i="16" s="1"/>
  <c r="AM148" i="16"/>
  <c r="O179" i="16"/>
  <c r="K147" i="9"/>
  <c r="I161" i="9"/>
  <c r="I162" i="9" s="1"/>
  <c r="AA147" i="16"/>
  <c r="AA180" i="16"/>
  <c r="C173" i="16"/>
  <c r="C174" i="16" s="1"/>
  <c r="C178" i="16"/>
  <c r="C162" i="7"/>
  <c r="AD178" i="16"/>
  <c r="AD173" i="16"/>
  <c r="AD174" i="16" s="1"/>
  <c r="AD162" i="7"/>
  <c r="C162" i="9"/>
  <c r="AF147" i="16"/>
  <c r="AD161" i="16"/>
  <c r="AD168" i="16" s="1"/>
  <c r="AD169" i="16" s="1"/>
  <c r="AM147" i="7"/>
  <c r="AO147" i="7" s="1"/>
  <c r="Z147" i="7"/>
  <c r="X161" i="7"/>
  <c r="AL147" i="16"/>
  <c r="AJ161" i="16"/>
  <c r="AJ168" i="16" s="1"/>
  <c r="AJ169" i="16" s="1"/>
  <c r="L178" i="16"/>
  <c r="L173" i="16"/>
  <c r="L174" i="16" s="1"/>
  <c r="L162" i="7"/>
  <c r="AO147" i="12"/>
  <c r="AN147" i="12"/>
  <c r="T147" i="7"/>
  <c r="R161" i="7"/>
  <c r="W147" i="7"/>
  <c r="U161" i="7"/>
  <c r="AI147" i="7"/>
  <c r="AG161" i="7"/>
  <c r="R147" i="16"/>
  <c r="R180" i="16"/>
  <c r="U206" i="16"/>
  <c r="U147" i="16"/>
  <c r="U180" i="16"/>
  <c r="C162" i="13"/>
  <c r="AM161" i="13"/>
  <c r="AM162" i="13" s="1"/>
  <c r="AC147" i="7"/>
  <c r="AA161" i="7"/>
  <c r="AG147" i="16"/>
  <c r="AG180" i="16"/>
  <c r="C162" i="8"/>
  <c r="AM161" i="8"/>
  <c r="AM162" i="8" s="1"/>
  <c r="AG173" i="16" l="1"/>
  <c r="AG174" i="16" s="1"/>
  <c r="AG178" i="16"/>
  <c r="AG179" i="16" s="1"/>
  <c r="AG162" i="7"/>
  <c r="U173" i="16"/>
  <c r="U174" i="16" s="1"/>
  <c r="U178" i="16"/>
  <c r="U162" i="7"/>
  <c r="Z147" i="16"/>
  <c r="X161" i="16"/>
  <c r="X168" i="16" s="1"/>
  <c r="X169" i="16" s="1"/>
  <c r="R173" i="16"/>
  <c r="R174" i="16" s="1"/>
  <c r="R178" i="16"/>
  <c r="R179" i="16" s="1"/>
  <c r="R162" i="7"/>
  <c r="AC147" i="16"/>
  <c r="AA161" i="16"/>
  <c r="AA168" i="16" s="1"/>
  <c r="AA169" i="16" s="1"/>
  <c r="K147" i="16"/>
  <c r="I161" i="16"/>
  <c r="I168" i="16" s="1"/>
  <c r="I169" i="16" s="1"/>
  <c r="W147" i="16"/>
  <c r="U161" i="16"/>
  <c r="U168" i="16" s="1"/>
  <c r="AA178" i="16"/>
  <c r="AA173" i="16"/>
  <c r="AA174" i="16" s="1"/>
  <c r="AA162" i="7"/>
  <c r="I178" i="16"/>
  <c r="I173" i="16"/>
  <c r="I174" i="16" s="1"/>
  <c r="I162" i="7"/>
  <c r="L179" i="16"/>
  <c r="AD179" i="16"/>
  <c r="AM170" i="11"/>
  <c r="AM162" i="11"/>
  <c r="X178" i="16"/>
  <c r="X179" i="16" s="1"/>
  <c r="X173" i="16"/>
  <c r="X174" i="16" s="1"/>
  <c r="X162" i="7"/>
  <c r="AM161" i="9"/>
  <c r="AM162" i="9" s="1"/>
  <c r="AO148" i="16"/>
  <c r="AM180" i="16"/>
  <c r="T147" i="16"/>
  <c r="R161" i="16"/>
  <c r="R168" i="16" s="1"/>
  <c r="R169" i="16" s="1"/>
  <c r="AM161" i="7"/>
  <c r="C168" i="16"/>
  <c r="C169" i="16" s="1"/>
  <c r="C179" i="16"/>
  <c r="AM147" i="16"/>
  <c r="AO147" i="16" s="1"/>
  <c r="AI147" i="16"/>
  <c r="AG161" i="16"/>
  <c r="AG168" i="16" s="1"/>
  <c r="AG169" i="16" s="1"/>
  <c r="AM178" i="16" l="1"/>
  <c r="AM173" i="16"/>
  <c r="AM174" i="16" s="1"/>
  <c r="AM162" i="7"/>
  <c r="AA179" i="16"/>
  <c r="AM161" i="16"/>
  <c r="I179" i="16"/>
  <c r="U169" i="16"/>
  <c r="U204" i="16"/>
  <c r="U179" i="16"/>
  <c r="AM168" i="16" l="1"/>
  <c r="AM179" i="16" s="1"/>
  <c r="AO161" i="16"/>
  <c r="AM171" i="16" l="1"/>
  <c r="AM16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 Becerra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0" authorId="1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 xml:space="preserve">$2,397,200 Michael V
$6,273,000 Carlos O
</t>
        </r>
      </text>
    </comment>
    <comment ref="E10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11" authorId="1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 xml:space="preserve">$1,230,000 Estudio puesto de trabajo
$596,000 Optica
</t>
        </r>
      </text>
    </comment>
    <comment ref="E1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5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8" authorId="1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 xml:space="preserve">$2,000,000 Jhdez
$1,037,680 Auditorias SST
</t>
        </r>
      </text>
    </comment>
    <comment ref="D18" authorId="1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$6,000,000 Entrenador
$2,000,000 JH
$1,788,000 Interprete
$589,680 Pag Web</t>
        </r>
      </text>
    </comment>
    <comment ref="E18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8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0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21" authorId="1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 xml:space="preserve">Pico y placa DTO
</t>
        </r>
      </text>
    </comment>
    <comment ref="E21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1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23" authorId="1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 xml:space="preserve">Arrend Bod $43,506,400
Admon: $1,205,957
Admon: $533,224
</t>
        </r>
      </text>
    </comment>
    <comment ref="D23" authorId="1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Arrend Bod $35,700,000
          $49,300,000
Admon: $1,205,957
Admon: $533,224
Arrend Motos $850,000</t>
        </r>
      </text>
    </comment>
    <comment ref="E23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3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4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5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5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26" authorId="1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 xml:space="preserve">WMS
</t>
        </r>
      </text>
    </comment>
    <comment ref="E26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6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9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9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0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0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33" authorId="1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 xml:space="preserve">Escolta
</t>
        </r>
      </text>
    </comment>
    <comment ref="E33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34" authorId="1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$1,307,000 Dig WMS
$2,500,000 Chef</t>
        </r>
      </text>
    </comment>
    <comment ref="E34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4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5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6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6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8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8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9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9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0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0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1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1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2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2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43" authorId="1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 xml:space="preserve">Transporte Almuerzos
</t>
        </r>
      </text>
    </comment>
    <comment ref="E43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3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4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4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45" authorId="1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 xml:space="preserve">$8,589,420 Factura anual Siesa
</t>
        </r>
      </text>
    </comment>
    <comment ref="E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5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8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8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9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9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0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0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1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3" authorId="1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 xml:space="preserve">Mtto AA
Mtto Cuartos frios
</t>
        </r>
      </text>
    </comment>
    <comment ref="E5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3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54" authorId="1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 xml:space="preserve">Mtto Basculas + Cuarto Frio
</t>
        </r>
      </text>
    </comment>
    <comment ref="E54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4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5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5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6" authorId="1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 xml:space="preserve">Medidor PH y Cuchillos
</t>
        </r>
      </text>
    </comment>
    <comment ref="D56" authorId="1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 xml:space="preserve">Cert ONAC Balanza dig
</t>
        </r>
      </text>
    </comment>
    <comment ref="E5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6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8" authorId="1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 xml:space="preserve">Recarga de extintores
</t>
        </r>
      </text>
    </comment>
    <comment ref="E58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8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0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0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1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1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3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4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5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5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67" authorId="1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 xml:space="preserve">DGNET Premium
</t>
        </r>
      </text>
    </comment>
    <comment ref="D67" authorId="1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 xml:space="preserve">LEGIS
</t>
        </r>
      </text>
    </comment>
    <comment ref="E6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8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8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9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9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0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0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1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1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2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3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4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4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5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5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6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6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8" authorId="1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$3,949,000 Elementos cuarto de bienestar</t>
        </r>
      </text>
    </comment>
    <comment ref="E78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8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9" authorId="1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 xml:space="preserve">Estanteria
</t>
        </r>
      </text>
    </comment>
    <comment ref="D79" authorId="1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Mesas</t>
        </r>
      </text>
    </comment>
    <comment ref="E79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9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0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0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1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1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2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3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3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84" authorId="1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 xml:space="preserve">$12,544,460 Compra Equipos
$8,258,600 Impresoras Wms
</t>
        </r>
      </text>
    </comment>
    <comment ref="E84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4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5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5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6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6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1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1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2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3" authorId="1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 xml:space="preserve">Multa Vehiculo VCO 277
</t>
        </r>
      </text>
    </comment>
    <comment ref="E93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3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4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4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5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5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9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9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0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0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1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1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2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2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3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3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4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5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5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6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6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8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8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11" authorId="2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 xml:space="preserve">Junta Directiva
</t>
        </r>
      </text>
    </comment>
    <comment ref="E111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1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2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2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3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3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5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5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6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8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8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5105
  Celdas:  J19, J36
  Valor:   $242,070,540
------------------------------
Total: $242,070,540
Generado: 2026-03-30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3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5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</author>
  </authors>
  <commentList>
    <comment ref="E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2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2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13" authorId="1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SXJ 966
SXJ 965</t>
        </r>
      </text>
    </comment>
    <comment ref="E13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3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4" authorId="1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ZNN 054
ZNN 053</t>
        </r>
      </text>
    </comment>
    <comment ref="E1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6" authorId="2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 xml:space="preserve">Tracking Solutions
</t>
        </r>
      </text>
    </comment>
    <comment ref="E16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8" authorId="2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 xml:space="preserve">Vehiculos JCVD
</t>
        </r>
      </text>
    </comment>
    <comment ref="E18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8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0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0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1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1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3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3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4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4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1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9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9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5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45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4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8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58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2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2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3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3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6" authorId="1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 xml:space="preserve">Cacerola </t>
        </r>
      </text>
    </comment>
    <comment ref="I76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6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R76" authorId="1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 xml:space="preserve">Bandejas para horno
</t>
        </r>
      </text>
    </comment>
    <comment ref="I7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9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9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5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5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6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6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9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9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0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0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2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2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3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3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4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4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6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6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9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9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1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1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2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2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3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3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4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4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5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5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6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6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9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9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0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0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1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1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2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2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4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4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5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5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6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010401           PLANEACION
  Celdas:  J28
  Valor:   $5,705,110
------------------------------
Total: $5,705,110
Generado: 2026-03-30</t>
        </r>
      </text>
    </comment>
    <comment ref="L116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010401           PLANEACION
  Celdas:  J28
  Valor:   $5,705,110
------------------------------
Total: $5,705,110
Generado: 2026-03-30</t>
        </r>
      </text>
    </comment>
    <comment ref="I11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8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2026-03-30</t>
        </r>
      </text>
    </comment>
    <comment ref="L118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I120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2026-03-30</t>
        </r>
      </text>
    </comment>
    <comment ref="L120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I121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1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3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2026-03-30</t>
        </r>
      </text>
    </comment>
    <comment ref="L123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I124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2026-03-30</t>
        </r>
      </text>
    </comment>
    <comment ref="L124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I125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5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8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8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9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9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0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0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1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1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2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2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3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3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4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4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5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5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6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8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8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2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2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ENERO 26
</t>
        </r>
      </text>
    </comment>
    <comment ref="I5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5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" authorId="1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" authorId="1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" authorId="1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" authorId="1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" authorId="1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6" authorId="1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6" authorId="1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7" authorId="1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7" authorId="1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8" authorId="1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8" authorId="1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9" authorId="1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9" authorId="1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0" authorId="1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20" authorId="1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5" authorId="1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25" authorId="1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6" authorId="1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26" authorId="1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7" authorId="1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27" authorId="1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7" authorId="1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47" authorId="1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8" authorId="1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58" authorId="1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9" authorId="1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59" authorId="1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2" authorId="1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2" authorId="1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3" authorId="1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4" authorId="1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4" authorId="1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5" authorId="1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5" authorId="1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6" authorId="1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6" authorId="1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7" authorId="1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7" authorId="1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4" authorId="1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4" authorId="1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5" authorId="1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5" authorId="1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6" authorId="1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6" authorId="1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7" authorId="1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9" authorId="1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0" authorId="1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0" authorId="1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1" authorId="1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1" authorId="1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6" authorId="1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6" authorId="1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7" authorId="1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7" authorId="1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8" authorId="1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8" authorId="1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0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$900,000 dic</t>
        </r>
      </text>
    </comment>
    <comment ref="I90" authorId="1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0" authorId="1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1" authorId="1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1" authorId="1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3" authorId="1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3" authorId="1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4" authorId="1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4" authorId="1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5" authorId="1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5" authorId="1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 xml:space="preserve">$21,002,713 dic
</t>
        </r>
      </text>
    </comment>
    <comment ref="I97" authorId="1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7" authorId="1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8" authorId="1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8" authorId="1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0" authorId="1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0" authorId="1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1" authorId="1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1" authorId="1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2" authorId="1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2" authorId="1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3" authorId="1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3" authorId="1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4" authorId="1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4" authorId="1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5" authorId="1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5" authorId="1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6" authorId="1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6" authorId="1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7" authorId="1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7" authorId="1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8" authorId="1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8" authorId="1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0" authorId="1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0" authorId="1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1" authorId="1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1" authorId="1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2" authorId="1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2" authorId="1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3" authorId="1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3" authorId="1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5" authorId="1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5" authorId="1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6" authorId="1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6" authorId="1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7" authorId="1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7" authorId="1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8" authorId="1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8" authorId="1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F119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 xml:space="preserve">Mtto Basculas
</t>
        </r>
      </text>
    </comment>
    <comment ref="I119" authorId="1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9" authorId="1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1" authorId="1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1" authorId="1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2" authorId="1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2" authorId="1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4" authorId="1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4" authorId="1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5" authorId="1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5" authorId="1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26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 xml:space="preserve">Visita a Proveedores
</t>
        </r>
      </text>
    </comment>
    <comment ref="I126" authorId="1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6" authorId="1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8" authorId="1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8" authorId="1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9" authorId="1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9" authorId="1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0" authorId="1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0" authorId="1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1" authorId="1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1" authorId="1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2" authorId="1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2" authorId="1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3" authorId="1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3" authorId="1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4" authorId="1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4" authorId="1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5" authorId="1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5" authorId="1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6" authorId="1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6" authorId="1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7" authorId="1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7" authorId="1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8" authorId="1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8" authorId="1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9" authorId="1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9" authorId="1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0" authorId="1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0" authorId="1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1" authorId="1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1" authorId="1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42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 xml:space="preserve">Botiquin
</t>
        </r>
      </text>
    </comment>
    <comment ref="I142" authorId="1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2" authorId="1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9" authorId="1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9" authorId="1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0" authorId="1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0" authorId="1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4" authorId="1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4" authorId="1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5" authorId="1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5" authorId="1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6" authorId="1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6" authorId="1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7" authorId="1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7" authorId="1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8" authorId="1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8" authorId="1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9" authorId="1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9" authorId="1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60" authorId="1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60" authorId="1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  <author>ADRIANA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Inicia 27 de enero
</t>
        </r>
      </text>
    </comment>
    <comment ref="I5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" authorId="1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" authorId="1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" authorId="1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6" authorId="1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7" authorId="1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8" authorId="1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0" authorId="1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5" authorId="1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6" authorId="1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7" authorId="1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AD52" authorId="2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 xml:space="preserve">$2,934,400 la locura
</t>
        </r>
      </text>
    </comment>
    <comment ref="I62" authorId="1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3" authorId="1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4" authorId="1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6" authorId="1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7" authorId="1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4" authorId="1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5" authorId="1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6" authorId="1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7" authorId="1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9" authorId="1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0" authorId="1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1" authorId="1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6" authorId="1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7" authorId="1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8" authorId="1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0" authorId="1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1" authorId="1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3" authorId="1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4" authorId="1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5" authorId="1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7" authorId="1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8" authorId="1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0" authorId="1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101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 xml:space="preserve">Natalia Ledesma
</t>
        </r>
      </text>
    </comment>
    <comment ref="I101" authorId="1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2" authorId="1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3" authorId="1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4" authorId="1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5" authorId="1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6" authorId="1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7" authorId="1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8" authorId="1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0" authorId="1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1" authorId="1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2" authorId="1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3" authorId="1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5" authorId="1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6" authorId="1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7" authorId="1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8" authorId="1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9" authorId="1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1" authorId="1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2" authorId="1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4" authorId="1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5" authorId="1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6" authorId="1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8" authorId="1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9" authorId="1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0" authorId="1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1" authorId="1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2" authorId="1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3" authorId="1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4" authorId="1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5" authorId="1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6" authorId="1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7" authorId="1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8" authorId="1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9" authorId="1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0" authorId="1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1" authorId="1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2" authorId="1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0" authorId="1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4" authorId="1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5" authorId="1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6" authorId="1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7" authorId="1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8" authorId="1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9" authorId="1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60" authorId="1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Inicia 20 de enero
</t>
        </r>
      </text>
    </comment>
    <comment ref="I5" authorId="1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" authorId="1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" authorId="1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" authorId="1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0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38" authorId="1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47" authorId="1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49" authorId="1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52" authorId="1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53" authorId="1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58" authorId="1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010102           GERENCIA
  Celdas:  J20
  Valor:   $23,992,227
------------------------------
Total: $23,992,227
Generado: 2026-03-30</t>
        </r>
      </text>
    </comment>
    <comment ref="I62" authorId="1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3" authorId="1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6" authorId="1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4" authorId="1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5" authorId="1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6" authorId="1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7" authorId="1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9" authorId="1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0" authorId="1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1" authorId="1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6" authorId="1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7" authorId="1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8" authorId="1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0" authorId="1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1" authorId="1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3" authorId="1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4" authorId="1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5" authorId="1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97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 xml:space="preserve">$1,853,955 DIC
</t>
        </r>
      </text>
    </comment>
    <comment ref="I97" authorId="1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8" authorId="1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0" authorId="1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1" authorId="1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2" authorId="1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3" authorId="1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4" authorId="1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5" authorId="1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6" authorId="1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7" authorId="1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8" authorId="1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0" authorId="1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1" authorId="1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2" authorId="1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113" authorId="0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 xml:space="preserve">$167,200 DIC
</t>
        </r>
      </text>
    </comment>
    <comment ref="I113" authorId="1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5" authorId="1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6" authorId="1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7" authorId="1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8" authorId="1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9" authorId="1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1" authorId="1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2" authorId="1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4" authorId="1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5" authorId="1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6" authorId="1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8" authorId="1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9" authorId="1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0" authorId="1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1" authorId="1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2" authorId="1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3" authorId="1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4" authorId="1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5" authorId="1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6" authorId="1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7" authorId="1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8" authorId="1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9" authorId="1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0" authorId="1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1" authorId="1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2" authorId="1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0" authorId="1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4" authorId="1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5" authorId="1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6" authorId="1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7" authorId="1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8" authorId="1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9" authorId="1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60" authorId="1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 xml:space="preserve">$26,928,489 salidas de enero que cargaron en febrero.
***Descontar en febrero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ADRIANA</author>
    <author>USER</author>
  </authors>
  <commentList>
    <comment ref="I13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 xml:space="preserve">$2,436,174,720
</t>
        </r>
      </text>
    </comment>
    <comment ref="O114" authorId="1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 xml:space="preserve">Serv de mtto estructura + compra de materiales
</t>
        </r>
      </text>
    </comment>
    <comment ref="R135" authorId="1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Electrodomesticos</t>
        </r>
      </text>
    </comment>
    <comment ref="C139" authorId="1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Donacion Morral de CTTO (Caminos creativos)</t>
        </r>
      </text>
    </comment>
  </commentList>
</comments>
</file>

<file path=xl/sharedStrings.xml><?xml version="1.0" encoding="utf-8"?>
<sst xmlns="http://schemas.openxmlformats.org/spreadsheetml/2006/main" count="2756" uniqueCount="568">
  <si>
    <t xml:space="preserve">CORPORACIÓN HACIA UN VALLE SOLIDARIO </t>
  </si>
  <si>
    <t>PYG  YUMBO 2026</t>
  </si>
  <si>
    <t xml:space="preserve">DIAS DE ATENCIÓN </t>
  </si>
  <si>
    <t>ENE</t>
  </si>
  <si>
    <t>x racion</t>
  </si>
  <si>
    <t>%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</si>
  <si>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</si>
  <si>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</si>
  <si>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</si>
  <si>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</si>
  <si>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</si>
  <si>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</si>
  <si>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</si>
  <si>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</si>
  <si>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</si>
  <si>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</si>
  <si>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</si>
  <si>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ACUMULADO</t>
  </si>
  <si>
    <t>COMPLEMENTO AM/PM  (Rac)</t>
  </si>
  <si>
    <t>REFUERZO COMPLEMENTO AM/PM (Rac)</t>
  </si>
  <si>
    <t>ALMUERZO JORNADA UNICA (Rac)</t>
  </si>
  <si>
    <t>NOVEDADES (Rac)</t>
  </si>
  <si>
    <t>TOTAL RACIONES</t>
  </si>
  <si>
    <t>INGRESOS BRUTOS</t>
  </si>
  <si>
    <t>OPERACIONALES</t>
  </si>
  <si>
    <t>INDUSTRIAS MANUFACTURERAS</t>
  </si>
  <si>
    <t>COMPLEMENTO AM/PM (Fac)</t>
  </si>
  <si>
    <t>REFUERZO COMPLEMENTO AM/PM (Fac)</t>
  </si>
  <si>
    <t>ALMUERZO JORNADA UNICA (Fac)</t>
  </si>
  <si>
    <t>NOVEDADES (Fac)</t>
  </si>
  <si>
    <t>NO OPERACIONALES</t>
  </si>
  <si>
    <t>FINANCIEROS</t>
  </si>
  <si>
    <t>Intereses</t>
  </si>
  <si>
    <t>Descuentos Comerciales</t>
  </si>
  <si>
    <t>otros Fin</t>
  </si>
  <si>
    <t>DESCUENTOS - GASTO OPERACIONAL</t>
  </si>
  <si>
    <t>OTROS</t>
  </si>
  <si>
    <t>Procultura 0,5%</t>
  </si>
  <si>
    <t>Prohospitales 1%</t>
  </si>
  <si>
    <t>Rete Ica 0,6%</t>
  </si>
  <si>
    <t>Adulto Mayor 2%</t>
  </si>
  <si>
    <t>Retefuente</t>
  </si>
  <si>
    <t>Prodeporte 2,5%</t>
  </si>
  <si>
    <t>2% Juzgado de Familia</t>
  </si>
  <si>
    <t>0,5% Propacifico</t>
  </si>
  <si>
    <t>TOTAL INGRESOS NETOS</t>
  </si>
  <si>
    <t>COSTOS DE PRODUCCION</t>
  </si>
  <si>
    <t>COSTOS INDUSTRIALIZADOS</t>
  </si>
  <si>
    <t>INSUMOS CI</t>
  </si>
  <si>
    <t>RACION PARA PREPARAR EN CASA (Ins)</t>
  </si>
  <si>
    <t>REFRIGERIOS (Ins)</t>
  </si>
  <si>
    <t>FLETES CI</t>
  </si>
  <si>
    <t>INDUSTRIALIZADOS PROPIOS</t>
  </si>
  <si>
    <t>INDUSTRIALIZADOS TERCEROS</t>
  </si>
  <si>
    <t>COSTOS PREPARADOS</t>
  </si>
  <si>
    <t>INSUMOS CP</t>
  </si>
  <si>
    <t xml:space="preserve">7105                </t>
  </si>
  <si>
    <t>COMPLEMENTO AM/PM  (Ins)</t>
  </si>
  <si>
    <t>REFUERZO COMPLEMENTO AM/PM (Ins)</t>
  </si>
  <si>
    <t>ALMUERZO JORNADA UNICA</t>
  </si>
  <si>
    <t>MENU ESPECIAL</t>
  </si>
  <si>
    <t>REFRIGERIOS</t>
  </si>
  <si>
    <t>FLETES CP</t>
  </si>
  <si>
    <t>PREPARADOS PROPIOS</t>
  </si>
  <si>
    <t xml:space="preserve">73355001            </t>
  </si>
  <si>
    <t>PREPARADOS TERCEROS</t>
  </si>
  <si>
    <t>Material de empaque</t>
  </si>
  <si>
    <t xml:space="preserve">71101501            </t>
  </si>
  <si>
    <t>Menaje</t>
  </si>
  <si>
    <t xml:space="preserve">73355501            </t>
  </si>
  <si>
    <t>Servicio de Gas</t>
  </si>
  <si>
    <t>MANO DE OBRA DIRECTA</t>
  </si>
  <si>
    <t xml:space="preserve">7205                </t>
  </si>
  <si>
    <t>Manipuladoras</t>
  </si>
  <si>
    <t>Personal Supervisor - Coordinadores</t>
  </si>
  <si>
    <t>Temporales MOD</t>
  </si>
  <si>
    <t>OTROS COSTOS Y GASTOS INDIRECTOS</t>
  </si>
  <si>
    <t>COSTOS DE PERSONAL</t>
  </si>
  <si>
    <t>Costos Indirectos de Personal</t>
  </si>
  <si>
    <t>Dotación y Suministros</t>
  </si>
  <si>
    <t xml:space="preserve">72058401            </t>
  </si>
  <si>
    <t>Gastos Medicos</t>
  </si>
  <si>
    <t xml:space="preserve">53954002            </t>
  </si>
  <si>
    <t>Incapacidades</t>
  </si>
  <si>
    <t>HONORARIOS</t>
  </si>
  <si>
    <t>Asesoría Juridica</t>
  </si>
  <si>
    <t>Asesoría Tecnica</t>
  </si>
  <si>
    <t>ARRENDAMIENTOS</t>
  </si>
  <si>
    <t>Construcciones y Edificaciones</t>
  </si>
  <si>
    <t>Maquinaria y Equipo</t>
  </si>
  <si>
    <t>Equipo de Oficina</t>
  </si>
  <si>
    <t>SEGUROS</t>
  </si>
  <si>
    <t xml:space="preserve">Cumplimiento </t>
  </si>
  <si>
    <t>Responsabilidad Civil Y Extracontractual</t>
  </si>
  <si>
    <t>SERVICIOS</t>
  </si>
  <si>
    <t>Aseo y Vigilancia</t>
  </si>
  <si>
    <t xml:space="preserve">73351001            </t>
  </si>
  <si>
    <t>Temporales Serv</t>
  </si>
  <si>
    <t>Mensajeria</t>
  </si>
  <si>
    <t xml:space="preserve">73351502            </t>
  </si>
  <si>
    <t>Laboratorio</t>
  </si>
  <si>
    <t xml:space="preserve">73351503            </t>
  </si>
  <si>
    <t>Fumigacion</t>
  </si>
  <si>
    <t>Acueducto y Alcantarillado</t>
  </si>
  <si>
    <t>Energia</t>
  </si>
  <si>
    <t>Telefono e Internet</t>
  </si>
  <si>
    <t>Correo, porte y telegramas</t>
  </si>
  <si>
    <t>GASTOS LEGALES</t>
  </si>
  <si>
    <t>Notariales</t>
  </si>
  <si>
    <t>Registro Mercantil</t>
  </si>
  <si>
    <t>Trámites y Licencias</t>
  </si>
  <si>
    <t xml:space="preserve">Certificados Camara Comercio        </t>
  </si>
  <si>
    <t xml:space="preserve">MANTENIMIENTO Y REPARACIONES  </t>
  </si>
  <si>
    <t xml:space="preserve">Construcciones y Edificaciones          </t>
  </si>
  <si>
    <t xml:space="preserve">Maquinaria y Equipo                     </t>
  </si>
  <si>
    <t>Equipos de Cocina</t>
  </si>
  <si>
    <t xml:space="preserve">Equipo de Oficina                       </t>
  </si>
  <si>
    <t>Planta Plan Basico de Saneamiento</t>
  </si>
  <si>
    <t>ADECUACIONES E INSTALACIONES</t>
  </si>
  <si>
    <t>Instalaciones Electricas</t>
  </si>
  <si>
    <t>Reparaciones Locativas</t>
  </si>
  <si>
    <t>GASTOS DE VIAJE</t>
  </si>
  <si>
    <t>Alojamiento y Manutención</t>
  </si>
  <si>
    <t>Pasajes Aereos</t>
  </si>
  <si>
    <t>Pasajes Terrestres</t>
  </si>
  <si>
    <t>DIVERSOS</t>
  </si>
  <si>
    <t xml:space="preserve">73959508            </t>
  </si>
  <si>
    <t>Elementos de Proteccion Personal</t>
  </si>
  <si>
    <t xml:space="preserve">73959512            </t>
  </si>
  <si>
    <t>Habitos de Vida Saludable</t>
  </si>
  <si>
    <t xml:space="preserve">71101001 - 73952501      </t>
  </si>
  <si>
    <t>Elementos de Aseo y Cafetería</t>
  </si>
  <si>
    <t xml:space="preserve">73953001            </t>
  </si>
  <si>
    <t>Utiles, papelería y fotocopias</t>
  </si>
  <si>
    <t>Combustibles y Lubricantes</t>
  </si>
  <si>
    <t xml:space="preserve">73954501            </t>
  </si>
  <si>
    <t>Buses y Taxis</t>
  </si>
  <si>
    <t xml:space="preserve">73956001            </t>
  </si>
  <si>
    <t>Casino y Restaurante</t>
  </si>
  <si>
    <t xml:space="preserve">Parqueaderos                       </t>
  </si>
  <si>
    <t>Peajes</t>
  </si>
  <si>
    <t>Averias</t>
  </si>
  <si>
    <t>Compra Equipos de Oficina</t>
  </si>
  <si>
    <t>Herramientas y articulos ferreteria</t>
  </si>
  <si>
    <t>73959511</t>
  </si>
  <si>
    <t>Equipos de Bodega</t>
  </si>
  <si>
    <t>Reuniones Fiestas y Detalles</t>
  </si>
  <si>
    <t xml:space="preserve">51959512            </t>
  </si>
  <si>
    <t xml:space="preserve">Otros  </t>
  </si>
  <si>
    <t>UTILIDAD BRUTA</t>
  </si>
  <si>
    <t>GASTOS ADMINISTRATIVOS Y NO OPERACIONALES</t>
  </si>
  <si>
    <t>Gastos Fijos Administracion</t>
  </si>
  <si>
    <t>Gastos financieros</t>
  </si>
  <si>
    <t>Costo de Facturas</t>
  </si>
  <si>
    <t>Gastos No Operacionales</t>
  </si>
  <si>
    <t>TOTAL AJUSTES</t>
  </si>
  <si>
    <t>Novedades</t>
  </si>
  <si>
    <t xml:space="preserve">Otros Ajustes 1 </t>
  </si>
  <si>
    <t>Otros Ajustes 2</t>
  </si>
  <si>
    <t>Otros Ajustes 3</t>
  </si>
  <si>
    <t>Otros Ajustes 4</t>
  </si>
  <si>
    <t>Otros Ajustes 5</t>
  </si>
  <si>
    <t>Otros Ajustes 6</t>
  </si>
  <si>
    <t>UTILIDAD NETA</t>
  </si>
  <si>
    <t>AMAYOR</t>
  </si>
  <si>
    <t>DISTRIBUCION PERSONAL OPERATIVO</t>
  </si>
  <si>
    <t>CALI</t>
  </si>
  <si>
    <t>YUMBO</t>
  </si>
  <si>
    <t>GOBERNACION</t>
  </si>
  <si>
    <t>BUGA</t>
  </si>
  <si>
    <t>HUNGRIA</t>
  </si>
  <si>
    <t>COMEDORES CALI</t>
  </si>
  <si>
    <t>COMEDORES GOB</t>
  </si>
  <si>
    <t>COMEDORES PALMIRA</t>
  </si>
  <si>
    <t>ADULTO MAYOR</t>
  </si>
  <si>
    <t>IMDERTY</t>
  </si>
  <si>
    <t>DISTRIBUCION FLETES INTERNOS</t>
  </si>
  <si>
    <t>DISTRIBUCION PERSONAL ADMINISTRATIVO</t>
  </si>
  <si>
    <t>CTAS PPACION</t>
  </si>
  <si>
    <t>DISTRIBUCION GASTOS FINANCIEROS</t>
  </si>
  <si>
    <t>GASTOS ADMINISTRATIVOS 2026</t>
  </si>
  <si>
    <t>GASTOS DE PERSONAL</t>
  </si>
  <si>
    <t xml:space="preserve">5105                </t>
  </si>
  <si>
    <t>Salarios</t>
  </si>
  <si>
    <t>Personal Decreto 1860/21</t>
  </si>
  <si>
    <t xml:space="preserve">51055101            </t>
  </si>
  <si>
    <t>Dotacion y Suministro</t>
  </si>
  <si>
    <t>Bonificaciones</t>
  </si>
  <si>
    <t xml:space="preserve">51056301            </t>
  </si>
  <si>
    <t>Capacitacion</t>
  </si>
  <si>
    <t xml:space="preserve">51058401            </t>
  </si>
  <si>
    <t xml:space="preserve">51101001            </t>
  </si>
  <si>
    <t>Revisoria Fiscal</t>
  </si>
  <si>
    <t>Avaluos</t>
  </si>
  <si>
    <t xml:space="preserve">51102001            </t>
  </si>
  <si>
    <t>Asesoria Juridica</t>
  </si>
  <si>
    <t xml:space="preserve">51103001            </t>
  </si>
  <si>
    <t>Asesoria Financiera</t>
  </si>
  <si>
    <t xml:space="preserve">51103508            </t>
  </si>
  <si>
    <t>Asesoría Técnica</t>
  </si>
  <si>
    <t>IMPUESTOS</t>
  </si>
  <si>
    <t>Predial</t>
  </si>
  <si>
    <t>Impuestos vehiculos</t>
  </si>
  <si>
    <t>51201001   - 51355001</t>
  </si>
  <si>
    <t xml:space="preserve">51201501 - 73201501 </t>
  </si>
  <si>
    <t xml:space="preserve">51202001            </t>
  </si>
  <si>
    <t>Equipo de Computacion y comunicaciones</t>
  </si>
  <si>
    <t>Flota y Equipo de Transporte</t>
  </si>
  <si>
    <t>Cumplimiento</t>
  </si>
  <si>
    <t>Responsabilidad Civil y Extracontractual</t>
  </si>
  <si>
    <t>OTROS - Funerarios</t>
  </si>
  <si>
    <t xml:space="preserve">51351001   -   51351004        </t>
  </si>
  <si>
    <t>Temporales</t>
  </si>
  <si>
    <t>Comunicaciones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</si>
  <si>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</si>
  <si>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</si>
  <si>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</si>
  <si>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</si>
  <si>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>Energía Electrica</t>
  </si>
  <si>
    <t xml:space="preserve">51353501            </t>
  </si>
  <si>
    <t>Telefono</t>
  </si>
  <si>
    <t xml:space="preserve">51353502            </t>
  </si>
  <si>
    <t>Internet</t>
  </si>
  <si>
    <t xml:space="preserve">51354001            </t>
  </si>
  <si>
    <t>Correo, Portes, telegramas</t>
  </si>
  <si>
    <t>51355001</t>
  </si>
  <si>
    <t>Transporte, fletes y acarreos</t>
  </si>
  <si>
    <t>Gas</t>
  </si>
  <si>
    <t xml:space="preserve">51356501            </t>
  </si>
  <si>
    <t>Servicio Web-Hosting-Nube- Licencias Siesa y planeacion</t>
  </si>
  <si>
    <t>Registro Mercantil y proponentes</t>
  </si>
  <si>
    <t>Tramites y Licencias</t>
  </si>
  <si>
    <t>Servicio de Registro BMC</t>
  </si>
  <si>
    <t xml:space="preserve">514095              </t>
  </si>
  <si>
    <t>Certificados Camara Comercio , proponentes y tradicion, JCC</t>
  </si>
  <si>
    <t>MANTENIMIENTO Y REPARACIONES</t>
  </si>
  <si>
    <t xml:space="preserve">51451001            </t>
  </si>
  <si>
    <t xml:space="preserve">51451501            </t>
  </si>
  <si>
    <t xml:space="preserve">51451001      -   51451501  </t>
  </si>
  <si>
    <t xml:space="preserve">51452501            </t>
  </si>
  <si>
    <t>Equipo de Computacion y Comunic</t>
  </si>
  <si>
    <t>Plan SST</t>
  </si>
  <si>
    <t>Inversion infraestructura</t>
  </si>
  <si>
    <t xml:space="preserve">51550501            </t>
  </si>
  <si>
    <t>Alojamiento y Manutencion</t>
  </si>
  <si>
    <t xml:space="preserve">51551501            </t>
  </si>
  <si>
    <t xml:space="preserve">51951001            </t>
  </si>
  <si>
    <t>Libros, suscripciones, period</t>
  </si>
  <si>
    <t>Seguros Funerarios</t>
  </si>
  <si>
    <t xml:space="preserve">51952501            </t>
  </si>
  <si>
    <t>Elementos de Aseo y Cafeteria</t>
  </si>
  <si>
    <t xml:space="preserve">51953001            </t>
  </si>
  <si>
    <t>Papeleria</t>
  </si>
  <si>
    <t xml:space="preserve">51953002            </t>
  </si>
  <si>
    <t>Fotocopias</t>
  </si>
  <si>
    <t xml:space="preserve">51953501            </t>
  </si>
  <si>
    <t>Combustible y Lubricantes</t>
  </si>
  <si>
    <t>51954001   - '71100501</t>
  </si>
  <si>
    <t>Envases y Empaques</t>
  </si>
  <si>
    <t xml:space="preserve">51954501            </t>
  </si>
  <si>
    <t>Taxis y Buses</t>
  </si>
  <si>
    <t xml:space="preserve">51956001            </t>
  </si>
  <si>
    <t>Casino y Restaurante (Refrigerios)</t>
  </si>
  <si>
    <t xml:space="preserve">51956501            </t>
  </si>
  <si>
    <t>Parqueaderos</t>
  </si>
  <si>
    <t xml:space="preserve">51956601            </t>
  </si>
  <si>
    <t xml:space="preserve">51959501            </t>
  </si>
  <si>
    <t>Otros</t>
  </si>
  <si>
    <t xml:space="preserve">51959502            </t>
  </si>
  <si>
    <t xml:space="preserve">51959503            </t>
  </si>
  <si>
    <t>Compra Suministros</t>
  </si>
  <si>
    <t xml:space="preserve">51959514            </t>
  </si>
  <si>
    <t xml:space="preserve">51959515            </t>
  </si>
  <si>
    <t>Compra Equipos de computo y comunicación</t>
  </si>
  <si>
    <t xml:space="preserve">51959504            </t>
  </si>
  <si>
    <t>Cuota de Apoyo y Sostenimiento (SENA)</t>
  </si>
  <si>
    <t>Menaje - Basculas-Canastillas-Estibas</t>
  </si>
  <si>
    <t xml:space="preserve">51959518            </t>
  </si>
  <si>
    <t>Compra Mercado IVH</t>
  </si>
  <si>
    <t xml:space="preserve">51959517            </t>
  </si>
  <si>
    <t>Convenios medicos - EMI</t>
  </si>
  <si>
    <t>CASINO</t>
  </si>
  <si>
    <t>OTROS GASTOS DIVERSOS</t>
  </si>
  <si>
    <t>Demandas por Incumplimiento de Contrato</t>
  </si>
  <si>
    <t>Indemnizaciones</t>
  </si>
  <si>
    <t>Multas, Sanciones y Litigios</t>
  </si>
  <si>
    <t xml:space="preserve">51956002            </t>
  </si>
  <si>
    <t>Donaciones</t>
  </si>
  <si>
    <t xml:space="preserve">53954001            </t>
  </si>
  <si>
    <t>Ajuste al peso</t>
  </si>
  <si>
    <t>TOTAL ADMINISTRATIVOS</t>
  </si>
  <si>
    <t xml:space="preserve">530505              </t>
  </si>
  <si>
    <t>Gastos Bancarios</t>
  </si>
  <si>
    <t xml:space="preserve">530515              </t>
  </si>
  <si>
    <t>Comisiones</t>
  </si>
  <si>
    <t xml:space="preserve">53052001            </t>
  </si>
  <si>
    <t>Intereses Corrientes Obligaciones</t>
  </si>
  <si>
    <t xml:space="preserve">53052002            </t>
  </si>
  <si>
    <t>Intereses  Moratorios</t>
  </si>
  <si>
    <t>Intereses Sobregiro</t>
  </si>
  <si>
    <t xml:space="preserve">53052004            </t>
  </si>
  <si>
    <t>Intereses corrientes Leasing</t>
  </si>
  <si>
    <t xml:space="preserve">53059502            </t>
  </si>
  <si>
    <t>Seguro Credito Leasing</t>
  </si>
  <si>
    <t xml:space="preserve">51159502            </t>
  </si>
  <si>
    <t>Gravámen a Movimientos Financieros</t>
  </si>
  <si>
    <t xml:space="preserve">530595              </t>
  </si>
  <si>
    <t xml:space="preserve">Otros </t>
  </si>
  <si>
    <t>INTERESES SOCIOS</t>
  </si>
  <si>
    <t>TOTAL FINANCIEROS</t>
  </si>
  <si>
    <t>GASTOS DE PERSONAL DIRECTIVO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</si>
  <si>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</si>
  <si>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</si>
  <si>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</si>
  <si>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</si>
  <si>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</si>
  <si>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</si>
  <si>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</si>
  <si>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</si>
  <si>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JUNTA</t>
  </si>
  <si>
    <t>Casos Especiales</t>
  </si>
  <si>
    <t>Incapacidades Especiales</t>
  </si>
  <si>
    <t xml:space="preserve">72055101            </t>
  </si>
  <si>
    <t>CUOTA DE APOYO Y SOSTENIMIENTO</t>
  </si>
  <si>
    <t xml:space="preserve">71101001  - 73952501 </t>
  </si>
  <si>
    <t>Aseo</t>
  </si>
  <si>
    <t xml:space="preserve">73959504            </t>
  </si>
  <si>
    <t xml:space="preserve">51959509  -  71102001  </t>
  </si>
  <si>
    <t>Bioseguridad + EPP</t>
  </si>
  <si>
    <t>TOTAL GASTOS</t>
  </si>
  <si>
    <t>dif ago y sep 2024</t>
  </si>
  <si>
    <t>dif * 8 meses</t>
  </si>
  <si>
    <t>2024+dif</t>
  </si>
  <si>
    <t>incremento 11%</t>
  </si>
  <si>
    <t>incr + 2024</t>
  </si>
  <si>
    <t>17 personas</t>
  </si>
  <si>
    <t>17 p +inc +2024</t>
  </si>
  <si>
    <t>dif 2024 vs ppto</t>
  </si>
  <si>
    <t>bonificacion 2025</t>
  </si>
  <si>
    <t>dif + bonificacion</t>
  </si>
  <si>
    <t xml:space="preserve"> </t>
  </si>
  <si>
    <t>PRESUPUESTO GASTOS VEHICULOS 2026</t>
  </si>
  <si>
    <t>7205</t>
  </si>
  <si>
    <t>Dotacion</t>
  </si>
  <si>
    <t>Impuestos Vehiculo</t>
  </si>
  <si>
    <t xml:space="preserve">51303501            </t>
  </si>
  <si>
    <t>Sustraccion y Hurto</t>
  </si>
  <si>
    <t xml:space="preserve">51304001            </t>
  </si>
  <si>
    <t>Obligatorio Accidente de transito</t>
  </si>
  <si>
    <t xml:space="preserve">51350502            </t>
  </si>
  <si>
    <t>Monitoreo</t>
  </si>
  <si>
    <t>Seguridad</t>
  </si>
  <si>
    <t xml:space="preserve">51454001            </t>
  </si>
  <si>
    <t>Mtto Preventivo</t>
  </si>
  <si>
    <t xml:space="preserve">51454002            </t>
  </si>
  <si>
    <t>Mtto Correctivo</t>
  </si>
  <si>
    <t xml:space="preserve">Combustible </t>
  </si>
  <si>
    <t>Compra Equipo de Transporte</t>
  </si>
  <si>
    <t>GASTOS TOTALES</t>
  </si>
  <si>
    <t>PYG CASINO 2026</t>
  </si>
  <si>
    <t>VALOR RACION</t>
  </si>
  <si>
    <t>COSTO</t>
  </si>
  <si>
    <t>CUPOS</t>
  </si>
  <si>
    <t>Cupos</t>
  </si>
  <si>
    <t>ALMUERZO</t>
  </si>
  <si>
    <t>DESAYUNO</t>
  </si>
  <si>
    <t>% Facturacion</t>
  </si>
  <si>
    <t xml:space="preserve">42959502            </t>
  </si>
  <si>
    <t>NOVEDADES</t>
  </si>
  <si>
    <t>otros</t>
  </si>
  <si>
    <t>INSUMOS</t>
  </si>
  <si>
    <t>Flete Industrializados PROPIOS</t>
  </si>
  <si>
    <t>Flete Industrializados TERCEROS</t>
  </si>
  <si>
    <t>COSTOS ALMUERZO</t>
  </si>
  <si>
    <t>Desayuno y Almuerzo</t>
  </si>
  <si>
    <t>7105</t>
  </si>
  <si>
    <t>Transporte Materia Prima - Cavasa</t>
  </si>
  <si>
    <t>Flete Preparados PROPIOS</t>
  </si>
  <si>
    <t>Flete Preparados TERCEROS</t>
  </si>
  <si>
    <t>Respomsabilidad Civil Y Extracontractual</t>
  </si>
  <si>
    <t xml:space="preserve">73451502            </t>
  </si>
  <si>
    <t xml:space="preserve">Acueductos, planta y redes              </t>
  </si>
  <si>
    <t>Gastos de Representacion y relaciones Pub</t>
  </si>
  <si>
    <t>TOTAL COSTO</t>
  </si>
  <si>
    <t>(-) APROVECHAMIENTO</t>
  </si>
  <si>
    <t>COSTO NETO</t>
  </si>
  <si>
    <t>manip + gas chvs</t>
  </si>
  <si>
    <t>Bolsos</t>
  </si>
  <si>
    <t>perrada</t>
  </si>
  <si>
    <t>devuelta</t>
  </si>
  <si>
    <t>PRESUPUESTO  SANTA ISABEL DE HUNGRIA 2024</t>
  </si>
  <si>
    <t>REAL 2024</t>
  </si>
  <si>
    <t>COMPLEMENTO INDUSTRIALIZADO (Rac)</t>
  </si>
  <si>
    <t>COMPLEMENTO INDUSTRIALIZADO (Fac)</t>
  </si>
  <si>
    <t>ICA (0.77%)</t>
  </si>
  <si>
    <t>COMPLEMENTO INDUSTRIALIZADO (Ins)</t>
  </si>
  <si>
    <t>PAQUETES MANIPULADORAS</t>
  </si>
  <si>
    <t>COMPLEMENTO PREPARADO (Ins)</t>
  </si>
  <si>
    <t>ALMUERZO JORNADA UNICA (Ins)</t>
  </si>
  <si>
    <t>RACION MANIPULADORAS</t>
  </si>
  <si>
    <t xml:space="preserve">73301001            </t>
  </si>
  <si>
    <t xml:space="preserve">73306001            </t>
  </si>
  <si>
    <t xml:space="preserve">73400501            </t>
  </si>
  <si>
    <t xml:space="preserve">73401001            </t>
  </si>
  <si>
    <t xml:space="preserve">73401501            </t>
  </si>
  <si>
    <t xml:space="preserve">73409501            </t>
  </si>
  <si>
    <t xml:space="preserve">73451001            </t>
  </si>
  <si>
    <t xml:space="preserve">73451501            </t>
  </si>
  <si>
    <t xml:space="preserve">73452001            </t>
  </si>
  <si>
    <t xml:space="preserve">73456001            </t>
  </si>
  <si>
    <t xml:space="preserve">73500501            </t>
  </si>
  <si>
    <t xml:space="preserve">73501501            </t>
  </si>
  <si>
    <t xml:space="preserve">73550501            </t>
  </si>
  <si>
    <t xml:space="preserve">73551501            </t>
  </si>
  <si>
    <t xml:space="preserve">73552001            </t>
  </si>
  <si>
    <t xml:space="preserve">73951001            </t>
  </si>
  <si>
    <t xml:space="preserve">73952001            </t>
  </si>
  <si>
    <t xml:space="preserve">73952501            </t>
  </si>
  <si>
    <t xml:space="preserve">73953501            </t>
  </si>
  <si>
    <t xml:space="preserve">73956501            </t>
  </si>
  <si>
    <t xml:space="preserve">73956601            </t>
  </si>
  <si>
    <t xml:space="preserve">73959505            </t>
  </si>
  <si>
    <t>Gastos Fijos Directivos</t>
  </si>
  <si>
    <t>Gastos Financieros</t>
  </si>
  <si>
    <t>Donacion 1</t>
  </si>
  <si>
    <t>Donacion 2</t>
  </si>
  <si>
    <t>Otros Ajustes 1</t>
  </si>
  <si>
    <t>PYG CALI 2026</t>
  </si>
  <si>
    <t>COMPLEMENTO INDUSTRIALIZADO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</si>
  <si>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</si>
  <si>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</si>
  <si>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</si>
  <si>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</si>
  <si>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</si>
  <si>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</si>
  <si>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</si>
  <si>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</si>
  <si>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</si>
  <si>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>2% Estampillas Prounivalle</t>
  </si>
  <si>
    <t>0,88% Rte Ica</t>
  </si>
  <si>
    <t>1% Estampilla Prohospital</t>
  </si>
  <si>
    <t xml:space="preserve">COMPLEMENTO INDUSTRIALIZADO   </t>
  </si>
  <si>
    <t xml:space="preserve">COMPLEMENTO PREPARADO AM   </t>
  </si>
  <si>
    <t xml:space="preserve">COMPLEMENTO PREPARADO PM    </t>
  </si>
  <si>
    <t xml:space="preserve">ALMUERZO JORNADA UNICA    </t>
  </si>
  <si>
    <t>MEJORAMIENTO DE MENU</t>
  </si>
  <si>
    <t xml:space="preserve">71100501            </t>
  </si>
  <si>
    <t>Asesoría Tecnica/ Capacitaciones</t>
  </si>
  <si>
    <t>73352501</t>
  </si>
  <si>
    <t>Plan Basico de Saneamiento</t>
  </si>
  <si>
    <t xml:space="preserve">71101001            </t>
  </si>
  <si>
    <t>dic</t>
  </si>
  <si>
    <t>PYG BUGA 2026</t>
  </si>
  <si>
    <t>COMPLEMENTO PREPARADO (Rac)</t>
  </si>
  <si>
    <t>COMPLEMENTO PREPARADO (Fac)</t>
  </si>
  <si>
    <t>2,5% Estampilla Pro Deporte</t>
  </si>
  <si>
    <t>1% Estampilla Pro Univalle</t>
  </si>
  <si>
    <t>3% Estampilla Adulto Mayor</t>
  </si>
  <si>
    <t>0,5% Estampilla Universidad del Pacifico</t>
  </si>
  <si>
    <t>0,66% Rete Ica</t>
  </si>
  <si>
    <t>0,5% Impuesto de Timbre</t>
  </si>
  <si>
    <t xml:space="preserve">72959501            </t>
  </si>
  <si>
    <t>Asesoría Tecnica/Capacitacion</t>
  </si>
  <si>
    <t xml:space="preserve">73352501            </t>
  </si>
  <si>
    <t xml:space="preserve">73353001            </t>
  </si>
  <si>
    <t xml:space="preserve">73353501            </t>
  </si>
  <si>
    <t xml:space="preserve">73354001            </t>
  </si>
  <si>
    <t>73959510     - 51959512</t>
  </si>
  <si>
    <t>MAQ Y EQ</t>
  </si>
  <si>
    <t>Dic</t>
  </si>
  <si>
    <t>PRESUPUESTO  IMDERTY 2024</t>
  </si>
  <si>
    <t>SUMINISTRO</t>
  </si>
  <si>
    <t>1,35% Estampillas</t>
  </si>
  <si>
    <t>FLETES</t>
  </si>
  <si>
    <t>Inacapacidades</t>
  </si>
  <si>
    <t xml:space="preserve">Bioseguridad </t>
  </si>
  <si>
    <t>Gastos Financieros Directos</t>
  </si>
  <si>
    <t>Donacion</t>
  </si>
  <si>
    <t>Otros Ajustes</t>
  </si>
  <si>
    <t>PYG COMEDORES CALI 2026</t>
  </si>
  <si>
    <t>SUMINISTRO lunes a viernes</t>
  </si>
  <si>
    <t>SUMINISTRO lunes a viernes   OP</t>
  </si>
  <si>
    <t xml:space="preserve">SUMINISTRO Fines de Semana  </t>
  </si>
  <si>
    <t>Contingencia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</si>
  <si>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</si>
  <si>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</si>
  <si>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</si>
  <si>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</si>
  <si>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</si>
  <si>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</si>
  <si>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</si>
  <si>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>FLETES OPERADORES</t>
  </si>
  <si>
    <t>ENTREGA TERCEROS</t>
  </si>
  <si>
    <t>ENTREGA MATERIA PRIMA TERCEROS</t>
  </si>
  <si>
    <t xml:space="preserve">FLETES </t>
  </si>
  <si>
    <t>Personal Otros OP</t>
  </si>
  <si>
    <t>Inversion - Infreastructura</t>
  </si>
  <si>
    <t>Campaña</t>
  </si>
  <si>
    <t>Banco de Occidente</t>
  </si>
  <si>
    <t>Abono 2025 - GAP</t>
  </si>
  <si>
    <t>PYG  CUENTAS EN PARTICIPACION 2026</t>
  </si>
  <si>
    <t>RACIONES</t>
  </si>
  <si>
    <t>TRANSPORTE</t>
  </si>
  <si>
    <t>Rete fuente</t>
  </si>
  <si>
    <t>FLETES - OTROS OPERADORES</t>
  </si>
  <si>
    <t>ENTREGA POR RACION</t>
  </si>
  <si>
    <t>ENTREGA MATERIA PRIMA</t>
  </si>
  <si>
    <t>FLETES - CHVS</t>
  </si>
  <si>
    <t>TERCEROS</t>
  </si>
  <si>
    <t>MP</t>
  </si>
  <si>
    <t>PYG  COMEDORES PALMIRA 2026</t>
  </si>
  <si>
    <t>RACIONES ADICIONALES</t>
  </si>
  <si>
    <t>ADICIONAL</t>
  </si>
  <si>
    <t>PYG  COMEDORES VALLE 2026</t>
  </si>
  <si>
    <t>PPTO ENE</t>
  </si>
  <si>
    <t>VR RACION CHVS</t>
  </si>
  <si>
    <t>COSTO RACION</t>
  </si>
  <si>
    <t>PYG  ADULTO MAYOR YUMBO 2026</t>
  </si>
  <si>
    <t>Procultura 0.5%</t>
  </si>
  <si>
    <t>Impuesto de timbre 1%</t>
  </si>
  <si>
    <t>7105 -  71101001</t>
  </si>
  <si>
    <t xml:space="preserve">73954001            </t>
  </si>
  <si>
    <t>Paquetes de donacion</t>
  </si>
  <si>
    <t>PYG  TOTAL 2026</t>
  </si>
  <si>
    <t>DESCUENTOS - GASTO OPERACIONAL ADMON</t>
  </si>
  <si>
    <t>INSUMOS INDUSTRIALIZADOS</t>
  </si>
  <si>
    <t>INSUMOS PREPARADOS</t>
  </si>
  <si>
    <t>Personal SENA</t>
  </si>
  <si>
    <t xml:space="preserve">42100501            </t>
  </si>
  <si>
    <t>(+) DESCUENTOS COMERCIALES</t>
  </si>
  <si>
    <t xml:space="preserve">42950501  -    42958101            </t>
  </si>
  <si>
    <t>(+) INGRESOS NO OPERACIONALES</t>
  </si>
  <si>
    <t xml:space="preserve">42950502            </t>
  </si>
  <si>
    <t>(+) INGRESOS INCAPACIDADES</t>
  </si>
  <si>
    <t xml:space="preserve">(-)INVERSION </t>
  </si>
  <si>
    <t xml:space="preserve">51103501            </t>
  </si>
  <si>
    <t>(-) COSTO FACTURAS</t>
  </si>
  <si>
    <t>(-) RECREARTE</t>
  </si>
  <si>
    <t>UTILIDAD NETA FINAL</t>
  </si>
  <si>
    <t>(-) PROVISION BONIFICACION</t>
  </si>
  <si>
    <t>UTILIDAD PAE + ADULTO MAYOR</t>
  </si>
  <si>
    <t>UTILIDAD VALORES</t>
  </si>
  <si>
    <t>UTILIDAD</t>
  </si>
  <si>
    <t>DIFERENCIA</t>
  </si>
  <si>
    <t>GASTOS ADMON</t>
  </si>
  <si>
    <t>GASTOS OPERATIVOS</t>
  </si>
  <si>
    <t>GASTOS VEHICULOS</t>
  </si>
  <si>
    <t>GASTOS FINANCIEROS</t>
  </si>
  <si>
    <t>ADMON</t>
  </si>
  <si>
    <t>OPERATIVO</t>
  </si>
  <si>
    <t>INV COM</t>
  </si>
  <si>
    <t>TRTANSP</t>
  </si>
  <si>
    <t>MANIP</t>
  </si>
  <si>
    <t>DOT Y EX</t>
  </si>
  <si>
    <t>PRESUPUESTO RECREARTE 2026</t>
  </si>
  <si>
    <t>COMPLEMENTO PREPARADO</t>
  </si>
  <si>
    <t>COSTOS DIRECTOS</t>
  </si>
  <si>
    <t>Complemento Preparado</t>
  </si>
  <si>
    <t>AlmuerzoJornada Unica</t>
  </si>
  <si>
    <t>REFRIGERIOS ESPECIALES</t>
  </si>
  <si>
    <t>Transporte</t>
  </si>
  <si>
    <t>Coordinacion</t>
  </si>
  <si>
    <t xml:space="preserve">Profesores </t>
  </si>
  <si>
    <t>Servicios Generales</t>
  </si>
  <si>
    <t>Compra equipos de Computo</t>
  </si>
  <si>
    <t>Compra Instrumentos</t>
  </si>
  <si>
    <t>Herramienrtas y Articulos de ferreteria</t>
  </si>
  <si>
    <t>Reuniones fiesta y detalles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</si>
</sst>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_-* #,##0.00\ _P_t_s_-;\-* #,##0.00\ _P_t_s_-;_-* &quot;-&quot;??\ _P_t_s_-;_-@_-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_-* #,##0.00\ &quot;€&quot;_-;\-* #,##0.00\ &quot;€&quot;_-;_-* &quot;-&quot;??\ &quot;€&quot;_-;_-@_-"/>
    <numFmt numFmtId="180" formatCode="_(&quot;$&quot;\ * #,##0.00_);_(&quot;$&quot;\ * \(#,##0.00\);_(&quot;$&quot;\ * &quot;-&quot;??_);_(@_)"/>
  </numFmts>
  <fonts count="5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7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0" fillId="0" borderId="0"/>
    <xf numFmtId="0" fontId="8" fillId="0" borderId="0">
      <alignment vertical="top"/>
      <protection locked="0"/>
    </xf>
    <xf numFmtId="43" fontId="7" fillId="0" borderId="0"/>
    <xf numFmtId="41" fontId="7" fillId="0" borderId="0"/>
    <xf numFmtId="41" fontId="7" fillId="0" borderId="0"/>
    <xf numFmtId="43" fontId="7" fillId="0" borderId="0"/>
    <xf numFmtId="176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77" fontId="7" fillId="0" borderId="0"/>
    <xf numFmtId="178" fontId="7" fillId="0" borderId="0"/>
    <xf numFmtId="179" fontId="7" fillId="0" borderId="0"/>
    <xf numFmtId="178" fontId="7" fillId="0" borderId="0"/>
    <xf numFmtId="178" fontId="7" fillId="0" borderId="0"/>
    <xf numFmtId="180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178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053">
    <xf numFmtId="0" fontId="0" fillId="0" borderId="0" xfId="0"/>
    <xf numFmtId="164" fontId="10" fillId="2" borderId="1" xfId="2" applyNumberFormat="1" applyFont="1" applyFill="1" applyBorder="1"/>
    <xf numFmtId="164" fontId="11" fillId="2" borderId="0" xfId="2" applyNumberFormat="1" applyFont="1" applyFill="1"/>
    <xf numFmtId="164" fontId="10" fillId="2" borderId="2" xfId="2" applyNumberFormat="1" applyFont="1" applyFill="1" applyBorder="1"/>
    <xf numFmtId="164" fontId="11" fillId="2" borderId="3" xfId="2" applyNumberFormat="1" applyFont="1" applyFill="1" applyBorder="1"/>
    <xf numFmtId="164" fontId="10" fillId="2" borderId="4" xfId="2" applyNumberFormat="1" applyFont="1" applyFill="1" applyBorder="1" applyAlignment="1">
      <alignment horizontal="center"/>
    </xf>
    <xf numFmtId="164" fontId="11" fillId="2" borderId="5" xfId="2" applyNumberFormat="1" applyFont="1" applyFill="1" applyBorder="1" applyAlignment="1">
      <alignment horizontal="center"/>
    </xf>
    <xf numFmtId="164" fontId="11" fillId="0" borderId="6" xfId="2" applyNumberFormat="1" applyFont="1" applyBorder="1" applyAlignment="1">
      <alignment horizontal="center"/>
    </xf>
    <xf numFmtId="164" fontId="11" fillId="2" borderId="7" xfId="2" applyNumberFormat="1" applyFont="1" applyFill="1" applyBorder="1" applyAlignment="1">
      <alignment horizontal="center"/>
    </xf>
    <xf numFmtId="164" fontId="11" fillId="2" borderId="8" xfId="2" applyNumberFormat="1" applyFont="1" applyFill="1" applyBorder="1" applyAlignment="1">
      <alignment horizontal="center"/>
    </xf>
    <xf numFmtId="164" fontId="10" fillId="3" borderId="2" xfId="2" applyNumberFormat="1" applyFont="1" applyFill="1" applyBorder="1"/>
    <xf numFmtId="164" fontId="11" fillId="0" borderId="5" xfId="2" applyNumberFormat="1" applyFont="1" applyBorder="1" applyAlignment="1">
      <alignment horizontal="center"/>
    </xf>
    <xf numFmtId="164" fontId="11" fillId="0" borderId="7" xfId="2" applyNumberFormat="1" applyFont="1" applyBorder="1" applyAlignment="1">
      <alignment horizontal="center"/>
    </xf>
    <xf numFmtId="164" fontId="11" fillId="0" borderId="8" xfId="2" applyNumberFormat="1" applyFont="1" applyBorder="1" applyAlignment="1">
      <alignment horizontal="center"/>
    </xf>
    <xf numFmtId="164" fontId="11" fillId="2" borderId="9" xfId="2" applyNumberFormat="1" applyFont="1" applyFill="1" applyBorder="1" applyAlignment="1">
      <alignment horizontal="right" vertical="center"/>
    </xf>
    <xf numFmtId="164" fontId="10" fillId="2" borderId="9" xfId="2" applyNumberFormat="1" applyFont="1" applyFill="1" applyBorder="1" applyAlignment="1">
      <alignment horizontal="right" vertical="center"/>
    </xf>
    <xf numFmtId="164" fontId="10" fillId="2" borderId="10" xfId="2" applyNumberFormat="1" applyFont="1" applyFill="1" applyBorder="1"/>
    <xf numFmtId="164" fontId="10" fillId="2" borderId="11" xfId="2" applyNumberFormat="1" applyFont="1" applyFill="1" applyBorder="1"/>
    <xf numFmtId="164" fontId="11" fillId="2" borderId="9" xfId="2" applyNumberFormat="1" applyFont="1" applyFill="1" applyBorder="1"/>
    <xf numFmtId="164" fontId="10" fillId="3" borderId="10" xfId="2" applyNumberFormat="1" applyFont="1" applyFill="1" applyBorder="1" applyAlignment="1">
      <alignment horizontal="center"/>
    </xf>
    <xf numFmtId="164" fontId="10" fillId="4" borderId="12" xfId="2" applyNumberFormat="1" applyFont="1" applyFill="1" applyBorder="1" applyAlignment="1">
      <alignment horizontal="center"/>
    </xf>
    <xf numFmtId="164" fontId="10" fillId="2" borderId="9" xfId="2" applyNumberFormat="1" applyFont="1" applyFill="1" applyBorder="1" applyAlignment="1">
      <alignment horizontal="center" vertical="center" wrapText="1"/>
    </xf>
    <xf numFmtId="164" fontId="3" fillId="0" borderId="13" xfId="0" applyNumberFormat="1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3" fillId="0" borderId="16" xfId="0" applyNumberFormat="1" applyFont="1" applyBorder="1"/>
    <xf numFmtId="164" fontId="3" fillId="0" borderId="17" xfId="0" applyNumberFormat="1" applyFont="1" applyBorder="1"/>
    <xf numFmtId="164" fontId="3" fillId="0" borderId="18" xfId="0" applyNumberFormat="1" applyFont="1" applyBorder="1"/>
    <xf numFmtId="164" fontId="3" fillId="0" borderId="19" xfId="0" applyNumberFormat="1" applyFont="1" applyBorder="1"/>
    <xf numFmtId="164" fontId="2" fillId="0" borderId="11" xfId="0" applyNumberFormat="1" applyFont="1" applyBorder="1"/>
    <xf numFmtId="164" fontId="3" fillId="0" borderId="9" xfId="0" applyNumberFormat="1" applyFont="1" applyBorder="1" applyAlignment="1">
      <alignment horizontal="left" indent="1"/>
    </xf>
    <xf numFmtId="164" fontId="3" fillId="0" borderId="20" xfId="0" applyNumberFormat="1" applyFont="1" applyBorder="1"/>
    <xf numFmtId="164" fontId="3" fillId="0" borderId="17" xfId="0" applyNumberFormat="1" applyFont="1" applyBorder="1" applyAlignment="1">
      <alignment horizontal="left" indent="1"/>
    </xf>
    <xf numFmtId="164" fontId="3" fillId="0" borderId="21" xfId="0" applyNumberFormat="1" applyFont="1" applyBorder="1"/>
    <xf numFmtId="164" fontId="3" fillId="0" borderId="22" xfId="0" applyNumberFormat="1" applyFont="1" applyBorder="1"/>
    <xf numFmtId="164" fontId="3" fillId="0" borderId="23" xfId="0" applyNumberFormat="1" applyFont="1" applyBorder="1"/>
    <xf numFmtId="164" fontId="2" fillId="0" borderId="24" xfId="0" applyNumberFormat="1" applyFont="1" applyBorder="1" applyAlignment="1">
      <alignment horizontal="left"/>
    </xf>
    <xf numFmtId="164" fontId="3" fillId="0" borderId="24" xfId="0" applyNumberFormat="1" applyFont="1" applyBorder="1"/>
    <xf numFmtId="164" fontId="3" fillId="0" borderId="11" xfId="0" applyNumberFormat="1" applyFont="1" applyBorder="1"/>
    <xf numFmtId="164" fontId="3" fillId="0" borderId="25" xfId="0" applyNumberFormat="1" applyFont="1" applyBorder="1"/>
    <xf numFmtId="43" fontId="11" fillId="2" borderId="26" xfId="2" applyFont="1" applyFill="1" applyBorder="1"/>
    <xf numFmtId="164" fontId="11" fillId="0" borderId="27" xfId="2" applyNumberFormat="1" applyFont="1" applyBorder="1" applyAlignment="1">
      <alignment horizontal="center" vertical="center"/>
    </xf>
    <xf numFmtId="164" fontId="3" fillId="0" borderId="3" xfId="0" applyNumberFormat="1" applyFont="1" applyBorder="1"/>
    <xf numFmtId="164" fontId="3" fillId="0" borderId="8" xfId="0" applyNumberFormat="1" applyFont="1" applyBorder="1"/>
    <xf numFmtId="164" fontId="11" fillId="0" borderId="13" xfId="2" applyNumberFormat="1" applyFont="1" applyBorder="1" applyAlignment="1">
      <alignment horizontal="center" vertical="center"/>
    </xf>
    <xf numFmtId="164" fontId="3" fillId="0" borderId="28" xfId="0" applyNumberFormat="1" applyFont="1" applyBorder="1"/>
    <xf numFmtId="164" fontId="2" fillId="0" borderId="24" xfId="0" applyNumberFormat="1" applyFont="1" applyBorder="1"/>
    <xf numFmtId="164" fontId="2" fillId="0" borderId="2" xfId="0" applyNumberFormat="1" applyFont="1" applyBorder="1"/>
    <xf numFmtId="164" fontId="10" fillId="3" borderId="24" xfId="2" applyNumberFormat="1" applyFont="1" applyFill="1" applyBorder="1"/>
    <xf numFmtId="164" fontId="10" fillId="2" borderId="24" xfId="2" applyNumberFormat="1" applyFont="1" applyFill="1" applyBorder="1"/>
    <xf numFmtId="164" fontId="11" fillId="0" borderId="27" xfId="2" applyNumberFormat="1" applyFont="1" applyBorder="1" applyAlignment="1">
      <alignment horizontal="center"/>
    </xf>
    <xf numFmtId="164" fontId="11" fillId="0" borderId="29" xfId="2" applyNumberFormat="1" applyFont="1" applyBorder="1" applyAlignment="1">
      <alignment horizontal="center"/>
    </xf>
    <xf numFmtId="164" fontId="3" fillId="0" borderId="30" xfId="0" applyNumberFormat="1" applyFont="1" applyBorder="1"/>
    <xf numFmtId="165" fontId="11" fillId="0" borderId="27" xfId="2" applyNumberFormat="1" applyFont="1" applyBorder="1" applyAlignment="1">
      <alignment horizontal="center"/>
    </xf>
    <xf numFmtId="164" fontId="10" fillId="4" borderId="31" xfId="2" applyNumberFormat="1" applyFont="1" applyFill="1" applyBorder="1"/>
    <xf numFmtId="164" fontId="10" fillId="4" borderId="32" xfId="2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10" fillId="3" borderId="4" xfId="2" applyNumberFormat="1" applyFont="1" applyFill="1" applyBorder="1"/>
    <xf numFmtId="9" fontId="10" fillId="2" borderId="4" xfId="2" applyNumberFormat="1" applyFont="1" applyFill="1" applyBorder="1"/>
    <xf numFmtId="9" fontId="3" fillId="0" borderId="36" xfId="0" applyNumberFormat="1" applyFont="1" applyBorder="1"/>
    <xf numFmtId="9" fontId="10" fillId="4" borderId="37" xfId="2" applyNumberFormat="1" applyFont="1" applyFill="1" applyBorder="1"/>
    <xf numFmtId="9" fontId="11" fillId="2" borderId="0" xfId="2" applyNumberFormat="1" applyFont="1" applyFill="1"/>
    <xf numFmtId="164" fontId="10" fillId="0" borderId="38" xfId="2" applyNumberFormat="1" applyFont="1" applyBorder="1" applyAlignment="1">
      <alignment horizontal="right"/>
    </xf>
    <xf numFmtId="164" fontId="2" fillId="0" borderId="19" xfId="0" applyNumberFormat="1" applyFont="1" applyBorder="1"/>
    <xf numFmtId="164" fontId="3" fillId="0" borderId="2" xfId="0" applyNumberFormat="1" applyFont="1" applyBorder="1"/>
    <xf numFmtId="9" fontId="3" fillId="0" borderId="4" xfId="0" applyNumberFormat="1" applyFont="1" applyBorder="1"/>
    <xf numFmtId="164" fontId="3" fillId="0" borderId="39" xfId="0" applyNumberFormat="1" applyFont="1" applyBorder="1"/>
    <xf numFmtId="9" fontId="3" fillId="0" borderId="40" xfId="0" applyNumberFormat="1" applyFont="1" applyBorder="1"/>
    <xf numFmtId="164" fontId="3" fillId="0" borderId="41" xfId="0" applyNumberFormat="1" applyFont="1" applyBorder="1"/>
    <xf numFmtId="164" fontId="3" fillId="0" borderId="42" xfId="0" applyNumberFormat="1" applyFont="1" applyBorder="1"/>
    <xf numFmtId="9" fontId="3" fillId="0" borderId="43" xfId="0" applyNumberFormat="1" applyFont="1" applyBorder="1"/>
    <xf numFmtId="164" fontId="11" fillId="0" borderId="16" xfId="2" applyNumberFormat="1" applyFont="1" applyBorder="1" applyAlignment="1">
      <alignment horizontal="center" vertical="center"/>
    </xf>
    <xf numFmtId="164" fontId="11" fillId="0" borderId="16" xfId="2" applyNumberFormat="1" applyFont="1" applyBorder="1" applyAlignment="1">
      <alignment horizontal="center"/>
    </xf>
    <xf numFmtId="164" fontId="11" fillId="0" borderId="13" xfId="2" applyNumberFormat="1" applyFont="1" applyBorder="1" applyAlignment="1">
      <alignment horizontal="center"/>
    </xf>
    <xf numFmtId="164" fontId="11" fillId="2" borderId="16" xfId="2" applyNumberFormat="1" applyFont="1" applyFill="1" applyBorder="1" applyAlignment="1">
      <alignment horizontal="center"/>
    </xf>
    <xf numFmtId="164" fontId="3" fillId="0" borderId="44" xfId="0" applyNumberFormat="1" applyFont="1" applyBorder="1"/>
    <xf numFmtId="164" fontId="3" fillId="0" borderId="45" xfId="0" applyNumberFormat="1" applyFont="1" applyBorder="1"/>
    <xf numFmtId="9" fontId="3" fillId="0" borderId="46" xfId="0" applyNumberFormat="1" applyFont="1" applyBorder="1"/>
    <xf numFmtId="164" fontId="3" fillId="0" borderId="47" xfId="0" applyNumberFormat="1" applyFont="1" applyBorder="1"/>
    <xf numFmtId="164" fontId="3" fillId="0" borderId="16" xfId="2" applyNumberFormat="1" applyFont="1" applyBorder="1" applyAlignment="1">
      <alignment horizontal="center"/>
    </xf>
    <xf numFmtId="164" fontId="3" fillId="0" borderId="48" xfId="0" applyNumberFormat="1" applyFont="1" applyBorder="1"/>
    <xf numFmtId="164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64" fontId="3" fillId="0" borderId="54" xfId="0" applyNumberFormat="1" applyFont="1" applyBorder="1"/>
    <xf numFmtId="164" fontId="10" fillId="0" borderId="24" xfId="2" applyNumberFormat="1" applyFont="1" applyBorder="1"/>
    <xf numFmtId="164" fontId="3" fillId="0" borderId="55" xfId="0" applyNumberFormat="1" applyFont="1" applyBorder="1"/>
    <xf numFmtId="164" fontId="3" fillId="0" borderId="56" xfId="0" applyNumberFormat="1" applyFont="1" applyBorder="1"/>
    <xf numFmtId="164" fontId="10" fillId="2" borderId="57" xfId="2" applyNumberFormat="1" applyFont="1" applyFill="1" applyBorder="1"/>
    <xf numFmtId="164" fontId="10" fillId="2" borderId="45" xfId="2" applyNumberFormat="1" applyFont="1" applyFill="1" applyBorder="1"/>
    <xf numFmtId="164" fontId="10" fillId="2" borderId="5" xfId="2" applyNumberFormat="1" applyFont="1" applyFill="1" applyBorder="1" applyAlignment="1">
      <alignment horizontal="center"/>
    </xf>
    <xf numFmtId="9" fontId="10" fillId="2" borderId="58" xfId="2" applyNumberFormat="1" applyFont="1" applyFill="1" applyBorder="1"/>
    <xf numFmtId="164" fontId="3" fillId="0" borderId="9" xfId="0" applyNumberFormat="1" applyFont="1" applyBorder="1"/>
    <xf numFmtId="164" fontId="3" fillId="0" borderId="59" xfId="0" applyNumberFormat="1" applyFont="1" applyBorder="1"/>
    <xf numFmtId="164" fontId="3" fillId="0" borderId="60" xfId="0" applyNumberFormat="1" applyFont="1" applyBorder="1"/>
    <xf numFmtId="164" fontId="11" fillId="2" borderId="9" xfId="2" applyNumberFormat="1" applyFont="1" applyFill="1" applyBorder="1" applyAlignment="1">
      <alignment horizontal="left" vertical="center"/>
    </xf>
    <xf numFmtId="164" fontId="11" fillId="2" borderId="15" xfId="2" applyNumberFormat="1" applyFont="1" applyFill="1" applyBorder="1" applyAlignment="1">
      <alignment horizontal="left" vertical="center"/>
    </xf>
    <xf numFmtId="164" fontId="11" fillId="0" borderId="48" xfId="2" applyNumberFormat="1" applyFont="1" applyBorder="1" applyAlignment="1">
      <alignment horizontal="center" vertical="center"/>
    </xf>
    <xf numFmtId="164" fontId="11" fillId="0" borderId="44" xfId="2" applyNumberFormat="1" applyFont="1" applyBorder="1" applyAlignment="1">
      <alignment horizontal="center"/>
    </xf>
    <xf numFmtId="164" fontId="3" fillId="0" borderId="15" xfId="0" applyNumberFormat="1" applyFont="1" applyBorder="1" applyAlignment="1">
      <alignment horizontal="left" indent="1"/>
    </xf>
    <xf numFmtId="164" fontId="3" fillId="0" borderId="61" xfId="0" applyNumberFormat="1" applyFont="1" applyBorder="1" applyAlignment="1">
      <alignment horizontal="left" indent="1"/>
    </xf>
    <xf numFmtId="164" fontId="10" fillId="0" borderId="10" xfId="2" applyNumberFormat="1" applyFont="1" applyBorder="1"/>
    <xf numFmtId="164" fontId="11" fillId="2" borderId="14" xfId="2" applyNumberFormat="1" applyFont="1" applyFill="1" applyBorder="1"/>
    <xf numFmtId="164" fontId="11" fillId="0" borderId="0" xfId="2" applyNumberFormat="1" applyFont="1"/>
    <xf numFmtId="0" fontId="12" fillId="2" borderId="0" xfId="0" applyFont="1" applyFill="1" applyAlignment="1">
      <alignment horizontal="center" vertical="center"/>
    </xf>
    <xf numFmtId="0" fontId="13" fillId="2" borderId="58" xfId="0" applyFont="1" applyFill="1" applyBorder="1" applyAlignment="1">
      <alignment vertical="center"/>
    </xf>
    <xf numFmtId="164" fontId="13" fillId="0" borderId="2" xfId="2" applyNumberFormat="1" applyFont="1" applyBorder="1" applyAlignment="1">
      <alignment vertical="center"/>
    </xf>
    <xf numFmtId="164" fontId="13" fillId="2" borderId="2" xfId="2" applyNumberFormat="1" applyFont="1" applyFill="1" applyBorder="1" applyAlignment="1">
      <alignment vertical="center"/>
    </xf>
    <xf numFmtId="164" fontId="12" fillId="2" borderId="0" xfId="0" applyNumberFormat="1" applyFont="1" applyFill="1"/>
    <xf numFmtId="164" fontId="12" fillId="2" borderId="0" xfId="2" applyNumberFormat="1" applyFont="1" applyFill="1"/>
    <xf numFmtId="0" fontId="12" fillId="2" borderId="0" xfId="0" applyFont="1" applyFill="1"/>
    <xf numFmtId="0" fontId="13" fillId="2" borderId="0" xfId="0" applyFont="1" applyFill="1"/>
    <xf numFmtId="166" fontId="3" fillId="0" borderId="35" xfId="0" applyNumberFormat="1" applyFont="1" applyBorder="1"/>
    <xf numFmtId="166" fontId="3" fillId="0" borderId="34" xfId="0" applyNumberFormat="1" applyFont="1" applyBorder="1"/>
    <xf numFmtId="0" fontId="14" fillId="0" borderId="0" xfId="0" applyFont="1"/>
    <xf numFmtId="0" fontId="9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9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9" fillId="0" borderId="6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9" fontId="9" fillId="6" borderId="2" xfId="0" applyNumberFormat="1" applyFont="1" applyFill="1" applyBorder="1"/>
    <xf numFmtId="3" fontId="9" fillId="6" borderId="2" xfId="0" applyNumberFormat="1" applyFont="1" applyFill="1" applyBorder="1" applyAlignment="1">
      <alignment horizontal="center"/>
    </xf>
    <xf numFmtId="10" fontId="10" fillId="2" borderId="4" xfId="2" applyNumberFormat="1" applyFont="1" applyFill="1" applyBorder="1"/>
    <xf numFmtId="164" fontId="3" fillId="0" borderId="64" xfId="0" applyNumberFormat="1" applyFont="1" applyBorder="1"/>
    <xf numFmtId="164" fontId="3" fillId="0" borderId="65" xfId="0" applyNumberFormat="1" applyFont="1" applyBorder="1"/>
    <xf numFmtId="9" fontId="3" fillId="0" borderId="66" xfId="0" applyNumberFormat="1" applyFont="1" applyBorder="1"/>
    <xf numFmtId="164" fontId="11" fillId="2" borderId="67" xfId="2" applyNumberFormat="1" applyFont="1" applyFill="1" applyBorder="1"/>
    <xf numFmtId="164" fontId="2" fillId="0" borderId="16" xfId="0" applyNumberFormat="1" applyFont="1" applyBorder="1"/>
    <xf numFmtId="9" fontId="11" fillId="2" borderId="0" xfId="36" applyFont="1" applyFill="1"/>
    <xf numFmtId="10" fontId="3" fillId="0" borderId="40" xfId="0" applyNumberFormat="1" applyFont="1" applyBorder="1"/>
    <xf numFmtId="166" fontId="3" fillId="0" borderId="33" xfId="0" applyNumberFormat="1" applyFont="1" applyBorder="1"/>
    <xf numFmtId="10" fontId="10" fillId="2" borderId="0" xfId="36" applyNumberFormat="1" applyFont="1" applyFill="1" applyAlignment="1">
      <alignment horizontal="center"/>
    </xf>
    <xf numFmtId="9" fontId="7" fillId="0" borderId="0" xfId="36"/>
    <xf numFmtId="0" fontId="12" fillId="0" borderId="0" xfId="0" applyFont="1"/>
    <xf numFmtId="166" fontId="11" fillId="2" borderId="0" xfId="36" applyNumberFormat="1" applyFont="1" applyFill="1"/>
    <xf numFmtId="10" fontId="10" fillId="2" borderId="0" xfId="36" applyNumberFormat="1" applyFont="1" applyFill="1"/>
    <xf numFmtId="164" fontId="3" fillId="0" borderId="6" xfId="0" applyNumberFormat="1" applyFont="1" applyBorder="1"/>
    <xf numFmtId="166" fontId="3" fillId="0" borderId="46" xfId="0" applyNumberFormat="1" applyFont="1" applyBorder="1"/>
    <xf numFmtId="166" fontId="3" fillId="0" borderId="36" xfId="0" applyNumberFormat="1" applyFont="1" applyBorder="1"/>
    <xf numFmtId="166" fontId="3" fillId="0" borderId="4" xfId="0" applyNumberFormat="1" applyFont="1" applyBorder="1"/>
    <xf numFmtId="166" fontId="10" fillId="2" borderId="4" xfId="2" applyNumberFormat="1" applyFont="1" applyFill="1" applyBorder="1"/>
    <xf numFmtId="164" fontId="11" fillId="2" borderId="68" xfId="2" applyNumberFormat="1" applyFont="1" applyFill="1" applyBorder="1"/>
    <xf numFmtId="166" fontId="2" fillId="0" borderId="4" xfId="0" applyNumberFormat="1" applyFont="1" applyBorder="1"/>
    <xf numFmtId="164" fontId="15" fillId="2" borderId="0" xfId="2" applyNumberFormat="1" applyFont="1" applyFill="1"/>
    <xf numFmtId="43" fontId="13" fillId="2" borderId="0" xfId="2" applyFont="1" applyFill="1" applyAlignment="1">
      <alignment horizontal="center" vertical="center" wrapText="1"/>
    </xf>
    <xf numFmtId="164" fontId="13" fillId="2" borderId="0" xfId="2" applyNumberFormat="1" applyFont="1" applyFill="1" applyAlignment="1">
      <alignment horizontal="center" vertical="center" wrapText="1"/>
    </xf>
    <xf numFmtId="0" fontId="12" fillId="2" borderId="69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164" fontId="12" fillId="2" borderId="0" xfId="2" applyNumberFormat="1" applyFont="1" applyFill="1" applyAlignment="1">
      <alignment vertical="center"/>
    </xf>
    <xf numFmtId="164" fontId="12" fillId="2" borderId="70" xfId="2" applyNumberFormat="1" applyFont="1" applyFill="1" applyBorder="1" applyAlignment="1">
      <alignment vertical="center"/>
    </xf>
    <xf numFmtId="164" fontId="12" fillId="2" borderId="7" xfId="2" applyNumberFormat="1" applyFont="1" applyFill="1" applyBorder="1" applyAlignment="1">
      <alignment vertical="center"/>
    </xf>
    <xf numFmtId="164" fontId="12" fillId="2" borderId="71" xfId="2" applyNumberFormat="1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0" xfId="2" applyNumberFormat="1" applyFont="1" applyFill="1" applyAlignment="1">
      <alignment horizontal="center"/>
    </xf>
    <xf numFmtId="43" fontId="12" fillId="2" borderId="0" xfId="2" applyFont="1" applyFill="1"/>
    <xf numFmtId="43" fontId="13" fillId="2" borderId="58" xfId="2" applyFont="1" applyFill="1" applyBorder="1" applyAlignment="1">
      <alignment vertical="center"/>
    </xf>
    <xf numFmtId="164" fontId="13" fillId="0" borderId="2" xfId="2" applyNumberFormat="1" applyFont="1" applyBorder="1" applyAlignment="1">
      <alignment horizontal="center" vertical="center"/>
    </xf>
    <xf numFmtId="0" fontId="13" fillId="2" borderId="72" xfId="0" applyFont="1" applyFill="1" applyBorder="1" applyAlignment="1">
      <alignment vertical="center"/>
    </xf>
    <xf numFmtId="164" fontId="4" fillId="0" borderId="45" xfId="2" applyNumberFormat="1" applyFont="1" applyBorder="1" applyAlignment="1">
      <alignment vertical="center"/>
    </xf>
    <xf numFmtId="164" fontId="12" fillId="0" borderId="8" xfId="2" applyNumberFormat="1" applyFont="1" applyBorder="1" applyAlignment="1">
      <alignment vertical="center"/>
    </xf>
    <xf numFmtId="164" fontId="4" fillId="0" borderId="8" xfId="2" applyNumberFormat="1" applyFont="1" applyBorder="1" applyAlignment="1">
      <alignment vertical="center"/>
    </xf>
    <xf numFmtId="0" fontId="12" fillId="2" borderId="73" xfId="0" applyFont="1" applyFill="1" applyBorder="1" applyAlignment="1">
      <alignment vertical="center"/>
    </xf>
    <xf numFmtId="0" fontId="12" fillId="2" borderId="8" xfId="0" applyFont="1" applyFill="1" applyBorder="1" applyAlignment="1">
      <alignment vertical="center"/>
    </xf>
    <xf numFmtId="0" fontId="12" fillId="2" borderId="74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0" borderId="75" xfId="0" applyFont="1" applyBorder="1" applyAlignment="1">
      <alignment vertical="center"/>
    </xf>
    <xf numFmtId="0" fontId="12" fillId="0" borderId="74" xfId="0" applyFont="1" applyBorder="1" applyAlignment="1">
      <alignment vertical="center"/>
    </xf>
    <xf numFmtId="0" fontId="12" fillId="2" borderId="75" xfId="0" applyFont="1" applyFill="1" applyBorder="1" applyAlignment="1">
      <alignment vertical="center"/>
    </xf>
    <xf numFmtId="0" fontId="12" fillId="0" borderId="73" xfId="0" applyFont="1" applyBorder="1" applyAlignment="1">
      <alignment vertical="center"/>
    </xf>
    <xf numFmtId="164" fontId="13" fillId="2" borderId="65" xfId="2" applyNumberFormat="1" applyFont="1" applyFill="1" applyBorder="1" applyAlignment="1">
      <alignment horizontal="center" vertical="center"/>
    </xf>
    <xf numFmtId="43" fontId="13" fillId="2" borderId="0" xfId="2" applyFont="1" applyFill="1"/>
    <xf numFmtId="164" fontId="16" fillId="2" borderId="0" xfId="0" applyNumberFormat="1" applyFont="1" applyFill="1"/>
    <xf numFmtId="43" fontId="13" fillId="2" borderId="2" xfId="2" applyFont="1" applyFill="1" applyBorder="1" applyAlignment="1">
      <alignment vertical="center"/>
    </xf>
    <xf numFmtId="43" fontId="12" fillId="2" borderId="2" xfId="2" applyFont="1" applyFill="1" applyBorder="1" applyAlignment="1">
      <alignment vertical="center"/>
    </xf>
    <xf numFmtId="43" fontId="12" fillId="2" borderId="1" xfId="2" applyFont="1" applyFill="1" applyBorder="1" applyAlignment="1">
      <alignment vertical="center"/>
    </xf>
    <xf numFmtId="43" fontId="13" fillId="2" borderId="72" xfId="2" applyFont="1" applyFill="1" applyBorder="1" applyAlignment="1">
      <alignment vertical="center"/>
    </xf>
    <xf numFmtId="0" fontId="15" fillId="2" borderId="0" xfId="0" applyFont="1" applyFill="1"/>
    <xf numFmtId="0" fontId="15" fillId="2" borderId="0" xfId="0" quotePrefix="1" applyFont="1" applyFill="1"/>
    <xf numFmtId="0" fontId="15" fillId="2" borderId="0" xfId="0" applyFont="1" applyFill="1" applyAlignment="1">
      <alignment horizontal="left"/>
    </xf>
    <xf numFmtId="43" fontId="15" fillId="2" borderId="0" xfId="2" quotePrefix="1" applyFont="1" applyFill="1"/>
    <xf numFmtId="43" fontId="17" fillId="2" borderId="0" xfId="2" quotePrefix="1" applyFont="1" applyFill="1"/>
    <xf numFmtId="43" fontId="15" fillId="2" borderId="0" xfId="2" applyFont="1" applyFill="1"/>
    <xf numFmtId="164" fontId="10" fillId="0" borderId="38" xfId="2" applyNumberFormat="1" applyFont="1" applyBorder="1" applyAlignment="1">
      <alignment horizontal="center"/>
    </xf>
    <xf numFmtId="164" fontId="3" fillId="0" borderId="76" xfId="0" applyNumberFormat="1" applyFont="1" applyBorder="1"/>
    <xf numFmtId="164" fontId="3" fillId="0" borderId="77" xfId="0" applyNumberFormat="1" applyFont="1" applyBorder="1"/>
    <xf numFmtId="164" fontId="2" fillId="0" borderId="78" xfId="0" applyNumberFormat="1" applyFont="1" applyBorder="1"/>
    <xf numFmtId="164" fontId="10" fillId="2" borderId="78" xfId="2" applyNumberFormat="1" applyFont="1" applyFill="1" applyBorder="1"/>
    <xf numFmtId="164" fontId="3" fillId="0" borderId="79" xfId="0" applyNumberFormat="1" applyFont="1" applyBorder="1"/>
    <xf numFmtId="164" fontId="3" fillId="0" borderId="78" xfId="0" applyNumberFormat="1" applyFont="1" applyBorder="1"/>
    <xf numFmtId="164" fontId="3" fillId="0" borderId="80" xfId="0" applyNumberFormat="1" applyFont="1" applyBorder="1"/>
    <xf numFmtId="164" fontId="3" fillId="0" borderId="81" xfId="0" applyNumberFormat="1" applyFont="1" applyBorder="1"/>
    <xf numFmtId="164" fontId="3" fillId="0" borderId="82" xfId="0" applyNumberFormat="1" applyFont="1" applyBorder="1"/>
    <xf numFmtId="164" fontId="3" fillId="0" borderId="83" xfId="0" applyNumberFormat="1" applyFont="1" applyBorder="1"/>
    <xf numFmtId="164" fontId="3" fillId="0" borderId="84" xfId="0" applyNumberFormat="1" applyFont="1" applyBorder="1"/>
    <xf numFmtId="164" fontId="3" fillId="0" borderId="61" xfId="0" applyNumberFormat="1" applyFont="1" applyBorder="1"/>
    <xf numFmtId="164" fontId="3" fillId="0" borderId="85" xfId="0" applyNumberFormat="1" applyFont="1" applyBorder="1"/>
    <xf numFmtId="164" fontId="2" fillId="0" borderId="10" xfId="0" applyNumberFormat="1" applyFont="1" applyBorder="1"/>
    <xf numFmtId="164" fontId="10" fillId="3" borderId="10" xfId="2" applyNumberFormat="1" applyFont="1" applyFill="1" applyBorder="1"/>
    <xf numFmtId="164" fontId="3" fillId="0" borderId="86" xfId="0" applyNumberFormat="1" applyFont="1" applyBorder="1"/>
    <xf numFmtId="164" fontId="10" fillId="4" borderId="12" xfId="2" applyNumberFormat="1" applyFont="1" applyFill="1" applyBorder="1"/>
    <xf numFmtId="164" fontId="3" fillId="0" borderId="10" xfId="0" applyNumberFormat="1" applyFont="1" applyBorder="1"/>
    <xf numFmtId="164" fontId="3" fillId="0" borderId="87" xfId="0" applyNumberFormat="1" applyFont="1" applyBorder="1"/>
    <xf numFmtId="164" fontId="3" fillId="0" borderId="88" xfId="0" applyNumberFormat="1" applyFont="1" applyBorder="1"/>
    <xf numFmtId="164" fontId="3" fillId="0" borderId="89" xfId="0" applyNumberFormat="1" applyFont="1" applyBorder="1"/>
    <xf numFmtId="164" fontId="11" fillId="2" borderId="0" xfId="2" applyNumberFormat="1" applyFont="1" applyFill="1" applyAlignment="1">
      <alignment horizontal="center" vertical="center" wrapText="1"/>
    </xf>
    <xf numFmtId="164" fontId="10" fillId="7" borderId="2" xfId="2" applyNumberFormat="1" applyFont="1" applyFill="1" applyBorder="1" applyAlignment="1">
      <alignment horizontal="center" vertical="center" wrapText="1"/>
    </xf>
    <xf numFmtId="164" fontId="11" fillId="7" borderId="1" xfId="2" applyNumberFormat="1" applyFont="1" applyFill="1" applyBorder="1" applyAlignment="1">
      <alignment horizontal="center" vertical="center"/>
    </xf>
    <xf numFmtId="167" fontId="11" fillId="2" borderId="1" xfId="2" applyNumberFormat="1" applyFont="1" applyFill="1" applyBorder="1" applyAlignment="1">
      <alignment horizontal="center" vertical="center"/>
    </xf>
    <xf numFmtId="166" fontId="11" fillId="2" borderId="1" xfId="2" applyNumberFormat="1" applyFont="1" applyFill="1" applyBorder="1" applyAlignment="1">
      <alignment horizontal="center" vertical="center"/>
    </xf>
    <xf numFmtId="3" fontId="11" fillId="2" borderId="1" xfId="2" applyNumberFormat="1" applyFont="1" applyFill="1" applyBorder="1" applyAlignment="1">
      <alignment horizontal="center" vertical="center"/>
    </xf>
    <xf numFmtId="3" fontId="11" fillId="2" borderId="8" xfId="2" applyNumberFormat="1" applyFont="1" applyFill="1" applyBorder="1" applyAlignment="1">
      <alignment horizontal="center" vertical="center"/>
    </xf>
    <xf numFmtId="3" fontId="11" fillId="2" borderId="65" xfId="2" applyNumberFormat="1" applyFont="1" applyFill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3" fontId="11" fillId="2" borderId="69" xfId="2" applyNumberFormat="1" applyFont="1" applyFill="1" applyBorder="1" applyAlignment="1">
      <alignment horizontal="center" vertical="center"/>
    </xf>
    <xf numFmtId="164" fontId="10" fillId="0" borderId="69" xfId="2" applyNumberFormat="1" applyFont="1" applyBorder="1" applyAlignment="1">
      <alignment horizontal="center" vertical="center" wrapText="1"/>
    </xf>
    <xf numFmtId="49" fontId="15" fillId="2" borderId="0" xfId="2" applyNumberFormat="1" applyFont="1" applyFill="1"/>
    <xf numFmtId="49" fontId="15" fillId="2" borderId="0" xfId="2" applyNumberFormat="1" applyFont="1" applyFill="1" applyAlignment="1">
      <alignment horizontal="center" vertical="center" wrapText="1"/>
    </xf>
    <xf numFmtId="49" fontId="15" fillId="2" borderId="0" xfId="2" applyNumberFormat="1" applyFont="1" applyFill="1" applyAlignment="1">
      <alignment horizontal="center" vertical="center"/>
    </xf>
    <xf numFmtId="49" fontId="15" fillId="0" borderId="0" xfId="2" applyNumberFormat="1" applyFont="1"/>
    <xf numFmtId="164" fontId="11" fillId="2" borderId="90" xfId="2" applyNumberFormat="1" applyFont="1" applyFill="1" applyBorder="1" applyAlignment="1">
      <alignment horizontal="center"/>
    </xf>
    <xf numFmtId="41" fontId="11" fillId="0" borderId="55" xfId="3" applyFont="1" applyBorder="1" applyAlignment="1">
      <alignment horizontal="center"/>
    </xf>
    <xf numFmtId="41" fontId="11" fillId="0" borderId="16" xfId="3" applyFont="1" applyBorder="1" applyAlignment="1">
      <alignment horizontal="center"/>
    </xf>
    <xf numFmtId="164" fontId="11" fillId="0" borderId="89" xfId="2" applyNumberFormat="1" applyFont="1" applyBorder="1" applyAlignment="1">
      <alignment horizontal="center"/>
    </xf>
    <xf numFmtId="164" fontId="11" fillId="0" borderId="91" xfId="2" applyNumberFormat="1" applyFont="1" applyBorder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/>
    <xf numFmtId="164" fontId="11" fillId="0" borderId="0" xfId="2" applyNumberFormat="1" applyFont="1" applyAlignment="1">
      <alignment vertical="center"/>
    </xf>
    <xf numFmtId="164" fontId="11" fillId="0" borderId="0" xfId="2" applyNumberFormat="1" applyFont="1" applyAlignment="1">
      <alignment horizontal="center" vertical="center"/>
    </xf>
    <xf numFmtId="9" fontId="11" fillId="2" borderId="34" xfId="2" applyNumberFormat="1" applyFont="1" applyFill="1" applyBorder="1" applyAlignment="1">
      <alignment horizontal="center"/>
    </xf>
    <xf numFmtId="164" fontId="11" fillId="2" borderId="91" xfId="2" applyNumberFormat="1" applyFont="1" applyFill="1" applyBorder="1" applyAlignment="1">
      <alignment horizontal="center"/>
    </xf>
    <xf numFmtId="164" fontId="11" fillId="2" borderId="89" xfId="2" applyNumberFormat="1" applyFont="1" applyFill="1" applyBorder="1" applyAlignment="1">
      <alignment horizontal="center"/>
    </xf>
    <xf numFmtId="9" fontId="11" fillId="2" borderId="92" xfId="2" applyNumberFormat="1" applyFont="1" applyFill="1" applyBorder="1" applyAlignment="1">
      <alignment horizontal="center"/>
    </xf>
    <xf numFmtId="166" fontId="11" fillId="2" borderId="0" xfId="2" applyNumberFormat="1" applyFont="1" applyFill="1"/>
    <xf numFmtId="9" fontId="11" fillId="2" borderId="93" xfId="2" applyNumberFormat="1" applyFont="1" applyFill="1" applyBorder="1" applyAlignment="1">
      <alignment horizontal="center"/>
    </xf>
    <xf numFmtId="9" fontId="11" fillId="0" borderId="34" xfId="2" applyNumberFormat="1" applyFont="1" applyBorder="1" applyAlignment="1">
      <alignment horizontal="center"/>
    </xf>
    <xf numFmtId="9" fontId="11" fillId="0" borderId="92" xfId="2" applyNumberFormat="1" applyFont="1" applyBorder="1" applyAlignment="1">
      <alignment horizontal="center"/>
    </xf>
    <xf numFmtId="164" fontId="11" fillId="2" borderId="15" xfId="2" applyNumberFormat="1" applyFont="1" applyFill="1" applyBorder="1" applyAlignment="1">
      <alignment horizontal="center"/>
    </xf>
    <xf numFmtId="164" fontId="11" fillId="2" borderId="59" xfId="2" applyNumberFormat="1" applyFont="1" applyFill="1" applyBorder="1" applyAlignment="1">
      <alignment horizontal="center"/>
    </xf>
    <xf numFmtId="164" fontId="11" fillId="2" borderId="82" xfId="2" applyNumberFormat="1" applyFont="1" applyFill="1" applyBorder="1" applyAlignment="1">
      <alignment horizontal="center"/>
    </xf>
    <xf numFmtId="164" fontId="11" fillId="7" borderId="2" xfId="2" applyNumberFormat="1" applyFont="1" applyFill="1" applyBorder="1" applyAlignment="1">
      <alignment horizontal="center" vertical="center"/>
    </xf>
    <xf numFmtId="9" fontId="11" fillId="2" borderId="2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9" fontId="11" fillId="2" borderId="0" xfId="2" applyNumberFormat="1" applyFont="1" applyFill="1" applyAlignment="1">
      <alignment horizontal="center" vertical="center"/>
    </xf>
    <xf numFmtId="166" fontId="18" fillId="2" borderId="0" xfId="2" applyNumberFormat="1" applyFont="1" applyFill="1"/>
    <xf numFmtId="166" fontId="11" fillId="2" borderId="0" xfId="2" applyNumberFormat="1" applyFont="1" applyFill="1" applyAlignment="1">
      <alignment horizontal="center"/>
    </xf>
    <xf numFmtId="164" fontId="11" fillId="0" borderId="95" xfId="2" applyNumberFormat="1" applyFont="1" applyBorder="1" applyAlignment="1">
      <alignment horizontal="center" vertical="center"/>
    </xf>
    <xf numFmtId="164" fontId="11" fillId="2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Border="1" applyAlignment="1">
      <alignment horizontal="center" vertical="center"/>
    </xf>
    <xf numFmtId="164" fontId="3" fillId="0" borderId="96" xfId="0" applyNumberFormat="1" applyFont="1" applyBorder="1"/>
    <xf numFmtId="164" fontId="3" fillId="0" borderId="97" xfId="0" applyNumberFormat="1" applyFont="1" applyBorder="1"/>
    <xf numFmtId="164" fontId="3" fillId="0" borderId="87" xfId="0" applyNumberFormat="1" applyFont="1" applyBorder="1" applyAlignment="1">
      <alignment horizontal="left" indent="1"/>
    </xf>
    <xf numFmtId="164" fontId="3" fillId="0" borderId="98" xfId="0" applyNumberFormat="1" applyFont="1" applyBorder="1" applyAlignment="1">
      <alignment horizontal="left" indent="1"/>
    </xf>
    <xf numFmtId="165" fontId="11" fillId="0" borderId="44" xfId="2" applyNumberFormat="1" applyFont="1" applyBorder="1" applyAlignment="1">
      <alignment horizontal="center"/>
    </xf>
    <xf numFmtId="165" fontId="11" fillId="0" borderId="16" xfId="2" applyNumberFormat="1" applyFont="1" applyBorder="1" applyAlignment="1">
      <alignment horizontal="center"/>
    </xf>
    <xf numFmtId="164" fontId="11" fillId="2" borderId="27" xfId="2" applyNumberFormat="1" applyFont="1" applyFill="1" applyBorder="1"/>
    <xf numFmtId="164" fontId="3" fillId="0" borderId="99" xfId="0" applyNumberFormat="1" applyFont="1" applyBorder="1"/>
    <xf numFmtId="164" fontId="11" fillId="2" borderId="100" xfId="2" applyNumberFormat="1" applyFont="1" applyFill="1" applyBorder="1"/>
    <xf numFmtId="164" fontId="3" fillId="0" borderId="91" xfId="0" applyNumberFormat="1" applyFont="1" applyBorder="1"/>
    <xf numFmtId="164" fontId="3" fillId="0" borderId="101" xfId="0" applyNumberFormat="1" applyFont="1" applyBorder="1"/>
    <xf numFmtId="9" fontId="3" fillId="0" borderId="92" xfId="0" applyNumberFormat="1" applyFont="1" applyBorder="1"/>
    <xf numFmtId="164" fontId="3" fillId="0" borderId="7" xfId="0" applyNumberFormat="1" applyFont="1" applyBorder="1"/>
    <xf numFmtId="164" fontId="3" fillId="0" borderId="29" xfId="0" applyNumberFormat="1" applyFont="1" applyBorder="1"/>
    <xf numFmtId="164" fontId="11" fillId="2" borderId="102" xfId="2" applyNumberFormat="1" applyFont="1" applyFill="1" applyBorder="1"/>
    <xf numFmtId="164" fontId="3" fillId="0" borderId="103" xfId="0" applyNumberFormat="1" applyFont="1" applyBorder="1"/>
    <xf numFmtId="164" fontId="3" fillId="0" borderId="104" xfId="0" applyNumberFormat="1" applyFont="1" applyBorder="1"/>
    <xf numFmtId="9" fontId="3" fillId="0" borderId="105" xfId="0" applyNumberFormat="1" applyFont="1" applyBorder="1"/>
    <xf numFmtId="164" fontId="3" fillId="0" borderId="98" xfId="0" applyNumberFormat="1" applyFont="1" applyBorder="1"/>
    <xf numFmtId="164" fontId="3" fillId="0" borderId="106" xfId="0" applyNumberFormat="1" applyFont="1" applyBorder="1"/>
    <xf numFmtId="164" fontId="3" fillId="0" borderId="107" xfId="0" applyNumberFormat="1" applyFont="1" applyBorder="1"/>
    <xf numFmtId="164" fontId="19" fillId="0" borderId="16" xfId="1" applyNumberFormat="1" applyFont="1" applyBorder="1" applyAlignment="1" applyProtection="1"/>
    <xf numFmtId="164" fontId="11" fillId="2" borderId="61" xfId="2" applyNumberFormat="1" applyFont="1" applyFill="1" applyBorder="1"/>
    <xf numFmtId="164" fontId="11" fillId="2" borderId="7" xfId="2" applyNumberFormat="1" applyFont="1" applyFill="1" applyBorder="1"/>
    <xf numFmtId="164" fontId="3" fillId="0" borderId="108" xfId="0" applyNumberFormat="1" applyFont="1" applyBorder="1"/>
    <xf numFmtId="164" fontId="11" fillId="2" borderId="15" xfId="2" applyNumberFormat="1" applyFont="1" applyFill="1" applyBorder="1"/>
    <xf numFmtId="9" fontId="11" fillId="2" borderId="94" xfId="36" applyFont="1" applyFill="1" applyBorder="1" applyAlignment="1">
      <alignment horizontal="center"/>
    </xf>
    <xf numFmtId="164" fontId="11" fillId="2" borderId="26" xfId="2" applyNumberFormat="1" applyFont="1" applyFill="1" applyBorder="1" applyAlignment="1">
      <alignment horizontal="center"/>
    </xf>
    <xf numFmtId="164" fontId="11" fillId="2" borderId="94" xfId="2" applyNumberFormat="1" applyFont="1" applyFill="1" applyBorder="1" applyAlignment="1">
      <alignment horizontal="center"/>
    </xf>
    <xf numFmtId="164" fontId="11" fillId="2" borderId="109" xfId="2" applyNumberFormat="1" applyFont="1" applyFill="1" applyBorder="1" applyAlignment="1">
      <alignment horizontal="center"/>
    </xf>
    <xf numFmtId="164" fontId="11" fillId="2" borderId="38" xfId="2" applyNumberFormat="1" applyFont="1" applyFill="1" applyBorder="1" applyAlignment="1">
      <alignment horizontal="center"/>
    </xf>
    <xf numFmtId="43" fontId="11" fillId="2" borderId="59" xfId="2" applyFont="1" applyFill="1" applyBorder="1"/>
    <xf numFmtId="164" fontId="11" fillId="0" borderId="88" xfId="2" applyNumberFormat="1" applyFont="1" applyBorder="1" applyAlignment="1">
      <alignment horizontal="center"/>
    </xf>
    <xf numFmtId="9" fontId="11" fillId="0" borderId="92" xfId="36" applyFont="1" applyBorder="1" applyAlignment="1">
      <alignment horizontal="center"/>
    </xf>
    <xf numFmtId="164" fontId="11" fillId="0" borderId="61" xfId="2" applyNumberFormat="1" applyFont="1" applyBorder="1" applyAlignment="1">
      <alignment horizontal="center"/>
    </xf>
    <xf numFmtId="9" fontId="11" fillId="0" borderId="34" xfId="36" applyFont="1" applyBorder="1" applyAlignment="1">
      <alignment horizontal="center"/>
    </xf>
    <xf numFmtId="164" fontId="11" fillId="0" borderId="15" xfId="2" applyNumberFormat="1" applyFont="1" applyBorder="1" applyAlignment="1">
      <alignment horizontal="center"/>
    </xf>
    <xf numFmtId="164" fontId="11" fillId="2" borderId="77" xfId="2" applyNumberFormat="1" applyFont="1" applyFill="1" applyBorder="1" applyAlignment="1">
      <alignment horizontal="center"/>
    </xf>
    <xf numFmtId="164" fontId="3" fillId="0" borderId="110" xfId="0" applyNumberFormat="1" applyFont="1" applyBorder="1"/>
    <xf numFmtId="164" fontId="3" fillId="0" borderId="111" xfId="0" applyNumberFormat="1" applyFont="1" applyBorder="1"/>
    <xf numFmtId="164" fontId="3" fillId="0" borderId="112" xfId="0" applyNumberFormat="1" applyFont="1" applyBorder="1"/>
    <xf numFmtId="164" fontId="3" fillId="0" borderId="113" xfId="0" applyNumberFormat="1" applyFont="1" applyBorder="1"/>
    <xf numFmtId="164" fontId="3" fillId="0" borderId="114" xfId="0" applyNumberFormat="1" applyFont="1" applyBorder="1"/>
    <xf numFmtId="166" fontId="3" fillId="0" borderId="52" xfId="0" applyNumberFormat="1" applyFont="1" applyBorder="1"/>
    <xf numFmtId="164" fontId="3" fillId="0" borderId="27" xfId="0" applyNumberFormat="1" applyFont="1" applyBorder="1"/>
    <xf numFmtId="164" fontId="3" fillId="0" borderId="1" xfId="0" applyNumberFormat="1" applyFont="1" applyBorder="1"/>
    <xf numFmtId="166" fontId="3" fillId="0" borderId="40" xfId="0" applyNumberFormat="1" applyFont="1" applyBorder="1"/>
    <xf numFmtId="166" fontId="3" fillId="0" borderId="92" xfId="0" applyNumberFormat="1" applyFont="1" applyBorder="1"/>
    <xf numFmtId="166" fontId="3" fillId="0" borderId="115" xfId="0" applyNumberFormat="1" applyFont="1" applyBorder="1"/>
    <xf numFmtId="166" fontId="3" fillId="0" borderId="77" xfId="0" applyNumberFormat="1" applyFont="1" applyBorder="1"/>
    <xf numFmtId="166" fontId="3" fillId="0" borderId="116" xfId="0" applyNumberFormat="1" applyFont="1" applyBorder="1"/>
    <xf numFmtId="166" fontId="2" fillId="0" borderId="78" xfId="0" applyNumberFormat="1" applyFont="1" applyBorder="1"/>
    <xf numFmtId="166" fontId="10" fillId="3" borderId="78" xfId="2" applyNumberFormat="1" applyFont="1" applyFill="1" applyBorder="1"/>
    <xf numFmtId="166" fontId="10" fillId="2" borderId="78" xfId="2" applyNumberFormat="1" applyFont="1" applyFill="1" applyBorder="1"/>
    <xf numFmtId="166" fontId="3" fillId="0" borderId="117" xfId="0" applyNumberFormat="1" applyFont="1" applyBorder="1"/>
    <xf numFmtId="166" fontId="3" fillId="0" borderId="76" xfId="0" applyNumberFormat="1" applyFont="1" applyBorder="1"/>
    <xf numFmtId="166" fontId="3" fillId="0" borderId="79" xfId="0" applyNumberFormat="1" applyFont="1" applyBorder="1"/>
    <xf numFmtId="166" fontId="10" fillId="4" borderId="118" xfId="2" applyNumberFormat="1" applyFont="1" applyFill="1" applyBorder="1"/>
    <xf numFmtId="166" fontId="3" fillId="0" borderId="78" xfId="0" applyNumberFormat="1" applyFont="1" applyBorder="1"/>
    <xf numFmtId="166" fontId="3" fillId="0" borderId="80" xfId="36" applyNumberFormat="1" applyFont="1" applyBorder="1"/>
    <xf numFmtId="166" fontId="3" fillId="0" borderId="78" xfId="36" applyNumberFormat="1" applyFont="1" applyBorder="1"/>
    <xf numFmtId="166" fontId="10" fillId="2" borderId="78" xfId="36" applyNumberFormat="1" applyFont="1" applyFill="1" applyBorder="1"/>
    <xf numFmtId="166" fontId="3" fillId="0" borderId="81" xfId="36" applyNumberFormat="1" applyFont="1" applyBorder="1"/>
    <xf numFmtId="166" fontId="3" fillId="0" borderId="82" xfId="36" applyNumberFormat="1" applyFont="1" applyBorder="1"/>
    <xf numFmtId="166" fontId="3" fillId="0" borderId="81" xfId="0" applyNumberFormat="1" applyFont="1" applyBorder="1"/>
    <xf numFmtId="166" fontId="3" fillId="0" borderId="80" xfId="0" applyNumberFormat="1" applyFont="1" applyBorder="1"/>
    <xf numFmtId="166" fontId="3" fillId="0" borderId="107" xfId="0" applyNumberFormat="1" applyFont="1" applyBorder="1"/>
    <xf numFmtId="166" fontId="3" fillId="0" borderId="83" xfId="0" applyNumberFormat="1" applyFont="1" applyBorder="1"/>
    <xf numFmtId="166" fontId="11" fillId="2" borderId="84" xfId="36" applyNumberFormat="1" applyFont="1" applyFill="1" applyBorder="1"/>
    <xf numFmtId="166" fontId="11" fillId="2" borderId="77" xfId="36" applyNumberFormat="1" applyFont="1" applyFill="1" applyBorder="1"/>
    <xf numFmtId="166" fontId="3" fillId="0" borderId="82" xfId="0" applyNumberFormat="1" applyFont="1" applyBorder="1"/>
    <xf numFmtId="166" fontId="3" fillId="0" borderId="114" xfId="0" applyNumberFormat="1" applyFont="1" applyBorder="1"/>
    <xf numFmtId="166" fontId="11" fillId="2" borderId="38" xfId="2" applyNumberFormat="1" applyFont="1" applyFill="1" applyBorder="1" applyAlignment="1">
      <alignment horizontal="center"/>
    </xf>
    <xf numFmtId="166" fontId="11" fillId="0" borderId="77" xfId="36" applyNumberFormat="1" applyFont="1" applyBorder="1" applyAlignment="1">
      <alignment horizontal="center"/>
    </xf>
    <xf numFmtId="166" fontId="11" fillId="0" borderId="82" xfId="36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left" indent="1"/>
    </xf>
    <xf numFmtId="166" fontId="3" fillId="0" borderId="50" xfId="0" applyNumberFormat="1" applyFont="1" applyBorder="1"/>
    <xf numFmtId="166" fontId="10" fillId="3" borderId="4" xfId="2" applyNumberFormat="1" applyFont="1" applyFill="1" applyBorder="1"/>
    <xf numFmtId="166" fontId="3" fillId="0" borderId="53" xfId="0" applyNumberFormat="1" applyFont="1" applyBorder="1"/>
    <xf numFmtId="166" fontId="10" fillId="4" borderId="37" xfId="2" applyNumberFormat="1" applyFont="1" applyFill="1" applyBorder="1"/>
    <xf numFmtId="166" fontId="3" fillId="0" borderId="35" xfId="36" applyNumberFormat="1" applyFont="1" applyBorder="1"/>
    <xf numFmtId="166" fontId="3" fillId="0" borderId="105" xfId="0" applyNumberFormat="1" applyFont="1" applyBorder="1"/>
    <xf numFmtId="166" fontId="3" fillId="0" borderId="43" xfId="0" applyNumberFormat="1" applyFont="1" applyBorder="1"/>
    <xf numFmtId="166" fontId="11" fillId="2" borderId="93" xfId="2" applyNumberFormat="1" applyFont="1" applyFill="1" applyBorder="1" applyAlignment="1">
      <alignment horizontal="center"/>
    </xf>
    <xf numFmtId="166" fontId="11" fillId="0" borderId="34" xfId="2" applyNumberFormat="1" applyFont="1" applyBorder="1" applyAlignment="1">
      <alignment horizontal="center"/>
    </xf>
    <xf numFmtId="166" fontId="11" fillId="0" borderId="92" xfId="2" applyNumberFormat="1" applyFont="1" applyBorder="1" applyAlignment="1">
      <alignment horizontal="center"/>
    </xf>
    <xf numFmtId="164" fontId="11" fillId="2" borderId="57" xfId="2" applyNumberFormat="1" applyFont="1" applyFill="1" applyBorder="1" applyAlignment="1">
      <alignment horizontal="center" vertical="center"/>
    </xf>
    <xf numFmtId="164" fontId="11" fillId="2" borderId="119" xfId="2" applyNumberFormat="1" applyFont="1" applyFill="1" applyBorder="1"/>
    <xf numFmtId="164" fontId="3" fillId="0" borderId="117" xfId="0" applyNumberFormat="1" applyFont="1" applyBorder="1"/>
    <xf numFmtId="164" fontId="3" fillId="0" borderId="120" xfId="0" applyNumberFormat="1" applyFont="1" applyBorder="1"/>
    <xf numFmtId="164" fontId="3" fillId="0" borderId="116" xfId="0" applyNumberFormat="1" applyFont="1" applyBorder="1"/>
    <xf numFmtId="164" fontId="8" fillId="0" borderId="16" xfId="1" applyNumberFormat="1" applyBorder="1" applyAlignment="1" applyProtection="1"/>
    <xf numFmtId="164" fontId="12" fillId="2" borderId="2" xfId="2" applyNumberFormat="1" applyFont="1" applyFill="1" applyBorder="1" applyAlignment="1">
      <alignment horizontal="center" vertical="center"/>
    </xf>
    <xf numFmtId="164" fontId="8" fillId="0" borderId="25" xfId="1" applyNumberFormat="1" applyBorder="1" applyAlignment="1" applyProtection="1"/>
    <xf numFmtId="164" fontId="8" fillId="0" borderId="55" xfId="1" applyNumberFormat="1" applyBorder="1" applyAlignment="1" applyProtection="1"/>
    <xf numFmtId="164" fontId="10" fillId="0" borderId="0" xfId="2" applyNumberFormat="1" applyFont="1"/>
    <xf numFmtId="166" fontId="10" fillId="0" borderId="0" xfId="2" applyNumberFormat="1" applyFont="1"/>
    <xf numFmtId="9" fontId="10" fillId="0" borderId="0" xfId="2" applyNumberFormat="1" applyFont="1"/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9" fillId="8" borderId="2" xfId="0" applyNumberFormat="1" applyFont="1" applyFill="1" applyBorder="1" applyAlignment="1">
      <alignment horizontal="center"/>
    </xf>
    <xf numFmtId="0" fontId="20" fillId="0" borderId="0" xfId="0" applyFont="1"/>
    <xf numFmtId="164" fontId="8" fillId="0" borderId="28" xfId="1" applyNumberFormat="1" applyBorder="1" applyAlignment="1" applyProtection="1"/>
    <xf numFmtId="164" fontId="8" fillId="0" borderId="2" xfId="1" applyNumberFormat="1" applyBorder="1" applyAlignment="1" applyProtection="1"/>
    <xf numFmtId="164" fontId="8" fillId="0" borderId="19" xfId="1" applyNumberFormat="1" applyBorder="1" applyAlignment="1" applyProtection="1"/>
    <xf numFmtId="43" fontId="11" fillId="2" borderId="0" xfId="2" applyFont="1" applyFill="1"/>
    <xf numFmtId="0" fontId="9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57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/>
    </xf>
    <xf numFmtId="9" fontId="9" fillId="5" borderId="2" xfId="0" applyNumberFormat="1" applyFont="1" applyFill="1" applyBorder="1"/>
    <xf numFmtId="0" fontId="9" fillId="5" borderId="57" xfId="0" applyFont="1" applyFill="1" applyBorder="1" applyAlignment="1">
      <alignment horizontal="center" vertical="center"/>
    </xf>
    <xf numFmtId="3" fontId="9" fillId="9" borderId="2" xfId="0" applyNumberFormat="1" applyFont="1" applyFill="1" applyBorder="1" applyAlignment="1">
      <alignment horizontal="center"/>
    </xf>
    <xf numFmtId="9" fontId="9" fillId="9" borderId="2" xfId="0" applyNumberFormat="1" applyFont="1" applyFill="1" applyBorder="1"/>
    <xf numFmtId="0" fontId="13" fillId="0" borderId="121" xfId="0" applyFont="1" applyBorder="1" applyAlignment="1">
      <alignment vertical="center"/>
    </xf>
    <xf numFmtId="164" fontId="12" fillId="0" borderId="121" xfId="2" applyNumberFormat="1" applyFont="1" applyBorder="1" applyAlignment="1">
      <alignment vertical="center"/>
    </xf>
    <xf numFmtId="164" fontId="4" fillId="0" borderId="121" xfId="2" applyNumberFormat="1" applyFont="1" applyBorder="1" applyAlignment="1">
      <alignment vertical="center"/>
    </xf>
    <xf numFmtId="164" fontId="11" fillId="2" borderId="48" xfId="2" applyNumberFormat="1" applyFont="1" applyFill="1" applyBorder="1"/>
    <xf numFmtId="164" fontId="10" fillId="2" borderId="122" xfId="2" applyNumberFormat="1" applyFont="1" applyFill="1" applyBorder="1"/>
    <xf numFmtId="164" fontId="10" fillId="2" borderId="29" xfId="2" applyNumberFormat="1" applyFont="1" applyFill="1" applyBorder="1"/>
    <xf numFmtId="164" fontId="10" fillId="2" borderId="65" xfId="2" applyNumberFormat="1" applyFont="1" applyFill="1" applyBorder="1"/>
    <xf numFmtId="166" fontId="10" fillId="2" borderId="66" xfId="2" applyNumberFormat="1" applyFont="1" applyFill="1" applyBorder="1"/>
    <xf numFmtId="164" fontId="10" fillId="0" borderId="29" xfId="2" applyNumberFormat="1" applyFont="1" applyBorder="1"/>
    <xf numFmtId="9" fontId="10" fillId="2" borderId="66" xfId="2" applyNumberFormat="1" applyFont="1" applyFill="1" applyBorder="1"/>
    <xf numFmtId="166" fontId="10" fillId="2" borderId="123" xfId="36" applyNumberFormat="1" applyFont="1" applyFill="1" applyBorder="1"/>
    <xf numFmtId="3" fontId="8" fillId="0" borderId="0" xfId="1" applyNumberFormat="1" applyAlignment="1" applyProtection="1"/>
    <xf numFmtId="0" fontId="9" fillId="6" borderId="0" xfId="0" applyFont="1" applyFill="1" applyAlignment="1">
      <alignment horizontal="center" vertical="center" wrapText="1"/>
    </xf>
    <xf numFmtId="164" fontId="11" fillId="2" borderId="16" xfId="2" applyNumberFormat="1" applyFont="1" applyFill="1" applyBorder="1"/>
    <xf numFmtId="0" fontId="9" fillId="9" borderId="0" xfId="0" applyFont="1" applyFill="1" applyAlignment="1">
      <alignment horizontal="center" vertical="center" wrapText="1"/>
    </xf>
    <xf numFmtId="164" fontId="12" fillId="0" borderId="56" xfId="2" applyNumberFormat="1" applyFont="1" applyBorder="1" applyAlignment="1">
      <alignment horizontal="center" vertical="center"/>
    </xf>
    <xf numFmtId="166" fontId="15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/>
    </xf>
    <xf numFmtId="166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10" fillId="2" borderId="2" xfId="2" applyNumberFormat="1" applyFont="1" applyFill="1" applyBorder="1"/>
    <xf numFmtId="164" fontId="15" fillId="2" borderId="0" xfId="2" applyNumberFormat="1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164" fontId="21" fillId="2" borderId="0" xfId="2" applyNumberFormat="1" applyFont="1" applyFill="1" applyAlignment="1">
      <alignment horizontal="center"/>
    </xf>
    <xf numFmtId="164" fontId="12" fillId="0" borderId="45" xfId="2" applyNumberFormat="1" applyFont="1" applyBorder="1" applyAlignment="1">
      <alignment horizontal="center" vertical="center"/>
    </xf>
    <xf numFmtId="164" fontId="12" fillId="0" borderId="7" xfId="2" applyNumberFormat="1" applyFont="1" applyBorder="1" applyAlignment="1">
      <alignment vertical="center"/>
    </xf>
    <xf numFmtId="164" fontId="12" fillId="0" borderId="45" xfId="2" applyNumberFormat="1" applyFont="1" applyBorder="1" applyAlignment="1">
      <alignment vertical="center"/>
    </xf>
    <xf numFmtId="164" fontId="12" fillId="0" borderId="49" xfId="2" applyNumberFormat="1" applyFont="1" applyBorder="1" applyAlignment="1">
      <alignment vertical="center"/>
    </xf>
    <xf numFmtId="164" fontId="13" fillId="0" borderId="1" xfId="2" applyNumberFormat="1" applyFont="1" applyBorder="1" applyAlignment="1">
      <alignment vertical="center"/>
    </xf>
    <xf numFmtId="164" fontId="5" fillId="0" borderId="2" xfId="2" applyNumberFormat="1" applyFont="1" applyBorder="1" applyAlignment="1">
      <alignment vertical="center"/>
    </xf>
    <xf numFmtId="164" fontId="12" fillId="0" borderId="71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vertical="center"/>
    </xf>
    <xf numFmtId="164" fontId="3" fillId="0" borderId="16" xfId="0" applyNumberFormat="1" applyFont="1" applyBorder="1" applyAlignment="1">
      <alignment horizontal="right"/>
    </xf>
    <xf numFmtId="164" fontId="3" fillId="0" borderId="27" xfId="0" applyNumberFormat="1" applyFont="1" applyBorder="1" applyAlignment="1">
      <alignment horizontal="left"/>
    </xf>
    <xf numFmtId="166" fontId="3" fillId="0" borderId="51" xfId="0" applyNumberFormat="1" applyFont="1" applyBorder="1"/>
    <xf numFmtId="164" fontId="3" fillId="0" borderId="100" xfId="0" applyNumberFormat="1" applyFont="1" applyBorder="1"/>
    <xf numFmtId="166" fontId="3" fillId="0" borderId="84" xfId="0" applyNumberFormat="1" applyFont="1" applyBorder="1"/>
    <xf numFmtId="164" fontId="3" fillId="0" borderId="48" xfId="0" applyNumberFormat="1" applyFont="1" applyBorder="1" applyAlignment="1">
      <alignment horizontal="left"/>
    </xf>
    <xf numFmtId="166" fontId="3" fillId="0" borderId="116" xfId="36" applyNumberFormat="1" applyFont="1" applyBorder="1"/>
    <xf numFmtId="166" fontId="3" fillId="0" borderId="84" xfId="36" applyNumberFormat="1" applyFont="1" applyBorder="1"/>
    <xf numFmtId="9" fontId="3" fillId="0" borderId="50" xfId="36" applyFont="1" applyBorder="1"/>
    <xf numFmtId="9" fontId="3" fillId="0" borderId="51" xfId="36" applyFont="1" applyBorder="1"/>
    <xf numFmtId="164" fontId="3" fillId="0" borderId="71" xfId="0" applyNumberFormat="1" applyFont="1" applyBorder="1"/>
    <xf numFmtId="166" fontId="3" fillId="2" borderId="0" xfId="2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64" fontId="12" fillId="0" borderId="3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horizontal="center" vertical="center"/>
    </xf>
    <xf numFmtId="164" fontId="12" fillId="0" borderId="49" xfId="2" applyNumberFormat="1" applyFont="1" applyBorder="1" applyAlignment="1">
      <alignment horizontal="center" vertical="center"/>
    </xf>
    <xf numFmtId="166" fontId="11" fillId="2" borderId="83" xfId="36" applyNumberFormat="1" applyFont="1" applyFill="1" applyBorder="1"/>
    <xf numFmtId="164" fontId="3" fillId="0" borderId="95" xfId="0" applyNumberFormat="1" applyFont="1" applyBorder="1"/>
    <xf numFmtId="166" fontId="3" fillId="0" borderId="66" xfId="0" applyNumberFormat="1" applyFont="1" applyBorder="1"/>
    <xf numFmtId="164" fontId="3" fillId="0" borderId="122" xfId="0" applyNumberFormat="1" applyFont="1" applyBorder="1"/>
    <xf numFmtId="164" fontId="11" fillId="2" borderId="61" xfId="2" applyNumberFormat="1" applyFont="1" applyFill="1" applyBorder="1" applyAlignment="1">
      <alignment horizontal="left" vertical="center"/>
    </xf>
    <xf numFmtId="164" fontId="3" fillId="0" borderId="16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right" indent="1"/>
    </xf>
    <xf numFmtId="164" fontId="12" fillId="0" borderId="70" xfId="2" applyNumberFormat="1" applyFont="1" applyBorder="1" applyAlignment="1">
      <alignment vertical="center"/>
    </xf>
    <xf numFmtId="164" fontId="12" fillId="0" borderId="1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vertical="center"/>
    </xf>
    <xf numFmtId="164" fontId="12" fillId="0" borderId="56" xfId="2" applyNumberFormat="1" applyFont="1" applyBorder="1" applyAlignment="1">
      <alignment vertical="center"/>
    </xf>
    <xf numFmtId="164" fontId="12" fillId="0" borderId="124" xfId="2" applyNumberFormat="1" applyFont="1" applyBorder="1" applyAlignment="1">
      <alignment vertical="center"/>
    </xf>
    <xf numFmtId="164" fontId="10" fillId="7" borderId="32" xfId="2" applyNumberFormat="1" applyFont="1" applyFill="1" applyBorder="1"/>
    <xf numFmtId="166" fontId="10" fillId="7" borderId="37" xfId="2" applyNumberFormat="1" applyFont="1" applyFill="1" applyBorder="1"/>
    <xf numFmtId="164" fontId="10" fillId="7" borderId="128" xfId="2" applyNumberFormat="1" applyFont="1" applyFill="1" applyBorder="1"/>
    <xf numFmtId="164" fontId="10" fillId="7" borderId="129" xfId="2" applyNumberFormat="1" applyFont="1" applyFill="1" applyBorder="1"/>
    <xf numFmtId="166" fontId="10" fillId="7" borderId="130" xfId="2" applyNumberFormat="1" applyFont="1" applyFill="1" applyBorder="1"/>
    <xf numFmtId="10" fontId="10" fillId="7" borderId="31" xfId="2" applyNumberFormat="1" applyFont="1" applyFill="1" applyBorder="1"/>
    <xf numFmtId="166" fontId="10" fillId="7" borderId="127" xfId="2" applyNumberFormat="1" applyFont="1" applyFill="1" applyBorder="1"/>
    <xf numFmtId="10" fontId="10" fillId="7" borderId="126" xfId="2" applyNumberFormat="1" applyFont="1" applyFill="1" applyBorder="1"/>
    <xf numFmtId="9" fontId="10" fillId="7" borderId="130" xfId="2" applyNumberFormat="1" applyFont="1" applyFill="1" applyBorder="1"/>
    <xf numFmtId="164" fontId="11" fillId="0" borderId="16" xfId="6" applyNumberFormat="1" applyFont="1" applyBorder="1" applyAlignment="1">
      <alignment horizontal="center"/>
    </xf>
    <xf numFmtId="9" fontId="9" fillId="0" borderId="0" xfId="0" applyNumberFormat="1" applyFont="1"/>
    <xf numFmtId="164" fontId="7" fillId="0" borderId="0" xfId="2" applyNumberFormat="1"/>
    <xf numFmtId="164" fontId="11" fillId="2" borderId="29" xfId="2" applyNumberFormat="1" applyFont="1" applyFill="1" applyBorder="1"/>
    <xf numFmtId="166" fontId="10" fillId="2" borderId="4" xfId="36" applyNumberFormat="1" applyFont="1" applyFill="1" applyBorder="1"/>
    <xf numFmtId="166" fontId="3" fillId="0" borderId="40" xfId="36" applyNumberFormat="1" applyFont="1" applyBorder="1"/>
    <xf numFmtId="10" fontId="11" fillId="0" borderId="82" xfId="36" applyNumberFormat="1" applyFont="1" applyBorder="1" applyAlignment="1">
      <alignment horizontal="center"/>
    </xf>
    <xf numFmtId="10" fontId="2" fillId="7" borderId="125" xfId="2" applyNumberFormat="1" applyFont="1" applyFill="1" applyBorder="1"/>
    <xf numFmtId="166" fontId="10" fillId="7" borderId="131" xfId="2" applyNumberFormat="1" applyFont="1" applyFill="1" applyBorder="1"/>
    <xf numFmtId="41" fontId="3" fillId="0" borderId="16" xfId="3" applyFont="1" applyBorder="1" applyAlignment="1">
      <alignment horizontal="center"/>
    </xf>
    <xf numFmtId="168" fontId="8" fillId="0" borderId="0" xfId="1" applyNumberFormat="1" applyAlignment="1" applyProtection="1"/>
    <xf numFmtId="164" fontId="12" fillId="2" borderId="0" xfId="36" applyNumberFormat="1" applyFont="1" applyFill="1"/>
    <xf numFmtId="164" fontId="12" fillId="0" borderId="1" xfId="2" applyNumberFormat="1" applyFont="1" applyBorder="1" applyAlignment="1">
      <alignment horizontal="center" vertical="center"/>
    </xf>
    <xf numFmtId="164" fontId="12" fillId="0" borderId="8" xfId="2" applyNumberFormat="1" applyFont="1" applyBorder="1" applyAlignment="1">
      <alignment horizontal="center" vertical="center"/>
    </xf>
    <xf numFmtId="164" fontId="12" fillId="0" borderId="65" xfId="2" applyNumberFormat="1" applyFont="1" applyBorder="1" applyAlignment="1">
      <alignment horizontal="center" vertical="center"/>
    </xf>
    <xf numFmtId="164" fontId="12" fillId="0" borderId="3" xfId="2" applyNumberFormat="1" applyFont="1" applyBorder="1" applyAlignment="1">
      <alignment horizontal="center" vertical="center"/>
    </xf>
    <xf numFmtId="43" fontId="11" fillId="2" borderId="0" xfId="2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3" fontId="8" fillId="0" borderId="16" xfId="1" applyNumberFormat="1" applyBorder="1" applyAlignment="1" applyProtection="1"/>
    <xf numFmtId="164" fontId="10" fillId="7" borderId="8" xfId="2" applyNumberFormat="1" applyFont="1" applyFill="1" applyBorder="1" applyAlignment="1">
      <alignment horizontal="center" vertical="center"/>
    </xf>
    <xf numFmtId="164" fontId="10" fillId="7" borderId="65" xfId="2" applyNumberFormat="1" applyFont="1" applyFill="1" applyBorder="1" applyAlignment="1">
      <alignment horizontal="center" vertical="center"/>
    </xf>
    <xf numFmtId="164" fontId="10" fillId="7" borderId="125" xfId="2" applyNumberFormat="1" applyFont="1" applyFill="1" applyBorder="1" applyAlignment="1">
      <alignment horizontal="center" vertical="center" wrapText="1"/>
    </xf>
    <xf numFmtId="164" fontId="10" fillId="7" borderId="126" xfId="2" applyNumberFormat="1" applyFont="1" applyFill="1" applyBorder="1" applyAlignment="1">
      <alignment horizontal="center" vertical="center" wrapText="1"/>
    </xf>
    <xf numFmtId="166" fontId="10" fillId="7" borderId="127" xfId="2" applyNumberFormat="1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vertical="center"/>
    </xf>
    <xf numFmtId="164" fontId="23" fillId="2" borderId="0" xfId="2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64" fontId="24" fillId="2" borderId="0" xfId="2" applyNumberFormat="1" applyFont="1" applyFill="1" applyAlignment="1">
      <alignment horizontal="center"/>
    </xf>
    <xf numFmtId="164" fontId="13" fillId="10" borderId="2" xfId="2" applyNumberFormat="1" applyFont="1" applyFill="1" applyBorder="1" applyAlignment="1">
      <alignment horizontal="center" vertical="center"/>
    </xf>
    <xf numFmtId="164" fontId="13" fillId="10" borderId="65" xfId="2" applyNumberFormat="1" applyFont="1" applyFill="1" applyBorder="1" applyAlignment="1">
      <alignment horizontal="center" vertical="center"/>
    </xf>
    <xf numFmtId="1" fontId="10" fillId="10" borderId="125" xfId="0" applyNumberFormat="1" applyFont="1" applyFill="1" applyBorder="1" applyAlignment="1">
      <alignment horizontal="center" vertical="center"/>
    </xf>
    <xf numFmtId="164" fontId="10" fillId="10" borderId="126" xfId="0" applyNumberFormat="1" applyFont="1" applyFill="1" applyBorder="1" applyAlignment="1">
      <alignment horizontal="center"/>
    </xf>
    <xf numFmtId="166" fontId="10" fillId="10" borderId="127" xfId="0" applyNumberFormat="1" applyFont="1" applyFill="1" applyBorder="1" applyAlignment="1">
      <alignment horizontal="center"/>
    </xf>
    <xf numFmtId="164" fontId="10" fillId="10" borderId="91" xfId="2" applyNumberFormat="1" applyFont="1" applyFill="1" applyBorder="1" applyAlignment="1">
      <alignment horizontal="center" vertical="center" wrapText="1"/>
    </xf>
    <xf numFmtId="164" fontId="10" fillId="10" borderId="89" xfId="2" applyNumberFormat="1" applyFont="1" applyFill="1" applyBorder="1" applyAlignment="1">
      <alignment horizontal="center" vertical="center" wrapText="1"/>
    </xf>
    <xf numFmtId="166" fontId="10" fillId="10" borderId="92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/>
    <xf numFmtId="164" fontId="10" fillId="10" borderId="2" xfId="2" applyNumberFormat="1" applyFont="1" applyFill="1" applyBorder="1"/>
    <xf numFmtId="166" fontId="10" fillId="10" borderId="4" xfId="2" applyNumberFormat="1" applyFont="1" applyFill="1" applyBorder="1"/>
    <xf numFmtId="164" fontId="10" fillId="10" borderId="31" xfId="2" applyNumberFormat="1" applyFont="1" applyFill="1" applyBorder="1"/>
    <xf numFmtId="164" fontId="10" fillId="10" borderId="32" xfId="2" applyNumberFormat="1" applyFont="1" applyFill="1" applyBorder="1"/>
    <xf numFmtId="166" fontId="10" fillId="10" borderId="37" xfId="2" applyNumberFormat="1" applyFont="1" applyFill="1" applyBorder="1"/>
    <xf numFmtId="164" fontId="10" fillId="10" borderId="128" xfId="2" applyNumberFormat="1" applyFont="1" applyFill="1" applyBorder="1"/>
    <xf numFmtId="164" fontId="10" fillId="10" borderId="129" xfId="2" applyNumberFormat="1" applyFont="1" applyFill="1" applyBorder="1"/>
    <xf numFmtId="166" fontId="10" fillId="10" borderId="130" xfId="2" applyNumberFormat="1" applyFont="1" applyFill="1" applyBorder="1"/>
    <xf numFmtId="164" fontId="10" fillId="10" borderId="94" xfId="2" applyNumberFormat="1" applyFont="1" applyFill="1" applyBorder="1"/>
    <xf numFmtId="164" fontId="10" fillId="10" borderId="90" xfId="2" applyNumberFormat="1" applyFont="1" applyFill="1" applyBorder="1"/>
    <xf numFmtId="166" fontId="10" fillId="10" borderId="93" xfId="2" applyNumberFormat="1" applyFont="1" applyFill="1" applyBorder="1"/>
    <xf numFmtId="10" fontId="10" fillId="10" borderId="31" xfId="2" applyNumberFormat="1" applyFont="1" applyFill="1" applyBorder="1"/>
    <xf numFmtId="164" fontId="10" fillId="10" borderId="125" xfId="2" applyNumberFormat="1" applyFont="1" applyFill="1" applyBorder="1"/>
    <xf numFmtId="164" fontId="10" fillId="10" borderId="126" xfId="2" applyNumberFormat="1" applyFont="1" applyFill="1" applyBorder="1"/>
    <xf numFmtId="166" fontId="10" fillId="10" borderId="127" xfId="2" applyNumberFormat="1" applyFont="1" applyFill="1" applyBorder="1"/>
    <xf numFmtId="10" fontId="10" fillId="10" borderId="125" xfId="2" applyNumberFormat="1" applyFont="1" applyFill="1" applyBorder="1"/>
    <xf numFmtId="10" fontId="10" fillId="10" borderId="126" xfId="2" applyNumberFormat="1" applyFont="1" applyFill="1" applyBorder="1"/>
    <xf numFmtId="164" fontId="13" fillId="10" borderId="2" xfId="2" applyNumberFormat="1" applyFont="1" applyFill="1" applyBorder="1" applyAlignment="1">
      <alignment vertical="center"/>
    </xf>
    <xf numFmtId="164" fontId="25" fillId="10" borderId="65" xfId="2" applyNumberFormat="1" applyFont="1" applyFill="1" applyBorder="1" applyAlignment="1">
      <alignment vertical="center"/>
    </xf>
    <xf numFmtId="164" fontId="10" fillId="10" borderId="126" xfId="0" applyNumberFormat="1" applyFont="1" applyFill="1" applyBorder="1"/>
    <xf numFmtId="164" fontId="10" fillId="10" borderId="127" xfId="0" applyNumberFormat="1" applyFont="1" applyFill="1" applyBorder="1"/>
    <xf numFmtId="164" fontId="10" fillId="10" borderId="92" xfId="2" applyNumberFormat="1" applyFont="1" applyFill="1" applyBorder="1" applyAlignment="1">
      <alignment horizontal="center" vertical="center" wrapText="1"/>
    </xf>
    <xf numFmtId="9" fontId="10" fillId="10" borderId="4" xfId="2" applyNumberFormat="1" applyFont="1" applyFill="1" applyBorder="1"/>
    <xf numFmtId="9" fontId="10" fillId="10" borderId="93" xfId="2" applyNumberFormat="1" applyFont="1" applyFill="1" applyBorder="1"/>
    <xf numFmtId="9" fontId="10" fillId="10" borderId="37" xfId="2" applyNumberFormat="1" applyFont="1" applyFill="1" applyBorder="1"/>
    <xf numFmtId="9" fontId="10" fillId="10" borderId="130" xfId="2" applyNumberFormat="1" applyFont="1" applyFill="1" applyBorder="1"/>
    <xf numFmtId="9" fontId="10" fillId="10" borderId="127" xfId="2" applyNumberFormat="1" applyFont="1" applyFill="1" applyBorder="1"/>
    <xf numFmtId="10" fontId="10" fillId="10" borderId="127" xfId="2" applyNumberFormat="1" applyFont="1" applyFill="1" applyBorder="1"/>
    <xf numFmtId="169" fontId="3" fillId="0" borderId="34" xfId="0" applyNumberFormat="1" applyFont="1" applyBorder="1"/>
    <xf numFmtId="164" fontId="11" fillId="2" borderId="94" xfId="36" applyNumberFormat="1" applyFont="1" applyFill="1" applyBorder="1" applyAlignment="1">
      <alignment horizontal="center"/>
    </xf>
    <xf numFmtId="0" fontId="13" fillId="10" borderId="2" xfId="0" applyFont="1" applyFill="1" applyBorder="1" applyAlignment="1">
      <alignment horizontal="right" vertical="center"/>
    </xf>
    <xf numFmtId="0" fontId="13" fillId="10" borderId="72" xfId="0" applyFont="1" applyFill="1" applyBorder="1" applyAlignment="1">
      <alignment vertical="center"/>
    </xf>
    <xf numFmtId="0" fontId="13" fillId="10" borderId="58" xfId="0" applyFont="1" applyFill="1" applyBorder="1" applyAlignment="1">
      <alignment vertical="center"/>
    </xf>
    <xf numFmtId="43" fontId="13" fillId="10" borderId="58" xfId="2" applyFont="1" applyFill="1" applyBorder="1" applyAlignment="1">
      <alignment horizontal="center" vertical="center" wrapText="1"/>
    </xf>
    <xf numFmtId="43" fontId="13" fillId="10" borderId="72" xfId="2" applyFont="1" applyFill="1" applyBorder="1" applyAlignment="1">
      <alignment vertical="center"/>
    </xf>
    <xf numFmtId="43" fontId="13" fillId="10" borderId="132" xfId="2" applyFont="1" applyFill="1" applyBorder="1" applyAlignment="1">
      <alignment horizontal="center" vertical="center" wrapText="1"/>
    </xf>
    <xf numFmtId="43" fontId="13" fillId="10" borderId="58" xfId="2" applyFont="1" applyFill="1" applyBorder="1" applyAlignment="1">
      <alignment vertical="center"/>
    </xf>
    <xf numFmtId="164" fontId="10" fillId="10" borderId="133" xfId="2" applyNumberFormat="1" applyFont="1" applyFill="1" applyBorder="1" applyAlignment="1">
      <alignment horizontal="center" vertical="center" wrapText="1"/>
    </xf>
    <xf numFmtId="164" fontId="10" fillId="10" borderId="10" xfId="2" applyNumberFormat="1" applyFont="1" applyFill="1" applyBorder="1" applyAlignment="1">
      <alignment horizontal="center"/>
    </xf>
    <xf numFmtId="164" fontId="10" fillId="10" borderId="134" xfId="2" applyNumberFormat="1" applyFont="1" applyFill="1" applyBorder="1" applyAlignment="1">
      <alignment horizontal="right"/>
    </xf>
    <xf numFmtId="164" fontId="10" fillId="10" borderId="26" xfId="2" applyNumberFormat="1" applyFont="1" applyFill="1" applyBorder="1" applyAlignment="1">
      <alignment horizontal="center"/>
    </xf>
    <xf numFmtId="164" fontId="10" fillId="10" borderId="135" xfId="2" applyNumberFormat="1" applyFont="1" applyFill="1" applyBorder="1" applyAlignment="1">
      <alignment horizontal="center"/>
    </xf>
    <xf numFmtId="164" fontId="10" fillId="10" borderId="12" xfId="2" applyNumberFormat="1" applyFont="1" applyFill="1" applyBorder="1" applyAlignment="1">
      <alignment horizontal="center"/>
    </xf>
    <xf numFmtId="164" fontId="10" fillId="10" borderId="109" xfId="2" applyNumberFormat="1" applyFont="1" applyFill="1" applyBorder="1" applyAlignment="1">
      <alignment horizontal="right"/>
    </xf>
    <xf numFmtId="164" fontId="25" fillId="10" borderId="134" xfId="2" applyNumberFormat="1" applyFont="1" applyFill="1" applyBorder="1" applyAlignment="1">
      <alignment horizontal="right"/>
    </xf>
    <xf numFmtId="3" fontId="10" fillId="10" borderId="125" xfId="2" applyNumberFormat="1" applyFont="1" applyFill="1" applyBorder="1"/>
    <xf numFmtId="3" fontId="10" fillId="10" borderId="126" xfId="2" applyNumberFormat="1" applyFont="1" applyFill="1" applyBorder="1"/>
    <xf numFmtId="3" fontId="10" fillId="10" borderId="127" xfId="2" applyNumberFormat="1" applyFont="1" applyFill="1" applyBorder="1"/>
    <xf numFmtId="3" fontId="10" fillId="7" borderId="126" xfId="2" applyNumberFormat="1" applyFont="1" applyFill="1" applyBorder="1"/>
    <xf numFmtId="3" fontId="10" fillId="7" borderId="127" xfId="2" applyNumberFormat="1" applyFont="1" applyFill="1" applyBorder="1"/>
    <xf numFmtId="1" fontId="10" fillId="10" borderId="125" xfId="2" applyNumberFormat="1" applyFont="1" applyFill="1" applyBorder="1" applyAlignment="1">
      <alignment horizontal="center" vertical="center" wrapText="1"/>
    </xf>
    <xf numFmtId="164" fontId="10" fillId="10" borderId="127" xfId="0" applyNumberFormat="1" applyFont="1" applyFill="1" applyBorder="1" applyAlignment="1">
      <alignment horizontal="center"/>
    </xf>
    <xf numFmtId="164" fontId="10" fillId="10" borderId="127" xfId="2" applyNumberFormat="1" applyFont="1" applyFill="1" applyBorder="1"/>
    <xf numFmtId="10" fontId="2" fillId="10" borderId="125" xfId="2" applyNumberFormat="1" applyFont="1" applyFill="1" applyBorder="1"/>
    <xf numFmtId="166" fontId="0" fillId="0" borderId="2" xfId="0" applyNumberFormat="1" applyBorder="1" applyAlignment="1">
      <alignment horizontal="center"/>
    </xf>
    <xf numFmtId="166" fontId="11" fillId="2" borderId="0" xfId="36" applyNumberFormat="1" applyFont="1" applyFill="1" applyAlignment="1">
      <alignment horizontal="center"/>
    </xf>
    <xf numFmtId="10" fontId="10" fillId="10" borderId="125" xfId="2" applyNumberFormat="1" applyFont="1" applyFill="1" applyBorder="1" applyAlignment="1">
      <alignment horizontal="center"/>
    </xf>
    <xf numFmtId="164" fontId="10" fillId="10" borderId="125" xfId="2" applyNumberFormat="1" applyFont="1" applyFill="1" applyBorder="1" applyAlignment="1">
      <alignment horizontal="center" vertical="center" wrapText="1"/>
    </xf>
    <xf numFmtId="164" fontId="10" fillId="10" borderId="126" xfId="2" applyNumberFormat="1" applyFont="1" applyFill="1" applyBorder="1" applyAlignment="1">
      <alignment horizontal="center" vertical="center" wrapText="1"/>
    </xf>
    <xf numFmtId="166" fontId="10" fillId="10" borderId="127" xfId="2" applyNumberFormat="1" applyFont="1" applyFill="1" applyBorder="1" applyAlignment="1">
      <alignment horizontal="center" vertical="center" wrapText="1"/>
    </xf>
    <xf numFmtId="164" fontId="26" fillId="2" borderId="0" xfId="2" applyNumberFormat="1" applyFont="1" applyFill="1" applyAlignment="1">
      <alignment horizontal="center"/>
    </xf>
    <xf numFmtId="166" fontId="9" fillId="8" borderId="2" xfId="0" applyNumberFormat="1" applyFont="1" applyFill="1" applyBorder="1" applyAlignment="1">
      <alignment horizontal="center"/>
    </xf>
    <xf numFmtId="164" fontId="17" fillId="2" borderId="0" xfId="2" applyNumberFormat="1" applyFont="1" applyFill="1" applyAlignment="1">
      <alignment horizontal="center"/>
    </xf>
    <xf numFmtId="164" fontId="11" fillId="0" borderId="90" xfId="2" applyNumberFormat="1" applyFont="1" applyBorder="1" applyAlignment="1">
      <alignment horizontal="center"/>
    </xf>
    <xf numFmtId="166" fontId="11" fillId="0" borderId="93" xfId="2" applyNumberFormat="1" applyFont="1" applyBorder="1" applyAlignment="1">
      <alignment horizontal="center"/>
    </xf>
    <xf numFmtId="43" fontId="11" fillId="2" borderId="108" xfId="2" applyFont="1" applyFill="1" applyBorder="1"/>
    <xf numFmtId="164" fontId="11" fillId="2" borderId="56" xfId="2" applyNumberFormat="1" applyFont="1" applyFill="1" applyBorder="1" applyAlignment="1">
      <alignment horizontal="center"/>
    </xf>
    <xf numFmtId="166" fontId="11" fillId="2" borderId="53" xfId="2" applyNumberFormat="1" applyFont="1" applyFill="1" applyBorder="1" applyAlignment="1">
      <alignment horizontal="center"/>
    </xf>
    <xf numFmtId="164" fontId="11" fillId="0" borderId="56" xfId="2" applyNumberFormat="1" applyFont="1" applyBorder="1" applyAlignment="1">
      <alignment horizontal="center"/>
    </xf>
    <xf numFmtId="166" fontId="11" fillId="0" borderId="53" xfId="2" applyNumberFormat="1" applyFont="1" applyBorder="1" applyAlignment="1">
      <alignment horizontal="center"/>
    </xf>
    <xf numFmtId="9" fontId="11" fillId="2" borderId="53" xfId="2" applyNumberFormat="1" applyFont="1" applyFill="1" applyBorder="1" applyAlignment="1">
      <alignment horizontal="center"/>
    </xf>
    <xf numFmtId="164" fontId="11" fillId="2" borderId="108" xfId="2" applyNumberFormat="1" applyFont="1" applyFill="1" applyBorder="1" applyAlignment="1">
      <alignment horizontal="center"/>
    </xf>
    <xf numFmtId="166" fontId="11" fillId="2" borderId="83" xfId="2" applyNumberFormat="1" applyFont="1" applyFill="1" applyBorder="1" applyAlignment="1">
      <alignment horizontal="center"/>
    </xf>
    <xf numFmtId="164" fontId="11" fillId="2" borderId="55" xfId="2" applyNumberFormat="1" applyFont="1" applyFill="1" applyBorder="1" applyAlignment="1">
      <alignment horizontal="center"/>
    </xf>
    <xf numFmtId="164" fontId="11" fillId="2" borderId="64" xfId="2" applyNumberFormat="1" applyFont="1" applyFill="1" applyBorder="1" applyAlignment="1">
      <alignment horizontal="center"/>
    </xf>
    <xf numFmtId="164" fontId="11" fillId="2" borderId="83" xfId="2" applyNumberFormat="1" applyFont="1" applyFill="1" applyBorder="1" applyAlignment="1">
      <alignment horizontal="center"/>
    </xf>
    <xf numFmtId="9" fontId="11" fillId="2" borderId="55" xfId="36" applyFont="1" applyFill="1" applyBorder="1" applyAlignment="1">
      <alignment horizontal="center"/>
    </xf>
    <xf numFmtId="164" fontId="11" fillId="2" borderId="55" xfId="36" applyNumberFormat="1" applyFont="1" applyFill="1" applyBorder="1" applyAlignment="1">
      <alignment horizontal="center"/>
    </xf>
    <xf numFmtId="43" fontId="11" fillId="0" borderId="15" xfId="2" applyFont="1" applyBorder="1"/>
    <xf numFmtId="43" fontId="11" fillId="2" borderId="15" xfId="2" applyFont="1" applyFill="1" applyBorder="1"/>
    <xf numFmtId="164" fontId="11" fillId="2" borderId="61" xfId="2" applyNumberFormat="1" applyFont="1" applyFill="1" applyBorder="1" applyAlignment="1">
      <alignment horizontal="center"/>
    </xf>
    <xf numFmtId="166" fontId="11" fillId="2" borderId="34" xfId="2" applyNumberFormat="1" applyFont="1" applyFill="1" applyBorder="1" applyAlignment="1">
      <alignment horizontal="center"/>
    </xf>
    <xf numFmtId="164" fontId="21" fillId="0" borderId="91" xfId="2" applyNumberFormat="1" applyFont="1" applyBorder="1" applyAlignment="1">
      <alignment horizontal="center"/>
    </xf>
    <xf numFmtId="164" fontId="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8" fontId="0" fillId="0" borderId="2" xfId="0" applyNumberFormat="1" applyBorder="1"/>
    <xf numFmtId="3" fontId="10" fillId="10" borderId="133" xfId="2" applyNumberFormat="1" applyFont="1" applyFill="1" applyBorder="1" applyAlignment="1">
      <alignment horizontal="center" vertical="center" wrapText="1"/>
    </xf>
    <xf numFmtId="3" fontId="10" fillId="10" borderId="126" xfId="2" applyNumberFormat="1" applyFont="1" applyFill="1" applyBorder="1" applyAlignment="1">
      <alignment horizontal="center" vertical="center" wrapText="1"/>
    </xf>
    <xf numFmtId="166" fontId="10" fillId="10" borderId="137" xfId="0" applyNumberFormat="1" applyFont="1" applyFill="1" applyBorder="1" applyAlignment="1">
      <alignment horizontal="center"/>
    </xf>
    <xf numFmtId="164" fontId="10" fillId="10" borderId="88" xfId="2" applyNumberFormat="1" applyFont="1" applyFill="1" applyBorder="1" applyAlignment="1">
      <alignment horizontal="center" vertical="center" wrapText="1"/>
    </xf>
    <xf numFmtId="166" fontId="10" fillId="10" borderId="82" xfId="2" applyNumberFormat="1" applyFont="1" applyFill="1" applyBorder="1" applyAlignment="1">
      <alignment horizontal="center" vertical="center" wrapText="1"/>
    </xf>
    <xf numFmtId="164" fontId="10" fillId="10" borderId="12" xfId="2" applyNumberFormat="1" applyFont="1" applyFill="1" applyBorder="1"/>
    <xf numFmtId="166" fontId="10" fillId="10" borderId="118" xfId="2" applyNumberFormat="1" applyFont="1" applyFill="1" applyBorder="1"/>
    <xf numFmtId="164" fontId="10" fillId="10" borderId="10" xfId="2" applyNumberFormat="1" applyFont="1" applyFill="1" applyBorder="1"/>
    <xf numFmtId="166" fontId="10" fillId="10" borderId="78" xfId="2" applyNumberFormat="1" applyFont="1" applyFill="1" applyBorder="1"/>
    <xf numFmtId="166" fontId="10" fillId="10" borderId="131" xfId="2" applyNumberFormat="1" applyFont="1" applyFill="1" applyBorder="1"/>
    <xf numFmtId="164" fontId="10" fillId="10" borderId="135" xfId="2" applyNumberFormat="1" applyFont="1" applyFill="1" applyBorder="1"/>
    <xf numFmtId="166" fontId="10" fillId="10" borderId="131" xfId="36" applyNumberFormat="1" applyFont="1" applyFill="1" applyBorder="1"/>
    <xf numFmtId="164" fontId="10" fillId="10" borderId="26" xfId="2" applyNumberFormat="1" applyFont="1" applyFill="1" applyBorder="1"/>
    <xf numFmtId="166" fontId="10" fillId="10" borderId="38" xfId="2" applyNumberFormat="1" applyFont="1" applyFill="1" applyBorder="1"/>
    <xf numFmtId="164" fontId="10" fillId="10" borderId="133" xfId="2" applyNumberFormat="1" applyFont="1" applyFill="1" applyBorder="1"/>
    <xf numFmtId="166" fontId="10" fillId="10" borderId="137" xfId="2" applyNumberFormat="1" applyFont="1" applyFill="1" applyBorder="1"/>
    <xf numFmtId="10" fontId="10" fillId="10" borderId="133" xfId="2" applyNumberFormat="1" applyFont="1" applyFill="1" applyBorder="1"/>
    <xf numFmtId="164" fontId="10" fillId="10" borderId="59" xfId="2" applyNumberFormat="1" applyFont="1" applyFill="1" applyBorder="1" applyAlignment="1">
      <alignment horizontal="center" vertical="center" wrapText="1"/>
    </xf>
    <xf numFmtId="164" fontId="10" fillId="10" borderId="82" xfId="2" applyNumberFormat="1" applyFont="1" applyFill="1" applyBorder="1" applyAlignment="1">
      <alignment horizontal="center" vertical="center" wrapText="1"/>
    </xf>
    <xf numFmtId="164" fontId="10" fillId="10" borderId="78" xfId="2" applyNumberFormat="1" applyFont="1" applyFill="1" applyBorder="1"/>
    <xf numFmtId="164" fontId="10" fillId="10" borderId="138" xfId="2" applyNumberFormat="1" applyFont="1" applyFill="1" applyBorder="1"/>
    <xf numFmtId="164" fontId="10" fillId="10" borderId="118" xfId="2" applyNumberFormat="1" applyFont="1" applyFill="1" applyBorder="1"/>
    <xf numFmtId="164" fontId="10" fillId="10" borderId="139" xfId="2" applyNumberFormat="1" applyFont="1" applyFill="1" applyBorder="1"/>
    <xf numFmtId="164" fontId="10" fillId="10" borderId="131" xfId="2" applyNumberFormat="1" applyFont="1" applyFill="1" applyBorder="1"/>
    <xf numFmtId="164" fontId="10" fillId="10" borderId="134" xfId="2" applyNumberFormat="1" applyFont="1" applyFill="1" applyBorder="1" applyAlignment="1">
      <alignment horizontal="center" vertical="center" wrapText="1"/>
    </xf>
    <xf numFmtId="164" fontId="10" fillId="10" borderId="137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 applyAlignment="1">
      <alignment vertical="center"/>
    </xf>
    <xf numFmtId="164" fontId="10" fillId="10" borderId="2" xfId="2" applyNumberFormat="1" applyFont="1" applyFill="1" applyBorder="1" applyAlignment="1">
      <alignment vertical="center"/>
    </xf>
    <xf numFmtId="9" fontId="10" fillId="10" borderId="4" xfId="2" applyNumberFormat="1" applyFont="1" applyFill="1" applyBorder="1" applyAlignment="1">
      <alignment vertical="center"/>
    </xf>
    <xf numFmtId="164" fontId="10" fillId="10" borderId="11" xfId="2" applyNumberFormat="1" applyFont="1" applyFill="1" applyBorder="1" applyAlignment="1">
      <alignment vertical="center"/>
    </xf>
    <xf numFmtId="166" fontId="10" fillId="10" borderId="130" xfId="36" applyNumberFormat="1" applyFont="1" applyFill="1" applyBorder="1"/>
    <xf numFmtId="164" fontId="10" fillId="10" borderId="109" xfId="2" applyNumberFormat="1" applyFont="1" applyFill="1" applyBorder="1"/>
    <xf numFmtId="164" fontId="10" fillId="10" borderId="38" xfId="2" applyNumberFormat="1" applyFont="1" applyFill="1" applyBorder="1"/>
    <xf numFmtId="164" fontId="10" fillId="10" borderId="140" xfId="2" applyNumberFormat="1" applyFont="1" applyFill="1" applyBorder="1"/>
    <xf numFmtId="164" fontId="10" fillId="10" borderId="37" xfId="2" applyNumberFormat="1" applyFont="1" applyFill="1" applyBorder="1"/>
    <xf numFmtId="164" fontId="10" fillId="10" borderId="134" xfId="2" applyNumberFormat="1" applyFont="1" applyFill="1" applyBorder="1"/>
    <xf numFmtId="164" fontId="10" fillId="10" borderId="137" xfId="2" applyNumberFormat="1" applyFont="1" applyFill="1" applyBorder="1"/>
    <xf numFmtId="164" fontId="13" fillId="10" borderId="2" xfId="0" applyNumberFormat="1" applyFont="1" applyFill="1" applyBorder="1" applyAlignment="1">
      <alignment horizontal="center" vertical="center"/>
    </xf>
    <xf numFmtId="3" fontId="10" fillId="10" borderId="137" xfId="2" applyNumberFormat="1" applyFont="1" applyFill="1" applyBorder="1"/>
    <xf numFmtId="170" fontId="9" fillId="0" borderId="0" xfId="0" applyNumberFormat="1" applyFont="1"/>
    <xf numFmtId="164" fontId="18" fillId="2" borderId="0" xfId="2" applyNumberFormat="1" applyFont="1" applyFill="1" applyAlignment="1">
      <alignment horizontal="center"/>
    </xf>
    <xf numFmtId="9" fontId="10" fillId="2" borderId="0" xfId="36" applyFont="1" applyFill="1" applyAlignment="1">
      <alignment horizontal="center" vertical="center" wrapText="1"/>
    </xf>
    <xf numFmtId="171" fontId="18" fillId="2" borderId="0" xfId="2" applyNumberFormat="1" applyFont="1" applyFill="1"/>
    <xf numFmtId="10" fontId="11" fillId="2" borderId="83" xfId="2" applyNumberFormat="1" applyFont="1" applyFill="1" applyBorder="1" applyAlignment="1">
      <alignment horizontal="center"/>
    </xf>
    <xf numFmtId="166" fontId="10" fillId="2" borderId="0" xfId="36" applyNumberFormat="1" applyFont="1" applyFill="1" applyAlignment="1">
      <alignment horizontal="center"/>
    </xf>
    <xf numFmtId="164" fontId="28" fillId="2" borderId="0" xfId="2" applyNumberFormat="1" applyFont="1" applyFill="1" applyAlignment="1">
      <alignment horizontal="center"/>
    </xf>
    <xf numFmtId="164" fontId="22" fillId="2" borderId="0" xfId="0" applyNumberFormat="1" applyFont="1" applyFill="1"/>
    <xf numFmtId="164" fontId="13" fillId="13" borderId="2" xfId="2" applyNumberFormat="1" applyFont="1" applyFill="1" applyBorder="1" applyAlignment="1">
      <alignment horizontal="center" vertical="center"/>
    </xf>
    <xf numFmtId="164" fontId="11" fillId="2" borderId="110" xfId="2" applyNumberFormat="1" applyFont="1" applyFill="1" applyBorder="1"/>
    <xf numFmtId="164" fontId="11" fillId="0" borderId="59" xfId="2" applyNumberFormat="1" applyFont="1" applyBorder="1" applyAlignment="1">
      <alignment horizontal="center"/>
    </xf>
    <xf numFmtId="3" fontId="10" fillId="13" borderId="134" xfId="2" applyNumberFormat="1" applyFont="1" applyFill="1" applyBorder="1" applyAlignment="1">
      <alignment horizontal="center" vertical="center" wrapText="1"/>
    </xf>
    <xf numFmtId="164" fontId="10" fillId="13" borderId="59" xfId="2" applyNumberFormat="1" applyFont="1" applyFill="1" applyBorder="1" applyAlignment="1">
      <alignment horizontal="center" vertical="center" wrapText="1"/>
    </xf>
    <xf numFmtId="164" fontId="10" fillId="13" borderId="11" xfId="2" applyNumberFormat="1" applyFont="1" applyFill="1" applyBorder="1"/>
    <xf numFmtId="164" fontId="10" fillId="13" borderId="138" xfId="2" applyNumberFormat="1" applyFont="1" applyFill="1" applyBorder="1"/>
    <xf numFmtId="164" fontId="10" fillId="13" borderId="139" xfId="2" applyNumberFormat="1" applyFont="1" applyFill="1" applyBorder="1"/>
    <xf numFmtId="164" fontId="10" fillId="13" borderId="109" xfId="2" applyNumberFormat="1" applyFont="1" applyFill="1" applyBorder="1"/>
    <xf numFmtId="10" fontId="10" fillId="13" borderId="138" xfId="2" applyNumberFormat="1" applyFont="1" applyFill="1" applyBorder="1"/>
    <xf numFmtId="164" fontId="10" fillId="13" borderId="134" xfId="2" applyNumberFormat="1" applyFont="1" applyFill="1" applyBorder="1"/>
    <xf numFmtId="10" fontId="10" fillId="13" borderId="134" xfId="2" applyNumberFormat="1" applyFont="1" applyFill="1" applyBorder="1"/>
    <xf numFmtId="10" fontId="29" fillId="2" borderId="0" xfId="36" applyNumberFormat="1" applyFont="1" applyFill="1"/>
    <xf numFmtId="10" fontId="10" fillId="2" borderId="67" xfId="36" applyNumberFormat="1" applyFont="1" applyFill="1" applyBorder="1"/>
    <xf numFmtId="164" fontId="29" fillId="2" borderId="0" xfId="6" applyNumberFormat="1" applyFont="1" applyFill="1"/>
    <xf numFmtId="164" fontId="29" fillId="2" borderId="0" xfId="2" applyNumberFormat="1" applyFont="1" applyFill="1"/>
    <xf numFmtId="9" fontId="11" fillId="0" borderId="94" xfId="36" applyFont="1" applyBorder="1" applyAlignment="1">
      <alignment horizontal="center"/>
    </xf>
    <xf numFmtId="164" fontId="24" fillId="0" borderId="56" xfId="2" applyNumberFormat="1" applyFont="1" applyBorder="1" applyAlignment="1">
      <alignment horizontal="center"/>
    </xf>
    <xf numFmtId="166" fontId="24" fillId="0" borderId="53" xfId="2" applyNumberFormat="1" applyFont="1" applyBorder="1" applyAlignment="1">
      <alignment horizontal="center"/>
    </xf>
    <xf numFmtId="166" fontId="3" fillId="0" borderId="123" xfId="36" applyNumberFormat="1" applyFont="1" applyBorder="1"/>
    <xf numFmtId="166" fontId="3" fillId="0" borderId="117" xfId="36" applyNumberFormat="1" applyFont="1" applyBorder="1"/>
    <xf numFmtId="164" fontId="30" fillId="2" borderId="0" xfId="2" applyNumberFormat="1" applyFont="1" applyFill="1" applyAlignment="1">
      <alignment horizontal="center"/>
    </xf>
    <xf numFmtId="43" fontId="12" fillId="2" borderId="49" xfId="2" applyFont="1" applyFill="1" applyBorder="1" applyAlignment="1">
      <alignment vertical="center"/>
    </xf>
    <xf numFmtId="43" fontId="12" fillId="2" borderId="69" xfId="2" applyFont="1" applyFill="1" applyBorder="1" applyAlignment="1">
      <alignment vertical="center"/>
    </xf>
    <xf numFmtId="43" fontId="12" fillId="2" borderId="56" xfId="2" applyFont="1" applyFill="1" applyBorder="1" applyAlignment="1">
      <alignment vertical="center"/>
    </xf>
    <xf numFmtId="166" fontId="2" fillId="0" borderId="0" xfId="2" applyNumberFormat="1" applyFont="1"/>
    <xf numFmtId="166" fontId="10" fillId="13" borderId="139" xfId="2" applyNumberFormat="1" applyFont="1" applyFill="1" applyBorder="1"/>
    <xf numFmtId="166" fontId="3" fillId="0" borderId="50" xfId="36" applyNumberFormat="1" applyFont="1" applyBorder="1"/>
    <xf numFmtId="166" fontId="3" fillId="0" borderId="4" xfId="36" applyNumberFormat="1" applyFont="1" applyBorder="1"/>
    <xf numFmtId="0" fontId="12" fillId="0" borderId="8" xfId="0" applyFont="1" applyBorder="1" applyAlignment="1">
      <alignment vertical="center"/>
    </xf>
    <xf numFmtId="166" fontId="10" fillId="2" borderId="11" xfId="2" applyNumberFormat="1" applyFont="1" applyFill="1" applyBorder="1"/>
    <xf numFmtId="166" fontId="3" fillId="0" borderId="11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11" xfId="0" applyNumberFormat="1" applyFont="1" applyBorder="1"/>
    <xf numFmtId="166" fontId="3" fillId="0" borderId="110" xfId="0" applyNumberFormat="1" applyFont="1" applyBorder="1"/>
    <xf numFmtId="166" fontId="3" fillId="0" borderId="120" xfId="0" applyNumberFormat="1" applyFont="1" applyBorder="1"/>
    <xf numFmtId="166" fontId="3" fillId="0" borderId="47" xfId="0" applyNumberFormat="1" applyFont="1" applyBorder="1"/>
    <xf numFmtId="166" fontId="3" fillId="0" borderId="18" xfId="0" applyNumberFormat="1" applyFont="1" applyBorder="1"/>
    <xf numFmtId="166" fontId="11" fillId="2" borderId="110" xfId="2" applyNumberFormat="1" applyFont="1" applyFill="1" applyBorder="1"/>
    <xf numFmtId="166" fontId="3" fillId="0" borderId="59" xfId="0" applyNumberFormat="1" applyFont="1" applyBorder="1"/>
    <xf numFmtId="166" fontId="3" fillId="0" borderId="20" xfId="0" applyNumberFormat="1" applyFont="1" applyBorder="1"/>
    <xf numFmtId="166" fontId="3" fillId="0" borderId="106" xfId="0" applyNumberFormat="1" applyFont="1" applyBorder="1"/>
    <xf numFmtId="166" fontId="3" fillId="0" borderId="64" xfId="0" applyNumberFormat="1" applyFont="1" applyBorder="1"/>
    <xf numFmtId="166" fontId="10" fillId="13" borderId="109" xfId="2" applyNumberFormat="1" applyFont="1" applyFill="1" applyBorder="1"/>
    <xf numFmtId="166" fontId="10" fillId="13" borderId="138" xfId="2" applyNumberFormat="1" applyFont="1" applyFill="1" applyBorder="1"/>
    <xf numFmtId="166" fontId="3" fillId="0" borderId="112" xfId="0" applyNumberFormat="1" applyFont="1" applyBorder="1"/>
    <xf numFmtId="166" fontId="10" fillId="13" borderId="134" xfId="2" applyNumberFormat="1" applyFont="1" applyFill="1" applyBorder="1"/>
    <xf numFmtId="166" fontId="11" fillId="2" borderId="109" xfId="2" applyNumberFormat="1" applyFont="1" applyFill="1" applyBorder="1" applyAlignment="1">
      <alignment horizontal="center"/>
    </xf>
    <xf numFmtId="166" fontId="11" fillId="2" borderId="64" xfId="2" applyNumberFormat="1" applyFont="1" applyFill="1" applyBorder="1" applyAlignment="1">
      <alignment horizontal="center"/>
    </xf>
    <xf numFmtId="166" fontId="11" fillId="0" borderId="59" xfId="2" applyNumberFormat="1" applyFont="1" applyBorder="1" applyAlignment="1">
      <alignment horizontal="center"/>
    </xf>
    <xf numFmtId="166" fontId="11" fillId="2" borderId="67" xfId="2" applyNumberFormat="1" applyFont="1" applyFill="1" applyBorder="1"/>
    <xf numFmtId="166" fontId="10" fillId="2" borderId="67" xfId="36" applyNumberFormat="1" applyFont="1" applyFill="1" applyBorder="1"/>
    <xf numFmtId="166" fontId="11" fillId="0" borderId="15" xfId="2" applyNumberFormat="1" applyFont="1" applyBorder="1" applyAlignment="1">
      <alignment horizontal="center"/>
    </xf>
    <xf numFmtId="166" fontId="11" fillId="2" borderId="15" xfId="2" applyNumberFormat="1" applyFont="1" applyFill="1" applyBorder="1" applyAlignment="1">
      <alignment horizontal="center"/>
    </xf>
    <xf numFmtId="9" fontId="3" fillId="0" borderId="112" xfId="36" applyFont="1" applyBorder="1"/>
    <xf numFmtId="43" fontId="11" fillId="2" borderId="9" xfId="2" applyFont="1" applyFill="1" applyBorder="1"/>
    <xf numFmtId="164" fontId="11" fillId="2" borderId="3" xfId="2" applyNumberFormat="1" applyFont="1" applyFill="1" applyBorder="1" applyAlignment="1">
      <alignment horizontal="center"/>
    </xf>
    <xf numFmtId="166" fontId="11" fillId="2" borderId="33" xfId="2" applyNumberFormat="1" applyFont="1" applyFill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166" fontId="11" fillId="0" borderId="33" xfId="2" applyNumberFormat="1" applyFont="1" applyBorder="1" applyAlignment="1">
      <alignment horizontal="center"/>
    </xf>
    <xf numFmtId="9" fontId="11" fillId="2" borderId="33" xfId="2" applyNumberFormat="1" applyFont="1" applyFill="1" applyBorder="1" applyAlignment="1">
      <alignment horizontal="center"/>
    </xf>
    <xf numFmtId="164" fontId="11" fillId="2" borderId="9" xfId="2" applyNumberFormat="1" applyFont="1" applyFill="1" applyBorder="1" applyAlignment="1">
      <alignment horizontal="center"/>
    </xf>
    <xf numFmtId="166" fontId="11" fillId="2" borderId="76" xfId="2" applyNumberFormat="1" applyFont="1" applyFill="1" applyBorder="1" applyAlignment="1">
      <alignment horizontal="center"/>
    </xf>
    <xf numFmtId="164" fontId="11" fillId="2" borderId="14" xfId="2" applyNumberFormat="1" applyFont="1" applyFill="1" applyBorder="1" applyAlignment="1">
      <alignment horizontal="center"/>
    </xf>
    <xf numFmtId="164" fontId="11" fillId="2" borderId="13" xfId="2" applyNumberFormat="1" applyFont="1" applyFill="1" applyBorder="1" applyAlignment="1">
      <alignment horizontal="center"/>
    </xf>
    <xf numFmtId="164" fontId="11" fillId="2" borderId="76" xfId="2" applyNumberFormat="1" applyFont="1" applyFill="1" applyBorder="1" applyAlignment="1">
      <alignment horizontal="center"/>
    </xf>
    <xf numFmtId="9" fontId="11" fillId="2" borderId="13" xfId="36" applyFont="1" applyFill="1" applyBorder="1" applyAlignment="1">
      <alignment horizontal="center"/>
    </xf>
    <xf numFmtId="9" fontId="11" fillId="2" borderId="9" xfId="36" applyFont="1" applyFill="1" applyBorder="1" applyAlignment="1">
      <alignment horizontal="center"/>
    </xf>
    <xf numFmtId="164" fontId="11" fillId="2" borderId="13" xfId="36" applyNumberFormat="1" applyFont="1" applyFill="1" applyBorder="1" applyAlignment="1">
      <alignment horizontal="center"/>
    </xf>
    <xf numFmtId="41" fontId="11" fillId="0" borderId="9" xfId="3" applyFont="1" applyBorder="1" applyAlignment="1">
      <alignment horizontal="center"/>
    </xf>
    <xf numFmtId="43" fontId="11" fillId="2" borderId="61" xfId="2" applyFont="1" applyFill="1" applyBorder="1"/>
    <xf numFmtId="166" fontId="11" fillId="2" borderId="77" xfId="2" applyNumberFormat="1" applyFont="1" applyFill="1" applyBorder="1" applyAlignment="1">
      <alignment horizontal="center"/>
    </xf>
    <xf numFmtId="9" fontId="11" fillId="2" borderId="16" xfId="36" applyFont="1" applyFill="1" applyBorder="1" applyAlignment="1">
      <alignment horizontal="center"/>
    </xf>
    <xf numFmtId="9" fontId="11" fillId="2" borderId="61" xfId="36" applyFont="1" applyFill="1" applyBorder="1" applyAlignment="1">
      <alignment horizontal="center"/>
    </xf>
    <xf numFmtId="41" fontId="11" fillId="0" borderId="61" xfId="3" applyFont="1" applyBorder="1" applyAlignment="1">
      <alignment horizontal="center"/>
    </xf>
    <xf numFmtId="164" fontId="11" fillId="2" borderId="16" xfId="36" applyNumberFormat="1" applyFont="1" applyFill="1" applyBorder="1" applyAlignment="1">
      <alignment horizontal="center"/>
    </xf>
    <xf numFmtId="164" fontId="17" fillId="2" borderId="0" xfId="2" applyNumberFormat="1" applyFont="1" applyFill="1"/>
    <xf numFmtId="164" fontId="31" fillId="2" borderId="0" xfId="1" applyNumberFormat="1" applyFont="1" applyFill="1" applyAlignment="1" applyProtection="1"/>
    <xf numFmtId="43" fontId="32" fillId="2" borderId="0" xfId="2" applyFont="1" applyFill="1"/>
    <xf numFmtId="164" fontId="10" fillId="2" borderId="0" xfId="2" applyNumberFormat="1" applyFont="1" applyFill="1"/>
    <xf numFmtId="166" fontId="17" fillId="2" borderId="0" xfId="2" applyNumberFormat="1" applyFont="1" applyFill="1" applyAlignment="1">
      <alignment horizontal="center"/>
    </xf>
    <xf numFmtId="164" fontId="33" fillId="2" borderId="0" xfId="2" applyNumberFormat="1" applyFont="1" applyFill="1" applyAlignment="1">
      <alignment horizontal="center"/>
    </xf>
    <xf numFmtId="166" fontId="10" fillId="2" borderId="0" xfId="2" applyNumberFormat="1" applyFont="1" applyFill="1"/>
    <xf numFmtId="43" fontId="10" fillId="2" borderId="0" xfId="2" applyFont="1" applyFill="1"/>
    <xf numFmtId="164" fontId="2" fillId="0" borderId="0" xfId="2" applyNumberFormat="1" applyFont="1"/>
    <xf numFmtId="164" fontId="2" fillId="0" borderId="67" xfId="2" applyNumberFormat="1" applyFont="1" applyBorder="1"/>
    <xf numFmtId="164" fontId="11" fillId="0" borderId="16" xfId="36" applyNumberFormat="1" applyFont="1" applyBorder="1" applyAlignment="1">
      <alignment horizontal="center"/>
    </xf>
    <xf numFmtId="10" fontId="10" fillId="2" borderId="0" xfId="2" applyNumberFormat="1" applyFont="1" applyFill="1"/>
    <xf numFmtId="10" fontId="34" fillId="2" borderId="0" xfId="36" applyNumberFormat="1" applyFont="1" applyFill="1"/>
    <xf numFmtId="171" fontId="3" fillId="0" borderId="45" xfId="0" applyNumberFormat="1" applyFont="1" applyBorder="1"/>
    <xf numFmtId="10" fontId="10" fillId="10" borderId="137" xfId="2" applyNumberFormat="1" applyFont="1" applyFill="1" applyBorder="1"/>
    <xf numFmtId="10" fontId="10" fillId="10" borderId="134" xfId="2" applyNumberFormat="1" applyFont="1" applyFill="1" applyBorder="1"/>
    <xf numFmtId="0" fontId="12" fillId="0" borderId="141" xfId="0" applyFont="1" applyBorder="1" applyAlignment="1">
      <alignment vertical="center"/>
    </xf>
    <xf numFmtId="164" fontId="11" fillId="0" borderId="55" xfId="36" applyNumberFormat="1" applyFont="1" applyBorder="1" applyAlignment="1">
      <alignment horizontal="center"/>
    </xf>
    <xf numFmtId="164" fontId="11" fillId="0" borderId="9" xfId="2" applyNumberFormat="1" applyFont="1" applyBorder="1" applyAlignment="1">
      <alignment horizontal="center"/>
    </xf>
    <xf numFmtId="3" fontId="11" fillId="2" borderId="0" xfId="2" applyNumberFormat="1" applyFont="1" applyFill="1"/>
    <xf numFmtId="164" fontId="11" fillId="0" borderId="108" xfId="2" applyNumberFormat="1" applyFont="1" applyBorder="1" applyAlignment="1">
      <alignment horizontal="center"/>
    </xf>
    <xf numFmtId="164" fontId="11" fillId="0" borderId="26" xfId="2" applyNumberFormat="1" applyFont="1" applyBorder="1" applyAlignment="1">
      <alignment horizontal="center"/>
    </xf>
    <xf numFmtId="9" fontId="11" fillId="0" borderId="93" xfId="2" applyNumberFormat="1" applyFont="1" applyBorder="1" applyAlignment="1">
      <alignment horizontal="center"/>
    </xf>
    <xf numFmtId="164" fontId="11" fillId="0" borderId="13" xfId="36" applyNumberFormat="1" applyFont="1" applyBorder="1" applyAlignment="1">
      <alignment horizontal="center"/>
    </xf>
    <xf numFmtId="9" fontId="11" fillId="0" borderId="33" xfId="2" applyNumberFormat="1" applyFont="1" applyBorder="1" applyAlignment="1">
      <alignment horizontal="center"/>
    </xf>
    <xf numFmtId="9" fontId="11" fillId="0" borderId="53" xfId="2" applyNumberFormat="1" applyFont="1" applyBorder="1" applyAlignment="1">
      <alignment horizontal="center"/>
    </xf>
    <xf numFmtId="166" fontId="10" fillId="2" borderId="0" xfId="36" applyNumberFormat="1" applyFont="1" applyFill="1"/>
    <xf numFmtId="164" fontId="11" fillId="0" borderId="94" xfId="36" applyNumberFormat="1" applyFont="1" applyBorder="1" applyAlignment="1">
      <alignment horizontal="center"/>
    </xf>
    <xf numFmtId="9" fontId="11" fillId="0" borderId="55" xfId="36" applyFont="1" applyBorder="1" applyAlignment="1">
      <alignment horizontal="center"/>
    </xf>
    <xf numFmtId="43" fontId="6" fillId="0" borderId="0" xfId="2" applyFont="1"/>
    <xf numFmtId="171" fontId="29" fillId="2" borderId="0" xfId="2" applyNumberFormat="1" applyFont="1" applyFill="1"/>
    <xf numFmtId="164" fontId="11" fillId="0" borderId="27" xfId="2" applyNumberFormat="1" applyFont="1" applyBorder="1"/>
    <xf numFmtId="166" fontId="11" fillId="2" borderId="83" xfId="36" applyNumberFormat="1" applyFont="1" applyFill="1" applyBorder="1" applyAlignment="1">
      <alignment horizontal="center"/>
    </xf>
    <xf numFmtId="167" fontId="11" fillId="0" borderId="77" xfId="36" applyNumberFormat="1" applyFont="1" applyBorder="1" applyAlignment="1">
      <alignment horizontal="center"/>
    </xf>
    <xf numFmtId="164" fontId="11" fillId="0" borderId="100" xfId="2" applyNumberFormat="1" applyFont="1" applyBorder="1"/>
    <xf numFmtId="164" fontId="11" fillId="0" borderId="3" xfId="2" applyNumberFormat="1" applyFont="1" applyBorder="1"/>
    <xf numFmtId="166" fontId="24" fillId="2" borderId="0" xfId="2" applyNumberFormat="1" applyFont="1" applyFill="1"/>
    <xf numFmtId="164" fontId="24" fillId="2" borderId="0" xfId="2" applyNumberFormat="1" applyFont="1" applyFill="1"/>
    <xf numFmtId="164" fontId="24" fillId="2" borderId="67" xfId="2" applyNumberFormat="1" applyFont="1" applyFill="1" applyBorder="1"/>
    <xf numFmtId="166" fontId="11" fillId="0" borderId="84" xfId="36" applyNumberFormat="1" applyFont="1" applyBorder="1"/>
    <xf numFmtId="166" fontId="3" fillId="0" borderId="45" xfId="0" applyNumberFormat="1" applyFont="1" applyBorder="1"/>
    <xf numFmtId="164" fontId="3" fillId="2" borderId="47" xfId="0" applyNumberFormat="1" applyFont="1" applyFill="1" applyBorder="1"/>
    <xf numFmtId="164" fontId="3" fillId="2" borderId="15" xfId="0" applyNumberFormat="1" applyFont="1" applyFill="1" applyBorder="1"/>
    <xf numFmtId="164" fontId="11" fillId="0" borderId="61" xfId="2" applyNumberFormat="1" applyFont="1" applyBorder="1" applyAlignment="1">
      <alignment horizontal="right" vertical="center"/>
    </xf>
    <xf numFmtId="0" fontId="13" fillId="0" borderId="58" xfId="0" applyFont="1" applyBorder="1" applyAlignment="1">
      <alignment vertical="center"/>
    </xf>
    <xf numFmtId="164" fontId="18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 applyAlignment="1">
      <alignment horizontal="center" vertical="center"/>
    </xf>
    <xf numFmtId="164" fontId="15" fillId="2" borderId="0" xfId="2" applyNumberFormat="1" applyFont="1" applyFill="1" applyAlignment="1">
      <alignment horizontal="center" vertical="center" wrapText="1"/>
    </xf>
    <xf numFmtId="164" fontId="15" fillId="2" borderId="0" xfId="2" applyNumberFormat="1" applyFont="1" applyFill="1" applyAlignment="1">
      <alignment horizontal="center" vertical="center"/>
    </xf>
    <xf numFmtId="164" fontId="15" fillId="0" borderId="0" xfId="2" applyNumberFormat="1" applyFont="1"/>
    <xf numFmtId="164" fontId="13" fillId="13" borderId="2" xfId="2" applyNumberFormat="1" applyFont="1" applyFill="1" applyBorder="1" applyAlignment="1">
      <alignment horizontal="center" vertical="center" wrapText="1"/>
    </xf>
    <xf numFmtId="164" fontId="18" fillId="2" borderId="0" xfId="2" quotePrefix="1" applyNumberFormat="1" applyFont="1" applyFill="1" applyAlignment="1">
      <alignment horizontal="center" vertical="center"/>
    </xf>
    <xf numFmtId="43" fontId="13" fillId="2" borderId="49" xfId="2" applyFont="1" applyFill="1" applyBorder="1" applyAlignment="1">
      <alignment vertical="center"/>
    </xf>
    <xf numFmtId="164" fontId="10" fillId="0" borderId="11" xfId="2" applyNumberFormat="1" applyFont="1" applyBorder="1"/>
    <xf numFmtId="164" fontId="3" fillId="15" borderId="16" xfId="0" applyNumberFormat="1" applyFont="1" applyFill="1" applyBorder="1"/>
    <xf numFmtId="164" fontId="22" fillId="2" borderId="0" xfId="2" applyNumberFormat="1" applyFont="1" applyFill="1" applyAlignment="1">
      <alignment vertical="center"/>
    </xf>
    <xf numFmtId="164" fontId="10" fillId="2" borderId="0" xfId="2" applyNumberFormat="1" applyFont="1" applyFill="1" applyAlignment="1">
      <alignment horizontal="right"/>
    </xf>
    <xf numFmtId="164" fontId="13" fillId="10" borderId="125" xfId="2" applyNumberFormat="1" applyFont="1" applyFill="1" applyBorder="1"/>
    <xf numFmtId="43" fontId="36" fillId="16" borderId="58" xfId="2" applyFont="1" applyFill="1" applyBorder="1" applyAlignment="1">
      <alignment horizontal="center" vertical="center" wrapText="1"/>
    </xf>
    <xf numFmtId="43" fontId="36" fillId="16" borderId="63" xfId="2" applyFont="1" applyFill="1" applyBorder="1" applyAlignment="1">
      <alignment horizontal="center" vertical="center"/>
    </xf>
    <xf numFmtId="3" fontId="37" fillId="0" borderId="2" xfId="2" applyNumberFormat="1" applyFont="1" applyBorder="1" applyAlignment="1">
      <alignment horizontal="center" vertical="center"/>
    </xf>
    <xf numFmtId="172" fontId="37" fillId="0" borderId="2" xfId="2" applyNumberFormat="1" applyFont="1" applyBorder="1" applyAlignment="1">
      <alignment horizontal="center" vertical="center"/>
    </xf>
    <xf numFmtId="172" fontId="37" fillId="2" borderId="0" xfId="2" applyNumberFormat="1" applyFont="1" applyFill="1" applyAlignment="1">
      <alignment horizontal="center" vertical="center"/>
    </xf>
    <xf numFmtId="173" fontId="11" fillId="2" borderId="0" xfId="2" applyNumberFormat="1" applyFont="1" applyFill="1"/>
    <xf numFmtId="174" fontId="17" fillId="14" borderId="0" xfId="2" applyNumberFormat="1" applyFont="1" applyFill="1" applyAlignment="1">
      <alignment horizontal="center" vertical="center"/>
    </xf>
    <xf numFmtId="164" fontId="10" fillId="0" borderId="2" xfId="2" applyNumberFormat="1" applyFont="1" applyBorder="1"/>
    <xf numFmtId="166" fontId="10" fillId="0" borderId="4" xfId="2" applyNumberFormat="1" applyFont="1" applyBorder="1"/>
    <xf numFmtId="164" fontId="3" fillId="0" borderId="15" xfId="0" applyNumberFormat="1" applyFont="1" applyBorder="1" applyAlignment="1">
      <alignment horizontal="right" indent="1"/>
    </xf>
    <xf numFmtId="10" fontId="10" fillId="0" borderId="4" xfId="2" applyNumberFormat="1" applyFont="1" applyBorder="1"/>
    <xf numFmtId="9" fontId="11" fillId="0" borderId="13" xfId="36" applyFont="1" applyBorder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 vertical="center"/>
    </xf>
    <xf numFmtId="4" fontId="17" fillId="2" borderId="0" xfId="0" applyNumberFormat="1" applyFont="1" applyFill="1" applyAlignment="1">
      <alignment horizontal="center"/>
    </xf>
    <xf numFmtId="4" fontId="15" fillId="2" borderId="0" xfId="36" applyNumberFormat="1" applyFont="1" applyFill="1" applyAlignment="1">
      <alignment horizontal="center"/>
    </xf>
    <xf numFmtId="4" fontId="18" fillId="2" borderId="0" xfId="36" applyNumberFormat="1" applyFont="1" applyFill="1" applyAlignment="1">
      <alignment horizontal="center"/>
    </xf>
    <xf numFmtId="4" fontId="3" fillId="2" borderId="0" xfId="2" applyNumberFormat="1" applyFont="1" applyFill="1" applyAlignment="1">
      <alignment horizontal="center"/>
    </xf>
    <xf numFmtId="4" fontId="2" fillId="2" borderId="0" xfId="2" applyNumberFormat="1" applyFont="1" applyFill="1" applyAlignment="1">
      <alignment horizontal="center"/>
    </xf>
    <xf numFmtId="4" fontId="15" fillId="0" borderId="0" xfId="36" applyNumberFormat="1" applyFont="1" applyAlignment="1">
      <alignment horizontal="center"/>
    </xf>
    <xf numFmtId="0" fontId="38" fillId="2" borderId="0" xfId="0" applyFont="1" applyFill="1" applyAlignment="1">
      <alignment horizontal="left"/>
    </xf>
    <xf numFmtId="0" fontId="38" fillId="2" borderId="0" xfId="0" applyFont="1" applyFill="1" applyAlignment="1">
      <alignment horizontal="left" vertical="center"/>
    </xf>
    <xf numFmtId="0" fontId="39" fillId="2" borderId="142" xfId="0" applyFont="1" applyFill="1" applyBorder="1" applyAlignment="1">
      <alignment vertical="center"/>
    </xf>
    <xf numFmtId="0" fontId="38" fillId="2" borderId="142" xfId="0" applyFont="1" applyFill="1" applyBorder="1"/>
    <xf numFmtId="0" fontId="38" fillId="2" borderId="142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0" xfId="0" quotePrefix="1" applyFont="1" applyFill="1" applyAlignment="1">
      <alignment horizontal="left" vertical="center"/>
    </xf>
    <xf numFmtId="164" fontId="19" fillId="0" borderId="48" xfId="1" applyNumberFormat="1" applyFont="1" applyBorder="1" applyAlignment="1" applyProtection="1"/>
    <xf numFmtId="164" fontId="19" fillId="0" borderId="19" xfId="1" applyNumberFormat="1" applyFont="1" applyBorder="1" applyAlignment="1" applyProtection="1"/>
    <xf numFmtId="164" fontId="19" fillId="0" borderId="25" xfId="1" applyNumberFormat="1" applyFont="1" applyBorder="1" applyAlignment="1" applyProtection="1"/>
    <xf numFmtId="164" fontId="19" fillId="0" borderId="44" xfId="1" applyNumberFormat="1" applyFont="1" applyBorder="1" applyAlignment="1" applyProtection="1"/>
    <xf numFmtId="164" fontId="19" fillId="0" borderId="29" xfId="1" applyNumberFormat="1" applyFont="1" applyBorder="1" applyAlignment="1" applyProtection="1"/>
    <xf numFmtId="164" fontId="19" fillId="0" borderId="13" xfId="1" applyNumberFormat="1" applyFont="1" applyBorder="1" applyAlignment="1" applyProtection="1"/>
    <xf numFmtId="10" fontId="11" fillId="2" borderId="77" xfId="2" applyNumberFormat="1" applyFont="1" applyFill="1" applyBorder="1" applyAlignment="1">
      <alignment horizontal="center"/>
    </xf>
    <xf numFmtId="9" fontId="12" fillId="2" borderId="0" xfId="36" applyFont="1" applyFill="1" applyAlignment="1">
      <alignment horizontal="center"/>
    </xf>
    <xf numFmtId="164" fontId="12" fillId="11" borderId="0" xfId="2" applyNumberFormat="1" applyFont="1" applyFill="1" applyAlignment="1">
      <alignment horizontal="center"/>
    </xf>
    <xf numFmtId="9" fontId="11" fillId="2" borderId="0" xfId="36" applyFont="1" applyFill="1" applyAlignment="1">
      <alignment horizontal="center"/>
    </xf>
    <xf numFmtId="164" fontId="3" fillId="17" borderId="91" xfId="0" applyNumberFormat="1" applyFont="1" applyFill="1" applyBorder="1"/>
    <xf numFmtId="164" fontId="3" fillId="17" borderId="89" xfId="0" applyNumberFormat="1" applyFont="1" applyFill="1" applyBorder="1"/>
    <xf numFmtId="166" fontId="3" fillId="17" borderId="92" xfId="0" applyNumberFormat="1" applyFont="1" applyFill="1" applyBorder="1"/>
    <xf numFmtId="164" fontId="19" fillId="17" borderId="91" xfId="1" applyNumberFormat="1" applyFont="1" applyFill="1" applyBorder="1" applyAlignment="1" applyProtection="1"/>
    <xf numFmtId="166" fontId="11" fillId="0" borderId="77" xfId="36" applyNumberFormat="1" applyFont="1" applyBorder="1"/>
    <xf numFmtId="3" fontId="0" fillId="0" borderId="0" xfId="0" applyNumberFormat="1"/>
    <xf numFmtId="43" fontId="12" fillId="0" borderId="1" xfId="2" applyFont="1" applyBorder="1" applyAlignment="1">
      <alignment vertical="center"/>
    </xf>
    <xf numFmtId="43" fontId="12" fillId="0" borderId="0" xfId="2" applyFont="1"/>
    <xf numFmtId="166" fontId="0" fillId="0" borderId="0" xfId="36" applyNumberFormat="1" applyFont="1"/>
    <xf numFmtId="164" fontId="3" fillId="0" borderId="144" xfId="0" applyNumberFormat="1" applyFont="1" applyBorder="1"/>
    <xf numFmtId="0" fontId="38" fillId="0" borderId="142" xfId="0" applyFont="1" applyBorder="1" applyAlignment="1">
      <alignment vertical="center"/>
    </xf>
    <xf numFmtId="0" fontId="38" fillId="0" borderId="143" xfId="0" applyFont="1" applyBorder="1" applyAlignment="1">
      <alignment vertical="center"/>
    </xf>
    <xf numFmtId="0" fontId="13" fillId="0" borderId="0" xfId="0" applyFont="1"/>
    <xf numFmtId="49" fontId="15" fillId="2" borderId="0" xfId="2" quotePrefix="1" applyNumberFormat="1" applyFont="1" applyFill="1"/>
    <xf numFmtId="43" fontId="15" fillId="0" borderId="0" xfId="2" applyFont="1"/>
    <xf numFmtId="164" fontId="3" fillId="15" borderId="8" xfId="0" applyNumberFormat="1" applyFont="1" applyFill="1" applyBorder="1"/>
    <xf numFmtId="166" fontId="3" fillId="15" borderId="34" xfId="0" applyNumberFormat="1" applyFont="1" applyFill="1" applyBorder="1"/>
    <xf numFmtId="43" fontId="12" fillId="2" borderId="8" xfId="2" applyFont="1" applyFill="1" applyBorder="1" applyAlignment="1">
      <alignment vertical="center"/>
    </xf>
    <xf numFmtId="165" fontId="11" fillId="0" borderId="55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164" fontId="19" fillId="0" borderId="91" xfId="1" applyNumberFormat="1" applyFont="1" applyBorder="1" applyAlignment="1" applyProtection="1"/>
    <xf numFmtId="164" fontId="22" fillId="2" borderId="0" xfId="2" applyNumberFormat="1" applyFont="1" applyFill="1"/>
    <xf numFmtId="166" fontId="2" fillId="15" borderId="78" xfId="0" applyNumberFormat="1" applyFont="1" applyFill="1" applyBorder="1"/>
    <xf numFmtId="166" fontId="2" fillId="15" borderId="4" xfId="0" applyNumberFormat="1" applyFont="1" applyFill="1" applyBorder="1"/>
    <xf numFmtId="166" fontId="24" fillId="15" borderId="0" xfId="2" applyNumberFormat="1" applyFont="1" applyFill="1"/>
    <xf numFmtId="166" fontId="10" fillId="17" borderId="0" xfId="36" applyNumberFormat="1" applyFont="1" applyFill="1"/>
    <xf numFmtId="166" fontId="10" fillId="15" borderId="0" xfId="2" applyNumberFormat="1" applyFont="1" applyFill="1"/>
    <xf numFmtId="166" fontId="2" fillId="15" borderId="0" xfId="2" applyNumberFormat="1" applyFont="1" applyFill="1"/>
    <xf numFmtId="166" fontId="10" fillId="15" borderId="0" xfId="36" applyNumberFormat="1" applyFont="1" applyFill="1"/>
    <xf numFmtId="164" fontId="11" fillId="0" borderId="136" xfId="2" applyNumberFormat="1" applyFont="1" applyBorder="1" applyAlignment="1">
      <alignment horizontal="center"/>
    </xf>
    <xf numFmtId="164" fontId="3" fillId="2" borderId="0" xfId="0" applyNumberFormat="1" applyFont="1" applyFill="1"/>
    <xf numFmtId="3" fontId="10" fillId="2" borderId="0" xfId="2" applyNumberFormat="1" applyFont="1" applyFill="1" applyAlignment="1">
      <alignment horizontal="center" vertical="center" wrapText="1"/>
    </xf>
    <xf numFmtId="164" fontId="2" fillId="2" borderId="0" xfId="0" applyNumberFormat="1" applyFont="1" applyFill="1"/>
    <xf numFmtId="166" fontId="3" fillId="2" borderId="0" xfId="0" applyNumberFormat="1" applyFont="1" applyFill="1"/>
    <xf numFmtId="166" fontId="2" fillId="2" borderId="0" xfId="0" applyNumberFormat="1" applyFont="1" applyFill="1"/>
    <xf numFmtId="164" fontId="22" fillId="2" borderId="0" xfId="2" applyNumberFormat="1" applyFont="1" applyFill="1" applyAlignment="1">
      <alignment horizontal="center" vertical="center"/>
    </xf>
    <xf numFmtId="164" fontId="19" fillId="0" borderId="95" xfId="1" applyNumberFormat="1" applyFont="1" applyBorder="1" applyAlignment="1" applyProtection="1"/>
    <xf numFmtId="164" fontId="3" fillId="0" borderId="100" xfId="0" applyNumberFormat="1" applyFont="1" applyBorder="1" applyAlignment="1">
      <alignment horizontal="left" indent="1"/>
    </xf>
    <xf numFmtId="164" fontId="2" fillId="0" borderId="29" xfId="0" applyNumberFormat="1" applyFont="1" applyBorder="1" applyAlignment="1">
      <alignment horizontal="left"/>
    </xf>
    <xf numFmtId="166" fontId="3" fillId="0" borderId="123" xfId="0" applyNumberFormat="1" applyFont="1" applyBorder="1"/>
    <xf numFmtId="164" fontId="3" fillId="0" borderId="41" xfId="0" applyNumberFormat="1" applyFont="1" applyBorder="1" applyAlignment="1">
      <alignment horizontal="left"/>
    </xf>
    <xf numFmtId="166" fontId="3" fillId="0" borderId="114" xfId="36" applyNumberFormat="1" applyFont="1" applyBorder="1"/>
    <xf numFmtId="164" fontId="3" fillId="18" borderId="16" xfId="0" applyNumberFormat="1" applyFont="1" applyFill="1" applyBorder="1"/>
    <xf numFmtId="164" fontId="3" fillId="18" borderId="8" xfId="0" applyNumberFormat="1" applyFont="1" applyFill="1" applyBorder="1"/>
    <xf numFmtId="166" fontId="3" fillId="18" borderId="34" xfId="0" applyNumberFormat="1" applyFont="1" applyFill="1" applyBorder="1"/>
    <xf numFmtId="164" fontId="3" fillId="18" borderId="13" xfId="0" applyNumberFormat="1" applyFont="1" applyFill="1" applyBorder="1"/>
    <xf numFmtId="164" fontId="3" fillId="18" borderId="3" xfId="0" applyNumberFormat="1" applyFont="1" applyFill="1" applyBorder="1"/>
    <xf numFmtId="166" fontId="3" fillId="18" borderId="33" xfId="0" applyNumberFormat="1" applyFont="1" applyFill="1" applyBorder="1"/>
    <xf numFmtId="164" fontId="11" fillId="0" borderId="61" xfId="36" applyNumberFormat="1" applyFont="1" applyBorder="1" applyAlignment="1">
      <alignment horizontal="center"/>
    </xf>
    <xf numFmtId="164" fontId="11" fillId="0" borderId="9" xfId="36" applyNumberFormat="1" applyFont="1" applyBorder="1" applyAlignment="1">
      <alignment horizontal="center"/>
    </xf>
    <xf numFmtId="164" fontId="11" fillId="0" borderId="7" xfId="36" applyNumberFormat="1" applyFont="1" applyBorder="1" applyAlignment="1">
      <alignment horizontal="center"/>
    </xf>
    <xf numFmtId="166" fontId="11" fillId="0" borderId="76" xfId="2" applyNumberFormat="1" applyFont="1" applyBorder="1" applyAlignment="1">
      <alignment horizontal="center"/>
    </xf>
    <xf numFmtId="166" fontId="24" fillId="0" borderId="83" xfId="2" applyNumberFormat="1" applyFont="1" applyBorder="1" applyAlignment="1">
      <alignment horizontal="center"/>
    </xf>
    <xf numFmtId="166" fontId="11" fillId="0" borderId="77" xfId="2" applyNumberFormat="1" applyFont="1" applyBorder="1" applyAlignment="1">
      <alignment horizontal="center"/>
    </xf>
    <xf numFmtId="164" fontId="11" fillId="0" borderId="8" xfId="36" applyNumberFormat="1" applyFont="1" applyBorder="1" applyAlignment="1">
      <alignment horizontal="center"/>
    </xf>
    <xf numFmtId="164" fontId="11" fillId="0" borderId="102" xfId="2" applyNumberFormat="1" applyFont="1" applyBorder="1"/>
    <xf numFmtId="164" fontId="11" fillId="0" borderId="94" xfId="2" applyNumberFormat="1" applyFont="1" applyBorder="1" applyAlignment="1">
      <alignment horizontal="center"/>
    </xf>
    <xf numFmtId="164" fontId="11" fillId="0" borderId="55" xfId="2" applyNumberFormat="1" applyFont="1" applyBorder="1" applyAlignment="1">
      <alignment horizontal="center"/>
    </xf>
    <xf numFmtId="9" fontId="11" fillId="0" borderId="61" xfId="36" applyFont="1" applyBorder="1" applyAlignment="1">
      <alignment horizontal="center"/>
    </xf>
    <xf numFmtId="164" fontId="25" fillId="2" borderId="0" xfId="2" applyNumberFormat="1" applyFont="1" applyFill="1" applyAlignment="1">
      <alignment horizontal="right"/>
    </xf>
    <xf numFmtId="9" fontId="10" fillId="2" borderId="0" xfId="2" applyNumberFormat="1" applyFont="1" applyFill="1"/>
    <xf numFmtId="164" fontId="13" fillId="2" borderId="0" xfId="2" applyNumberFormat="1" applyFont="1" applyFill="1"/>
    <xf numFmtId="164" fontId="25" fillId="10" borderId="109" xfId="2" applyNumberFormat="1" applyFont="1" applyFill="1" applyBorder="1" applyAlignment="1">
      <alignment horizontal="right"/>
    </xf>
    <xf numFmtId="164" fontId="13" fillId="10" borderId="94" xfId="2" applyNumberFormat="1" applyFont="1" applyFill="1" applyBorder="1"/>
    <xf numFmtId="10" fontId="10" fillId="10" borderId="38" xfId="2" applyNumberFormat="1" applyFont="1" applyFill="1" applyBorder="1"/>
    <xf numFmtId="164" fontId="25" fillId="17" borderId="134" xfId="2" applyNumberFormat="1" applyFont="1" applyFill="1" applyBorder="1" applyAlignment="1">
      <alignment horizontal="right"/>
    </xf>
    <xf numFmtId="164" fontId="10" fillId="17" borderId="125" xfId="2" applyNumberFormat="1" applyFont="1" applyFill="1" applyBorder="1"/>
    <xf numFmtId="164" fontId="10" fillId="17" borderId="126" xfId="2" applyNumberFormat="1" applyFont="1" applyFill="1" applyBorder="1"/>
    <xf numFmtId="9" fontId="10" fillId="17" borderId="127" xfId="2" applyNumberFormat="1" applyFont="1" applyFill="1" applyBorder="1"/>
    <xf numFmtId="164" fontId="13" fillId="17" borderId="125" xfId="2" applyNumberFormat="1" applyFont="1" applyFill="1" applyBorder="1"/>
    <xf numFmtId="164" fontId="10" fillId="17" borderId="134" xfId="2" applyNumberFormat="1" applyFont="1" applyFill="1" applyBorder="1"/>
    <xf numFmtId="10" fontId="10" fillId="17" borderId="137" xfId="2" applyNumberFormat="1" applyFont="1" applyFill="1" applyBorder="1"/>
    <xf numFmtId="10" fontId="10" fillId="17" borderId="125" xfId="36" applyNumberFormat="1" applyFont="1" applyFill="1" applyBorder="1" applyAlignment="1">
      <alignment horizontal="center"/>
    </xf>
    <xf numFmtId="164" fontId="10" fillId="17" borderId="126" xfId="2" applyNumberFormat="1" applyFont="1" applyFill="1" applyBorder="1" applyAlignment="1">
      <alignment horizontal="center"/>
    </xf>
    <xf numFmtId="9" fontId="10" fillId="17" borderId="127" xfId="2" applyNumberFormat="1" applyFont="1" applyFill="1" applyBorder="1" applyAlignment="1">
      <alignment horizontal="center"/>
    </xf>
    <xf numFmtId="166" fontId="15" fillId="2" borderId="0" xfId="36" applyNumberFormat="1" applyFont="1" applyFill="1" applyAlignment="1">
      <alignment horizontal="center"/>
    </xf>
    <xf numFmtId="9" fontId="10" fillId="0" borderId="4" xfId="2" applyNumberFormat="1" applyFont="1" applyBorder="1"/>
    <xf numFmtId="164" fontId="33" fillId="2" borderId="0" xfId="2" applyNumberFormat="1" applyFont="1" applyFill="1"/>
    <xf numFmtId="9" fontId="15" fillId="2" borderId="0" xfId="36" applyFont="1" applyFill="1" applyAlignment="1">
      <alignment horizontal="center"/>
    </xf>
    <xf numFmtId="164" fontId="11" fillId="0" borderId="102" xfId="36" applyNumberFormat="1" applyFont="1" applyBorder="1" applyAlignment="1">
      <alignment horizontal="center"/>
    </xf>
    <xf numFmtId="164" fontId="3" fillId="15" borderId="55" xfId="0" applyNumberFormat="1" applyFont="1" applyFill="1" applyBorder="1"/>
    <xf numFmtId="164" fontId="3" fillId="15" borderId="48" xfId="0" applyNumberFormat="1" applyFont="1" applyFill="1" applyBorder="1"/>
    <xf numFmtId="164" fontId="3" fillId="15" borderId="49" xfId="0" applyNumberFormat="1" applyFont="1" applyFill="1" applyBorder="1"/>
    <xf numFmtId="166" fontId="3" fillId="15" borderId="50" xfId="0" applyNumberFormat="1" applyFont="1" applyFill="1" applyBorder="1"/>
    <xf numFmtId="164" fontId="3" fillId="15" borderId="56" xfId="0" applyNumberFormat="1" applyFont="1" applyFill="1" applyBorder="1"/>
    <xf numFmtId="166" fontId="3" fillId="15" borderId="53" xfId="0" applyNumberFormat="1" applyFont="1" applyFill="1" applyBorder="1"/>
    <xf numFmtId="175" fontId="10" fillId="2" borderId="4" xfId="2" applyNumberFormat="1" applyFont="1" applyFill="1" applyBorder="1"/>
    <xf numFmtId="164" fontId="11" fillId="0" borderId="95" xfId="36" applyNumberFormat="1" applyFont="1" applyBorder="1" applyAlignment="1">
      <alignment horizontal="center"/>
    </xf>
    <xf numFmtId="164" fontId="22" fillId="2" borderId="0" xfId="2" applyNumberFormat="1" applyFont="1" applyFill="1" applyAlignment="1">
      <alignment horizontal="center"/>
    </xf>
    <xf numFmtId="164" fontId="41" fillId="2" borderId="0" xfId="2" applyNumberFormat="1" applyFont="1" applyFill="1" applyAlignment="1">
      <alignment horizontal="center"/>
    </xf>
    <xf numFmtId="9" fontId="18" fillId="2" borderId="0" xfId="36" applyFont="1" applyFill="1" applyAlignment="1">
      <alignment horizontal="center"/>
    </xf>
    <xf numFmtId="10" fontId="11" fillId="2" borderId="56" xfId="36" applyNumberFormat="1" applyFont="1" applyFill="1" applyBorder="1" applyAlignment="1">
      <alignment horizontal="center"/>
    </xf>
    <xf numFmtId="164" fontId="42" fillId="0" borderId="0" xfId="2" applyNumberFormat="1" applyFont="1"/>
    <xf numFmtId="166" fontId="42" fillId="0" borderId="0" xfId="2" applyNumberFormat="1" applyFont="1"/>
    <xf numFmtId="3" fontId="11" fillId="2" borderId="94" xfId="2" applyNumberFormat="1" applyFont="1" applyFill="1" applyBorder="1" applyAlignment="1">
      <alignment horizontal="right"/>
    </xf>
    <xf numFmtId="3" fontId="11" fillId="2" borderId="7" xfId="2" applyNumberFormat="1" applyFont="1" applyFill="1" applyBorder="1" applyAlignment="1">
      <alignment horizontal="right"/>
    </xf>
    <xf numFmtId="3" fontId="11" fillId="2" borderId="6" xfId="2" applyNumberFormat="1" applyFont="1" applyFill="1" applyBorder="1" applyAlignment="1">
      <alignment horizontal="right"/>
    </xf>
    <xf numFmtId="3" fontId="11" fillId="2" borderId="136" xfId="2" applyNumberFormat="1" applyFont="1" applyFill="1" applyBorder="1" applyAlignment="1">
      <alignment horizontal="right"/>
    </xf>
    <xf numFmtId="3" fontId="11" fillId="2" borderId="8" xfId="2" applyNumberFormat="1" applyFont="1" applyFill="1" applyBorder="1" applyAlignment="1">
      <alignment horizontal="right"/>
    </xf>
    <xf numFmtId="3" fontId="11" fillId="2" borderId="91" xfId="2" applyNumberFormat="1" applyFont="1" applyFill="1" applyBorder="1" applyAlignment="1">
      <alignment horizontal="right"/>
    </xf>
    <xf numFmtId="43" fontId="21" fillId="2" borderId="0" xfId="2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164" fontId="43" fillId="2" borderId="0" xfId="2" applyNumberFormat="1" applyFont="1" applyFill="1" applyAlignment="1">
      <alignment horizontal="center"/>
    </xf>
    <xf numFmtId="164" fontId="13" fillId="13" borderId="139" xfId="2" applyNumberFormat="1" applyFont="1" applyFill="1" applyBorder="1" applyAlignment="1">
      <alignment horizontal="center" vertical="center"/>
    </xf>
    <xf numFmtId="164" fontId="19" fillId="0" borderId="6" xfId="1" applyNumberFormat="1" applyFont="1" applyBorder="1" applyAlignment="1" applyProtection="1">
      <alignment horizontal="center"/>
    </xf>
    <xf numFmtId="9" fontId="45" fillId="2" borderId="0" xfId="36" applyFont="1" applyFill="1" applyAlignment="1">
      <alignment horizontal="center"/>
    </xf>
    <xf numFmtId="164" fontId="46" fillId="0" borderId="16" xfId="1" applyNumberFormat="1" applyFont="1" applyBorder="1" applyAlignment="1" applyProtection="1"/>
    <xf numFmtId="43" fontId="44" fillId="2" borderId="0" xfId="2" applyFont="1" applyFill="1"/>
    <xf numFmtId="164" fontId="19" fillId="19" borderId="48" xfId="1" applyNumberFormat="1" applyFont="1" applyFill="1" applyBorder="1" applyAlignment="1" applyProtection="1"/>
    <xf numFmtId="164" fontId="19" fillId="19" borderId="44" xfId="1" applyNumberFormat="1" applyFont="1" applyFill="1" applyBorder="1" applyAlignment="1" applyProtection="1"/>
    <xf numFmtId="164" fontId="12" fillId="0" borderId="2" xfId="2" applyNumberFormat="1" applyFont="1" applyBorder="1" applyAlignment="1">
      <alignment vertical="center"/>
    </xf>
    <xf numFmtId="164" fontId="12" fillId="0" borderId="5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horizontal="center" vertical="center"/>
    </xf>
    <xf numFmtId="164" fontId="12" fillId="0" borderId="73" xfId="2" applyNumberFormat="1" applyFont="1" applyBorder="1" applyAlignment="1">
      <alignment vertical="center"/>
    </xf>
    <xf numFmtId="164" fontId="12" fillId="0" borderId="74" xfId="2" applyNumberFormat="1" applyFont="1" applyBorder="1" applyAlignment="1">
      <alignment vertical="center"/>
    </xf>
    <xf numFmtId="173" fontId="10" fillId="2" borderId="0" xfId="2" applyNumberFormat="1" applyFont="1" applyFill="1"/>
    <xf numFmtId="164" fontId="47" fillId="0" borderId="1" xfId="1" applyNumberFormat="1" applyFont="1" applyBorder="1" applyAlignment="1" applyProtection="1">
      <alignment vertical="center"/>
    </xf>
    <xf numFmtId="164" fontId="47" fillId="0" borderId="56" xfId="1" applyNumberFormat="1" applyFont="1" applyBorder="1" applyAlignment="1" applyProtection="1">
      <alignment vertical="center"/>
    </xf>
    <xf numFmtId="3" fontId="37" fillId="2" borderId="0" xfId="2" applyNumberFormat="1" applyFont="1" applyFill="1" applyAlignment="1">
      <alignment horizontal="center" vertical="center"/>
    </xf>
    <xf numFmtId="43" fontId="11" fillId="0" borderId="26" xfId="2" applyFont="1" applyBorder="1"/>
    <xf numFmtId="164" fontId="19" fillId="0" borderId="55" xfId="1" applyNumberFormat="1" applyFont="1" applyBorder="1" applyAlignment="1" applyProtection="1"/>
    <xf numFmtId="164" fontId="10" fillId="0" borderId="0" xfId="2" applyNumberFormat="1" applyFont="1" applyAlignment="1">
      <alignment horizontal="center"/>
    </xf>
    <xf numFmtId="166" fontId="48" fillId="2" borderId="2" xfId="36" applyNumberFormat="1" applyFont="1" applyFill="1" applyBorder="1" applyAlignment="1">
      <alignment horizontal="center" vertical="center"/>
    </xf>
    <xf numFmtId="166" fontId="48" fillId="2" borderId="2" xfId="36" applyNumberFormat="1" applyFont="1" applyFill="1" applyBorder="1" applyAlignment="1">
      <alignment horizontal="center" vertical="center" wrapText="1"/>
    </xf>
    <xf numFmtId="5" fontId="11" fillId="2" borderId="2" xfId="37" applyNumberFormat="1" applyFont="1" applyFill="1" applyBorder="1" applyAlignment="1">
      <alignment horizontal="center" vertical="center"/>
    </xf>
    <xf numFmtId="43" fontId="36" fillId="16" borderId="72" xfId="2" applyFont="1" applyFill="1" applyBorder="1" applyAlignment="1">
      <alignment horizontal="center" vertical="center"/>
    </xf>
    <xf numFmtId="164" fontId="8" fillId="0" borderId="8" xfId="1" applyNumberFormat="1" applyBorder="1" applyAlignment="1" applyProtection="1">
      <alignment horizontal="center" vertical="center"/>
    </xf>
    <xf numFmtId="164" fontId="12" fillId="0" borderId="45" xfId="2" quotePrefix="1" applyNumberFormat="1" applyFont="1" applyBorder="1" applyAlignment="1">
      <alignment horizontal="center" vertical="center"/>
    </xf>
    <xf numFmtId="164" fontId="4" fillId="0" borderId="49" xfId="2" applyNumberFormat="1" applyFont="1" applyBorder="1" applyAlignment="1">
      <alignment vertical="center"/>
    </xf>
    <xf numFmtId="164" fontId="4" fillId="0" borderId="3" xfId="2" applyNumberFormat="1" applyFont="1" applyBorder="1" applyAlignment="1">
      <alignment vertical="center"/>
    </xf>
    <xf numFmtId="164" fontId="22" fillId="0" borderId="3" xfId="2" applyNumberFormat="1" applyFont="1" applyBorder="1" applyAlignment="1">
      <alignment vertical="center"/>
    </xf>
    <xf numFmtId="164" fontId="12" fillId="0" borderId="75" xfId="2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164" fontId="12" fillId="0" borderId="0" xfId="2" applyNumberFormat="1" applyFont="1"/>
    <xf numFmtId="164" fontId="13" fillId="0" borderId="8" xfId="2" applyNumberFormat="1" applyFont="1" applyBorder="1" applyAlignment="1">
      <alignment vertical="center"/>
    </xf>
    <xf numFmtId="164" fontId="4" fillId="0" borderId="56" xfId="2" applyNumberFormat="1" applyFont="1" applyBorder="1" applyAlignment="1">
      <alignment vertical="center"/>
    </xf>
    <xf numFmtId="164" fontId="47" fillId="0" borderId="8" xfId="1" applyNumberFormat="1" applyFont="1" applyBorder="1" applyAlignment="1" applyProtection="1">
      <alignment vertical="center"/>
    </xf>
    <xf numFmtId="164" fontId="8" fillId="0" borderId="45" xfId="1" applyNumberFormat="1" applyBorder="1" applyAlignment="1" applyProtection="1">
      <alignment vertical="center"/>
    </xf>
    <xf numFmtId="164" fontId="49" fillId="0" borderId="8" xfId="1" applyNumberFormat="1" applyFont="1" applyBorder="1" applyAlignment="1" applyProtection="1">
      <alignment vertical="center"/>
    </xf>
    <xf numFmtId="164" fontId="13" fillId="20" borderId="0" xfId="2" applyNumberFormat="1" applyFont="1" applyFill="1" applyAlignment="1">
      <alignment horizontal="center"/>
    </xf>
    <xf numFmtId="164" fontId="34" fillId="0" borderId="0" xfId="2" applyNumberFormat="1" applyFont="1"/>
    <xf numFmtId="164" fontId="29" fillId="0" borderId="0" xfId="2" applyNumberFormat="1" applyFont="1"/>
    <xf numFmtId="10" fontId="34" fillId="0" borderId="0" xfId="2" applyNumberFormat="1" applyFont="1"/>
    <xf numFmtId="166" fontId="34" fillId="0" borderId="0" xfId="2" applyNumberFormat="1" applyFont="1"/>
    <xf numFmtId="166" fontId="6" fillId="0" borderId="0" xfId="2" applyNumberFormat="1" applyFont="1"/>
    <xf numFmtId="10" fontId="6" fillId="0" borderId="0" xfId="2" applyNumberFormat="1" applyFont="1"/>
    <xf numFmtId="164" fontId="50" fillId="0" borderId="0" xfId="2" applyNumberFormat="1" applyFont="1"/>
    <xf numFmtId="164" fontId="39" fillId="0" borderId="0" xfId="2" applyNumberFormat="1" applyFont="1"/>
    <xf numFmtId="10" fontId="2" fillId="15" borderId="0" xfId="2" applyNumberFormat="1" applyFont="1" applyFill="1"/>
    <xf numFmtId="164" fontId="8" fillId="0" borderId="8" xfId="1" applyNumberFormat="1" applyBorder="1" applyAlignment="1" applyProtection="1">
      <alignment vertical="center"/>
    </xf>
    <xf numFmtId="0" fontId="12" fillId="0" borderId="45" xfId="0" applyFont="1" applyBorder="1" applyAlignment="1">
      <alignment vertical="center"/>
    </xf>
    <xf numFmtId="10" fontId="24" fillId="15" borderId="0" xfId="2" applyNumberFormat="1" applyFont="1" applyFill="1"/>
    <xf numFmtId="10" fontId="11" fillId="2" borderId="76" xfId="2" applyNumberFormat="1" applyFont="1" applyFill="1" applyBorder="1" applyAlignment="1">
      <alignment horizontal="center"/>
    </xf>
    <xf numFmtId="0" fontId="4" fillId="0" borderId="75" xfId="0" applyFont="1" applyBorder="1" applyAlignment="1">
      <alignment vertical="center"/>
    </xf>
    <xf numFmtId="164" fontId="5" fillId="0" borderId="8" xfId="2" applyNumberFormat="1" applyFont="1" applyBorder="1" applyAlignment="1">
      <alignment vertical="center"/>
    </xf>
    <xf numFmtId="166" fontId="12" fillId="2" borderId="0" xfId="36" applyNumberFormat="1" applyFont="1" applyFill="1"/>
    <xf numFmtId="166" fontId="45" fillId="2" borderId="0" xfId="36" applyNumberFormat="1" applyFont="1" applyFill="1" applyAlignment="1">
      <alignment horizontal="center"/>
    </xf>
    <xf numFmtId="41" fontId="11" fillId="0" borderId="7" xfId="3" applyFont="1" applyBorder="1" applyAlignment="1">
      <alignment horizontal="center"/>
    </xf>
    <xf numFmtId="164" fontId="11" fillId="0" borderId="101" xfId="2" applyNumberFormat="1" applyFont="1" applyBorder="1" applyAlignment="1">
      <alignment horizontal="center"/>
    </xf>
    <xf numFmtId="164" fontId="3" fillId="11" borderId="16" xfId="0" applyNumberFormat="1" applyFont="1" applyFill="1" applyBorder="1"/>
    <xf numFmtId="164" fontId="47" fillId="0" borderId="2" xfId="1" applyNumberFormat="1" applyFont="1" applyBorder="1" applyAlignment="1" applyProtection="1">
      <alignment vertical="center"/>
    </xf>
    <xf numFmtId="164" fontId="17" fillId="23" borderId="0" xfId="2" applyNumberFormat="1" applyFont="1" applyFill="1"/>
    <xf numFmtId="164" fontId="17" fillId="21" borderId="0" xfId="2" applyNumberFormat="1" applyFont="1" applyFill="1" applyAlignment="1">
      <alignment horizontal="left"/>
    </xf>
    <xf numFmtId="164" fontId="24" fillId="2" borderId="0" xfId="2" applyNumberFormat="1" applyFont="1" applyFill="1" applyAlignment="1">
      <alignment horizontal="right"/>
    </xf>
    <xf numFmtId="164" fontId="44" fillId="22" borderId="0" xfId="2" applyNumberFormat="1" applyFont="1" applyFill="1" applyAlignment="1">
      <alignment horizontal="center"/>
    </xf>
    <xf numFmtId="164" fontId="10" fillId="15" borderId="0" xfId="2" applyNumberFormat="1" applyFont="1" applyFill="1" applyAlignment="1">
      <alignment horizontal="center"/>
    </xf>
    <xf numFmtId="164" fontId="44" fillId="15" borderId="0" xfId="2" applyNumberFormat="1" applyFont="1" applyFill="1" applyAlignment="1">
      <alignment horizontal="center"/>
    </xf>
    <xf numFmtId="164" fontId="40" fillId="19" borderId="0" xfId="2" applyNumberFormat="1" applyFont="1" applyFill="1" applyAlignment="1">
      <alignment horizontal="center"/>
    </xf>
    <xf numFmtId="164" fontId="40" fillId="2" borderId="0" xfId="2" applyNumberFormat="1" applyFont="1" applyFill="1" applyAlignment="1">
      <alignment horizontal="center"/>
    </xf>
    <xf numFmtId="164" fontId="3" fillId="12" borderId="19" xfId="0" applyNumberFormat="1" applyFont="1" applyFill="1" applyBorder="1"/>
    <xf numFmtId="164" fontId="3" fillId="12" borderId="86" xfId="0" applyNumberFormat="1" applyFont="1" applyFill="1" applyBorder="1"/>
    <xf numFmtId="164" fontId="3" fillId="12" borderId="25" xfId="0" applyNumberFormat="1" applyFont="1" applyFill="1" applyBorder="1"/>
    <xf numFmtId="164" fontId="11" fillId="12" borderId="13" xfId="2" applyNumberFormat="1" applyFont="1" applyFill="1" applyBorder="1" applyAlignment="1">
      <alignment horizontal="center"/>
    </xf>
    <xf numFmtId="10" fontId="34" fillId="15" borderId="0" xfId="2" applyNumberFormat="1" applyFont="1" applyFill="1"/>
    <xf numFmtId="166" fontId="3" fillId="15" borderId="33" xfId="0" applyNumberFormat="1" applyFont="1" applyFill="1" applyBorder="1"/>
    <xf numFmtId="164" fontId="12" fillId="13" borderId="49" xfId="2" applyNumberFormat="1" applyFont="1" applyFill="1" applyBorder="1" applyAlignment="1">
      <alignment vertical="center"/>
    </xf>
    <xf numFmtId="43" fontId="11" fillId="0" borderId="61" xfId="2" applyFont="1" applyBorder="1"/>
    <xf numFmtId="43" fontId="11" fillId="0" borderId="9" xfId="2" applyFont="1" applyBorder="1"/>
    <xf numFmtId="43" fontId="11" fillId="0" borderId="108" xfId="2" applyFont="1" applyBorder="1"/>
    <xf numFmtId="43" fontId="11" fillId="0" borderId="59" xfId="2" applyFont="1" applyBorder="1"/>
    <xf numFmtId="164" fontId="13" fillId="11" borderId="2" xfId="2" applyNumberFormat="1" applyFont="1" applyFill="1" applyBorder="1" applyAlignment="1">
      <alignment vertical="center"/>
    </xf>
    <xf numFmtId="164" fontId="13" fillId="11" borderId="1" xfId="2" applyNumberFormat="1" applyFont="1" applyFill="1" applyBorder="1" applyAlignment="1">
      <alignment vertical="center"/>
    </xf>
    <xf numFmtId="164" fontId="5" fillId="11" borderId="2" xfId="2" applyNumberFormat="1" applyFont="1" applyFill="1" applyBorder="1" applyAlignment="1">
      <alignment vertical="center"/>
    </xf>
    <xf numFmtId="164" fontId="25" fillId="11" borderId="65" xfId="2" applyNumberFormat="1" applyFont="1" applyFill="1" applyBorder="1" applyAlignment="1">
      <alignment vertical="center"/>
    </xf>
    <xf numFmtId="164" fontId="10" fillId="11" borderId="133" xfId="2" applyNumberFormat="1" applyFont="1" applyFill="1" applyBorder="1" applyAlignment="1">
      <alignment horizontal="center" vertical="center" wrapText="1"/>
    </xf>
    <xf numFmtId="1" fontId="10" fillId="11" borderId="125" xfId="2" applyNumberFormat="1" applyFont="1" applyFill="1" applyBorder="1" applyAlignment="1">
      <alignment horizontal="center" vertical="center" wrapText="1"/>
    </xf>
    <xf numFmtId="164" fontId="4" fillId="11" borderId="8" xfId="2" applyNumberFormat="1" applyFont="1" applyFill="1" applyBorder="1" applyAlignment="1">
      <alignment vertical="center"/>
    </xf>
    <xf numFmtId="164" fontId="12" fillId="11" borderId="2" xfId="2" applyNumberFormat="1" applyFont="1" applyFill="1" applyBorder="1" applyAlignment="1">
      <alignment vertical="center"/>
    </xf>
    <xf numFmtId="164" fontId="12" fillId="11" borderId="8" xfId="2" applyNumberFormat="1" applyFont="1" applyFill="1" applyBorder="1" applyAlignment="1">
      <alignment vertical="center"/>
    </xf>
    <xf numFmtId="164" fontId="12" fillId="11" borderId="49" xfId="2" applyNumberFormat="1" applyFont="1" applyFill="1" applyBorder="1" applyAlignment="1">
      <alignment vertical="center"/>
    </xf>
    <xf numFmtId="164" fontId="11" fillId="2" borderId="0" xfId="2" applyNumberFormat="1" applyFont="1" applyFill="1" applyAlignment="1">
      <alignment horizontal="left"/>
    </xf>
    <xf numFmtId="164" fontId="10" fillId="2" borderId="0" xfId="2" applyNumberFormat="1" applyFont="1" applyFill="1" applyAlignment="1">
      <alignment horizontal="left" vertical="center" wrapText="1"/>
    </xf>
    <xf numFmtId="164" fontId="10" fillId="10" borderId="133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/>
    </xf>
    <xf numFmtId="164" fontId="10" fillId="10" borderId="10" xfId="2" applyNumberFormat="1" applyFont="1" applyFill="1" applyBorder="1" applyAlignment="1">
      <alignment horizontal="left"/>
    </xf>
    <xf numFmtId="164" fontId="10" fillId="2" borderId="10" xfId="2" applyNumberFormat="1" applyFont="1" applyFill="1" applyBorder="1" applyAlignment="1">
      <alignment horizontal="left"/>
    </xf>
    <xf numFmtId="164" fontId="10" fillId="10" borderId="12" xfId="2" applyNumberFormat="1" applyFont="1" applyFill="1" applyBorder="1" applyAlignment="1">
      <alignment horizontal="left"/>
    </xf>
    <xf numFmtId="164" fontId="10" fillId="10" borderId="135" xfId="2" applyNumberFormat="1" applyFont="1" applyFill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  <xf numFmtId="164" fontId="3" fillId="0" borderId="108" xfId="0" applyNumberFormat="1" applyFont="1" applyBorder="1" applyAlignment="1">
      <alignment horizontal="left"/>
    </xf>
    <xf numFmtId="164" fontId="11" fillId="2" borderId="15" xfId="2" applyNumberFormat="1" applyFont="1" applyFill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164" fontId="8" fillId="0" borderId="25" xfId="1" applyNumberFormat="1" applyBorder="1" applyAlignment="1" applyProtection="1">
      <alignment horizontal="left"/>
    </xf>
    <xf numFmtId="164" fontId="3" fillId="0" borderId="59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164" fontId="3" fillId="0" borderId="19" xfId="0" applyNumberFormat="1" applyFont="1" applyBorder="1" applyAlignment="1">
      <alignment horizontal="left"/>
    </xf>
    <xf numFmtId="164" fontId="10" fillId="0" borderId="10" xfId="2" applyNumberFormat="1" applyFont="1" applyBorder="1" applyAlignment="1">
      <alignment horizontal="left"/>
    </xf>
    <xf numFmtId="164" fontId="3" fillId="0" borderId="103" xfId="0" applyNumberFormat="1" applyFont="1" applyBorder="1" applyAlignment="1">
      <alignment horizontal="left"/>
    </xf>
    <xf numFmtId="164" fontId="3" fillId="0" borderId="61" xfId="0" applyNumberFormat="1" applyFont="1" applyBorder="1" applyAlignment="1">
      <alignment horizontal="left"/>
    </xf>
    <xf numFmtId="164" fontId="3" fillId="0" borderId="113" xfId="0" applyNumberFormat="1" applyFont="1" applyBorder="1" applyAlignment="1">
      <alignment horizontal="left"/>
    </xf>
    <xf numFmtId="164" fontId="10" fillId="2" borderId="122" xfId="2" applyNumberFormat="1" applyFont="1" applyFill="1" applyBorder="1" applyAlignment="1">
      <alignment horizontal="left"/>
    </xf>
    <xf numFmtId="164" fontId="3" fillId="0" borderId="91" xfId="0" applyNumberFormat="1" applyFont="1" applyBorder="1" applyAlignment="1">
      <alignment horizontal="left"/>
    </xf>
    <xf numFmtId="164" fontId="10" fillId="10" borderId="26" xfId="2" applyNumberFormat="1" applyFont="1" applyFill="1" applyBorder="1" applyAlignment="1">
      <alignment horizontal="left"/>
    </xf>
    <xf numFmtId="164" fontId="10" fillId="0" borderId="119" xfId="2" applyNumberFormat="1" applyFont="1" applyBorder="1" applyAlignment="1">
      <alignment horizontal="left"/>
    </xf>
    <xf numFmtId="164" fontId="10" fillId="10" borderId="134" xfId="2" applyNumberFormat="1" applyFont="1" applyFill="1" applyBorder="1" applyAlignment="1">
      <alignment horizontal="left"/>
    </xf>
    <xf numFmtId="164" fontId="3" fillId="11" borderId="25" xfId="0" applyNumberFormat="1" applyFont="1" applyFill="1" applyBorder="1"/>
    <xf numFmtId="166" fontId="3" fillId="11" borderId="40" xfId="0" applyNumberFormat="1" applyFont="1" applyFill="1" applyBorder="1"/>
    <xf numFmtId="164" fontId="3" fillId="11" borderId="39" xfId="0" applyNumberFormat="1" applyFont="1" applyFill="1" applyBorder="1"/>
    <xf numFmtId="164" fontId="11" fillId="0" borderId="15" xfId="2" applyNumberFormat="1" applyFont="1" applyBorder="1"/>
    <xf numFmtId="49" fontId="15" fillId="11" borderId="0" xfId="2" applyNumberFormat="1" applyFont="1" applyFill="1"/>
    <xf numFmtId="164" fontId="3" fillId="11" borderId="112" xfId="0" applyNumberFormat="1" applyFont="1" applyFill="1" applyBorder="1"/>
    <xf numFmtId="164" fontId="3" fillId="11" borderId="41" xfId="0" applyNumberFormat="1" applyFont="1" applyFill="1" applyBorder="1"/>
    <xf numFmtId="164" fontId="3" fillId="11" borderId="42" xfId="0" applyNumberFormat="1" applyFont="1" applyFill="1" applyBorder="1"/>
    <xf numFmtId="166" fontId="3" fillId="11" borderId="43" xfId="0" applyNumberFormat="1" applyFont="1" applyFill="1" applyBorder="1"/>
    <xf numFmtId="9" fontId="3" fillId="11" borderId="43" xfId="0" applyNumberFormat="1" applyFont="1" applyFill="1" applyBorder="1"/>
    <xf numFmtId="164" fontId="3" fillId="11" borderId="113" xfId="0" applyNumberFormat="1" applyFont="1" applyFill="1" applyBorder="1"/>
    <xf numFmtId="166" fontId="3" fillId="11" borderId="114" xfId="0" applyNumberFormat="1" applyFont="1" applyFill="1" applyBorder="1"/>
    <xf numFmtId="164" fontId="11" fillId="11" borderId="0" xfId="2" applyNumberFormat="1" applyFont="1" applyFill="1"/>
    <xf numFmtId="164" fontId="11" fillId="11" borderId="9" xfId="2" applyNumberFormat="1" applyFont="1" applyFill="1" applyBorder="1"/>
    <xf numFmtId="9" fontId="3" fillId="11" borderId="40" xfId="0" applyNumberFormat="1" applyFont="1" applyFill="1" applyBorder="1"/>
    <xf numFmtId="164" fontId="3" fillId="11" borderId="86" xfId="0" applyNumberFormat="1" applyFont="1" applyFill="1" applyBorder="1"/>
    <xf numFmtId="166" fontId="3" fillId="11" borderId="81" xfId="0" applyNumberFormat="1" applyFont="1" applyFill="1" applyBorder="1"/>
    <xf numFmtId="171" fontId="10" fillId="0" borderId="0" xfId="2" applyNumberFormat="1" applyFont="1"/>
    <xf numFmtId="164" fontId="11" fillId="0" borderId="9" xfId="2" applyNumberFormat="1" applyFont="1" applyBorder="1" applyAlignment="1">
      <alignment horizontal="left" vertical="center"/>
    </xf>
    <xf numFmtId="164" fontId="11" fillId="0" borderId="15" xfId="2" applyNumberFormat="1" applyFont="1" applyBorder="1" applyAlignment="1">
      <alignment horizontal="left" vertical="center"/>
    </xf>
    <xf numFmtId="164" fontId="35" fillId="2" borderId="68" xfId="2" applyNumberFormat="1" applyFont="1" applyFill="1" applyBorder="1" applyAlignment="1">
      <alignment horizontal="center" vertical="center" wrapText="1"/>
    </xf>
    <xf numFmtId="0" fontId="0" fillId="0" borderId="68" xfId="0" applyBorder="1"/>
    <xf numFmtId="0" fontId="20" fillId="0" borderId="0" xfId="0" applyFont="1" applyAlignment="1">
      <alignment horizontal="left" vertical="center"/>
    </xf>
    <xf numFmtId="0" fontId="0" fillId="0" borderId="0" xfId="0"/>
    <xf numFmtId="164" fontId="35" fillId="2" borderId="0" xfId="2" applyNumberFormat="1" applyFont="1" applyFill="1" applyAlignment="1">
      <alignment horizontal="center" vertical="center" wrapText="1"/>
    </xf>
    <xf numFmtId="164" fontId="12" fillId="2" borderId="0" xfId="2" applyNumberFormat="1" applyFont="1" applyFill="1"/>
    <xf numFmtId="164" fontId="12" fillId="2" borderId="0" xfId="0" applyNumberFormat="1" applyFont="1" applyFill="1"/>
    <xf numFmtId="43" fontId="13" fillId="2" borderId="0" xfId="2" applyFont="1" applyFill="1" applyAlignment="1">
      <alignment horizontal="center" vertical="center" wrapText="1"/>
    </xf>
    <xf numFmtId="0" fontId="12" fillId="2" borderId="0" xfId="0" applyFont="1" applyFill="1"/>
    <xf numFmtId="164" fontId="12" fillId="2" borderId="0" xfId="2" applyNumberFormat="1" applyFont="1" applyFill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6" fontId="11" fillId="2" borderId="0" xfId="2" applyNumberFormat="1" applyFont="1" applyFill="1" applyAlignment="1">
      <alignment horizontal="center"/>
    </xf>
    <xf numFmtId="172" fontId="8" fillId="0" borderId="65" xfId="1" applyNumberFormat="1" applyBorder="1" applyAlignment="1" applyProtection="1">
      <alignment vertical="center"/>
    </xf>
    <xf numFmtId="0" fontId="0" fillId="0" borderId="65" xfId="0" applyBorder="1"/>
    <xf numFmtId="172" fontId="0" fillId="0" borderId="65" xfId="0" applyNumberFormat="1" applyBorder="1" applyAlignment="1">
      <alignment vertical="center"/>
    </xf>
    <xf numFmtId="164" fontId="27" fillId="2" borderId="0" xfId="2" applyNumberFormat="1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15" fillId="2" borderId="0" xfId="2" applyNumberFormat="1" applyFont="1" applyFill="1" applyAlignment="1">
      <alignment horizontal="center"/>
    </xf>
    <xf numFmtId="164" fontId="3" fillId="11" borderId="108" xfId="0" applyNumberFormat="1" applyFont="1" applyFill="1" applyBorder="1"/>
    <xf numFmtId="164" fontId="11" fillId="11" borderId="61" xfId="2" applyNumberFormat="1" applyFont="1" applyFill="1" applyBorder="1" applyAlignment="1">
      <alignment horizontal="right" vertical="center"/>
    </xf>
    <xf numFmtId="164" fontId="11" fillId="11" borderId="44" xfId="2" applyNumberFormat="1" applyFont="1" applyFill="1" applyBorder="1" applyAlignment="1">
      <alignment horizontal="center"/>
    </xf>
    <xf numFmtId="164" fontId="3" fillId="11" borderId="45" xfId="0" applyNumberFormat="1" applyFont="1" applyFill="1" applyBorder="1"/>
    <xf numFmtId="166" fontId="3" fillId="11" borderId="46" xfId="0" applyNumberFormat="1" applyFont="1" applyFill="1" applyBorder="1"/>
    <xf numFmtId="164" fontId="3" fillId="11" borderId="8" xfId="0" applyNumberFormat="1" applyFont="1" applyFill="1" applyBorder="1"/>
    <xf numFmtId="166" fontId="3" fillId="11" borderId="34" xfId="0" applyNumberFormat="1" applyFont="1" applyFill="1" applyBorder="1"/>
    <xf numFmtId="164" fontId="11" fillId="11" borderId="15" xfId="2" applyNumberFormat="1" applyFont="1" applyFill="1" applyBorder="1"/>
  </cellXfs>
  <cellStyles count="38">
    <cellStyle name="Hipervínculo" xfId="1" builtinId="8"/>
    <cellStyle name="Millares" xfId="2" builtinId="3"/>
    <cellStyle name="Millares [0]" xfId="3" builtinId="6"/>
    <cellStyle name="Millares [0] 2" xfId="4" xr:uid="{00000000-0005-0000-0000-000004000000}"/>
    <cellStyle name="Millares 10" xfId="5" xr:uid="{00000000-0005-0000-0000-000005000000}"/>
    <cellStyle name="Millares 2" xfId="6" xr:uid="{00000000-0005-0000-0000-000006000000}"/>
    <cellStyle name="Millares 2 2" xfId="7" xr:uid="{00000000-0005-0000-0000-000007000000}"/>
    <cellStyle name="Millares 3" xfId="8" xr:uid="{00000000-0005-0000-0000-000008000000}"/>
    <cellStyle name="Millares 3 3" xfId="9" xr:uid="{00000000-0005-0000-0000-000009000000}"/>
    <cellStyle name="Millares 4" xfId="10" xr:uid="{00000000-0005-0000-0000-00000A000000}"/>
    <cellStyle name="Millares 5" xfId="11" xr:uid="{00000000-0005-0000-0000-00000B000000}"/>
    <cellStyle name="Millares 6" xfId="12" xr:uid="{00000000-0005-0000-0000-00000C000000}"/>
    <cellStyle name="Millares 7" xfId="13" xr:uid="{00000000-0005-0000-0000-00000D000000}"/>
    <cellStyle name="Millares 8" xfId="14" xr:uid="{00000000-0005-0000-0000-00000E000000}"/>
    <cellStyle name="Millares 8 2" xfId="15" xr:uid="{00000000-0005-0000-0000-00000F000000}"/>
    <cellStyle name="Millares 9" xfId="16" xr:uid="{00000000-0005-0000-0000-000010000000}"/>
    <cellStyle name="Moneda" xfId="37" builtinId="4"/>
    <cellStyle name="Moneda [0] 2" xfId="17" xr:uid="{00000000-0005-0000-0000-000011000000}"/>
    <cellStyle name="Moneda 10" xfId="18" xr:uid="{00000000-0005-0000-0000-000012000000}"/>
    <cellStyle name="Moneda 2" xfId="19" xr:uid="{00000000-0005-0000-0000-000013000000}"/>
    <cellStyle name="Moneda 2 2" xfId="20" xr:uid="{00000000-0005-0000-0000-000014000000}"/>
    <cellStyle name="Moneda 2 2 2" xfId="21" xr:uid="{00000000-0005-0000-0000-000015000000}"/>
    <cellStyle name="Moneda 2 3" xfId="22" xr:uid="{00000000-0005-0000-0000-000016000000}"/>
    <cellStyle name="Moneda 2 4" xfId="23" xr:uid="{00000000-0005-0000-0000-000017000000}"/>
    <cellStyle name="Moneda 3" xfId="24" xr:uid="{00000000-0005-0000-0000-000018000000}"/>
    <cellStyle name="Moneda 4" xfId="25" xr:uid="{00000000-0005-0000-0000-000019000000}"/>
    <cellStyle name="Moneda 5" xfId="26" xr:uid="{00000000-0005-0000-0000-00001A000000}"/>
    <cellStyle name="Moneda 6" xfId="27" xr:uid="{00000000-0005-0000-0000-00001B000000}"/>
    <cellStyle name="Moneda 7" xfId="28" xr:uid="{00000000-0005-0000-0000-00001C000000}"/>
    <cellStyle name="Moneda 8" xfId="29" xr:uid="{00000000-0005-0000-0000-00001D000000}"/>
    <cellStyle name="Moneda 9" xfId="30" xr:uid="{00000000-0005-0000-0000-00001E000000}"/>
    <cellStyle name="Normal" xfId="0" builtinId="0"/>
    <cellStyle name="Normal 2" xfId="31" xr:uid="{00000000-0005-0000-0000-00001F000000}"/>
    <cellStyle name="Normal 2 2" xfId="32" xr:uid="{00000000-0005-0000-0000-000020000000}"/>
    <cellStyle name="Normal 3" xfId="33" xr:uid="{00000000-0005-0000-0000-000021000000}"/>
    <cellStyle name="Normal 4 2" xfId="34" xr:uid="{00000000-0005-0000-0000-000022000000}"/>
    <cellStyle name="Normal 6" xfId="35" xr:uid="{00000000-0005-0000-0000-000023000000}"/>
    <cellStyle name="Porcentaje" xfId="36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4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5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4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0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8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9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8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2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9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0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1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0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1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9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1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1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2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6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7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8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2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3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5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6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7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9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0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3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4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5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6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7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8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2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3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4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5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6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8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9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0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1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2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3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6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7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3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4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5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6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7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PLANTA%20GENERAL\COSTOS%20DEL%20PERSONAL%20PLANTA%20DESDE%20MARZO%202022.xls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CALI\COSTO%20MANIPULADORAS%20ZONA5%20-%20PAE%20CALI%202021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vmlDrawing" Target="../drawings/vmlDrawing6.vml"/><Relationship Id="rId2" Type="http://schemas.openxmlformats.org/officeDocument/2006/relationships/hyperlink" Target="YUMBO\PROYECCION%20COSTOS%20YUMBO%20GAS-MTTO.xlsx" TargetMode="External"/><Relationship Id="rId1" Type="http://schemas.openxmlformats.org/officeDocument/2006/relationships/hyperlink" Target="INFO\Presupuesto%20transporte%202021.xls" TargetMode="External"/><Relationship Id="rId6" Type="http://schemas.openxmlformats.org/officeDocument/2006/relationships/hyperlink" Target="INFO\ASEO%20Y%20BIOSEGURIDAD%20CONTRATOS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FR-SST%2010%20Presupuesto%20UT%20YUMBO%202021.x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NOMINA\INFORMACION%20ENTREGADA-FEB07\COMPARATIVO%20GASTOS%20FIJOS%20BUGA%20-MANIPULADORAS.xlsx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29" t="s">
        <v>165</v>
      </c>
      <c r="B1" s="1030"/>
      <c r="C1" s="1030"/>
      <c r="D1" s="1030"/>
      <c r="E1" s="1030"/>
      <c r="F1" s="1030"/>
    </row>
    <row r="2" spans="1:26" x14ac:dyDescent="0.3">
      <c r="E2" s="142">
        <f>E5/2</f>
        <v>0.10790910912689955</v>
      </c>
      <c r="F2" s="142"/>
      <c r="G2" s="142">
        <f>G5/2</f>
        <v>0.22222222222222221</v>
      </c>
      <c r="H2" s="142"/>
      <c r="I2" s="142">
        <f>I5/2</f>
        <v>0</v>
      </c>
      <c r="J2" s="142"/>
      <c r="K2" s="142" t="e">
        <f>K5/2</f>
        <v>#DIV/0!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3</v>
      </c>
      <c r="C3" s="128" t="s">
        <v>5</v>
      </c>
      <c r="D3" s="128" t="s">
        <v>6</v>
      </c>
      <c r="E3" s="128" t="s">
        <v>5</v>
      </c>
      <c r="F3" s="128" t="s">
        <v>7</v>
      </c>
      <c r="G3" s="128" t="s">
        <v>5</v>
      </c>
      <c r="H3" s="129" t="s">
        <v>8</v>
      </c>
      <c r="I3" s="128" t="s">
        <v>5</v>
      </c>
      <c r="J3" s="129" t="s">
        <v>9</v>
      </c>
      <c r="K3" s="128" t="s">
        <v>5</v>
      </c>
      <c r="L3" s="129" t="s">
        <v>10</v>
      </c>
      <c r="M3" s="128" t="s">
        <v>5</v>
      </c>
      <c r="N3" s="129" t="s">
        <v>11</v>
      </c>
      <c r="O3" s="128" t="s">
        <v>5</v>
      </c>
      <c r="P3" s="129" t="s">
        <v>12</v>
      </c>
      <c r="Q3" s="128" t="s">
        <v>5</v>
      </c>
      <c r="R3" s="129" t="s">
        <v>13</v>
      </c>
      <c r="S3" s="128" t="s">
        <v>5</v>
      </c>
      <c r="T3" s="129" t="s">
        <v>14</v>
      </c>
      <c r="U3" s="128" t="s">
        <v>5</v>
      </c>
      <c r="V3" s="129" t="s">
        <v>15</v>
      </c>
      <c r="W3" s="128" t="s">
        <v>5</v>
      </c>
      <c r="X3" s="129" t="s">
        <v>16</v>
      </c>
      <c r="Y3" s="128" t="s">
        <v>5</v>
      </c>
    </row>
    <row r="4" spans="1:26" ht="20.100000000000001" customHeight="1" x14ac:dyDescent="0.3">
      <c r="A4" s="128" t="s">
        <v>166</v>
      </c>
      <c r="B4" s="124"/>
      <c r="C4" s="121">
        <v>0.15802631527967731</v>
      </c>
      <c r="D4" s="124"/>
      <c r="E4" s="121">
        <v>0.35073588818453111</v>
      </c>
      <c r="F4" s="124">
        <f>CALI!I$12</f>
        <v>1209212200</v>
      </c>
      <c r="G4" s="121">
        <f t="shared" ref="G4:G13" si="0">F4/F$14</f>
        <v>0.55555555555555558</v>
      </c>
      <c r="H4" s="124">
        <f>CALI!L$12</f>
        <v>1209212200</v>
      </c>
      <c r="I4" s="121">
        <f t="shared" ref="I4:I13" si="1">H4/H$14</f>
        <v>1</v>
      </c>
      <c r="J4" s="124">
        <f>CALI!O$12</f>
        <v>0</v>
      </c>
      <c r="K4" s="121" t="e">
        <f t="shared" ref="K4:K13" si="2">J4/J$14</f>
        <v>#DIV/0!</v>
      </c>
      <c r="L4" s="124">
        <f>CALI!R$12</f>
        <v>0</v>
      </c>
      <c r="M4" s="121" t="e">
        <f t="shared" ref="M4:M13" si="3">L4/L$14</f>
        <v>#DIV/0!</v>
      </c>
      <c r="N4" s="124">
        <f>CALI!U$12</f>
        <v>0</v>
      </c>
      <c r="O4" s="121" t="e">
        <f t="shared" ref="O4:O13" si="4">N4/N$14</f>
        <v>#DIV/0!</v>
      </c>
      <c r="P4" s="124">
        <f>CALI!X$12</f>
        <v>0</v>
      </c>
      <c r="Q4" s="121" t="e">
        <f t="shared" ref="Q4:Q13" si="5">P4/P$14</f>
        <v>#DIV/0!</v>
      </c>
      <c r="R4" s="124">
        <f>CALI!AA$12</f>
        <v>0</v>
      </c>
      <c r="S4" s="121" t="e">
        <f t="shared" ref="S4:S13" si="6">R4/R$14</f>
        <v>#DIV/0!</v>
      </c>
      <c r="T4" s="124">
        <f>CALI!AD$12</f>
        <v>0</v>
      </c>
      <c r="U4" s="121" t="e">
        <f t="shared" ref="U4:U13" si="7">T4/T$14</f>
        <v>#DIV/0!</v>
      </c>
      <c r="V4" s="124">
        <f>CALI!AG$12</f>
        <v>0</v>
      </c>
      <c r="W4" s="121" t="e">
        <f t="shared" ref="W4:W13" si="8">V4/V$14</f>
        <v>#DIV/0!</v>
      </c>
      <c r="X4" s="124">
        <f>CALI!AJ$12</f>
        <v>0</v>
      </c>
      <c r="Y4" s="121" t="e">
        <f t="shared" ref="Y4:Y13" si="9">X4/X$14</f>
        <v>#DIV/0!</v>
      </c>
      <c r="Z4" s="142">
        <v>8.23314738453476E-2</v>
      </c>
    </row>
    <row r="5" spans="1:26" ht="20.100000000000001" customHeight="1" x14ac:dyDescent="0.3">
      <c r="A5" s="128" t="s">
        <v>167</v>
      </c>
      <c r="B5" s="124"/>
      <c r="C5" s="121">
        <v>9.2315605131324557E-2</v>
      </c>
      <c r="D5" s="124"/>
      <c r="E5" s="121">
        <v>0.2158182182537991</v>
      </c>
      <c r="F5" s="124">
        <f>YUMBO!I$12</f>
        <v>967369760</v>
      </c>
      <c r="G5" s="121">
        <f t="shared" si="0"/>
        <v>0.44444444444444442</v>
      </c>
      <c r="H5" s="124">
        <f>YUMBO!L$12</f>
        <v>0</v>
      </c>
      <c r="I5" s="121">
        <f t="shared" si="1"/>
        <v>0</v>
      </c>
      <c r="J5" s="124">
        <f>YUMBO!O$12</f>
        <v>0</v>
      </c>
      <c r="K5" s="121" t="e">
        <f t="shared" si="2"/>
        <v>#DIV/0!</v>
      </c>
      <c r="L5" s="124">
        <f>YUMBO!R$12</f>
        <v>0</v>
      </c>
      <c r="M5" s="121" t="e">
        <f t="shared" si="3"/>
        <v>#DIV/0!</v>
      </c>
      <c r="N5" s="124">
        <f>YUMBO!U$12</f>
        <v>0</v>
      </c>
      <c r="O5" s="121" t="e">
        <f t="shared" si="4"/>
        <v>#DIV/0!</v>
      </c>
      <c r="P5" s="124">
        <f>YUMBO!X$12</f>
        <v>0</v>
      </c>
      <c r="Q5" s="121" t="e">
        <f t="shared" si="5"/>
        <v>#DIV/0!</v>
      </c>
      <c r="R5" s="124">
        <f>YUMBO!AA$12</f>
        <v>0</v>
      </c>
      <c r="S5" s="121" t="e">
        <f t="shared" si="6"/>
        <v>#DIV/0!</v>
      </c>
      <c r="T5" s="124">
        <f>YUMBO!AD$12</f>
        <v>0</v>
      </c>
      <c r="U5" s="121" t="e">
        <f t="shared" si="7"/>
        <v>#DIV/0!</v>
      </c>
      <c r="V5" s="124">
        <f>YUMBO!AG$12</f>
        <v>0</v>
      </c>
      <c r="W5" s="121" t="e">
        <f t="shared" si="8"/>
        <v>#DIV/0!</v>
      </c>
      <c r="X5" s="124">
        <f>YUMBO!AJ$12</f>
        <v>0</v>
      </c>
      <c r="Y5" s="121" t="e">
        <f t="shared" si="9"/>
        <v>#DIV/0!</v>
      </c>
      <c r="Z5" s="142">
        <v>0.15465756919639781</v>
      </c>
    </row>
    <row r="6" spans="1:26" ht="20.100000000000001" customHeight="1" x14ac:dyDescent="0.3">
      <c r="A6" s="128" t="s">
        <v>168</v>
      </c>
      <c r="B6" s="124"/>
      <c r="C6" s="121">
        <v>0</v>
      </c>
      <c r="D6" s="122"/>
      <c r="E6" s="121">
        <v>0</v>
      </c>
      <c r="F6" s="122"/>
      <c r="G6" s="121">
        <f t="shared" si="0"/>
        <v>0</v>
      </c>
      <c r="H6" s="122"/>
      <c r="I6" s="121">
        <f t="shared" si="1"/>
        <v>0</v>
      </c>
      <c r="J6" s="122"/>
      <c r="K6" s="121" t="e">
        <f t="shared" si="2"/>
        <v>#DIV/0!</v>
      </c>
      <c r="L6" s="122"/>
      <c r="M6" s="121" t="e">
        <f t="shared" si="3"/>
        <v>#DIV/0!</v>
      </c>
      <c r="N6" s="122"/>
      <c r="O6" s="121" t="e">
        <f t="shared" si="4"/>
        <v>#DIV/0!</v>
      </c>
      <c r="P6" s="122"/>
      <c r="Q6" s="121" t="e">
        <f t="shared" si="5"/>
        <v>#DIV/0!</v>
      </c>
      <c r="R6" s="122"/>
      <c r="S6" s="121" t="e">
        <f t="shared" si="6"/>
        <v>#DIV/0!</v>
      </c>
      <c r="T6" s="122"/>
      <c r="U6" s="121" t="e">
        <f t="shared" si="7"/>
        <v>#DIV/0!</v>
      </c>
      <c r="V6" s="122"/>
      <c r="W6" s="121" t="e">
        <f t="shared" si="8"/>
        <v>#DIV/0!</v>
      </c>
      <c r="X6" s="122"/>
      <c r="Y6" s="121" t="e">
        <f t="shared" si="9"/>
        <v>#DIV/0!</v>
      </c>
      <c r="Z6" s="142">
        <v>0</v>
      </c>
    </row>
    <row r="7" spans="1:26" ht="20.100000000000001" customHeight="1" x14ac:dyDescent="0.3">
      <c r="A7" s="128" t="s">
        <v>169</v>
      </c>
      <c r="B7" s="124"/>
      <c r="C7" s="121">
        <v>0</v>
      </c>
      <c r="D7" s="124"/>
      <c r="E7" s="121">
        <v>0</v>
      </c>
      <c r="F7" s="124"/>
      <c r="G7" s="121">
        <f t="shared" si="0"/>
        <v>0</v>
      </c>
      <c r="H7" s="124"/>
      <c r="I7" s="121">
        <f t="shared" si="1"/>
        <v>0</v>
      </c>
      <c r="J7" s="124"/>
      <c r="K7" s="121" t="e">
        <f t="shared" si="2"/>
        <v>#DIV/0!</v>
      </c>
      <c r="L7" s="124"/>
      <c r="M7" s="121" t="e">
        <f t="shared" si="3"/>
        <v>#DIV/0!</v>
      </c>
      <c r="N7" s="124"/>
      <c r="O7" s="121" t="e">
        <f t="shared" si="4"/>
        <v>#DIV/0!</v>
      </c>
      <c r="P7" s="124"/>
      <c r="Q7" s="121" t="e">
        <f t="shared" si="5"/>
        <v>#DIV/0!</v>
      </c>
      <c r="R7" s="124"/>
      <c r="S7" s="121" t="e">
        <f t="shared" si="6"/>
        <v>#DIV/0!</v>
      </c>
      <c r="T7" s="124"/>
      <c r="U7" s="121" t="e">
        <f t="shared" si="7"/>
        <v>#DIV/0!</v>
      </c>
      <c r="V7" s="124"/>
      <c r="W7" s="121" t="e">
        <f t="shared" si="8"/>
        <v>#DIV/0!</v>
      </c>
      <c r="X7" s="124"/>
      <c r="Y7" s="121" t="e">
        <f t="shared" si="9"/>
        <v>#DIV/0!</v>
      </c>
      <c r="Z7" s="142">
        <v>0</v>
      </c>
    </row>
    <row r="8" spans="1:26" ht="20.100000000000001" customHeight="1" x14ac:dyDescent="0.3">
      <c r="A8" s="129" t="s">
        <v>170</v>
      </c>
      <c r="B8" s="124"/>
      <c r="C8" s="121">
        <v>0</v>
      </c>
      <c r="D8" s="124"/>
      <c r="E8" s="121">
        <v>0</v>
      </c>
      <c r="F8" s="124">
        <f>HUNGRIA!I$12</f>
        <v>0</v>
      </c>
      <c r="G8" s="121">
        <f t="shared" si="0"/>
        <v>0</v>
      </c>
      <c r="H8" s="124">
        <f>HUNGRIA!L$5</f>
        <v>0</v>
      </c>
      <c r="I8" s="121">
        <f t="shared" si="1"/>
        <v>0</v>
      </c>
      <c r="J8" s="124">
        <f>HUNGRIA!O$5</f>
        <v>0</v>
      </c>
      <c r="K8" s="121" t="e">
        <f t="shared" si="2"/>
        <v>#DIV/0!</v>
      </c>
      <c r="L8" s="124">
        <f>HUNGRIA!R$12</f>
        <v>0</v>
      </c>
      <c r="M8" s="121" t="e">
        <f t="shared" si="3"/>
        <v>#DIV/0!</v>
      </c>
      <c r="N8" s="124">
        <f>HUNGRIA!U$12</f>
        <v>0</v>
      </c>
      <c r="O8" s="121" t="e">
        <f t="shared" si="4"/>
        <v>#DIV/0!</v>
      </c>
      <c r="P8" s="124">
        <f>HUNGRIA!X$12</f>
        <v>0</v>
      </c>
      <c r="Q8" s="121" t="e">
        <f t="shared" si="5"/>
        <v>#DIV/0!</v>
      </c>
      <c r="R8" s="124">
        <f>HUNGRIA!AA$12</f>
        <v>0</v>
      </c>
      <c r="S8" s="121" t="e">
        <f t="shared" si="6"/>
        <v>#DIV/0!</v>
      </c>
      <c r="T8" s="124">
        <f>HUNGRIA!AD$12</f>
        <v>0</v>
      </c>
      <c r="U8" s="121" t="e">
        <f t="shared" si="7"/>
        <v>#DIV/0!</v>
      </c>
      <c r="V8" s="124">
        <f>HUNGRIA!AG$12</f>
        <v>0</v>
      </c>
      <c r="W8" s="121" t="e">
        <f t="shared" si="8"/>
        <v>#DIV/0!</v>
      </c>
      <c r="X8" s="124">
        <f>HUNGRIA!AJ$12</f>
        <v>0</v>
      </c>
      <c r="Y8" s="121" t="e">
        <f t="shared" si="9"/>
        <v>#DIV/0!</v>
      </c>
      <c r="Z8" s="142"/>
    </row>
    <row r="9" spans="1:26" ht="20.100000000000001" customHeight="1" x14ac:dyDescent="0.3">
      <c r="A9" s="129" t="s">
        <v>171</v>
      </c>
      <c r="B9" s="124"/>
      <c r="C9" s="121">
        <v>0.72757370176791258</v>
      </c>
      <c r="D9" s="124"/>
      <c r="E9" s="121">
        <v>0.42310872973485181</v>
      </c>
      <c r="F9" s="124">
        <f>'COMEDORES CALI'!$I$12</f>
        <v>0</v>
      </c>
      <c r="G9" s="121">
        <f t="shared" si="0"/>
        <v>0</v>
      </c>
      <c r="H9" s="124">
        <f>'COMEDORES CALI'!$L$12</f>
        <v>0</v>
      </c>
      <c r="I9" s="121">
        <f t="shared" si="1"/>
        <v>0</v>
      </c>
      <c r="J9" s="124">
        <f>'COMEDORES CALI'!O$12</f>
        <v>0</v>
      </c>
      <c r="K9" s="121" t="e">
        <f t="shared" si="2"/>
        <v>#DIV/0!</v>
      </c>
      <c r="L9" s="124">
        <f>'COMEDORES CALI'!R$12</f>
        <v>0</v>
      </c>
      <c r="M9" s="121" t="e">
        <f t="shared" si="3"/>
        <v>#DIV/0!</v>
      </c>
      <c r="N9" s="124">
        <f>'COMEDORES CALI'!U$12</f>
        <v>0</v>
      </c>
      <c r="O9" s="121" t="e">
        <f t="shared" si="4"/>
        <v>#DIV/0!</v>
      </c>
      <c r="P9" s="124">
        <f>'COMEDORES CALI'!X$12</f>
        <v>0</v>
      </c>
      <c r="Q9" s="121" t="e">
        <f t="shared" si="5"/>
        <v>#DIV/0!</v>
      </c>
      <c r="R9" s="124">
        <f>'COMEDORES CALI'!AA$12</f>
        <v>0</v>
      </c>
      <c r="S9" s="121" t="e">
        <f t="shared" si="6"/>
        <v>#DIV/0!</v>
      </c>
      <c r="T9" s="124">
        <f>'COMEDORES CALI'!AD$12</f>
        <v>0</v>
      </c>
      <c r="U9" s="121" t="e">
        <f t="shared" si="7"/>
        <v>#DIV/0!</v>
      </c>
      <c r="V9" s="124">
        <f>'COMEDORES CALI'!AG$12</f>
        <v>0</v>
      </c>
      <c r="W9" s="121" t="e">
        <f t="shared" si="8"/>
        <v>#DIV/0!</v>
      </c>
      <c r="X9" s="124">
        <f>'COMEDORES CALI'!AJ$12</f>
        <v>0</v>
      </c>
      <c r="Y9" s="121" t="e">
        <f t="shared" si="9"/>
        <v>#DIV/0!</v>
      </c>
      <c r="Z9" s="142">
        <v>2.8283639723628139E-2</v>
      </c>
    </row>
    <row r="10" spans="1:26" ht="20.100000000000001" customHeight="1" x14ac:dyDescent="0.3">
      <c r="A10" s="129" t="s">
        <v>172</v>
      </c>
      <c r="B10" s="124"/>
      <c r="C10" s="121"/>
      <c r="D10" s="124"/>
      <c r="E10" s="121"/>
      <c r="F10" s="124"/>
      <c r="G10" s="121">
        <f t="shared" si="0"/>
        <v>0</v>
      </c>
      <c r="H10" s="124"/>
      <c r="I10" s="121">
        <f t="shared" si="1"/>
        <v>0</v>
      </c>
      <c r="J10" s="124"/>
      <c r="K10" s="121" t="e">
        <f t="shared" si="2"/>
        <v>#DIV/0!</v>
      </c>
      <c r="L10" s="124"/>
      <c r="M10" s="121" t="e">
        <f t="shared" si="3"/>
        <v>#DIV/0!</v>
      </c>
      <c r="N10" s="124"/>
      <c r="O10" s="121" t="e">
        <f t="shared" si="4"/>
        <v>#DIV/0!</v>
      </c>
      <c r="P10" s="124"/>
      <c r="Q10" s="121" t="e">
        <f t="shared" si="5"/>
        <v>#DIV/0!</v>
      </c>
      <c r="R10" s="124"/>
      <c r="S10" s="121" t="e">
        <f t="shared" si="6"/>
        <v>#DIV/0!</v>
      </c>
      <c r="T10" s="124"/>
      <c r="U10" s="121" t="e">
        <f t="shared" si="7"/>
        <v>#DIV/0!</v>
      </c>
      <c r="V10" s="124"/>
      <c r="W10" s="121" t="e">
        <f t="shared" si="8"/>
        <v>#DIV/0!</v>
      </c>
      <c r="X10" s="124"/>
      <c r="Y10" s="121" t="e">
        <f t="shared" si="9"/>
        <v>#DIV/0!</v>
      </c>
      <c r="Z10" s="142">
        <v>1.292907283032919E-3</v>
      </c>
    </row>
    <row r="11" spans="1:26" ht="20.100000000000001" customHeight="1" x14ac:dyDescent="0.3">
      <c r="A11" s="389" t="s">
        <v>173</v>
      </c>
      <c r="B11" s="124"/>
      <c r="C11" s="121">
        <v>2.2084377821085549E-2</v>
      </c>
      <c r="D11" s="124"/>
      <c r="E11" s="121">
        <v>1.033716382681805E-2</v>
      </c>
      <c r="F11" s="124">
        <f>'COMEDORES PALMIRA'!I$12</f>
        <v>0</v>
      </c>
      <c r="G11" s="121">
        <f t="shared" si="0"/>
        <v>0</v>
      </c>
      <c r="H11" s="124">
        <f>'COMEDORES PALMIRA'!L$12</f>
        <v>0</v>
      </c>
      <c r="I11" s="121">
        <f t="shared" si="1"/>
        <v>0</v>
      </c>
      <c r="J11" s="124">
        <f>'COMEDORES PALMIRA'!O$12</f>
        <v>0</v>
      </c>
      <c r="K11" s="121" t="e">
        <f t="shared" si="2"/>
        <v>#DIV/0!</v>
      </c>
      <c r="L11" s="124">
        <f>'COMEDORES PALMIRA'!R$12</f>
        <v>0</v>
      </c>
      <c r="M11" s="121" t="e">
        <f t="shared" si="3"/>
        <v>#DIV/0!</v>
      </c>
      <c r="N11" s="124">
        <f>'COMEDORES PALMIRA'!U$12</f>
        <v>0</v>
      </c>
      <c r="O11" s="121" t="e">
        <f t="shared" si="4"/>
        <v>#DIV/0!</v>
      </c>
      <c r="P11" s="124">
        <f>'COMEDORES PALMIRA'!X$12</f>
        <v>0</v>
      </c>
      <c r="Q11" s="121" t="e">
        <f t="shared" si="5"/>
        <v>#DIV/0!</v>
      </c>
      <c r="R11" s="124">
        <f>'COMEDORES PALMIRA'!AA$12</f>
        <v>0</v>
      </c>
      <c r="S11" s="121" t="e">
        <f t="shared" si="6"/>
        <v>#DIV/0!</v>
      </c>
      <c r="T11" s="124">
        <f>'COMEDORES PALMIRA'!AD$12</f>
        <v>0</v>
      </c>
      <c r="U11" s="121" t="e">
        <f t="shared" si="7"/>
        <v>#DIV/0!</v>
      </c>
      <c r="V11" s="124">
        <f>'COMEDORES PALMIRA'!$AG$12</f>
        <v>0</v>
      </c>
      <c r="W11" s="121" t="e">
        <f t="shared" si="8"/>
        <v>#DIV/0!</v>
      </c>
      <c r="X11" s="124">
        <f>'COMEDORES PALMIRA'!$AJ$12</f>
        <v>0</v>
      </c>
      <c r="Y11" s="121" t="e">
        <f t="shared" si="9"/>
        <v>#DIV/0!</v>
      </c>
      <c r="Z11" s="142">
        <v>2.9041283391485428E-2</v>
      </c>
    </row>
    <row r="12" spans="1:26" ht="20.100000000000001" customHeight="1" x14ac:dyDescent="0.3">
      <c r="A12" s="389" t="s">
        <v>174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>
        <f t="shared" si="0"/>
        <v>0</v>
      </c>
      <c r="H12" s="124">
        <f>'ADULTO MAYOR'!L$12*20</f>
        <v>0</v>
      </c>
      <c r="I12" s="121">
        <f t="shared" si="1"/>
        <v>0</v>
      </c>
      <c r="J12" s="124">
        <f>'ADULTO MAYOR'!O$12*20</f>
        <v>0</v>
      </c>
      <c r="K12" s="121" t="e">
        <f t="shared" si="2"/>
        <v>#DIV/0!</v>
      </c>
      <c r="L12" s="124">
        <f>'ADULTO MAYOR'!R$12*20</f>
        <v>0</v>
      </c>
      <c r="M12" s="121" t="e">
        <f t="shared" si="3"/>
        <v>#DIV/0!</v>
      </c>
      <c r="N12" s="124">
        <f>'ADULTO MAYOR'!U$12*20</f>
        <v>0</v>
      </c>
      <c r="O12" s="121" t="e">
        <f t="shared" si="4"/>
        <v>#DIV/0!</v>
      </c>
      <c r="P12" s="124">
        <f>'ADULTO MAYOR'!X$12*20</f>
        <v>0</v>
      </c>
      <c r="Q12" s="121" t="e">
        <f t="shared" si="5"/>
        <v>#DIV/0!</v>
      </c>
      <c r="R12" s="124">
        <f>'ADULTO MAYOR'!AA$12*20</f>
        <v>0</v>
      </c>
      <c r="S12" s="121" t="e">
        <f t="shared" si="6"/>
        <v>#DIV/0!</v>
      </c>
      <c r="T12" s="124">
        <f>'ADULTO MAYOR'!AD$12*20</f>
        <v>0</v>
      </c>
      <c r="U12" s="121" t="e">
        <f t="shared" si="7"/>
        <v>#DIV/0!</v>
      </c>
      <c r="V12" s="124">
        <f>'ADULTO MAYOR'!AG$12*20</f>
        <v>0</v>
      </c>
      <c r="W12" s="121" t="e">
        <f t="shared" si="8"/>
        <v>#DIV/0!</v>
      </c>
      <c r="X12" s="124">
        <f>'ADULTO MAYOR'!AJ$12*20</f>
        <v>0</v>
      </c>
      <c r="Y12" s="121" t="e">
        <f t="shared" si="9"/>
        <v>#DIV/0!</v>
      </c>
      <c r="Z12" s="142">
        <v>0.6733633517673181</v>
      </c>
    </row>
    <row r="13" spans="1:26" ht="20.100000000000001" customHeight="1" x14ac:dyDescent="0.3">
      <c r="A13" s="389" t="s">
        <v>175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>
        <f t="shared" si="0"/>
        <v>0</v>
      </c>
      <c r="H13" s="124">
        <f>IMDERTY!L$12</f>
        <v>0</v>
      </c>
      <c r="I13" s="121">
        <f t="shared" si="1"/>
        <v>0</v>
      </c>
      <c r="J13" s="124">
        <f>IMDERTY!O$12</f>
        <v>0</v>
      </c>
      <c r="K13" s="121" t="e">
        <f t="shared" si="2"/>
        <v>#DIV/0!</v>
      </c>
      <c r="L13" s="124">
        <f>IMDERTY!R$12</f>
        <v>0</v>
      </c>
      <c r="M13" s="121" t="e">
        <f t="shared" si="3"/>
        <v>#DIV/0!</v>
      </c>
      <c r="N13" s="124">
        <f>IMDERTY!$U$12</f>
        <v>0</v>
      </c>
      <c r="O13" s="121" t="e">
        <f t="shared" si="4"/>
        <v>#DIV/0!</v>
      </c>
      <c r="P13" s="124">
        <f>IMDERTY!X$12</f>
        <v>0</v>
      </c>
      <c r="Q13" s="121" t="e">
        <f t="shared" si="5"/>
        <v>#DIV/0!</v>
      </c>
      <c r="R13" s="122">
        <f>IMDERTY!AA$12</f>
        <v>0</v>
      </c>
      <c r="S13" s="121" t="e">
        <f t="shared" si="6"/>
        <v>#DIV/0!</v>
      </c>
      <c r="T13" s="124">
        <f>IMDERTY!AD$12</f>
        <v>0</v>
      </c>
      <c r="U13" s="121" t="e">
        <f t="shared" si="7"/>
        <v>#DIV/0!</v>
      </c>
      <c r="V13" s="124">
        <f>IMDERTY!AG$12</f>
        <v>0</v>
      </c>
      <c r="W13" s="121" t="e">
        <f t="shared" si="8"/>
        <v>#DIV/0!</v>
      </c>
      <c r="X13" s="124">
        <f>IMDERTY!AJ$12</f>
        <v>0</v>
      </c>
      <c r="Y13" s="121" t="e">
        <f t="shared" si="9"/>
        <v>#DIV/0!</v>
      </c>
      <c r="Z13" s="142">
        <v>3.1029774792790059E-2</v>
      </c>
    </row>
    <row r="14" spans="1:26" ht="20.100000000000001" customHeight="1" x14ac:dyDescent="0.3">
      <c r="B14" s="131">
        <f t="shared" ref="B14:Y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1</v>
      </c>
      <c r="F14" s="131">
        <f t="shared" si="10"/>
        <v>2176581960</v>
      </c>
      <c r="G14" s="130">
        <f t="shared" si="10"/>
        <v>1</v>
      </c>
      <c r="H14" s="131">
        <f t="shared" si="10"/>
        <v>1209212200</v>
      </c>
      <c r="I14" s="130">
        <f t="shared" si="10"/>
        <v>1</v>
      </c>
      <c r="J14" s="131">
        <f t="shared" si="10"/>
        <v>0</v>
      </c>
      <c r="K14" s="130" t="e">
        <f t="shared" si="10"/>
        <v>#DIV/0!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 t="shared" si="10"/>
        <v>#DIV/0!</v>
      </c>
    </row>
    <row r="16" spans="1:26" x14ac:dyDescent="0.3">
      <c r="F16" s="449"/>
      <c r="I16" s="448"/>
      <c r="J16" s="610"/>
    </row>
    <row r="17" spans="1:27" ht="15.6" customHeight="1" x14ac:dyDescent="0.3">
      <c r="A17" s="363" t="s">
        <v>176</v>
      </c>
    </row>
    <row r="19" spans="1:27" ht="20.100000000000001" customHeight="1" x14ac:dyDescent="0.3">
      <c r="A19" s="120"/>
      <c r="B19" s="358" t="s">
        <v>3</v>
      </c>
      <c r="C19" s="358"/>
      <c r="D19" s="358" t="s">
        <v>6</v>
      </c>
      <c r="E19" s="358"/>
      <c r="F19" s="358" t="s">
        <v>7</v>
      </c>
      <c r="G19" s="358"/>
      <c r="H19" s="359" t="s">
        <v>8</v>
      </c>
      <c r="I19" s="358"/>
      <c r="J19" s="359" t="s">
        <v>9</v>
      </c>
      <c r="K19" s="358"/>
      <c r="L19" s="359" t="s">
        <v>10</v>
      </c>
      <c r="M19" s="358"/>
      <c r="N19" s="359" t="s">
        <v>11</v>
      </c>
      <c r="O19" s="358"/>
      <c r="P19" s="359" t="s">
        <v>12</v>
      </c>
      <c r="Q19" s="358"/>
      <c r="R19" s="359" t="s">
        <v>13</v>
      </c>
      <c r="S19" s="358"/>
      <c r="T19" s="359" t="s">
        <v>14</v>
      </c>
      <c r="U19" s="358"/>
      <c r="V19" s="359" t="s">
        <v>15</v>
      </c>
      <c r="W19" s="358"/>
      <c r="X19" s="359" t="s">
        <v>16</v>
      </c>
      <c r="Y19" s="358"/>
    </row>
    <row r="20" spans="1:27" ht="20.100000000000001" customHeight="1" x14ac:dyDescent="0.3">
      <c r="A20" s="358" t="s">
        <v>166</v>
      </c>
      <c r="B20" s="539">
        <v>0.22</v>
      </c>
      <c r="C20" s="121"/>
      <c r="D20" s="539">
        <v>0.68500000000000005</v>
      </c>
      <c r="E20" s="121"/>
      <c r="F20" s="539">
        <v>0.64</v>
      </c>
      <c r="G20" s="123"/>
      <c r="H20" s="539">
        <v>0.56499999999999995</v>
      </c>
      <c r="I20" s="121"/>
      <c r="J20" s="361">
        <v>0.47</v>
      </c>
      <c r="K20" s="121"/>
      <c r="L20" s="361">
        <v>0.6</v>
      </c>
      <c r="M20" s="121"/>
      <c r="N20" s="539">
        <v>0.23</v>
      </c>
      <c r="O20" s="121"/>
      <c r="P20" s="539">
        <v>0.495</v>
      </c>
      <c r="Q20" s="395"/>
      <c r="R20" s="539">
        <v>0.53</v>
      </c>
      <c r="S20" s="121"/>
      <c r="T20" s="539">
        <v>0.38</v>
      </c>
      <c r="U20" s="121"/>
      <c r="V20" s="539">
        <v>0.52</v>
      </c>
      <c r="W20" s="121"/>
      <c r="X20" s="361"/>
      <c r="Y20" s="121"/>
      <c r="AA20" s="361">
        <v>0.2</v>
      </c>
    </row>
    <row r="21" spans="1:27" ht="20.100000000000001" customHeight="1" x14ac:dyDescent="0.3">
      <c r="A21" s="358" t="s">
        <v>167</v>
      </c>
      <c r="B21" s="539">
        <v>7.4999999999999997E-2</v>
      </c>
      <c r="C21" s="121"/>
      <c r="D21" s="539">
        <v>0.2</v>
      </c>
      <c r="E21" s="121"/>
      <c r="F21" s="539">
        <v>0.18</v>
      </c>
      <c r="G21" s="123"/>
      <c r="H21" s="539">
        <v>0.19</v>
      </c>
      <c r="I21" s="121"/>
      <c r="J21" s="361">
        <v>0.19</v>
      </c>
      <c r="K21" s="121"/>
      <c r="L21" s="361">
        <v>0.09</v>
      </c>
      <c r="M21" s="121"/>
      <c r="N21" s="539">
        <v>0.13</v>
      </c>
      <c r="O21" s="121"/>
      <c r="P21" s="539">
        <v>0.17499999999999999</v>
      </c>
      <c r="Q21" s="395"/>
      <c r="R21" s="539">
        <v>0.16</v>
      </c>
      <c r="S21" s="121"/>
      <c r="T21" s="539">
        <v>0.12</v>
      </c>
      <c r="U21" s="121"/>
      <c r="V21" s="539">
        <v>0.2</v>
      </c>
      <c r="W21" s="121"/>
      <c r="X21" s="361"/>
      <c r="Y21" s="121"/>
      <c r="AA21" s="361"/>
    </row>
    <row r="22" spans="1:27" ht="20.100000000000001" customHeight="1" x14ac:dyDescent="0.3">
      <c r="A22" s="358" t="s">
        <v>168</v>
      </c>
      <c r="B22" s="361"/>
      <c r="C22" s="121"/>
      <c r="D22" s="539"/>
      <c r="E22" s="121"/>
      <c r="F22" s="539"/>
      <c r="G22" s="123"/>
      <c r="H22" s="539"/>
      <c r="I22" s="121"/>
      <c r="J22" s="539"/>
      <c r="K22" s="121"/>
      <c r="L22" s="539"/>
      <c r="M22" s="121"/>
      <c r="N22" s="361"/>
      <c r="O22" s="121"/>
      <c r="P22" s="539"/>
      <c r="Q22" s="396"/>
      <c r="R22" s="539"/>
      <c r="S22" s="121"/>
      <c r="T22" s="539"/>
      <c r="U22" s="121"/>
      <c r="V22" s="539"/>
      <c r="W22" s="121"/>
      <c r="X22" s="361"/>
      <c r="Y22" s="121"/>
      <c r="AA22" s="361"/>
    </row>
    <row r="23" spans="1:27" ht="20.100000000000001" customHeight="1" x14ac:dyDescent="0.3">
      <c r="A23" s="358" t="s">
        <v>169</v>
      </c>
      <c r="B23" s="361">
        <v>1.4999999999999999E-2</v>
      </c>
      <c r="C23" s="121"/>
      <c r="D23" s="539">
        <v>0.02</v>
      </c>
      <c r="E23" s="121"/>
      <c r="F23" s="539">
        <v>0.02</v>
      </c>
      <c r="G23" s="123"/>
      <c r="H23" s="539">
        <v>3.5000000000000003E-2</v>
      </c>
      <c r="I23" s="121"/>
      <c r="J23" s="361">
        <v>0.04</v>
      </c>
      <c r="K23" s="121"/>
      <c r="L23" s="361">
        <v>0.02</v>
      </c>
      <c r="M23" s="121"/>
      <c r="N23" s="361">
        <v>0.01</v>
      </c>
      <c r="O23" s="121"/>
      <c r="P23" s="539">
        <v>1.4999999999999999E-2</v>
      </c>
      <c r="Q23" s="121"/>
      <c r="R23" s="539">
        <v>0.01</v>
      </c>
      <c r="S23" s="121"/>
      <c r="T23" s="539">
        <v>0.02</v>
      </c>
      <c r="U23" s="121"/>
      <c r="V23" s="539">
        <v>0.01</v>
      </c>
      <c r="W23" s="121"/>
      <c r="X23" s="361"/>
      <c r="Y23" s="121"/>
      <c r="AA23" s="361">
        <v>0.15</v>
      </c>
    </row>
    <row r="24" spans="1:27" ht="20.100000000000001" customHeight="1" x14ac:dyDescent="0.3">
      <c r="A24" s="358" t="s">
        <v>170</v>
      </c>
      <c r="B24" s="361"/>
      <c r="C24" s="121"/>
      <c r="D24" s="539"/>
      <c r="E24" s="121"/>
      <c r="F24" s="539"/>
      <c r="G24" s="123"/>
      <c r="H24" s="539"/>
      <c r="I24" s="121"/>
      <c r="J24" s="361"/>
      <c r="K24" s="121"/>
      <c r="L24" s="361"/>
      <c r="M24" s="121"/>
      <c r="N24" s="361"/>
      <c r="O24" s="121"/>
      <c r="P24" s="539"/>
      <c r="Q24" s="396"/>
      <c r="R24" s="539"/>
      <c r="S24" s="121"/>
      <c r="T24" s="539"/>
      <c r="U24" s="121"/>
      <c r="V24" s="539"/>
      <c r="W24" s="121"/>
      <c r="X24" s="361"/>
      <c r="Y24" s="121"/>
      <c r="AA24" s="361">
        <v>0.55000000000000004</v>
      </c>
    </row>
    <row r="25" spans="1:27" ht="20.100000000000001" customHeight="1" x14ac:dyDescent="0.3">
      <c r="A25" s="358" t="s">
        <v>171</v>
      </c>
      <c r="B25" s="361">
        <v>0.67</v>
      </c>
      <c r="C25" s="121"/>
      <c r="D25" s="539">
        <v>8.5000000000000006E-2</v>
      </c>
      <c r="E25" s="121"/>
      <c r="F25" s="539">
        <v>0.16</v>
      </c>
      <c r="G25" s="123"/>
      <c r="H25" s="539">
        <v>0.17499999999999999</v>
      </c>
      <c r="I25" s="121"/>
      <c r="J25" s="361">
        <v>0.1</v>
      </c>
      <c r="K25" s="121"/>
      <c r="L25" s="361">
        <v>0.09</v>
      </c>
      <c r="M25" s="121"/>
      <c r="N25" s="361">
        <v>0.32</v>
      </c>
      <c r="O25" s="121"/>
      <c r="P25" s="539">
        <v>0.115</v>
      </c>
      <c r="Q25" s="395"/>
      <c r="R25" s="539">
        <v>0.13</v>
      </c>
      <c r="S25" s="121"/>
      <c r="T25" s="539">
        <v>0.21</v>
      </c>
      <c r="U25" s="121"/>
      <c r="V25" s="539">
        <v>0.09</v>
      </c>
      <c r="W25" s="121"/>
      <c r="X25" s="361">
        <v>0.89</v>
      </c>
      <c r="Y25" s="121"/>
      <c r="AA25" s="361"/>
    </row>
    <row r="26" spans="1:27" ht="20.100000000000001" customHeight="1" x14ac:dyDescent="0.3">
      <c r="A26" s="358" t="s">
        <v>172</v>
      </c>
      <c r="B26" s="361"/>
      <c r="C26" s="121"/>
      <c r="D26" s="539"/>
      <c r="E26" s="121"/>
      <c r="F26" s="539"/>
      <c r="G26" s="123"/>
      <c r="H26" s="539"/>
      <c r="I26" s="121"/>
      <c r="J26" s="539">
        <v>0.17</v>
      </c>
      <c r="K26" s="121"/>
      <c r="L26" s="539">
        <v>0.15</v>
      </c>
      <c r="M26" s="121"/>
      <c r="N26" s="361">
        <v>0.25</v>
      </c>
      <c r="O26" s="121"/>
      <c r="P26" s="539">
        <v>0.15</v>
      </c>
      <c r="Q26" s="395"/>
      <c r="R26" s="539">
        <v>0.13</v>
      </c>
      <c r="S26" s="121"/>
      <c r="T26" s="539">
        <v>0.15</v>
      </c>
      <c r="U26" s="121"/>
      <c r="V26" s="539">
        <v>0.15</v>
      </c>
      <c r="W26" s="121"/>
      <c r="X26" s="361"/>
      <c r="Y26" s="121"/>
      <c r="AA26" s="361">
        <v>0.04</v>
      </c>
    </row>
    <row r="27" spans="1:27" ht="20.100000000000001" customHeight="1" x14ac:dyDescent="0.3">
      <c r="A27" s="358" t="s">
        <v>173</v>
      </c>
      <c r="B27" s="361">
        <v>0.02</v>
      </c>
      <c r="C27" s="121"/>
      <c r="D27" s="539">
        <v>0.01</v>
      </c>
      <c r="E27" s="121"/>
      <c r="F27" s="539"/>
      <c r="G27" s="123"/>
      <c r="H27" s="361"/>
      <c r="I27" s="121"/>
      <c r="J27" s="539"/>
      <c r="K27" s="121"/>
      <c r="L27" s="539"/>
      <c r="M27" s="121"/>
      <c r="N27" s="361">
        <v>0.01</v>
      </c>
      <c r="O27" s="121"/>
      <c r="P27" s="539">
        <v>5.0000000000000001E-3</v>
      </c>
      <c r="Q27" s="395"/>
      <c r="R27" s="539">
        <v>0.03</v>
      </c>
      <c r="S27" s="121"/>
      <c r="T27" s="539">
        <v>0.04</v>
      </c>
      <c r="U27" s="121"/>
      <c r="V27" s="539">
        <v>0.03</v>
      </c>
      <c r="W27" s="121"/>
      <c r="X27" s="361">
        <v>0.11</v>
      </c>
      <c r="Y27" s="121"/>
      <c r="AA27" s="361"/>
    </row>
    <row r="28" spans="1:27" ht="20.100000000000001" customHeight="1" x14ac:dyDescent="0.3">
      <c r="A28" s="358" t="s">
        <v>174</v>
      </c>
      <c r="B28" s="361"/>
      <c r="C28" s="121"/>
      <c r="D28" s="539"/>
      <c r="E28" s="121"/>
      <c r="F28" s="539"/>
      <c r="G28" s="123"/>
      <c r="H28" s="539">
        <v>3.5000000000000003E-2</v>
      </c>
      <c r="I28" s="121"/>
      <c r="J28" s="361">
        <v>0.03</v>
      </c>
      <c r="K28" s="121"/>
      <c r="L28" s="361">
        <v>0.05</v>
      </c>
      <c r="M28" s="121"/>
      <c r="N28" s="361">
        <v>0.05</v>
      </c>
      <c r="O28" s="121"/>
      <c r="P28" s="539">
        <v>4.4999999999999998E-2</v>
      </c>
      <c r="Q28" s="395"/>
      <c r="R28" s="539">
        <v>0.01</v>
      </c>
      <c r="S28" s="121"/>
      <c r="T28" s="361">
        <v>0.08</v>
      </c>
      <c r="U28" s="121"/>
      <c r="V28" s="539"/>
      <c r="W28" s="121"/>
      <c r="X28" s="361"/>
      <c r="Y28" s="121"/>
      <c r="AA28" s="361"/>
    </row>
    <row r="29" spans="1:27" ht="20.100000000000001" customHeight="1" x14ac:dyDescent="0.3">
      <c r="A29" s="358" t="s">
        <v>175</v>
      </c>
      <c r="B29" s="361"/>
      <c r="C29" s="121"/>
      <c r="D29" s="539"/>
      <c r="E29" s="121"/>
      <c r="F29" s="539"/>
      <c r="G29" s="123"/>
      <c r="H29" s="361"/>
      <c r="I29" s="121"/>
      <c r="J29" s="361"/>
      <c r="K29" s="121"/>
      <c r="L29" s="539"/>
      <c r="M29" s="121"/>
      <c r="N29" s="539"/>
      <c r="O29" s="121"/>
      <c r="P29" s="361"/>
      <c r="Q29" s="395"/>
      <c r="R29" s="539"/>
      <c r="S29" s="121"/>
      <c r="T29" s="539"/>
      <c r="U29" s="121"/>
      <c r="V29" s="361"/>
      <c r="W29" s="121"/>
      <c r="X29" s="361"/>
      <c r="Y29" s="121"/>
      <c r="AA29" s="361"/>
    </row>
    <row r="30" spans="1:27" ht="20.100000000000001" customHeight="1" x14ac:dyDescent="0.3">
      <c r="B30" s="362">
        <f>SUM(B20:B29)</f>
        <v>1</v>
      </c>
      <c r="C30" s="360"/>
      <c r="D30" s="546">
        <f>SUM(D20:D29)</f>
        <v>1</v>
      </c>
      <c r="E30" s="360"/>
      <c r="F30" s="362">
        <f>SUM(F20:F29)</f>
        <v>1</v>
      </c>
      <c r="G30" s="360"/>
      <c r="H30" s="546">
        <f>SUM(H20:H29)</f>
        <v>0.99999999999999989</v>
      </c>
      <c r="I30" s="360"/>
      <c r="J30" s="546">
        <f>SUM(J20:J29)</f>
        <v>1</v>
      </c>
      <c r="K30" s="360"/>
      <c r="L30" s="362">
        <f>SUM(L20:L29)</f>
        <v>1</v>
      </c>
      <c r="M30" s="360"/>
      <c r="N30" s="546">
        <f>SUM(N20:N29)</f>
        <v>1</v>
      </c>
      <c r="O30" s="360"/>
      <c r="P30" s="546">
        <f>SUM(P20:P29)</f>
        <v>1</v>
      </c>
      <c r="Q30" s="360"/>
      <c r="R30" s="362">
        <f>SUM(R20:R29)</f>
        <v>1</v>
      </c>
      <c r="S30" s="360"/>
      <c r="T30" s="362">
        <f>SUM(T20:T29)</f>
        <v>1</v>
      </c>
      <c r="U30" s="360"/>
      <c r="V30" s="362">
        <f>SUM(V20:V29)</f>
        <v>1</v>
      </c>
      <c r="W30" s="360"/>
      <c r="X30" s="362">
        <f>SUM(X20:X29)</f>
        <v>1</v>
      </c>
      <c r="Y30" s="360"/>
    </row>
    <row r="31" spans="1:27" x14ac:dyDescent="0.3">
      <c r="S31" s="397"/>
    </row>
    <row r="33" spans="1:26" ht="15.6" customHeight="1" x14ac:dyDescent="0.3">
      <c r="A33" s="119" t="s">
        <v>177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1" t="s">
        <v>3</v>
      </c>
      <c r="C35" s="371"/>
      <c r="D35" s="371" t="s">
        <v>6</v>
      </c>
      <c r="E35" s="371"/>
      <c r="F35" s="371" t="s">
        <v>7</v>
      </c>
      <c r="G35" s="371"/>
      <c r="H35" s="127" t="s">
        <v>8</v>
      </c>
      <c r="I35" s="371"/>
      <c r="J35" s="127" t="s">
        <v>9</v>
      </c>
      <c r="K35" s="371"/>
      <c r="L35" s="127" t="s">
        <v>10</v>
      </c>
      <c r="M35" s="371"/>
      <c r="N35" s="127" t="s">
        <v>11</v>
      </c>
      <c r="O35" s="371"/>
      <c r="P35" s="127" t="s">
        <v>12</v>
      </c>
      <c r="Q35" s="371"/>
      <c r="R35" s="127" t="s">
        <v>13</v>
      </c>
      <c r="S35" s="371"/>
      <c r="T35" s="127" t="s">
        <v>14</v>
      </c>
      <c r="U35" s="371"/>
      <c r="V35" s="127" t="s">
        <v>15</v>
      </c>
      <c r="W35" s="371"/>
      <c r="X35" s="127" t="s">
        <v>16</v>
      </c>
      <c r="Y35" s="371"/>
    </row>
    <row r="36" spans="1:26" ht="20.100000000000001" customHeight="1" x14ac:dyDescent="0.3">
      <c r="A36" s="371" t="s">
        <v>166</v>
      </c>
      <c r="B36" s="361">
        <f>C52</f>
        <v>0.13461879559380141</v>
      </c>
      <c r="C36" s="121"/>
      <c r="D36" s="361">
        <f>E52</f>
        <v>0.29904422457747992</v>
      </c>
      <c r="E36" s="121"/>
      <c r="F36" s="361">
        <f>G52</f>
        <v>0.50648154036198123</v>
      </c>
      <c r="G36" s="123"/>
      <c r="H36" s="361">
        <f>I52</f>
        <v>1</v>
      </c>
      <c r="I36" s="121"/>
      <c r="J36" s="361" t="e">
        <f>K52</f>
        <v>#DIV/0!</v>
      </c>
      <c r="K36" s="121"/>
      <c r="L36" s="361" t="e">
        <f>M52</f>
        <v>#DIV/0!</v>
      </c>
      <c r="M36" s="121"/>
      <c r="N36" s="361" t="e">
        <f>O52</f>
        <v>#DIV/0!</v>
      </c>
      <c r="O36" s="121"/>
      <c r="P36" s="361" t="e">
        <f>Q52</f>
        <v>#DIV/0!</v>
      </c>
      <c r="Q36" s="121"/>
      <c r="R36" s="361" t="e">
        <f>S52</f>
        <v>#DIV/0!</v>
      </c>
      <c r="S36" s="121"/>
      <c r="T36" s="361" t="e">
        <f>U52</f>
        <v>#DIV/0!</v>
      </c>
      <c r="U36" s="121"/>
      <c r="V36" s="361" t="e">
        <f>W52</f>
        <v>#DIV/0!</v>
      </c>
      <c r="W36" s="121"/>
      <c r="X36" s="361" t="e">
        <f>Y52</f>
        <v>#DIV/0!</v>
      </c>
      <c r="Y36" s="121"/>
      <c r="Z36" s="422"/>
    </row>
    <row r="37" spans="1:26" ht="20.100000000000001" customHeight="1" x14ac:dyDescent="0.3">
      <c r="A37" s="371" t="s">
        <v>167</v>
      </c>
      <c r="B37" s="361">
        <f>C53</f>
        <v>8.1149115306099459E-2</v>
      </c>
      <c r="C37" s="121"/>
      <c r="D37" s="361">
        <f>E53</f>
        <v>0.19128491764776931</v>
      </c>
      <c r="E37" s="121"/>
      <c r="F37" s="361">
        <f>G53</f>
        <v>0.43310368435081092</v>
      </c>
      <c r="G37" s="123"/>
      <c r="H37" s="361">
        <f>I53</f>
        <v>0</v>
      </c>
      <c r="I37" s="121"/>
      <c r="J37" s="361" t="e">
        <f>K53</f>
        <v>#DIV/0!</v>
      </c>
      <c r="K37" s="121"/>
      <c r="L37" s="361" t="e">
        <f>M53</f>
        <v>#DIV/0!</v>
      </c>
      <c r="M37" s="121"/>
      <c r="N37" s="361" t="e">
        <f>O53</f>
        <v>#DIV/0!</v>
      </c>
      <c r="O37" s="121"/>
      <c r="P37" s="361" t="e">
        <f>Q53</f>
        <v>#DIV/0!</v>
      </c>
      <c r="Q37" s="121"/>
      <c r="R37" s="361" t="e">
        <f>S53</f>
        <v>#DIV/0!</v>
      </c>
      <c r="S37" s="121"/>
      <c r="T37" s="361" t="e">
        <f>U53</f>
        <v>#DIV/0!</v>
      </c>
      <c r="U37" s="121"/>
      <c r="V37" s="361" t="e">
        <f>W53</f>
        <v>#DIV/0!</v>
      </c>
      <c r="W37" s="121"/>
      <c r="X37" s="361" t="e">
        <f>Y53</f>
        <v>#DIV/0!</v>
      </c>
      <c r="Y37" s="121"/>
      <c r="Z37" s="422"/>
    </row>
    <row r="38" spans="1:26" ht="20.100000000000001" customHeight="1" x14ac:dyDescent="0.3">
      <c r="A38" s="371" t="s">
        <v>168</v>
      </c>
      <c r="B38" s="361">
        <f>C54</f>
        <v>0</v>
      </c>
      <c r="C38" s="121"/>
      <c r="D38" s="361">
        <f>E54</f>
        <v>0</v>
      </c>
      <c r="E38" s="121"/>
      <c r="F38" s="361">
        <f>G54</f>
        <v>0</v>
      </c>
      <c r="G38" s="123"/>
      <c r="H38" s="361">
        <f>I54</f>
        <v>0</v>
      </c>
      <c r="I38" s="121"/>
      <c r="J38" s="361" t="e">
        <f>K54</f>
        <v>#DIV/0!</v>
      </c>
      <c r="K38" s="121"/>
      <c r="L38" s="361" t="e">
        <f>M54</f>
        <v>#DIV/0!</v>
      </c>
      <c r="M38" s="121"/>
      <c r="N38" s="361" t="e">
        <f>O54</f>
        <v>#DIV/0!</v>
      </c>
      <c r="O38" s="121"/>
      <c r="P38" s="361" t="e">
        <f>Q54</f>
        <v>#DIV/0!</v>
      </c>
      <c r="Q38" s="121"/>
      <c r="R38" s="361" t="e">
        <f>S54</f>
        <v>#DIV/0!</v>
      </c>
      <c r="S38" s="121"/>
      <c r="T38" s="361" t="e">
        <f>U54</f>
        <v>#DIV/0!</v>
      </c>
      <c r="U38" s="121"/>
      <c r="V38" s="361" t="e">
        <f>W54</f>
        <v>#DIV/0!</v>
      </c>
      <c r="W38" s="121"/>
      <c r="X38" s="361" t="e">
        <f>Y54</f>
        <v>#DIV/0!</v>
      </c>
      <c r="Y38" s="121"/>
      <c r="Z38" s="422"/>
    </row>
    <row r="39" spans="1:26" ht="20.100000000000001" customHeight="1" x14ac:dyDescent="0.3">
      <c r="A39" s="371" t="s">
        <v>169</v>
      </c>
      <c r="B39" s="361">
        <f>C55</f>
        <v>9.8870788436278875E-2</v>
      </c>
      <c r="C39" s="121"/>
      <c r="D39" s="361">
        <f>E55</f>
        <v>0.1194998010538489</v>
      </c>
      <c r="E39" s="121"/>
      <c r="F39" s="361">
        <f>G55</f>
        <v>6.0414775287207796E-2</v>
      </c>
      <c r="G39" s="123"/>
      <c r="H39" s="361">
        <f>I55</f>
        <v>0</v>
      </c>
      <c r="I39" s="121"/>
      <c r="J39" s="361" t="e">
        <f>K55</f>
        <v>#DIV/0!</v>
      </c>
      <c r="K39" s="121"/>
      <c r="L39" s="361" t="e">
        <f>M55</f>
        <v>#DIV/0!</v>
      </c>
      <c r="M39" s="121"/>
      <c r="N39" s="361" t="e">
        <f>O55</f>
        <v>#DIV/0!</v>
      </c>
      <c r="O39" s="121"/>
      <c r="P39" s="361" t="e">
        <f>Q55</f>
        <v>#DIV/0!</v>
      </c>
      <c r="Q39" s="121"/>
      <c r="R39" s="361" t="e">
        <f>S55</f>
        <v>#DIV/0!</v>
      </c>
      <c r="S39" s="121"/>
      <c r="T39" s="361" t="e">
        <f>U55</f>
        <v>#DIV/0!</v>
      </c>
      <c r="U39" s="121"/>
      <c r="V39" s="361" t="e">
        <f>W55</f>
        <v>#DIV/0!</v>
      </c>
      <c r="W39" s="121"/>
      <c r="X39" s="361" t="e">
        <f>Y55</f>
        <v>#DIV/0!</v>
      </c>
      <c r="Y39" s="121"/>
      <c r="Z39" s="422"/>
    </row>
    <row r="40" spans="1:26" ht="20.100000000000001" customHeight="1" x14ac:dyDescent="0.3">
      <c r="A40" s="371" t="s">
        <v>170</v>
      </c>
      <c r="B40" s="361">
        <f>C56</f>
        <v>0</v>
      </c>
      <c r="C40" s="121"/>
      <c r="D40" s="361">
        <f>E56</f>
        <v>0</v>
      </c>
      <c r="E40" s="121"/>
      <c r="F40" s="361">
        <f>G56</f>
        <v>0</v>
      </c>
      <c r="G40" s="123"/>
      <c r="H40" s="361">
        <f>I56</f>
        <v>0</v>
      </c>
      <c r="I40" s="121"/>
      <c r="J40" s="361" t="e">
        <f>K56</f>
        <v>#DIV/0!</v>
      </c>
      <c r="K40" s="121"/>
      <c r="L40" s="361" t="e">
        <f>M56</f>
        <v>#DIV/0!</v>
      </c>
      <c r="M40" s="121"/>
      <c r="N40" s="361" t="e">
        <f>O56</f>
        <v>#DIV/0!</v>
      </c>
      <c r="O40" s="121"/>
      <c r="P40" s="361" t="e">
        <f>Q56</f>
        <v>#DIV/0!</v>
      </c>
      <c r="Q40" s="121"/>
      <c r="R40" s="361" t="e">
        <f>S56</f>
        <v>#DIV/0!</v>
      </c>
      <c r="S40" s="121"/>
      <c r="T40" s="361" t="e">
        <f>U56</f>
        <v>#DIV/0!</v>
      </c>
      <c r="U40" s="121"/>
      <c r="V40" s="361" t="e">
        <f>W56</f>
        <v>#DIV/0!</v>
      </c>
      <c r="W40" s="121"/>
      <c r="X40" s="361" t="e">
        <f>Y56</f>
        <v>#DIV/0!</v>
      </c>
      <c r="Y40" s="121"/>
      <c r="Z40" s="422"/>
    </row>
    <row r="41" spans="1:26" ht="20.100000000000001" customHeight="1" x14ac:dyDescent="0.3">
      <c r="A41" s="374" t="s">
        <v>171</v>
      </c>
      <c r="B41" s="361">
        <f>C57-B45</f>
        <v>0.65522724020206258</v>
      </c>
      <c r="C41" s="121"/>
      <c r="D41" s="361">
        <f>E57-D45</f>
        <v>0.37081604375242722</v>
      </c>
      <c r="E41" s="121"/>
      <c r="F41" s="361">
        <f>G57-F45</f>
        <v>-0.01</v>
      </c>
      <c r="G41" s="123"/>
      <c r="H41" s="361">
        <f>I57-H45</f>
        <v>-0.01</v>
      </c>
      <c r="I41" s="121"/>
      <c r="J41" s="361" t="e">
        <f>K57-J45</f>
        <v>#DIV/0!</v>
      </c>
      <c r="K41" s="121"/>
      <c r="L41" s="361" t="e">
        <f>M57-L45</f>
        <v>#DIV/0!</v>
      </c>
      <c r="M41" s="121"/>
      <c r="N41" s="361" t="e">
        <f>O57-N45</f>
        <v>#DIV/0!</v>
      </c>
      <c r="O41" s="121"/>
      <c r="P41" s="361" t="e">
        <f>Q57-P45</f>
        <v>#DIV/0!</v>
      </c>
      <c r="Q41" s="121"/>
      <c r="R41" s="361" t="e">
        <f>S57-R45</f>
        <v>#DIV/0!</v>
      </c>
      <c r="S41" s="121"/>
      <c r="T41" s="361" t="e">
        <f>U57-T45</f>
        <v>#DIV/0!</v>
      </c>
      <c r="U41" s="121"/>
      <c r="V41" s="361" t="e">
        <f>W57-V45</f>
        <v>#DIV/0!</v>
      </c>
      <c r="W41" s="121"/>
      <c r="X41" s="361" t="e">
        <f>Y57-X45</f>
        <v>#DIV/0!</v>
      </c>
      <c r="Y41" s="121"/>
      <c r="Z41" s="422"/>
    </row>
    <row r="42" spans="1:26" ht="20.100000000000001" customHeight="1" x14ac:dyDescent="0.3">
      <c r="A42" s="371" t="s">
        <v>172</v>
      </c>
      <c r="B42" s="361">
        <f>C58</f>
        <v>0</v>
      </c>
      <c r="C42" s="121"/>
      <c r="D42" s="361">
        <f>E58</f>
        <v>0</v>
      </c>
      <c r="E42" s="121"/>
      <c r="F42" s="361">
        <f>G58</f>
        <v>0</v>
      </c>
      <c r="G42" s="123"/>
      <c r="H42" s="361">
        <f>I58</f>
        <v>0</v>
      </c>
      <c r="I42" s="121"/>
      <c r="J42" s="361" t="e">
        <f>K58</f>
        <v>#DIV/0!</v>
      </c>
      <c r="K42" s="121"/>
      <c r="L42" s="361" t="e">
        <f>M58</f>
        <v>#DIV/0!</v>
      </c>
      <c r="M42" s="121"/>
      <c r="N42" s="361" t="e">
        <f>O58</f>
        <v>#DIV/0!</v>
      </c>
      <c r="O42" s="121"/>
      <c r="P42" s="361" t="e">
        <f>Q58</f>
        <v>#DIV/0!</v>
      </c>
      <c r="Q42" s="121"/>
      <c r="R42" s="361" t="e">
        <f>S58</f>
        <v>#DIV/0!</v>
      </c>
      <c r="S42" s="121"/>
      <c r="T42" s="361" t="e">
        <f>U58</f>
        <v>#DIV/0!</v>
      </c>
      <c r="U42" s="121"/>
      <c r="V42" s="361" t="e">
        <f>W58</f>
        <v>#DIV/0!</v>
      </c>
      <c r="W42" s="121"/>
      <c r="X42" s="361" t="e">
        <f>Y58</f>
        <v>#DIV/0!</v>
      </c>
      <c r="Y42" s="121"/>
    </row>
    <row r="43" spans="1:26" ht="20.100000000000001" customHeight="1" x14ac:dyDescent="0.3">
      <c r="A43" s="374" t="s">
        <v>173</v>
      </c>
      <c r="B43" s="361">
        <f>C59</f>
        <v>2.0134060461757749E-2</v>
      </c>
      <c r="C43" s="121"/>
      <c r="D43" s="361">
        <f>E59</f>
        <v>9.3550129684748639E-3</v>
      </c>
      <c r="E43" s="121"/>
      <c r="F43" s="361">
        <f>G59</f>
        <v>0</v>
      </c>
      <c r="G43" s="123"/>
      <c r="H43" s="361">
        <f>I59</f>
        <v>0</v>
      </c>
      <c r="I43" s="121"/>
      <c r="J43" s="361" t="e">
        <f>K59</f>
        <v>#DIV/0!</v>
      </c>
      <c r="K43" s="121"/>
      <c r="L43" s="361" t="e">
        <f>M59</f>
        <v>#DIV/0!</v>
      </c>
      <c r="M43" s="121"/>
      <c r="N43" s="361" t="e">
        <f>O59</f>
        <v>#DIV/0!</v>
      </c>
      <c r="O43" s="121"/>
      <c r="P43" s="361" t="e">
        <f>Q59</f>
        <v>#DIV/0!</v>
      </c>
      <c r="Q43" s="121"/>
      <c r="R43" s="361" t="e">
        <f>S59</f>
        <v>#DIV/0!</v>
      </c>
      <c r="S43" s="121"/>
      <c r="T43" s="361" t="e">
        <f>U59</f>
        <v>#DIV/0!</v>
      </c>
      <c r="U43" s="121"/>
      <c r="V43" s="361" t="e">
        <f>W59</f>
        <v>#DIV/0!</v>
      </c>
      <c r="W43" s="121"/>
      <c r="X43" s="361" t="e">
        <f>Y59</f>
        <v>#DIV/0!</v>
      </c>
      <c r="Y43" s="121"/>
    </row>
    <row r="44" spans="1:26" ht="20.100000000000001" customHeight="1" x14ac:dyDescent="0.3">
      <c r="A44" s="374" t="s">
        <v>174</v>
      </c>
      <c r="B44" s="361">
        <f>C60</f>
        <v>0</v>
      </c>
      <c r="C44" s="121"/>
      <c r="D44" s="361">
        <f>E60</f>
        <v>0</v>
      </c>
      <c r="E44" s="121"/>
      <c r="F44" s="361">
        <f>G60</f>
        <v>0</v>
      </c>
      <c r="G44" s="123"/>
      <c r="H44" s="361">
        <f>I60</f>
        <v>0</v>
      </c>
      <c r="I44" s="121"/>
      <c r="J44" s="361" t="e">
        <f>K60</f>
        <v>#DIV/0!</v>
      </c>
      <c r="K44" s="121"/>
      <c r="L44" s="361" t="e">
        <f>M60</f>
        <v>#DIV/0!</v>
      </c>
      <c r="M44" s="121"/>
      <c r="N44" s="361" t="e">
        <f>O60</f>
        <v>#DIV/0!</v>
      </c>
      <c r="O44" s="121"/>
      <c r="P44" s="361" t="e">
        <f>Q60</f>
        <v>#DIV/0!</v>
      </c>
      <c r="Q44" s="121"/>
      <c r="R44" s="361" t="e">
        <f>S60</f>
        <v>#DIV/0!</v>
      </c>
      <c r="S44" s="121"/>
      <c r="T44" s="361" t="e">
        <f>U60</f>
        <v>#DIV/0!</v>
      </c>
      <c r="U44" s="121"/>
      <c r="V44" s="361" t="e">
        <f>W60</f>
        <v>#DIV/0!</v>
      </c>
      <c r="W44" s="121"/>
      <c r="X44" s="361" t="e">
        <f>Y60</f>
        <v>#DIV/0!</v>
      </c>
      <c r="Y44" s="121"/>
    </row>
    <row r="45" spans="1:26" ht="20.100000000000001" customHeight="1" x14ac:dyDescent="0.3">
      <c r="A45" s="400" t="s">
        <v>178</v>
      </c>
      <c r="B45" s="361">
        <v>0.01</v>
      </c>
      <c r="C45" s="121"/>
      <c r="D45" s="361">
        <v>0.01</v>
      </c>
      <c r="E45" s="121"/>
      <c r="F45" s="361">
        <v>0.01</v>
      </c>
      <c r="G45" s="123"/>
      <c r="H45" s="361">
        <v>0.01</v>
      </c>
      <c r="I45" s="121"/>
      <c r="J45" s="361">
        <v>0.01</v>
      </c>
      <c r="K45" s="121"/>
      <c r="L45" s="361">
        <v>0.01</v>
      </c>
      <c r="M45" s="121"/>
      <c r="N45" s="361">
        <v>0.01</v>
      </c>
      <c r="O45" s="121"/>
      <c r="P45" s="361">
        <v>0.01</v>
      </c>
      <c r="Q45" s="121"/>
      <c r="R45" s="361">
        <v>0.01</v>
      </c>
      <c r="S45" s="121"/>
      <c r="T45" s="361">
        <v>0.01</v>
      </c>
      <c r="U45" s="121"/>
      <c r="V45" s="361">
        <v>0.01</v>
      </c>
      <c r="W45" s="121"/>
      <c r="X45" s="361">
        <v>0.01</v>
      </c>
      <c r="Y45" s="121"/>
    </row>
    <row r="46" spans="1:26" ht="20.100000000000001" customHeight="1" x14ac:dyDescent="0.3">
      <c r="B46" s="372">
        <f>SUM(B36:B45)</f>
        <v>1</v>
      </c>
      <c r="C46" s="373"/>
      <c r="D46" s="372">
        <f>SUM(D36:D45)</f>
        <v>1.0000000000000002</v>
      </c>
      <c r="E46" s="373"/>
      <c r="F46" s="372">
        <f>SUM(F36:F45)</f>
        <v>1</v>
      </c>
      <c r="G46" s="373"/>
      <c r="H46" s="372">
        <f>SUM(H36:H45)</f>
        <v>1</v>
      </c>
      <c r="I46" s="373"/>
      <c r="J46" s="372" t="e">
        <f>SUM(J36:J45)</f>
        <v>#DIV/0!</v>
      </c>
      <c r="K46" s="373"/>
      <c r="L46" s="372" t="e">
        <f>SUM(L36:L45)</f>
        <v>#DIV/0!</v>
      </c>
      <c r="M46" s="373"/>
      <c r="N46" s="372" t="e">
        <f>SUM(N36:N45)</f>
        <v>#DIV/0!</v>
      </c>
      <c r="O46" s="372"/>
      <c r="P46" s="372" t="e">
        <f>SUM(P36:P45)</f>
        <v>#DIV/0!</v>
      </c>
      <c r="Q46" s="372"/>
      <c r="R46" s="372" t="e">
        <f>SUM(R36:R45)</f>
        <v>#DIV/0!</v>
      </c>
      <c r="S46" s="372"/>
      <c r="T46" s="372" t="e">
        <f>SUM(T36:T45)</f>
        <v>#DIV/0!</v>
      </c>
      <c r="U46" s="372"/>
      <c r="V46" s="372" t="e">
        <f>SUM(V36:V45)</f>
        <v>#DIV/0!</v>
      </c>
      <c r="W46" s="372"/>
      <c r="X46" s="372" t="e">
        <f>SUM(X36:X45)</f>
        <v>#DIV/0!</v>
      </c>
      <c r="Y46" s="373"/>
    </row>
    <row r="49" spans="1:27" ht="15.6" customHeight="1" x14ac:dyDescent="0.3">
      <c r="A49" s="1029" t="s">
        <v>179</v>
      </c>
      <c r="B49" s="1030"/>
      <c r="C49" s="1030"/>
      <c r="D49" s="1030"/>
      <c r="E49" s="1030"/>
      <c r="F49" s="1030"/>
    </row>
    <row r="51" spans="1:27" ht="20.100000000000001" customHeight="1" x14ac:dyDescent="0.3">
      <c r="A51" s="120"/>
      <c r="B51" s="368" t="s">
        <v>3</v>
      </c>
      <c r="C51" s="368" t="s">
        <v>5</v>
      </c>
      <c r="D51" s="368" t="s">
        <v>6</v>
      </c>
      <c r="E51" s="368" t="s">
        <v>5</v>
      </c>
      <c r="F51" s="368" t="s">
        <v>7</v>
      </c>
      <c r="G51" s="368" t="s">
        <v>5</v>
      </c>
      <c r="H51" s="369" t="s">
        <v>8</v>
      </c>
      <c r="I51" s="368" t="s">
        <v>5</v>
      </c>
      <c r="J51" s="369" t="s">
        <v>9</v>
      </c>
      <c r="K51" s="368" t="s">
        <v>5</v>
      </c>
      <c r="L51" s="369" t="s">
        <v>10</v>
      </c>
      <c r="M51" s="368" t="s">
        <v>5</v>
      </c>
      <c r="N51" s="369" t="s">
        <v>11</v>
      </c>
      <c r="O51" s="368" t="s">
        <v>5</v>
      </c>
      <c r="P51" s="369" t="s">
        <v>12</v>
      </c>
      <c r="Q51" s="368" t="s">
        <v>5</v>
      </c>
      <c r="R51" s="369" t="s">
        <v>13</v>
      </c>
      <c r="S51" s="368" t="s">
        <v>5</v>
      </c>
      <c r="T51" s="369" t="s">
        <v>14</v>
      </c>
      <c r="U51" s="368" t="s">
        <v>5</v>
      </c>
      <c r="V51" s="369" t="s">
        <v>15</v>
      </c>
      <c r="W51" s="368" t="s">
        <v>5</v>
      </c>
      <c r="X51" s="369" t="s">
        <v>16</v>
      </c>
      <c r="Y51" s="368" t="s">
        <v>5</v>
      </c>
    </row>
    <row r="52" spans="1:27" ht="20.100000000000001" customHeight="1" x14ac:dyDescent="0.3">
      <c r="A52" s="368" t="s">
        <v>166</v>
      </c>
      <c r="B52" s="124"/>
      <c r="C52" s="121">
        <v>0.13461879559380141</v>
      </c>
      <c r="D52" s="122"/>
      <c r="E52" s="121">
        <v>0.29904422457747992</v>
      </c>
      <c r="F52" s="122">
        <f>CALI!$I$42</f>
        <v>1810625979.7920001</v>
      </c>
      <c r="G52" s="121">
        <f t="shared" ref="G52:G61" si="11">F52/F$62</f>
        <v>0.50648154036198123</v>
      </c>
      <c r="H52" s="570">
        <f>CALI!$L$42</f>
        <v>1810625979.7920001</v>
      </c>
      <c r="I52" s="121">
        <f t="shared" ref="I52:I61" si="12">H52/H$62</f>
        <v>1</v>
      </c>
      <c r="J52" s="122">
        <f>CALI!$O$42</f>
        <v>0</v>
      </c>
      <c r="K52" s="121" t="e">
        <f t="shared" ref="K52:K61" si="13">J52/J$62</f>
        <v>#DIV/0!</v>
      </c>
      <c r="L52" s="122">
        <f>CALI!$R$42</f>
        <v>0</v>
      </c>
      <c r="M52" s="121" t="e">
        <f t="shared" ref="M52:M61" si="14">L52/L$62</f>
        <v>#DIV/0!</v>
      </c>
      <c r="N52" s="122">
        <f>CALI!$U$42</f>
        <v>0</v>
      </c>
      <c r="O52" s="121" t="e">
        <f t="shared" ref="O52:O61" si="15">N52/N$62</f>
        <v>#DIV/0!</v>
      </c>
      <c r="P52" s="122">
        <f>CALI!$X$42</f>
        <v>0</v>
      </c>
      <c r="Q52" s="121" t="e">
        <f t="shared" ref="Q52:Q61" si="16">P52/P$62</f>
        <v>#DIV/0!</v>
      </c>
      <c r="R52" s="122">
        <f>CALI!$AA$42</f>
        <v>0</v>
      </c>
      <c r="S52" s="121" t="e">
        <f t="shared" ref="S52:S61" si="17">R52/R$62</f>
        <v>#DIV/0!</v>
      </c>
      <c r="T52" s="122">
        <f>CALI!$AD$42</f>
        <v>0</v>
      </c>
      <c r="U52" s="121" t="e">
        <f t="shared" ref="U52:U61" si="18">T52/T$62</f>
        <v>#DIV/0!</v>
      </c>
      <c r="V52" s="122">
        <f>CALI!$AG$42</f>
        <v>0</v>
      </c>
      <c r="W52" s="121" t="e">
        <f t="shared" ref="W52:W61" si="19">V52/V$62</f>
        <v>#DIV/0!</v>
      </c>
      <c r="X52" s="122">
        <f>CALI!$AJ$42</f>
        <v>0</v>
      </c>
      <c r="Y52" s="121" t="e">
        <f t="shared" ref="Y52:Y61" si="20">X52/X$62</f>
        <v>#DIV/0!</v>
      </c>
      <c r="Z52" s="795"/>
      <c r="AA52" s="798"/>
    </row>
    <row r="53" spans="1:27" ht="20.100000000000001" customHeight="1" x14ac:dyDescent="0.3">
      <c r="A53" s="368" t="s">
        <v>167</v>
      </c>
      <c r="B53" s="124"/>
      <c r="C53" s="121">
        <v>8.1149115306099459E-2</v>
      </c>
      <c r="D53" s="122"/>
      <c r="E53" s="121">
        <v>0.19128491764776931</v>
      </c>
      <c r="F53" s="122">
        <f>YUMBO!$I$42</f>
        <v>1548306740.3972001</v>
      </c>
      <c r="G53" s="121">
        <f t="shared" si="11"/>
        <v>0.43310368435081092</v>
      </c>
      <c r="H53" s="570">
        <f>YUMBO!$L$42</f>
        <v>0</v>
      </c>
      <c r="I53" s="121">
        <f t="shared" si="12"/>
        <v>0</v>
      </c>
      <c r="J53" s="122">
        <f>YUMBO!$O$42</f>
        <v>0</v>
      </c>
      <c r="K53" s="121" t="e">
        <f t="shared" si="13"/>
        <v>#DIV/0!</v>
      </c>
      <c r="L53" s="122">
        <f>YUMBO!$R$42</f>
        <v>0</v>
      </c>
      <c r="M53" s="121" t="e">
        <f t="shared" si="14"/>
        <v>#DIV/0!</v>
      </c>
      <c r="N53" s="122">
        <f>YUMBO!$U$42</f>
        <v>0</v>
      </c>
      <c r="O53" s="121" t="e">
        <f t="shared" si="15"/>
        <v>#DIV/0!</v>
      </c>
      <c r="P53" s="122">
        <f>YUMBO!$X$42</f>
        <v>0</v>
      </c>
      <c r="Q53" s="121" t="e">
        <f t="shared" si="16"/>
        <v>#DIV/0!</v>
      </c>
      <c r="R53" s="122">
        <f>YUMBO!$AA$42</f>
        <v>0</v>
      </c>
      <c r="S53" s="121" t="e">
        <f t="shared" si="17"/>
        <v>#DIV/0!</v>
      </c>
      <c r="T53" s="122">
        <f>YUMBO!$AD$42</f>
        <v>0</v>
      </c>
      <c r="U53" s="121" t="e">
        <f t="shared" si="18"/>
        <v>#DIV/0!</v>
      </c>
      <c r="V53" s="122">
        <f>YUMBO!$AG$42</f>
        <v>0</v>
      </c>
      <c r="W53" s="121" t="e">
        <f t="shared" si="19"/>
        <v>#DIV/0!</v>
      </c>
      <c r="X53" s="122">
        <f>YUMBO!$AJ$42</f>
        <v>0</v>
      </c>
      <c r="Y53" s="121" t="e">
        <f t="shared" si="20"/>
        <v>#DIV/0!</v>
      </c>
      <c r="Z53" s="795"/>
      <c r="AA53" s="798"/>
    </row>
    <row r="54" spans="1:27" ht="20.100000000000001" customHeight="1" x14ac:dyDescent="0.3">
      <c r="A54" s="368" t="s">
        <v>168</v>
      </c>
      <c r="B54" s="124"/>
      <c r="C54" s="121">
        <v>0</v>
      </c>
      <c r="D54" s="122"/>
      <c r="E54" s="121">
        <v>0</v>
      </c>
      <c r="F54" s="122"/>
      <c r="G54" s="121">
        <f t="shared" si="11"/>
        <v>0</v>
      </c>
      <c r="H54" s="570"/>
      <c r="I54" s="121">
        <f t="shared" si="12"/>
        <v>0</v>
      </c>
      <c r="J54" s="122"/>
      <c r="K54" s="121" t="e">
        <f t="shared" si="13"/>
        <v>#DIV/0!</v>
      </c>
      <c r="L54" s="122"/>
      <c r="M54" s="121" t="e">
        <f t="shared" si="14"/>
        <v>#DIV/0!</v>
      </c>
      <c r="N54" s="122"/>
      <c r="O54" s="121" t="e">
        <f t="shared" si="15"/>
        <v>#DIV/0!</v>
      </c>
      <c r="P54" s="122"/>
      <c r="Q54" s="121" t="e">
        <f t="shared" si="16"/>
        <v>#DIV/0!</v>
      </c>
      <c r="R54" s="122"/>
      <c r="S54" s="121" t="e">
        <f t="shared" si="17"/>
        <v>#DIV/0!</v>
      </c>
      <c r="T54" s="122"/>
      <c r="U54" s="121" t="e">
        <f t="shared" si="18"/>
        <v>#DIV/0!</v>
      </c>
      <c r="V54" s="122"/>
      <c r="W54" s="121" t="e">
        <f t="shared" si="19"/>
        <v>#DIV/0!</v>
      </c>
      <c r="X54" s="122"/>
      <c r="Y54" s="121" t="e">
        <f t="shared" si="20"/>
        <v>#DIV/0!</v>
      </c>
      <c r="Z54" s="795"/>
      <c r="AA54" s="798"/>
    </row>
    <row r="55" spans="1:27" ht="20.100000000000001" customHeight="1" x14ac:dyDescent="0.3">
      <c r="A55" s="368" t="s">
        <v>169</v>
      </c>
      <c r="B55" s="124"/>
      <c r="C55" s="121">
        <v>9.8870788436278875E-2</v>
      </c>
      <c r="D55" s="122"/>
      <c r="E55" s="121">
        <v>0.1194998010538489</v>
      </c>
      <c r="F55" s="122">
        <f>BUGA!$I$42</f>
        <v>215977391.042</v>
      </c>
      <c r="G55" s="121">
        <f t="shared" si="11"/>
        <v>6.0414775287207796E-2</v>
      </c>
      <c r="H55" s="570">
        <f>BUGA!L42</f>
        <v>0</v>
      </c>
      <c r="I55" s="121">
        <f t="shared" si="12"/>
        <v>0</v>
      </c>
      <c r="J55" s="122">
        <f>BUGA!O42</f>
        <v>0</v>
      </c>
      <c r="K55" s="121" t="e">
        <f t="shared" si="13"/>
        <v>#DIV/0!</v>
      </c>
      <c r="L55" s="122">
        <f>BUGA!R42</f>
        <v>0</v>
      </c>
      <c r="M55" s="121" t="e">
        <f t="shared" si="14"/>
        <v>#DIV/0!</v>
      </c>
      <c r="N55" s="122">
        <f>BUGA!U42</f>
        <v>0</v>
      </c>
      <c r="O55" s="121" t="e">
        <f t="shared" si="15"/>
        <v>#DIV/0!</v>
      </c>
      <c r="P55" s="122">
        <f>BUGA!X42</f>
        <v>0</v>
      </c>
      <c r="Q55" s="121" t="e">
        <f t="shared" si="16"/>
        <v>#DIV/0!</v>
      </c>
      <c r="R55" s="122">
        <f>BUGA!AA42</f>
        <v>0</v>
      </c>
      <c r="S55" s="121" t="e">
        <f t="shared" si="17"/>
        <v>#DIV/0!</v>
      </c>
      <c r="T55" s="122">
        <f>BUGA!AD42</f>
        <v>0</v>
      </c>
      <c r="U55" s="121" t="e">
        <f t="shared" si="18"/>
        <v>#DIV/0!</v>
      </c>
      <c r="V55" s="122">
        <f>BUGA!AG42</f>
        <v>0</v>
      </c>
      <c r="W55" s="121" t="e">
        <f t="shared" si="19"/>
        <v>#DIV/0!</v>
      </c>
      <c r="X55" s="122">
        <f>BUGA!AJ42</f>
        <v>0</v>
      </c>
      <c r="Y55" s="121" t="e">
        <f t="shared" si="20"/>
        <v>#DIV/0!</v>
      </c>
      <c r="Z55" s="795"/>
      <c r="AA55" s="798"/>
    </row>
    <row r="56" spans="1:27" ht="20.100000000000001" customHeight="1" x14ac:dyDescent="0.3">
      <c r="A56" s="369" t="s">
        <v>170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>
        <f t="shared" si="11"/>
        <v>0</v>
      </c>
      <c r="H56" s="122">
        <f>HUNGRIA!L42</f>
        <v>0</v>
      </c>
      <c r="I56" s="121">
        <f t="shared" si="12"/>
        <v>0</v>
      </c>
      <c r="J56" s="122">
        <f>HUNGRIA!O42</f>
        <v>0</v>
      </c>
      <c r="K56" s="121" t="e">
        <f t="shared" si="13"/>
        <v>#DIV/0!</v>
      </c>
      <c r="L56" s="122">
        <f>HUNGRIA!R42</f>
        <v>0</v>
      </c>
      <c r="M56" s="121" t="e">
        <f t="shared" si="14"/>
        <v>#DIV/0!</v>
      </c>
      <c r="N56" s="122">
        <f>HUNGRIA!U42</f>
        <v>0</v>
      </c>
      <c r="O56" s="121" t="e">
        <f t="shared" si="15"/>
        <v>#DIV/0!</v>
      </c>
      <c r="P56" s="122">
        <f>HUNGRIA!X42</f>
        <v>0</v>
      </c>
      <c r="Q56" s="121" t="e">
        <f t="shared" si="16"/>
        <v>#DIV/0!</v>
      </c>
      <c r="R56" s="122">
        <f>HUNGRIA!AA42</f>
        <v>0</v>
      </c>
      <c r="S56" s="121" t="e">
        <f t="shared" si="17"/>
        <v>#DIV/0!</v>
      </c>
      <c r="T56" s="122">
        <f>HUNGRIA!AD42</f>
        <v>0</v>
      </c>
      <c r="U56" s="121" t="e">
        <f t="shared" si="18"/>
        <v>#DIV/0!</v>
      </c>
      <c r="V56" s="122">
        <f>HUNGRIA!AG42</f>
        <v>0</v>
      </c>
      <c r="W56" s="121" t="e">
        <f t="shared" si="19"/>
        <v>#DIV/0!</v>
      </c>
      <c r="X56" s="122">
        <f>HUNGRIA!AJ42</f>
        <v>0</v>
      </c>
      <c r="Y56" s="121" t="e">
        <f t="shared" si="20"/>
        <v>#DIV/0!</v>
      </c>
      <c r="Z56" s="795"/>
      <c r="AA56" s="798"/>
    </row>
    <row r="57" spans="1:27" ht="20.100000000000001" customHeight="1" x14ac:dyDescent="0.3">
      <c r="A57" s="369" t="s">
        <v>171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0</v>
      </c>
      <c r="G57" s="121">
        <f t="shared" si="11"/>
        <v>0</v>
      </c>
      <c r="H57" s="124">
        <f>'COMEDORES CALI'!L$42+'CTAS EN PPACION'!L$42</f>
        <v>0</v>
      </c>
      <c r="I57" s="121">
        <f t="shared" si="12"/>
        <v>0</v>
      </c>
      <c r="J57" s="124">
        <f>'COMEDORES CALI'!O$42+'CTAS EN PPACION'!$O$13</f>
        <v>0</v>
      </c>
      <c r="K57" s="121" t="e">
        <f t="shared" si="13"/>
        <v>#DIV/0!</v>
      </c>
      <c r="L57" s="124">
        <f>'COMEDORES CALI'!R$42+'CTAS EN PPACION'!R$42</f>
        <v>0</v>
      </c>
      <c r="M57" s="121" t="e">
        <f t="shared" si="14"/>
        <v>#DIV/0!</v>
      </c>
      <c r="N57" s="124">
        <f>'COMEDORES CALI'!U$42+'CTAS EN PPACION'!U$42</f>
        <v>0</v>
      </c>
      <c r="O57" s="121" t="e">
        <f t="shared" si="15"/>
        <v>#DIV/0!</v>
      </c>
      <c r="P57" s="124">
        <f>'COMEDORES CALI'!X$42+'CTAS EN PPACION'!X$42</f>
        <v>0</v>
      </c>
      <c r="Q57" s="121" t="e">
        <f t="shared" si="16"/>
        <v>#DIV/0!</v>
      </c>
      <c r="R57" s="124">
        <f>'COMEDORES CALI'!AA$42+'CTAS EN PPACION'!AA$42</f>
        <v>0</v>
      </c>
      <c r="S57" s="121" t="e">
        <f t="shared" si="17"/>
        <v>#DIV/0!</v>
      </c>
      <c r="T57" s="124">
        <f>'COMEDORES CALI'!AD$42+'CTAS EN PPACION'!AD$42</f>
        <v>0</v>
      </c>
      <c r="U57" s="121" t="e">
        <f t="shared" si="18"/>
        <v>#DIV/0!</v>
      </c>
      <c r="V57" s="124">
        <f>'COMEDORES CALI'!AG$42+'CTAS EN PPACION'!AG$42</f>
        <v>0</v>
      </c>
      <c r="W57" s="121" t="e">
        <f t="shared" si="19"/>
        <v>#DIV/0!</v>
      </c>
      <c r="X57" s="124">
        <f>'COMEDORES CALI'!AJ$42+'CTAS EN PPACION'!AJ$42</f>
        <v>0</v>
      </c>
      <c r="Y57" s="121" t="e">
        <f t="shared" si="20"/>
        <v>#DIV/0!</v>
      </c>
      <c r="Z57" s="795"/>
      <c r="AA57" s="798"/>
    </row>
    <row r="58" spans="1:27" ht="20.100000000000001" customHeight="1" x14ac:dyDescent="0.3">
      <c r="A58" s="370" t="s">
        <v>172</v>
      </c>
      <c r="B58" s="124"/>
      <c r="C58" s="121">
        <v>0</v>
      </c>
      <c r="D58" s="124"/>
      <c r="E58" s="121">
        <v>0</v>
      </c>
      <c r="F58" s="124"/>
      <c r="G58" s="121">
        <f t="shared" si="11"/>
        <v>0</v>
      </c>
      <c r="H58" s="124"/>
      <c r="I58" s="121">
        <f t="shared" si="12"/>
        <v>0</v>
      </c>
      <c r="J58" s="124">
        <f>'COMEDORES VALLE'!O13</f>
        <v>0</v>
      </c>
      <c r="K58" s="121" t="e">
        <f t="shared" si="13"/>
        <v>#DIV/0!</v>
      </c>
      <c r="L58" s="124">
        <f>'COMEDORES VALLE'!R13</f>
        <v>0</v>
      </c>
      <c r="M58" s="121" t="e">
        <f t="shared" si="14"/>
        <v>#DIV/0!</v>
      </c>
      <c r="N58" s="124">
        <f>'COMEDORES VALLE'!U13</f>
        <v>0</v>
      </c>
      <c r="O58" s="121" t="e">
        <f t="shared" si="15"/>
        <v>#DIV/0!</v>
      </c>
      <c r="P58" s="124">
        <f>'COMEDORES VALLE'!$X$13</f>
        <v>0</v>
      </c>
      <c r="Q58" s="121" t="e">
        <f t="shared" si="16"/>
        <v>#DIV/0!</v>
      </c>
      <c r="R58" s="124">
        <f>'COMEDORES VALLE'!$AA$13</f>
        <v>0</v>
      </c>
      <c r="S58" s="121" t="e">
        <f t="shared" si="17"/>
        <v>#DIV/0!</v>
      </c>
      <c r="T58" s="124">
        <f>'COMEDORES VALLE'!$AD$13</f>
        <v>0</v>
      </c>
      <c r="U58" s="121" t="e">
        <f t="shared" si="18"/>
        <v>#DIV/0!</v>
      </c>
      <c r="V58" s="124">
        <f>'COMEDORES VALLE'!AG13</f>
        <v>0</v>
      </c>
      <c r="W58" s="121" t="e">
        <f t="shared" si="19"/>
        <v>#DIV/0!</v>
      </c>
      <c r="X58" s="124"/>
      <c r="Y58" s="121" t="e">
        <f t="shared" si="20"/>
        <v>#DIV/0!</v>
      </c>
      <c r="Z58" s="795"/>
      <c r="AA58" s="798"/>
    </row>
    <row r="59" spans="1:27" ht="20.100000000000001" customHeight="1" x14ac:dyDescent="0.3">
      <c r="A59" s="391" t="s">
        <v>173</v>
      </c>
      <c r="B59" s="124"/>
      <c r="C59" s="121">
        <v>2.0134060461757749E-2</v>
      </c>
      <c r="D59" s="124"/>
      <c r="E59" s="121">
        <v>9.3550129684748639E-3</v>
      </c>
      <c r="F59" s="124">
        <f>'COMEDORES PALMIRA'!I$42</f>
        <v>0</v>
      </c>
      <c r="G59" s="121">
        <f t="shared" si="11"/>
        <v>0</v>
      </c>
      <c r="H59" s="124">
        <f>'COMEDORES PALMIRA'!L$42</f>
        <v>0</v>
      </c>
      <c r="I59" s="121">
        <f t="shared" si="12"/>
        <v>0</v>
      </c>
      <c r="J59" s="124">
        <f>'COMEDORES PALMIRA'!O$42</f>
        <v>0</v>
      </c>
      <c r="K59" s="121" t="e">
        <f t="shared" si="13"/>
        <v>#DIV/0!</v>
      </c>
      <c r="L59" s="124">
        <f>'COMEDORES PALMIRA'!R$42</f>
        <v>0</v>
      </c>
      <c r="M59" s="121" t="e">
        <f t="shared" si="14"/>
        <v>#DIV/0!</v>
      </c>
      <c r="N59" s="124">
        <f>'COMEDORES PALMIRA'!U$42</f>
        <v>0</v>
      </c>
      <c r="O59" s="121" t="e">
        <f t="shared" si="15"/>
        <v>#DIV/0!</v>
      </c>
      <c r="P59" s="124">
        <f>'COMEDORES PALMIRA'!X$42</f>
        <v>0</v>
      </c>
      <c r="Q59" s="121" t="e">
        <f t="shared" si="16"/>
        <v>#DIV/0!</v>
      </c>
      <c r="R59" s="124">
        <f>'COMEDORES PALMIRA'!AA$42</f>
        <v>0</v>
      </c>
      <c r="S59" s="121" t="e">
        <f t="shared" si="17"/>
        <v>#DIV/0!</v>
      </c>
      <c r="T59" s="124">
        <f>'COMEDORES PALMIRA'!AD$42</f>
        <v>0</v>
      </c>
      <c r="U59" s="121" t="e">
        <f t="shared" si="18"/>
        <v>#DIV/0!</v>
      </c>
      <c r="V59" s="124">
        <f>'COMEDORES PALMIRA'!AG$42</f>
        <v>0</v>
      </c>
      <c r="W59" s="121" t="e">
        <f t="shared" si="19"/>
        <v>#DIV/0!</v>
      </c>
      <c r="X59" s="124">
        <f>'COMEDORES PALMIRA'!AJ$42</f>
        <v>0</v>
      </c>
      <c r="Y59" s="121" t="e">
        <f t="shared" si="20"/>
        <v>#DIV/0!</v>
      </c>
      <c r="Z59" s="795"/>
      <c r="AA59" s="798"/>
    </row>
    <row r="60" spans="1:27" ht="20.100000000000001" customHeight="1" x14ac:dyDescent="0.3">
      <c r="A60" s="391" t="s">
        <v>174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>
        <f t="shared" si="11"/>
        <v>0</v>
      </c>
      <c r="H60" s="122">
        <f>'ADULTO MAYOR'!L$42</f>
        <v>0</v>
      </c>
      <c r="I60" s="121">
        <f t="shared" si="12"/>
        <v>0</v>
      </c>
      <c r="J60" s="122">
        <f>'ADULTO MAYOR'!O$42</f>
        <v>0</v>
      </c>
      <c r="K60" s="121" t="e">
        <f t="shared" si="13"/>
        <v>#DIV/0!</v>
      </c>
      <c r="L60" s="122">
        <f>'ADULTO MAYOR'!R$42</f>
        <v>0</v>
      </c>
      <c r="M60" s="121" t="e">
        <f t="shared" si="14"/>
        <v>#DIV/0!</v>
      </c>
      <c r="N60" s="122">
        <f>'ADULTO MAYOR'!U$42</f>
        <v>0</v>
      </c>
      <c r="O60" s="121" t="e">
        <f t="shared" si="15"/>
        <v>#DIV/0!</v>
      </c>
      <c r="P60" s="122">
        <f>'ADULTO MAYOR'!X$42</f>
        <v>0</v>
      </c>
      <c r="Q60" s="121" t="e">
        <f t="shared" si="16"/>
        <v>#DIV/0!</v>
      </c>
      <c r="R60" s="122">
        <f>'ADULTO MAYOR'!AA$42</f>
        <v>0</v>
      </c>
      <c r="S60" s="121" t="e">
        <f t="shared" si="17"/>
        <v>#DIV/0!</v>
      </c>
      <c r="T60" s="122">
        <f>'ADULTO MAYOR'!AD$42</f>
        <v>0</v>
      </c>
      <c r="U60" s="121" t="e">
        <f t="shared" si="18"/>
        <v>#DIV/0!</v>
      </c>
      <c r="V60" s="122">
        <f>'ADULTO MAYOR'!AG$42</f>
        <v>0</v>
      </c>
      <c r="W60" s="121" t="e">
        <f t="shared" si="19"/>
        <v>#DIV/0!</v>
      </c>
      <c r="X60" s="122">
        <f>'ADULTO MAYOR'!AJ$42</f>
        <v>0</v>
      </c>
      <c r="Y60" s="121" t="e">
        <f t="shared" si="20"/>
        <v>#DIV/0!</v>
      </c>
      <c r="Z60" s="795"/>
      <c r="AA60" s="798"/>
    </row>
    <row r="61" spans="1:27" ht="20.100000000000001" customHeight="1" x14ac:dyDescent="0.3">
      <c r="A61" s="391" t="s">
        <v>175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>
        <f t="shared" si="11"/>
        <v>0</v>
      </c>
      <c r="H61" s="122">
        <f>IMDERTY!L$42</f>
        <v>0</v>
      </c>
      <c r="I61" s="121">
        <f t="shared" si="12"/>
        <v>0</v>
      </c>
      <c r="J61" s="122"/>
      <c r="K61" s="121" t="e">
        <f t="shared" si="13"/>
        <v>#DIV/0!</v>
      </c>
      <c r="L61" s="122">
        <f>IMDERTY!R$42</f>
        <v>0</v>
      </c>
      <c r="M61" s="121" t="e">
        <f t="shared" si="14"/>
        <v>#DIV/0!</v>
      </c>
      <c r="N61" s="122">
        <f>IMDERTY!U$42</f>
        <v>0</v>
      </c>
      <c r="O61" s="121" t="e">
        <f t="shared" si="15"/>
        <v>#DIV/0!</v>
      </c>
      <c r="P61" s="122">
        <f>IMDERTY!X$42</f>
        <v>0</v>
      </c>
      <c r="Q61" s="121" t="e">
        <f t="shared" si="16"/>
        <v>#DIV/0!</v>
      </c>
      <c r="R61" s="122">
        <f>IMDERTY!AA$42</f>
        <v>0</v>
      </c>
      <c r="S61" s="121" t="e">
        <f t="shared" si="17"/>
        <v>#DIV/0!</v>
      </c>
      <c r="T61" s="122">
        <f>IMDERTY!AD$42</f>
        <v>0</v>
      </c>
      <c r="U61" s="121" t="e">
        <f t="shared" si="18"/>
        <v>#DIV/0!</v>
      </c>
      <c r="V61" s="122">
        <f>IMDERTY!AG$42</f>
        <v>0</v>
      </c>
      <c r="W61" s="121" t="e">
        <f t="shared" si="19"/>
        <v>#DIV/0!</v>
      </c>
      <c r="X61" s="122">
        <f>IMDERTY!AJ$42</f>
        <v>0</v>
      </c>
      <c r="Y61" s="121" t="e">
        <f t="shared" si="20"/>
        <v>#DIV/0!</v>
      </c>
      <c r="Z61" s="795"/>
      <c r="AA61" s="798"/>
    </row>
    <row r="62" spans="1:27" ht="20.100000000000001" customHeight="1" x14ac:dyDescent="0.3">
      <c r="B62" s="375">
        <f t="shared" ref="B62:Y62" si="21">SUM(B52:B61)</f>
        <v>0</v>
      </c>
      <c r="C62" s="376">
        <f t="shared" si="21"/>
        <v>1</v>
      </c>
      <c r="D62" s="375">
        <f t="shared" si="21"/>
        <v>0</v>
      </c>
      <c r="E62" s="376">
        <f t="shared" si="21"/>
        <v>1.0000000000000004</v>
      </c>
      <c r="F62" s="375">
        <f t="shared" si="21"/>
        <v>3574910111.2312002</v>
      </c>
      <c r="G62" s="376">
        <f t="shared" si="21"/>
        <v>1</v>
      </c>
      <c r="H62" s="375">
        <f t="shared" si="21"/>
        <v>1810625979.7920001</v>
      </c>
      <c r="I62" s="376">
        <f t="shared" si="21"/>
        <v>1</v>
      </c>
      <c r="J62" s="375">
        <f t="shared" si="21"/>
        <v>0</v>
      </c>
      <c r="K62" s="376" t="e">
        <f t="shared" si="21"/>
        <v>#DIV/0!</v>
      </c>
      <c r="L62" s="375">
        <f t="shared" si="21"/>
        <v>0</v>
      </c>
      <c r="M62" s="376" t="e">
        <f t="shared" si="21"/>
        <v>#DIV/0!</v>
      </c>
      <c r="N62" s="375">
        <f t="shared" si="21"/>
        <v>0</v>
      </c>
      <c r="O62" s="376" t="e">
        <f t="shared" si="21"/>
        <v>#DIV/0!</v>
      </c>
      <c r="P62" s="375">
        <f t="shared" si="21"/>
        <v>0</v>
      </c>
      <c r="Q62" s="376" t="e">
        <f t="shared" si="21"/>
        <v>#DIV/0!</v>
      </c>
      <c r="R62" s="375">
        <f t="shared" si="21"/>
        <v>0</v>
      </c>
      <c r="S62" s="376" t="e">
        <f t="shared" si="21"/>
        <v>#DIV/0!</v>
      </c>
      <c r="T62" s="375">
        <f t="shared" si="21"/>
        <v>0</v>
      </c>
      <c r="U62" s="376" t="e">
        <f t="shared" si="21"/>
        <v>#DIV/0!</v>
      </c>
      <c r="V62" s="375">
        <f t="shared" si="21"/>
        <v>0</v>
      </c>
      <c r="W62" s="376" t="e">
        <f t="shared" si="21"/>
        <v>#DIV/0!</v>
      </c>
      <c r="X62" s="375">
        <f t="shared" si="21"/>
        <v>0</v>
      </c>
      <c r="Y62" s="376" t="e">
        <f t="shared" si="21"/>
        <v>#DIV/0!</v>
      </c>
      <c r="Z62" s="795"/>
    </row>
  </sheetData>
  <mergeCells count="2">
    <mergeCell ref="A49:F49"/>
    <mergeCell ref="A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7"/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 x14ac:dyDescent="0.2"/>
  <cols>
    <col min="1" max="1" width="6" style="773" customWidth="1"/>
    <col min="2" max="2" width="50.33203125" style="115" customWidth="1"/>
    <col min="3" max="4" width="15.33203125" style="114" customWidth="1"/>
    <col min="5" max="5" width="18" style="114" bestFit="1" customWidth="1"/>
    <col min="6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765" customWidth="1"/>
    <col min="17" max="38" width="11.44140625" style="115" customWidth="1"/>
    <col min="39" max="16384" width="11.44140625" style="115"/>
  </cols>
  <sheetData>
    <row r="1" spans="1:16" ht="11.4" customHeight="1" x14ac:dyDescent="0.2"/>
    <row r="2" spans="1:16" ht="14.25" customHeight="1" x14ac:dyDescent="0.2">
      <c r="B2" s="1034" t="s">
        <v>0</v>
      </c>
      <c r="C2" s="1031" t="s">
        <v>180</v>
      </c>
      <c r="D2" s="1032"/>
      <c r="E2" s="1032"/>
      <c r="F2" s="1032"/>
      <c r="G2" s="1032"/>
      <c r="H2" s="1033"/>
      <c r="I2" s="1033"/>
      <c r="J2" s="1033"/>
      <c r="K2" s="1033"/>
      <c r="L2" s="1033"/>
      <c r="M2" s="1033"/>
      <c r="N2" s="1033"/>
      <c r="O2" s="1032"/>
    </row>
    <row r="3" spans="1:16" ht="24" customHeight="1" x14ac:dyDescent="0.2">
      <c r="B3" s="1035"/>
      <c r="C3" s="1032"/>
      <c r="D3" s="1032"/>
      <c r="E3" s="1032"/>
      <c r="F3" s="1032"/>
      <c r="G3" s="1032"/>
      <c r="H3" s="1033"/>
      <c r="I3" s="1033"/>
      <c r="J3" s="1033"/>
      <c r="K3" s="1033"/>
      <c r="L3" s="1033"/>
      <c r="M3" s="1033"/>
      <c r="N3" s="1033"/>
      <c r="O3" s="1032"/>
    </row>
    <row r="4" spans="1:16" s="109" customFormat="1" ht="24.9" customHeight="1" x14ac:dyDescent="0.3">
      <c r="A4" s="774"/>
      <c r="B4" s="515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  <c r="P4" s="766"/>
    </row>
    <row r="5" spans="1:16" s="116" customFormat="1" ht="15" customHeight="1" x14ac:dyDescent="0.2">
      <c r="A5" s="775"/>
      <c r="B5" s="157" t="s">
        <v>181</v>
      </c>
      <c r="C5" s="111">
        <f>SUM(C6:C12)</f>
        <v>220746114</v>
      </c>
      <c r="D5" s="970">
        <f>SUM(D6:D12)</f>
        <v>261640004</v>
      </c>
      <c r="E5" s="111">
        <f>SUM(E6:E12)</f>
        <v>1692897080</v>
      </c>
      <c r="F5" s="111"/>
      <c r="G5" s="111">
        <f t="shared" ref="G5:O5" si="0">SUM(G6:G12)</f>
        <v>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3868180278</v>
      </c>
      <c r="P5" s="767"/>
    </row>
    <row r="6" spans="1:16" ht="12.9" customHeight="1" x14ac:dyDescent="0.2">
      <c r="A6" s="776" t="s">
        <v>182</v>
      </c>
      <c r="B6" s="471" t="s">
        <v>183</v>
      </c>
      <c r="C6" s="169">
        <f>'[19]Hoja 1'!$I$9-921014+'[20]Hoja 1'!$I$9+'[21]Hoja 1'!$D$8</f>
        <v>190583037</v>
      </c>
      <c r="D6" s="169">
        <f>'[22]Hoja 1'!$L$8-6457629+'[23]Hoja 1'!$I$9+'[24]Hoja 1'!$D$8+'[25]Hoja 1'!$D$10+'[26]Hoja 1'!$I$9</f>
        <v>222103262</v>
      </c>
      <c r="E6" s="169">
        <v>241842440</v>
      </c>
      <c r="F6" s="169">
        <v>241842440</v>
      </c>
      <c r="G6" s="169"/>
      <c r="H6" s="169"/>
      <c r="I6" s="169"/>
      <c r="J6" s="169"/>
      <c r="K6" s="169"/>
      <c r="L6" s="169"/>
      <c r="M6" s="169"/>
      <c r="N6" s="169"/>
      <c r="O6" s="433">
        <f t="shared" ref="O6:O12" si="1">+SUM(C6:N6)</f>
        <v>896371179</v>
      </c>
      <c r="P6" s="768"/>
    </row>
    <row r="7" spans="1:16" ht="12.9" customHeight="1" x14ac:dyDescent="0.2">
      <c r="A7" s="776"/>
      <c r="B7" s="173" t="s">
        <v>184</v>
      </c>
      <c r="C7" s="171">
        <f>'[19]Hoja 1'!$I$12</f>
        <v>19735184</v>
      </c>
      <c r="D7" s="171">
        <f>'[22]Hoja 1'!$L$10</f>
        <v>19090050</v>
      </c>
      <c r="E7" s="171">
        <v>241842440</v>
      </c>
      <c r="F7" s="171">
        <v>241842440</v>
      </c>
      <c r="G7" s="171"/>
      <c r="H7" s="171"/>
      <c r="I7" s="171"/>
      <c r="J7" s="171"/>
      <c r="K7" s="171"/>
      <c r="L7" s="171"/>
      <c r="M7" s="171"/>
      <c r="N7" s="171"/>
      <c r="O7" s="403">
        <f t="shared" si="1"/>
        <v>522510114</v>
      </c>
      <c r="P7" s="768"/>
    </row>
    <row r="8" spans="1:16" ht="12.9" customHeight="1" x14ac:dyDescent="0.2">
      <c r="A8" s="776" t="s">
        <v>185</v>
      </c>
      <c r="B8" s="173" t="s">
        <v>186</v>
      </c>
      <c r="C8" s="171">
        <f>'[6]Hoja 1'!$C$54-225638</f>
        <v>1661493</v>
      </c>
      <c r="D8" s="171">
        <f>'[4]Hoja 1'!$C$54-59862</f>
        <v>6698479</v>
      </c>
      <c r="E8" s="171">
        <v>241842440</v>
      </c>
      <c r="F8" s="171">
        <v>241842440</v>
      </c>
      <c r="G8" s="171"/>
      <c r="H8" s="926"/>
      <c r="I8" s="171"/>
      <c r="J8" s="171"/>
      <c r="K8" s="171"/>
      <c r="L8" s="171"/>
      <c r="M8" s="171"/>
      <c r="N8" s="171"/>
      <c r="O8" s="403">
        <f t="shared" si="1"/>
        <v>492044852</v>
      </c>
      <c r="P8" s="768"/>
    </row>
    <row r="9" spans="1:16" ht="12.9" customHeight="1" x14ac:dyDescent="0.2">
      <c r="A9" s="777"/>
      <c r="B9" s="173" t="s">
        <v>187</v>
      </c>
      <c r="C9" s="171"/>
      <c r="D9" s="171"/>
      <c r="E9" s="171">
        <v>241842440</v>
      </c>
      <c r="F9" s="171">
        <v>241842440</v>
      </c>
      <c r="G9" s="171"/>
      <c r="H9" s="171"/>
      <c r="I9" s="171"/>
      <c r="J9" s="171"/>
      <c r="K9" s="171"/>
      <c r="L9" s="171"/>
      <c r="M9" s="171"/>
      <c r="N9" s="171"/>
      <c r="O9" s="403">
        <f t="shared" si="1"/>
        <v>483684880</v>
      </c>
      <c r="P9" s="768"/>
    </row>
    <row r="10" spans="1:16" ht="12.9" customHeight="1" x14ac:dyDescent="0.2">
      <c r="A10" s="777" t="s">
        <v>188</v>
      </c>
      <c r="B10" s="647" t="s">
        <v>189</v>
      </c>
      <c r="C10" s="171">
        <f>'[6]Hoja 1'!$C$56</f>
        <v>8670200</v>
      </c>
      <c r="D10" s="171">
        <f>'[4]Hoja 1'!$C$56</f>
        <v>10288035</v>
      </c>
      <c r="E10" s="171">
        <v>241842440</v>
      </c>
      <c r="F10" s="171">
        <v>241842440</v>
      </c>
      <c r="G10" s="171"/>
      <c r="H10" s="171"/>
      <c r="I10" s="171"/>
      <c r="J10" s="171"/>
      <c r="K10" s="171"/>
      <c r="L10" s="171"/>
      <c r="M10" s="926"/>
      <c r="N10" s="171"/>
      <c r="O10" s="403">
        <f t="shared" si="1"/>
        <v>502643115</v>
      </c>
      <c r="P10" s="768"/>
    </row>
    <row r="11" spans="1:16" ht="12.9" customHeight="1" x14ac:dyDescent="0.2">
      <c r="A11" s="777" t="s">
        <v>190</v>
      </c>
      <c r="B11" s="173" t="s">
        <v>81</v>
      </c>
      <c r="C11" s="171">
        <f>'[6]Hoja 1'!$C$70</f>
        <v>96200</v>
      </c>
      <c r="D11" s="171">
        <f>'[4]Hoja 1'!$C$70</f>
        <v>1826000</v>
      </c>
      <c r="E11" s="171">
        <v>241842440</v>
      </c>
      <c r="F11" s="171">
        <v>241842440</v>
      </c>
      <c r="G11" s="171"/>
      <c r="H11" s="171"/>
      <c r="I11" s="171"/>
      <c r="J11" s="171"/>
      <c r="K11" s="171"/>
      <c r="L11" s="171"/>
      <c r="M11" s="171"/>
      <c r="N11" s="171"/>
      <c r="O11" s="403">
        <f t="shared" si="1"/>
        <v>485607080</v>
      </c>
      <c r="P11" s="768"/>
    </row>
    <row r="12" spans="1:16" ht="12.9" customHeight="1" x14ac:dyDescent="0.2">
      <c r="A12" s="777" t="s">
        <v>82</v>
      </c>
      <c r="B12" s="173" t="s">
        <v>83</v>
      </c>
      <c r="C12" s="918"/>
      <c r="D12" s="918">
        <f>'[16]Hoja 1'!$C$27</f>
        <v>1634178</v>
      </c>
      <c r="E12" s="918">
        <v>241842440</v>
      </c>
      <c r="F12" s="918">
        <v>241842440</v>
      </c>
      <c r="G12" s="918"/>
      <c r="H12" s="918"/>
      <c r="I12" s="918"/>
      <c r="J12" s="918"/>
      <c r="K12" s="918"/>
      <c r="L12" s="918"/>
      <c r="M12" s="918"/>
      <c r="N12" s="918"/>
      <c r="O12" s="403">
        <f t="shared" si="1"/>
        <v>485319058</v>
      </c>
      <c r="P12" s="768"/>
    </row>
    <row r="13" spans="1:16" s="116" customFormat="1" ht="15" customHeight="1" x14ac:dyDescent="0.2">
      <c r="A13" s="775"/>
      <c r="B13" s="157" t="s">
        <v>84</v>
      </c>
      <c r="C13" s="111">
        <f>SUM(C14:C18)</f>
        <v>12419448</v>
      </c>
      <c r="D13" s="970">
        <f>SUM(D14:D18)</f>
        <v>19759448</v>
      </c>
      <c r="E13" s="111">
        <f>SUM(E14:E18)</f>
        <v>1209212200</v>
      </c>
      <c r="F13" s="111"/>
      <c r="G13" s="111">
        <f t="shared" ref="G13:O13" si="2">SUM(G14:G18)</f>
        <v>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2450603296</v>
      </c>
      <c r="P13" s="769"/>
    </row>
    <row r="14" spans="1:16" s="116" customFormat="1" ht="12.9" customHeight="1" x14ac:dyDescent="0.2">
      <c r="A14" s="777" t="s">
        <v>191</v>
      </c>
      <c r="B14" s="173" t="s">
        <v>192</v>
      </c>
      <c r="C14" s="404">
        <f>'[6]Hoja 1'!$C$73</f>
        <v>2896000</v>
      </c>
      <c r="D14" s="404">
        <f>'[4]Hoja 1'!$C$73</f>
        <v>2896000</v>
      </c>
      <c r="E14" s="404">
        <v>241842440</v>
      </c>
      <c r="F14" s="404">
        <v>241842440</v>
      </c>
      <c r="G14" s="404"/>
      <c r="H14" s="404"/>
      <c r="I14" s="404"/>
      <c r="J14" s="404"/>
      <c r="K14" s="404"/>
      <c r="L14" s="404"/>
      <c r="M14" s="404"/>
      <c r="N14" s="404"/>
      <c r="O14" s="433">
        <f>+SUM(C14:N14)</f>
        <v>489476880</v>
      </c>
      <c r="P14" s="768"/>
    </row>
    <row r="15" spans="1:16" s="116" customFormat="1" ht="12.9" customHeight="1" x14ac:dyDescent="0.2">
      <c r="A15" s="777"/>
      <c r="B15" s="173" t="s">
        <v>193</v>
      </c>
      <c r="C15" s="170"/>
      <c r="D15" s="170"/>
      <c r="E15" s="170">
        <v>241842440</v>
      </c>
      <c r="F15" s="170">
        <v>241842440</v>
      </c>
      <c r="G15" s="170"/>
      <c r="H15" s="170"/>
      <c r="I15" s="170"/>
      <c r="J15" s="170"/>
      <c r="K15" s="170"/>
      <c r="L15" s="170"/>
      <c r="M15" s="170"/>
      <c r="N15" s="170"/>
      <c r="O15" s="403">
        <f>+SUM(C15:N15)</f>
        <v>483684880</v>
      </c>
      <c r="P15" s="768"/>
    </row>
    <row r="16" spans="1:16" ht="12.9" customHeight="1" x14ac:dyDescent="0.2">
      <c r="A16" s="777" t="s">
        <v>194</v>
      </c>
      <c r="B16" s="173" t="s">
        <v>195</v>
      </c>
      <c r="C16" s="170">
        <f>'[6]Hoja 1'!$C$75+'[27]Hoja 1'!$G$13</f>
        <v>6485768</v>
      </c>
      <c r="D16" s="170">
        <f>'[4]Hoja 1'!$C$75+'[28]Hoja 1'!$G$14</f>
        <v>6485768</v>
      </c>
      <c r="E16" s="170">
        <v>241842440</v>
      </c>
      <c r="F16" s="170">
        <v>241842440</v>
      </c>
      <c r="G16" s="170"/>
      <c r="H16" s="170"/>
      <c r="I16" s="170"/>
      <c r="J16" s="170"/>
      <c r="K16" s="170"/>
      <c r="L16" s="170"/>
      <c r="M16" s="170"/>
      <c r="N16" s="170"/>
      <c r="O16" s="403">
        <f>+SUM(C16:N16)</f>
        <v>496656416</v>
      </c>
      <c r="P16" s="768"/>
    </row>
    <row r="17" spans="1:16" ht="12.9" customHeight="1" x14ac:dyDescent="0.2">
      <c r="A17" s="777" t="s">
        <v>196</v>
      </c>
      <c r="B17" s="173" t="s">
        <v>197</v>
      </c>
      <c r="C17" s="170"/>
      <c r="D17" s="170"/>
      <c r="E17" s="170">
        <v>241842440</v>
      </c>
      <c r="F17" s="170">
        <v>241842440</v>
      </c>
      <c r="G17" s="170"/>
      <c r="H17" s="170"/>
      <c r="I17" s="170"/>
      <c r="J17" s="170"/>
      <c r="K17" s="170"/>
      <c r="L17" s="170"/>
      <c r="M17" s="170"/>
      <c r="N17" s="170"/>
      <c r="O17" s="403">
        <f>+SUM(C17:N17)</f>
        <v>483684880</v>
      </c>
      <c r="P17" s="768"/>
    </row>
    <row r="18" spans="1:16" ht="12.9" customHeight="1" x14ac:dyDescent="0.2">
      <c r="A18" s="777" t="s">
        <v>198</v>
      </c>
      <c r="B18" s="173" t="s">
        <v>199</v>
      </c>
      <c r="C18" s="170">
        <f>'[6]Hoja 1'!$C$77</f>
        <v>3037680</v>
      </c>
      <c r="D18" s="170">
        <f>'[4]Hoja 1'!$C$76</f>
        <v>10377680</v>
      </c>
      <c r="E18" s="170">
        <v>241842440</v>
      </c>
      <c r="F18" s="170">
        <v>241842440</v>
      </c>
      <c r="G18" s="170"/>
      <c r="H18" s="170"/>
      <c r="I18" s="170"/>
      <c r="J18" s="170"/>
      <c r="K18" s="170"/>
      <c r="L18" s="170"/>
      <c r="M18" s="170"/>
      <c r="N18" s="170"/>
      <c r="O18" s="408">
        <f>+SUM(C18:N18)</f>
        <v>497100240</v>
      </c>
      <c r="P18" s="768"/>
    </row>
    <row r="19" spans="1:16" s="116" customFormat="1" ht="15" customHeight="1" x14ac:dyDescent="0.2">
      <c r="A19" s="775"/>
      <c r="B19" s="157" t="s">
        <v>200</v>
      </c>
      <c r="C19" s="111">
        <f>SUM(C20:C21)</f>
        <v>2676712</v>
      </c>
      <c r="D19" s="970">
        <f>SUM(D20:D21)</f>
        <v>0</v>
      </c>
      <c r="E19" s="111">
        <f>SUM(E20:E21)</f>
        <v>483684880</v>
      </c>
      <c r="F19" s="111"/>
      <c r="G19" s="111">
        <f t="shared" ref="G19:O19" si="3">SUM(G20:G21)</f>
        <v>0</v>
      </c>
      <c r="H19" s="111">
        <f t="shared" si="3"/>
        <v>0</v>
      </c>
      <c r="I19" s="111">
        <f t="shared" si="3"/>
        <v>0</v>
      </c>
      <c r="J19" s="111">
        <f t="shared" si="3"/>
        <v>0</v>
      </c>
      <c r="K19" s="111">
        <f t="shared" si="3"/>
        <v>0</v>
      </c>
      <c r="L19" s="111">
        <f t="shared" si="3"/>
        <v>0</v>
      </c>
      <c r="M19" s="111">
        <f t="shared" si="3"/>
        <v>0</v>
      </c>
      <c r="N19" s="111">
        <f t="shared" si="3"/>
        <v>0</v>
      </c>
      <c r="O19" s="112">
        <f t="shared" si="3"/>
        <v>970046472</v>
      </c>
      <c r="P19" s="768"/>
    </row>
    <row r="20" spans="1:16" ht="12.9" customHeight="1" x14ac:dyDescent="0.2">
      <c r="A20" s="777"/>
      <c r="B20" s="156" t="s">
        <v>201</v>
      </c>
      <c r="C20" s="919"/>
      <c r="D20" s="920"/>
      <c r="E20" s="423">
        <v>241842440</v>
      </c>
      <c r="F20" s="423">
        <v>241842440</v>
      </c>
      <c r="G20" s="423"/>
      <c r="H20" s="423"/>
      <c r="I20" s="423"/>
      <c r="J20" s="423"/>
      <c r="K20" s="423"/>
      <c r="L20" s="423"/>
      <c r="M20" s="423"/>
      <c r="N20" s="423"/>
      <c r="O20" s="423">
        <f>+SUM(C20:N20)</f>
        <v>483684880</v>
      </c>
      <c r="P20" s="768"/>
    </row>
    <row r="21" spans="1:16" ht="12.9" customHeight="1" x14ac:dyDescent="0.2">
      <c r="A21" s="777"/>
      <c r="B21" s="175" t="s">
        <v>202</v>
      </c>
      <c r="C21" s="405">
        <v>2676712</v>
      </c>
      <c r="D21" s="405"/>
      <c r="E21" s="405">
        <v>241842440</v>
      </c>
      <c r="F21" s="405">
        <v>241842440</v>
      </c>
      <c r="G21" s="405"/>
      <c r="H21" s="405"/>
      <c r="I21" s="405"/>
      <c r="J21" s="405"/>
      <c r="K21" s="405"/>
      <c r="L21" s="405"/>
      <c r="M21" s="405"/>
      <c r="N21" s="405"/>
      <c r="O21" s="405">
        <f>+SUM(C21:N21)</f>
        <v>486361592</v>
      </c>
      <c r="P21" s="768"/>
    </row>
    <row r="22" spans="1:16" s="116" customFormat="1" ht="15" customHeight="1" x14ac:dyDescent="0.2">
      <c r="A22" s="775"/>
      <c r="B22" s="110" t="s">
        <v>87</v>
      </c>
      <c r="C22" s="111">
        <f>SUM(C23:C27)</f>
        <v>94998312</v>
      </c>
      <c r="D22" s="970">
        <f>SUM(D23:D27)</f>
        <v>109570912</v>
      </c>
      <c r="E22" s="111">
        <f>SUM(E23:E27)</f>
        <v>1209212200</v>
      </c>
      <c r="F22" s="111"/>
      <c r="G22" s="111">
        <f t="shared" ref="G22:O22" si="4">SUM(G23:G27)</f>
        <v>0</v>
      </c>
      <c r="H22" s="111">
        <f t="shared" si="4"/>
        <v>0</v>
      </c>
      <c r="I22" s="111">
        <f t="shared" si="4"/>
        <v>0</v>
      </c>
      <c r="J22" s="111">
        <f t="shared" si="4"/>
        <v>0</v>
      </c>
      <c r="K22" s="111">
        <f t="shared" si="4"/>
        <v>0</v>
      </c>
      <c r="L22" s="111">
        <f t="shared" si="4"/>
        <v>0</v>
      </c>
      <c r="M22" s="111">
        <f t="shared" si="4"/>
        <v>0</v>
      </c>
      <c r="N22" s="111">
        <f t="shared" si="4"/>
        <v>0</v>
      </c>
      <c r="O22" s="112">
        <f t="shared" si="4"/>
        <v>2622993624</v>
      </c>
      <c r="P22" s="769"/>
    </row>
    <row r="23" spans="1:16" s="116" customFormat="1" ht="12.9" customHeight="1" x14ac:dyDescent="0.2">
      <c r="A23" s="777" t="s">
        <v>203</v>
      </c>
      <c r="B23" s="173" t="s">
        <v>88</v>
      </c>
      <c r="C23" s="404">
        <f>'[6]Hoja 1'!$C$85+'[27]Hoja 1'!$G$15+'[27]Hoja 1'!$G$17</f>
        <v>82655581</v>
      </c>
      <c r="D23" s="404">
        <f>'[4]Hoja 1'!$C$84+'[28]Hoja 1'!$G$16+'[28]Hoja 1'!$G$18</f>
        <v>87589181</v>
      </c>
      <c r="E23" s="404">
        <v>241842440</v>
      </c>
      <c r="F23" s="404">
        <v>241842440</v>
      </c>
      <c r="G23" s="404"/>
      <c r="H23" s="404"/>
      <c r="I23" s="404"/>
      <c r="J23" s="404"/>
      <c r="K23" s="404"/>
      <c r="L23" s="404"/>
      <c r="M23" s="404"/>
      <c r="N23" s="404"/>
      <c r="O23" s="433">
        <f>+SUM(C23:N23)</f>
        <v>653929642</v>
      </c>
      <c r="P23" s="768"/>
    </row>
    <row r="24" spans="1:16" ht="12.9" customHeight="1" x14ac:dyDescent="0.2">
      <c r="A24" s="777" t="s">
        <v>204</v>
      </c>
      <c r="B24" s="173" t="s">
        <v>89</v>
      </c>
      <c r="C24" s="170">
        <f>'[6]Hoja 1'!$C$87</f>
        <v>9106621</v>
      </c>
      <c r="D24" s="170">
        <f>'[4]Hoja 1'!$C$86</f>
        <v>10606021</v>
      </c>
      <c r="E24" s="170">
        <v>241842440</v>
      </c>
      <c r="F24" s="170">
        <v>241842440</v>
      </c>
      <c r="G24" s="170"/>
      <c r="H24" s="170"/>
      <c r="I24" s="170"/>
      <c r="J24" s="170"/>
      <c r="K24" s="170"/>
      <c r="L24" s="170"/>
      <c r="M24" s="170"/>
      <c r="N24" s="926"/>
      <c r="O24" s="403">
        <f>+SUM(C24:N24)</f>
        <v>503397522</v>
      </c>
      <c r="P24" s="768"/>
    </row>
    <row r="25" spans="1:16" ht="12.9" customHeight="1" x14ac:dyDescent="0.2">
      <c r="A25" s="777" t="s">
        <v>205</v>
      </c>
      <c r="B25" s="173" t="s">
        <v>90</v>
      </c>
      <c r="C25" s="170">
        <f>'[6]Hoja 1'!$C$89</f>
        <v>3236110</v>
      </c>
      <c r="D25" s="170">
        <f>'[4]Hoja 1'!$C$88</f>
        <v>3236110</v>
      </c>
      <c r="E25" s="170">
        <v>241842440</v>
      </c>
      <c r="F25" s="170">
        <v>241842440</v>
      </c>
      <c r="G25" s="170"/>
      <c r="H25" s="170"/>
      <c r="I25" s="170"/>
      <c r="J25" s="170"/>
      <c r="K25" s="170"/>
      <c r="L25" s="170"/>
      <c r="M25" s="170"/>
      <c r="N25" s="170"/>
      <c r="O25" s="403">
        <f>+SUM(C25:N25)</f>
        <v>490157100</v>
      </c>
      <c r="P25" s="770"/>
    </row>
    <row r="26" spans="1:16" ht="12.9" customHeight="1" x14ac:dyDescent="0.2">
      <c r="A26" s="777"/>
      <c r="B26" s="173" t="s">
        <v>206</v>
      </c>
      <c r="C26" s="170"/>
      <c r="D26" s="170">
        <f>'[4]Hoja 1'!$C$90</f>
        <v>8139600</v>
      </c>
      <c r="E26" s="170">
        <v>241842440</v>
      </c>
      <c r="F26" s="170">
        <v>241842440</v>
      </c>
      <c r="G26" s="170"/>
      <c r="H26" s="170"/>
      <c r="I26" s="170"/>
      <c r="J26" s="170"/>
      <c r="K26" s="170"/>
      <c r="L26" s="170"/>
      <c r="M26" s="170"/>
      <c r="N26" s="170"/>
      <c r="O26" s="403">
        <f>+SUM(C26:N26)</f>
        <v>491824480</v>
      </c>
      <c r="P26" s="768"/>
    </row>
    <row r="27" spans="1:16" ht="12.9" customHeight="1" x14ac:dyDescent="0.2">
      <c r="A27" s="777"/>
      <c r="B27" s="173" t="s">
        <v>207</v>
      </c>
      <c r="C27" s="405"/>
      <c r="D27" s="405"/>
      <c r="E27" s="405">
        <v>241842440</v>
      </c>
      <c r="F27" s="405">
        <v>241842440</v>
      </c>
      <c r="G27" s="405"/>
      <c r="H27" s="405"/>
      <c r="I27" s="405"/>
      <c r="J27" s="405"/>
      <c r="K27" s="405"/>
      <c r="L27" s="405"/>
      <c r="M27" s="405"/>
      <c r="N27" s="405"/>
      <c r="O27" s="161">
        <f>+SUM(C27:N27)</f>
        <v>483684880</v>
      </c>
      <c r="P27" s="768"/>
    </row>
    <row r="28" spans="1:16" s="116" customFormat="1" ht="15" customHeight="1" x14ac:dyDescent="0.2">
      <c r="A28" s="775"/>
      <c r="B28" s="110" t="s">
        <v>91</v>
      </c>
      <c r="C28" s="111">
        <f>SUM(C29:C31)</f>
        <v>0</v>
      </c>
      <c r="D28" s="970">
        <f>SUM(D29:D31)</f>
        <v>8584300</v>
      </c>
      <c r="E28" s="111">
        <f>SUM(E29:E31)</f>
        <v>725527320</v>
      </c>
      <c r="F28" s="111"/>
      <c r="G28" s="111">
        <f t="shared" ref="G28:O28" si="5">SUM(G29:G31)</f>
        <v>0</v>
      </c>
      <c r="H28" s="111">
        <f t="shared" si="5"/>
        <v>0</v>
      </c>
      <c r="I28" s="111">
        <f t="shared" si="5"/>
        <v>0</v>
      </c>
      <c r="J28" s="111">
        <f t="shared" si="5"/>
        <v>0</v>
      </c>
      <c r="K28" s="111">
        <f t="shared" si="5"/>
        <v>0</v>
      </c>
      <c r="L28" s="111">
        <f t="shared" si="5"/>
        <v>0</v>
      </c>
      <c r="M28" s="111">
        <f t="shared" si="5"/>
        <v>0</v>
      </c>
      <c r="N28" s="111">
        <f t="shared" si="5"/>
        <v>0</v>
      </c>
      <c r="O28" s="112">
        <f t="shared" si="5"/>
        <v>1459638940</v>
      </c>
      <c r="P28" s="768"/>
    </row>
    <row r="29" spans="1:16" ht="12.9" customHeight="1" x14ac:dyDescent="0.2">
      <c r="A29" s="777"/>
      <c r="B29" s="172" t="s">
        <v>208</v>
      </c>
      <c r="C29" s="404"/>
      <c r="D29" s="404"/>
      <c r="E29" s="404">
        <v>241842440</v>
      </c>
      <c r="F29" s="404">
        <v>241842440</v>
      </c>
      <c r="G29" s="404"/>
      <c r="H29" s="404"/>
      <c r="I29" s="404"/>
      <c r="J29" s="404"/>
      <c r="K29" s="404"/>
      <c r="L29" s="404"/>
      <c r="M29" s="404"/>
      <c r="N29" s="404"/>
      <c r="O29" s="159">
        <f>+SUM(C29:N29)</f>
        <v>483684880</v>
      </c>
      <c r="P29" s="768"/>
    </row>
    <row r="30" spans="1:16" ht="12.9" customHeight="1" x14ac:dyDescent="0.2">
      <c r="A30" s="777"/>
      <c r="B30" s="173" t="s">
        <v>209</v>
      </c>
      <c r="C30" s="170"/>
      <c r="D30" s="170"/>
      <c r="E30" s="170">
        <v>241842440</v>
      </c>
      <c r="F30" s="170">
        <v>241842440</v>
      </c>
      <c r="G30" s="170"/>
      <c r="H30" s="170"/>
      <c r="I30" s="170"/>
      <c r="J30" s="170"/>
      <c r="K30" s="170"/>
      <c r="L30" s="170"/>
      <c r="M30" s="170"/>
      <c r="N30" s="170"/>
      <c r="O30" s="160">
        <f>+SUM(C30:N30)</f>
        <v>483684880</v>
      </c>
      <c r="P30" s="768"/>
    </row>
    <row r="31" spans="1:16" ht="12.9" customHeight="1" x14ac:dyDescent="0.2">
      <c r="A31" s="777"/>
      <c r="B31" s="174" t="s">
        <v>210</v>
      </c>
      <c r="C31" s="405"/>
      <c r="D31" s="965">
        <f>'[4]Hoja 1'!$C$95</f>
        <v>8584300</v>
      </c>
      <c r="E31" s="405">
        <v>241842440</v>
      </c>
      <c r="F31" s="405">
        <v>241842440</v>
      </c>
      <c r="G31" s="405"/>
      <c r="H31" s="405"/>
      <c r="I31" s="405"/>
      <c r="J31" s="405"/>
      <c r="K31" s="405"/>
      <c r="L31" s="405"/>
      <c r="M31" s="405"/>
      <c r="N31" s="405"/>
      <c r="O31" s="161">
        <f>+SUM(C31:N31)</f>
        <v>492269180</v>
      </c>
      <c r="P31" s="768"/>
    </row>
    <row r="32" spans="1:16" s="116" customFormat="1" ht="15" customHeight="1" x14ac:dyDescent="0.2">
      <c r="A32" s="775"/>
      <c r="B32" s="157" t="s">
        <v>94</v>
      </c>
      <c r="C32" s="111">
        <f>SUM(C33:C45)</f>
        <v>31751199</v>
      </c>
      <c r="D32" s="970">
        <f>SUM(D33:D45)</f>
        <v>29235933</v>
      </c>
      <c r="E32" s="111">
        <f>SUM(E33:E45)</f>
        <v>3143951720</v>
      </c>
      <c r="F32" s="111"/>
      <c r="G32" s="111">
        <f t="shared" ref="G32:O32" si="6">SUM(G33:G45)</f>
        <v>0</v>
      </c>
      <c r="H32" s="111">
        <f t="shared" si="6"/>
        <v>0</v>
      </c>
      <c r="I32" s="111">
        <f t="shared" si="6"/>
        <v>0</v>
      </c>
      <c r="J32" s="111">
        <f t="shared" si="6"/>
        <v>0</v>
      </c>
      <c r="K32" s="111">
        <f t="shared" si="6"/>
        <v>0</v>
      </c>
      <c r="L32" s="111">
        <f t="shared" si="6"/>
        <v>0</v>
      </c>
      <c r="M32" s="111">
        <f t="shared" si="6"/>
        <v>0</v>
      </c>
      <c r="N32" s="111">
        <f t="shared" si="6"/>
        <v>0</v>
      </c>
      <c r="O32" s="112">
        <f t="shared" si="6"/>
        <v>6348890572</v>
      </c>
      <c r="P32" s="768"/>
    </row>
    <row r="33" spans="1:80" s="116" customFormat="1" ht="12.9" customHeight="1" x14ac:dyDescent="0.2">
      <c r="A33" s="777"/>
      <c r="B33" s="173" t="s">
        <v>95</v>
      </c>
      <c r="C33" s="404">
        <f>'[27]Hoja 1'!$G$22</f>
        <v>3084632</v>
      </c>
      <c r="D33" s="404">
        <f>'[28]Hoja 1'!$G$23</f>
        <v>4014671</v>
      </c>
      <c r="E33" s="404">
        <v>241842440</v>
      </c>
      <c r="F33" s="404">
        <v>241842440</v>
      </c>
      <c r="G33" s="404"/>
      <c r="H33" s="404"/>
      <c r="I33" s="404"/>
      <c r="J33" s="404"/>
      <c r="K33" s="404"/>
      <c r="L33" s="404"/>
      <c r="M33" s="404"/>
      <c r="N33" s="404"/>
      <c r="O33" s="433">
        <f t="shared" ref="O33:O45" si="7">+SUM(C33:N33)</f>
        <v>490784183</v>
      </c>
      <c r="P33" s="770"/>
    </row>
    <row r="34" spans="1:80" s="802" customFormat="1" ht="12.9" customHeight="1" x14ac:dyDescent="0.2">
      <c r="A34" s="801" t="s">
        <v>211</v>
      </c>
      <c r="B34" s="647" t="s">
        <v>212</v>
      </c>
      <c r="C34" s="170">
        <f>'[6]Hoja 1'!$C$97</f>
        <v>2500000</v>
      </c>
      <c r="D34" s="170">
        <f>'[4]Hoja 1'!$C$99</f>
        <v>3807000</v>
      </c>
      <c r="E34" s="170">
        <v>241842440</v>
      </c>
      <c r="F34" s="170">
        <v>241842440</v>
      </c>
      <c r="G34" s="170"/>
      <c r="H34" s="170"/>
      <c r="I34" s="170"/>
      <c r="J34" s="170"/>
      <c r="K34" s="170"/>
      <c r="L34" s="170"/>
      <c r="M34" s="170"/>
      <c r="N34" s="170"/>
      <c r="O34" s="403">
        <f t="shared" si="7"/>
        <v>489991880</v>
      </c>
      <c r="P34" s="772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02" customFormat="1" ht="12.9" customHeight="1" x14ac:dyDescent="0.2">
      <c r="A35" s="800"/>
      <c r="B35" s="647" t="s">
        <v>213</v>
      </c>
      <c r="C35" s="170"/>
      <c r="D35" s="170"/>
      <c r="E35" s="170">
        <v>241842440</v>
      </c>
      <c r="F35" s="170">
        <v>241842440</v>
      </c>
      <c r="G35" s="170"/>
      <c r="H35" s="170"/>
      <c r="I35" s="170"/>
      <c r="J35" s="170"/>
      <c r="K35" s="170"/>
      <c r="L35" s="170"/>
      <c r="M35" s="170"/>
      <c r="N35" s="939"/>
      <c r="O35" s="403">
        <f t="shared" si="7"/>
        <v>483684880</v>
      </c>
      <c r="P35" s="772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777" t="s">
        <v>214</v>
      </c>
      <c r="B36" s="173" t="s">
        <v>100</v>
      </c>
      <c r="C36" s="170"/>
      <c r="D36" s="170">
        <f>'[4]Hoja 1'!C103</f>
        <v>789106</v>
      </c>
      <c r="E36" s="170">
        <v>241842440</v>
      </c>
      <c r="F36" s="170">
        <v>241842440</v>
      </c>
      <c r="G36" s="170"/>
      <c r="H36" s="170"/>
      <c r="I36" s="170"/>
      <c r="J36" s="170"/>
      <c r="K36" s="170"/>
      <c r="L36" s="170"/>
      <c r="M36" s="403"/>
      <c r="N36" s="926"/>
      <c r="O36" s="403">
        <f t="shared" si="7"/>
        <v>484473986</v>
      </c>
      <c r="P36" s="768"/>
    </row>
    <row r="37" spans="1:80" ht="12.9" customHeight="1" x14ac:dyDescent="0.2">
      <c r="A37" s="777" t="s">
        <v>215</v>
      </c>
      <c r="B37" s="173" t="s">
        <v>102</v>
      </c>
      <c r="C37" s="170">
        <f>'[6]Hoja 1'!$C$99</f>
        <v>1261676</v>
      </c>
      <c r="D37" s="170">
        <f>'[4]Hoja 1'!C104</f>
        <v>1261676</v>
      </c>
      <c r="E37" s="170">
        <v>241842440</v>
      </c>
      <c r="F37" s="170">
        <v>241842440</v>
      </c>
      <c r="G37" s="170"/>
      <c r="H37" s="170"/>
      <c r="I37" s="170"/>
      <c r="J37" s="170"/>
      <c r="K37" s="170"/>
      <c r="L37" s="170"/>
      <c r="M37" s="170"/>
      <c r="N37" s="926"/>
      <c r="O37" s="403">
        <f t="shared" si="7"/>
        <v>486208232</v>
      </c>
      <c r="P37" s="768"/>
    </row>
    <row r="38" spans="1:80" ht="12.9" customHeight="1" x14ac:dyDescent="0.2">
      <c r="A38" s="777" t="s">
        <v>216</v>
      </c>
      <c r="B38" s="173" t="s">
        <v>103</v>
      </c>
      <c r="C38" s="170">
        <f>'[6]Hoja 1'!$C$101</f>
        <v>1110507</v>
      </c>
      <c r="D38" s="170">
        <f>'[4]Hoja 1'!$C$106</f>
        <v>735768</v>
      </c>
      <c r="E38" s="170">
        <v>241842440</v>
      </c>
      <c r="F38" s="170">
        <v>241842440</v>
      </c>
      <c r="G38" s="170"/>
      <c r="H38" s="170"/>
      <c r="I38" s="170"/>
      <c r="J38" s="170"/>
      <c r="K38" s="170"/>
      <c r="L38" s="170"/>
      <c r="M38" s="170"/>
      <c r="N38" s="170"/>
      <c r="O38" s="403">
        <f t="shared" si="7"/>
        <v>485531155</v>
      </c>
      <c r="P38" s="768"/>
    </row>
    <row r="39" spans="1:80" ht="12.9" customHeight="1" x14ac:dyDescent="0.2">
      <c r="A39" s="777" t="s">
        <v>217</v>
      </c>
      <c r="B39" s="647" t="s">
        <v>218</v>
      </c>
      <c r="C39" s="170">
        <f>'[6]Hoja 1'!$C$103</f>
        <v>2061530</v>
      </c>
      <c r="D39" s="170">
        <f>'[4]Hoja 1'!$C$108</f>
        <v>2472150</v>
      </c>
      <c r="E39" s="170">
        <v>241842440</v>
      </c>
      <c r="F39" s="170">
        <v>241842440</v>
      </c>
      <c r="G39" s="170"/>
      <c r="H39" s="170"/>
      <c r="I39" s="170"/>
      <c r="J39" s="170"/>
      <c r="K39" s="170"/>
      <c r="L39" s="170"/>
      <c r="M39" s="170"/>
      <c r="N39" s="170"/>
      <c r="O39" s="403">
        <f t="shared" si="7"/>
        <v>488218560</v>
      </c>
      <c r="P39" s="768"/>
    </row>
    <row r="40" spans="1:80" ht="12.9" customHeight="1" x14ac:dyDescent="0.2">
      <c r="A40" s="777" t="s">
        <v>219</v>
      </c>
      <c r="B40" s="647" t="s">
        <v>220</v>
      </c>
      <c r="C40" s="170">
        <f>'[6]Hoja 1'!C105</f>
        <v>5133313</v>
      </c>
      <c r="D40" s="170">
        <f>'[4]Hoja 1'!C110-98250</f>
        <v>6517652</v>
      </c>
      <c r="E40" s="170">
        <v>241842440</v>
      </c>
      <c r="F40" s="170">
        <v>241842440</v>
      </c>
      <c r="G40" s="170"/>
      <c r="H40" s="170"/>
      <c r="I40" s="170"/>
      <c r="J40" s="170"/>
      <c r="K40" s="170"/>
      <c r="L40" s="170"/>
      <c r="M40" s="170"/>
      <c r="N40" s="170"/>
      <c r="O40" s="403">
        <f t="shared" si="7"/>
        <v>495335845</v>
      </c>
      <c r="P40" s="768"/>
    </row>
    <row r="41" spans="1:80" ht="12.9" customHeight="1" x14ac:dyDescent="0.2">
      <c r="A41" s="777" t="s">
        <v>221</v>
      </c>
      <c r="B41" s="173" t="s">
        <v>222</v>
      </c>
      <c r="C41" s="170">
        <f>'[6]Hoja 1'!C106</f>
        <v>477584</v>
      </c>
      <c r="D41" s="170">
        <f>'[4]Hoja 1'!C111</f>
        <v>477584</v>
      </c>
      <c r="E41" s="170">
        <v>241842440</v>
      </c>
      <c r="F41" s="170">
        <v>241842440</v>
      </c>
      <c r="G41" s="170"/>
      <c r="H41" s="170"/>
      <c r="I41" s="170"/>
      <c r="J41" s="170"/>
      <c r="K41" s="170"/>
      <c r="L41" s="170"/>
      <c r="M41" s="170"/>
      <c r="N41" s="170"/>
      <c r="O41" s="403">
        <f t="shared" si="7"/>
        <v>484640048</v>
      </c>
      <c r="P41" s="768"/>
    </row>
    <row r="42" spans="1:80" ht="12.9" customHeight="1" x14ac:dyDescent="0.2">
      <c r="A42" s="777" t="s">
        <v>223</v>
      </c>
      <c r="B42" s="173" t="s">
        <v>224</v>
      </c>
      <c r="C42" s="170">
        <f>'[6]Hoja 1'!$C$108</f>
        <v>44800</v>
      </c>
      <c r="D42" s="170">
        <f>'[4]Hoja 1'!$C$113</f>
        <v>37400</v>
      </c>
      <c r="E42" s="170">
        <v>241842440</v>
      </c>
      <c r="F42" s="170">
        <v>241842440</v>
      </c>
      <c r="G42" s="170"/>
      <c r="H42" s="170"/>
      <c r="I42" s="170"/>
      <c r="J42" s="170"/>
      <c r="K42" s="170"/>
      <c r="L42" s="170"/>
      <c r="M42" s="170"/>
      <c r="N42" s="170"/>
      <c r="O42" s="403">
        <f t="shared" si="7"/>
        <v>483767080</v>
      </c>
      <c r="P42" s="768"/>
    </row>
    <row r="43" spans="1:80" ht="12.9" customHeight="1" x14ac:dyDescent="0.2">
      <c r="A43" s="777" t="s">
        <v>225</v>
      </c>
      <c r="B43" s="647" t="s">
        <v>226</v>
      </c>
      <c r="C43" s="170">
        <f>'[27]Hoja 1'!$G$11</f>
        <v>318182</v>
      </c>
      <c r="D43" s="170">
        <f>'[28]Hoja 1'!$G$11</f>
        <v>404040</v>
      </c>
      <c r="E43" s="170">
        <v>241842440</v>
      </c>
      <c r="F43" s="170">
        <v>241842440</v>
      </c>
      <c r="G43" s="170"/>
      <c r="H43" s="170"/>
      <c r="I43" s="170"/>
      <c r="J43" s="170"/>
      <c r="K43" s="170"/>
      <c r="L43" s="170"/>
      <c r="M43" s="170"/>
      <c r="N43" s="170"/>
      <c r="O43" s="403">
        <f t="shared" si="7"/>
        <v>484407102</v>
      </c>
      <c r="P43" s="768"/>
    </row>
    <row r="44" spans="1:80" ht="12.9" customHeight="1" x14ac:dyDescent="0.2">
      <c r="A44" s="777"/>
      <c r="B44" s="647" t="s">
        <v>227</v>
      </c>
      <c r="C44" s="170"/>
      <c r="D44" s="170"/>
      <c r="E44" s="170">
        <v>241842440</v>
      </c>
      <c r="F44" s="170">
        <v>241842440</v>
      </c>
      <c r="G44" s="170"/>
      <c r="H44" s="170"/>
      <c r="I44" s="170"/>
      <c r="J44" s="170"/>
      <c r="K44" s="170"/>
      <c r="L44" s="170"/>
      <c r="M44" s="170"/>
      <c r="N44" s="170"/>
      <c r="O44" s="403">
        <f t="shared" si="7"/>
        <v>483684880</v>
      </c>
      <c r="P44" s="768"/>
    </row>
    <row r="45" spans="1:80" ht="12.9" customHeight="1" x14ac:dyDescent="0.2">
      <c r="A45" s="777" t="s">
        <v>228</v>
      </c>
      <c r="B45" s="173" t="s">
        <v>229</v>
      </c>
      <c r="C45" s="405">
        <f>'[6]Hoja 1'!$C$112+'[3]Hoja 1'!$C$70+'[29]Hoja 1'!$C$109+'[30]Hoja 1'!$D$133+'[31]Hoja 1'!$C$101</f>
        <v>15758975</v>
      </c>
      <c r="D45" s="405">
        <f>'[4]Hoja 1'!$C$117+'[4]Hoja 1'!$C$312+'[5]Hoja 1'!$C$92+'[32]Hoja 1'!$C$89+'[33]Hoja 1'!$C$97</f>
        <v>8718886</v>
      </c>
      <c r="E45" s="405">
        <v>241842440</v>
      </c>
      <c r="F45" s="405">
        <v>241842440</v>
      </c>
      <c r="G45" s="405"/>
      <c r="H45" s="405"/>
      <c r="I45" s="405"/>
      <c r="J45" s="405"/>
      <c r="K45" s="405"/>
      <c r="L45" s="405"/>
      <c r="M45" s="405"/>
      <c r="N45" s="405"/>
      <c r="O45" s="403">
        <f t="shared" si="7"/>
        <v>508162741</v>
      </c>
      <c r="P45" s="768"/>
    </row>
    <row r="46" spans="1:80" s="116" customFormat="1" ht="15" customHeight="1" x14ac:dyDescent="0.2">
      <c r="A46" s="775"/>
      <c r="B46" s="110" t="s">
        <v>107</v>
      </c>
      <c r="C46" s="406">
        <f>SUM(C47:C51)</f>
        <v>326152</v>
      </c>
      <c r="D46" s="971">
        <f>SUM(D47:D51)</f>
        <v>7847000</v>
      </c>
      <c r="E46" s="406">
        <f>SUM(E47:E51)</f>
        <v>1209212200</v>
      </c>
      <c r="F46" s="406"/>
      <c r="G46" s="406">
        <f t="shared" ref="G46:O46" si="8">SUM(G47:G51)</f>
        <v>0</v>
      </c>
      <c r="H46" s="406">
        <f t="shared" si="8"/>
        <v>0</v>
      </c>
      <c r="I46" s="406">
        <f t="shared" si="8"/>
        <v>0</v>
      </c>
      <c r="J46" s="406">
        <f t="shared" si="8"/>
        <v>0</v>
      </c>
      <c r="K46" s="406">
        <f t="shared" si="8"/>
        <v>0</v>
      </c>
      <c r="L46" s="406">
        <f t="shared" si="8"/>
        <v>0</v>
      </c>
      <c r="M46" s="406">
        <f t="shared" si="8"/>
        <v>0</v>
      </c>
      <c r="N46" s="406">
        <f t="shared" si="8"/>
        <v>0</v>
      </c>
      <c r="O46" s="406">
        <f t="shared" si="8"/>
        <v>2426597552</v>
      </c>
      <c r="P46" s="768"/>
    </row>
    <row r="47" spans="1:80" ht="12.9" customHeight="1" x14ac:dyDescent="0.2">
      <c r="A47" s="777"/>
      <c r="B47" s="172" t="s">
        <v>108</v>
      </c>
      <c r="C47" s="404">
        <f>'[6]Hoja 1'!$C$115</f>
        <v>12852</v>
      </c>
      <c r="D47" s="404"/>
      <c r="E47" s="404">
        <v>241842440</v>
      </c>
      <c r="F47" s="404">
        <v>241842440</v>
      </c>
      <c r="G47" s="404"/>
      <c r="H47" s="404"/>
      <c r="I47" s="404"/>
      <c r="J47" s="404"/>
      <c r="K47" s="404"/>
      <c r="L47" s="404"/>
      <c r="M47" s="404"/>
      <c r="N47" s="404"/>
      <c r="O47" s="434">
        <f>+SUM(C47:N47)</f>
        <v>483697732</v>
      </c>
      <c r="P47" s="768"/>
    </row>
    <row r="48" spans="1:80" ht="12.9" customHeight="1" x14ac:dyDescent="0.2">
      <c r="A48" s="777"/>
      <c r="B48" s="178" t="s">
        <v>230</v>
      </c>
      <c r="C48" s="170"/>
      <c r="D48" s="170">
        <f>'[4]Hoja 1'!$C$120</f>
        <v>7663600</v>
      </c>
      <c r="E48" s="170">
        <v>241842440</v>
      </c>
      <c r="F48" s="170">
        <v>241842440</v>
      </c>
      <c r="G48" s="170"/>
      <c r="H48" s="170"/>
      <c r="I48" s="170"/>
      <c r="J48" s="170"/>
      <c r="K48" s="170"/>
      <c r="L48" s="170"/>
      <c r="M48" s="170"/>
      <c r="N48" s="170"/>
      <c r="O48" s="170">
        <f>+SUM(C48:N48)</f>
        <v>491348480</v>
      </c>
      <c r="P48" s="768"/>
    </row>
    <row r="49" spans="1:25" ht="12.9" customHeight="1" x14ac:dyDescent="0.2">
      <c r="A49" s="777"/>
      <c r="B49" s="178" t="s">
        <v>231</v>
      </c>
      <c r="C49" s="170">
        <f>'[6]Hoja 1'!$C$117</f>
        <v>16800</v>
      </c>
      <c r="D49" s="170"/>
      <c r="E49" s="170">
        <v>241842440</v>
      </c>
      <c r="F49" s="170">
        <v>241842440</v>
      </c>
      <c r="G49" s="170"/>
      <c r="H49" s="170"/>
      <c r="I49" s="170"/>
      <c r="J49" s="170"/>
      <c r="K49" s="170"/>
      <c r="L49" s="170"/>
      <c r="M49" s="170"/>
      <c r="N49" s="170"/>
      <c r="O49" s="170">
        <f>+SUM(C49:N49)</f>
        <v>483701680</v>
      </c>
      <c r="P49" s="768"/>
    </row>
    <row r="50" spans="1:25" ht="12.9" customHeight="1" x14ac:dyDescent="0.2">
      <c r="A50" s="777"/>
      <c r="B50" s="173" t="s">
        <v>232</v>
      </c>
      <c r="C50" s="921"/>
      <c r="D50" s="921"/>
      <c r="E50" s="921">
        <v>241842440</v>
      </c>
      <c r="F50" s="921">
        <v>241842440</v>
      </c>
      <c r="G50" s="921"/>
      <c r="H50" s="921"/>
      <c r="I50" s="921"/>
      <c r="J50" s="921"/>
      <c r="K50" s="921"/>
      <c r="L50" s="921"/>
      <c r="M50" s="921"/>
      <c r="N50" s="921"/>
      <c r="O50" s="170">
        <f>+SUM(C50:N50)</f>
        <v>483684880</v>
      </c>
      <c r="P50" s="768"/>
    </row>
    <row r="51" spans="1:25" ht="12.9" customHeight="1" x14ac:dyDescent="0.2">
      <c r="A51" s="777" t="s">
        <v>233</v>
      </c>
      <c r="B51" s="175" t="s">
        <v>234</v>
      </c>
      <c r="C51" s="904">
        <f>'[6]Hoja 1'!$C$118</f>
        <v>296500</v>
      </c>
      <c r="D51" s="904">
        <f>'[4]Hoja 1'!$C$121</f>
        <v>183400</v>
      </c>
      <c r="E51" s="904">
        <v>241842440</v>
      </c>
      <c r="F51" s="904">
        <v>241842440</v>
      </c>
      <c r="G51" s="904"/>
      <c r="H51" s="904"/>
      <c r="I51" s="904"/>
      <c r="J51" s="904"/>
      <c r="K51" s="904"/>
      <c r="L51" s="904"/>
      <c r="M51" s="904"/>
      <c r="N51" s="904"/>
      <c r="O51" s="435">
        <f>+SUM(C51:N51)</f>
        <v>484164780</v>
      </c>
      <c r="P51" s="768"/>
    </row>
    <row r="52" spans="1:25" s="116" customFormat="1" ht="15" customHeight="1" x14ac:dyDescent="0.2">
      <c r="A52" s="775"/>
      <c r="B52" s="157" t="s">
        <v>235</v>
      </c>
      <c r="C52" s="111">
        <f>SUM(C53:C58)</f>
        <v>9015375</v>
      </c>
      <c r="D52" s="970">
        <f>SUM(D53:D58)</f>
        <v>4327174</v>
      </c>
      <c r="E52" s="111">
        <f>SUM(E53:E58)</f>
        <v>1451054640</v>
      </c>
      <c r="F52" s="111"/>
      <c r="G52" s="111">
        <f t="shared" ref="G52:O52" si="9">SUM(G53:G58)</f>
        <v>0</v>
      </c>
      <c r="H52" s="111">
        <f t="shared" si="9"/>
        <v>0</v>
      </c>
      <c r="I52" s="111">
        <f t="shared" si="9"/>
        <v>0</v>
      </c>
      <c r="J52" s="111">
        <f t="shared" si="9"/>
        <v>0</v>
      </c>
      <c r="K52" s="111">
        <f t="shared" si="9"/>
        <v>0</v>
      </c>
      <c r="L52" s="111">
        <f t="shared" si="9"/>
        <v>0</v>
      </c>
      <c r="M52" s="111">
        <f t="shared" si="9"/>
        <v>0</v>
      </c>
      <c r="N52" s="111">
        <f t="shared" si="9"/>
        <v>0</v>
      </c>
      <c r="O52" s="111">
        <f t="shared" si="9"/>
        <v>2915451829</v>
      </c>
      <c r="P52" s="768"/>
    </row>
    <row r="53" spans="1:25" ht="12.9" customHeight="1" x14ac:dyDescent="0.2">
      <c r="A53" s="777" t="s">
        <v>236</v>
      </c>
      <c r="B53" s="173" t="s">
        <v>88</v>
      </c>
      <c r="C53" s="404">
        <f>'[6]Hoja 1'!$C$123</f>
        <v>5372255</v>
      </c>
      <c r="D53" s="404">
        <f>'[4]Hoja 1'!$C$126</f>
        <v>1894710</v>
      </c>
      <c r="E53" s="404">
        <v>241842440</v>
      </c>
      <c r="F53" s="404">
        <v>241842440</v>
      </c>
      <c r="G53" s="404"/>
      <c r="H53" s="404"/>
      <c r="I53" s="404"/>
      <c r="J53" s="404"/>
      <c r="K53" s="404"/>
      <c r="L53" s="404"/>
      <c r="M53" s="404"/>
      <c r="N53" s="927"/>
      <c r="O53" s="170">
        <f t="shared" ref="O53:O58" si="10">+SUM(C53:N53)</f>
        <v>490951845</v>
      </c>
      <c r="P53" s="768"/>
    </row>
    <row r="54" spans="1:25" ht="12.9" customHeight="1" x14ac:dyDescent="0.2">
      <c r="A54" s="777" t="s">
        <v>237</v>
      </c>
      <c r="B54" s="173" t="s">
        <v>89</v>
      </c>
      <c r="C54" s="170"/>
      <c r="D54" s="170">
        <f>'[4]Hoja 1'!$C$128-318000+'[4]Hoja 1'!$C$129</f>
        <v>2114464</v>
      </c>
      <c r="E54" s="978">
        <v>241842440</v>
      </c>
      <c r="F54" s="170">
        <v>241842440</v>
      </c>
      <c r="G54" s="170"/>
      <c r="H54" s="170"/>
      <c r="I54" s="170"/>
      <c r="J54" s="170"/>
      <c r="K54" s="170"/>
      <c r="L54" s="170"/>
      <c r="M54" s="170"/>
      <c r="N54" s="926"/>
      <c r="O54" s="170">
        <f t="shared" si="10"/>
        <v>485799344</v>
      </c>
      <c r="P54" s="768"/>
    </row>
    <row r="55" spans="1:25" ht="12.9" customHeight="1" x14ac:dyDescent="0.2">
      <c r="A55" s="777"/>
      <c r="B55" s="173" t="s">
        <v>90</v>
      </c>
      <c r="C55" s="170"/>
      <c r="D55" s="170"/>
      <c r="E55" s="170">
        <v>241842440</v>
      </c>
      <c r="F55" s="170">
        <v>241842440</v>
      </c>
      <c r="G55" s="170"/>
      <c r="H55" s="170"/>
      <c r="I55" s="170"/>
      <c r="J55" s="170"/>
      <c r="K55" s="170"/>
      <c r="L55" s="170"/>
      <c r="M55" s="170"/>
      <c r="N55" s="170"/>
      <c r="O55" s="170">
        <f t="shared" si="10"/>
        <v>483684880</v>
      </c>
      <c r="P55" s="768"/>
    </row>
    <row r="56" spans="1:25" ht="12.9" customHeight="1" x14ac:dyDescent="0.2">
      <c r="A56" s="777" t="s">
        <v>238</v>
      </c>
      <c r="B56" s="173" t="s">
        <v>117</v>
      </c>
      <c r="C56" s="170">
        <f>'[6]Hoja 1'!$C$158</f>
        <v>253040</v>
      </c>
      <c r="D56" s="170">
        <v>318000</v>
      </c>
      <c r="E56" s="170">
        <v>241842440</v>
      </c>
      <c r="F56" s="170">
        <v>241842440</v>
      </c>
      <c r="G56" s="170"/>
      <c r="H56" s="170"/>
      <c r="I56" s="170"/>
      <c r="J56" s="170"/>
      <c r="K56" s="170"/>
      <c r="L56" s="170"/>
      <c r="M56" s="170"/>
      <c r="N56" s="926"/>
      <c r="O56" s="170">
        <f t="shared" si="10"/>
        <v>484255920</v>
      </c>
      <c r="P56" s="768"/>
    </row>
    <row r="57" spans="1:25" ht="12.9" customHeight="1" x14ac:dyDescent="0.2">
      <c r="A57" s="777" t="s">
        <v>239</v>
      </c>
      <c r="B57" s="173" t="s">
        <v>240</v>
      </c>
      <c r="C57" s="435">
        <f>'[6]Hoja 1'!$C$127</f>
        <v>3115080</v>
      </c>
      <c r="D57" s="435"/>
      <c r="E57" s="435">
        <v>241842440</v>
      </c>
      <c r="F57" s="435">
        <v>241842440</v>
      </c>
      <c r="G57" s="435"/>
      <c r="H57" s="435"/>
      <c r="I57" s="435"/>
      <c r="J57" s="435"/>
      <c r="K57" s="435"/>
      <c r="L57" s="435"/>
      <c r="M57" s="435"/>
      <c r="N57" s="435"/>
      <c r="O57" s="170">
        <f t="shared" si="10"/>
        <v>486799960</v>
      </c>
      <c r="P57" s="771"/>
    </row>
    <row r="58" spans="1:25" ht="12.9" customHeight="1" x14ac:dyDescent="0.2">
      <c r="A58" s="777" t="s">
        <v>237</v>
      </c>
      <c r="B58" s="173" t="s">
        <v>241</v>
      </c>
      <c r="C58" s="405">
        <f>'[6]Hoja 1'!$C$125</f>
        <v>275000</v>
      </c>
      <c r="D58" s="405"/>
      <c r="E58" s="979">
        <v>241842440</v>
      </c>
      <c r="F58" s="405">
        <v>241842440</v>
      </c>
      <c r="G58" s="405"/>
      <c r="H58" s="405"/>
      <c r="I58" s="405"/>
      <c r="J58" s="405"/>
      <c r="K58" s="405"/>
      <c r="L58" s="405"/>
      <c r="M58" s="405"/>
      <c r="N58" s="405"/>
      <c r="O58" s="170">
        <f t="shared" si="10"/>
        <v>483959880</v>
      </c>
      <c r="P58" s="768"/>
    </row>
    <row r="59" spans="1:25" ht="15" customHeight="1" x14ac:dyDescent="0.2">
      <c r="A59" s="775"/>
      <c r="B59" s="922" t="s">
        <v>118</v>
      </c>
      <c r="C59" s="407">
        <f>SUM(C60:C61)</f>
        <v>0</v>
      </c>
      <c r="D59" s="972">
        <f>SUM(D60:D61)</f>
        <v>0</v>
      </c>
      <c r="E59" s="407">
        <f>SUM(E60:E61)</f>
        <v>483684880</v>
      </c>
      <c r="F59" s="407"/>
      <c r="G59" s="407">
        <f t="shared" ref="G59:O59" si="11">SUM(G60:G61)</f>
        <v>0</v>
      </c>
      <c r="H59" s="407">
        <f t="shared" si="11"/>
        <v>0</v>
      </c>
      <c r="I59" s="407">
        <f t="shared" si="11"/>
        <v>0</v>
      </c>
      <c r="J59" s="407">
        <f t="shared" si="11"/>
        <v>0</v>
      </c>
      <c r="K59" s="407">
        <f t="shared" si="11"/>
        <v>0</v>
      </c>
      <c r="L59" s="407">
        <f t="shared" si="11"/>
        <v>0</v>
      </c>
      <c r="M59" s="407">
        <f t="shared" si="11"/>
        <v>0</v>
      </c>
      <c r="N59" s="407">
        <f t="shared" si="11"/>
        <v>0</v>
      </c>
      <c r="O59" s="407">
        <f t="shared" si="11"/>
        <v>967369760</v>
      </c>
      <c r="P59" s="768"/>
    </row>
    <row r="60" spans="1:25" s="143" customFormat="1" ht="12.9" customHeight="1" x14ac:dyDescent="0.2">
      <c r="A60" s="800"/>
      <c r="B60" s="940" t="s">
        <v>242</v>
      </c>
      <c r="C60" s="169"/>
      <c r="D60" s="169"/>
      <c r="E60" s="169">
        <v>241842440</v>
      </c>
      <c r="F60" s="169">
        <v>241842440</v>
      </c>
      <c r="G60" s="169"/>
      <c r="H60" s="169"/>
      <c r="I60" s="169"/>
      <c r="J60" s="169"/>
      <c r="K60" s="169"/>
      <c r="L60" s="169"/>
      <c r="M60" s="169"/>
      <c r="N60" s="169"/>
      <c r="O60" s="170">
        <f>+SUM(C60:N60)</f>
        <v>483684880</v>
      </c>
      <c r="P60" s="772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00"/>
      <c r="B61" s="177" t="s">
        <v>120</v>
      </c>
      <c r="C61" s="918"/>
      <c r="D61" s="918"/>
      <c r="E61" s="918">
        <v>241842440</v>
      </c>
      <c r="F61" s="918">
        <v>241842440</v>
      </c>
      <c r="G61" s="918"/>
      <c r="H61" s="918"/>
      <c r="I61" s="918"/>
      <c r="J61" s="918"/>
      <c r="K61" s="918"/>
      <c r="L61" s="918"/>
      <c r="M61" s="918"/>
      <c r="N61" s="918"/>
      <c r="O61" s="170">
        <f>+SUM(C61:N61)</f>
        <v>483684880</v>
      </c>
      <c r="P61" s="772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775"/>
      <c r="B62" s="110" t="s">
        <v>121</v>
      </c>
      <c r="C62" s="111">
        <f>SUM(C63:C65)</f>
        <v>0</v>
      </c>
      <c r="D62" s="970">
        <f>SUM(D63:D65)</f>
        <v>0</v>
      </c>
      <c r="E62" s="111">
        <f>SUM(E63:E65)</f>
        <v>725527320</v>
      </c>
      <c r="F62" s="111"/>
      <c r="G62" s="111">
        <f t="shared" ref="G62:O62" si="12">SUM(G63:G65)</f>
        <v>0</v>
      </c>
      <c r="H62" s="111">
        <f t="shared" si="12"/>
        <v>0</v>
      </c>
      <c r="I62" s="111">
        <f t="shared" si="12"/>
        <v>0</v>
      </c>
      <c r="J62" s="111">
        <f t="shared" si="12"/>
        <v>0</v>
      </c>
      <c r="K62" s="111">
        <f t="shared" si="12"/>
        <v>0</v>
      </c>
      <c r="L62" s="111">
        <f t="shared" si="12"/>
        <v>0</v>
      </c>
      <c r="M62" s="111">
        <f t="shared" si="12"/>
        <v>0</v>
      </c>
      <c r="N62" s="111">
        <f t="shared" si="12"/>
        <v>0</v>
      </c>
      <c r="O62" s="111">
        <f t="shared" si="12"/>
        <v>1451054640</v>
      </c>
      <c r="P62" s="768"/>
    </row>
    <row r="63" spans="1:25" ht="12.9" customHeight="1" x14ac:dyDescent="0.2">
      <c r="A63" s="777" t="s">
        <v>243</v>
      </c>
      <c r="B63" s="172" t="s">
        <v>244</v>
      </c>
      <c r="C63" s="404"/>
      <c r="D63" s="404"/>
      <c r="E63" s="404">
        <v>241842440</v>
      </c>
      <c r="F63" s="404">
        <v>241842440</v>
      </c>
      <c r="G63" s="404"/>
      <c r="H63" s="404"/>
      <c r="I63" s="404"/>
      <c r="J63" s="404"/>
      <c r="K63" s="404"/>
      <c r="L63" s="404"/>
      <c r="M63" s="404"/>
      <c r="N63" s="404"/>
      <c r="O63" s="433">
        <f>+SUM(C63:N63)</f>
        <v>483684880</v>
      </c>
      <c r="P63" s="768"/>
    </row>
    <row r="64" spans="1:25" ht="12.9" customHeight="1" x14ac:dyDescent="0.2">
      <c r="A64" s="777" t="s">
        <v>245</v>
      </c>
      <c r="B64" s="178" t="s">
        <v>123</v>
      </c>
      <c r="C64" s="170"/>
      <c r="D64" s="170"/>
      <c r="E64" s="923">
        <v>241842440</v>
      </c>
      <c r="F64" s="170">
        <v>241842440</v>
      </c>
      <c r="G64" s="170"/>
      <c r="H64" s="170"/>
      <c r="I64" s="170"/>
      <c r="J64" s="170"/>
      <c r="K64" s="170"/>
      <c r="L64" s="170"/>
      <c r="M64" s="170"/>
      <c r="N64" s="170"/>
      <c r="O64" s="403">
        <f>+SUM(C64:N64)</f>
        <v>483684880</v>
      </c>
      <c r="P64" s="768"/>
    </row>
    <row r="65" spans="1:82" ht="12.9" customHeight="1" x14ac:dyDescent="0.2">
      <c r="A65" s="777"/>
      <c r="B65" s="174" t="s">
        <v>124</v>
      </c>
      <c r="C65" s="405"/>
      <c r="D65" s="405"/>
      <c r="E65" s="405">
        <v>241842440</v>
      </c>
      <c r="F65" s="405">
        <v>241842440</v>
      </c>
      <c r="G65" s="405"/>
      <c r="H65" s="405"/>
      <c r="I65" s="405"/>
      <c r="J65" s="405"/>
      <c r="K65" s="405"/>
      <c r="L65" s="405"/>
      <c r="M65" s="408"/>
      <c r="N65" s="408"/>
      <c r="O65" s="408">
        <f>+SUM(C65:N65)</f>
        <v>483684880</v>
      </c>
      <c r="P65" s="768"/>
    </row>
    <row r="66" spans="1:82" s="116" customFormat="1" ht="15" customHeight="1" x14ac:dyDescent="0.2">
      <c r="A66" s="775"/>
      <c r="B66" s="739" t="s">
        <v>125</v>
      </c>
      <c r="C66" s="111">
        <f>SUM(C67:C88)</f>
        <v>57576577.850000001</v>
      </c>
      <c r="D66" s="970">
        <f>SUM(D67:D88)</f>
        <v>89979284.680000007</v>
      </c>
      <c r="E66" s="111">
        <f>SUM(E67:E88)</f>
        <v>5320533680</v>
      </c>
      <c r="F66" s="111"/>
      <c r="G66" s="111">
        <f t="shared" ref="G66:O66" si="13">SUM(G67:G88)</f>
        <v>0</v>
      </c>
      <c r="H66" s="111">
        <f t="shared" si="13"/>
        <v>0</v>
      </c>
      <c r="I66" s="111">
        <f t="shared" si="13"/>
        <v>0</v>
      </c>
      <c r="J66" s="111">
        <f t="shared" si="13"/>
        <v>0</v>
      </c>
      <c r="K66" s="111">
        <f t="shared" si="13"/>
        <v>0</v>
      </c>
      <c r="L66" s="111">
        <f t="shared" si="13"/>
        <v>0</v>
      </c>
      <c r="M66" s="111">
        <f t="shared" si="13"/>
        <v>0</v>
      </c>
      <c r="N66" s="111">
        <f t="shared" si="13"/>
        <v>0</v>
      </c>
      <c r="O66" s="111">
        <f t="shared" si="13"/>
        <v>10788623222.529999</v>
      </c>
      <c r="P66" s="768"/>
    </row>
    <row r="67" spans="1:82" s="116" customFormat="1" ht="12.9" customHeight="1" x14ac:dyDescent="0.2">
      <c r="A67" s="777" t="s">
        <v>246</v>
      </c>
      <c r="B67" s="172" t="s">
        <v>247</v>
      </c>
      <c r="C67" s="404">
        <f>'[6]Hoja 1'!$C$133</f>
        <v>5120451</v>
      </c>
      <c r="D67" s="404">
        <f>'[4]Hoja 1'!$C$135</f>
        <v>1900000</v>
      </c>
      <c r="E67" s="404">
        <v>241842440</v>
      </c>
      <c r="F67" s="404">
        <v>241842440</v>
      </c>
      <c r="G67" s="404"/>
      <c r="H67" s="404"/>
      <c r="I67" s="404"/>
      <c r="J67" s="404"/>
      <c r="K67" s="404"/>
      <c r="L67" s="404"/>
      <c r="M67" s="404"/>
      <c r="N67" s="404"/>
      <c r="O67" s="170">
        <f t="shared" ref="O67:O89" si="14">+SUM(C67:N67)</f>
        <v>490705331</v>
      </c>
      <c r="P67" s="768"/>
    </row>
    <row r="68" spans="1:82" s="116" customFormat="1" ht="12.9" customHeight="1" x14ac:dyDescent="0.2">
      <c r="A68" s="777"/>
      <c r="B68" s="178" t="s">
        <v>248</v>
      </c>
      <c r="C68" s="170"/>
      <c r="D68" s="170"/>
      <c r="E68" s="170">
        <v>241842440</v>
      </c>
      <c r="F68" s="170">
        <v>241842440</v>
      </c>
      <c r="G68" s="924"/>
      <c r="H68" s="170"/>
      <c r="I68" s="170"/>
      <c r="J68" s="170"/>
      <c r="K68" s="170"/>
      <c r="L68" s="170"/>
      <c r="M68" s="170"/>
      <c r="N68" s="170"/>
      <c r="O68" s="170">
        <f t="shared" si="14"/>
        <v>483684880</v>
      </c>
      <c r="P68" s="768"/>
    </row>
    <row r="69" spans="1:82" ht="12.9" customHeight="1" x14ac:dyDescent="0.2">
      <c r="A69" s="777" t="s">
        <v>249</v>
      </c>
      <c r="B69" s="178" t="s">
        <v>250</v>
      </c>
      <c r="C69" s="171">
        <f>'[6]Hoja 1'!$C$135</f>
        <v>3232020.85</v>
      </c>
      <c r="D69" s="171">
        <f>'[4]Hoja 1'!$C$137</f>
        <v>90000</v>
      </c>
      <c r="E69" s="171">
        <v>241842440</v>
      </c>
      <c r="F69" s="171">
        <v>241842440</v>
      </c>
      <c r="G69" s="171"/>
      <c r="H69" s="171"/>
      <c r="I69" s="171"/>
      <c r="J69" s="171"/>
      <c r="K69" s="171"/>
      <c r="L69" s="171"/>
      <c r="M69" s="171"/>
      <c r="N69" s="171"/>
      <c r="O69" s="170">
        <f t="shared" si="14"/>
        <v>487006900.85000002</v>
      </c>
      <c r="P69" s="771"/>
    </row>
    <row r="70" spans="1:82" s="143" customFormat="1" ht="12.9" customHeight="1" x14ac:dyDescent="0.2">
      <c r="A70" s="777" t="s">
        <v>251</v>
      </c>
      <c r="B70" s="178" t="s">
        <v>252</v>
      </c>
      <c r="C70" s="171">
        <f>'[6]Hoja 1'!$C$137+'[6]Hoja 1'!$C$402</f>
        <v>1128406</v>
      </c>
      <c r="D70" s="171">
        <f>'[4]Hoja 1'!$C$139</f>
        <v>15441534</v>
      </c>
      <c r="E70" s="171">
        <v>241842440</v>
      </c>
      <c r="F70" s="171">
        <v>241842440</v>
      </c>
      <c r="G70" s="171"/>
      <c r="H70" s="171"/>
      <c r="I70" s="171"/>
      <c r="J70" s="171"/>
      <c r="K70" s="171"/>
      <c r="L70" s="171"/>
      <c r="M70" s="171"/>
      <c r="N70" s="171"/>
      <c r="O70" s="170">
        <f t="shared" si="14"/>
        <v>500254820</v>
      </c>
      <c r="P70" s="768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777" t="s">
        <v>253</v>
      </c>
      <c r="B71" s="178" t="s">
        <v>254</v>
      </c>
      <c r="C71" s="171"/>
      <c r="D71" s="171"/>
      <c r="E71" s="171">
        <v>241842440</v>
      </c>
      <c r="F71" s="171">
        <v>241842440</v>
      </c>
      <c r="G71" s="171"/>
      <c r="H71" s="171"/>
      <c r="I71" s="171"/>
      <c r="J71" s="171"/>
      <c r="K71" s="171"/>
      <c r="L71" s="171"/>
      <c r="M71" s="171"/>
      <c r="N71" s="171"/>
      <c r="O71" s="170">
        <f t="shared" si="14"/>
        <v>483684880</v>
      </c>
      <c r="P71" s="768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777" t="s">
        <v>255</v>
      </c>
      <c r="B72" s="178" t="s">
        <v>256</v>
      </c>
      <c r="C72" s="171">
        <v>964175</v>
      </c>
      <c r="D72" s="171">
        <v>1186883</v>
      </c>
      <c r="E72" s="171">
        <v>241842440</v>
      </c>
      <c r="F72" s="171">
        <v>241842440</v>
      </c>
      <c r="G72" s="171"/>
      <c r="H72" s="171"/>
      <c r="I72" s="171"/>
      <c r="J72" s="171"/>
      <c r="K72" s="171"/>
      <c r="L72" s="171"/>
      <c r="M72" s="171"/>
      <c r="N72" s="171"/>
      <c r="O72" s="170">
        <f t="shared" si="14"/>
        <v>485835938</v>
      </c>
      <c r="P72" s="768"/>
    </row>
    <row r="73" spans="1:82" ht="12.9" customHeight="1" x14ac:dyDescent="0.2">
      <c r="A73" s="777" t="s">
        <v>257</v>
      </c>
      <c r="B73" s="178" t="s">
        <v>258</v>
      </c>
      <c r="C73" s="171">
        <f>'[6]Hoja 1'!$C$141</f>
        <v>1213800</v>
      </c>
      <c r="D73" s="171">
        <f>'[4]Hoja 1'!$C$143</f>
        <v>1273497</v>
      </c>
      <c r="E73" s="171">
        <v>241842440</v>
      </c>
      <c r="F73" s="171">
        <v>241842440</v>
      </c>
      <c r="G73" s="171"/>
      <c r="H73" s="171"/>
      <c r="I73" s="171"/>
      <c r="J73" s="171"/>
      <c r="K73" s="171"/>
      <c r="L73" s="171"/>
      <c r="M73" s="171"/>
      <c r="N73" s="171"/>
      <c r="O73" s="170">
        <f t="shared" si="14"/>
        <v>486172177</v>
      </c>
      <c r="P73" s="768"/>
    </row>
    <row r="74" spans="1:82" ht="12.9" customHeight="1" x14ac:dyDescent="0.2">
      <c r="A74" s="777" t="s">
        <v>259</v>
      </c>
      <c r="B74" s="178" t="s">
        <v>260</v>
      </c>
      <c r="C74" s="171">
        <f>'[6]Hoja 1'!$C$143</f>
        <v>485159</v>
      </c>
      <c r="D74" s="171">
        <f>'[4]Hoja 1'!$C$145</f>
        <v>679316</v>
      </c>
      <c r="E74" s="171">
        <v>241842440</v>
      </c>
      <c r="F74" s="171">
        <v>241842440</v>
      </c>
      <c r="G74" s="171"/>
      <c r="H74" s="171"/>
      <c r="I74" s="171"/>
      <c r="J74" s="171"/>
      <c r="K74" s="171"/>
      <c r="L74" s="171"/>
      <c r="M74" s="171"/>
      <c r="N74" s="171"/>
      <c r="O74" s="170">
        <f t="shared" si="14"/>
        <v>484849355</v>
      </c>
      <c r="P74" s="768"/>
    </row>
    <row r="75" spans="1:82" ht="12.9" customHeight="1" x14ac:dyDescent="0.2">
      <c r="A75" s="777" t="s">
        <v>261</v>
      </c>
      <c r="B75" s="178" t="s">
        <v>262</v>
      </c>
      <c r="C75" s="171">
        <f>'[6]Hoja 1'!$C$145</f>
        <v>882585</v>
      </c>
      <c r="D75" s="171">
        <f>'[4]Hoja 1'!$C$147</f>
        <v>2961768.68</v>
      </c>
      <c r="E75" s="171">
        <v>241842440</v>
      </c>
      <c r="F75" s="171">
        <v>241842440</v>
      </c>
      <c r="G75" s="171"/>
      <c r="H75" s="171"/>
      <c r="I75" s="171"/>
      <c r="J75" s="171"/>
      <c r="K75" s="171"/>
      <c r="L75" s="171"/>
      <c r="M75" s="171"/>
      <c r="N75" s="171"/>
      <c r="O75" s="170">
        <f t="shared" si="14"/>
        <v>487529233.68000001</v>
      </c>
      <c r="P75" s="768"/>
    </row>
    <row r="76" spans="1:82" ht="12.9" customHeight="1" x14ac:dyDescent="0.2">
      <c r="A76" s="777" t="s">
        <v>263</v>
      </c>
      <c r="B76" s="178" t="s">
        <v>264</v>
      </c>
      <c r="C76" s="171">
        <f>'[6]Hoja 1'!$C$148</f>
        <v>33900</v>
      </c>
      <c r="D76" s="171">
        <f>'[4]Hoja 1'!$C$150</f>
        <v>27100</v>
      </c>
      <c r="E76" s="171">
        <v>241842440</v>
      </c>
      <c r="F76" s="171">
        <v>241842440</v>
      </c>
      <c r="G76" s="171"/>
      <c r="H76" s="171"/>
      <c r="I76" s="171"/>
      <c r="J76" s="171"/>
      <c r="K76" s="171"/>
      <c r="L76" s="171"/>
      <c r="M76" s="171"/>
      <c r="N76" s="171"/>
      <c r="O76" s="170">
        <f t="shared" si="14"/>
        <v>483745880</v>
      </c>
      <c r="P76" s="768"/>
    </row>
    <row r="77" spans="1:82" ht="12.9" customHeight="1" x14ac:dyDescent="0.2">
      <c r="A77" s="777" t="s">
        <v>265</v>
      </c>
      <c r="B77" s="178" t="s">
        <v>140</v>
      </c>
      <c r="C77" s="171">
        <f>'[6]Hoja 1'!$C$150</f>
        <v>1927200</v>
      </c>
      <c r="D77" s="171">
        <f>'[4]Hoja 1'!$C$152</f>
        <v>2470200</v>
      </c>
      <c r="E77" s="171">
        <v>241842440</v>
      </c>
      <c r="F77" s="171">
        <v>241842440</v>
      </c>
      <c r="G77" s="171"/>
      <c r="H77" s="171"/>
      <c r="I77" s="171"/>
      <c r="J77" s="171"/>
      <c r="K77" s="171"/>
      <c r="L77" s="171"/>
      <c r="M77" s="171"/>
      <c r="N77" s="171"/>
      <c r="O77" s="170">
        <f t="shared" si="14"/>
        <v>488082280</v>
      </c>
      <c r="P77" s="768"/>
    </row>
    <row r="78" spans="1:82" s="143" customFormat="1" ht="12.9" customHeight="1" x14ac:dyDescent="0.2">
      <c r="A78" s="777" t="s">
        <v>266</v>
      </c>
      <c r="B78" s="176" t="s">
        <v>267</v>
      </c>
      <c r="C78" s="925">
        <f>'[6]Hoja 1'!$C$152</f>
        <v>5349907</v>
      </c>
      <c r="D78" s="170">
        <f>'[4]Hoja 1'!$C$154</f>
        <v>508300</v>
      </c>
      <c r="E78" s="170">
        <v>241842440</v>
      </c>
      <c r="F78" s="170">
        <v>241842440</v>
      </c>
      <c r="G78" s="170"/>
      <c r="H78" s="170"/>
      <c r="I78" s="170"/>
      <c r="J78" s="170"/>
      <c r="K78" s="170"/>
      <c r="L78" s="170"/>
      <c r="M78" s="170"/>
      <c r="N78" s="170"/>
      <c r="O78" s="170">
        <f t="shared" si="14"/>
        <v>489543087</v>
      </c>
      <c r="P78" s="768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777" t="s">
        <v>268</v>
      </c>
      <c r="B79" s="176" t="s">
        <v>142</v>
      </c>
      <c r="C79" s="170">
        <f>'[6]Hoja 1'!$C$153</f>
        <v>3927000</v>
      </c>
      <c r="D79" s="170">
        <f>'[4]Hoja 1'!$C$155</f>
        <v>319799</v>
      </c>
      <c r="E79" s="170">
        <v>241842440</v>
      </c>
      <c r="F79" s="170">
        <v>241842440</v>
      </c>
      <c r="G79" s="170"/>
      <c r="H79" s="170"/>
      <c r="I79" s="170"/>
      <c r="J79" s="170"/>
      <c r="K79" s="170"/>
      <c r="L79" s="170"/>
      <c r="M79" s="170"/>
      <c r="N79" s="170"/>
      <c r="O79" s="170">
        <f t="shared" si="14"/>
        <v>487931679</v>
      </c>
      <c r="P79" s="768"/>
    </row>
    <row r="80" spans="1:82" ht="12.9" customHeight="1" x14ac:dyDescent="0.2">
      <c r="A80" s="777" t="s">
        <v>269</v>
      </c>
      <c r="B80" s="178" t="s">
        <v>270</v>
      </c>
      <c r="C80" s="170">
        <f>'[6]Hoja 1'!$C$154</f>
        <v>800000</v>
      </c>
      <c r="D80" s="170">
        <f>'[4]Hoja 1'!$C$156</f>
        <v>800000</v>
      </c>
      <c r="E80" s="170">
        <v>241842440</v>
      </c>
      <c r="F80" s="170">
        <v>241842440</v>
      </c>
      <c r="G80" s="170"/>
      <c r="H80" s="170"/>
      <c r="I80" s="170"/>
      <c r="J80" s="170"/>
      <c r="K80" s="170"/>
      <c r="L80" s="170"/>
      <c r="M80" s="170"/>
      <c r="N80" s="170"/>
      <c r="O80" s="170">
        <f t="shared" si="14"/>
        <v>485284880</v>
      </c>
      <c r="P80" s="768"/>
    </row>
    <row r="81" spans="1:80" ht="12.9" customHeight="1" x14ac:dyDescent="0.2">
      <c r="A81" s="777">
        <v>51959510</v>
      </c>
      <c r="B81" s="178" t="s">
        <v>143</v>
      </c>
      <c r="C81" s="170">
        <f>'[6]Hoja 1'!$C$156</f>
        <v>2178708</v>
      </c>
      <c r="D81" s="170">
        <f>'[4]Hoja 1'!$C$159</f>
        <v>4623150</v>
      </c>
      <c r="E81" s="170">
        <v>241842440</v>
      </c>
      <c r="F81" s="170">
        <v>241842440</v>
      </c>
      <c r="G81" s="170"/>
      <c r="H81" s="170"/>
      <c r="I81" s="170"/>
      <c r="J81" s="170"/>
      <c r="K81" s="170"/>
      <c r="L81" s="170"/>
      <c r="M81" s="170"/>
      <c r="N81" s="928"/>
      <c r="O81" s="170">
        <f t="shared" si="14"/>
        <v>490486738</v>
      </c>
      <c r="P81" s="768"/>
    </row>
    <row r="82" spans="1:80" s="143" customFormat="1" ht="12.9" customHeight="1" x14ac:dyDescent="0.2">
      <c r="A82" s="800" t="s">
        <v>147</v>
      </c>
      <c r="B82" s="176" t="s">
        <v>146</v>
      </c>
      <c r="C82" s="170">
        <f>'[6]Hoja 1'!$C$157</f>
        <v>2519100</v>
      </c>
      <c r="D82" s="170">
        <f>'[4]Hoja 1'!$C$160</f>
        <v>10566388</v>
      </c>
      <c r="E82" s="170">
        <v>241842440</v>
      </c>
      <c r="F82" s="170">
        <v>241842440</v>
      </c>
      <c r="G82" s="170"/>
      <c r="H82" s="170"/>
      <c r="I82" s="170"/>
      <c r="J82" s="170"/>
      <c r="K82" s="170"/>
      <c r="L82" s="170"/>
      <c r="M82" s="436"/>
      <c r="N82" s="907"/>
      <c r="O82" s="170">
        <f t="shared" si="14"/>
        <v>496770368</v>
      </c>
      <c r="P82" s="772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777" t="s">
        <v>271</v>
      </c>
      <c r="B83" s="178" t="s">
        <v>145</v>
      </c>
      <c r="C83" s="392">
        <f>'[6]Hoja 1'!$C$159</f>
        <v>342720</v>
      </c>
      <c r="D83" s="392">
        <f>'[4]Hoja 1'!$C$161</f>
        <v>5834000</v>
      </c>
      <c r="E83" s="392">
        <v>241842440</v>
      </c>
      <c r="F83" s="392">
        <v>241842440</v>
      </c>
      <c r="G83" s="392"/>
      <c r="H83" s="392"/>
      <c r="I83" s="392"/>
      <c r="J83" s="392"/>
      <c r="K83" s="392"/>
      <c r="L83" s="392"/>
      <c r="M83" s="392"/>
      <c r="N83" s="392"/>
      <c r="O83" s="170">
        <f t="shared" si="14"/>
        <v>489861600</v>
      </c>
      <c r="P83" s="768"/>
    </row>
    <row r="84" spans="1:80" ht="12.9" customHeight="1" x14ac:dyDescent="0.2">
      <c r="A84" s="777" t="s">
        <v>272</v>
      </c>
      <c r="B84" s="178" t="s">
        <v>273</v>
      </c>
      <c r="C84" s="170">
        <f>'[6]Hoja 1'!$C$160</f>
        <v>22363060</v>
      </c>
      <c r="D84" s="170">
        <f>'[4]Hoja 1'!$C$162</f>
        <v>34962540</v>
      </c>
      <c r="E84" s="170">
        <v>241842440</v>
      </c>
      <c r="F84" s="170">
        <v>241842440</v>
      </c>
      <c r="G84" s="170"/>
      <c r="H84" s="170"/>
      <c r="I84" s="170"/>
      <c r="J84" s="170"/>
      <c r="K84" s="170"/>
      <c r="L84" s="170"/>
      <c r="M84" s="170"/>
      <c r="N84" s="170"/>
      <c r="O84" s="170">
        <f t="shared" si="14"/>
        <v>541010480</v>
      </c>
      <c r="P84" s="768"/>
    </row>
    <row r="85" spans="1:80" ht="12.9" customHeight="1" x14ac:dyDescent="0.2">
      <c r="A85" s="777" t="s">
        <v>274</v>
      </c>
      <c r="B85" s="178" t="s">
        <v>275</v>
      </c>
      <c r="C85" s="171">
        <f>'[6]Hoja 1'!$C$155</f>
        <v>4464808</v>
      </c>
      <c r="D85" s="171">
        <f>'[4]Hoja 1'!$C$157</f>
        <v>3939537</v>
      </c>
      <c r="E85" s="171">
        <v>241842440</v>
      </c>
      <c r="F85" s="171">
        <v>241842440</v>
      </c>
      <c r="G85" s="171"/>
      <c r="H85" s="171"/>
      <c r="I85" s="171"/>
      <c r="J85" s="171"/>
      <c r="K85" s="171"/>
      <c r="L85" s="171"/>
      <c r="M85" s="171"/>
      <c r="N85" s="171"/>
      <c r="O85" s="170">
        <f t="shared" si="14"/>
        <v>492089225</v>
      </c>
      <c r="P85" s="768"/>
    </row>
    <row r="86" spans="1:80" ht="12.9" customHeight="1" x14ac:dyDescent="0.2">
      <c r="A86" s="777"/>
      <c r="B86" s="711" t="s">
        <v>276</v>
      </c>
      <c r="C86" s="925"/>
      <c r="D86" s="925"/>
      <c r="E86" s="925">
        <v>241842440</v>
      </c>
      <c r="F86" s="925">
        <v>241842440</v>
      </c>
      <c r="G86" s="925"/>
      <c r="H86" s="925"/>
      <c r="I86" s="925"/>
      <c r="J86" s="907"/>
      <c r="K86" s="925"/>
      <c r="L86" s="925"/>
      <c r="M86" s="925"/>
      <c r="N86" s="925"/>
      <c r="O86" s="436">
        <f t="shared" si="14"/>
        <v>483684880</v>
      </c>
      <c r="P86" s="768"/>
    </row>
    <row r="87" spans="1:80" ht="12.9" customHeight="1" x14ac:dyDescent="0.2">
      <c r="A87" s="778" t="s">
        <v>277</v>
      </c>
      <c r="B87" s="711" t="s">
        <v>278</v>
      </c>
      <c r="C87" s="925"/>
      <c r="D87" s="925">
        <f>'[4]Hoja 1'!$C$164</f>
        <v>1751694</v>
      </c>
      <c r="E87" s="925">
        <v>241842440</v>
      </c>
      <c r="F87" s="925">
        <v>241842440</v>
      </c>
      <c r="G87" s="925"/>
      <c r="H87" s="925"/>
      <c r="I87" s="925"/>
      <c r="J87" s="925"/>
      <c r="K87" s="925"/>
      <c r="L87" s="925"/>
      <c r="M87" s="925"/>
      <c r="N87" s="925"/>
      <c r="O87" s="436">
        <f t="shared" si="14"/>
        <v>485436574</v>
      </c>
      <c r="P87" s="768"/>
    </row>
    <row r="88" spans="1:80" ht="12.9" customHeight="1" x14ac:dyDescent="0.2">
      <c r="A88" s="773" t="s">
        <v>279</v>
      </c>
      <c r="B88" s="177" t="s">
        <v>280</v>
      </c>
      <c r="C88" s="918">
        <f>'[6]Hoja 1'!$C$161</f>
        <v>643578</v>
      </c>
      <c r="D88" s="918">
        <f>'[4]Hoja 1'!$C$163</f>
        <v>643578</v>
      </c>
      <c r="E88" s="918">
        <v>241842440</v>
      </c>
      <c r="F88" s="918">
        <v>241842440</v>
      </c>
      <c r="G88" s="918"/>
      <c r="H88" s="918"/>
      <c r="I88" s="918"/>
      <c r="J88" s="918"/>
      <c r="K88" s="918"/>
      <c r="L88" s="918"/>
      <c r="M88" s="918"/>
      <c r="N88" s="918"/>
      <c r="O88" s="405">
        <f t="shared" si="14"/>
        <v>484972036</v>
      </c>
      <c r="P88" s="770"/>
    </row>
    <row r="89" spans="1:80" ht="12.9" customHeight="1" x14ac:dyDescent="0.2">
      <c r="A89" s="777"/>
      <c r="B89" s="739" t="s">
        <v>281</v>
      </c>
      <c r="C89" s="111">
        <f>CASINO!$C$144</f>
        <v>26472126.799999997</v>
      </c>
      <c r="D89" s="970">
        <f>CASINO!$F$144</f>
        <v>29999600.399999999</v>
      </c>
      <c r="E89" s="977"/>
      <c r="F89" s="900"/>
      <c r="G89" s="900"/>
      <c r="H89" s="900"/>
      <c r="I89" s="900"/>
      <c r="J89" s="900"/>
      <c r="K89" s="900"/>
      <c r="L89" s="900"/>
      <c r="M89" s="900"/>
      <c r="N89" s="950"/>
      <c r="O89" s="405">
        <f t="shared" si="14"/>
        <v>56471727.199999996</v>
      </c>
      <c r="P89" s="768"/>
    </row>
    <row r="90" spans="1:80" ht="12.9" customHeight="1" x14ac:dyDescent="0.2">
      <c r="A90" s="777"/>
      <c r="B90" s="110" t="s">
        <v>282</v>
      </c>
      <c r="C90" s="111">
        <f>SUM(C91:C95)</f>
        <v>8229146.4000000004</v>
      </c>
      <c r="D90" s="970">
        <f>SUM(D91:D95)</f>
        <v>14270067.619999999</v>
      </c>
      <c r="E90" s="111">
        <f>SUM(E91:E95)</f>
        <v>1209212200</v>
      </c>
      <c r="F90" s="111"/>
      <c r="G90" s="111">
        <f t="shared" ref="G90:O90" si="15">SUM(G91:G95)</f>
        <v>0</v>
      </c>
      <c r="H90" s="111">
        <f t="shared" si="15"/>
        <v>0</v>
      </c>
      <c r="I90" s="111">
        <f t="shared" si="15"/>
        <v>0</v>
      </c>
      <c r="J90" s="111">
        <f t="shared" si="15"/>
        <v>0</v>
      </c>
      <c r="K90" s="111">
        <f t="shared" si="15"/>
        <v>0</v>
      </c>
      <c r="L90" s="111">
        <f t="shared" si="15"/>
        <v>0</v>
      </c>
      <c r="M90" s="111">
        <f t="shared" si="15"/>
        <v>0</v>
      </c>
      <c r="N90" s="111">
        <f t="shared" si="15"/>
        <v>0</v>
      </c>
      <c r="O90" s="111">
        <f t="shared" si="15"/>
        <v>2440923614.02</v>
      </c>
      <c r="P90" s="768"/>
    </row>
    <row r="91" spans="1:80" s="143" customFormat="1" ht="12.9" customHeight="1" x14ac:dyDescent="0.2">
      <c r="A91" s="777"/>
      <c r="B91" s="179" t="s">
        <v>283</v>
      </c>
      <c r="C91" s="404"/>
      <c r="D91" s="404"/>
      <c r="E91" s="404">
        <v>241842440</v>
      </c>
      <c r="F91" s="404">
        <v>241842440</v>
      </c>
      <c r="G91" s="404"/>
      <c r="H91" s="404"/>
      <c r="I91" s="404"/>
      <c r="J91" s="404"/>
      <c r="K91" s="404"/>
      <c r="L91" s="404"/>
      <c r="M91" s="404"/>
      <c r="N91" s="404"/>
      <c r="O91" s="433">
        <f>+SUM(C91:N91)</f>
        <v>483684880</v>
      </c>
      <c r="P91" s="772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777"/>
      <c r="B92" s="176" t="s">
        <v>284</v>
      </c>
      <c r="C92" s="170"/>
      <c r="D92" s="170"/>
      <c r="E92" s="170">
        <v>241842440</v>
      </c>
      <c r="F92" s="170">
        <v>241842440</v>
      </c>
      <c r="G92" s="170"/>
      <c r="H92" s="170"/>
      <c r="I92" s="170"/>
      <c r="J92" s="170"/>
      <c r="K92" s="170"/>
      <c r="L92" s="170"/>
      <c r="M92" s="170"/>
      <c r="N92" s="170"/>
      <c r="O92" s="403">
        <f>+SUM(C92:N92)</f>
        <v>483684880</v>
      </c>
      <c r="P92" s="772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777"/>
      <c r="B93" s="176" t="s">
        <v>285</v>
      </c>
      <c r="C93" s="170">
        <f>'[6]Hoja 1'!$C$180</f>
        <v>929031</v>
      </c>
      <c r="D93" s="170">
        <f>'[4]Hoja 1'!$C$183</f>
        <v>5000000</v>
      </c>
      <c r="E93" s="170">
        <v>241842440</v>
      </c>
      <c r="F93" s="170">
        <v>241842440</v>
      </c>
      <c r="G93" s="170"/>
      <c r="H93" s="170"/>
      <c r="I93" s="170"/>
      <c r="J93" s="170"/>
      <c r="K93" s="170"/>
      <c r="L93" s="170"/>
      <c r="M93" s="170"/>
      <c r="N93" s="170"/>
      <c r="O93" s="170">
        <f>+SUM(C93:N93)</f>
        <v>489613911</v>
      </c>
      <c r="P93" s="768"/>
    </row>
    <row r="94" spans="1:80" ht="12.9" customHeight="1" x14ac:dyDescent="0.2">
      <c r="A94" s="777" t="s">
        <v>286</v>
      </c>
      <c r="B94" s="178" t="s">
        <v>287</v>
      </c>
      <c r="C94" s="170">
        <f>'[6]Hoja 1'!$C$146</f>
        <v>7300083.1900000004</v>
      </c>
      <c r="D94" s="170">
        <f>'[4]Hoja 1'!$C$148</f>
        <v>9270040.6699999999</v>
      </c>
      <c r="E94" s="170">
        <v>241842440</v>
      </c>
      <c r="F94" s="170">
        <v>241842440</v>
      </c>
      <c r="G94" s="170"/>
      <c r="H94" s="170"/>
      <c r="I94" s="170"/>
      <c r="J94" s="170"/>
      <c r="K94" s="170"/>
      <c r="L94" s="170"/>
      <c r="M94" s="170"/>
      <c r="N94" s="170"/>
      <c r="O94" s="437">
        <f>+SUM(C94:N94)</f>
        <v>500255003.86000001</v>
      </c>
      <c r="P94" s="768"/>
    </row>
    <row r="95" spans="1:80" ht="12.9" customHeight="1" x14ac:dyDescent="0.2">
      <c r="A95" s="777" t="s">
        <v>288</v>
      </c>
      <c r="B95" s="174" t="s">
        <v>289</v>
      </c>
      <c r="C95" s="405">
        <f>'[6]Hoja 1'!$C$182</f>
        <v>32.21</v>
      </c>
      <c r="D95" s="405">
        <f>'[4]Hoja 1'!$C$186</f>
        <v>26.95</v>
      </c>
      <c r="E95" s="405">
        <v>241842440</v>
      </c>
      <c r="F95" s="405">
        <v>241842440</v>
      </c>
      <c r="G95" s="405"/>
      <c r="H95" s="405"/>
      <c r="I95" s="405"/>
      <c r="J95" s="405"/>
      <c r="K95" s="405"/>
      <c r="L95" s="405"/>
      <c r="M95" s="405"/>
      <c r="N95" s="405"/>
      <c r="O95" s="408">
        <f>+SUM(C95:N95)</f>
        <v>483684939.15999997</v>
      </c>
      <c r="P95" s="768"/>
    </row>
    <row r="96" spans="1:80" ht="15" customHeight="1" x14ac:dyDescent="0.2">
      <c r="A96" s="775"/>
      <c r="B96" s="516" t="s">
        <v>290</v>
      </c>
      <c r="C96" s="503">
        <f>C5+C13+C19+C22+C28+C32+C46+C52+C59+C62+C66+C89+C90</f>
        <v>464211163.05000001</v>
      </c>
      <c r="D96" s="973">
        <f>D5+D13+D19+D22+D28+D32+D46+D52+D59+D62+D66+D89+D90</f>
        <v>575213723.70000005</v>
      </c>
      <c r="E96" s="503">
        <f>E5+E13+E19+E22+E28+E32+E46+E52+E59+E62+E66+E89+E90</f>
        <v>18863710320</v>
      </c>
      <c r="F96" s="503"/>
      <c r="G96" s="503">
        <f t="shared" ref="G96:O96" si="16">G5+G13+G19+G22+G28+G32+G46+G52+G59+G62+G66+G89+G90</f>
        <v>0</v>
      </c>
      <c r="H96" s="503">
        <f t="shared" si="16"/>
        <v>0</v>
      </c>
      <c r="I96" s="503">
        <f t="shared" si="16"/>
        <v>0</v>
      </c>
      <c r="J96" s="503">
        <f t="shared" si="16"/>
        <v>0</v>
      </c>
      <c r="K96" s="503">
        <f t="shared" si="16"/>
        <v>0</v>
      </c>
      <c r="L96" s="503">
        <f t="shared" si="16"/>
        <v>0</v>
      </c>
      <c r="M96" s="503">
        <f t="shared" si="16"/>
        <v>0</v>
      </c>
      <c r="N96" s="503">
        <f t="shared" si="16"/>
        <v>0</v>
      </c>
      <c r="O96" s="503">
        <f t="shared" si="16"/>
        <v>38766845526.749992</v>
      </c>
      <c r="P96" s="768"/>
    </row>
    <row r="97" spans="1:16" ht="15" customHeight="1" x14ac:dyDescent="0.2">
      <c r="A97" s="774"/>
      <c r="B97" s="377"/>
      <c r="C97" s="378"/>
      <c r="D97" s="378"/>
      <c r="E97" s="378"/>
      <c r="F97" s="379"/>
      <c r="G97" s="378"/>
      <c r="H97" s="378"/>
      <c r="I97" s="378"/>
      <c r="J97" s="378"/>
      <c r="K97" s="378"/>
      <c r="L97" s="378"/>
      <c r="M97" s="378"/>
      <c r="N97" s="378"/>
      <c r="O97" s="378"/>
      <c r="P97" s="768"/>
    </row>
    <row r="98" spans="1:16" s="116" customFormat="1" ht="15" customHeight="1" x14ac:dyDescent="0.2">
      <c r="A98" s="779"/>
      <c r="B98" s="517" t="s">
        <v>31</v>
      </c>
      <c r="C98" s="502">
        <f>SUM(C99:C107)</f>
        <v>19158553.5</v>
      </c>
      <c r="D98" s="970">
        <f>SUM(D99:D107)</f>
        <v>33568492.289999999</v>
      </c>
      <c r="E98" s="502">
        <f>SUM(E99:E107)</f>
        <v>2176581960</v>
      </c>
      <c r="F98" s="502"/>
      <c r="G98" s="502">
        <f t="shared" ref="G98:O98" si="17">SUM(G99:G107)</f>
        <v>0</v>
      </c>
      <c r="H98" s="502">
        <f t="shared" si="17"/>
        <v>0</v>
      </c>
      <c r="I98" s="502">
        <f t="shared" si="17"/>
        <v>0</v>
      </c>
      <c r="J98" s="502">
        <f t="shared" si="17"/>
        <v>0</v>
      </c>
      <c r="K98" s="502">
        <f t="shared" si="17"/>
        <v>0</v>
      </c>
      <c r="L98" s="502">
        <f t="shared" si="17"/>
        <v>0</v>
      </c>
      <c r="M98" s="502">
        <f t="shared" si="17"/>
        <v>0</v>
      </c>
      <c r="N98" s="502">
        <f t="shared" si="17"/>
        <v>0</v>
      </c>
      <c r="O98" s="502">
        <f t="shared" si="17"/>
        <v>4405890965.79</v>
      </c>
      <c r="P98" s="768"/>
    </row>
    <row r="99" spans="1:16" ht="12.9" customHeight="1" x14ac:dyDescent="0.2">
      <c r="A99" s="774" t="s">
        <v>291</v>
      </c>
      <c r="B99" s="179" t="s">
        <v>292</v>
      </c>
      <c r="C99" s="169">
        <f>'[6]Hoja 1'!$C$164</f>
        <v>489046.66</v>
      </c>
      <c r="D99" s="169">
        <f>'[4]Hoja 1'!$C$167</f>
        <v>721868.2</v>
      </c>
      <c r="E99" s="169">
        <v>241842440</v>
      </c>
      <c r="F99" s="404">
        <v>241842440</v>
      </c>
      <c r="G99" s="404"/>
      <c r="H99" s="404"/>
      <c r="I99" s="404"/>
      <c r="J99" s="404"/>
      <c r="K99" s="404"/>
      <c r="L99" s="404"/>
      <c r="M99" s="433"/>
      <c r="N99" s="433"/>
      <c r="O99" s="433">
        <f t="shared" ref="O99:O108" si="18">+SUM(C99:N99)</f>
        <v>484895794.86000001</v>
      </c>
      <c r="P99" s="768"/>
    </row>
    <row r="100" spans="1:16" ht="12.9" customHeight="1" x14ac:dyDescent="0.2">
      <c r="A100" s="774" t="s">
        <v>293</v>
      </c>
      <c r="B100" s="176" t="s">
        <v>294</v>
      </c>
      <c r="C100" s="171">
        <f>'[6]Hoja 1'!$C$167</f>
        <v>1697707.56</v>
      </c>
      <c r="D100" s="171">
        <f>'[4]Hoja 1'!$C$170</f>
        <v>2541356.16</v>
      </c>
      <c r="E100" s="171">
        <v>241842440</v>
      </c>
      <c r="F100" s="170">
        <v>241842440</v>
      </c>
      <c r="G100" s="170"/>
      <c r="H100" s="170"/>
      <c r="I100" s="170"/>
      <c r="J100" s="170"/>
      <c r="K100" s="170"/>
      <c r="L100" s="170"/>
      <c r="M100" s="403"/>
      <c r="N100" s="403"/>
      <c r="O100" s="403">
        <f t="shared" si="18"/>
        <v>487923943.72000003</v>
      </c>
      <c r="P100" s="768"/>
    </row>
    <row r="101" spans="1:16" ht="12.9" customHeight="1" x14ac:dyDescent="0.2">
      <c r="A101" s="774" t="s">
        <v>295</v>
      </c>
      <c r="B101" s="943" t="s">
        <v>296</v>
      </c>
      <c r="C101" s="171">
        <f>'[6]Hoja 1'!$C$172</f>
        <v>6444863.9500000002</v>
      </c>
      <c r="D101" s="171">
        <f>'[4]Hoja 1'!$C$175</f>
        <v>2367762.52</v>
      </c>
      <c r="E101" s="171">
        <v>241842440</v>
      </c>
      <c r="F101" s="171">
        <v>241842440</v>
      </c>
      <c r="G101" s="171"/>
      <c r="H101" s="171"/>
      <c r="I101" s="171"/>
      <c r="J101" s="171"/>
      <c r="K101" s="171"/>
      <c r="L101" s="171"/>
      <c r="M101" s="171"/>
      <c r="N101" s="171"/>
      <c r="O101" s="403">
        <f t="shared" si="18"/>
        <v>492497506.47000003</v>
      </c>
      <c r="P101" s="768"/>
    </row>
    <row r="102" spans="1:16" ht="12.9" customHeight="1" x14ac:dyDescent="0.2">
      <c r="A102" s="774" t="s">
        <v>297</v>
      </c>
      <c r="B102" s="943" t="s">
        <v>298</v>
      </c>
      <c r="C102" s="171">
        <f>'[6]Hoja 1'!$C$173</f>
        <v>84553</v>
      </c>
      <c r="D102" s="171"/>
      <c r="E102" s="171">
        <v>241842440</v>
      </c>
      <c r="F102" s="171">
        <v>241842440</v>
      </c>
      <c r="G102" s="171"/>
      <c r="H102" s="171"/>
      <c r="I102" s="171"/>
      <c r="J102" s="171"/>
      <c r="K102" s="171"/>
      <c r="L102" s="171"/>
      <c r="M102" s="403"/>
      <c r="N102" s="403"/>
      <c r="O102" s="403">
        <f t="shared" si="18"/>
        <v>483769433</v>
      </c>
      <c r="P102" s="768"/>
    </row>
    <row r="103" spans="1:16" ht="12.9" customHeight="1" x14ac:dyDescent="0.2">
      <c r="A103" s="774"/>
      <c r="B103" s="943" t="s">
        <v>299</v>
      </c>
      <c r="C103" s="171"/>
      <c r="D103" s="171"/>
      <c r="E103" s="171">
        <v>241842440</v>
      </c>
      <c r="F103" s="171">
        <v>241842440</v>
      </c>
      <c r="G103" s="171"/>
      <c r="H103" s="171"/>
      <c r="I103" s="171"/>
      <c r="J103" s="171"/>
      <c r="K103" s="171"/>
      <c r="L103" s="171"/>
      <c r="M103" s="403"/>
      <c r="N103" s="403"/>
      <c r="O103" s="403">
        <f t="shared" si="18"/>
        <v>483684880</v>
      </c>
      <c r="P103" s="768"/>
    </row>
    <row r="104" spans="1:16" ht="12.9" customHeight="1" x14ac:dyDescent="0.2">
      <c r="A104" s="774" t="s">
        <v>300</v>
      </c>
      <c r="B104" s="943" t="s">
        <v>301</v>
      </c>
      <c r="C104" s="171"/>
      <c r="D104" s="171">
        <f>'[4]Hoja 1'!$C$176</f>
        <v>3769285</v>
      </c>
      <c r="E104" s="171">
        <v>241842440</v>
      </c>
      <c r="F104" s="171">
        <v>241842440</v>
      </c>
      <c r="G104" s="171"/>
      <c r="H104" s="171"/>
      <c r="I104" s="171"/>
      <c r="J104" s="171"/>
      <c r="K104" s="171"/>
      <c r="L104" s="171"/>
      <c r="M104" s="403"/>
      <c r="N104" s="403"/>
      <c r="O104" s="403">
        <f t="shared" si="18"/>
        <v>487454165</v>
      </c>
      <c r="P104" s="768"/>
    </row>
    <row r="105" spans="1:16" ht="12.9" customHeight="1" x14ac:dyDescent="0.2">
      <c r="A105" s="774" t="s">
        <v>302</v>
      </c>
      <c r="B105" s="943" t="s">
        <v>303</v>
      </c>
      <c r="C105" s="171"/>
      <c r="D105" s="171"/>
      <c r="E105" s="171">
        <v>241842440</v>
      </c>
      <c r="F105" s="171">
        <v>241842440</v>
      </c>
      <c r="G105" s="171"/>
      <c r="H105" s="171"/>
      <c r="I105" s="171"/>
      <c r="J105" s="171"/>
      <c r="K105" s="171"/>
      <c r="L105" s="171"/>
      <c r="M105" s="403"/>
      <c r="N105" s="403"/>
      <c r="O105" s="403">
        <f t="shared" si="18"/>
        <v>483684880</v>
      </c>
      <c r="P105" s="768"/>
    </row>
    <row r="106" spans="1:16" ht="12.9" customHeight="1" x14ac:dyDescent="0.2">
      <c r="A106" s="774" t="s">
        <v>304</v>
      </c>
      <c r="B106" s="176" t="s">
        <v>305</v>
      </c>
      <c r="C106" s="171">
        <f>'[6]Hoja 1'!$C$82+'[6]Hoja 1'!$C$175</f>
        <v>10375136.550000001</v>
      </c>
      <c r="D106" s="171">
        <f>'[4]Hoja 1'!$C$81+'[4]Hoja 1'!$C$180</f>
        <v>24168220.41</v>
      </c>
      <c r="E106" s="171">
        <v>241842440</v>
      </c>
      <c r="F106" s="171">
        <v>241842440</v>
      </c>
      <c r="G106" s="171"/>
      <c r="H106" s="171"/>
      <c r="I106" s="171"/>
      <c r="J106" s="171"/>
      <c r="K106" s="171"/>
      <c r="L106" s="171"/>
      <c r="M106" s="171"/>
      <c r="N106" s="171"/>
      <c r="O106" s="403">
        <f t="shared" si="18"/>
        <v>518228236.95999998</v>
      </c>
      <c r="P106" s="768"/>
    </row>
    <row r="107" spans="1:16" ht="12.9" customHeight="1" x14ac:dyDescent="0.2">
      <c r="A107" s="774" t="s">
        <v>306</v>
      </c>
      <c r="B107" s="177" t="s">
        <v>307</v>
      </c>
      <c r="C107" s="918">
        <f>'[6]Hoja 1'!$C$177</f>
        <v>67245.78</v>
      </c>
      <c r="D107" s="918"/>
      <c r="E107" s="918">
        <v>241842440</v>
      </c>
      <c r="F107" s="405">
        <v>241842440</v>
      </c>
      <c r="G107" s="405"/>
      <c r="H107" s="405"/>
      <c r="I107" s="405"/>
      <c r="J107" s="405"/>
      <c r="K107" s="405"/>
      <c r="L107" s="405"/>
      <c r="M107" s="408"/>
      <c r="N107" s="408"/>
      <c r="O107" s="408">
        <f t="shared" si="18"/>
        <v>483752125.77999997</v>
      </c>
      <c r="P107" s="768"/>
    </row>
    <row r="108" spans="1:16" ht="12.9" customHeight="1" x14ac:dyDescent="0.2">
      <c r="A108" s="774"/>
      <c r="B108" s="922" t="s">
        <v>308</v>
      </c>
      <c r="C108" s="111">
        <f>96313193+10045491</f>
        <v>106358684</v>
      </c>
      <c r="D108" s="970">
        <f>99151187+9611660</f>
        <v>108762847</v>
      </c>
      <c r="E108" s="970">
        <v>241842440</v>
      </c>
      <c r="F108" s="111">
        <v>241842440</v>
      </c>
      <c r="G108" s="111"/>
      <c r="H108" s="111"/>
      <c r="I108" s="111"/>
      <c r="J108" s="111"/>
      <c r="K108" s="111"/>
      <c r="L108" s="111"/>
      <c r="M108" s="944"/>
      <c r="N108" s="111"/>
      <c r="O108" s="409">
        <f t="shared" si="18"/>
        <v>698806411</v>
      </c>
      <c r="P108" s="768"/>
    </row>
    <row r="109" spans="1:16" s="116" customFormat="1" ht="15" customHeight="1" x14ac:dyDescent="0.2">
      <c r="A109" s="774"/>
      <c r="B109" s="517" t="s">
        <v>309</v>
      </c>
      <c r="C109" s="502">
        <f>C98+C108</f>
        <v>125517237.5</v>
      </c>
      <c r="D109" s="970">
        <f>D98+D108</f>
        <v>142331339.28999999</v>
      </c>
      <c r="E109" s="502">
        <f>E98+E108</f>
        <v>2418424400</v>
      </c>
      <c r="F109" s="502"/>
      <c r="G109" s="502">
        <f t="shared" ref="G109:O109" si="19">G98+G108</f>
        <v>0</v>
      </c>
      <c r="H109" s="502">
        <f t="shared" si="19"/>
        <v>0</v>
      </c>
      <c r="I109" s="502">
        <f t="shared" si="19"/>
        <v>0</v>
      </c>
      <c r="J109" s="502">
        <f t="shared" si="19"/>
        <v>0</v>
      </c>
      <c r="K109" s="502">
        <f t="shared" si="19"/>
        <v>0</v>
      </c>
      <c r="L109" s="502">
        <f t="shared" si="19"/>
        <v>0</v>
      </c>
      <c r="M109" s="502">
        <f t="shared" si="19"/>
        <v>0</v>
      </c>
      <c r="N109" s="502">
        <f t="shared" si="19"/>
        <v>0</v>
      </c>
      <c r="O109" s="502">
        <f t="shared" si="19"/>
        <v>5104697376.79</v>
      </c>
      <c r="P109" s="768"/>
    </row>
    <row r="110" spans="1:16" ht="15" customHeight="1" x14ac:dyDescent="0.2">
      <c r="A110" s="774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774"/>
      <c r="B111" s="517" t="s">
        <v>310</v>
      </c>
      <c r="C111" s="502"/>
      <c r="D111" s="502"/>
      <c r="E111" s="502">
        <v>241842440</v>
      </c>
      <c r="F111" s="502">
        <v>241842440</v>
      </c>
      <c r="G111" s="502"/>
      <c r="H111" s="502"/>
      <c r="I111" s="502"/>
      <c r="J111" s="502"/>
      <c r="K111" s="502"/>
      <c r="L111" s="502"/>
      <c r="M111" s="502"/>
      <c r="N111" s="502"/>
      <c r="O111" s="502">
        <f>+SUM(C111:N111)</f>
        <v>483684880</v>
      </c>
      <c r="P111" s="767"/>
    </row>
    <row r="112" spans="1:16" ht="15" customHeight="1" x14ac:dyDescent="0.2">
      <c r="B112" s="517" t="s">
        <v>311</v>
      </c>
      <c r="C112" s="502"/>
      <c r="D112" s="502"/>
      <c r="E112" s="502">
        <v>241842440</v>
      </c>
      <c r="F112" s="502">
        <v>241842440</v>
      </c>
      <c r="G112" s="502"/>
      <c r="H112" s="502"/>
      <c r="I112" s="502"/>
      <c r="J112" s="502"/>
      <c r="K112" s="502"/>
      <c r="L112" s="502"/>
      <c r="M112" s="502"/>
      <c r="N112" s="502"/>
      <c r="O112" s="502"/>
    </row>
    <row r="113" spans="2:15" ht="15" customHeight="1" x14ac:dyDescent="0.2">
      <c r="B113" s="179" t="s">
        <v>312</v>
      </c>
      <c r="C113" s="169">
        <v>15396000</v>
      </c>
      <c r="D113" s="169"/>
      <c r="E113" s="169">
        <v>241842440</v>
      </c>
      <c r="F113" s="169">
        <v>241842440</v>
      </c>
      <c r="G113" s="169"/>
      <c r="H113" s="169"/>
      <c r="I113" s="169"/>
      <c r="J113" s="169"/>
      <c r="K113" s="169"/>
      <c r="L113" s="169"/>
      <c r="M113" s="169"/>
      <c r="N113" s="169"/>
      <c r="O113" s="433">
        <f t="shared" ref="O113:O119" si="20">+SUM(C113:N113)</f>
        <v>499080880</v>
      </c>
    </row>
    <row r="114" spans="2:15" ht="15" customHeight="1" x14ac:dyDescent="0.2">
      <c r="B114" s="176" t="s">
        <v>313</v>
      </c>
      <c r="C114" s="171">
        <f>RECREARTE!$C$141</f>
        <v>15474654</v>
      </c>
      <c r="D114" s="171">
        <f>RECREARTE!$F$141</f>
        <v>-1777321</v>
      </c>
      <c r="E114" s="976"/>
      <c r="F114" s="171"/>
      <c r="G114" s="171"/>
      <c r="H114" s="171"/>
      <c r="I114" s="171"/>
      <c r="J114" s="171"/>
      <c r="K114" s="171"/>
      <c r="L114" s="171"/>
      <c r="M114" s="171"/>
      <c r="N114" s="171"/>
      <c r="O114" s="403">
        <f t="shared" si="20"/>
        <v>13697333</v>
      </c>
    </row>
    <row r="115" spans="2:15" ht="15" customHeight="1" x14ac:dyDescent="0.2">
      <c r="B115" s="943" t="s">
        <v>314</v>
      </c>
      <c r="C115" s="171"/>
      <c r="D115" s="171"/>
      <c r="E115" s="171">
        <v>241842440</v>
      </c>
      <c r="F115" s="171">
        <v>241842440</v>
      </c>
      <c r="G115" s="171"/>
      <c r="H115" s="171"/>
      <c r="I115" s="171"/>
      <c r="J115" s="171"/>
      <c r="K115" s="171"/>
      <c r="L115" s="171"/>
      <c r="M115" s="171"/>
      <c r="N115" s="171"/>
      <c r="O115" s="403">
        <f t="shared" si="20"/>
        <v>483684880</v>
      </c>
    </row>
    <row r="116" spans="2:15" ht="15" customHeight="1" x14ac:dyDescent="0.2">
      <c r="B116" s="943" t="s">
        <v>315</v>
      </c>
      <c r="C116" s="171"/>
      <c r="D116" s="171">
        <f>'[4]Hoja 1'!$E$23</f>
        <v>49000</v>
      </c>
      <c r="E116" s="171">
        <v>241842440</v>
      </c>
      <c r="F116" s="171">
        <v>241842440</v>
      </c>
      <c r="G116" s="171"/>
      <c r="H116" s="171"/>
      <c r="I116" s="171"/>
      <c r="J116" s="171"/>
      <c r="K116" s="171"/>
      <c r="L116" s="171"/>
      <c r="M116" s="403"/>
      <c r="N116" s="403"/>
      <c r="O116" s="403">
        <f t="shared" si="20"/>
        <v>483733880</v>
      </c>
    </row>
    <row r="117" spans="2:15" ht="15" customHeight="1" x14ac:dyDescent="0.2">
      <c r="B117" s="943" t="s">
        <v>316</v>
      </c>
      <c r="C117" s="171"/>
      <c r="D117" s="171">
        <f>'[4]Hoja 1'!$E$28</f>
        <v>514.78</v>
      </c>
      <c r="E117" s="171">
        <v>241842440</v>
      </c>
      <c r="F117" s="171">
        <v>241842440</v>
      </c>
      <c r="G117" s="171"/>
      <c r="H117" s="171"/>
      <c r="I117" s="171"/>
      <c r="J117" s="171"/>
      <c r="K117" s="171"/>
      <c r="L117" s="171"/>
      <c r="M117" s="403"/>
      <c r="N117" s="403"/>
      <c r="O117" s="403">
        <f t="shared" si="20"/>
        <v>483685394.77999997</v>
      </c>
    </row>
    <row r="118" spans="2:15" ht="15" customHeight="1" x14ac:dyDescent="0.2">
      <c r="B118" s="943" t="s">
        <v>317</v>
      </c>
      <c r="C118" s="171"/>
      <c r="D118" s="171"/>
      <c r="E118" s="171">
        <v>241842440</v>
      </c>
      <c r="F118" s="171">
        <v>241842440</v>
      </c>
      <c r="G118" s="171"/>
      <c r="H118" s="171"/>
      <c r="I118" s="171"/>
      <c r="J118" s="171"/>
      <c r="K118" s="171"/>
      <c r="L118" s="171"/>
      <c r="M118" s="403"/>
      <c r="N118" s="403"/>
      <c r="O118" s="403">
        <f t="shared" si="20"/>
        <v>483684880</v>
      </c>
    </row>
    <row r="119" spans="2:15" ht="15" customHeight="1" x14ac:dyDescent="0.2">
      <c r="B119" s="517" t="s">
        <v>318</v>
      </c>
      <c r="C119" s="502">
        <f>SUM(C113:C115)-SUM(C116:C118)</f>
        <v>30870654</v>
      </c>
      <c r="D119" s="970">
        <f>SUM(D113:D115)-SUM(D116:D118)</f>
        <v>-1826835.78</v>
      </c>
      <c r="E119" s="502">
        <f>SUM(E113:E115)-SUM(E116:E118)</f>
        <v>-241842440</v>
      </c>
      <c r="F119" s="502"/>
      <c r="G119" s="502">
        <f t="shared" ref="G119:N119" si="21">SUM(G113:G115)-SUM(G116:G118)</f>
        <v>0</v>
      </c>
      <c r="H119" s="502">
        <f t="shared" si="21"/>
        <v>0</v>
      </c>
      <c r="I119" s="502">
        <f t="shared" si="21"/>
        <v>0</v>
      </c>
      <c r="J119" s="502">
        <f t="shared" si="21"/>
        <v>0</v>
      </c>
      <c r="K119" s="502">
        <f t="shared" si="21"/>
        <v>0</v>
      </c>
      <c r="L119" s="502">
        <f t="shared" si="21"/>
        <v>0</v>
      </c>
      <c r="M119" s="502">
        <f t="shared" si="21"/>
        <v>0</v>
      </c>
      <c r="N119" s="502">
        <f t="shared" si="21"/>
        <v>0</v>
      </c>
      <c r="O119" s="502">
        <f t="shared" si="20"/>
        <v>-212798621.78</v>
      </c>
    </row>
    <row r="120" spans="2:15" ht="15" customHeight="1" x14ac:dyDescent="0.2">
      <c r="D120" s="811"/>
      <c r="L120" s="617"/>
      <c r="M120" s="617"/>
      <c r="N120" s="617"/>
      <c r="O120" s="750"/>
    </row>
    <row r="121" spans="2:15" ht="15" customHeight="1" x14ac:dyDescent="0.2">
      <c r="C121" s="811"/>
      <c r="D121" s="811">
        <f>D96+D109+'GASTOS OPERATIVOS'!D17+'GASTOS VEHICULOS'!D25</f>
        <v>1137474178</v>
      </c>
      <c r="J121" s="617"/>
      <c r="M121" s="617"/>
      <c r="O121" s="825"/>
    </row>
    <row r="122" spans="2:15" ht="15" customHeight="1" x14ac:dyDescent="0.2">
      <c r="C122" s="811"/>
      <c r="D122" s="811">
        <f>'[4]Hoja 1'!$C$30+'[4]Hoja 1'!$C$199+'[4]Hoja 1'!$C$204+'[4]Hoja 1'!$C$240</f>
        <v>678143159.60000002</v>
      </c>
    </row>
    <row r="123" spans="2:15" ht="15" customHeight="1" x14ac:dyDescent="0.2">
      <c r="C123" s="811"/>
      <c r="D123" s="114">
        <f>D121-D122</f>
        <v>459331018.39999998</v>
      </c>
      <c r="O123" s="945"/>
    </row>
    <row r="124" spans="2:15" ht="11.4" customHeight="1" x14ac:dyDescent="0.2"/>
    <row r="125" spans="2:15" ht="15" customHeight="1" x14ac:dyDescent="0.2">
      <c r="E125" s="811"/>
      <c r="F125" s="811"/>
      <c r="G125" s="811"/>
      <c r="I125" s="617"/>
      <c r="J125" s="617"/>
      <c r="L125" s="617"/>
      <c r="M125" s="617"/>
      <c r="O125" s="825"/>
    </row>
    <row r="126" spans="2:15" ht="15" customHeight="1" x14ac:dyDescent="0.2">
      <c r="D126" s="811">
        <v>-55134543</v>
      </c>
      <c r="E126" s="811"/>
      <c r="F126" s="811"/>
      <c r="G126" s="811"/>
      <c r="J126" s="115"/>
      <c r="K126" s="617"/>
      <c r="L126" s="617"/>
      <c r="M126" s="617"/>
      <c r="O126" s="825" t="s">
        <v>319</v>
      </c>
    </row>
    <row r="127" spans="2:15" ht="15" customHeight="1" x14ac:dyDescent="0.2">
      <c r="D127" s="811">
        <v>-4115810</v>
      </c>
      <c r="F127" s="811"/>
      <c r="G127" s="811"/>
      <c r="J127" s="115"/>
      <c r="K127" s="617"/>
      <c r="L127" s="617"/>
      <c r="M127" s="617"/>
      <c r="O127" s="825" t="s">
        <v>281</v>
      </c>
    </row>
    <row r="128" spans="2:15" ht="15" customHeight="1" x14ac:dyDescent="0.2">
      <c r="D128" s="114">
        <f>SUM(D126:D127)</f>
        <v>-59250353</v>
      </c>
      <c r="F128" s="811"/>
      <c r="G128" s="811"/>
      <c r="J128" s="115"/>
      <c r="K128" s="617"/>
      <c r="L128" s="617"/>
      <c r="M128" s="617"/>
      <c r="O128" s="825"/>
    </row>
    <row r="129" spans="4:15" ht="15" customHeight="1" x14ac:dyDescent="0.2">
      <c r="F129" s="811"/>
      <c r="G129" s="811"/>
      <c r="J129" s="115"/>
      <c r="K129" s="617"/>
      <c r="L129" s="617"/>
      <c r="M129" s="617"/>
      <c r="O129" s="825"/>
    </row>
    <row r="130" spans="4:15" ht="15" customHeight="1" x14ac:dyDescent="0.2">
      <c r="D130" s="114">
        <f>D128-D123</f>
        <v>-518581371.39999998</v>
      </c>
      <c r="F130" s="811"/>
      <c r="G130" s="811"/>
      <c r="J130" s="115"/>
      <c r="K130" s="617"/>
      <c r="L130" s="617"/>
      <c r="M130" s="617"/>
      <c r="O130" s="825"/>
    </row>
    <row r="131" spans="4:15" ht="15" customHeight="1" x14ac:dyDescent="0.2">
      <c r="F131" s="811"/>
      <c r="G131" s="811"/>
      <c r="J131" s="115"/>
      <c r="K131" s="617"/>
      <c r="L131" s="617"/>
      <c r="O131" s="811"/>
    </row>
    <row r="132" spans="4:15" ht="15" customHeight="1" x14ac:dyDescent="0.2">
      <c r="G132" s="811"/>
      <c r="J132" s="617"/>
      <c r="K132" s="617"/>
      <c r="L132" s="617"/>
      <c r="O132" s="878"/>
    </row>
    <row r="133" spans="4:15" ht="15" customHeight="1" x14ac:dyDescent="0.2">
      <c r="J133" s="617"/>
      <c r="K133" s="115"/>
      <c r="L133" s="617"/>
      <c r="M133" s="617"/>
      <c r="O133" s="825"/>
    </row>
    <row r="134" spans="4:15" ht="15" customHeight="1" x14ac:dyDescent="0.2">
      <c r="J134" s="617"/>
      <c r="M134" s="617"/>
      <c r="O134" s="825"/>
    </row>
    <row r="135" spans="4:15" ht="15" customHeight="1" x14ac:dyDescent="0.2">
      <c r="J135" s="617"/>
      <c r="M135" s="617"/>
      <c r="O135" s="825"/>
    </row>
    <row r="136" spans="4:15" ht="15" customHeight="1" x14ac:dyDescent="0.2">
      <c r="J136" s="617"/>
      <c r="M136" s="617"/>
      <c r="O136" s="825"/>
    </row>
    <row r="137" spans="4:15" ht="15" customHeight="1" x14ac:dyDescent="0.2">
      <c r="J137" s="617"/>
      <c r="M137" s="617"/>
    </row>
    <row r="138" spans="4:15" ht="15" customHeight="1" x14ac:dyDescent="0.2">
      <c r="M138" s="617"/>
    </row>
    <row r="139" spans="4:15" ht="15" customHeight="1" x14ac:dyDescent="0.2">
      <c r="M139" s="617"/>
    </row>
    <row r="140" spans="4:15" ht="15" customHeight="1" x14ac:dyDescent="0.2">
      <c r="M140" s="617"/>
    </row>
    <row r="141" spans="4:15" ht="15" customHeight="1" x14ac:dyDescent="0.2">
      <c r="M141" s="617"/>
    </row>
    <row r="142" spans="4:15" ht="15" customHeight="1" x14ac:dyDescent="0.2">
      <c r="M142" s="617"/>
    </row>
    <row r="143" spans="4:15" ht="15" customHeight="1" x14ac:dyDescent="0.2">
      <c r="M143" s="617"/>
    </row>
    <row r="144" spans="4:15" ht="15" customHeight="1" x14ac:dyDescent="0.2">
      <c r="M144" s="617"/>
    </row>
    <row r="145" spans="13:13" ht="15" customHeight="1" x14ac:dyDescent="0.2">
      <c r="M145" s="617"/>
    </row>
    <row r="146" spans="13:13" ht="15" customHeight="1" x14ac:dyDescent="0.2">
      <c r="M146" s="617"/>
    </row>
    <row r="147" spans="13:13" ht="15" customHeight="1" x14ac:dyDescent="0.2">
      <c r="M147" s="617"/>
    </row>
    <row r="148" spans="13:13" ht="15" customHeight="1" x14ac:dyDescent="0.2">
      <c r="M148" s="617"/>
    </row>
    <row r="149" spans="13:13" ht="15" customHeight="1" x14ac:dyDescent="0.2">
      <c r="M149" s="617"/>
    </row>
    <row r="150" spans="13:13" ht="15" customHeight="1" x14ac:dyDescent="0.2">
      <c r="M150" s="617"/>
    </row>
    <row r="151" spans="13:13" ht="15" customHeight="1" x14ac:dyDescent="0.2">
      <c r="M151" s="617"/>
    </row>
    <row r="152" spans="13:13" ht="15" customHeight="1" x14ac:dyDescent="0.2">
      <c r="M152" s="617"/>
    </row>
    <row r="153" spans="13:13" ht="15" customHeight="1" x14ac:dyDescent="0.2">
      <c r="M153" s="617"/>
    </row>
    <row r="154" spans="13:13" ht="15" customHeight="1" x14ac:dyDescent="0.2">
      <c r="M154" s="617"/>
    </row>
    <row r="155" spans="13:13" ht="15" customHeight="1" x14ac:dyDescent="0.2">
      <c r="M155" s="617"/>
    </row>
    <row r="156" spans="13:13" ht="15" customHeight="1" x14ac:dyDescent="0.2">
      <c r="M156" s="617"/>
    </row>
    <row r="157" spans="13:13" ht="15" customHeight="1" x14ac:dyDescent="0.2">
      <c r="M157" s="617"/>
    </row>
    <row r="158" spans="13:13" ht="15" customHeight="1" x14ac:dyDescent="0.2">
      <c r="M158" s="617"/>
    </row>
    <row r="159" spans="13:13" ht="15" customHeight="1" x14ac:dyDescent="0.2">
      <c r="M159" s="617"/>
    </row>
    <row r="160" spans="13:13" ht="15" customHeight="1" x14ac:dyDescent="0.2">
      <c r="M160" s="617"/>
    </row>
    <row r="161" spans="13:13" ht="15" customHeight="1" x14ac:dyDescent="0.2">
      <c r="M161" s="617"/>
    </row>
    <row r="162" spans="13:13" ht="15" customHeight="1" x14ac:dyDescent="0.2">
      <c r="M162" s="617"/>
    </row>
    <row r="163" spans="13:13" ht="15" customHeight="1" x14ac:dyDescent="0.2">
      <c r="M163" s="617"/>
    </row>
    <row r="164" spans="13:13" ht="15" customHeight="1" x14ac:dyDescent="0.2">
      <c r="M164" s="617"/>
    </row>
    <row r="165" spans="13:13" ht="15" customHeight="1" x14ac:dyDescent="0.2">
      <c r="M165" s="617"/>
    </row>
    <row r="166" spans="13:13" ht="15" customHeight="1" x14ac:dyDescent="0.2">
      <c r="M166" s="617"/>
    </row>
    <row r="167" spans="13:13" ht="15" customHeight="1" x14ac:dyDescent="0.2">
      <c r="M167" s="617"/>
    </row>
    <row r="168" spans="13:13" ht="15" customHeight="1" x14ac:dyDescent="0.2">
      <c r="M168" s="617"/>
    </row>
    <row r="169" spans="13:13" ht="15" customHeight="1" x14ac:dyDescent="0.2">
      <c r="M169" s="617"/>
    </row>
    <row r="170" spans="13:13" ht="15" customHeight="1" x14ac:dyDescent="0.2">
      <c r="M170" s="617"/>
    </row>
    <row r="171" spans="13:13" ht="15" customHeight="1" x14ac:dyDescent="0.2">
      <c r="M171" s="617"/>
    </row>
    <row r="172" spans="13:13" ht="15" customHeight="1" x14ac:dyDescent="0.2">
      <c r="M172" s="617"/>
    </row>
    <row r="173" spans="13:13" ht="15" customHeight="1" x14ac:dyDescent="0.2">
      <c r="M173" s="617"/>
    </row>
    <row r="174" spans="13:13" ht="15" customHeight="1" x14ac:dyDescent="0.2">
      <c r="M174" s="617"/>
    </row>
    <row r="175" spans="13:13" ht="15" customHeight="1" x14ac:dyDescent="0.2">
      <c r="M175" s="617"/>
    </row>
    <row r="176" spans="13:13" ht="15" customHeight="1" x14ac:dyDescent="0.2">
      <c r="M176" s="617"/>
    </row>
    <row r="177" spans="13:13" ht="15" customHeight="1" x14ac:dyDescent="0.2">
      <c r="M177" s="617"/>
    </row>
    <row r="178" spans="13:13" ht="15" customHeight="1" x14ac:dyDescent="0.2">
      <c r="M178" s="617"/>
    </row>
    <row r="179" spans="13:13" ht="15" customHeight="1" x14ac:dyDescent="0.2">
      <c r="M179" s="617"/>
    </row>
    <row r="180" spans="13:13" ht="15" customHeight="1" x14ac:dyDescent="0.2">
      <c r="M180" s="617"/>
    </row>
    <row r="181" spans="13:13" ht="15" customHeight="1" x14ac:dyDescent="0.2">
      <c r="M181" s="617"/>
    </row>
    <row r="182" spans="13:13" ht="15" customHeight="1" x14ac:dyDescent="0.2">
      <c r="M182" s="617"/>
    </row>
    <row r="183" spans="13:13" ht="15" customHeight="1" x14ac:dyDescent="0.2">
      <c r="M183" s="617"/>
    </row>
    <row r="184" spans="13:13" ht="15" customHeight="1" x14ac:dyDescent="0.2">
      <c r="M184" s="617"/>
    </row>
    <row r="185" spans="13:13" ht="15" customHeight="1" x14ac:dyDescent="0.2">
      <c r="M185" s="617"/>
    </row>
    <row r="186" spans="13:13" ht="15" customHeight="1" x14ac:dyDescent="0.2">
      <c r="M186" s="617"/>
    </row>
    <row r="187" spans="13:13" ht="15" customHeight="1" x14ac:dyDescent="0.2">
      <c r="M187" s="617"/>
    </row>
    <row r="188" spans="13:13" ht="15" customHeight="1" x14ac:dyDescent="0.2">
      <c r="M188" s="617"/>
    </row>
    <row r="189" spans="13:13" ht="15" customHeight="1" x14ac:dyDescent="0.2">
      <c r="M189" s="617"/>
    </row>
    <row r="190" spans="13:13" ht="15" customHeight="1" x14ac:dyDescent="0.2">
      <c r="M190" s="617"/>
    </row>
    <row r="191" spans="13:13" ht="15" customHeight="1" x14ac:dyDescent="0.2">
      <c r="M191" s="617"/>
    </row>
    <row r="192" spans="13:13" ht="15" customHeight="1" x14ac:dyDescent="0.2">
      <c r="M192" s="617"/>
    </row>
    <row r="193" spans="13:13" ht="15" customHeight="1" x14ac:dyDescent="0.2">
      <c r="M193" s="617"/>
    </row>
    <row r="194" spans="13:13" ht="15" customHeight="1" x14ac:dyDescent="0.2">
      <c r="M194" s="617"/>
    </row>
    <row r="195" spans="13:13" ht="15" customHeight="1" x14ac:dyDescent="0.2">
      <c r="M195" s="617"/>
    </row>
    <row r="196" spans="13:13" ht="15" customHeight="1" x14ac:dyDescent="0.2">
      <c r="M196" s="617"/>
    </row>
    <row r="197" spans="13:13" ht="15" customHeight="1" x14ac:dyDescent="0.2">
      <c r="M197" s="617"/>
    </row>
    <row r="198" spans="13:13" ht="15" customHeight="1" x14ac:dyDescent="0.2">
      <c r="M198" s="617"/>
    </row>
    <row r="199" spans="13:13" ht="15" customHeight="1" x14ac:dyDescent="0.2">
      <c r="M199" s="617"/>
    </row>
    <row r="200" spans="13:13" ht="15" customHeight="1" x14ac:dyDescent="0.2">
      <c r="M200" s="617"/>
    </row>
    <row r="201" spans="13:13" ht="15" customHeight="1" x14ac:dyDescent="0.2">
      <c r="M201" s="617"/>
    </row>
    <row r="202" spans="13:13" ht="15" customHeight="1" x14ac:dyDescent="0.2">
      <c r="M202" s="617"/>
    </row>
    <row r="203" spans="13:13" ht="15" customHeight="1" x14ac:dyDescent="0.2">
      <c r="M203" s="617"/>
    </row>
    <row r="204" spans="13:13" ht="15" customHeight="1" x14ac:dyDescent="0.2">
      <c r="M204" s="617"/>
    </row>
    <row r="205" spans="13:13" ht="15" customHeight="1" x14ac:dyDescent="0.2">
      <c r="M205" s="617"/>
    </row>
    <row r="206" spans="13:13" ht="15" customHeight="1" x14ac:dyDescent="0.2">
      <c r="M206" s="617"/>
    </row>
    <row r="207" spans="13:13" ht="15" customHeight="1" x14ac:dyDescent="0.2">
      <c r="M207" s="617"/>
    </row>
    <row r="208" spans="13:13" ht="15" customHeight="1" x14ac:dyDescent="0.2">
      <c r="M208" s="617"/>
    </row>
    <row r="209" spans="13:13" ht="15" customHeight="1" x14ac:dyDescent="0.2">
      <c r="M209" s="617"/>
    </row>
    <row r="210" spans="13:13" ht="15" customHeight="1" x14ac:dyDescent="0.2">
      <c r="M210" s="617"/>
    </row>
    <row r="211" spans="13:13" ht="15" customHeight="1" x14ac:dyDescent="0.2">
      <c r="M211" s="617"/>
    </row>
    <row r="212" spans="13:13" ht="15" customHeight="1" x14ac:dyDescent="0.2">
      <c r="M212" s="617"/>
    </row>
    <row r="213" spans="13:13" ht="15" customHeight="1" x14ac:dyDescent="0.2">
      <c r="M213" s="617"/>
    </row>
    <row r="214" spans="13:13" ht="15" customHeight="1" x14ac:dyDescent="0.2">
      <c r="M214" s="617"/>
    </row>
    <row r="215" spans="13:13" ht="15" customHeight="1" x14ac:dyDescent="0.2">
      <c r="M215" s="617"/>
    </row>
    <row r="216" spans="13:13" ht="15" customHeight="1" x14ac:dyDescent="0.2">
      <c r="M216" s="617"/>
    </row>
    <row r="217" spans="13:13" ht="15" customHeight="1" x14ac:dyDescent="0.2">
      <c r="M217" s="617"/>
    </row>
    <row r="218" spans="13:13" ht="15" customHeight="1" x14ac:dyDescent="0.2">
      <c r="M218" s="617"/>
    </row>
    <row r="219" spans="13:13" ht="15" customHeight="1" x14ac:dyDescent="0.2">
      <c r="M219" s="617"/>
    </row>
    <row r="220" spans="13:13" ht="15" customHeight="1" x14ac:dyDescent="0.2">
      <c r="M220" s="617"/>
    </row>
    <row r="221" spans="13:13" ht="15" customHeight="1" x14ac:dyDescent="0.2">
      <c r="M221" s="617"/>
    </row>
    <row r="222" spans="13:13" ht="15" customHeight="1" x14ac:dyDescent="0.2">
      <c r="M222" s="617"/>
    </row>
    <row r="223" spans="13:13" ht="15" customHeight="1" x14ac:dyDescent="0.2">
      <c r="M223" s="617"/>
    </row>
    <row r="224" spans="13:13" ht="15" customHeight="1" x14ac:dyDescent="0.2">
      <c r="M224" s="617"/>
    </row>
    <row r="225" spans="13:13" ht="15" customHeight="1" x14ac:dyDescent="0.2">
      <c r="M225" s="617"/>
    </row>
    <row r="226" spans="13:13" ht="15" customHeight="1" x14ac:dyDescent="0.2">
      <c r="M226" s="617"/>
    </row>
    <row r="227" spans="13:13" ht="15" customHeight="1" x14ac:dyDescent="0.2">
      <c r="M227" s="617"/>
    </row>
    <row r="228" spans="13:13" ht="15" customHeight="1" x14ac:dyDescent="0.2">
      <c r="M228" s="617"/>
    </row>
    <row r="229" spans="13:13" ht="15" customHeight="1" x14ac:dyDescent="0.2">
      <c r="M229" s="617"/>
    </row>
    <row r="230" spans="13:13" ht="15" customHeight="1" x14ac:dyDescent="0.2">
      <c r="M230" s="617"/>
    </row>
    <row r="231" spans="13:13" ht="15" customHeight="1" x14ac:dyDescent="0.2">
      <c r="M231" s="617"/>
    </row>
    <row r="232" spans="13:13" ht="15" customHeight="1" x14ac:dyDescent="0.2">
      <c r="M232" s="617"/>
    </row>
    <row r="233" spans="13:13" ht="15" customHeight="1" x14ac:dyDescent="0.2">
      <c r="M233" s="617"/>
    </row>
    <row r="234" spans="13:13" ht="15" customHeight="1" x14ac:dyDescent="0.2">
      <c r="M234" s="617"/>
    </row>
  </sheetData>
  <mergeCells count="2">
    <mergeCell ref="C2:O3"/>
    <mergeCell ref="B2:B3"/>
  </mergeCells>
  <hyperlinks>
    <hyperlink ref="B98" r:id="rId1" location="Hoja1!B34" xr:uid="{00000000-0004-0000-0100-000000000000}"/>
    <hyperlink ref="B112" r:id="rId2" location="Hoja1!B34" display="FINANCIEROS" xr:uid="{00000000-0004-0000-0100-000001000000}"/>
  </hyperlinks>
  <pageMargins left="0.7" right="0.7" top="0.75" bottom="0.75" header="0.3" footer="0.3"/>
  <pageSetup orientation="portrait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5" width="15.33203125" style="164" bestFit="1" customWidth="1"/>
    <col min="6" max="14" width="14.44140625" style="164" customWidth="1"/>
    <col min="15" max="15" width="16.33203125" style="164" bestFit="1" customWidth="1"/>
    <col min="16" max="16" width="5.33203125" style="115" customWidth="1"/>
    <col min="17" max="38" width="11.44140625" style="115" customWidth="1"/>
    <col min="39" max="16384" width="11.44140625" style="115"/>
  </cols>
  <sheetData>
    <row r="2" spans="1:15" ht="33" customHeight="1" x14ac:dyDescent="0.2">
      <c r="B2" s="154" t="s">
        <v>0</v>
      </c>
      <c r="C2" s="1031">
        <v>242070540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20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5" ht="15" customHeight="1" x14ac:dyDescent="0.2">
      <c r="B5" s="166" t="s">
        <v>181</v>
      </c>
      <c r="C5" s="167">
        <f t="shared" ref="C5:O5" si="0">SUM(C6:C10)</f>
        <v>199885401</v>
      </c>
      <c r="D5" s="167">
        <f t="shared" si="0"/>
        <v>327256720</v>
      </c>
      <c r="E5" s="167">
        <f t="shared" si="0"/>
        <v>1209212200</v>
      </c>
      <c r="F5" s="167">
        <f t="shared" si="0"/>
        <v>1209212200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2945566521</v>
      </c>
    </row>
    <row r="6" spans="1:15" ht="12.9" customHeight="1" x14ac:dyDescent="0.2">
      <c r="A6" s="189" t="s">
        <v>72</v>
      </c>
      <c r="B6" s="176" t="s">
        <v>183</v>
      </c>
      <c r="C6" s="459">
        <f>'[13]Hoja 1'!$I$8-C9+'[8]Hoja 1'!$I$9+'[34]Hoja 1'!$D$9+'[35]Hoja 1'!$D$9+'[36]Hoja 1'!$C$91+'[37]Hoja 1'!$D$9+'[38]Hoja 1'!$E$9+'[39]Hoja 1'!$E$10</f>
        <v>193579256</v>
      </c>
      <c r="D6" s="459">
        <f>'[14]Hoja 1'!$I$8+'[10]Hoja 1'!$I$8-D9+'[11]Hoja 1'!$I$9+'[40]Hoja 1'!$D$9+'[41]Hoja 1'!$D$9+'[42]Hoja 1'!$D$9+'[43]Hoja 1'!$I$9</f>
        <v>308610669</v>
      </c>
      <c r="E6" s="459">
        <v>241842440</v>
      </c>
      <c r="F6" s="402">
        <v>241842440</v>
      </c>
      <c r="G6" s="402"/>
      <c r="H6" s="402"/>
      <c r="I6" s="402"/>
      <c r="J6" s="402"/>
      <c r="K6" s="402"/>
      <c r="L6" s="402"/>
      <c r="M6" s="402"/>
      <c r="N6" s="402"/>
      <c r="O6" s="459">
        <f>SUM(C6:N6)</f>
        <v>985874805</v>
      </c>
    </row>
    <row r="7" spans="1:15" ht="12.9" customHeight="1" x14ac:dyDescent="0.2">
      <c r="A7" s="189"/>
      <c r="B7" s="176" t="s">
        <v>320</v>
      </c>
      <c r="C7" s="460">
        <f>'[13]Hoja 1'!$I$9+'[34]Hoja 1'!$D$10</f>
        <v>6155134</v>
      </c>
      <c r="D7" s="460">
        <f>'[14]Hoja 1'!$I$9+'[14]Hoja 1'!$D$32+'[40]Hoja 1'!$D$10+'[44]Hoja 1'!$D$10</f>
        <v>13938668</v>
      </c>
      <c r="E7" s="460">
        <v>241842440</v>
      </c>
      <c r="F7" s="460">
        <v>241842440</v>
      </c>
      <c r="G7" s="460"/>
      <c r="H7" s="460"/>
      <c r="I7" s="460"/>
      <c r="J7" s="460"/>
      <c r="K7" s="460"/>
      <c r="L7" s="460"/>
      <c r="M7" s="460"/>
      <c r="N7" s="460"/>
      <c r="O7" s="392">
        <f>SUM(C7:N7)</f>
        <v>503778682</v>
      </c>
    </row>
    <row r="8" spans="1:15" ht="12.9" customHeight="1" x14ac:dyDescent="0.2">
      <c r="A8" s="189"/>
      <c r="B8" s="176" t="s">
        <v>321</v>
      </c>
      <c r="C8" s="460"/>
      <c r="D8" s="916"/>
      <c r="E8" s="460">
        <v>241842440</v>
      </c>
      <c r="F8" s="460">
        <v>241842440</v>
      </c>
      <c r="G8" s="460"/>
      <c r="H8" s="460"/>
      <c r="I8" s="460"/>
      <c r="J8" s="460"/>
      <c r="K8" s="460"/>
      <c r="L8" s="460"/>
      <c r="M8" s="460"/>
      <c r="N8" s="460"/>
      <c r="O8" s="460">
        <f>SUM(C8:N8)</f>
        <v>483684880</v>
      </c>
    </row>
    <row r="9" spans="1:15" ht="12.9" customHeight="1" x14ac:dyDescent="0.2">
      <c r="A9" s="189" t="s">
        <v>322</v>
      </c>
      <c r="B9" s="176" t="s">
        <v>186</v>
      </c>
      <c r="C9" s="460">
        <f>'[6]Hoja 1'!$C$218</f>
        <v>151011</v>
      </c>
      <c r="D9" s="460">
        <f>'[5]Hoja 1'!$C$76+'[33]Hoja 1'!$C$81-152082</f>
        <v>1696583</v>
      </c>
      <c r="E9" s="460">
        <v>241842440</v>
      </c>
      <c r="F9" s="460">
        <v>241842440</v>
      </c>
      <c r="G9" s="460"/>
      <c r="H9" s="460"/>
      <c r="I9" s="460"/>
      <c r="J9" s="460"/>
      <c r="K9" s="460"/>
      <c r="L9" s="460"/>
      <c r="M9" s="460"/>
      <c r="N9" s="460"/>
      <c r="O9" s="460">
        <f>SUM(C9:N9)</f>
        <v>485532474</v>
      </c>
    </row>
    <row r="10" spans="1:15" ht="12.9" customHeight="1" x14ac:dyDescent="0.2">
      <c r="A10" s="189" t="s">
        <v>80</v>
      </c>
      <c r="B10" s="176" t="s">
        <v>81</v>
      </c>
      <c r="C10" s="171"/>
      <c r="D10" s="424">
        <f>'[4]Hoja 1'!$C$239</f>
        <v>3010800</v>
      </c>
      <c r="E10" s="392">
        <v>241842440</v>
      </c>
      <c r="F10" s="392">
        <v>241842440</v>
      </c>
      <c r="G10" s="392"/>
      <c r="H10" s="392"/>
      <c r="I10" s="392"/>
      <c r="J10" s="392"/>
      <c r="K10" s="392"/>
      <c r="L10" s="392"/>
      <c r="M10" s="392"/>
      <c r="N10" s="392"/>
      <c r="O10" s="424">
        <f>SUM(C10:N10)</f>
        <v>486695680</v>
      </c>
    </row>
    <row r="11" spans="1:15" ht="15" customHeight="1" x14ac:dyDescent="0.2">
      <c r="A11" s="189"/>
      <c r="B11" s="157" t="s">
        <v>323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</row>
    <row r="12" spans="1:15" ht="15" customHeight="1" x14ac:dyDescent="0.2">
      <c r="A12" s="189"/>
      <c r="B12" s="168" t="s">
        <v>125</v>
      </c>
      <c r="C12" s="902">
        <f t="shared" ref="C12:O12" si="1">SUM(C13:C16)</f>
        <v>7425606.0299999993</v>
      </c>
      <c r="D12" s="902">
        <f t="shared" si="1"/>
        <v>7560892.0099999998</v>
      </c>
      <c r="E12" s="902">
        <f t="shared" si="1"/>
        <v>967369760</v>
      </c>
      <c r="F12" s="902">
        <f t="shared" si="1"/>
        <v>967369760</v>
      </c>
      <c r="G12" s="902">
        <f t="shared" si="1"/>
        <v>0</v>
      </c>
      <c r="H12" s="902">
        <f t="shared" si="1"/>
        <v>0</v>
      </c>
      <c r="I12" s="902">
        <f t="shared" si="1"/>
        <v>0</v>
      </c>
      <c r="J12" s="902">
        <f t="shared" si="1"/>
        <v>0</v>
      </c>
      <c r="K12" s="902">
        <f t="shared" si="1"/>
        <v>0</v>
      </c>
      <c r="L12" s="902">
        <f t="shared" si="1"/>
        <v>0</v>
      </c>
      <c r="M12" s="902">
        <f t="shared" si="1"/>
        <v>0</v>
      </c>
      <c r="N12" s="902">
        <f t="shared" si="1"/>
        <v>0</v>
      </c>
      <c r="O12" s="180">
        <f t="shared" si="1"/>
        <v>1949726018.04</v>
      </c>
    </row>
    <row r="13" spans="1:15" ht="12.9" customHeight="1" x14ac:dyDescent="0.2">
      <c r="A13" s="189" t="s">
        <v>324</v>
      </c>
      <c r="B13" s="178" t="s">
        <v>325</v>
      </c>
      <c r="C13" s="917">
        <f>'[6]Hoja 1'!$C$196+'[6]Hoja 1'!$C$234</f>
        <v>7107509.5999999996</v>
      </c>
      <c r="D13" s="917">
        <f>'[4]Hoja 1'!$C$201+'[4]Hoja 1'!$C$243</f>
        <v>6877454.4100000001</v>
      </c>
      <c r="E13" s="917">
        <v>241842440</v>
      </c>
      <c r="F13" s="917">
        <v>241842440</v>
      </c>
      <c r="G13" s="917"/>
      <c r="H13" s="917"/>
      <c r="I13" s="917"/>
      <c r="J13" s="917"/>
      <c r="K13" s="917"/>
      <c r="L13" s="917"/>
      <c r="M13" s="917"/>
      <c r="N13" s="917"/>
      <c r="O13" s="424">
        <f>SUM(C13:N13)</f>
        <v>497669844.00999999</v>
      </c>
    </row>
    <row r="14" spans="1:15" ht="12.9" customHeight="1" x14ac:dyDescent="0.2">
      <c r="A14" s="189" t="s">
        <v>326</v>
      </c>
      <c r="B14" s="178" t="s">
        <v>141</v>
      </c>
      <c r="C14" s="424">
        <f>'[6]Hoja 1'!$C$236</f>
        <v>188084.43</v>
      </c>
      <c r="D14" s="424">
        <f>'[4]Hoja 1'!$C$245</f>
        <v>273737.59999999998</v>
      </c>
      <c r="E14" s="424">
        <v>241842440</v>
      </c>
      <c r="F14" s="424">
        <v>241842440</v>
      </c>
      <c r="G14" s="424"/>
      <c r="H14" s="424"/>
      <c r="I14" s="424"/>
      <c r="J14" s="424"/>
      <c r="K14" s="424"/>
      <c r="L14" s="424"/>
      <c r="M14" s="424"/>
      <c r="N14" s="424"/>
      <c r="O14" s="424">
        <f>SUM(C14:N14)</f>
        <v>484146702.02999997</v>
      </c>
    </row>
    <row r="15" spans="1:15" ht="12.9" customHeight="1" x14ac:dyDescent="0.2">
      <c r="A15" s="189"/>
      <c r="B15" s="178" t="s">
        <v>145</v>
      </c>
      <c r="C15" s="392"/>
      <c r="D15" s="392"/>
      <c r="E15" s="392">
        <v>241842440</v>
      </c>
      <c r="F15" s="392">
        <v>241842440</v>
      </c>
      <c r="G15" s="392"/>
      <c r="H15" s="392"/>
      <c r="I15" s="392"/>
      <c r="J15" s="392"/>
      <c r="K15" s="392"/>
      <c r="L15" s="392"/>
      <c r="M15" s="392"/>
      <c r="N15" s="392"/>
      <c r="O15" s="392">
        <f>SUM(C15:N15)</f>
        <v>483684880</v>
      </c>
    </row>
    <row r="16" spans="1:15" ht="12.9" customHeight="1" x14ac:dyDescent="0.2">
      <c r="A16" s="189" t="s">
        <v>327</v>
      </c>
      <c r="B16" s="178" t="s">
        <v>328</v>
      </c>
      <c r="C16" s="425">
        <f>'[6]Hoja 1'!$C$198</f>
        <v>130012</v>
      </c>
      <c r="D16" s="425">
        <f>'[4]Hoja 1'!$C$158+'[4]Hoja 1'!$C$203</f>
        <v>409700</v>
      </c>
      <c r="E16" s="425">
        <v>241842440</v>
      </c>
      <c r="F16" s="425">
        <v>241842440</v>
      </c>
      <c r="G16" s="425"/>
      <c r="H16" s="425"/>
      <c r="I16" s="425"/>
      <c r="J16" s="425"/>
      <c r="K16" s="425"/>
      <c r="L16" s="425"/>
      <c r="M16" s="425"/>
      <c r="N16" s="425"/>
      <c r="O16" s="392">
        <f>SUM(C16:N16)</f>
        <v>484224592</v>
      </c>
    </row>
    <row r="17" spans="1:15" ht="15" customHeight="1" x14ac:dyDescent="0.2">
      <c r="A17" s="189"/>
      <c r="B17" s="521" t="s">
        <v>329</v>
      </c>
      <c r="C17" s="476">
        <f t="shared" ref="C17:O17" si="2">C5+C11+C12</f>
        <v>207311007.03</v>
      </c>
      <c r="D17" s="476">
        <f t="shared" si="2"/>
        <v>334817612.00999999</v>
      </c>
      <c r="E17" s="476">
        <f t="shared" si="2"/>
        <v>2176581960</v>
      </c>
      <c r="F17" s="476">
        <f t="shared" si="2"/>
        <v>2176581960</v>
      </c>
      <c r="G17" s="476">
        <f t="shared" si="2"/>
        <v>0</v>
      </c>
      <c r="H17" s="476">
        <f t="shared" si="2"/>
        <v>0</v>
      </c>
      <c r="I17" s="476">
        <f t="shared" si="2"/>
        <v>0</v>
      </c>
      <c r="J17" s="476">
        <f t="shared" si="2"/>
        <v>0</v>
      </c>
      <c r="K17" s="476">
        <f t="shared" si="2"/>
        <v>0</v>
      </c>
      <c r="L17" s="476">
        <f t="shared" si="2"/>
        <v>0</v>
      </c>
      <c r="M17" s="476">
        <f t="shared" si="2"/>
        <v>0</v>
      </c>
      <c r="N17" s="476">
        <f t="shared" si="2"/>
        <v>0</v>
      </c>
      <c r="O17" s="476">
        <f t="shared" si="2"/>
        <v>4895292539.04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>D6-D20</f>
        <v>160553827</v>
      </c>
      <c r="E21" s="164">
        <f>E6-E20</f>
        <v>74909465</v>
      </c>
      <c r="F21" s="164">
        <f>F6-F20</f>
        <v>46992179</v>
      </c>
      <c r="G21" s="164">
        <f>G6-G20</f>
        <v>-219335066</v>
      </c>
      <c r="I21" s="164">
        <f t="shared" ref="I21:N21" si="3">I6-I20</f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-1221837242</v>
      </c>
    </row>
    <row r="22" spans="1:15" hidden="1" x14ac:dyDescent="0.2">
      <c r="C22" s="787">
        <f>C21/C20</f>
        <v>1.3277959882798784</v>
      </c>
      <c r="D22" s="787">
        <f>D21/D20</f>
        <v>1.0844066699734147</v>
      </c>
      <c r="E22" s="787">
        <f>E21/E20</f>
        <v>0.44873977115665731</v>
      </c>
      <c r="F22" s="787">
        <f>F21/F20</f>
        <v>0.24117072647903715</v>
      </c>
      <c r="G22" s="787">
        <f>G21/G20</f>
        <v>-1</v>
      </c>
      <c r="H22" s="787"/>
      <c r="I22" s="787">
        <f t="shared" ref="I22:O22" si="4">I21/I20</f>
        <v>-1</v>
      </c>
      <c r="J22" s="787">
        <f t="shared" si="4"/>
        <v>-1</v>
      </c>
      <c r="K22" s="787">
        <f t="shared" si="4"/>
        <v>-1</v>
      </c>
      <c r="L22" s="787">
        <f t="shared" si="4"/>
        <v>-1</v>
      </c>
      <c r="M22" s="787">
        <f t="shared" si="4"/>
        <v>-1</v>
      </c>
      <c r="N22" s="787">
        <f t="shared" si="4"/>
        <v>-1</v>
      </c>
      <c r="O22" s="787">
        <f t="shared" si="4"/>
        <v>-0.55344049223281699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330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331</v>
      </c>
    </row>
    <row r="28" spans="1:15" hidden="1" x14ac:dyDescent="0.2">
      <c r="K28" s="164">
        <f>K27+O20</f>
        <v>2562891015</v>
      </c>
      <c r="L28" s="164" t="s">
        <v>332</v>
      </c>
    </row>
    <row r="29" spans="1:15" hidden="1" x14ac:dyDescent="0.2">
      <c r="K29" s="164">
        <f>K28*11%</f>
        <v>281918011.64999998</v>
      </c>
      <c r="L29" s="164" t="s">
        <v>333</v>
      </c>
    </row>
    <row r="30" spans="1:15" hidden="1" x14ac:dyDescent="0.2">
      <c r="K30" s="164">
        <f>K28+K29</f>
        <v>2844809026.6500001</v>
      </c>
      <c r="L30" s="164" t="s">
        <v>334</v>
      </c>
    </row>
    <row r="31" spans="1:15" hidden="1" x14ac:dyDescent="0.2">
      <c r="K31" s="164">
        <v>535655289</v>
      </c>
      <c r="L31" s="164" t="s">
        <v>335</v>
      </c>
    </row>
    <row r="32" spans="1:15" hidden="1" x14ac:dyDescent="0.2">
      <c r="K32" s="788">
        <f>K30+K31</f>
        <v>3380464315.6500001</v>
      </c>
      <c r="L32" s="164" t="s">
        <v>336</v>
      </c>
    </row>
    <row r="33" spans="11:12" hidden="1" x14ac:dyDescent="0.2">
      <c r="K33" s="164">
        <f>O6-K32</f>
        <v>-2394589510.6500001</v>
      </c>
      <c r="L33" s="164" t="s">
        <v>337</v>
      </c>
    </row>
    <row r="34" spans="11:12" hidden="1" x14ac:dyDescent="0.2">
      <c r="K34" s="164">
        <f>8%*K6*12</f>
        <v>0</v>
      </c>
      <c r="L34" s="787" t="s">
        <v>338</v>
      </c>
    </row>
    <row r="35" spans="11:12" hidden="1" x14ac:dyDescent="0.2">
      <c r="K35" s="164">
        <f>K33-K34</f>
        <v>-2394589510.6500001</v>
      </c>
      <c r="L35" s="164" t="s">
        <v>339</v>
      </c>
    </row>
    <row r="54" spans="8:8" x14ac:dyDescent="0.2">
      <c r="H54" s="164" t="s">
        <v>340</v>
      </c>
    </row>
  </sheetData>
  <mergeCells count="1">
    <mergeCell ref="C2:O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5.33203125" style="113" bestFit="1" customWidth="1"/>
    <col min="6" max="10" width="13.88671875" style="113" customWidth="1"/>
    <col min="11" max="11" width="14.33203125" style="113" customWidth="1"/>
    <col min="12" max="12" width="13.88671875" style="113" customWidth="1"/>
    <col min="13" max="13" width="13.6640625" style="113" customWidth="1"/>
    <col min="14" max="14" width="13.88671875" style="113" customWidth="1"/>
    <col min="15" max="15" width="16.109375" style="113" customWidth="1"/>
    <col min="16" max="16" width="7.5546875" style="115" customWidth="1"/>
    <col min="17" max="38" width="11.44140625" style="115" customWidth="1"/>
    <col min="39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0</v>
      </c>
      <c r="C2" s="1031" t="s">
        <v>341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18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6" ht="15" customHeight="1" x14ac:dyDescent="0.2">
      <c r="A5" s="188"/>
      <c r="B5" s="166" t="s">
        <v>181</v>
      </c>
      <c r="C5" s="167">
        <f t="shared" ref="C5:O5" si="0">SUM(C6:C8)</f>
        <v>24131313</v>
      </c>
      <c r="D5" s="167">
        <f t="shared" si="0"/>
        <v>38628873</v>
      </c>
      <c r="E5" s="167">
        <f t="shared" si="0"/>
        <v>725527320</v>
      </c>
      <c r="F5" s="167">
        <f t="shared" si="0"/>
        <v>725527320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1513814826</v>
      </c>
    </row>
    <row r="6" spans="1:16" ht="12.9" customHeight="1" x14ac:dyDescent="0.2">
      <c r="A6" s="189" t="s">
        <v>342</v>
      </c>
      <c r="B6" s="185" t="s">
        <v>183</v>
      </c>
      <c r="C6" s="423">
        <f>'[8]Hoja 1'!$I$10+'[38]Hoja 1'!$E$10</f>
        <v>24131313</v>
      </c>
      <c r="D6" s="423">
        <f>'[10]Hoja 1'!$I$9+'[11]Hoja 1'!$I$10+'[43]Hoja 1'!$I$10-D7</f>
        <v>38476791</v>
      </c>
      <c r="E6" s="423">
        <v>241842440</v>
      </c>
      <c r="F6" s="434">
        <v>241842440</v>
      </c>
      <c r="G6" s="434"/>
      <c r="H6" s="434"/>
      <c r="I6" s="434"/>
      <c r="J6" s="434"/>
      <c r="K6" s="434"/>
      <c r="L6" s="434"/>
      <c r="M6" s="434"/>
      <c r="N6" s="906"/>
      <c r="O6" s="459">
        <f>SUM(C6:N6)</f>
        <v>546292984</v>
      </c>
    </row>
    <row r="7" spans="1:16" ht="12.9" customHeight="1" x14ac:dyDescent="0.2">
      <c r="A7" s="189">
        <v>72055101</v>
      </c>
      <c r="B7" s="642" t="s">
        <v>343</v>
      </c>
      <c r="C7" s="436"/>
      <c r="D7" s="436">
        <v>152082</v>
      </c>
      <c r="E7" s="436">
        <v>241842440</v>
      </c>
      <c r="F7" s="436">
        <v>241842440</v>
      </c>
      <c r="G7" s="436"/>
      <c r="H7" s="436"/>
      <c r="I7" s="436"/>
      <c r="J7" s="907"/>
      <c r="K7" s="436"/>
      <c r="L7" s="436"/>
      <c r="M7" s="436"/>
      <c r="N7" s="436"/>
      <c r="O7" s="392">
        <f>SUM(C7:N7)</f>
        <v>483836962</v>
      </c>
    </row>
    <row r="8" spans="1:16" ht="12.9" customHeight="1" x14ac:dyDescent="0.2">
      <c r="A8" s="189"/>
      <c r="B8" s="640" t="s">
        <v>81</v>
      </c>
      <c r="C8" s="405"/>
      <c r="D8" s="405"/>
      <c r="E8" s="405">
        <v>241842440</v>
      </c>
      <c r="F8" s="405">
        <v>241842440</v>
      </c>
      <c r="G8" s="405"/>
      <c r="H8" s="405"/>
      <c r="I8" s="405"/>
      <c r="J8" s="405"/>
      <c r="K8" s="405"/>
      <c r="L8" s="405"/>
      <c r="M8" s="405"/>
      <c r="N8" s="405"/>
      <c r="O8" s="425">
        <f>SUM(C8:N8)</f>
        <v>483684880</v>
      </c>
    </row>
    <row r="9" spans="1:16" s="181" customFormat="1" ht="15" customHeight="1" x14ac:dyDescent="0.2">
      <c r="A9" s="190"/>
      <c r="B9" s="183" t="s">
        <v>200</v>
      </c>
      <c r="C9" s="111">
        <f t="shared" ref="C9:O9" si="1">SUM(C10)</f>
        <v>1032100</v>
      </c>
      <c r="D9" s="111">
        <f t="shared" si="1"/>
        <v>0</v>
      </c>
      <c r="E9" s="111">
        <f t="shared" si="1"/>
        <v>241842440</v>
      </c>
      <c r="F9" s="111">
        <f t="shared" si="1"/>
        <v>241842440</v>
      </c>
      <c r="G9" s="111">
        <f t="shared" si="1"/>
        <v>0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484716980</v>
      </c>
    </row>
    <row r="10" spans="1:16" s="181" customFormat="1" ht="12.9" customHeight="1" x14ac:dyDescent="0.2">
      <c r="A10" s="190"/>
      <c r="B10" s="184" t="s">
        <v>344</v>
      </c>
      <c r="C10" s="900">
        <f>'[6]Hoja 1'!$C$80-2676712</f>
        <v>1032100</v>
      </c>
      <c r="D10" s="900"/>
      <c r="E10" s="900">
        <v>241842440</v>
      </c>
      <c r="F10" s="900">
        <v>241842440</v>
      </c>
      <c r="G10" s="900"/>
      <c r="H10" s="900"/>
      <c r="I10" s="900"/>
      <c r="J10" s="900"/>
      <c r="K10" s="900"/>
      <c r="L10" s="900"/>
      <c r="M10" s="900"/>
      <c r="N10" s="900"/>
      <c r="O10" s="352">
        <f>SUM(C10:N10)</f>
        <v>484716980</v>
      </c>
    </row>
    <row r="11" spans="1:16" s="165" customFormat="1" ht="15" customHeight="1" x14ac:dyDescent="0.2">
      <c r="A11" s="190"/>
      <c r="B11" s="183" t="s">
        <v>91</v>
      </c>
      <c r="C11" s="167">
        <f t="shared" ref="C11:O11" si="2">SUM(C12:C14)</f>
        <v>1776800</v>
      </c>
      <c r="D11" s="167">
        <f t="shared" si="2"/>
        <v>3290861</v>
      </c>
      <c r="E11" s="167">
        <f t="shared" si="2"/>
        <v>725527320</v>
      </c>
      <c r="F11" s="167">
        <f t="shared" si="2"/>
        <v>725527320</v>
      </c>
      <c r="G11" s="167">
        <f t="shared" si="2"/>
        <v>0</v>
      </c>
      <c r="H11" s="167">
        <f t="shared" si="2"/>
        <v>0</v>
      </c>
      <c r="I11" s="167">
        <f t="shared" si="2"/>
        <v>0</v>
      </c>
      <c r="J11" s="167">
        <f t="shared" si="2"/>
        <v>0</v>
      </c>
      <c r="K11" s="167">
        <f t="shared" si="2"/>
        <v>0</v>
      </c>
      <c r="L11" s="167">
        <f t="shared" si="2"/>
        <v>0</v>
      </c>
      <c r="M11" s="167">
        <f t="shared" si="2"/>
        <v>0</v>
      </c>
      <c r="N11" s="167">
        <f t="shared" si="2"/>
        <v>0</v>
      </c>
      <c r="O11" s="167">
        <f t="shared" si="2"/>
        <v>1456122301</v>
      </c>
    </row>
    <row r="12" spans="1:16" ht="12.9" hidden="1" customHeight="1" x14ac:dyDescent="0.2">
      <c r="A12" s="187" t="s">
        <v>345</v>
      </c>
      <c r="B12" s="185" t="s">
        <v>346</v>
      </c>
      <c r="C12" s="901"/>
      <c r="D12" s="901"/>
      <c r="E12" s="901">
        <v>241842440</v>
      </c>
      <c r="F12" s="901">
        <v>241842440</v>
      </c>
      <c r="G12" s="901"/>
      <c r="H12" s="901"/>
      <c r="I12" s="901"/>
      <c r="J12" s="901"/>
      <c r="K12" s="901"/>
      <c r="L12" s="901"/>
      <c r="M12" s="901"/>
      <c r="N12" s="901"/>
      <c r="O12" s="459">
        <f>SUM(C12:N12)</f>
        <v>483684880</v>
      </c>
    </row>
    <row r="13" spans="1:16" ht="12.9" customHeight="1" x14ac:dyDescent="0.2">
      <c r="A13" s="187" t="s">
        <v>347</v>
      </c>
      <c r="B13" s="185" t="s">
        <v>207</v>
      </c>
      <c r="C13" s="403"/>
      <c r="D13" s="403">
        <f>'[4]Hoja 1'!$C$93</f>
        <v>3290861</v>
      </c>
      <c r="E13" s="403">
        <v>241842440</v>
      </c>
      <c r="F13" s="403">
        <v>241842440</v>
      </c>
      <c r="G13" s="403"/>
      <c r="H13" s="403"/>
      <c r="I13" s="403"/>
      <c r="J13" s="403"/>
      <c r="K13" s="403"/>
      <c r="L13" s="403"/>
      <c r="M13" s="403"/>
      <c r="N13" s="403"/>
      <c r="O13" s="460">
        <f>SUM(C13:N13)</f>
        <v>486975741</v>
      </c>
    </row>
    <row r="14" spans="1:16" s="181" customFormat="1" ht="12.9" customHeight="1" x14ac:dyDescent="0.2">
      <c r="A14" s="190"/>
      <c r="B14" s="640" t="s">
        <v>348</v>
      </c>
      <c r="C14" s="405">
        <f>'[6]Hoja 1'!$C$92</f>
        <v>1776800</v>
      </c>
      <c r="D14" s="405"/>
      <c r="E14" s="405">
        <v>241842440</v>
      </c>
      <c r="F14" s="405">
        <v>241842440</v>
      </c>
      <c r="G14" s="405"/>
      <c r="H14" s="405"/>
      <c r="I14" s="405"/>
      <c r="J14" s="405"/>
      <c r="K14" s="405"/>
      <c r="L14" s="405"/>
      <c r="M14" s="405"/>
      <c r="N14" s="405"/>
      <c r="O14" s="461">
        <f>SUM(C14:N14)</f>
        <v>485461680</v>
      </c>
    </row>
    <row r="15" spans="1:16" s="181" customFormat="1" ht="12.9" customHeight="1" x14ac:dyDescent="0.2">
      <c r="A15" s="190"/>
      <c r="B15" s="186" t="s">
        <v>94</v>
      </c>
      <c r="C15" s="409">
        <f t="shared" ref="C15:O15" si="3">SUM(C16:C18)</f>
        <v>18677943</v>
      </c>
      <c r="D15" s="409">
        <f t="shared" si="3"/>
        <v>20828145</v>
      </c>
      <c r="E15" s="409">
        <f t="shared" si="3"/>
        <v>725527320</v>
      </c>
      <c r="F15" s="409">
        <f t="shared" si="3"/>
        <v>725527320</v>
      </c>
      <c r="G15" s="409">
        <f t="shared" si="3"/>
        <v>0</v>
      </c>
      <c r="H15" s="409">
        <f t="shared" si="3"/>
        <v>0</v>
      </c>
      <c r="I15" s="409">
        <f t="shared" si="3"/>
        <v>0</v>
      </c>
      <c r="J15" s="409">
        <f t="shared" si="3"/>
        <v>0</v>
      </c>
      <c r="K15" s="409">
        <f t="shared" si="3"/>
        <v>0</v>
      </c>
      <c r="L15" s="409">
        <f t="shared" si="3"/>
        <v>0</v>
      </c>
      <c r="M15" s="409">
        <f t="shared" si="3"/>
        <v>0</v>
      </c>
      <c r="N15" s="409">
        <f t="shared" si="3"/>
        <v>0</v>
      </c>
      <c r="O15" s="409">
        <f t="shared" si="3"/>
        <v>1490560728</v>
      </c>
    </row>
    <row r="16" spans="1:16" s="181" customFormat="1" ht="12.9" customHeight="1" x14ac:dyDescent="0.2">
      <c r="A16" s="190" t="s">
        <v>349</v>
      </c>
      <c r="B16" s="641" t="s">
        <v>350</v>
      </c>
      <c r="C16" s="423">
        <f>'[6]Hoja 1'!$C$95</f>
        <v>2777640</v>
      </c>
      <c r="D16" s="423">
        <f>'[4]Hoja 1'!$C$98</f>
        <v>2777640</v>
      </c>
      <c r="E16" s="423">
        <v>241842440</v>
      </c>
      <c r="F16" s="423">
        <v>241842440</v>
      </c>
      <c r="G16" s="423"/>
      <c r="H16" s="423"/>
      <c r="I16" s="423"/>
      <c r="J16" s="423"/>
      <c r="K16" s="423"/>
      <c r="L16" s="423"/>
      <c r="M16" s="423"/>
      <c r="N16" s="423"/>
      <c r="O16" s="423">
        <f>SUM(C16:N16)</f>
        <v>489240160</v>
      </c>
      <c r="P16" s="702"/>
    </row>
    <row r="17" spans="1:25" s="181" customFormat="1" ht="12.9" customHeight="1" x14ac:dyDescent="0.2">
      <c r="A17" s="190"/>
      <c r="B17" s="807" t="s">
        <v>351</v>
      </c>
      <c r="C17" s="423">
        <f>'[27]Hoja 1'!$G$26</f>
        <v>3030303</v>
      </c>
      <c r="D17" s="423">
        <f>'[28]Hoja 1'!$G$26</f>
        <v>5050505</v>
      </c>
      <c r="E17" s="423">
        <v>241842440</v>
      </c>
      <c r="F17" s="423">
        <v>241842440</v>
      </c>
      <c r="G17" s="423"/>
      <c r="H17" s="423"/>
      <c r="I17" s="423"/>
      <c r="J17" s="423"/>
      <c r="K17" s="423"/>
      <c r="L17" s="423"/>
      <c r="M17" s="423"/>
      <c r="N17" s="423"/>
      <c r="O17" s="423">
        <f>SUM(C17:N17)</f>
        <v>491765688</v>
      </c>
      <c r="P17" s="702"/>
    </row>
    <row r="18" spans="1:25" s="181" customFormat="1" ht="12.9" customHeight="1" x14ac:dyDescent="0.2">
      <c r="A18" s="803">
        <v>51355001</v>
      </c>
      <c r="B18" s="640" t="s">
        <v>226</v>
      </c>
      <c r="C18" s="405">
        <f>'[27]Hoja 1'!$G$29</f>
        <v>12870000</v>
      </c>
      <c r="D18" s="405">
        <f>'[28]Hoja 1'!$G$29</f>
        <v>13000000</v>
      </c>
      <c r="E18" s="405">
        <v>241842440</v>
      </c>
      <c r="F18" s="405">
        <v>241842440</v>
      </c>
      <c r="G18" s="405"/>
      <c r="H18" s="405"/>
      <c r="I18" s="405"/>
      <c r="J18" s="405"/>
      <c r="K18" s="405"/>
      <c r="L18" s="405"/>
      <c r="M18" s="405"/>
      <c r="N18" s="405"/>
      <c r="O18" s="425">
        <f>SUM(C18:N18)</f>
        <v>509554880</v>
      </c>
      <c r="P18" s="905"/>
    </row>
    <row r="19" spans="1:25" s="181" customFormat="1" ht="12.9" customHeight="1" x14ac:dyDescent="0.2">
      <c r="A19" s="191"/>
      <c r="B19" s="186" t="s">
        <v>235</v>
      </c>
      <c r="C19" s="902">
        <f t="shared" ref="C19:O19" si="4">SUM(C20:C21)</f>
        <v>5781451</v>
      </c>
      <c r="D19" s="902">
        <f t="shared" si="4"/>
        <v>4480532</v>
      </c>
      <c r="E19" s="902">
        <f t="shared" si="4"/>
        <v>483684880</v>
      </c>
      <c r="F19" s="902">
        <f t="shared" si="4"/>
        <v>483684880</v>
      </c>
      <c r="G19" s="902">
        <f t="shared" si="4"/>
        <v>0</v>
      </c>
      <c r="H19" s="902">
        <f t="shared" si="4"/>
        <v>0</v>
      </c>
      <c r="I19" s="902">
        <f t="shared" si="4"/>
        <v>0</v>
      </c>
      <c r="J19" s="902">
        <f t="shared" si="4"/>
        <v>0</v>
      </c>
      <c r="K19" s="902">
        <f t="shared" si="4"/>
        <v>0</v>
      </c>
      <c r="L19" s="902">
        <f t="shared" si="4"/>
        <v>0</v>
      </c>
      <c r="M19" s="902">
        <f t="shared" si="4"/>
        <v>0</v>
      </c>
      <c r="N19" s="902">
        <f t="shared" si="4"/>
        <v>0</v>
      </c>
      <c r="O19" s="167">
        <f t="shared" si="4"/>
        <v>977631743</v>
      </c>
    </row>
    <row r="20" spans="1:25" s="165" customFormat="1" ht="12.9" customHeight="1" x14ac:dyDescent="0.2">
      <c r="A20" s="192" t="s">
        <v>352</v>
      </c>
      <c r="B20" s="185" t="s">
        <v>353</v>
      </c>
      <c r="C20" s="903">
        <v>3549011</v>
      </c>
      <c r="D20" s="903">
        <f>'[4]Hoja 1'!C131</f>
        <v>1877008</v>
      </c>
      <c r="E20" s="903">
        <v>241842440</v>
      </c>
      <c r="F20" s="903">
        <v>241842440</v>
      </c>
      <c r="G20" s="903"/>
      <c r="H20" s="903"/>
      <c r="I20" s="903"/>
      <c r="J20" s="903"/>
      <c r="K20" s="903"/>
      <c r="L20" s="903"/>
      <c r="M20" s="903"/>
      <c r="N20" s="903"/>
      <c r="O20" s="402">
        <f>SUM(C20:N20)</f>
        <v>489110899</v>
      </c>
    </row>
    <row r="21" spans="1:25" s="165" customFormat="1" ht="12.9" customHeight="1" x14ac:dyDescent="0.2">
      <c r="A21" s="192" t="s">
        <v>354</v>
      </c>
      <c r="B21" s="640" t="s">
        <v>355</v>
      </c>
      <c r="C21" s="904">
        <v>2232440</v>
      </c>
      <c r="D21" s="904">
        <f>'[4]Hoja 1'!C132</f>
        <v>2603524</v>
      </c>
      <c r="E21" s="904">
        <v>241842440</v>
      </c>
      <c r="F21" s="904">
        <v>241842440</v>
      </c>
      <c r="G21" s="904"/>
      <c r="H21" s="904"/>
      <c r="I21" s="904"/>
      <c r="J21" s="904"/>
      <c r="K21" s="904"/>
      <c r="L21" s="904"/>
      <c r="M21" s="904"/>
      <c r="N21" s="904"/>
      <c r="O21" s="461">
        <f>SUM(C21:N21)</f>
        <v>488520844</v>
      </c>
    </row>
    <row r="22" spans="1:25" s="165" customFormat="1" ht="12.9" customHeight="1" x14ac:dyDescent="0.2">
      <c r="A22" s="192"/>
      <c r="B22" s="186" t="s">
        <v>125</v>
      </c>
      <c r="C22" s="111">
        <f t="shared" ref="C22:O22" si="5">SUM(C23:C24)</f>
        <v>13381998</v>
      </c>
      <c r="D22" s="111">
        <f t="shared" si="5"/>
        <v>17883092</v>
      </c>
      <c r="E22" s="111">
        <f t="shared" si="5"/>
        <v>483684880</v>
      </c>
      <c r="F22" s="111">
        <f t="shared" si="5"/>
        <v>483684880</v>
      </c>
      <c r="G22" s="111">
        <f t="shared" si="5"/>
        <v>0</v>
      </c>
      <c r="H22" s="111">
        <f t="shared" si="5"/>
        <v>0</v>
      </c>
      <c r="I22" s="111">
        <f t="shared" si="5"/>
        <v>0</v>
      </c>
      <c r="J22" s="111">
        <f t="shared" si="5"/>
        <v>0</v>
      </c>
      <c r="K22" s="111">
        <f t="shared" si="5"/>
        <v>0</v>
      </c>
      <c r="L22" s="111">
        <f t="shared" si="5"/>
        <v>0</v>
      </c>
      <c r="M22" s="111">
        <f t="shared" si="5"/>
        <v>0</v>
      </c>
      <c r="N22" s="111">
        <f t="shared" si="5"/>
        <v>0</v>
      </c>
      <c r="O22" s="111">
        <f t="shared" si="5"/>
        <v>998634850</v>
      </c>
    </row>
    <row r="23" spans="1:25" s="797" customFormat="1" ht="12.9" customHeight="1" x14ac:dyDescent="0.2">
      <c r="A23" s="804" t="s">
        <v>255</v>
      </c>
      <c r="B23" s="796" t="s">
        <v>356</v>
      </c>
      <c r="C23" s="171">
        <f>'[6]Hoja 1'!$C$139-964175</f>
        <v>4477352</v>
      </c>
      <c r="D23" s="423">
        <f>'[4]Hoja 1'!$C$141-1186883</f>
        <v>8910107</v>
      </c>
      <c r="E23" s="171">
        <v>241842440</v>
      </c>
      <c r="F23" s="423">
        <v>241842440</v>
      </c>
      <c r="G23" s="423"/>
      <c r="H23" s="423"/>
      <c r="I23" s="423"/>
      <c r="J23" s="423"/>
      <c r="K23" s="423"/>
      <c r="L23" s="423"/>
      <c r="M23" s="423"/>
      <c r="N23" s="423"/>
      <c r="O23" s="462">
        <f>SUM(C23:N23)</f>
        <v>497072339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47" t="s">
        <v>357</v>
      </c>
      <c r="C24" s="405">
        <v>8904646</v>
      </c>
      <c r="D24" s="405">
        <v>8972985</v>
      </c>
      <c r="E24" s="405">
        <v>241842440</v>
      </c>
      <c r="F24" s="405">
        <v>241842440</v>
      </c>
      <c r="G24" s="405"/>
      <c r="H24" s="405"/>
      <c r="I24" s="405"/>
      <c r="J24" s="405"/>
      <c r="K24" s="405"/>
      <c r="L24" s="405"/>
      <c r="M24" s="405"/>
      <c r="N24" s="405"/>
      <c r="O24" s="425">
        <f>SUM(C24:N24)</f>
        <v>501562511</v>
      </c>
    </row>
    <row r="25" spans="1:25" ht="15" customHeight="1" x14ac:dyDescent="0.2">
      <c r="B25" s="519" t="s">
        <v>358</v>
      </c>
      <c r="C25" s="477">
        <f t="shared" ref="C25:O25" si="6">C5+C9+C11+C15+C19+C22</f>
        <v>64781605</v>
      </c>
      <c r="D25" s="477">
        <f t="shared" si="6"/>
        <v>85111503</v>
      </c>
      <c r="E25" s="477">
        <f t="shared" si="6"/>
        <v>3385794160</v>
      </c>
      <c r="F25" s="477">
        <f t="shared" si="6"/>
        <v>3385794160</v>
      </c>
      <c r="G25" s="477">
        <f t="shared" si="6"/>
        <v>0</v>
      </c>
      <c r="H25" s="477">
        <f t="shared" si="6"/>
        <v>0</v>
      </c>
      <c r="I25" s="477">
        <f t="shared" si="6"/>
        <v>0</v>
      </c>
      <c r="J25" s="477">
        <f t="shared" si="6"/>
        <v>0</v>
      </c>
      <c r="K25" s="477">
        <f t="shared" si="6"/>
        <v>0</v>
      </c>
      <c r="L25" s="477">
        <f t="shared" si="6"/>
        <v>0</v>
      </c>
      <c r="M25" s="477">
        <f t="shared" si="6"/>
        <v>0</v>
      </c>
      <c r="N25" s="477">
        <f t="shared" si="6"/>
        <v>0</v>
      </c>
      <c r="O25" s="477">
        <f t="shared" si="6"/>
        <v>6921481428</v>
      </c>
    </row>
    <row r="27" spans="1:25" x14ac:dyDescent="0.2">
      <c r="K27" s="458"/>
      <c r="O27" s="182"/>
    </row>
    <row r="30" spans="1:25" x14ac:dyDescent="0.2"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17"/>
      <c r="O30" s="617"/>
    </row>
    <row r="31" spans="1:25" x14ac:dyDescent="0.2"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17"/>
      <c r="O31" s="617"/>
    </row>
    <row r="32" spans="1:25" x14ac:dyDescent="0.2">
      <c r="D32" s="617"/>
      <c r="O32" s="617"/>
    </row>
    <row r="35" spans="11:11" x14ac:dyDescent="0.2">
      <c r="K35" s="113" t="s">
        <v>340</v>
      </c>
    </row>
  </sheetData>
  <mergeCells count="1">
    <mergeCell ref="C2:O2"/>
  </mergeCell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"/>
  <dimension ref="A2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199999999999999" outlineLevelRow="1" x14ac:dyDescent="0.2"/>
  <cols>
    <col min="1" max="1" width="10.6640625" style="237" customWidth="1"/>
    <col min="2" max="2" width="41.5546875" style="980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43" width="17.5546875" style="2" customWidth="1"/>
    <col min="44" max="65" width="11.44140625" style="2" customWidth="1"/>
    <col min="66" max="16384" width="11.44140625" style="2"/>
  </cols>
  <sheetData>
    <row r="2" spans="1:47" ht="14.4" customHeight="1" thickBot="1" x14ac:dyDescent="0.35">
      <c r="B2" s="981" t="s">
        <v>0</v>
      </c>
      <c r="C2" s="1027" t="s">
        <v>359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</row>
    <row r="3" spans="1:47" ht="21.6" customHeight="1" thickTop="1" thickBot="1" x14ac:dyDescent="0.25">
      <c r="B3" s="982" t="s">
        <v>2</v>
      </c>
      <c r="C3" s="478"/>
      <c r="D3" s="479"/>
      <c r="E3" s="480"/>
      <c r="F3" s="478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220</v>
      </c>
      <c r="AN3" s="572"/>
      <c r="AO3" s="573"/>
      <c r="AQ3" s="215"/>
      <c r="AR3" s="216" t="s">
        <v>360</v>
      </c>
      <c r="AS3" s="216" t="s">
        <v>361</v>
      </c>
      <c r="AT3" s="216" t="s">
        <v>362</v>
      </c>
      <c r="AU3" s="225"/>
    </row>
    <row r="4" spans="1:47" s="215" customFormat="1" ht="22.95" customHeight="1" thickTop="1" thickBot="1" x14ac:dyDescent="0.35">
      <c r="A4" s="740"/>
      <c r="B4" s="983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217"/>
      <c r="AR4" s="218"/>
      <c r="AS4" s="219"/>
      <c r="AT4" s="220"/>
      <c r="AU4" s="224"/>
    </row>
    <row r="5" spans="1:47" s="223" customFormat="1" ht="15" customHeight="1" thickTop="1" x14ac:dyDescent="0.2">
      <c r="A5" s="741"/>
      <c r="B5" s="430" t="s">
        <v>363</v>
      </c>
      <c r="C5" s="259">
        <f>C$3*$AR$7*$AT$4</f>
        <v>0</v>
      </c>
      <c r="D5" s="89"/>
      <c r="E5" s="303"/>
      <c r="F5" s="259"/>
      <c r="G5" s="89"/>
      <c r="H5" s="303"/>
      <c r="I5" s="259">
        <f>I$3*$AR$7*$AT$4</f>
        <v>0</v>
      </c>
      <c r="J5" s="89"/>
      <c r="K5" s="303"/>
      <c r="L5" s="259">
        <f>L$3*$AR$7*$AT$4</f>
        <v>0</v>
      </c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/>
      <c r="AQ5" s="466" t="s">
        <v>364</v>
      </c>
      <c r="AR5" s="1041"/>
      <c r="AS5" s="1039"/>
      <c r="AT5" s="221"/>
      <c r="AU5" s="224"/>
    </row>
    <row r="6" spans="1:47" s="223" customFormat="1" ht="15" customHeight="1" x14ac:dyDescent="0.2">
      <c r="A6" s="741"/>
      <c r="B6" s="430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/>
      <c r="AQ6" s="467" t="s">
        <v>365</v>
      </c>
      <c r="AR6" s="1040"/>
      <c r="AS6" s="1040"/>
      <c r="AT6" s="222"/>
      <c r="AU6" s="224"/>
    </row>
    <row r="7" spans="1:47" s="223" customFormat="1" ht="15" customHeight="1" x14ac:dyDescent="0.2">
      <c r="A7" s="741"/>
      <c r="B7" s="430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/>
      <c r="AQ7" s="251" t="s">
        <v>366</v>
      </c>
      <c r="AR7" s="252">
        <v>1</v>
      </c>
      <c r="AS7" s="253"/>
      <c r="AT7" s="346"/>
    </row>
    <row r="8" spans="1:47" s="223" customFormat="1" ht="15" customHeight="1" x14ac:dyDescent="0.2">
      <c r="A8" s="741"/>
      <c r="B8" s="430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38"/>
      <c r="AR8" s="254"/>
    </row>
    <row r="9" spans="1:47" s="223" customFormat="1" ht="15" customHeight="1" x14ac:dyDescent="0.2">
      <c r="A9" s="741"/>
      <c r="B9" s="100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38"/>
      <c r="AR9" s="239"/>
      <c r="AS9" s="239"/>
    </row>
    <row r="10" spans="1:47" s="223" customFormat="1" ht="15" customHeight="1" x14ac:dyDescent="0.2">
      <c r="A10" s="741"/>
      <c r="B10" s="100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7" s="223" customFormat="1" ht="15" customHeight="1" x14ac:dyDescent="0.2">
      <c r="A11" s="741"/>
      <c r="B11" s="100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7" s="223" customFormat="1" ht="15" customHeight="1" x14ac:dyDescent="0.2">
      <c r="A12" s="741"/>
      <c r="B12" s="984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7" ht="15" customHeight="1" x14ac:dyDescent="0.2">
      <c r="A13" s="741"/>
      <c r="B13" s="985" t="s">
        <v>23</v>
      </c>
      <c r="C13" s="484">
        <f>C14+C23</f>
        <v>4723875</v>
      </c>
      <c r="D13" s="485"/>
      <c r="E13" s="486"/>
      <c r="F13" s="484">
        <f>F14+F23</f>
        <v>1755875</v>
      </c>
      <c r="G13" s="485"/>
      <c r="H13" s="486"/>
      <c r="I13" s="484">
        <f>I14+I23</f>
        <v>483684880</v>
      </c>
      <c r="J13" s="485"/>
      <c r="K13" s="486"/>
      <c r="L13" s="484">
        <f>L14+L23</f>
        <v>483684880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973849510</v>
      </c>
      <c r="AN13" s="485"/>
      <c r="AO13" s="579"/>
    </row>
    <row r="14" spans="1:47" ht="15" customHeight="1" x14ac:dyDescent="0.2">
      <c r="A14" s="741"/>
      <c r="B14" s="986" t="s">
        <v>24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483684880</v>
      </c>
      <c r="J14" s="3"/>
      <c r="K14" s="150"/>
      <c r="L14" s="49">
        <f>L15</f>
        <v>483684880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973849510</v>
      </c>
      <c r="AN14" s="3"/>
      <c r="AO14" s="313"/>
    </row>
    <row r="15" spans="1:47" ht="15" customHeight="1" x14ac:dyDescent="0.2">
      <c r="A15" s="741"/>
      <c r="B15" s="986" t="s">
        <v>25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483684880</v>
      </c>
      <c r="J15" s="3"/>
      <c r="K15" s="150"/>
      <c r="L15" s="49">
        <f>SUM(L16:L22)</f>
        <v>483684880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398"/>
      <c r="AC15" s="313"/>
      <c r="AD15" s="49">
        <f>SUM(AD16:AD22)</f>
        <v>0</v>
      </c>
      <c r="AE15" s="398"/>
      <c r="AF15" s="313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973849510</v>
      </c>
      <c r="AN15" s="3"/>
      <c r="AO15" s="313"/>
    </row>
    <row r="16" spans="1:47" ht="15" customHeight="1" x14ac:dyDescent="0.2">
      <c r="A16" s="741" t="s">
        <v>367</v>
      </c>
      <c r="B16" s="262"/>
      <c r="C16" s="103">
        <f>'[6]Hoja 1'!$E$24+'[6]Hoja 1'!$E$327+'[6]Hoja 1'!$E$540+'[6]Hoja 1'!$E$604+'[6]Hoja 1'!$E$643+'[15]Hoja 1'!$E$21+'[15]Hoja 1'!$E$107+'[15]Hoja 1'!$E$144+'[15]Hoja 1'!$E$181+'[15]Hoja 1'!$E$253+'[45]Hoja 1'!$E$21+'[36]Hoja 1'!$E$23+'[46]Hoja 1'!$E$23+'[30]Hoja 1'!$F$23+'[31]Hoja 1'!$E$24</f>
        <v>4723875</v>
      </c>
      <c r="D16" s="79"/>
      <c r="E16" s="147"/>
      <c r="F16" s="103">
        <f>'[4]Hoja 1'!$E$26+'[4]Hoja 1'!$E$321+'[4]Hoja 1'!$E$503+'[4]Hoja 1'!$E$575+'[5]Hoja 1'!$E$20+'[5]Hoja 1'!$E$101+'[5]Hoja 1'!$E$142+'[16]Hoja 1'!$E$21+'[47]Hoja 1'!$E$21+'[32]Hoja 1'!$E$19+'[32]Hoja 1'!$E$98+'[48]Hoja 1'!$E$23+'[49]Hoja 1'!$E$27+'[33]Hoja 1'!$E$23+'[33]Hoja 1'!$E$106+'[33]Hoja 1'!$E$147</f>
        <v>1755875</v>
      </c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490164630</v>
      </c>
      <c r="AN16" s="79"/>
      <c r="AO16" s="314"/>
    </row>
    <row r="17" spans="1:41" ht="15" customHeight="1" x14ac:dyDescent="0.2">
      <c r="A17" s="741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/>
    </row>
    <row r="18" spans="1:41" ht="15" customHeight="1" x14ac:dyDescent="0.2">
      <c r="A18" s="741"/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A19" s="741"/>
      <c r="B19" s="104" t="s">
        <v>368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>
        <v>241842440</v>
      </c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483684880</v>
      </c>
      <c r="AN19" s="43"/>
      <c r="AO19" s="309"/>
    </row>
    <row r="20" spans="1:41" ht="15" customHeight="1" x14ac:dyDescent="0.2">
      <c r="A20" s="741"/>
      <c r="B20" s="263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A21" s="741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A22" s="741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1" ht="15" customHeight="1" outlineLevel="1" x14ac:dyDescent="0.2">
      <c r="A23" s="741"/>
      <c r="B23" s="986" t="s">
        <v>30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customHeight="1" outlineLevel="1" x14ac:dyDescent="0.2">
      <c r="A24" s="741"/>
      <c r="B24" s="986" t="s">
        <v>31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customHeight="1" outlineLevel="1" x14ac:dyDescent="0.2">
      <c r="A25" s="741"/>
      <c r="B25" s="32" t="s">
        <v>32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customHeight="1" outlineLevel="1" x14ac:dyDescent="0.2">
      <c r="A26" s="741"/>
      <c r="B26" s="32" t="s">
        <v>33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customHeight="1" outlineLevel="1" x14ac:dyDescent="0.2">
      <c r="A27" s="741"/>
      <c r="B27" s="32" t="s">
        <v>369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x14ac:dyDescent="0.2">
      <c r="A28" s="741"/>
      <c r="B28" s="986" t="s">
        <v>35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A29" s="741"/>
      <c r="B29" s="98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/>
      <c r="L29" s="49">
        <f>SUM(L30:L35)</f>
        <v>0</v>
      </c>
      <c r="M29" s="3"/>
      <c r="N29" s="150">
        <f>L29/L13</f>
        <v>0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1:41" ht="15" customHeight="1" outlineLevel="1" x14ac:dyDescent="0.2">
      <c r="A30" s="741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customHeight="1" outlineLevel="1" x14ac:dyDescent="0.2">
      <c r="A31" s="741"/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customHeight="1" outlineLevel="1" x14ac:dyDescent="0.2">
      <c r="A32" s="741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A33" s="741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1:41" ht="15" customHeight="1" outlineLevel="1" x14ac:dyDescent="0.2">
      <c r="A34" s="741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A35" s="741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A36" s="741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1:41" ht="15" customHeight="1" outlineLevel="1" x14ac:dyDescent="0.2">
      <c r="A37" s="741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A38" s="741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A39" s="741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A40" s="741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A41" s="741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A42" s="741"/>
      <c r="B42" s="987" t="s">
        <v>45</v>
      </c>
      <c r="C42" s="487">
        <f>+C14+C23-C28</f>
        <v>4723875</v>
      </c>
      <c r="D42" s="488"/>
      <c r="E42" s="489"/>
      <c r="F42" s="487">
        <f>+F14+F23-F28</f>
        <v>1755875</v>
      </c>
      <c r="G42" s="488"/>
      <c r="H42" s="489"/>
      <c r="I42" s="487">
        <f>+I14+I23-I28</f>
        <v>483684880</v>
      </c>
      <c r="J42" s="488"/>
      <c r="K42" s="489"/>
      <c r="L42" s="487">
        <f>+L14+L23-L28</f>
        <v>483684880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973849510</v>
      </c>
      <c r="AN42" s="488"/>
      <c r="AO42" s="577"/>
    </row>
    <row r="43" spans="1:41" ht="15" customHeight="1" thickTop="1" thickBot="1" x14ac:dyDescent="0.25">
      <c r="A43" s="741"/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1:41" ht="15" customHeight="1" thickTop="1" x14ac:dyDescent="0.2">
      <c r="A44" s="741"/>
      <c r="B44" s="988" t="s">
        <v>46</v>
      </c>
      <c r="C44" s="490">
        <f>+C45+C60+C78</f>
        <v>30403739.349999998</v>
      </c>
      <c r="D44" s="491"/>
      <c r="E44" s="492"/>
      <c r="F44" s="490">
        <f>+F45+F60+F78</f>
        <v>34044826.039999999</v>
      </c>
      <c r="G44" s="491"/>
      <c r="H44" s="492"/>
      <c r="I44" s="490">
        <f>+I45+I60+I78</f>
        <v>1451054640</v>
      </c>
      <c r="J44" s="491"/>
      <c r="K44" s="492"/>
      <c r="L44" s="490">
        <f>+L45+L60+L78</f>
        <v>1451054640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2966557845.3900003</v>
      </c>
      <c r="AN44" s="491"/>
      <c r="AO44" s="580"/>
    </row>
    <row r="45" spans="1:41" ht="15" customHeight="1" x14ac:dyDescent="0.2">
      <c r="A45" s="741"/>
      <c r="B45" s="986" t="s">
        <v>47</v>
      </c>
      <c r="C45" s="49"/>
      <c r="D45" s="3"/>
      <c r="E45" s="150"/>
      <c r="F45" s="49"/>
      <c r="G45" s="3"/>
      <c r="H45" s="150"/>
      <c r="I45" s="49">
        <v>241842440</v>
      </c>
      <c r="J45" s="3"/>
      <c r="K45" s="150"/>
      <c r="L45" s="49">
        <v>241842440</v>
      </c>
      <c r="M45" s="3"/>
      <c r="N45" s="150"/>
      <c r="O45" s="49"/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1"/>
        <v>483684880</v>
      </c>
      <c r="AN45" s="3"/>
      <c r="AO45" s="313">
        <f>AM45/AM$13</f>
        <v>0.49667312560438626</v>
      </c>
    </row>
    <row r="46" spans="1:41" ht="15" customHeight="1" x14ac:dyDescent="0.2">
      <c r="A46" s="741"/>
      <c r="B46" s="36" t="s">
        <v>370</v>
      </c>
      <c r="C46" s="37"/>
      <c r="D46" s="67"/>
      <c r="E46" s="149"/>
      <c r="F46" s="37"/>
      <c r="G46" s="67"/>
      <c r="H46" s="149"/>
      <c r="I46" s="37">
        <v>241842440</v>
      </c>
      <c r="J46" s="67"/>
      <c r="K46" s="149"/>
      <c r="L46" s="37">
        <v>241842440</v>
      </c>
      <c r="M46" s="67"/>
      <c r="N46" s="149"/>
      <c r="O46" s="37"/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1">
        <f t="shared" si="1"/>
        <v>483684880</v>
      </c>
      <c r="AN46" s="67"/>
      <c r="AO46" s="318"/>
    </row>
    <row r="47" spans="1:41" ht="15" customHeight="1" x14ac:dyDescent="0.2">
      <c r="A47" s="741"/>
      <c r="B47" s="989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1"/>
        <v>0</v>
      </c>
      <c r="AN47" s="42"/>
      <c r="AO47" s="315">
        <f>AM47/AM$16</f>
        <v>0</v>
      </c>
    </row>
    <row r="48" spans="1:41" ht="15" customHeight="1" x14ac:dyDescent="0.2">
      <c r="A48" s="741"/>
      <c r="B48" s="43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>
        <f t="shared" si="1"/>
        <v>0</v>
      </c>
      <c r="AN48" s="43"/>
      <c r="AO48" s="309"/>
    </row>
    <row r="49" spans="1:41" ht="15" customHeight="1" x14ac:dyDescent="0.2">
      <c r="A49" s="741"/>
      <c r="B49" s="43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A50" s="741"/>
      <c r="B50" s="431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A51" s="741"/>
      <c r="B51" s="43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A52" s="741"/>
      <c r="B52" s="431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A53" s="741"/>
      <c r="B53" s="431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A54" s="741"/>
      <c r="B54" s="431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customHeight="1" x14ac:dyDescent="0.2">
      <c r="A55" s="741"/>
      <c r="B55" s="431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customHeight="1" x14ac:dyDescent="0.2">
      <c r="A56" s="741"/>
      <c r="B56" s="990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customHeight="1" x14ac:dyDescent="0.2">
      <c r="A57" s="741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>
        <f t="shared" ref="AM57:AM66" si="2">C57+F57+I57+L57+O57+R57+U57+X57+AA57+AD57+AG57+AJ57</f>
        <v>0</v>
      </c>
      <c r="AN57" s="67"/>
      <c r="AO57" s="318"/>
    </row>
    <row r="58" spans="1:41" ht="15" customHeight="1" x14ac:dyDescent="0.2">
      <c r="A58" s="741"/>
      <c r="B58" s="36" t="s">
        <v>371</v>
      </c>
      <c r="C58" s="37"/>
      <c r="D58" s="67"/>
      <c r="E58" s="149"/>
      <c r="F58" s="37"/>
      <c r="G58" s="67"/>
      <c r="H58" s="149"/>
      <c r="I58" s="37">
        <v>241842440</v>
      </c>
      <c r="J58" s="67"/>
      <c r="K58" s="149"/>
      <c r="L58" s="37">
        <v>241842440</v>
      </c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>
        <f t="shared" si="2"/>
        <v>483684880</v>
      </c>
      <c r="AN58" s="67"/>
      <c r="AO58" s="318">
        <f>AM58/AM$16</f>
        <v>0.98678046190317725</v>
      </c>
    </row>
    <row r="59" spans="1:41" s="108" customFormat="1" ht="15" customHeight="1" x14ac:dyDescent="0.2">
      <c r="A59" s="741"/>
      <c r="B59" s="36" t="s">
        <v>372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1">
        <f t="shared" si="2"/>
        <v>0</v>
      </c>
      <c r="AN59" s="42"/>
      <c r="AO59" s="319">
        <f>AM59/(AM16)</f>
        <v>0</v>
      </c>
    </row>
    <row r="60" spans="1:41" ht="15" customHeight="1" x14ac:dyDescent="0.2">
      <c r="A60" s="741"/>
      <c r="B60" s="986" t="s">
        <v>373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967369760</v>
      </c>
      <c r="J60" s="3"/>
      <c r="K60" s="150"/>
      <c r="L60" s="49">
        <f>+L61+L73+L74+L75+L76+L77</f>
        <v>967369760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2"/>
        <v>1982788023.3899999</v>
      </c>
      <c r="AN60" s="3"/>
      <c r="AO60" s="313"/>
    </row>
    <row r="61" spans="1:41" ht="15" customHeight="1" x14ac:dyDescent="0.2">
      <c r="A61" s="741"/>
      <c r="B61" s="36" t="s">
        <v>370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483684880</v>
      </c>
      <c r="J61" s="67"/>
      <c r="K61" s="149"/>
      <c r="L61" s="37">
        <f>SUM(L62:L71)+L72</f>
        <v>483684880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2"/>
        <v>1013370902.39</v>
      </c>
      <c r="AN61" s="67"/>
      <c r="AO61" s="318"/>
    </row>
    <row r="62" spans="1:41" ht="15" customHeight="1" x14ac:dyDescent="0.2">
      <c r="A62" s="746">
        <v>51956001</v>
      </c>
      <c r="B62" s="100" t="s">
        <v>374</v>
      </c>
      <c r="C62" s="304">
        <f>'[6]Hoja 1'!$C$245</f>
        <v>23737019.079999998</v>
      </c>
      <c r="D62" s="79"/>
      <c r="E62" s="147"/>
      <c r="F62" s="266">
        <f>'[4]Hoja 1'!$C$254</f>
        <v>21999955.57</v>
      </c>
      <c r="G62" s="79"/>
      <c r="H62" s="147"/>
      <c r="I62" s="78">
        <v>241842440</v>
      </c>
      <c r="J62" s="79"/>
      <c r="K62" s="147"/>
      <c r="L62" s="78">
        <v>241842440</v>
      </c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529421854.64999998</v>
      </c>
      <c r="AN62" s="79"/>
      <c r="AO62" s="314"/>
    </row>
    <row r="63" spans="1:41" ht="15" customHeight="1" x14ac:dyDescent="0.2">
      <c r="A63" s="746" t="s">
        <v>375</v>
      </c>
      <c r="B63" s="101"/>
      <c r="C63" s="25">
        <f>'[6]Hoja 1'!$C$251</f>
        <v>156567.26999999999</v>
      </c>
      <c r="D63" s="43"/>
      <c r="E63" s="118"/>
      <c r="F63" s="25">
        <f>'[4]Hoja 1'!$C$260</f>
        <v>107600.47</v>
      </c>
      <c r="G63" s="43"/>
      <c r="H63" s="118"/>
      <c r="I63" s="25">
        <v>241842440</v>
      </c>
      <c r="J63" s="43"/>
      <c r="K63" s="118"/>
      <c r="L63" s="25">
        <v>241842440</v>
      </c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483949047.74000001</v>
      </c>
      <c r="AN63" s="43"/>
      <c r="AO63" s="309"/>
    </row>
    <row r="64" spans="1:41" ht="15" customHeight="1" x14ac:dyDescent="0.3">
      <c r="A64" s="741"/>
      <c r="B64" s="991"/>
      <c r="C64" s="465"/>
      <c r="D64" s="43"/>
      <c r="E64" s="118"/>
      <c r="F64" s="465"/>
      <c r="G64" s="43"/>
      <c r="H64" s="118"/>
      <c r="I64" s="388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42" ht="15" customHeight="1" x14ac:dyDescent="0.2">
      <c r="A65" s="741"/>
      <c r="B65" s="43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42" ht="15" customHeight="1" x14ac:dyDescent="0.2">
      <c r="A66" s="741"/>
      <c r="B66" s="431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42" ht="15" customHeight="1" x14ac:dyDescent="0.2">
      <c r="A67" s="741"/>
      <c r="B67" s="431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42" ht="15" customHeight="1" x14ac:dyDescent="0.2">
      <c r="A68" s="741"/>
      <c r="B68" s="431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A69" s="741"/>
      <c r="B69" s="431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A70" s="741"/>
      <c r="B70" s="992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A71" s="741"/>
      <c r="B71" s="415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A72" s="741"/>
      <c r="B72" s="36" t="s">
        <v>376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3"/>
        <v>0</v>
      </c>
      <c r="AN72" s="67"/>
      <c r="AO72" s="318" t="e">
        <f>AM72/(AM17+AM18)</f>
        <v>#DIV/0!</v>
      </c>
    </row>
    <row r="73" spans="1:42" ht="15" customHeight="1" x14ac:dyDescent="0.2">
      <c r="A73" s="741"/>
      <c r="B73" s="36" t="s">
        <v>377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3"/>
        <v>0</v>
      </c>
      <c r="AN73" s="67"/>
      <c r="AO73" s="320" t="e">
        <f>AM73/(AM17+AM18)</f>
        <v>#DIV/0!</v>
      </c>
    </row>
    <row r="74" spans="1:42" ht="15" customHeight="1" x14ac:dyDescent="0.2">
      <c r="A74" s="741"/>
      <c r="B74" s="36" t="s">
        <v>378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1">
        <f t="shared" si="3"/>
        <v>0</v>
      </c>
      <c r="AN74" s="67"/>
      <c r="AO74" s="320" t="e">
        <f>AM74/(AM17+AM18)</f>
        <v>#DIV/0!</v>
      </c>
    </row>
    <row r="75" spans="1:42" ht="15" customHeight="1" x14ac:dyDescent="0.2">
      <c r="A75" s="741"/>
      <c r="B75" s="36" t="s">
        <v>66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3"/>
        <v>0</v>
      </c>
      <c r="AN75" s="67"/>
      <c r="AO75" s="318"/>
    </row>
    <row r="76" spans="1:42" ht="15" customHeight="1" x14ac:dyDescent="0.2">
      <c r="A76" s="741"/>
      <c r="B76" s="36" t="s">
        <v>68</v>
      </c>
      <c r="C76" s="211">
        <f>'[6]Hoja 1'!$C$256</f>
        <v>35748</v>
      </c>
      <c r="D76" s="67"/>
      <c r="E76" s="149"/>
      <c r="F76" s="211">
        <f>'[4]Hoja 1'!$C$265</f>
        <v>795876</v>
      </c>
      <c r="G76" s="67"/>
      <c r="H76" s="149"/>
      <c r="I76" s="211">
        <v>241842440</v>
      </c>
      <c r="J76" s="67"/>
      <c r="K76" s="149"/>
      <c r="L76" s="37">
        <v>241842440</v>
      </c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484516504</v>
      </c>
      <c r="AN76" s="67"/>
      <c r="AO76" s="320"/>
    </row>
    <row r="77" spans="1:42" ht="15" customHeight="1" x14ac:dyDescent="0.2">
      <c r="A77" s="741" t="s">
        <v>69</v>
      </c>
      <c r="B77" s="993" t="s">
        <v>70</v>
      </c>
      <c r="C77" s="28">
        <f>'[6]Hoja 1'!$C$260</f>
        <v>471859</v>
      </c>
      <c r="D77" s="45"/>
      <c r="E77" s="149"/>
      <c r="F77" s="28">
        <f>'[4]Hoja 1'!$C$269</f>
        <v>743878</v>
      </c>
      <c r="G77" s="45"/>
      <c r="H77" s="149"/>
      <c r="I77" s="28">
        <v>241842440</v>
      </c>
      <c r="J77" s="45"/>
      <c r="K77" s="149"/>
      <c r="L77" s="28">
        <v>241842440</v>
      </c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484900617</v>
      </c>
      <c r="AN77" s="42"/>
      <c r="AO77" s="320"/>
    </row>
    <row r="78" spans="1:42" ht="15" customHeight="1" x14ac:dyDescent="0.2">
      <c r="A78" s="741"/>
      <c r="B78" s="986" t="s">
        <v>71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241842440</v>
      </c>
      <c r="J78" s="3"/>
      <c r="K78" s="150"/>
      <c r="L78" s="49">
        <f>SUM(L79:L81)</f>
        <v>241842440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3"/>
        <v>500084942</v>
      </c>
      <c r="AN78" s="3"/>
      <c r="AO78" s="321">
        <f>AM78/(AM$13)</f>
        <v>0.51351357357052019</v>
      </c>
    </row>
    <row r="79" spans="1:42" ht="15" customHeight="1" x14ac:dyDescent="0.3">
      <c r="A79" s="741"/>
      <c r="B79" s="994" t="s">
        <v>73</v>
      </c>
      <c r="C79" s="266">
        <f>'[19]Hoja 1'!$I$11-C86+'[20]Hoja 1'!$I$10+'[50]Hoja 1'!$D$9</f>
        <v>6002546</v>
      </c>
      <c r="D79" s="69"/>
      <c r="E79" s="306"/>
      <c r="F79" s="266">
        <f>'[22]Hoja 1'!$I$10-F86+'[23]Hoja 1'!$I$10+'[26]Hoja 1'!$I$10</f>
        <v>10397516</v>
      </c>
      <c r="G79" s="69"/>
      <c r="H79" s="306"/>
      <c r="I79" s="266">
        <v>241842440</v>
      </c>
      <c r="J79" s="69"/>
      <c r="K79" s="306"/>
      <c r="L79" s="266">
        <v>241842440</v>
      </c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70"/>
      <c r="AM79" s="268">
        <f t="shared" si="3"/>
        <v>500084942</v>
      </c>
      <c r="AN79" s="4"/>
      <c r="AO79" s="322">
        <f>AM79/(AM$13)</f>
        <v>0.51351357357052019</v>
      </c>
      <c r="AP79" s="144"/>
    </row>
    <row r="80" spans="1:42" ht="15" customHeight="1" x14ac:dyDescent="0.2">
      <c r="A80" s="741"/>
      <c r="B80" s="431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1:41" ht="15" customHeight="1" thickBot="1" x14ac:dyDescent="0.25">
      <c r="A81" s="741"/>
      <c r="B81" s="995"/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3"/>
        <v>0</v>
      </c>
      <c r="AN81" s="214"/>
      <c r="AO81" s="323"/>
    </row>
    <row r="82" spans="1:41" ht="15" customHeight="1" thickTop="1" thickBot="1" x14ac:dyDescent="0.25">
      <c r="A82" s="741"/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347"/>
      <c r="AN82" s="2"/>
      <c r="AO82" s="244"/>
    </row>
    <row r="83" spans="1:41" ht="15" customHeight="1" thickTop="1" x14ac:dyDescent="0.2">
      <c r="A83" s="741"/>
      <c r="B83" s="988" t="s">
        <v>76</v>
      </c>
      <c r="C83" s="490">
        <f>+C84+C88+C91+C95+C98+C108+C113+C119+C122+C126</f>
        <v>1184073.3999999999</v>
      </c>
      <c r="D83" s="491"/>
      <c r="E83" s="492"/>
      <c r="F83" s="490">
        <f>+F84+F88+F91+F95+F98+F108+F113+F119+F122+F126</f>
        <v>641926</v>
      </c>
      <c r="G83" s="491"/>
      <c r="H83" s="492">
        <f>F83/(F$13)</f>
        <v>0.36558752758596141</v>
      </c>
      <c r="I83" s="490">
        <f>+I84+I88+I91+I95+I98+I108+I113+I119+I122+I126</f>
        <v>9709436074</v>
      </c>
      <c r="J83" s="491"/>
      <c r="K83" s="492"/>
      <c r="L83" s="490">
        <f>+L84+L88+L91+L95+L98+L108+L113+L119+L122+L126</f>
        <v>9709436074</v>
      </c>
      <c r="M83" s="491"/>
      <c r="N83" s="492">
        <f>L83/(L$13)</f>
        <v>20.07388792885153</v>
      </c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 t="e">
        <f>U83/(U$13)</f>
        <v>#DIV/0!</v>
      </c>
      <c r="X83" s="490">
        <f>+X84+X88+X91+X95+X98+X108+X113+X119+X122+X126</f>
        <v>0</v>
      </c>
      <c r="Y83" s="491"/>
      <c r="Z83" s="492" t="e">
        <f>X83/(X$13)</f>
        <v>#DIV/0!</v>
      </c>
      <c r="AA83" s="490">
        <f>+AA84+AA88+AA91+AA95+AA98+AA108+AA113+AA119+AA122+AA126</f>
        <v>0</v>
      </c>
      <c r="AB83" s="491"/>
      <c r="AC83" s="492" t="e">
        <f>AA83/(AA$13)</f>
        <v>#DIV/0!</v>
      </c>
      <c r="AD83" s="490">
        <f>+AD84+AD88+AD91+AD95+AD98+AD108+AD113+AD119+AD122+AD126</f>
        <v>0</v>
      </c>
      <c r="AE83" s="491"/>
      <c r="AF83" s="492" t="e">
        <f>AD83/(AD$13)</f>
        <v>#DIV/0!</v>
      </c>
      <c r="AG83" s="490">
        <f>+AG84+AG88+AG91+AG95+AG98+AG108+AG113+AG119+AG122+AG126</f>
        <v>0</v>
      </c>
      <c r="AH83" s="491"/>
      <c r="AI83" s="492" t="e">
        <f>AG83/(AG$13)</f>
        <v>#DIV/0!</v>
      </c>
      <c r="AJ83" s="490">
        <f>+AJ84+AJ88+AJ91+AJ95+AJ98+AJ108+AJ113+AJ119+AJ122+AJ126</f>
        <v>0</v>
      </c>
      <c r="AK83" s="491"/>
      <c r="AL83" s="510"/>
      <c r="AM83" s="490">
        <f t="shared" ref="AM83:AM127" si="4">C83+F83+I83+L83+O83+R83+U83+X83+AA83+AD83+AG83+AJ83</f>
        <v>19420698147.400002</v>
      </c>
      <c r="AN83" s="491"/>
      <c r="AO83" s="582">
        <f>AM83/(AM$13)</f>
        <v>19.942196353726153</v>
      </c>
    </row>
    <row r="84" spans="1:41" ht="15" customHeight="1" x14ac:dyDescent="0.2">
      <c r="A84" s="741"/>
      <c r="B84" s="986" t="s">
        <v>77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725527320</v>
      </c>
      <c r="J84" s="3"/>
      <c r="K84" s="150"/>
      <c r="L84" s="49">
        <f>SUM(L85:L87)</f>
        <v>725527320</v>
      </c>
      <c r="M84" s="3"/>
      <c r="N84" s="150">
        <f>L84/(L$13)</f>
        <v>1.5</v>
      </c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4"/>
        <v>1451340140</v>
      </c>
      <c r="AN84" s="3"/>
      <c r="AO84" s="321">
        <f>AM84/(AM$13)</f>
        <v>1.4903125432593789</v>
      </c>
    </row>
    <row r="85" spans="1:41" ht="15" customHeight="1" x14ac:dyDescent="0.2">
      <c r="A85" s="741"/>
      <c r="B85" s="996" t="s">
        <v>78</v>
      </c>
      <c r="C85" s="39"/>
      <c r="D85" s="69"/>
      <c r="E85" s="306"/>
      <c r="F85" s="39"/>
      <c r="G85" s="69"/>
      <c r="H85" s="306"/>
      <c r="I85" s="39">
        <v>241842440</v>
      </c>
      <c r="J85" s="69"/>
      <c r="K85" s="306"/>
      <c r="L85" s="39">
        <v>241842440</v>
      </c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4"/>
        <v>483684880</v>
      </c>
      <c r="AN85" s="69"/>
      <c r="AO85" s="324">
        <f>AM85/(AM$13)</f>
        <v>0.49667312560438626</v>
      </c>
    </row>
    <row r="86" spans="1:41" ht="15" customHeight="1" x14ac:dyDescent="0.2">
      <c r="A86" s="741"/>
      <c r="B86" s="431" t="s">
        <v>79</v>
      </c>
      <c r="C86" s="25">
        <v>225638</v>
      </c>
      <c r="D86" s="43"/>
      <c r="E86" s="118"/>
      <c r="F86" s="25">
        <v>59862</v>
      </c>
      <c r="G86" s="43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4"/>
        <v>483970380</v>
      </c>
      <c r="AN86" s="43"/>
      <c r="AO86" s="309"/>
    </row>
    <row r="87" spans="1:41" ht="15" customHeight="1" x14ac:dyDescent="0.2">
      <c r="A87" s="741"/>
      <c r="B87" s="989" t="s">
        <v>81</v>
      </c>
      <c r="C87" s="22"/>
      <c r="D87" s="42"/>
      <c r="E87" s="140"/>
      <c r="F87" s="22"/>
      <c r="G87" s="42"/>
      <c r="H87" s="140"/>
      <c r="I87" s="22">
        <v>241842440</v>
      </c>
      <c r="J87" s="42"/>
      <c r="K87" s="140"/>
      <c r="L87" s="22">
        <v>241842440</v>
      </c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4"/>
        <v>483684880</v>
      </c>
      <c r="AN87" s="42"/>
      <c r="AO87" s="315"/>
    </row>
    <row r="88" spans="1:41" ht="15" customHeight="1" x14ac:dyDescent="0.2">
      <c r="A88" s="741"/>
      <c r="B88" s="986" t="s">
        <v>84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483684880</v>
      </c>
      <c r="J88" s="3"/>
      <c r="K88" s="150"/>
      <c r="L88" s="49">
        <f>SUM(L89:L90)</f>
        <v>483684880</v>
      </c>
      <c r="M88" s="3"/>
      <c r="N88" s="150">
        <f>L88/(L$13)</f>
        <v>1</v>
      </c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4"/>
        <v>967369760</v>
      </c>
      <c r="AN88" s="3"/>
      <c r="AO88" s="321">
        <f>AM88/(AM$13)</f>
        <v>0.99334625120877251</v>
      </c>
    </row>
    <row r="89" spans="1:41" ht="15" customHeight="1" outlineLevel="1" x14ac:dyDescent="0.2">
      <c r="A89" s="741"/>
      <c r="B89" s="996" t="s">
        <v>85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>
        <v>241842440</v>
      </c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4"/>
        <v>483684880</v>
      </c>
      <c r="AN89" s="69"/>
      <c r="AO89" s="324"/>
    </row>
    <row r="90" spans="1:41" ht="15" customHeight="1" outlineLevel="1" x14ac:dyDescent="0.2">
      <c r="A90" s="741"/>
      <c r="B90" s="415" t="s">
        <v>86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>
        <v>241842440</v>
      </c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4"/>
        <v>483684880</v>
      </c>
      <c r="AN90" s="84"/>
      <c r="AO90" s="310"/>
    </row>
    <row r="91" spans="1:41" ht="15" customHeight="1" x14ac:dyDescent="0.2">
      <c r="A91" s="741"/>
      <c r="B91" s="986" t="s">
        <v>87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725527320</v>
      </c>
      <c r="J91" s="3"/>
      <c r="K91" s="150"/>
      <c r="L91" s="49">
        <f>SUM(L92:L94)</f>
        <v>725527320</v>
      </c>
      <c r="M91" s="3"/>
      <c r="N91" s="150">
        <f>L91/(L$13)</f>
        <v>1.5</v>
      </c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4"/>
        <v>1451054640</v>
      </c>
      <c r="AN91" s="3"/>
      <c r="AO91" s="321">
        <f>AM91/(AM$13)</f>
        <v>1.4900193768131587</v>
      </c>
    </row>
    <row r="92" spans="1:41" ht="15" customHeight="1" outlineLevel="1" x14ac:dyDescent="0.2">
      <c r="A92" s="741"/>
      <c r="B92" s="996" t="s">
        <v>88</v>
      </c>
      <c r="C92" s="39"/>
      <c r="D92" s="69"/>
      <c r="E92" s="306"/>
      <c r="F92" s="39"/>
      <c r="G92" s="69"/>
      <c r="H92" s="306"/>
      <c r="I92" s="39">
        <v>241842440</v>
      </c>
      <c r="J92" s="69"/>
      <c r="K92" s="306"/>
      <c r="L92" s="39">
        <v>241842440</v>
      </c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4"/>
        <v>483684880</v>
      </c>
      <c r="AN92" s="69"/>
      <c r="AO92" s="324"/>
    </row>
    <row r="93" spans="1:41" ht="15" customHeight="1" outlineLevel="1" x14ac:dyDescent="0.2">
      <c r="A93" s="741"/>
      <c r="B93" s="431" t="s">
        <v>89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>
        <v>241842440</v>
      </c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4"/>
        <v>483684880</v>
      </c>
      <c r="AN93" s="43"/>
      <c r="AO93" s="309"/>
    </row>
    <row r="94" spans="1:41" ht="15" customHeight="1" outlineLevel="1" x14ac:dyDescent="0.2">
      <c r="A94" s="741"/>
      <c r="B94" s="997" t="s">
        <v>90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>
        <v>241842440</v>
      </c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4"/>
        <v>483684880</v>
      </c>
      <c r="AN94" s="45"/>
      <c r="AO94" s="325"/>
    </row>
    <row r="95" spans="1:41" ht="15" customHeight="1" x14ac:dyDescent="0.2">
      <c r="A95" s="741"/>
      <c r="B95" s="998" t="s">
        <v>91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483684880</v>
      </c>
      <c r="J95" s="3"/>
      <c r="K95" s="150"/>
      <c r="L95" s="49">
        <f>SUM(L96:L97)</f>
        <v>483684880</v>
      </c>
      <c r="M95" s="3"/>
      <c r="N95" s="150">
        <f>L95/(L$13)</f>
        <v>1</v>
      </c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4"/>
        <v>967369760</v>
      </c>
      <c r="AN95" s="3"/>
      <c r="AO95" s="321">
        <f>AM95/(AM$13)</f>
        <v>0.99334625120877251</v>
      </c>
    </row>
    <row r="96" spans="1:41" s="108" customFormat="1" ht="15" customHeight="1" outlineLevel="1" x14ac:dyDescent="0.2">
      <c r="A96" s="741"/>
      <c r="B96" s="996" t="s">
        <v>92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9">
        <v>241842440</v>
      </c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4"/>
        <v>483684880</v>
      </c>
      <c r="AN96" s="69"/>
      <c r="AO96" s="324"/>
    </row>
    <row r="97" spans="1:41" s="108" customFormat="1" ht="15" customHeight="1" outlineLevel="1" x14ac:dyDescent="0.2">
      <c r="A97" s="741"/>
      <c r="B97" s="999" t="s">
        <v>379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>
        <v>241842440</v>
      </c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4"/>
        <v>483684880</v>
      </c>
      <c r="AN97" s="276"/>
      <c r="AO97" s="326"/>
    </row>
    <row r="98" spans="1:41" ht="15" customHeight="1" x14ac:dyDescent="0.2">
      <c r="A98" s="741"/>
      <c r="B98" s="986" t="s">
        <v>94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SUM(I99:I107)</f>
        <v>2176581960</v>
      </c>
      <c r="J98" s="3"/>
      <c r="K98" s="150"/>
      <c r="L98" s="49">
        <f>SUM(L99:L107)</f>
        <v>2176581960</v>
      </c>
      <c r="M98" s="3"/>
      <c r="N98" s="150">
        <f>L98/(L$13)</f>
        <v>4.5</v>
      </c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4"/>
        <v>4353163920</v>
      </c>
      <c r="AN98" s="3"/>
      <c r="AO98" s="321">
        <f>AM98/(AM$13)</f>
        <v>4.470058130439476</v>
      </c>
    </row>
    <row r="99" spans="1:41" ht="15" customHeight="1" outlineLevel="1" x14ac:dyDescent="0.2">
      <c r="A99" s="741"/>
      <c r="B99" s="996" t="s">
        <v>95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>
        <v>241842440</v>
      </c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4"/>
        <v>483684880</v>
      </c>
      <c r="AN99" s="69"/>
      <c r="AO99" s="324"/>
    </row>
    <row r="100" spans="1:41" ht="15" customHeight="1" outlineLevel="1" x14ac:dyDescent="0.2">
      <c r="A100" s="741"/>
      <c r="B100" s="431" t="s">
        <v>212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>
        <v>241842440</v>
      </c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4"/>
        <v>483684880</v>
      </c>
      <c r="AN100" s="43"/>
      <c r="AO100" s="309"/>
    </row>
    <row r="101" spans="1:41" ht="15" customHeight="1" outlineLevel="1" x14ac:dyDescent="0.2">
      <c r="A101" s="741"/>
      <c r="B101" s="431" t="s">
        <v>98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483684880</v>
      </c>
      <c r="AN101" s="43"/>
      <c r="AO101" s="309"/>
    </row>
    <row r="102" spans="1:41" ht="15" customHeight="1" outlineLevel="1" x14ac:dyDescent="0.2">
      <c r="A102" s="741"/>
      <c r="B102" s="431" t="s">
        <v>100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483684880</v>
      </c>
      <c r="AN102" s="43"/>
      <c r="AO102" s="309"/>
    </row>
    <row r="103" spans="1:41" ht="15" customHeight="1" outlineLevel="1" x14ac:dyDescent="0.2">
      <c r="A103" s="741"/>
      <c r="B103" s="431" t="s">
        <v>102</v>
      </c>
      <c r="C103" s="25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483684880</v>
      </c>
      <c r="AN103" s="43"/>
      <c r="AO103" s="309"/>
    </row>
    <row r="104" spans="1:41" ht="15" customHeight="1" outlineLevel="1" x14ac:dyDescent="0.2">
      <c r="A104" s="741"/>
      <c r="B104" s="431" t="s">
        <v>103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483684880</v>
      </c>
      <c r="AN104" s="43"/>
      <c r="AO104" s="309"/>
    </row>
    <row r="105" spans="1:41" ht="15" customHeight="1" outlineLevel="1" x14ac:dyDescent="0.2">
      <c r="A105" s="741"/>
      <c r="B105" s="431" t="s">
        <v>104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>
        <v>241842440</v>
      </c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4"/>
        <v>483684880</v>
      </c>
      <c r="AN105" s="43"/>
      <c r="AO105" s="309"/>
    </row>
    <row r="106" spans="1:41" ht="15" customHeight="1" outlineLevel="1" x14ac:dyDescent="0.2">
      <c r="A106" s="741"/>
      <c r="B106" s="1000" t="s">
        <v>105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>
        <v>241842440</v>
      </c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483684880</v>
      </c>
      <c r="AN106" s="43"/>
      <c r="AO106" s="309"/>
    </row>
    <row r="107" spans="1:41" ht="15" customHeight="1" outlineLevel="1" x14ac:dyDescent="0.2">
      <c r="A107" s="741"/>
      <c r="B107" s="989" t="s">
        <v>106</v>
      </c>
      <c r="C107" s="108"/>
      <c r="D107" s="42"/>
      <c r="E107" s="140"/>
      <c r="F107" s="108"/>
      <c r="G107" s="42"/>
      <c r="H107" s="140"/>
      <c r="I107" s="108">
        <v>241842440</v>
      </c>
      <c r="J107" s="42"/>
      <c r="K107" s="140"/>
      <c r="L107" s="2">
        <v>241842440</v>
      </c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4"/>
        <v>483684880</v>
      </c>
      <c r="AN107" s="42"/>
      <c r="AO107" s="315"/>
    </row>
    <row r="108" spans="1:41" ht="15" customHeight="1" x14ac:dyDescent="0.2">
      <c r="A108" s="741"/>
      <c r="B108" s="986" t="s">
        <v>107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967369760</v>
      </c>
      <c r="J108" s="3"/>
      <c r="K108" s="150"/>
      <c r="L108" s="49">
        <f>SUM(L109:L112)</f>
        <v>967369760</v>
      </c>
      <c r="M108" s="3"/>
      <c r="N108" s="150">
        <f>L108/(L$13)</f>
        <v>2</v>
      </c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4"/>
        <v>1934739520</v>
      </c>
      <c r="AN108" s="3"/>
      <c r="AO108" s="321">
        <f>AM108/(AM$13)</f>
        <v>1.986692502417545</v>
      </c>
    </row>
    <row r="109" spans="1:41" ht="15" customHeight="1" outlineLevel="1" x14ac:dyDescent="0.2">
      <c r="A109" s="741"/>
      <c r="B109" s="996" t="s">
        <v>108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>
        <v>241842440</v>
      </c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4"/>
        <v>483684880</v>
      </c>
      <c r="AN109" s="69"/>
      <c r="AO109" s="324"/>
    </row>
    <row r="110" spans="1:41" ht="15" customHeight="1" outlineLevel="1" x14ac:dyDescent="0.2">
      <c r="A110" s="741"/>
      <c r="B110" s="431" t="s">
        <v>109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>
        <v>241842440</v>
      </c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4"/>
        <v>483684880</v>
      </c>
      <c r="AN110" s="43"/>
      <c r="AO110" s="309"/>
    </row>
    <row r="111" spans="1:41" ht="15" customHeight="1" outlineLevel="1" x14ac:dyDescent="0.2">
      <c r="A111" s="741"/>
      <c r="B111" s="431" t="s">
        <v>110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483684880</v>
      </c>
      <c r="AN111" s="43"/>
      <c r="AO111" s="309"/>
    </row>
    <row r="112" spans="1:41" ht="15" customHeight="1" outlineLevel="1" x14ac:dyDescent="0.2">
      <c r="A112" s="741"/>
      <c r="B112" s="997" t="s">
        <v>111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>
        <v>241842440</v>
      </c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4"/>
        <v>483684880</v>
      </c>
      <c r="AN112" s="45"/>
      <c r="AO112" s="325"/>
    </row>
    <row r="113" spans="1:41" ht="15" customHeight="1" x14ac:dyDescent="0.2">
      <c r="A113" s="741"/>
      <c r="B113" s="986" t="s">
        <v>112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737655092</v>
      </c>
      <c r="J113" s="3"/>
      <c r="K113" s="150"/>
      <c r="L113" s="49">
        <f>SUM(L114:L118)</f>
        <v>737655092</v>
      </c>
      <c r="M113" s="3"/>
      <c r="N113" s="150">
        <f>L113/(L$13)</f>
        <v>1.5250737050122385</v>
      </c>
      <c r="O113" s="49">
        <f>SUM(O114:O115)</f>
        <v>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4"/>
        <v>1475310184</v>
      </c>
      <c r="AN113" s="3"/>
      <c r="AO113" s="321">
        <f>AM113/(AM$13)</f>
        <v>1.5149262476909806</v>
      </c>
    </row>
    <row r="114" spans="1:41" ht="15" customHeight="1" outlineLevel="1" x14ac:dyDescent="0.2">
      <c r="A114" s="741"/>
      <c r="B114" s="996" t="s">
        <v>113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>
        <v>241842440</v>
      </c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4"/>
        <v>483684880</v>
      </c>
      <c r="AN114" s="69"/>
      <c r="AO114" s="324"/>
    </row>
    <row r="115" spans="1:41" ht="15" customHeight="1" outlineLevel="1" x14ac:dyDescent="0.2">
      <c r="A115" s="741"/>
      <c r="B115" s="431" t="s">
        <v>114</v>
      </c>
      <c r="C115" s="91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>
        <v>241842440</v>
      </c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4"/>
        <v>483684880</v>
      </c>
      <c r="AN115" s="43"/>
      <c r="AO115" s="309"/>
    </row>
    <row r="116" spans="1:41" ht="15" customHeight="1" outlineLevel="1" x14ac:dyDescent="0.2">
      <c r="A116" s="741" t="s">
        <v>380</v>
      </c>
      <c r="B116" s="1000" t="s">
        <v>115</v>
      </c>
      <c r="C116" s="25"/>
      <c r="D116" s="43"/>
      <c r="E116" s="118"/>
      <c r="F116" s="25"/>
      <c r="G116" s="43"/>
      <c r="H116" s="118"/>
      <c r="I116" s="205">
        <v>5705110</v>
      </c>
      <c r="J116" s="43"/>
      <c r="K116" s="118"/>
      <c r="L116" s="25">
        <v>5705110</v>
      </c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11410220</v>
      </c>
      <c r="AN116" s="43"/>
      <c r="AO116" s="309"/>
    </row>
    <row r="117" spans="1:41" ht="15" customHeight="1" outlineLevel="1" x14ac:dyDescent="0.2">
      <c r="A117" s="741"/>
      <c r="B117" s="1000" t="s">
        <v>116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483684880</v>
      </c>
      <c r="AN117" s="43"/>
      <c r="AO117" s="309"/>
    </row>
    <row r="118" spans="1:41" ht="15" customHeight="1" outlineLevel="1" thickBot="1" x14ac:dyDescent="0.25">
      <c r="A118" s="741"/>
      <c r="B118" s="1001" t="s">
        <v>381</v>
      </c>
      <c r="C118" s="71"/>
      <c r="D118" s="72"/>
      <c r="E118" s="342"/>
      <c r="F118" s="71"/>
      <c r="G118" s="72"/>
      <c r="H118" s="342"/>
      <c r="I118" s="71">
        <v>6422662</v>
      </c>
      <c r="J118" s="72"/>
      <c r="K118" s="342"/>
      <c r="L118" s="71">
        <v>6422662</v>
      </c>
      <c r="M118" s="72"/>
      <c r="N118" s="342"/>
      <c r="O118" s="71"/>
      <c r="P118" s="72"/>
      <c r="Q118" s="342"/>
      <c r="R118" s="71"/>
      <c r="S118" s="72"/>
      <c r="T118" s="342"/>
      <c r="U118" s="71"/>
      <c r="V118" s="72"/>
      <c r="W118" s="342"/>
      <c r="X118" s="71"/>
      <c r="Y118" s="72"/>
      <c r="Z118" s="342"/>
      <c r="AA118" s="71"/>
      <c r="AB118" s="72"/>
      <c r="AC118" s="342"/>
      <c r="AD118" s="71"/>
      <c r="AE118" s="72"/>
      <c r="AF118" s="342"/>
      <c r="AG118" s="71"/>
      <c r="AH118" s="72"/>
      <c r="AI118" s="342"/>
      <c r="AJ118" s="71"/>
      <c r="AK118" s="72"/>
      <c r="AL118" s="73"/>
      <c r="AM118" s="301">
        <f t="shared" si="4"/>
        <v>12845324</v>
      </c>
      <c r="AN118" s="72"/>
      <c r="AO118" s="331"/>
    </row>
    <row r="119" spans="1:41" ht="15" customHeight="1" thickTop="1" x14ac:dyDescent="0.2">
      <c r="A119" s="741"/>
      <c r="B119" s="1002" t="s">
        <v>118</v>
      </c>
      <c r="C119" s="385">
        <f>SUM(C120:C121)</f>
        <v>0</v>
      </c>
      <c r="D119" s="383"/>
      <c r="E119" s="384"/>
      <c r="F119" s="385">
        <f>SUM(F120)</f>
        <v>0</v>
      </c>
      <c r="G119" s="383"/>
      <c r="H119" s="384">
        <f>F119/(F$13)</f>
        <v>0</v>
      </c>
      <c r="I119" s="385">
        <f>SUM(I120:I121)</f>
        <v>248265102</v>
      </c>
      <c r="J119" s="383"/>
      <c r="K119" s="384"/>
      <c r="L119" s="382">
        <f>SUM(L120:L121)</f>
        <v>248265102</v>
      </c>
      <c r="M119" s="383"/>
      <c r="N119" s="384">
        <f>L119/(L$13)</f>
        <v>0.51327860817150206</v>
      </c>
      <c r="O119" s="382">
        <f>SUM(O120)</f>
        <v>0</v>
      </c>
      <c r="P119" s="383"/>
      <c r="Q119" s="384"/>
      <c r="R119" s="382">
        <f>SUM(R120:R121)</f>
        <v>0</v>
      </c>
      <c r="S119" s="383"/>
      <c r="T119" s="384"/>
      <c r="U119" s="382">
        <f>SUM(U120:U121)</f>
        <v>0</v>
      </c>
      <c r="V119" s="383"/>
      <c r="W119" s="384" t="e">
        <f>U119/(U$13)</f>
        <v>#DIV/0!</v>
      </c>
      <c r="X119" s="382">
        <f>SUM(X120:X121)</f>
        <v>0</v>
      </c>
      <c r="Y119" s="383"/>
      <c r="Z119" s="384" t="e">
        <f>X119/(X$13)</f>
        <v>#DIV/0!</v>
      </c>
      <c r="AA119" s="382">
        <f>SUM(AA120)</f>
        <v>0</v>
      </c>
      <c r="AB119" s="383"/>
      <c r="AC119" s="384" t="e">
        <f>AA119/(AA$13)</f>
        <v>#DIV/0!</v>
      </c>
      <c r="AD119" s="382">
        <f>SUM(AD120)</f>
        <v>0</v>
      </c>
      <c r="AE119" s="383"/>
      <c r="AF119" s="384" t="e">
        <f>AD119/(AD$13)</f>
        <v>#DIV/0!</v>
      </c>
      <c r="AG119" s="382">
        <f>SUM(AG120)</f>
        <v>0</v>
      </c>
      <c r="AH119" s="383"/>
      <c r="AI119" s="384" t="e">
        <f>AG119/(AG$13)</f>
        <v>#DIV/0!</v>
      </c>
      <c r="AJ119" s="382">
        <f>SUM(AJ120)</f>
        <v>0</v>
      </c>
      <c r="AK119" s="383"/>
      <c r="AL119" s="386"/>
      <c r="AM119" s="381">
        <f t="shared" si="4"/>
        <v>496530204</v>
      </c>
      <c r="AN119" s="383"/>
      <c r="AO119" s="387">
        <f>AM119/(AM$13)</f>
        <v>0.50986338125281805</v>
      </c>
    </row>
    <row r="120" spans="1:41" ht="15" customHeight="1" x14ac:dyDescent="0.2">
      <c r="A120" s="741"/>
      <c r="B120" s="996" t="s">
        <v>119</v>
      </c>
      <c r="C120" s="39"/>
      <c r="D120" s="69"/>
      <c r="E120" s="306"/>
      <c r="F120" s="39"/>
      <c r="G120" s="69"/>
      <c r="H120" s="306"/>
      <c r="I120" s="39">
        <v>6422662</v>
      </c>
      <c r="J120" s="69"/>
      <c r="K120" s="306"/>
      <c r="L120" s="39">
        <v>6422662</v>
      </c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4"/>
        <v>12845324</v>
      </c>
      <c r="AN120" s="69"/>
      <c r="AO120" s="324"/>
    </row>
    <row r="121" spans="1:41" ht="15" customHeight="1" x14ac:dyDescent="0.2">
      <c r="A121" s="741"/>
      <c r="B121" s="991" t="s">
        <v>120</v>
      </c>
      <c r="C121" s="91"/>
      <c r="D121" s="92"/>
      <c r="E121" s="338"/>
      <c r="F121" s="91"/>
      <c r="G121" s="92"/>
      <c r="H121" s="338"/>
      <c r="I121" s="91">
        <v>241842440</v>
      </c>
      <c r="J121" s="92"/>
      <c r="K121" s="338"/>
      <c r="L121" s="91">
        <v>241842440</v>
      </c>
      <c r="M121" s="92"/>
      <c r="N121" s="338"/>
      <c r="O121" s="91"/>
      <c r="P121" s="92"/>
      <c r="Q121" s="338"/>
      <c r="R121" s="91"/>
      <c r="S121" s="92"/>
      <c r="T121" s="338"/>
      <c r="U121" s="91"/>
      <c r="V121" s="92"/>
      <c r="W121" s="338"/>
      <c r="X121" s="91"/>
      <c r="Y121" s="92"/>
      <c r="Z121" s="338"/>
      <c r="AA121" s="91"/>
      <c r="AB121" s="92"/>
      <c r="AC121" s="338"/>
      <c r="AD121" s="91"/>
      <c r="AE121" s="92"/>
      <c r="AF121" s="338"/>
      <c r="AG121" s="91"/>
      <c r="AH121" s="92"/>
      <c r="AI121" s="338"/>
      <c r="AJ121" s="91"/>
      <c r="AK121" s="92"/>
      <c r="AL121" s="88"/>
      <c r="AM121" s="284">
        <f t="shared" si="4"/>
        <v>483684880</v>
      </c>
      <c r="AN121" s="92"/>
      <c r="AO121" s="327"/>
    </row>
    <row r="122" spans="1:41" ht="15" customHeight="1" x14ac:dyDescent="0.2">
      <c r="A122" s="741"/>
      <c r="B122" s="986" t="s">
        <v>121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259030480</v>
      </c>
      <c r="J122" s="3"/>
      <c r="K122" s="150"/>
      <c r="L122" s="49">
        <f>SUM(L123:L125)</f>
        <v>259030480</v>
      </c>
      <c r="M122" s="3"/>
      <c r="N122" s="150">
        <f>L122/(L$13)</f>
        <v>0.53553561566778762</v>
      </c>
      <c r="O122" s="49">
        <f>SUM(O123:O125)</f>
        <v>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4"/>
        <v>518060960</v>
      </c>
      <c r="AN122" s="3"/>
      <c r="AO122" s="321">
        <f>AM122/(AM$13)</f>
        <v>0.53197229621237885</v>
      </c>
    </row>
    <row r="123" spans="1:41" ht="15" customHeight="1" outlineLevel="1" x14ac:dyDescent="0.2">
      <c r="A123" s="741"/>
      <c r="B123" s="996" t="s">
        <v>122</v>
      </c>
      <c r="C123" s="39"/>
      <c r="D123" s="69"/>
      <c r="E123" s="306"/>
      <c r="F123" s="39"/>
      <c r="G123" s="69"/>
      <c r="H123" s="306"/>
      <c r="I123" s="39">
        <v>8594020</v>
      </c>
      <c r="J123" s="69"/>
      <c r="K123" s="306"/>
      <c r="L123" s="39">
        <v>8594020</v>
      </c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4"/>
        <v>17188040</v>
      </c>
      <c r="AN123" s="69"/>
      <c r="AO123" s="324"/>
    </row>
    <row r="124" spans="1:41" ht="15" customHeight="1" outlineLevel="1" x14ac:dyDescent="0.2">
      <c r="A124" s="741"/>
      <c r="B124" s="431" t="s">
        <v>123</v>
      </c>
      <c r="C124" s="25"/>
      <c r="D124" s="43"/>
      <c r="E124" s="118"/>
      <c r="F124" s="25"/>
      <c r="G124" s="43"/>
      <c r="H124" s="118"/>
      <c r="I124" s="25">
        <v>8594020</v>
      </c>
      <c r="J124" s="43"/>
      <c r="K124" s="118"/>
      <c r="L124" s="25">
        <v>8594020</v>
      </c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4"/>
        <v>17188040</v>
      </c>
      <c r="AN124" s="43"/>
      <c r="AO124" s="309"/>
    </row>
    <row r="125" spans="1:41" ht="15" customHeight="1" outlineLevel="1" x14ac:dyDescent="0.2">
      <c r="A125" s="741"/>
      <c r="B125" s="997" t="s">
        <v>124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>
        <v>241842440</v>
      </c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4"/>
        <v>483684880</v>
      </c>
      <c r="AN125" s="45"/>
      <c r="AO125" s="325"/>
    </row>
    <row r="126" spans="1:41" ht="15" customHeight="1" x14ac:dyDescent="0.2">
      <c r="A126" s="741"/>
      <c r="B126" s="986" t="s">
        <v>125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2902109280</v>
      </c>
      <c r="J126" s="3"/>
      <c r="K126" s="150"/>
      <c r="L126" s="49">
        <f>SUM(L127:L138)</f>
        <v>2902109280</v>
      </c>
      <c r="M126" s="3"/>
      <c r="N126" s="150">
        <f>L126/(L$13)</f>
        <v>6</v>
      </c>
      <c r="O126" s="49">
        <f>SUM(O127:O138)</f>
        <v>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4"/>
        <v>5805759059.3999996</v>
      </c>
      <c r="AN126" s="3"/>
      <c r="AO126" s="321">
        <f>AM126/(AM$13)</f>
        <v>5.9616593732228704</v>
      </c>
    </row>
    <row r="127" spans="1:41" ht="15" customHeight="1" outlineLevel="1" x14ac:dyDescent="0.2">
      <c r="A127" s="741"/>
      <c r="B127" s="996" t="s">
        <v>247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>
        <v>241842440</v>
      </c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4"/>
        <v>483684880</v>
      </c>
      <c r="AN127" s="42"/>
      <c r="AO127" s="328"/>
    </row>
    <row r="128" spans="1:41" ht="15" customHeight="1" outlineLevel="1" x14ac:dyDescent="0.2">
      <c r="A128" s="741"/>
      <c r="B128" s="431" t="s">
        <v>382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>
        <v>241842440</v>
      </c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1" ht="15" customHeight="1" outlineLevel="1" x14ac:dyDescent="0.2">
      <c r="A129" s="741"/>
      <c r="B129" s="431" t="s">
        <v>131</v>
      </c>
      <c r="C129" s="25">
        <f>'[6]Hoja 1'!$C$254+'[6]Hoja 1'!$C$263</f>
        <v>484551.4</v>
      </c>
      <c r="D129" s="43"/>
      <c r="E129" s="118"/>
      <c r="F129" s="25">
        <f>'[4]Hoja 1'!$C$263+'[4]Hoja 1'!$C$272</f>
        <v>442674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8" si="5">C129+F129+I129+L129+O129+R129+U129+X129+AA129+AD129+AG129+AJ129</f>
        <v>484612105.39999998</v>
      </c>
      <c r="AN129" s="43"/>
      <c r="AO129" s="329"/>
    </row>
    <row r="130" spans="1:41" ht="15" customHeight="1" outlineLevel="1" x14ac:dyDescent="0.2">
      <c r="A130" s="741"/>
      <c r="B130" s="431" t="s">
        <v>133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483684880</v>
      </c>
      <c r="AN130" s="43"/>
      <c r="AO130" s="329"/>
    </row>
    <row r="131" spans="1:41" ht="15" customHeight="1" outlineLevel="1" x14ac:dyDescent="0.2">
      <c r="A131" s="741"/>
      <c r="B131" s="431" t="s">
        <v>134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483684880</v>
      </c>
      <c r="AN131" s="43"/>
      <c r="AO131" s="309"/>
    </row>
    <row r="132" spans="1:41" ht="15" customHeight="1" outlineLevel="1" x14ac:dyDescent="0.2">
      <c r="A132" s="741"/>
      <c r="B132" s="431" t="s">
        <v>136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483684880</v>
      </c>
      <c r="AN132" s="43"/>
      <c r="AO132" s="309"/>
    </row>
    <row r="133" spans="1:41" ht="15" customHeight="1" outlineLevel="1" x14ac:dyDescent="0.2">
      <c r="A133" s="741"/>
      <c r="B133" s="431" t="s">
        <v>138</v>
      </c>
      <c r="C133" s="25">
        <f>'[6]Hoja 1'!$C$265</f>
        <v>473884</v>
      </c>
      <c r="D133" s="43"/>
      <c r="E133" s="118"/>
      <c r="F133" s="25">
        <f>'[4]Hoja 1'!$C$274</f>
        <v>139390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484298154</v>
      </c>
      <c r="AN133" s="43"/>
      <c r="AO133" s="309"/>
    </row>
    <row r="134" spans="1:41" ht="15" customHeight="1" outlineLevel="1" x14ac:dyDescent="0.2">
      <c r="A134" s="741"/>
      <c r="B134" s="431" t="s">
        <v>139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483684880</v>
      </c>
      <c r="AN134" s="43"/>
      <c r="AO134" s="309"/>
    </row>
    <row r="135" spans="1:41" ht="15" customHeight="1" outlineLevel="1" x14ac:dyDescent="0.2">
      <c r="A135" s="741"/>
      <c r="B135" s="431" t="s">
        <v>140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483684880</v>
      </c>
      <c r="AN135" s="43"/>
      <c r="AO135" s="309"/>
    </row>
    <row r="136" spans="1:41" ht="15" customHeight="1" outlineLevel="1" x14ac:dyDescent="0.2">
      <c r="A136" s="741"/>
      <c r="B136" s="431" t="s">
        <v>141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483684880</v>
      </c>
      <c r="AN136" s="43"/>
      <c r="AO136" s="309"/>
    </row>
    <row r="137" spans="1:41" ht="15" customHeight="1" outlineLevel="1" x14ac:dyDescent="0.2">
      <c r="A137" s="741"/>
      <c r="B137" s="431" t="s">
        <v>142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483684880</v>
      </c>
      <c r="AN137" s="43"/>
      <c r="AO137" s="309"/>
    </row>
    <row r="138" spans="1:41" ht="15" customHeight="1" outlineLevel="1" thickBot="1" x14ac:dyDescent="0.25">
      <c r="A138" s="741"/>
      <c r="B138" s="1003" t="s">
        <v>267</v>
      </c>
      <c r="C138" s="269"/>
      <c r="D138" s="214"/>
      <c r="E138" s="307"/>
      <c r="F138" s="269"/>
      <c r="G138" s="214"/>
      <c r="H138" s="307"/>
      <c r="I138" s="269">
        <v>241842440</v>
      </c>
      <c r="J138" s="214"/>
      <c r="K138" s="307"/>
      <c r="L138" s="269">
        <v>241842440</v>
      </c>
      <c r="M138" s="214"/>
      <c r="N138" s="307"/>
      <c r="O138" s="269"/>
      <c r="P138" s="214"/>
      <c r="Q138" s="307"/>
      <c r="R138" s="269"/>
      <c r="S138" s="214"/>
      <c r="T138" s="307"/>
      <c r="U138" s="269"/>
      <c r="V138" s="214"/>
      <c r="W138" s="307"/>
      <c r="X138" s="269"/>
      <c r="Y138" s="214"/>
      <c r="Z138" s="307"/>
      <c r="AA138" s="269"/>
      <c r="AB138" s="214"/>
      <c r="AC138" s="307"/>
      <c r="AD138" s="269"/>
      <c r="AE138" s="214"/>
      <c r="AF138" s="307"/>
      <c r="AG138" s="269"/>
      <c r="AH138" s="214"/>
      <c r="AI138" s="307"/>
      <c r="AJ138" s="269"/>
      <c r="AK138" s="214"/>
      <c r="AL138" s="271"/>
      <c r="AM138" s="71">
        <f t="shared" si="5"/>
        <v>483684880</v>
      </c>
      <c r="AN138" s="214"/>
      <c r="AO138" s="330"/>
    </row>
    <row r="139" spans="1:41" ht="15" customHeight="1" thickTop="1" thickBot="1" x14ac:dyDescent="0.25">
      <c r="A139" s="741"/>
      <c r="C139" s="2"/>
      <c r="D139" s="2"/>
      <c r="E139" s="244"/>
      <c r="F139" s="2"/>
      <c r="G139" s="2"/>
      <c r="H139" s="244"/>
      <c r="I139" s="2"/>
      <c r="J139" s="2"/>
      <c r="K139" s="244"/>
      <c r="L139" s="2"/>
      <c r="M139" s="2"/>
      <c r="N139" s="244"/>
      <c r="O139" s="2"/>
      <c r="P139" s="2"/>
      <c r="Q139" s="244"/>
      <c r="R139" s="2"/>
      <c r="S139" s="2"/>
      <c r="T139" s="244"/>
      <c r="U139" s="2"/>
      <c r="V139" s="2"/>
      <c r="W139" s="244"/>
      <c r="X139" s="2"/>
      <c r="Y139" s="2"/>
      <c r="Z139" s="244"/>
      <c r="AA139" s="2"/>
      <c r="AB139" s="2"/>
      <c r="AC139" s="244"/>
      <c r="AD139" s="2"/>
      <c r="AE139" s="2"/>
      <c r="AF139" s="244"/>
      <c r="AG139" s="2"/>
      <c r="AH139" s="2"/>
      <c r="AI139" s="244"/>
      <c r="AJ139" s="2"/>
      <c r="AK139" s="2"/>
      <c r="AL139" s="64"/>
      <c r="AM139" s="151"/>
      <c r="AN139" s="2"/>
      <c r="AO139" s="244"/>
    </row>
    <row r="140" spans="1:41" ht="15" customHeight="1" thickTop="1" thickBot="1" x14ac:dyDescent="0.25">
      <c r="A140" s="741"/>
      <c r="B140" s="1004" t="s">
        <v>383</v>
      </c>
      <c r="C140" s="497">
        <f>C44+C83-C42</f>
        <v>26863937.749999996</v>
      </c>
      <c r="D140" s="498"/>
      <c r="E140" s="499"/>
      <c r="F140" s="497">
        <f>F44+F83-F42</f>
        <v>32930877.039999999</v>
      </c>
      <c r="G140" s="498"/>
      <c r="H140" s="499"/>
      <c r="I140" s="497">
        <f>I44+I83-I42</f>
        <v>10676805834</v>
      </c>
      <c r="J140" s="498"/>
      <c r="K140" s="499"/>
      <c r="L140" s="497">
        <f>L44+L83-L42</f>
        <v>10676805834</v>
      </c>
      <c r="M140" s="498"/>
      <c r="N140" s="499"/>
      <c r="O140" s="497">
        <f>O44+O83-O42</f>
        <v>0</v>
      </c>
      <c r="P140" s="498"/>
      <c r="Q140" s="499"/>
      <c r="R140" s="497">
        <f>R44+R83-R42</f>
        <v>0</v>
      </c>
      <c r="S140" s="498"/>
      <c r="T140" s="499"/>
      <c r="U140" s="497">
        <f>U44+U83-U42</f>
        <v>0</v>
      </c>
      <c r="V140" s="498"/>
      <c r="W140" s="499"/>
      <c r="X140" s="497">
        <f>X44+X83-X42</f>
        <v>0</v>
      </c>
      <c r="Y140" s="498"/>
      <c r="Z140" s="499"/>
      <c r="AA140" s="497">
        <f>AA44+AA83-AA42</f>
        <v>0</v>
      </c>
      <c r="AB140" s="498"/>
      <c r="AC140" s="499"/>
      <c r="AD140" s="497">
        <f>AD44+AD83-AD42</f>
        <v>0</v>
      </c>
      <c r="AE140" s="498"/>
      <c r="AF140" s="499"/>
      <c r="AG140" s="497">
        <f>AG44+AG83-AG42</f>
        <v>0</v>
      </c>
      <c r="AH140" s="498"/>
      <c r="AI140" s="499"/>
      <c r="AJ140" s="497">
        <f>AJ44+AJ83-AJ42</f>
        <v>0</v>
      </c>
      <c r="AK140" s="498"/>
      <c r="AL140" s="511"/>
      <c r="AM140" s="585">
        <f>C140+F140+I140+L140+O140+R140+U140+X140+AA140+AD140+AG140+AJ140</f>
        <v>21413406482.790001</v>
      </c>
      <c r="AN140" s="498"/>
      <c r="AO140" s="586"/>
    </row>
    <row r="141" spans="1:41" s="108" customFormat="1" ht="15" customHeight="1" thickTop="1" thickBot="1" x14ac:dyDescent="0.25">
      <c r="A141" s="741"/>
      <c r="B141" s="1005"/>
      <c r="C141" s="355"/>
      <c r="D141" s="355"/>
      <c r="E141" s="356"/>
      <c r="F141" s="355"/>
      <c r="G141" s="355"/>
      <c r="H141" s="356"/>
      <c r="I141" s="355"/>
      <c r="J141" s="355"/>
      <c r="K141" s="356"/>
      <c r="L141" s="355"/>
      <c r="M141" s="355"/>
      <c r="N141" s="356"/>
      <c r="O141" s="355"/>
      <c r="P141" s="355"/>
      <c r="Q141" s="356"/>
      <c r="R141" s="355"/>
      <c r="S141" s="355"/>
      <c r="T141" s="356"/>
      <c r="U141" s="355"/>
      <c r="V141" s="355"/>
      <c r="W141" s="356"/>
      <c r="X141" s="355"/>
      <c r="Y141" s="355"/>
      <c r="Z141" s="356"/>
      <c r="AA141" s="355"/>
      <c r="AB141" s="355"/>
      <c r="AC141" s="356"/>
      <c r="AD141" s="355"/>
      <c r="AE141" s="355"/>
      <c r="AF141" s="356"/>
      <c r="AG141" s="355"/>
      <c r="AH141" s="355"/>
      <c r="AI141" s="356"/>
      <c r="AJ141" s="355"/>
      <c r="AK141" s="355"/>
      <c r="AL141" s="357"/>
      <c r="AM141" s="355"/>
      <c r="AN141" s="355"/>
      <c r="AO141" s="356"/>
    </row>
    <row r="142" spans="1:41" ht="15" customHeight="1" thickTop="1" thickBot="1" x14ac:dyDescent="0.25">
      <c r="A142" s="741" t="s">
        <v>326</v>
      </c>
      <c r="B142" s="1006" t="s">
        <v>384</v>
      </c>
      <c r="C142" s="530">
        <f>'[6]Hoja 1'!$C$267</f>
        <v>391810.95</v>
      </c>
      <c r="D142" s="531"/>
      <c r="E142" s="532"/>
      <c r="F142" s="530">
        <f>'[4]Hoja 1'!$C$276</f>
        <v>2931276.64</v>
      </c>
      <c r="G142" s="531"/>
      <c r="H142" s="532"/>
      <c r="I142" s="530">
        <v>241842440</v>
      </c>
      <c r="J142" s="531"/>
      <c r="K142" s="532"/>
      <c r="L142" s="530">
        <v>241842440</v>
      </c>
      <c r="M142" s="531"/>
      <c r="N142" s="532"/>
      <c r="O142" s="530"/>
      <c r="P142" s="531"/>
      <c r="Q142" s="532"/>
      <c r="R142" s="530"/>
      <c r="S142" s="531"/>
      <c r="T142" s="532"/>
      <c r="U142" s="530"/>
      <c r="V142" s="531"/>
      <c r="W142" s="532"/>
      <c r="X142" s="530"/>
      <c r="Y142" s="531"/>
      <c r="Z142" s="532"/>
      <c r="AA142" s="530"/>
      <c r="AB142" s="531"/>
      <c r="AC142" s="532"/>
      <c r="AD142" s="530"/>
      <c r="AE142" s="531"/>
      <c r="AF142" s="532"/>
      <c r="AG142" s="530"/>
      <c r="AH142" s="531"/>
      <c r="AI142" s="532"/>
      <c r="AJ142" s="530"/>
      <c r="AK142" s="531"/>
      <c r="AL142" s="532"/>
      <c r="AM142" s="530">
        <f>C142+F142+I142+L142+O142+R142+U142+X142+AA142+AD142+AG142+AJ142</f>
        <v>487007967.59000003</v>
      </c>
      <c r="AN142" s="531"/>
      <c r="AO142" s="609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45"/>
      <c r="AN143" s="145"/>
      <c r="AO143" s="244"/>
    </row>
    <row r="144" spans="1:41" ht="15" customHeight="1" thickTop="1" thickBot="1" x14ac:dyDescent="0.25">
      <c r="B144" s="1006" t="s">
        <v>385</v>
      </c>
      <c r="C144" s="530">
        <f>C140-C142</f>
        <v>26472126.799999997</v>
      </c>
      <c r="D144" s="531"/>
      <c r="E144" s="532"/>
      <c r="F144" s="530">
        <f>F140-F142</f>
        <v>29999600.399999999</v>
      </c>
      <c r="G144" s="531"/>
      <c r="H144" s="532"/>
      <c r="I144" s="530">
        <f>I140-I142</f>
        <v>10434963394</v>
      </c>
      <c r="J144" s="533"/>
      <c r="K144" s="534"/>
      <c r="L144" s="530">
        <f>L140-L142</f>
        <v>10434963394</v>
      </c>
      <c r="M144" s="531"/>
      <c r="N144" s="532"/>
      <c r="O144" s="530">
        <f>O140-O142</f>
        <v>0</v>
      </c>
      <c r="P144" s="531"/>
      <c r="Q144" s="532"/>
      <c r="R144" s="530">
        <f>R140-R142</f>
        <v>0</v>
      </c>
      <c r="S144" s="531"/>
      <c r="T144" s="532"/>
      <c r="U144" s="530">
        <f>U140-U142</f>
        <v>0</v>
      </c>
      <c r="V144" s="531"/>
      <c r="W144" s="532"/>
      <c r="X144" s="530">
        <f>X140-X142</f>
        <v>0</v>
      </c>
      <c r="Y144" s="531"/>
      <c r="Z144" s="532"/>
      <c r="AA144" s="530">
        <f>AA140-AA142</f>
        <v>0</v>
      </c>
      <c r="AB144" s="531"/>
      <c r="AC144" s="532"/>
      <c r="AD144" s="530">
        <f>AD140-AD142</f>
        <v>0</v>
      </c>
      <c r="AE144" s="531"/>
      <c r="AF144" s="532"/>
      <c r="AG144" s="530">
        <f>AG140-AG142</f>
        <v>0</v>
      </c>
      <c r="AH144" s="531"/>
      <c r="AI144" s="532"/>
      <c r="AJ144" s="530">
        <f>AJ140-AJ142</f>
        <v>0</v>
      </c>
      <c r="AK144" s="531"/>
      <c r="AL144" s="532"/>
      <c r="AM144" s="530">
        <f>AM140-AM142</f>
        <v>20926398515.200001</v>
      </c>
      <c r="AN144" s="531"/>
      <c r="AO144" s="609"/>
    </row>
    <row r="145" spans="3:39" ht="10.8" customHeight="1" thickTop="1" x14ac:dyDescent="0.2"/>
    <row r="146" spans="3:39" x14ac:dyDescent="0.2">
      <c r="C146" s="472"/>
      <c r="F146" s="472"/>
      <c r="I146" s="545"/>
      <c r="L146" s="545"/>
    </row>
    <row r="147" spans="3:39" x14ac:dyDescent="0.2">
      <c r="C147" s="472"/>
      <c r="F147" s="472"/>
      <c r="I147" s="472"/>
      <c r="L147" s="472"/>
      <c r="O147" s="472">
        <f>O44+O83+O142</f>
        <v>0</v>
      </c>
      <c r="R147" s="472">
        <v>19662191.120000001</v>
      </c>
      <c r="U147" s="472">
        <v>28089824.809999999</v>
      </c>
      <c r="X147" s="472">
        <v>31306311.140000001</v>
      </c>
      <c r="AA147" s="472">
        <v>27551073.460000001</v>
      </c>
      <c r="AD147" s="472">
        <v>34584039</v>
      </c>
      <c r="AG147" s="472">
        <v>22674070.129999999</v>
      </c>
      <c r="AJ147" s="472">
        <v>20130035.960000001</v>
      </c>
    </row>
    <row r="148" spans="3:39" x14ac:dyDescent="0.2">
      <c r="C148" s="472"/>
      <c r="F148" s="472"/>
      <c r="I148" s="472"/>
      <c r="L148" s="472"/>
      <c r="O148" s="472"/>
      <c r="R148" s="472">
        <f>R44+R83+R142</f>
        <v>0</v>
      </c>
      <c r="U148" s="472">
        <f>U44+U83+U142</f>
        <v>0</v>
      </c>
      <c r="X148" s="472">
        <f>X44+X83+X142</f>
        <v>0</v>
      </c>
      <c r="AA148" s="472">
        <f>AA44+AA83+AA142</f>
        <v>0</v>
      </c>
      <c r="AD148" s="472">
        <f>AD44+AD83+AD142</f>
        <v>0</v>
      </c>
      <c r="AG148" s="472">
        <f>AG44+AG83+AG142</f>
        <v>0</v>
      </c>
      <c r="AJ148" s="472">
        <f>AJ44+AJ83+AJ142</f>
        <v>0</v>
      </c>
    </row>
    <row r="149" spans="3:39" x14ac:dyDescent="0.2">
      <c r="O149" s="235">
        <f>O147-O148</f>
        <v>0</v>
      </c>
      <c r="R149" s="235">
        <f>R147-R148</f>
        <v>19662191.120000001</v>
      </c>
      <c r="U149" s="235">
        <f>U147-U148</f>
        <v>28089824.809999999</v>
      </c>
      <c r="X149" s="235">
        <f>X147-X148</f>
        <v>31306311.140000001</v>
      </c>
      <c r="AA149" s="235">
        <f>AA147-AA148</f>
        <v>27551073.460000001</v>
      </c>
      <c r="AC149" s="235"/>
      <c r="AD149" s="235">
        <f>AD147-AD148</f>
        <v>34584039</v>
      </c>
      <c r="AG149" s="235">
        <f>AG147-AG148</f>
        <v>22674070.129999999</v>
      </c>
      <c r="AJ149" s="235">
        <f>AJ147-AJ148</f>
        <v>20130035.960000001</v>
      </c>
    </row>
    <row r="150" spans="3:39" x14ac:dyDescent="0.2">
      <c r="AD150" s="235">
        <v>-3329832</v>
      </c>
      <c r="AE150" s="1037" t="s">
        <v>386</v>
      </c>
      <c r="AF150" s="1038"/>
    </row>
    <row r="156" spans="3:39" x14ac:dyDescent="0.2">
      <c r="C156" s="789">
        <f>C13/C144</f>
        <v>0.1784471280184409</v>
      </c>
      <c r="D156" s="789"/>
      <c r="E156" s="789"/>
      <c r="F156" s="789">
        <f>F13/F144</f>
        <v>5.8529946285551193E-2</v>
      </c>
      <c r="G156" s="789"/>
      <c r="H156" s="789"/>
      <c r="I156" s="789"/>
      <c r="J156" s="789"/>
      <c r="K156" s="789"/>
      <c r="L156" s="789"/>
      <c r="M156" s="789"/>
      <c r="N156" s="789"/>
      <c r="O156" s="789"/>
      <c r="P156" s="789"/>
      <c r="Q156" s="789"/>
      <c r="R156" s="789" t="e">
        <f>R13/R144</f>
        <v>#DIV/0!</v>
      </c>
      <c r="S156" s="789"/>
      <c r="T156" s="789"/>
      <c r="U156" s="789"/>
      <c r="V156" s="789"/>
      <c r="W156" s="789"/>
      <c r="X156" s="789"/>
      <c r="Y156" s="789"/>
      <c r="Z156" s="789"/>
      <c r="AA156" s="789"/>
      <c r="AB156" s="789"/>
      <c r="AC156" s="789"/>
      <c r="AD156" s="789"/>
      <c r="AE156" s="789"/>
      <c r="AF156" s="789"/>
      <c r="AG156" s="789"/>
      <c r="AH156" s="789"/>
      <c r="AI156" s="789"/>
      <c r="AJ156" s="789"/>
      <c r="AK156" s="789"/>
      <c r="AL156" s="789"/>
      <c r="AM156" s="789"/>
    </row>
    <row r="197" spans="13:14" x14ac:dyDescent="0.2">
      <c r="M197" s="235">
        <f>(32*3)+22+31+17</f>
        <v>166</v>
      </c>
      <c r="N197" s="256" t="s">
        <v>387</v>
      </c>
    </row>
    <row r="198" spans="13:14" x14ac:dyDescent="0.2">
      <c r="M198" s="235">
        <f>20*3</f>
        <v>60</v>
      </c>
      <c r="N198" s="256" t="s">
        <v>388</v>
      </c>
    </row>
    <row r="199" spans="13:14" x14ac:dyDescent="0.2">
      <c r="M199" s="235">
        <v>8</v>
      </c>
      <c r="N199" s="256" t="s">
        <v>389</v>
      </c>
    </row>
    <row r="200" spans="13:14" x14ac:dyDescent="0.2">
      <c r="M200" s="235">
        <f>M197-M198-M199</f>
        <v>98</v>
      </c>
    </row>
  </sheetData>
  <mergeCells count="4">
    <mergeCell ref="C2:AM2"/>
    <mergeCell ref="AE150:AF150"/>
    <mergeCell ref="AS5:AS6"/>
    <mergeCell ref="AR5:AR6"/>
  </mergeCells>
  <hyperlinks>
    <hyperlink ref="B79" r:id="rId1" location="CASINO!V6" xr:uid="{00000000-0004-0000-0400-000000000000}"/>
  </hyperlinks>
  <pageMargins left="0.7" right="0.7" top="0.75" bottom="0.75" header="0.3" footer="0.3"/>
  <pageSetup scale="40" orientation="landscape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43" width="15.33203125" style="235" customWidth="1"/>
    <col min="44" max="44" width="7.33203125" style="235" customWidth="1"/>
    <col min="45" max="45" width="7.33203125" style="2" customWidth="1"/>
    <col min="46" max="67" width="11.44140625" style="2" customWidth="1"/>
    <col min="68" max="16384" width="11.44140625" style="2"/>
  </cols>
  <sheetData>
    <row r="2" spans="1:45" ht="24.9" customHeight="1" thickBot="1" x14ac:dyDescent="0.35">
      <c r="B2" s="236" t="s">
        <v>0</v>
      </c>
      <c r="C2" s="1027" t="s">
        <v>390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612"/>
      <c r="AO2" s="613"/>
      <c r="AQ2" s="2"/>
      <c r="AR2" s="2"/>
    </row>
    <row r="3" spans="1:45" ht="21.75" customHeight="1" thickTop="1" thickBot="1" x14ac:dyDescent="0.25">
      <c r="B3" s="522" t="s">
        <v>2</v>
      </c>
      <c r="C3" s="478"/>
      <c r="D3" s="479"/>
      <c r="E3" s="480"/>
      <c r="F3" s="478"/>
      <c r="G3" s="479"/>
      <c r="H3" s="480"/>
      <c r="I3" s="478">
        <v>18</v>
      </c>
      <c r="J3" s="479"/>
      <c r="K3" s="480"/>
      <c r="L3" s="478">
        <v>15</v>
      </c>
      <c r="M3" s="479"/>
      <c r="N3" s="480"/>
      <c r="O3" s="478">
        <v>21</v>
      </c>
      <c r="P3" s="479"/>
      <c r="Q3" s="480"/>
      <c r="R3" s="478">
        <v>20</v>
      </c>
      <c r="S3" s="479"/>
      <c r="T3" s="480"/>
      <c r="U3" s="478">
        <v>6</v>
      </c>
      <c r="V3" s="479"/>
      <c r="W3" s="480"/>
      <c r="X3" s="478">
        <v>21</v>
      </c>
      <c r="Y3" s="479"/>
      <c r="Z3" s="480"/>
      <c r="AA3" s="478">
        <v>21</v>
      </c>
      <c r="AB3" s="479"/>
      <c r="AC3" s="480"/>
      <c r="AD3" s="478">
        <v>16</v>
      </c>
      <c r="AE3" s="479"/>
      <c r="AF3" s="480"/>
      <c r="AG3" s="478">
        <v>20</v>
      </c>
      <c r="AH3" s="479"/>
      <c r="AI3" s="480"/>
      <c r="AJ3" s="478"/>
      <c r="AK3" s="479"/>
      <c r="AL3" s="480"/>
      <c r="AM3" s="571">
        <f>SUM(I3:AL3)</f>
        <v>158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  <c r="AQ4" s="745" t="s">
        <v>391</v>
      </c>
      <c r="AR4" s="622"/>
      <c r="AS4" s="622"/>
    </row>
    <row r="5" spans="1:45" s="223" customFormat="1" ht="15" customHeight="1" thickTop="1" x14ac:dyDescent="0.2">
      <c r="A5" s="228"/>
      <c r="B5" s="258" t="s">
        <v>392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>C5+F5+I5+L5+O5+R5+U5+X5+AA5+AD5+AG5+AJ5</f>
        <v>0</v>
      </c>
      <c r="AN5" s="89"/>
      <c r="AO5" s="308"/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>C6+F6+I6+L6+O6+R6+U6+X6+AA6+AD6+AG6+AJ6</f>
        <v>0</v>
      </c>
      <c r="AN6" s="43"/>
      <c r="AO6" s="309"/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>C7+F7+I7+L7+O7+R7+U7+X7+AA7+AD7+AG7+AJ7</f>
        <v>0</v>
      </c>
      <c r="AN7" s="43"/>
      <c r="AO7" s="309"/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>C8+F8+I8+L8+O8+R8+U8+X8+AA8+AD8+AG8+AJ8</f>
        <v>0</v>
      </c>
      <c r="AN8" s="43"/>
      <c r="AO8" s="309"/>
      <c r="AQ8" s="24"/>
      <c r="AR8" s="24"/>
      <c r="AS8" s="24"/>
    </row>
    <row r="9" spans="1:45" s="223" customFormat="1" ht="15" customHeight="1" x14ac:dyDescent="0.2">
      <c r="A9" s="228"/>
      <c r="B9" s="258" t="s">
        <v>21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>C9+F9+I9+L9+O9+R9+U9+X9+AA9+AD9+AG9+AJ9</f>
        <v>0</v>
      </c>
      <c r="AN9" s="43"/>
      <c r="AO9" s="309"/>
      <c r="AQ9" s="24"/>
      <c r="AR9" s="24"/>
      <c r="AS9" s="24"/>
    </row>
    <row r="10" spans="1:45" s="223" customFormat="1" ht="10.199999999999999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/>
      <c r="AN10" s="43"/>
      <c r="AO10" s="309"/>
      <c r="AQ10" s="24"/>
      <c r="AR10" s="24"/>
      <c r="AS10" s="24"/>
    </row>
    <row r="11" spans="1:45" s="223" customFormat="1" ht="10.199999999999999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/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ref="AM12:AM20" si="0">C12+F12+I12+L12+O12+R12+U12+X12+AA12+AD12+AG12+AJ12</f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/>
      <c r="AK13" s="485"/>
      <c r="AL13" s="486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25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58" t="s">
        <v>393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08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58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/>
      <c r="AQ17" s="24"/>
      <c r="AR17" s="24"/>
      <c r="AS17" s="24"/>
    </row>
    <row r="18" spans="2:45" ht="15" customHeight="1" x14ac:dyDescent="0.2">
      <c r="B18" s="258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/>
      <c r="AO18" s="309"/>
      <c r="AQ18" s="24"/>
      <c r="AR18" s="24"/>
      <c r="AS18" s="24"/>
    </row>
    <row r="19" spans="2:45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  <c r="AQ19" s="24"/>
      <c r="AR19" s="43"/>
      <c r="AS19" s="24"/>
    </row>
    <row r="20" spans="2:45" ht="15" customHeight="1" x14ac:dyDescent="0.2">
      <c r="B20" s="258" t="s">
        <v>29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/>
      <c r="AN21" s="43"/>
      <c r="AO21" s="309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5"/>
      <c r="AQ22" s="23"/>
      <c r="AR22" s="23"/>
      <c r="AS22" s="23"/>
    </row>
    <row r="23" spans="2:45" ht="10.199999999999999" hidden="1" customHeight="1" outlineLevel="1" x14ac:dyDescent="0.2">
      <c r="B23" s="16" t="s">
        <v>30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ref="AM23:AM35" si="1">C23+F23+I23+L23+O23+R23+U23+X23+AA23+AD23+AG23+AJ23</f>
        <v>0</v>
      </c>
      <c r="AN23" s="3"/>
      <c r="AO23" s="313"/>
      <c r="AQ23" s="17"/>
      <c r="AR23" s="17"/>
      <c r="AS23" s="17"/>
    </row>
    <row r="24" spans="2:45" ht="10.199999999999999" hidden="1" customHeight="1" outlineLevel="1" x14ac:dyDescent="0.2">
      <c r="B24" s="16" t="s">
        <v>31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1"/>
        <v>0</v>
      </c>
      <c r="AN24" s="3"/>
      <c r="AO24" s="313"/>
      <c r="AQ24" s="17"/>
      <c r="AR24" s="17"/>
      <c r="AS24" s="17"/>
    </row>
    <row r="25" spans="2:45" ht="10.199999999999999" hidden="1" customHeight="1" outlineLevel="1" x14ac:dyDescent="0.2">
      <c r="B25" s="32" t="s">
        <v>32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1"/>
        <v>0</v>
      </c>
      <c r="AN25" s="52"/>
      <c r="AO25" s="316"/>
      <c r="AQ25" s="33"/>
      <c r="AR25" s="33"/>
      <c r="AS25" s="33"/>
    </row>
    <row r="26" spans="2:45" ht="10.199999999999999" hidden="1" customHeight="1" outlineLevel="1" x14ac:dyDescent="0.2">
      <c r="B26" s="32" t="s">
        <v>33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1"/>
        <v>0</v>
      </c>
      <c r="AN26" s="52"/>
      <c r="AO26" s="316"/>
      <c r="AQ26" s="33"/>
      <c r="AR26" s="33"/>
      <c r="AS26" s="33"/>
    </row>
    <row r="27" spans="2:45" ht="10.199999999999999" hidden="1" customHeight="1" outlineLevel="1" x14ac:dyDescent="0.2">
      <c r="B27" s="32" t="s">
        <v>34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1"/>
        <v>0</v>
      </c>
      <c r="AN27" s="52"/>
      <c r="AO27" s="316"/>
      <c r="AQ27" s="33"/>
      <c r="AR27" s="33"/>
      <c r="AS27" s="33"/>
    </row>
    <row r="28" spans="2:45" ht="15" customHeight="1" collapsed="1" x14ac:dyDescent="0.2">
      <c r="B28" s="16" t="s">
        <v>35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1"/>
        <v>0</v>
      </c>
      <c r="AN28" s="3"/>
      <c r="AO28" s="313"/>
      <c r="AQ28" s="17">
        <f>+AQ29</f>
        <v>0</v>
      </c>
      <c r="AR28" s="17"/>
      <c r="AS28" s="17"/>
    </row>
    <row r="29" spans="2:45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1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2" t="s">
        <v>394</v>
      </c>
      <c r="C30" s="264">
        <f>C15*0.77%</f>
        <v>0</v>
      </c>
      <c r="D30" s="79"/>
      <c r="E30" s="147"/>
      <c r="F30" s="264">
        <f>F13*0.77%</f>
        <v>0</v>
      </c>
      <c r="G30" s="79"/>
      <c r="H30" s="147"/>
      <c r="I30" s="264">
        <f>I13*0.77%</f>
        <v>0</v>
      </c>
      <c r="J30" s="79"/>
      <c r="K30" s="147"/>
      <c r="L30" s="264">
        <f>L13*0.77%</f>
        <v>0</v>
      </c>
      <c r="M30" s="79"/>
      <c r="N30" s="147"/>
      <c r="O30" s="264">
        <f>O13*0.77%</f>
        <v>0</v>
      </c>
      <c r="P30" s="79"/>
      <c r="Q30" s="147"/>
      <c r="R30" s="264">
        <f>R13*0.77%</f>
        <v>0</v>
      </c>
      <c r="S30" s="79"/>
      <c r="T30" s="147"/>
      <c r="U30" s="264">
        <f>U13*0.77%</f>
        <v>0</v>
      </c>
      <c r="V30" s="79"/>
      <c r="W30" s="147"/>
      <c r="X30" s="264"/>
      <c r="Y30" s="79"/>
      <c r="Z30" s="147"/>
      <c r="AA30" s="264">
        <f>AA13*0.77%</f>
        <v>0</v>
      </c>
      <c r="AB30" s="79"/>
      <c r="AC30" s="147"/>
      <c r="AD30" s="264">
        <f>AD13*0.77%</f>
        <v>0</v>
      </c>
      <c r="AE30" s="79"/>
      <c r="AF30" s="147"/>
      <c r="AG30" s="264">
        <f>AG13*0.77%</f>
        <v>0</v>
      </c>
      <c r="AH30" s="79"/>
      <c r="AI30" s="147"/>
      <c r="AJ30" s="264"/>
      <c r="AK30" s="79"/>
      <c r="AL30" s="147"/>
      <c r="AM30" s="212">
        <f t="shared" si="1"/>
        <v>0</v>
      </c>
      <c r="AN30" s="79"/>
      <c r="AO30" s="314"/>
      <c r="AQ30" s="736"/>
      <c r="AR30" s="736"/>
      <c r="AS30" s="736"/>
    </row>
    <row r="31" spans="2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1"/>
        <v>0</v>
      </c>
      <c r="AN31" s="43"/>
      <c r="AO31" s="309"/>
      <c r="AQ31" s="737"/>
      <c r="AR31" s="737"/>
      <c r="AS31" s="737"/>
    </row>
    <row r="32" spans="2:45" ht="15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1"/>
        <v>0</v>
      </c>
      <c r="AN32" s="43"/>
      <c r="AO32" s="309"/>
      <c r="AQ32" s="24"/>
      <c r="AR32" s="24"/>
      <c r="AS32" s="24"/>
    </row>
    <row r="33" spans="1:45" ht="15" hidden="1" customHeight="1" outlineLevel="1" x14ac:dyDescent="0.2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1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1"/>
        <v>0</v>
      </c>
      <c r="AN34" s="43"/>
      <c r="AO34" s="309"/>
      <c r="AQ34" s="24"/>
      <c r="AR34" s="24"/>
      <c r="AS34" s="24"/>
    </row>
    <row r="35" spans="1:45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1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/>
      <c r="AK42" s="488"/>
      <c r="AL42" s="48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367"/>
      <c r="D43" s="367"/>
      <c r="E43" s="701"/>
      <c r="F43" s="70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703"/>
      <c r="AE43" s="703"/>
      <c r="AF43" s="643"/>
      <c r="AG43" s="703"/>
      <c r="AH43" s="703"/>
      <c r="AI43" s="643"/>
      <c r="AJ43" s="703"/>
      <c r="AK43" s="703"/>
      <c r="AL43" s="703"/>
      <c r="AM43" s="704"/>
      <c r="AN43" s="703"/>
      <c r="AO43" s="643"/>
      <c r="AP43" s="698"/>
      <c r="AQ43" s="136"/>
      <c r="AR43" s="2"/>
      <c r="AS43" s="721" t="e">
        <f>(AQ46+AQ61)/(AQ13)</f>
        <v>#DIV/0!</v>
      </c>
    </row>
    <row r="44" spans="1:45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40">
        <f>+I45+I60+I78</f>
        <v>0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80"/>
      <c r="AM44" s="581">
        <f t="shared" ref="AM44:AM53" si="2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1:45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2"/>
        <v>0</v>
      </c>
      <c r="AN45" s="3"/>
      <c r="AO45" s="313" t="e">
        <f>AM45/AM$13</f>
        <v>#DIV/0!</v>
      </c>
      <c r="AQ45" s="17">
        <f>+AQ46+AQ57</f>
        <v>0</v>
      </c>
      <c r="AR45" s="17"/>
      <c r="AS45" s="648"/>
    </row>
    <row r="46" spans="1:45" ht="15" customHeight="1" x14ac:dyDescent="0.2">
      <c r="B46" s="36" t="s">
        <v>48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2"/>
        <v>0</v>
      </c>
      <c r="AN46" s="67"/>
      <c r="AO46" s="318" t="e">
        <f>AM46/AM13</f>
        <v>#DIV/0!</v>
      </c>
      <c r="AQ46" s="38">
        <f>SUM(AQ47:AQ56)</f>
        <v>0</v>
      </c>
      <c r="AR46" s="38"/>
      <c r="AS46" s="649"/>
    </row>
    <row r="47" spans="1:45" ht="15" customHeight="1" x14ac:dyDescent="0.2">
      <c r="B47" s="258" t="s">
        <v>395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76"/>
      <c r="AK47" s="42"/>
      <c r="AL47" s="140"/>
      <c r="AM47" s="97">
        <f t="shared" si="2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1:45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2"/>
        <v>0</v>
      </c>
      <c r="AN48" s="43"/>
      <c r="AO48" s="118"/>
      <c r="AQ48" s="24"/>
      <c r="AR48" s="24"/>
      <c r="AS48" s="651"/>
    </row>
    <row r="49" spans="1:45" ht="15" customHeight="1" x14ac:dyDescent="0.2">
      <c r="B49" s="258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2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2"/>
        <v>0</v>
      </c>
      <c r="AN50" s="43"/>
      <c r="AO50" s="309"/>
      <c r="AQ50" s="24"/>
      <c r="AR50" s="24"/>
      <c r="AS50" s="651"/>
    </row>
    <row r="51" spans="1:45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2"/>
        <v>0</v>
      </c>
      <c r="AN51" s="43"/>
      <c r="AO51" s="309"/>
      <c r="AQ51" s="24"/>
      <c r="AR51" s="24"/>
      <c r="AS51" s="651"/>
    </row>
    <row r="52" spans="1:45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2"/>
        <v>0</v>
      </c>
      <c r="AN52" s="43"/>
      <c r="AO52" s="309"/>
      <c r="AQ52" s="24"/>
      <c r="AR52" s="24"/>
      <c r="AS52" s="651"/>
    </row>
    <row r="53" spans="1:45" ht="10.199999999999999" hidden="1" customHeight="1" x14ac:dyDescent="0.2">
      <c r="B53" s="25" t="s">
        <v>396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2"/>
        <v>0</v>
      </c>
      <c r="AN53" s="43"/>
      <c r="AO53" s="309"/>
      <c r="AQ53" s="24"/>
      <c r="AR53" s="24"/>
      <c r="AS53" s="651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  <c r="AQ54" s="24"/>
      <c r="AR54" s="24"/>
      <c r="AS54" s="651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  <c r="AQ55" s="24"/>
      <c r="AR55" s="24"/>
      <c r="AS55" s="651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ref="AM56:AM66" si="3">C56+F56+I56+L56+O56+R56+U56+X56+AA56+AD56+AG56+AJ56</f>
        <v>0</v>
      </c>
      <c r="AN56" s="42"/>
      <c r="AO56" s="315"/>
      <c r="AQ56" s="23"/>
      <c r="AR56" s="23"/>
      <c r="AS56" s="650"/>
    </row>
    <row r="57" spans="1:45" ht="10.199999999999999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7">
        <f t="shared" si="3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52"/>
    </row>
    <row r="58" spans="1:45" ht="10.199999999999999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>
        <f>'%DIST'!N22*'GASTOS VEHICULOS'!I25</f>
        <v>0</v>
      </c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>
        <f>'%DIST'!X22*'GASTOS VEHICULOS'!N27</f>
        <v>0</v>
      </c>
      <c r="AK58" s="305"/>
      <c r="AL58" s="412"/>
      <c r="AM58" s="413">
        <f t="shared" si="3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0.199999999999999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3"/>
        <v>0</v>
      </c>
      <c r="AN59" s="84" t="e">
        <f>AM59/AM12</f>
        <v>#DIV/0!</v>
      </c>
      <c r="AO59" s="416" t="e">
        <f>AM59/(AM13)</f>
        <v>#DIV/0!</v>
      </c>
      <c r="AP59" s="2"/>
      <c r="AQ59" s="349"/>
      <c r="AR59" s="349"/>
      <c r="AS59" s="654"/>
    </row>
    <row r="60" spans="1:45" ht="15" customHeight="1" x14ac:dyDescent="0.2">
      <c r="B60" s="16" t="s">
        <v>54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3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55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3"/>
        <v>0</v>
      </c>
      <c r="AN61" s="67"/>
      <c r="AO61" s="318"/>
      <c r="AQ61" s="38">
        <f>SUM(AQ62:AQ71)</f>
        <v>0</v>
      </c>
      <c r="AR61" s="38"/>
      <c r="AS61" s="649"/>
    </row>
    <row r="62" spans="1:45" ht="15" hidden="1" customHeight="1" x14ac:dyDescent="0.2">
      <c r="B62" s="258" t="s">
        <v>397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3"/>
        <v>0</v>
      </c>
      <c r="AN62" s="79"/>
      <c r="AO62" s="147"/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258" t="s">
        <v>398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3"/>
        <v>0</v>
      </c>
      <c r="AN63" s="43"/>
      <c r="AO63" s="118"/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3"/>
        <v>0</v>
      </c>
      <c r="AN64" s="43"/>
      <c r="AO64" s="309"/>
      <c r="AQ64" s="24"/>
      <c r="AR64" s="24" t="e">
        <f>AQ64/AQ8</f>
        <v>#DIV/0!</v>
      </c>
      <c r="AS64" s="651" t="e">
        <f>AQ64/AQ19</f>
        <v>#DIV/0!</v>
      </c>
    </row>
    <row r="65" spans="2:45" ht="15" hidden="1" customHeight="1" x14ac:dyDescent="0.2">
      <c r="B65" s="258" t="s">
        <v>399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3"/>
        <v>0</v>
      </c>
      <c r="AN65" s="43"/>
      <c r="AO65" s="309"/>
      <c r="AQ65" s="24"/>
      <c r="AR65" s="24"/>
      <c r="AS65" s="651"/>
    </row>
    <row r="66" spans="2:45" ht="15" hidden="1" customHeight="1" x14ac:dyDescent="0.2">
      <c r="B66" s="410" t="s">
        <v>60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3"/>
        <v>0</v>
      </c>
      <c r="AN66" s="43"/>
      <c r="AO66" s="309"/>
      <c r="AQ66" s="24"/>
      <c r="AR66" s="24"/>
      <c r="AS66" s="651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  <c r="AQ67" s="24"/>
      <c r="AR67" s="24"/>
      <c r="AS67" s="651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  <c r="AQ68" s="24"/>
      <c r="AR68" s="24"/>
      <c r="AS68" s="651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  <c r="AQ69" s="24"/>
      <c r="AR69" s="24"/>
      <c r="AS69" s="651"/>
    </row>
    <row r="70" spans="2:45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  <c r="AQ70" s="24"/>
      <c r="AR70" s="24"/>
      <c r="AS70" s="651"/>
    </row>
    <row r="71" spans="2:45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/>
      <c r="AN71" s="84"/>
      <c r="AO71" s="310"/>
      <c r="AQ71" s="349"/>
      <c r="AR71" s="349"/>
      <c r="AS71" s="654"/>
    </row>
    <row r="72" spans="2:45" ht="15" customHeight="1" x14ac:dyDescent="0.2">
      <c r="B72" s="36" t="s">
        <v>62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ref="AM72:AM81" si="4">C72+F72+I72+L72+O72+R72+U72+X72+AA72+AD72+AG72+AJ72</f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52" t="e">
        <f>AQ72/(AQ$13-AQ$19)</f>
        <v>#DIV/0!</v>
      </c>
    </row>
    <row r="73" spans="2:45" ht="15" customHeight="1" x14ac:dyDescent="0.2">
      <c r="B73" s="411" t="s">
        <v>63</v>
      </c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78"/>
      <c r="P73" s="305"/>
      <c r="Q73" s="412"/>
      <c r="R73" s="304"/>
      <c r="S73" s="305"/>
      <c r="T73" s="412"/>
      <c r="U73" s="304"/>
      <c r="V73" s="305"/>
      <c r="W73" s="412"/>
      <c r="X73" s="78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412"/>
      <c r="AM73" s="413">
        <f t="shared" si="4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65</v>
      </c>
      <c r="C74" s="273"/>
      <c r="D74" s="134"/>
      <c r="E74" s="428"/>
      <c r="F74" s="83"/>
      <c r="G74" s="84"/>
      <c r="H74" s="336"/>
      <c r="I74" s="83"/>
      <c r="J74" s="84"/>
      <c r="K74" s="336"/>
      <c r="L74" s="83"/>
      <c r="M74" s="84"/>
      <c r="N74" s="336"/>
      <c r="O74" s="273"/>
      <c r="P74" s="84"/>
      <c r="Q74" s="336"/>
      <c r="R74" s="83"/>
      <c r="S74" s="84"/>
      <c r="T74" s="336"/>
      <c r="U74" s="83"/>
      <c r="V74" s="84"/>
      <c r="W74" s="336"/>
      <c r="X74" s="27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4"/>
        <v>0</v>
      </c>
      <c r="AN74" s="84"/>
      <c r="AO74" s="336"/>
      <c r="AQ74" s="349"/>
      <c r="AR74" s="349"/>
      <c r="AS74" s="654"/>
    </row>
    <row r="75" spans="2:45" ht="15" customHeight="1" x14ac:dyDescent="0.2">
      <c r="B75" s="36" t="s">
        <v>66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4"/>
        <v>0</v>
      </c>
      <c r="AN75" s="67"/>
      <c r="AO75" s="318"/>
      <c r="AQ75" s="38"/>
      <c r="AR75" s="38"/>
      <c r="AS75" s="649"/>
    </row>
    <row r="76" spans="2:45" ht="15" customHeight="1" x14ac:dyDescent="0.2">
      <c r="B76" s="36" t="s">
        <v>68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4"/>
        <v>0</v>
      </c>
      <c r="AN76" s="67"/>
      <c r="AO76" s="320"/>
      <c r="AQ76" s="38"/>
      <c r="AR76" s="38" t="e">
        <f>AQ76/(AQ$12-AQ$8)</f>
        <v>#DIV/0!</v>
      </c>
      <c r="AS76" s="649" t="e">
        <f>AQ76/(AQ$13-AQ$19)</f>
        <v>#DIV/0!</v>
      </c>
    </row>
    <row r="77" spans="2:45" ht="15" customHeight="1" x14ac:dyDescent="0.2">
      <c r="B77" s="66" t="s">
        <v>70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0"/>
      <c r="AQ77" s="27"/>
      <c r="AR77" s="27" t="e">
        <f>AQ77/(AQ$12-AQ$8)</f>
        <v>#DIV/0!</v>
      </c>
      <c r="AS77" s="656" t="e">
        <f>AQ77/(AQ$13-AQ$19)</f>
        <v>#DIV/0!</v>
      </c>
    </row>
    <row r="78" spans="2:45" ht="15" customHeight="1" x14ac:dyDescent="0.2">
      <c r="B78" s="17" t="s">
        <v>71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4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AQ78/(AQ$12-AQ$8)</f>
        <v>#DIV/0!</v>
      </c>
      <c r="AS78" s="648" t="e">
        <f>AQ78/(AQ$13-AQ$19)</f>
        <v>#DIV/0!</v>
      </c>
    </row>
    <row r="79" spans="2:45" ht="15" customHeight="1" x14ac:dyDescent="0.3">
      <c r="B79" s="473" t="s">
        <v>73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4"/>
        <v>0</v>
      </c>
      <c r="AN79" s="4"/>
      <c r="AO79" s="322" t="e">
        <f>AM79/(AM$13)</f>
        <v>#DIV/0!</v>
      </c>
      <c r="AP79" s="696"/>
      <c r="AQ79" s="619"/>
      <c r="AR79" s="619" t="e">
        <f>AQ79/(AQ$12-AQ$8)</f>
        <v>#DIV/0!</v>
      </c>
      <c r="AS79" s="657" t="e">
        <f>AQ79/(AQ$13-AQ$19)</f>
        <v>#DIV/0!</v>
      </c>
    </row>
    <row r="80" spans="2:45" ht="15" customHeight="1" x14ac:dyDescent="0.2">
      <c r="B80" s="474" t="s">
        <v>74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5">
        <f t="shared" si="4"/>
        <v>0</v>
      </c>
      <c r="AN80" s="43"/>
      <c r="AO80" s="309"/>
      <c r="AQ80" s="24"/>
      <c r="AR80" s="24" t="e">
        <f>AQ80/(AQ$12-AQ$8)</f>
        <v>#DIV/0!</v>
      </c>
      <c r="AS80" s="651" t="e">
        <f>AQ80/(AQ$13-AQ$19)</f>
        <v>#DIV/0!</v>
      </c>
    </row>
    <row r="81" spans="2:45" ht="15" customHeight="1" thickBot="1" x14ac:dyDescent="0.25">
      <c r="B81" s="300" t="s">
        <v>75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4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F83/F$13</f>
        <v>#DIV/0!</v>
      </c>
      <c r="I83" s="490">
        <f>+I84+I89+I92+I96+I99+I109+I114+I120+I123+I127</f>
        <v>0</v>
      </c>
      <c r="J83" s="491"/>
      <c r="K83" s="492" t="e">
        <f>I83/I$13</f>
        <v>#DIV/0!</v>
      </c>
      <c r="L83" s="490">
        <f>+L84+L89+L92+L96+L99+L109+L114+L120+L123+L127</f>
        <v>0</v>
      </c>
      <c r="M83" s="491"/>
      <c r="N83" s="492" t="e">
        <f>L83/L$13</f>
        <v>#DIV/0!</v>
      </c>
      <c r="O83" s="490">
        <f>+O84+O89+O92+O96+O99+O109+O114+O120+O123+O127</f>
        <v>0</v>
      </c>
      <c r="P83" s="491"/>
      <c r="Q83" s="492" t="e">
        <f>O83/O$13</f>
        <v>#DIV/0!</v>
      </c>
      <c r="R83" s="490">
        <f>+R84+R89+R92+R96+R99+R109+R114+R120+R123+R127</f>
        <v>0</v>
      </c>
      <c r="S83" s="491"/>
      <c r="T83" s="492" t="e">
        <f>R83/R$13</f>
        <v>#DIV/0!</v>
      </c>
      <c r="U83" s="490">
        <f>+U84+U89+U92+U96+U99+U109+U114+U120+U123+U127</f>
        <v>0</v>
      </c>
      <c r="V83" s="491"/>
      <c r="W83" s="492"/>
      <c r="X83" s="490">
        <f>+X84+X89+X92+X96+X99+X109+X114+X120+X123+X127</f>
        <v>0</v>
      </c>
      <c r="Y83" s="491"/>
      <c r="Z83" s="492" t="e">
        <f>X83/X$13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AQ83/(AQ$12-AQ$8)</f>
        <v>#DIV/0!</v>
      </c>
      <c r="AS83" s="644" t="e">
        <f>AQ83/(AQ$13-AQ$19)</f>
        <v>#DIV/0!</v>
      </c>
    </row>
    <row r="84" spans="2:45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>C84+F84+I84+L84+O84+R84+U84+X84+AA84+AD84+AG84+AJ84</f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AQ84/(AQ$12-AQ$8)</f>
        <v>#DIV/0!</v>
      </c>
      <c r="AS84" s="648" t="e">
        <f>AQ84/(AQ$13-AQ$19)</f>
        <v>#DIV/0!</v>
      </c>
    </row>
    <row r="85" spans="2:45" ht="15" customHeight="1" x14ac:dyDescent="0.2">
      <c r="B85" s="284" t="s">
        <v>78</v>
      </c>
      <c r="C85" s="91"/>
      <c r="D85" s="69"/>
      <c r="E85" s="306"/>
      <c r="F85" s="91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>C85+F85+I85+L85+O85+R85+U85+X85+AA85+AD85+AG85+AJ85</f>
        <v>0</v>
      </c>
      <c r="AN85" s="69"/>
      <c r="AO85" s="306" t="e">
        <f>AM85/(AM$13)</f>
        <v>#DIV/0!</v>
      </c>
      <c r="AQ85" s="31"/>
      <c r="AR85" s="31"/>
      <c r="AS85" s="659" t="e">
        <f>AQ85/(AQ$13-AQ$19)</f>
        <v>#DIV/0!</v>
      </c>
    </row>
    <row r="86" spans="2:45" ht="15" customHeight="1" x14ac:dyDescent="0.2">
      <c r="B86" s="24" t="s">
        <v>79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/>
      <c r="AQ86" s="24"/>
      <c r="AR86" s="24"/>
      <c r="AS86" s="651" t="e">
        <f>AQ86/(AQ$13-AQ$19)</f>
        <v>#DIV/0!</v>
      </c>
    </row>
    <row r="87" spans="2:45" ht="15" customHeight="1" x14ac:dyDescent="0.2">
      <c r="B87" s="24" t="s">
        <v>81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51" t="e">
        <f>AQ87/(AQ$13-AQ$19)</f>
        <v>#DIV/0!</v>
      </c>
    </row>
    <row r="88" spans="2:45" ht="15" customHeight="1" x14ac:dyDescent="0.2">
      <c r="B88" s="429" t="s">
        <v>83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  <c r="AQ88" s="349"/>
      <c r="AR88" s="349"/>
      <c r="AS88" s="654"/>
    </row>
    <row r="89" spans="2:45" ht="15" customHeight="1" x14ac:dyDescent="0.2">
      <c r="B89" s="16" t="s">
        <v>84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ref="AM89:AM106" si="5">C89+F89+I89+L89+O89+R89+U89+X89+AA89+AD89+AG89+AJ89</f>
        <v>0</v>
      </c>
      <c r="AN89" s="3"/>
      <c r="AO89" s="321" t="e">
        <f>AM89/(AM$13)</f>
        <v>#DIV/0!</v>
      </c>
      <c r="AQ89" s="17"/>
      <c r="AR89" s="17" t="e">
        <f>AQ89/(AQ$12-AQ$8)</f>
        <v>#DIV/0!</v>
      </c>
      <c r="AS89" s="648" t="e">
        <f>AQ89/(AQ$13-AQ$19)</f>
        <v>#DIV/0!</v>
      </c>
    </row>
    <row r="90" spans="2:45" ht="15" customHeight="1" outlineLevel="1" x14ac:dyDescent="0.2">
      <c r="B90" s="39" t="s">
        <v>85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5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86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5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87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5"/>
        <v>0</v>
      </c>
      <c r="AN92" s="3"/>
      <c r="AO92" s="321" t="e">
        <f>AM92/(AM$13)</f>
        <v>#DIV/0!</v>
      </c>
      <c r="AQ92" s="17"/>
      <c r="AR92" s="17" t="e">
        <f>AQ92/(AQ$12-AQ$8)</f>
        <v>#DIV/0!</v>
      </c>
      <c r="AS92" s="648" t="e">
        <f>AQ92/(AQ$13-AQ$19)</f>
        <v>#DIV/0!</v>
      </c>
    </row>
    <row r="93" spans="2:45" ht="15" customHeight="1" outlineLevel="1" x14ac:dyDescent="0.2">
      <c r="B93" s="39" t="s">
        <v>88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5"/>
        <v>0</v>
      </c>
      <c r="AN93" s="69"/>
      <c r="AO93" s="324"/>
      <c r="AP93" s="697"/>
      <c r="AQ93" s="31"/>
      <c r="AR93" s="31"/>
      <c r="AS93" s="659"/>
    </row>
    <row r="94" spans="2:45" ht="15" customHeight="1" outlineLevel="1" x14ac:dyDescent="0.2">
      <c r="B94" s="39" t="s">
        <v>89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5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39" t="s">
        <v>90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5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91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5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AQ96/(AQ$12-AQ$8)</f>
        <v>#DIV/0!</v>
      </c>
      <c r="AS96" s="648" t="e">
        <f>AQ96/(AQ$13-AQ$19)</f>
        <v>#DIV/0!</v>
      </c>
    </row>
    <row r="97" spans="1:45" s="108" customFormat="1" ht="15" customHeight="1" outlineLevel="1" x14ac:dyDescent="0.2">
      <c r="A97" s="229" t="s">
        <v>400</v>
      </c>
      <c r="B97" s="39" t="s">
        <v>92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5"/>
        <v>0</v>
      </c>
      <c r="AN97" s="69"/>
      <c r="AO97" s="324"/>
      <c r="AP97" s="2"/>
      <c r="AQ97" s="31"/>
      <c r="AR97" s="31"/>
      <c r="AS97" s="659"/>
    </row>
    <row r="98" spans="1:45" s="108" customFormat="1" ht="15" customHeight="1" outlineLevel="1" x14ac:dyDescent="0.2">
      <c r="A98" s="229" t="s">
        <v>401</v>
      </c>
      <c r="B98" s="275" t="s">
        <v>93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5"/>
        <v>0</v>
      </c>
      <c r="AN98" s="276"/>
      <c r="AO98" s="326"/>
      <c r="AP98" s="2"/>
      <c r="AQ98" s="279"/>
      <c r="AR98" s="279"/>
      <c r="AS98" s="660"/>
    </row>
    <row r="99" spans="1:45" ht="15" customHeight="1" x14ac:dyDescent="0.2">
      <c r="B99" s="16" t="s">
        <v>94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5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AQ99/(AQ$12-AQ$8)</f>
        <v>#DIV/0!</v>
      </c>
      <c r="AS99" s="648" t="e">
        <f>AQ99/(AQ$13-AQ$19)</f>
        <v>#DIV/0!</v>
      </c>
    </row>
    <row r="100" spans="1:45" ht="15" customHeight="1" outlineLevel="1" x14ac:dyDescent="0.2">
      <c r="B100" s="39" t="s">
        <v>95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5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5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5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5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5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5" t="s">
        <v>103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5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5" t="s">
        <v>104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5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05" t="s">
        <v>105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/>
      <c r="AN107" s="43"/>
      <c r="AO107" s="309"/>
      <c r="AQ107" s="24"/>
      <c r="AR107" s="24"/>
      <c r="AS107" s="651"/>
    </row>
    <row r="108" spans="1:45" ht="15" customHeight="1" outlineLevel="1" x14ac:dyDescent="0.2">
      <c r="B108" s="349" t="s">
        <v>106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5"/>
      <c r="AQ108" s="23"/>
      <c r="AR108" s="23"/>
      <c r="AS108" s="650"/>
    </row>
    <row r="109" spans="1:45" ht="15" customHeight="1" x14ac:dyDescent="0.2">
      <c r="B109" s="16" t="s">
        <v>107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ref="AM109:AM121" si="6">C109+F109+I109+L109+O109+R109+U109+X109+AA109+AD109+AG109+AJ109</f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48" t="e">
        <f>AQ109/(AQ$13-AQ$19)</f>
        <v>#DIV/0!</v>
      </c>
    </row>
    <row r="110" spans="1:45" ht="15" customHeight="1" outlineLevel="1" x14ac:dyDescent="0.2">
      <c r="A110" s="226" t="s">
        <v>402</v>
      </c>
      <c r="B110" s="39" t="s">
        <v>108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403</v>
      </c>
      <c r="B111" s="25" t="s">
        <v>109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404</v>
      </c>
      <c r="B112" s="25" t="s">
        <v>110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405</v>
      </c>
      <c r="B113" s="28" t="s">
        <v>111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112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48" t="e">
        <f>AQ114/(AQ$13-AQ$19)</f>
        <v>#DIV/0!</v>
      </c>
    </row>
    <row r="115" spans="1:45" ht="15" customHeight="1" outlineLevel="1" x14ac:dyDescent="0.2">
      <c r="A115" s="226" t="s">
        <v>406</v>
      </c>
      <c r="B115" s="205" t="s">
        <v>113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407</v>
      </c>
      <c r="B116" s="205" t="s">
        <v>114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380</v>
      </c>
      <c r="B117" s="205" t="s">
        <v>115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408</v>
      </c>
      <c r="B118" s="205" t="s">
        <v>116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409</v>
      </c>
      <c r="B119" s="205" t="s">
        <v>381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118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6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48" t="e">
        <f>AQ120/(AQ$13-AQ$19)</f>
        <v>#DIV/0!</v>
      </c>
    </row>
    <row r="121" spans="1:45" ht="15" customHeight="1" x14ac:dyDescent="0.3">
      <c r="A121" s="226" t="s">
        <v>410</v>
      </c>
      <c r="B121" s="205" t="s">
        <v>119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6"/>
        <v>0</v>
      </c>
      <c r="AN121" s="69"/>
      <c r="AO121" s="324"/>
      <c r="AQ121" s="31"/>
      <c r="AR121" s="31"/>
      <c r="AS121" s="659"/>
    </row>
    <row r="122" spans="1:45" ht="15" customHeight="1" x14ac:dyDescent="0.3">
      <c r="A122" s="226" t="s">
        <v>411</v>
      </c>
      <c r="B122" s="205" t="s">
        <v>120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/>
      <c r="AN122" s="84"/>
      <c r="AO122" s="327"/>
      <c r="AQ122" s="133"/>
      <c r="AR122" s="133"/>
      <c r="AS122" s="661"/>
    </row>
    <row r="123" spans="1:45" ht="15" customHeight="1" x14ac:dyDescent="0.2">
      <c r="B123" s="16" t="s">
        <v>121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ref="AM123:AM135" si="7">C123+F123+I123+L123+O123+R123+U123+X123+AA123+AD123+AG123+AJ123</f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48" t="e">
        <f>AQ123/(AQ$13-AQ$19)</f>
        <v>#DIV/0!</v>
      </c>
    </row>
    <row r="124" spans="1:45" ht="15" customHeight="1" outlineLevel="1" x14ac:dyDescent="0.2">
      <c r="A124" s="226" t="s">
        <v>412</v>
      </c>
      <c r="B124" s="39" t="s">
        <v>122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413</v>
      </c>
      <c r="B125" s="25" t="s">
        <v>123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414</v>
      </c>
      <c r="B126" s="28" t="s">
        <v>124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125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48" t="e">
        <f>AQ127/(AQ$13-AQ$19)</f>
        <v>#DIV/0!</v>
      </c>
    </row>
    <row r="128" spans="1:45" ht="15" customHeight="1" outlineLevel="1" x14ac:dyDescent="0.2">
      <c r="A128" s="226" t="s">
        <v>415</v>
      </c>
      <c r="B128" s="25" t="s">
        <v>127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416</v>
      </c>
      <c r="B129" s="25" t="s">
        <v>129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  <c r="AQ129" s="24"/>
      <c r="AR129" s="24"/>
      <c r="AS129" s="651"/>
    </row>
    <row r="130" spans="1:45" ht="15" customHeight="1" outlineLevel="1" x14ac:dyDescent="0.2">
      <c r="A130" s="226" t="s">
        <v>417</v>
      </c>
      <c r="B130" s="25" t="s">
        <v>131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0</v>
      </c>
      <c r="AN130" s="43"/>
      <c r="AO130" s="118"/>
      <c r="AQ130" s="24"/>
      <c r="AR130" s="24"/>
      <c r="AS130" s="651"/>
    </row>
    <row r="131" spans="1:45" ht="15" customHeight="1" outlineLevel="1" x14ac:dyDescent="0.2">
      <c r="A131" s="226" t="s">
        <v>132</v>
      </c>
      <c r="B131" s="25" t="s">
        <v>133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418</v>
      </c>
      <c r="B132" s="25" t="s">
        <v>134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135</v>
      </c>
      <c r="B133" s="25" t="s">
        <v>136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137</v>
      </c>
      <c r="B134" s="25" t="s">
        <v>138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419</v>
      </c>
      <c r="B135" s="25" t="s">
        <v>139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420</v>
      </c>
      <c r="B136" s="25" t="s">
        <v>140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/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326</v>
      </c>
      <c r="B137" s="25" t="s">
        <v>141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ref="AM137:AM142" si="8">C137+F137+I137+L137+O137+R137+U137+X137+AA137+AD137+AG137+AJ137</f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142</v>
      </c>
      <c r="C138" s="427"/>
      <c r="D138" s="89"/>
      <c r="E138" s="303"/>
      <c r="F138" s="427"/>
      <c r="G138" s="89"/>
      <c r="H138" s="303"/>
      <c r="I138" s="4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8"/>
        <v>0</v>
      </c>
      <c r="AN138" s="89"/>
      <c r="AO138" s="308"/>
      <c r="AQ138" s="24"/>
      <c r="AR138" s="24"/>
      <c r="AS138" s="651"/>
    </row>
    <row r="139" spans="1:45" ht="15" customHeight="1" outlineLevel="1" x14ac:dyDescent="0.2">
      <c r="B139" s="25" t="s">
        <v>143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8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145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8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146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8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421</v>
      </c>
      <c r="B142" s="269" t="s">
        <v>148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8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149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150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 t="e">
        <f>X147/X$13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/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AQ147/(AQ$13-AQ$19)</f>
        <v>#DIV/0!</v>
      </c>
    </row>
    <row r="148" spans="2:45" ht="15" customHeight="1" x14ac:dyDescent="0.2">
      <c r="B148" s="18" t="s">
        <v>151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 t="e">
        <f>AQ148/(AQ$13-AQ$19)</f>
        <v>#DIV/0!</v>
      </c>
    </row>
    <row r="149" spans="2:45" ht="15" customHeight="1" x14ac:dyDescent="0.2">
      <c r="B149" s="285" t="s">
        <v>422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423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 t="e">
        <f>AQ150/(AQ$13-AQ$19)</f>
        <v>#DIV/0!</v>
      </c>
    </row>
    <row r="151" spans="2:45" ht="15" customHeight="1" thickBot="1" x14ac:dyDescent="0.25">
      <c r="B151" s="300" t="s">
        <v>287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155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58" si="9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AQ153/AQ$13</f>
        <v>#DIV/0!</v>
      </c>
    </row>
    <row r="154" spans="2:45" ht="15" customHeight="1" thickTop="1" x14ac:dyDescent="0.2">
      <c r="B154" s="40" t="s">
        <v>156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514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514"/>
      <c r="AK154" s="230"/>
      <c r="AL154" s="343"/>
      <c r="AM154" s="287">
        <f t="shared" si="9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424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694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694"/>
      <c r="AK155" s="9"/>
      <c r="AL155" s="566"/>
      <c r="AM155" s="565">
        <f t="shared" si="9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425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687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680">
        <f t="shared" si="9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426</v>
      </c>
      <c r="C157" s="561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712"/>
      <c r="Y157" s="551"/>
      <c r="Z157" s="552"/>
      <c r="AA157" s="712"/>
      <c r="AB157" s="551"/>
      <c r="AC157" s="552"/>
      <c r="AD157" s="562"/>
      <c r="AE157" s="551"/>
      <c r="AF157" s="552"/>
      <c r="AG157" s="562"/>
      <c r="AH157" s="551"/>
      <c r="AI157" s="552"/>
      <c r="AJ157" s="232"/>
      <c r="AK157" s="551"/>
      <c r="AL157" s="552"/>
      <c r="AM157" s="556">
        <f t="shared" si="9"/>
        <v>0</v>
      </c>
      <c r="AN157" s="551"/>
      <c r="AO157" s="614" t="e">
        <f>AM157/AM13</f>
        <v>#DIV/0!</v>
      </c>
      <c r="AQ157" s="559"/>
      <c r="AR157" s="559"/>
      <c r="AS157" s="667"/>
    </row>
    <row r="158" spans="2:45" ht="15" customHeight="1" x14ac:dyDescent="0.2">
      <c r="B158" s="563" t="s">
        <v>158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344"/>
      <c r="AM158" s="205">
        <f t="shared" si="9"/>
        <v>0</v>
      </c>
      <c r="AN158" s="13"/>
      <c r="AO158" s="333"/>
      <c r="AQ158" s="296"/>
      <c r="AR158" s="296"/>
      <c r="AS158" s="671"/>
    </row>
    <row r="159" spans="2:45" ht="15" customHeight="1" x14ac:dyDescent="0.2">
      <c r="B159" s="563" t="s">
        <v>159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/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160</v>
      </c>
      <c r="C160" s="234"/>
      <c r="D160" s="233"/>
      <c r="E160" s="345"/>
      <c r="F160" s="567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>C160+F160+I160+L160+O160+R160+U160+X160+AA160+AD160+AG160+AJ160</f>
        <v>0</v>
      </c>
      <c r="AN160" s="233"/>
      <c r="AO160" s="334"/>
      <c r="AQ160" s="620"/>
      <c r="AR160" s="620"/>
      <c r="AS160" s="668"/>
    </row>
    <row r="161" spans="2:45" ht="15" customHeight="1" thickTop="1" thickBot="1" x14ac:dyDescent="0.25">
      <c r="B161" s="524" t="s">
        <v>163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>C161+F161+I161+L161+O161+R161+U161+X161+AA161+AD161+AG161+AJ161</f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  <row r="164" spans="2:45" hidden="1" x14ac:dyDescent="0.2">
      <c r="X164" s="616">
        <f>X44+X83-X73-X85</f>
        <v>0</v>
      </c>
    </row>
    <row r="165" spans="2:45" hidden="1" x14ac:dyDescent="0.2">
      <c r="X165" s="616">
        <v>982472.65</v>
      </c>
    </row>
    <row r="166" spans="2:45" hidden="1" x14ac:dyDescent="0.2">
      <c r="X166" s="616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2:AT189"/>
  <sheetViews>
    <sheetView zoomScaleNormal="100" workbookViewId="0">
      <pane xSplit="2" ySplit="13" topLeftCell="C153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64" width="11.44140625" style="2" customWidth="1"/>
    <col min="65" max="16384" width="11.44140625" style="2"/>
  </cols>
  <sheetData>
    <row r="2" spans="1:41" ht="24.9" customHeight="1" thickBot="1" x14ac:dyDescent="0.35">
      <c r="B2" s="236" t="s">
        <v>0</v>
      </c>
      <c r="C2" s="1027" t="s">
        <v>427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</row>
    <row r="3" spans="1:41" ht="21.75" customHeight="1" thickTop="1" thickBot="1" x14ac:dyDescent="0.25">
      <c r="B3" s="974" t="s">
        <v>2</v>
      </c>
      <c r="C3" s="97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SUM(C3:AJ3)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428</v>
      </c>
      <c r="C5" s="257"/>
      <c r="D5" s="89"/>
      <c r="E5" s="303"/>
      <c r="F5" s="257"/>
      <c r="G5" s="260"/>
      <c r="H5" s="303"/>
      <c r="I5" s="257">
        <v>241842440</v>
      </c>
      <c r="J5" s="89"/>
      <c r="K5" s="303"/>
      <c r="L5" s="257">
        <v>241842440</v>
      </c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9"/>
      <c r="AK5" s="89"/>
      <c r="AL5" s="87"/>
      <c r="AM5" s="261">
        <f t="shared" ref="AM5:AM36" si="0">C5+F5+I5+L5+O5+R5+U5+X5+AA5+AD5+AG5+AJ5</f>
        <v>483684880</v>
      </c>
      <c r="AN5" s="89"/>
      <c r="AO5" s="308">
        <f>AM5/AM12</f>
        <v>0.2</v>
      </c>
    </row>
    <row r="6" spans="1:41" s="223" customFormat="1" ht="15" customHeight="1" x14ac:dyDescent="0.2">
      <c r="A6" s="228"/>
      <c r="B6" s="258" t="s">
        <v>429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>
        <v>241842440</v>
      </c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483684880</v>
      </c>
      <c r="AN6" s="43"/>
      <c r="AO6" s="309">
        <f>AM6/AM12</f>
        <v>0.2</v>
      </c>
    </row>
    <row r="7" spans="1:41" s="223" customFormat="1" ht="15" customHeight="1" x14ac:dyDescent="0.2">
      <c r="A7" s="228"/>
      <c r="B7" s="258" t="s">
        <v>430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>
        <v>241842440</v>
      </c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483684880</v>
      </c>
      <c r="AN7" s="43"/>
      <c r="AO7" s="309">
        <f>AM7/AM12</f>
        <v>0.2</v>
      </c>
    </row>
    <row r="8" spans="1:41" s="223" customFormat="1" ht="15" customHeight="1" x14ac:dyDescent="0.2">
      <c r="A8" s="228"/>
      <c r="B8" s="258" t="s">
        <v>431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>
        <v>241842440</v>
      </c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483684880</v>
      </c>
      <c r="AN8" s="43"/>
      <c r="AO8" s="309"/>
    </row>
    <row r="9" spans="1:41" s="223" customFormat="1" ht="15" customHeight="1" x14ac:dyDescent="0.2">
      <c r="A9" s="228"/>
      <c r="B9" s="258" t="s">
        <v>432</v>
      </c>
      <c r="C9" s="74"/>
      <c r="D9" s="43"/>
      <c r="E9" s="118"/>
      <c r="F9" s="74"/>
      <c r="G9" s="43"/>
      <c r="H9" s="118"/>
      <c r="I9" s="74">
        <v>241842440</v>
      </c>
      <c r="J9" s="43"/>
      <c r="K9" s="118"/>
      <c r="L9" s="74">
        <v>241842440</v>
      </c>
      <c r="M9" s="43"/>
      <c r="N9" s="118"/>
      <c r="O9" s="74"/>
      <c r="P9" s="43"/>
      <c r="Q9" s="118"/>
      <c r="R9" s="74"/>
      <c r="S9" s="43"/>
      <c r="T9" s="118"/>
      <c r="U9" s="75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483684880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1209212200</v>
      </c>
      <c r="J12" s="47"/>
      <c r="K12" s="152"/>
      <c r="L12" s="46">
        <f>SUM(L5:L11)</f>
        <v>1209212200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2418424400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1934739520</v>
      </c>
      <c r="J13" s="485"/>
      <c r="K13" s="486"/>
      <c r="L13" s="484">
        <f>L14+L23</f>
        <v>1934739520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3869479040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1209212200</v>
      </c>
      <c r="J14" s="3"/>
      <c r="K14" s="150"/>
      <c r="L14" s="49">
        <f>L15</f>
        <v>1209212200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2418424400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1209212200</v>
      </c>
      <c r="J15" s="3"/>
      <c r="K15" s="150"/>
      <c r="L15" s="49">
        <f>SUM(L16:L22)</f>
        <v>1209212200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2418424400</v>
      </c>
      <c r="AN15" s="3"/>
      <c r="AO15" s="313">
        <f>AM15/AM15</f>
        <v>1</v>
      </c>
    </row>
    <row r="16" spans="1:41" ht="15" customHeight="1" x14ac:dyDescent="0.2">
      <c r="B16" s="258" t="s">
        <v>433</v>
      </c>
      <c r="C16" s="103"/>
      <c r="D16" s="79" t="e">
        <f>C16/C5</f>
        <v>#DIV/0!</v>
      </c>
      <c r="E16" s="147"/>
      <c r="F16" s="103"/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483684880</v>
      </c>
      <c r="AN16" s="79"/>
      <c r="AO16" s="314">
        <f>AM16/AM$13</f>
        <v>0.125</v>
      </c>
    </row>
    <row r="17" spans="1:46" ht="15" customHeight="1" x14ac:dyDescent="0.2">
      <c r="B17" s="258" t="s">
        <v>434</v>
      </c>
      <c r="C17" s="25"/>
      <c r="D17" s="43" t="e">
        <f>C17/C6</f>
        <v>#DIV/0!</v>
      </c>
      <c r="E17" s="118"/>
      <c r="F17" s="25"/>
      <c r="G17" s="43"/>
      <c r="H17" s="118"/>
      <c r="I17" s="25">
        <v>241842440</v>
      </c>
      <c r="J17" s="43"/>
      <c r="K17" s="118"/>
      <c r="L17" s="25">
        <v>241842440</v>
      </c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483684880</v>
      </c>
      <c r="AN17" s="43"/>
      <c r="AO17" s="309">
        <f>AM17/AM$13</f>
        <v>0.125</v>
      </c>
    </row>
    <row r="18" spans="1:46" ht="15" customHeight="1" x14ac:dyDescent="0.2">
      <c r="B18" s="258" t="s">
        <v>435</v>
      </c>
      <c r="C18" s="25"/>
      <c r="D18" s="43" t="e">
        <f>C18/C7</f>
        <v>#DIV/0!</v>
      </c>
      <c r="E18" s="118"/>
      <c r="F18" s="25"/>
      <c r="G18" s="43"/>
      <c r="H18" s="118"/>
      <c r="I18" s="25">
        <v>241842440</v>
      </c>
      <c r="J18" s="43"/>
      <c r="K18" s="118"/>
      <c r="L18" s="25">
        <v>241842440</v>
      </c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483684880</v>
      </c>
      <c r="AN18" s="43"/>
      <c r="AO18" s="309">
        <f>AM18/AM$13</f>
        <v>0.125</v>
      </c>
    </row>
    <row r="19" spans="1:46" ht="15" customHeight="1" x14ac:dyDescent="0.2">
      <c r="B19" s="258" t="s">
        <v>436</v>
      </c>
      <c r="C19" s="91"/>
      <c r="D19" s="43" t="e">
        <f>C19/C8</f>
        <v>#DIV/0!</v>
      </c>
      <c r="E19" s="118"/>
      <c r="F19" s="25"/>
      <c r="G19" s="43"/>
      <c r="H19" s="118"/>
      <c r="I19" s="25">
        <v>241842440</v>
      </c>
      <c r="J19" s="43"/>
      <c r="K19" s="118"/>
      <c r="L19" s="25">
        <v>241842440</v>
      </c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483684880</v>
      </c>
      <c r="AN19" s="43"/>
      <c r="AO19" s="309">
        <f>AM19/AM$13</f>
        <v>0.125</v>
      </c>
    </row>
    <row r="20" spans="1:46" ht="15" customHeight="1" x14ac:dyDescent="0.2">
      <c r="B20" s="258" t="s">
        <v>437</v>
      </c>
      <c r="C20" s="74"/>
      <c r="D20" s="43"/>
      <c r="E20" s="118"/>
      <c r="F20" s="25"/>
      <c r="G20" s="43"/>
      <c r="H20" s="118"/>
      <c r="I20" s="74">
        <v>241842440</v>
      </c>
      <c r="J20" s="43"/>
      <c r="K20" s="118"/>
      <c r="L20" s="74">
        <v>241842440</v>
      </c>
      <c r="M20" s="43"/>
      <c r="N20" s="118"/>
      <c r="O20" s="25"/>
      <c r="P20" s="43"/>
      <c r="Q20" s="118"/>
      <c r="R20" s="74"/>
      <c r="S20" s="43"/>
      <c r="T20" s="118"/>
      <c r="U20" s="75"/>
      <c r="V20" s="43"/>
      <c r="W20" s="118"/>
      <c r="X20" s="74"/>
      <c r="Y20" s="43"/>
      <c r="Z20" s="118"/>
      <c r="AA20" s="75"/>
      <c r="AB20" s="43"/>
      <c r="AC20" s="118"/>
      <c r="AD20" s="75"/>
      <c r="AE20" s="43"/>
      <c r="AF20" s="118"/>
      <c r="AG20" s="25"/>
      <c r="AH20" s="43"/>
      <c r="AI20" s="118"/>
      <c r="AJ20" s="75"/>
      <c r="AK20" s="43"/>
      <c r="AL20" s="57"/>
      <c r="AM20" s="205">
        <f t="shared" si="0"/>
        <v>483684880</v>
      </c>
      <c r="AN20" s="43"/>
      <c r="AO20" s="309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6" ht="15" customHeight="1" outlineLevel="1" x14ac:dyDescent="0.2">
      <c r="B23" s="16" t="s">
        <v>30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725527320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1451054640</v>
      </c>
      <c r="AN23" s="3"/>
      <c r="AO23" s="313"/>
    </row>
    <row r="24" spans="1:46" ht="15" customHeight="1" outlineLevel="1" x14ac:dyDescent="0.2">
      <c r="B24" s="16" t="s">
        <v>31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725527320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1451054640</v>
      </c>
      <c r="AN24" s="3"/>
      <c r="AO24" s="313"/>
    </row>
    <row r="25" spans="1:46" ht="15" customHeight="1" outlineLevel="1" x14ac:dyDescent="0.2">
      <c r="B25" s="32" t="s">
        <v>32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>
        <v>241842440</v>
      </c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483684880</v>
      </c>
      <c r="AN25" s="52"/>
      <c r="AO25" s="316"/>
    </row>
    <row r="26" spans="1:46" ht="15" customHeight="1" outlineLevel="1" x14ac:dyDescent="0.2">
      <c r="B26" s="32" t="s">
        <v>33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>
        <v>241842440</v>
      </c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483684880</v>
      </c>
      <c r="AN26" s="52"/>
      <c r="AO26" s="316"/>
    </row>
    <row r="27" spans="1:46" ht="15" customHeight="1" outlineLevel="1" x14ac:dyDescent="0.2">
      <c r="B27" s="32" t="s">
        <v>34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>
        <v>241842440</v>
      </c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483684880</v>
      </c>
      <c r="AN27" s="52"/>
      <c r="AO27" s="316"/>
    </row>
    <row r="28" spans="1:46" ht="15" customHeight="1" x14ac:dyDescent="0.2">
      <c r="B28" s="16" t="s">
        <v>35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124113540.208</v>
      </c>
      <c r="J28" s="3"/>
      <c r="K28" s="150"/>
      <c r="L28" s="49">
        <f>+L29</f>
        <v>124113540.208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248227080.41600001</v>
      </c>
      <c r="AN28" s="3"/>
      <c r="AO28" s="313"/>
    </row>
    <row r="29" spans="1:46" ht="15" customHeight="1" x14ac:dyDescent="0.2">
      <c r="B29" s="16" t="s">
        <v>36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124113540.208</v>
      </c>
      <c r="J29" s="3"/>
      <c r="K29" s="150">
        <f>I29/I13</f>
        <v>6.4149999999999999E-2</v>
      </c>
      <c r="L29" s="49">
        <f>SUM(L30:L35)</f>
        <v>124113540.208</v>
      </c>
      <c r="M29" s="3"/>
      <c r="N29" s="150">
        <f>L29/L13</f>
        <v>6.4149999999999999E-2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876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248227080.41600001</v>
      </c>
      <c r="AN29" s="3"/>
      <c r="AO29" s="313">
        <f>AM29/AM13</f>
        <v>6.4149999999999999E-2</v>
      </c>
    </row>
    <row r="30" spans="1:46" s="108" customFormat="1" ht="15" customHeight="1" outlineLevel="1" x14ac:dyDescent="0.2">
      <c r="A30" s="229"/>
      <c r="B30" s="262" t="s">
        <v>438</v>
      </c>
      <c r="C30" s="264">
        <f>C$13*2%</f>
        <v>0</v>
      </c>
      <c r="D30" s="79"/>
      <c r="E30" s="147"/>
      <c r="F30" s="264">
        <f>F$13*2%</f>
        <v>0</v>
      </c>
      <c r="G30" s="79"/>
      <c r="H30" s="147"/>
      <c r="I30" s="264">
        <f>I$13*2%</f>
        <v>38694790.399999999</v>
      </c>
      <c r="J30" s="79"/>
      <c r="K30" s="147"/>
      <c r="L30" s="264">
        <f>L$13*2%</f>
        <v>38694790.399999999</v>
      </c>
      <c r="M30" s="79"/>
      <c r="N30" s="147"/>
      <c r="O30" s="264">
        <f>O$13*2%</f>
        <v>0</v>
      </c>
      <c r="P30" s="79"/>
      <c r="Q30" s="147"/>
      <c r="R30" s="264">
        <f>R$13*2%</f>
        <v>0</v>
      </c>
      <c r="S30" s="79"/>
      <c r="T30" s="147"/>
      <c r="U30" s="264">
        <f>U$13*2%</f>
        <v>0</v>
      </c>
      <c r="V30" s="79"/>
      <c r="W30" s="147"/>
      <c r="X30" s="264">
        <f>X$13*2%</f>
        <v>0</v>
      </c>
      <c r="Y30" s="79"/>
      <c r="Z30" s="147"/>
      <c r="AA30" s="264">
        <f>AA$13*2%</f>
        <v>0</v>
      </c>
      <c r="AB30" s="79"/>
      <c r="AC30" s="147"/>
      <c r="AD30" s="264">
        <f>AD$13*2%</f>
        <v>0</v>
      </c>
      <c r="AE30" s="79"/>
      <c r="AF30" s="147"/>
      <c r="AG30" s="264">
        <f>AG$13*2%</f>
        <v>0</v>
      </c>
      <c r="AH30" s="79"/>
      <c r="AI30" s="147"/>
      <c r="AJ30" s="264">
        <f>AJ$13*2%</f>
        <v>0</v>
      </c>
      <c r="AK30" s="79"/>
      <c r="AL30" s="80"/>
      <c r="AM30" s="212">
        <f t="shared" si="0"/>
        <v>77389580.799999997</v>
      </c>
      <c r="AN30" s="79"/>
      <c r="AO30" s="314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439</v>
      </c>
      <c r="C31" s="265">
        <f>C$13*0.88%</f>
        <v>0</v>
      </c>
      <c r="D31" s="43"/>
      <c r="E31" s="118"/>
      <c r="F31" s="265">
        <f>F$13*0.88%</f>
        <v>0</v>
      </c>
      <c r="G31" s="43"/>
      <c r="H31" s="118"/>
      <c r="I31" s="265">
        <f>I$13*0.88%</f>
        <v>17025707.776000001</v>
      </c>
      <c r="J31" s="43"/>
      <c r="K31" s="118"/>
      <c r="L31" s="265">
        <f>L$13*0.88%</f>
        <v>17025707.776000001</v>
      </c>
      <c r="M31" s="43"/>
      <c r="N31" s="118"/>
      <c r="O31" s="265">
        <f>O$13*0.88%</f>
        <v>0</v>
      </c>
      <c r="P31" s="43"/>
      <c r="Q31" s="118"/>
      <c r="R31" s="265">
        <f>R$13*0.88%</f>
        <v>0</v>
      </c>
      <c r="S31" s="43"/>
      <c r="T31" s="118"/>
      <c r="U31" s="265">
        <f>U$13*0.88%</f>
        <v>0</v>
      </c>
      <c r="V31" s="43"/>
      <c r="W31" s="118"/>
      <c r="X31" s="265">
        <f>X$13*0.88%</f>
        <v>0</v>
      </c>
      <c r="Y31" s="43"/>
      <c r="Z31" s="118"/>
      <c r="AA31" s="265">
        <f>AA$13*0.88%</f>
        <v>0</v>
      </c>
      <c r="AB31" s="43"/>
      <c r="AC31" s="118"/>
      <c r="AD31" s="265">
        <f>AD$13*0.88%</f>
        <v>0</v>
      </c>
      <c r="AE31" s="43"/>
      <c r="AF31" s="118"/>
      <c r="AG31" s="265">
        <f>AG$13*0.88%</f>
        <v>0</v>
      </c>
      <c r="AH31" s="43"/>
      <c r="AI31" s="118"/>
      <c r="AJ31" s="265">
        <f>AJ$13*0.88%</f>
        <v>0</v>
      </c>
      <c r="AK31" s="43"/>
      <c r="AL31" s="57"/>
      <c r="AM31" s="205">
        <f t="shared" si="0"/>
        <v>34051415.552000001</v>
      </c>
      <c r="AN31" s="43"/>
      <c r="AO31" s="309"/>
    </row>
    <row r="32" spans="1:46" ht="15" customHeight="1" outlineLevel="1" x14ac:dyDescent="0.2">
      <c r="B32" s="105" t="s">
        <v>440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19347395.199999999</v>
      </c>
      <c r="J32" s="43"/>
      <c r="K32" s="118"/>
      <c r="L32" s="265">
        <f>L$13*1%</f>
        <v>19347395.199999999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57"/>
      <c r="AM32" s="205">
        <f t="shared" si="0"/>
        <v>38694790.399999999</v>
      </c>
      <c r="AN32" s="43"/>
      <c r="AO32" s="309"/>
    </row>
    <row r="33" spans="1:41" ht="15" customHeight="1" outlineLevel="1" x14ac:dyDescent="0.2">
      <c r="B33" s="105" t="s">
        <v>44</v>
      </c>
      <c r="C33" s="205">
        <f>C$13*0.5%</f>
        <v>0</v>
      </c>
      <c r="D33" s="43"/>
      <c r="E33" s="118"/>
      <c r="F33" s="205">
        <f>F$13*0.5%</f>
        <v>0</v>
      </c>
      <c r="G33" s="43"/>
      <c r="H33" s="118"/>
      <c r="I33" s="205">
        <f>I$13*0.5%</f>
        <v>9673697.5999999996</v>
      </c>
      <c r="J33" s="43"/>
      <c r="K33" s="118"/>
      <c r="L33" s="205">
        <f>L$13*0.5%</f>
        <v>9673697.5999999996</v>
      </c>
      <c r="M33" s="43"/>
      <c r="N33" s="118"/>
      <c r="O33" s="205">
        <f>O$13*0.5%</f>
        <v>0</v>
      </c>
      <c r="P33" s="43"/>
      <c r="Q33" s="118"/>
      <c r="R33" s="205">
        <f>R$13*0.5%</f>
        <v>0</v>
      </c>
      <c r="S33" s="43"/>
      <c r="T33" s="118"/>
      <c r="U33" s="205">
        <f>U$13*0.5%</f>
        <v>0</v>
      </c>
      <c r="V33" s="43"/>
      <c r="W33" s="118"/>
      <c r="X33" s="205">
        <f>X$13*0.5%</f>
        <v>0</v>
      </c>
      <c r="Y33" s="43"/>
      <c r="Z33" s="118"/>
      <c r="AA33" s="205">
        <f>AA$13*0.5%</f>
        <v>0</v>
      </c>
      <c r="AB33" s="43"/>
      <c r="AC33" s="118"/>
      <c r="AD33" s="205">
        <f>AD$13*0.5%</f>
        <v>0</v>
      </c>
      <c r="AE33" s="43"/>
      <c r="AF33" s="118"/>
      <c r="AG33" s="205">
        <f>AG$13*0.5%</f>
        <v>0</v>
      </c>
      <c r="AH33" s="43"/>
      <c r="AI33" s="118"/>
      <c r="AJ33" s="205">
        <f>AJ$13*0.5%</f>
        <v>0</v>
      </c>
      <c r="AK33" s="43"/>
      <c r="AL33" s="57"/>
      <c r="AM33" s="205">
        <f t="shared" si="0"/>
        <v>19347395.199999999</v>
      </c>
      <c r="AN33" s="43"/>
      <c r="AO33" s="309"/>
    </row>
    <row r="34" spans="1:41" s="108" customFormat="1" ht="15" customHeight="1" outlineLevel="1" x14ac:dyDescent="0.2">
      <c r="A34" s="229"/>
      <c r="B34" s="105" t="s">
        <v>41</v>
      </c>
      <c r="C34" s="205">
        <f>(C$13*3.5%)*1%</f>
        <v>0</v>
      </c>
      <c r="D34" s="43"/>
      <c r="E34" s="118"/>
      <c r="F34" s="205">
        <f>(F$13*3.5%)*1%</f>
        <v>0</v>
      </c>
      <c r="G34" s="43"/>
      <c r="H34" s="118"/>
      <c r="I34" s="205">
        <f>(I$13*3.5%)*1%</f>
        <v>677158.83200000005</v>
      </c>
      <c r="J34" s="43"/>
      <c r="K34" s="118"/>
      <c r="L34" s="205">
        <f>(L$13*3.5%)*1%</f>
        <v>677158.83200000005</v>
      </c>
      <c r="M34" s="43"/>
      <c r="N34" s="118"/>
      <c r="O34" s="205">
        <f>(O$13*3.5%)*1%</f>
        <v>0</v>
      </c>
      <c r="P34" s="43"/>
      <c r="Q34" s="118"/>
      <c r="R34" s="205">
        <f>(R$13*3.5%)*1%</f>
        <v>0</v>
      </c>
      <c r="S34" s="43"/>
      <c r="T34" s="118"/>
      <c r="U34" s="205">
        <f>(U$13*3.5%)*1%</f>
        <v>0</v>
      </c>
      <c r="V34" s="43"/>
      <c r="W34" s="118"/>
      <c r="X34" s="205">
        <f>(X$13*3.5%)*1%</f>
        <v>0</v>
      </c>
      <c r="Y34" s="43"/>
      <c r="Z34" s="118"/>
      <c r="AA34" s="205">
        <f>(AA$13*3.5%)*1%</f>
        <v>0</v>
      </c>
      <c r="AB34" s="43"/>
      <c r="AC34" s="118"/>
      <c r="AD34" s="205">
        <f>(AD$13*3.5%)*1%</f>
        <v>0</v>
      </c>
      <c r="AE34" s="43"/>
      <c r="AF34" s="118"/>
      <c r="AG34" s="205">
        <f>(AG$13*3.5%)*1%</f>
        <v>0</v>
      </c>
      <c r="AH34" s="43"/>
      <c r="AI34" s="118"/>
      <c r="AJ34" s="205">
        <f>(AJ$13*3.5%)*1%</f>
        <v>0</v>
      </c>
      <c r="AK34" s="43"/>
      <c r="AL34" s="57"/>
      <c r="AM34" s="205">
        <f t="shared" si="0"/>
        <v>1354317.6640000001</v>
      </c>
      <c r="AN34" s="43"/>
      <c r="AO34" s="309"/>
    </row>
    <row r="35" spans="1:41" ht="15" customHeight="1" outlineLevel="1" x14ac:dyDescent="0.2">
      <c r="B35" s="104" t="s">
        <v>43</v>
      </c>
      <c r="C35" s="91">
        <f>C13*2%</f>
        <v>0</v>
      </c>
      <c r="D35" s="92"/>
      <c r="E35" s="338"/>
      <c r="F35" s="91">
        <f>F13*2%</f>
        <v>0</v>
      </c>
      <c r="G35" s="92"/>
      <c r="H35" s="338"/>
      <c r="I35" s="91">
        <f>I13*2%</f>
        <v>38694790.399999999</v>
      </c>
      <c r="J35" s="92"/>
      <c r="K35" s="338"/>
      <c r="L35" s="91">
        <f>L13*2%</f>
        <v>38694790.399999999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77389580.799999997</v>
      </c>
      <c r="AN35" s="92"/>
      <c r="AO35" s="327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>
        <f t="shared" si="0"/>
        <v>0</v>
      </c>
      <c r="AN36" s="43"/>
      <c r="AO36" s="309"/>
    </row>
    <row r="37" spans="1:41" ht="15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1810625979.7920001</v>
      </c>
      <c r="J42" s="488"/>
      <c r="K42" s="489"/>
      <c r="L42" s="487">
        <f>+L14+L23-L28</f>
        <v>1810625979.7920001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3621251959.5840001</v>
      </c>
      <c r="AN42" s="488"/>
      <c r="AO42" s="577"/>
    </row>
    <row r="43" spans="1:41" ht="15" customHeight="1" thickTop="1" thickBot="1" x14ac:dyDescent="0.25">
      <c r="C43" s="2"/>
      <c r="D43" s="2"/>
      <c r="E43" s="814" t="e">
        <f>(C46+C61)/(C13-C20)</f>
        <v>#DIV/0!</v>
      </c>
      <c r="F43" s="732"/>
      <c r="G43" s="732"/>
      <c r="H43" s="814" t="e">
        <f>(F46+F61)/(F13-F20)</f>
        <v>#DIV/0!</v>
      </c>
      <c r="I43" s="732"/>
      <c r="J43" s="732"/>
      <c r="K43" s="814">
        <f>(I46+I61)/(I13-I20)</f>
        <v>1</v>
      </c>
      <c r="L43" s="732"/>
      <c r="M43" s="732"/>
      <c r="N43" s="731">
        <f>(L46+L61)/(L13-L20)</f>
        <v>0.8571428571428571</v>
      </c>
      <c r="O43" s="732"/>
      <c r="P43" s="732"/>
      <c r="Q43" s="731" t="e">
        <f>(O46+O61)/(O13-O20)</f>
        <v>#DIV/0!</v>
      </c>
      <c r="R43" s="732"/>
      <c r="S43" s="732"/>
      <c r="T43" s="731" t="e">
        <f>(R46+R61)/(R13-R20)</f>
        <v>#DIV/0!</v>
      </c>
      <c r="U43" s="732"/>
      <c r="V43" s="732"/>
      <c r="W43" s="731" t="e">
        <f>(U46+U61)/U13</f>
        <v>#DIV/0!</v>
      </c>
      <c r="X43" s="732"/>
      <c r="Y43" s="732"/>
      <c r="Z43" s="731" t="e">
        <f>(X46+X61)/X13</f>
        <v>#DIV/0!</v>
      </c>
      <c r="AA43" s="732"/>
      <c r="AB43" s="732"/>
      <c r="AC43" s="731" t="e">
        <f>(AA46+AA61)/AA13</f>
        <v>#DIV/0!</v>
      </c>
      <c r="AD43" s="732"/>
      <c r="AE43" s="732"/>
      <c r="AF43" s="731" t="e">
        <f>(AD46+AD61)/AD13</f>
        <v>#DIV/0!</v>
      </c>
      <c r="AG43" s="732"/>
      <c r="AH43" s="732"/>
      <c r="AI43" s="731" t="e">
        <f>(AG46+AG61)/(AG13-AG20)</f>
        <v>#DIV/0!</v>
      </c>
      <c r="AJ43" s="732"/>
      <c r="AK43" s="732"/>
      <c r="AL43" s="731" t="e">
        <f>(AJ46+AJ61)/(AJ13-AJ20)</f>
        <v>#DIV/0!</v>
      </c>
      <c r="AM43" s="733"/>
      <c r="AN43" s="732"/>
      <c r="AO43" s="941">
        <f>(AM46+AM61)/(AM13-AM20)</f>
        <v>1.6884361689105165</v>
      </c>
    </row>
    <row r="44" spans="1:41" ht="15" customHeight="1" thickTop="1" x14ac:dyDescent="0.2">
      <c r="B44" s="526" t="s">
        <v>46</v>
      </c>
      <c r="C44" s="490">
        <f>+C45+C60+C78</f>
        <v>743019424.26999998</v>
      </c>
      <c r="D44" s="491"/>
      <c r="E44" s="492" t="e">
        <f>C44/C$13</f>
        <v>#DIV/0!</v>
      </c>
      <c r="F44" s="490">
        <f>+F45+F60+F78</f>
        <v>2591269007.6149998</v>
      </c>
      <c r="G44" s="491"/>
      <c r="H44" s="492" t="e">
        <f>F44/F$13</f>
        <v>#DIV/0!</v>
      </c>
      <c r="I44" s="490">
        <f>+I45+I60+I78</f>
        <v>6036387302.3999996</v>
      </c>
      <c r="J44" s="491"/>
      <c r="K44" s="492">
        <f>I44/I$13</f>
        <v>3.1199999999999997</v>
      </c>
      <c r="L44" s="490">
        <f>+L45+L60+L78</f>
        <v>5056925420.3999996</v>
      </c>
      <c r="M44" s="491"/>
      <c r="N44" s="492">
        <f>L44/L$13</f>
        <v>2.61375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67" si="1">C44+F44+I44+L44+O44+R44+U44+X44+AA44+AD44+AG44+AJ44</f>
        <v>14427601154.684999</v>
      </c>
      <c r="AN44" s="491"/>
      <c r="AO44" s="580">
        <f>AM44/AM$13</f>
        <v>3.7285642344983474</v>
      </c>
    </row>
    <row r="45" spans="1:41" ht="15" customHeight="1" x14ac:dyDescent="0.2">
      <c r="B45" s="16" t="s">
        <v>47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725527320</v>
      </c>
      <c r="M45" s="3"/>
      <c r="N45" s="150">
        <f>L45/L13</f>
        <v>0.375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760"/>
      <c r="AC45" s="761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1"/>
        <v>1869005493.22</v>
      </c>
      <c r="AN45" s="3"/>
      <c r="AO45" s="313"/>
    </row>
    <row r="46" spans="1:41" ht="15" customHeight="1" x14ac:dyDescent="0.2">
      <c r="B46" s="36" t="s">
        <v>48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241842440</v>
      </c>
      <c r="J46" s="67"/>
      <c r="K46" s="149"/>
      <c r="L46" s="37">
        <f>SUM(L47:L56)</f>
        <v>241842440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901635733.22000003</v>
      </c>
      <c r="AN46" s="67"/>
      <c r="AO46" s="318"/>
    </row>
    <row r="47" spans="1:41" ht="15" customHeight="1" x14ac:dyDescent="0.2">
      <c r="A47" s="226" t="s">
        <v>56</v>
      </c>
      <c r="B47" s="97" t="s">
        <v>441</v>
      </c>
      <c r="C47" s="76">
        <f>'[1]Hoja 1'!$I$41</f>
        <v>67019940.729999997</v>
      </c>
      <c r="D47" s="42" t="e">
        <f>C47/C5</f>
        <v>#DIV/0!</v>
      </c>
      <c r="E47" s="140" t="e">
        <f>C47/C16</f>
        <v>#DIV/0!</v>
      </c>
      <c r="F47" s="76">
        <f>'[2]Hoja 1'!$I$50</f>
        <v>350930912.49000001</v>
      </c>
      <c r="G47" s="42" t="e">
        <f>F47/F5</f>
        <v>#DIV/0!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>
        <v>241842440</v>
      </c>
      <c r="M47" s="42">
        <f>L47/L5</f>
        <v>1</v>
      </c>
      <c r="N47" s="140">
        <f>L47/L16</f>
        <v>1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901635733.22000003</v>
      </c>
      <c r="AN47" s="42">
        <f>AM47/AM5</f>
        <v>1.8640974123896534</v>
      </c>
      <c r="AO47" s="315">
        <f>AM47/AM16</f>
        <v>1.8640974123896534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AM48/AM6</f>
        <v>0</v>
      </c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>
        <f t="shared" si="1"/>
        <v>0</v>
      </c>
      <c r="AN54" s="43"/>
      <c r="AO54" s="309"/>
    </row>
    <row r="55" spans="1:41" ht="15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>
        <f t="shared" si="1"/>
        <v>0</v>
      </c>
      <c r="AN55" s="43"/>
      <c r="AO55" s="309"/>
    </row>
    <row r="56" spans="1:41" ht="15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1"/>
        <v>0</v>
      </c>
      <c r="AN56" s="42"/>
      <c r="AO56" s="315"/>
    </row>
    <row r="57" spans="1:41" ht="15" customHeight="1" x14ac:dyDescent="0.2">
      <c r="B57" s="36" t="s">
        <v>51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483684880</v>
      </c>
      <c r="J57" s="47">
        <f>I57/(I5+I6)</f>
        <v>1</v>
      </c>
      <c r="K57" s="152">
        <f>I57/I17</f>
        <v>2</v>
      </c>
      <c r="L57" s="46">
        <f>SUM(L58:L59)</f>
        <v>483684880</v>
      </c>
      <c r="M57" s="67">
        <f>L57/(L5+L6)</f>
        <v>1</v>
      </c>
      <c r="N57" s="149">
        <f>L57/L17</f>
        <v>2</v>
      </c>
      <c r="O57" s="46">
        <f>SUM(O58:O59)</f>
        <v>0</v>
      </c>
      <c r="P57" s="47" t="e">
        <f>O57/(O5+O6)</f>
        <v>#DIV/0!</v>
      </c>
      <c r="Q57" s="152" t="e">
        <f>O57/O17</f>
        <v>#DIV/0!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6.2445677971537293E-2</v>
      </c>
      <c r="AA57" s="46">
        <f>SUM(AA58:AA59)</f>
        <v>0</v>
      </c>
      <c r="AB57" s="47" t="e">
        <f>AA57/(AA5+AA6)</f>
        <v>#DIV/0!</v>
      </c>
      <c r="AC57" s="152">
        <v>6.2445677971537293E-2</v>
      </c>
      <c r="AD57" s="46">
        <f>SUM(AD58:AD59)</f>
        <v>0</v>
      </c>
      <c r="AE57" s="47" t="e">
        <f>AD57/(AD5+AD6)</f>
        <v>#DIV/0!</v>
      </c>
      <c r="AF57" s="152">
        <v>6.2445677971537293E-2</v>
      </c>
      <c r="AG57" s="46">
        <f>SUM(AG58:AG59)</f>
        <v>0</v>
      </c>
      <c r="AH57" s="47" t="e">
        <f>AG57/(AG5+AG6)</f>
        <v>#DIV/0!</v>
      </c>
      <c r="AI57" s="152">
        <v>6.2445677971537293E-2</v>
      </c>
      <c r="AJ57" s="46">
        <f>SUM(AJ58:AJ59)</f>
        <v>0</v>
      </c>
      <c r="AK57" s="67"/>
      <c r="AL57" s="68"/>
      <c r="AM57" s="207">
        <f t="shared" si="1"/>
        <v>967369760</v>
      </c>
      <c r="AN57" s="47">
        <f>AM57/(AM5+AM6)</f>
        <v>1</v>
      </c>
      <c r="AO57" s="311">
        <v>6.2445677971537293E-2</v>
      </c>
    </row>
    <row r="58" spans="1:41" ht="15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>
        <v>241842440</v>
      </c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1"/>
        <v>483684880</v>
      </c>
      <c r="AN58" s="305"/>
      <c r="AO58" s="414"/>
    </row>
    <row r="59" spans="1:41" s="108" customFormat="1" ht="15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>
        <v>241842440</v>
      </c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1"/>
        <v>483684880</v>
      </c>
      <c r="AN59" s="84"/>
      <c r="AO59" s="416"/>
    </row>
    <row r="60" spans="1:41" ht="15" customHeight="1" x14ac:dyDescent="0.2">
      <c r="B60" s="16" t="s">
        <v>54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4585332662.3999996</v>
      </c>
      <c r="J60" s="3"/>
      <c r="K60" s="150"/>
      <c r="L60" s="49">
        <f>+L61+L72+L75+L76+L77</f>
        <v>3847713220.3999996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760"/>
      <c r="AC60" s="761"/>
      <c r="AD60" s="90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10819492899.465</v>
      </c>
      <c r="AN60" s="3"/>
      <c r="AO60" s="313"/>
    </row>
    <row r="61" spans="1:41" ht="15" customHeight="1" x14ac:dyDescent="0.2">
      <c r="B61" s="36" t="s">
        <v>55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1451054640</v>
      </c>
      <c r="J61" s="67"/>
      <c r="K61" s="149"/>
      <c r="L61" s="37">
        <f>SUM(L62:L71)</f>
        <v>1209212200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1"/>
        <v>4815061587.0100002</v>
      </c>
      <c r="AN61" s="67"/>
      <c r="AO61" s="318"/>
    </row>
    <row r="62" spans="1:41" ht="15" customHeight="1" x14ac:dyDescent="0.2">
      <c r="A62" s="226" t="s">
        <v>56</v>
      </c>
      <c r="B62" s="1025" t="s">
        <v>442</v>
      </c>
      <c r="C62" s="78">
        <f>'[1]Hoja 1'!$I$40</f>
        <v>246764712.54999998</v>
      </c>
      <c r="D62" s="79" t="e">
        <f>C62/C6</f>
        <v>#DIV/0!</v>
      </c>
      <c r="E62" s="147" t="e">
        <f>C62/C17</f>
        <v>#DIV/0!</v>
      </c>
      <c r="F62" s="78">
        <f>'[2]Hoja 1'!$I$49-'[2]Hoja 1'!$E$45</f>
        <v>911135674.52999997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>
        <v>241842440</v>
      </c>
      <c r="M62" s="79">
        <f>L62/L6</f>
        <v>1</v>
      </c>
      <c r="N62" s="147">
        <f>L62/L17</f>
        <v>1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2">
        <f t="shared" si="1"/>
        <v>1641585267.0799999</v>
      </c>
      <c r="AN62" s="79">
        <f>AM62/AM6</f>
        <v>3.393914788239814</v>
      </c>
      <c r="AO62" s="314">
        <f>AM62/AM17</f>
        <v>3.393914788239814</v>
      </c>
    </row>
    <row r="63" spans="1:41" ht="15" customHeight="1" x14ac:dyDescent="0.2">
      <c r="A63" s="226" t="s">
        <v>56</v>
      </c>
      <c r="B63" s="1026" t="s">
        <v>443</v>
      </c>
      <c r="C63" s="25">
        <f>'[1]Hoja 1'!$I$42</f>
        <v>98305218.700000003</v>
      </c>
      <c r="D63" s="43" t="e">
        <f>C63/C7</f>
        <v>#DIV/0!</v>
      </c>
      <c r="E63" s="118" t="e">
        <f>C63/C18</f>
        <v>#DIV/0!</v>
      </c>
      <c r="F63" s="25">
        <f>'[2]Hoja 1'!$I$51</f>
        <v>350443962.72000003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>
        <f>L63/L7</f>
        <v>0</v>
      </c>
      <c r="N63" s="118">
        <f>L63/L18</f>
        <v>0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5">
        <f t="shared" si="1"/>
        <v>690591621.42000008</v>
      </c>
      <c r="AN63" s="43">
        <f>AM63/AM7</f>
        <v>1.4277717786423261</v>
      </c>
      <c r="AO63" s="309">
        <f>AM63/AM18</f>
        <v>1.4277717786423261</v>
      </c>
    </row>
    <row r="64" spans="1:41" ht="15" customHeight="1" x14ac:dyDescent="0.2">
      <c r="B64" s="25" t="s">
        <v>444</v>
      </c>
      <c r="C64" s="25">
        <f>'[1]Hoja 1'!$I$43</f>
        <v>81766828.189999998</v>
      </c>
      <c r="D64" s="43" t="e">
        <f>C64/C8</f>
        <v>#DIV/0!</v>
      </c>
      <c r="E64" s="118" t="e">
        <f>C64/C19</f>
        <v>#DIV/0!</v>
      </c>
      <c r="F64" s="25">
        <f>'[2]Hoja 1'!$I$52</f>
        <v>466378350.31999999</v>
      </c>
      <c r="G64" s="43" t="e">
        <f>F64/F8</f>
        <v>#DIV/0!</v>
      </c>
      <c r="H64" s="118" t="e">
        <f>F64/F19</f>
        <v>#DIV/0!</v>
      </c>
      <c r="I64" s="25">
        <v>241842440</v>
      </c>
      <c r="J64" s="43">
        <f>I64/I8</f>
        <v>1</v>
      </c>
      <c r="K64" s="118">
        <f>I64/I19</f>
        <v>1</v>
      </c>
      <c r="L64" s="25">
        <v>241842440</v>
      </c>
      <c r="M64" s="43">
        <f>L64/L8</f>
        <v>1</v>
      </c>
      <c r="N64" s="118">
        <f>L64/L19</f>
        <v>1</v>
      </c>
      <c r="O64" s="25"/>
      <c r="P64" s="43" t="e">
        <f>O64/O8</f>
        <v>#DIV/0!</v>
      </c>
      <c r="Q64" s="118" t="e">
        <f>O64/O19</f>
        <v>#DIV/0!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5">
        <f t="shared" si="1"/>
        <v>1031830058.51</v>
      </c>
      <c r="AN64" s="43">
        <f>AM64/AM8</f>
        <v>2.133269203101821</v>
      </c>
      <c r="AO64" s="118">
        <f>AM64/AM19</f>
        <v>2.133269203101821</v>
      </c>
    </row>
    <row r="65" spans="1:42" ht="15" customHeight="1" x14ac:dyDescent="0.2">
      <c r="B65" s="25" t="s">
        <v>399</v>
      </c>
      <c r="C65" s="25"/>
      <c r="D65" s="43"/>
      <c r="E65" s="118"/>
      <c r="F65" s="25"/>
      <c r="G65" s="43"/>
      <c r="H65" s="118"/>
      <c r="I65" s="25">
        <v>241842440</v>
      </c>
      <c r="J65" s="43"/>
      <c r="K65" s="118"/>
      <c r="L65" s="25">
        <v>241842440</v>
      </c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483684880</v>
      </c>
      <c r="AN65" s="43"/>
      <c r="AO65" s="309"/>
    </row>
    <row r="66" spans="1:42" ht="15" customHeight="1" x14ac:dyDescent="0.2">
      <c r="B66" s="25" t="s">
        <v>445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>
        <v>241842440</v>
      </c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483684880</v>
      </c>
      <c r="AN66" s="43"/>
      <c r="AO66" s="309"/>
    </row>
    <row r="67" spans="1:42" ht="15" customHeight="1" x14ac:dyDescent="0.2">
      <c r="B67" s="25" t="s">
        <v>61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>
        <v>241842440</v>
      </c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1"/>
        <v>483684880</v>
      </c>
      <c r="AN67" s="43"/>
      <c r="AO67" s="309"/>
    </row>
    <row r="68" spans="1:42" ht="15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49"/>
      <c r="AB68" s="805"/>
      <c r="AC68" s="806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49"/>
      <c r="AB69" s="805"/>
      <c r="AC69" s="806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870"/>
      <c r="AB70" s="874"/>
      <c r="AC70" s="875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71"/>
      <c r="AB71" s="872"/>
      <c r="AC71" s="873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1:42" ht="15" customHeight="1" x14ac:dyDescent="0.2">
      <c r="B72" s="36" t="s">
        <v>62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2408750702.4000001</v>
      </c>
      <c r="J72" s="47">
        <f>I72/I12</f>
        <v>1.992</v>
      </c>
      <c r="K72" s="152">
        <f>I72/I13</f>
        <v>1.2450000000000001</v>
      </c>
      <c r="L72" s="46">
        <f>SUM(L73:L74)</f>
        <v>2154816140.3999996</v>
      </c>
      <c r="M72" s="47">
        <f>L72/L12</f>
        <v>1.7819999999999996</v>
      </c>
      <c r="N72" s="152">
        <f>L72/L13</f>
        <v>1.1137499999999998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4662710897.4549999</v>
      </c>
      <c r="AN72" s="47">
        <f>AM72/AM12</f>
        <v>1.9279953086211832</v>
      </c>
      <c r="AO72" s="152">
        <f>AM72/AM13</f>
        <v>1.2049970678882396</v>
      </c>
    </row>
    <row r="73" spans="1:42" ht="15" customHeight="1" x14ac:dyDescent="0.2">
      <c r="B73" s="411" t="s">
        <v>63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2166908262.4000001</v>
      </c>
      <c r="J73" s="79"/>
      <c r="K73" s="147"/>
      <c r="L73" s="78">
        <f>'GASTOS VEHICULOS'!F25*'%DIST'!H20</f>
        <v>1912973700.3999999</v>
      </c>
      <c r="M73" s="79"/>
      <c r="N73" s="147"/>
      <c r="O73" s="78">
        <f>'GASTOS VEHICULOS'!G25*'%DIST'!J20</f>
        <v>0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5"/>
      <c r="AL73" s="86"/>
      <c r="AM73" s="413">
        <f t="shared" si="2"/>
        <v>4152435295.4549999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273">
        <f>'[6]Hoja 1'!$C$592+'[30]Hoja 1'!$D$129</f>
        <v>3131069</v>
      </c>
      <c r="D74" s="134"/>
      <c r="E74" s="428"/>
      <c r="F74" s="273">
        <f>'[33]Hoja 1'!$C$203</f>
        <v>23459653</v>
      </c>
      <c r="G74" s="134"/>
      <c r="H74" s="428"/>
      <c r="I74" s="273">
        <v>241842440</v>
      </c>
      <c r="J74" s="134"/>
      <c r="K74" s="428"/>
      <c r="L74" s="273">
        <v>241842440</v>
      </c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510275602</v>
      </c>
      <c r="AN74" s="84"/>
      <c r="AO74" s="416"/>
    </row>
    <row r="75" spans="1:42" ht="15" customHeight="1" x14ac:dyDescent="0.2">
      <c r="A75" s="226" t="s">
        <v>446</v>
      </c>
      <c r="B75" s="36" t="s">
        <v>66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>
        <v>241842440</v>
      </c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483684880</v>
      </c>
      <c r="AN75" s="67">
        <f>AM75/AM12</f>
        <v>0.2</v>
      </c>
      <c r="AO75" s="318"/>
    </row>
    <row r="76" spans="1:42" ht="15" customHeight="1" x14ac:dyDescent="0.2">
      <c r="A76" s="226" t="s">
        <v>67</v>
      </c>
      <c r="B76" s="36" t="s">
        <v>68</v>
      </c>
      <c r="C76" s="37">
        <f>'[6]Hoja 1'!$C$558</f>
        <v>81149664</v>
      </c>
      <c r="D76" s="67"/>
      <c r="E76" s="149"/>
      <c r="F76" s="37">
        <f>'[4]Hoja 1'!$C$521</f>
        <v>18636274</v>
      </c>
      <c r="G76" s="67"/>
      <c r="H76" s="149"/>
      <c r="I76" s="37">
        <v>241842440</v>
      </c>
      <c r="J76" s="67"/>
      <c r="K76" s="149"/>
      <c r="L76" s="37">
        <v>241842440</v>
      </c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583470818</v>
      </c>
      <c r="AN76" s="67">
        <f>AM76/(AM6+AM7)</f>
        <v>0.60315180619249453</v>
      </c>
      <c r="AO76" s="320">
        <f>AM76/$AM$13</f>
        <v>0.15078795154812363</v>
      </c>
    </row>
    <row r="77" spans="1:42" s="108" customFormat="1" ht="15" customHeight="1" x14ac:dyDescent="0.2">
      <c r="A77" s="229" t="s">
        <v>69</v>
      </c>
      <c r="B77" s="66" t="s">
        <v>70</v>
      </c>
      <c r="C77" s="28">
        <f>'[30]Hoja 1'!$D$131</f>
        <v>24140678</v>
      </c>
      <c r="D77" s="45"/>
      <c r="E77" s="340"/>
      <c r="F77" s="28">
        <f>'[33]Hoja 1'!$C$205</f>
        <v>8581599</v>
      </c>
      <c r="G77" s="45"/>
      <c r="H77" s="340"/>
      <c r="I77" s="28">
        <v>241842440</v>
      </c>
      <c r="J77" s="45"/>
      <c r="K77" s="340"/>
      <c r="L77" s="28"/>
      <c r="M77" s="45"/>
      <c r="N77" s="340"/>
      <c r="O77" s="28"/>
      <c r="P77" s="45"/>
      <c r="Q77" s="340"/>
      <c r="R77" s="28"/>
      <c r="S77" s="45"/>
      <c r="T77" s="340"/>
      <c r="U77" s="28"/>
      <c r="V77" s="45"/>
      <c r="W77" s="340"/>
      <c r="X77" s="28"/>
      <c r="Y77" s="45"/>
      <c r="Z77" s="340"/>
      <c r="AA77" s="28"/>
      <c r="AB77" s="45"/>
      <c r="AC77" s="340"/>
      <c r="AD77" s="28"/>
      <c r="AE77" s="45"/>
      <c r="AF77" s="340"/>
      <c r="AG77" s="28"/>
      <c r="AH77" s="45"/>
      <c r="AI77" s="340"/>
      <c r="AJ77" s="28"/>
      <c r="AK77" s="45"/>
      <c r="AL77" s="340"/>
      <c r="AM77" s="26">
        <f t="shared" si="2"/>
        <v>274564717</v>
      </c>
      <c r="AN77" s="42">
        <f>AM77/(AM6+AM7)</f>
        <v>0.28382602842578003</v>
      </c>
      <c r="AO77" s="320">
        <f>AM77/$AM$13</f>
        <v>7.0956507106445008E-2</v>
      </c>
      <c r="AP77" s="1024"/>
    </row>
    <row r="78" spans="1:42" ht="15" customHeight="1" x14ac:dyDescent="0.2">
      <c r="B78" s="16" t="s">
        <v>71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0.375</v>
      </c>
      <c r="L78" s="49">
        <f>SUM(L79:L81)</f>
        <v>483684880</v>
      </c>
      <c r="M78" s="3"/>
      <c r="N78" s="150">
        <f>L78/(L$13)</f>
        <v>0.25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1739102762</v>
      </c>
      <c r="AN78" s="3">
        <f>AM78/AM$12</f>
        <v>0.71910569625413967</v>
      </c>
      <c r="AO78" s="321">
        <f>AM78/(AM$13)</f>
        <v>0.44944106015883728</v>
      </c>
    </row>
    <row r="79" spans="1:42" s="108" customFormat="1" ht="15" customHeight="1" x14ac:dyDescent="0.2">
      <c r="A79" s="229"/>
      <c r="B79" s="39" t="s">
        <v>73</v>
      </c>
      <c r="C79" s="726">
        <f>'[38]Hoja 1'!$E$13+'[39]Hoja 1'!$E$14</f>
        <v>91448308</v>
      </c>
      <c r="D79" s="267"/>
      <c r="E79" s="306"/>
      <c r="F79" s="726">
        <f>'[43]Hoja 1'!$I$20-25458943+'[51]Hoja 1'!$C$27</f>
        <v>348301928</v>
      </c>
      <c r="G79" s="69"/>
      <c r="H79" s="306"/>
      <c r="I79" s="726">
        <v>241842440</v>
      </c>
      <c r="J79" s="69"/>
      <c r="K79" s="306"/>
      <c r="L79" s="726"/>
      <c r="M79" s="69"/>
      <c r="N79" s="306"/>
      <c r="O79" s="726"/>
      <c r="P79" s="69"/>
      <c r="Q79" s="306"/>
      <c r="R79" s="726"/>
      <c r="S79" s="69"/>
      <c r="T79" s="306"/>
      <c r="U79" s="726"/>
      <c r="V79" s="69"/>
      <c r="W79" s="306"/>
      <c r="X79" s="726"/>
      <c r="Y79" s="69"/>
      <c r="Z79" s="306"/>
      <c r="AA79" s="726"/>
      <c r="AB79" s="69"/>
      <c r="AC79" s="306"/>
      <c r="AD79" s="726"/>
      <c r="AE79" s="69"/>
      <c r="AF79" s="306"/>
      <c r="AG79" s="726"/>
      <c r="AH79" s="69"/>
      <c r="AI79" s="306"/>
      <c r="AJ79" s="894"/>
      <c r="AK79" s="69"/>
      <c r="AL79" s="70"/>
      <c r="AM79" s="729">
        <f t="shared" si="2"/>
        <v>681592676</v>
      </c>
      <c r="AN79" s="730">
        <f>AM79/AM$12</f>
        <v>0.28183336059626257</v>
      </c>
      <c r="AO79" s="322">
        <f>AM79/AM13</f>
        <v>0.17614585037266411</v>
      </c>
      <c r="AP79" s="355"/>
    </row>
    <row r="80" spans="1:42" s="108" customFormat="1" ht="15" customHeight="1" x14ac:dyDescent="0.2">
      <c r="A80" s="229"/>
      <c r="B80" s="25" t="s">
        <v>74</v>
      </c>
      <c r="C80" s="25">
        <f>'[13]Hoja 1'!$D$25+'[13]Hoja 1'!$D$28+'[8]Hoja 1'!$D$24</f>
        <v>35041052</v>
      </c>
      <c r="D80" s="272"/>
      <c r="E80" s="118"/>
      <c r="F80" s="25">
        <f>'[14]Hoja 1'!$D$30+'[14]Hoja 1'!$D$31+'[43]Hoja 1'!$D$19</f>
        <v>55099274</v>
      </c>
      <c r="G80" s="43"/>
      <c r="H80" s="118"/>
      <c r="I80" s="25">
        <v>241842440</v>
      </c>
      <c r="J80" s="43"/>
      <c r="K80" s="118"/>
      <c r="L80" s="25">
        <v>241842440</v>
      </c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57"/>
      <c r="AM80" s="205">
        <f t="shared" si="2"/>
        <v>573825206</v>
      </c>
      <c r="AN80" s="43"/>
      <c r="AO80" s="309">
        <f>AM80/AM13</f>
        <v>0.14829520978617319</v>
      </c>
    </row>
    <row r="81" spans="1:41" ht="15" customHeight="1" thickBot="1" x14ac:dyDescent="0.25">
      <c r="B81" s="98" t="s">
        <v>75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>
        <v>241842440</v>
      </c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483684880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>
        <v>272352504.49000001</v>
      </c>
      <c r="S82" s="2"/>
      <c r="T82" s="244"/>
      <c r="U82" s="2">
        <v>250</v>
      </c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41" ht="15" customHeight="1" thickTop="1" x14ac:dyDescent="0.2">
      <c r="B83" s="526" t="s">
        <v>76</v>
      </c>
      <c r="C83" s="490">
        <f>+C84+C89+C92+C96+C99+C109+C114+C120+C123+C127</f>
        <v>271994722.48787022</v>
      </c>
      <c r="D83" s="491"/>
      <c r="E83" s="492" t="e">
        <f>C83/(C$13)</f>
        <v>#DIV/0!</v>
      </c>
      <c r="F83" s="490">
        <f>+F84+F89+F92+F96+F99+F109+F114+F120+F123+F127</f>
        <v>238235124.0181511</v>
      </c>
      <c r="G83" s="491"/>
      <c r="H83" s="492" t="e">
        <f>F83/(F$13)</f>
        <v>#DIV/0!</v>
      </c>
      <c r="I83" s="490">
        <f>+I84+I89+I92+I96+I99+I109+I114+I120+I123+I127</f>
        <v>12575806880</v>
      </c>
      <c r="J83" s="491"/>
      <c r="K83" s="492">
        <f>I83/(I$13)</f>
        <v>6.5</v>
      </c>
      <c r="L83" s="490">
        <f>+L84+L89+L92+L96+L99+L109+L114+L120+L123+L127</f>
        <v>13543176640</v>
      </c>
      <c r="M83" s="491"/>
      <c r="N83" s="492">
        <f>L83/(L$13)</f>
        <v>7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41" ht="15" customHeight="1" x14ac:dyDescent="0.2">
      <c r="B84" s="16" t="s">
        <v>77</v>
      </c>
      <c r="C84" s="49">
        <f>SUM(C85:C88)</f>
        <v>42048594.557870179</v>
      </c>
      <c r="D84" s="3"/>
      <c r="E84" s="150" t="e">
        <f>C84/C13</f>
        <v>#DIV/0!</v>
      </c>
      <c r="F84" s="49">
        <f>SUM(F85:F88)</f>
        <v>147934922.52815109</v>
      </c>
      <c r="G84" s="3"/>
      <c r="H84" s="150" t="e">
        <f>F84/(F$13)</f>
        <v>#DIV/0!</v>
      </c>
      <c r="I84" s="49">
        <f>SUM(I85:I88)</f>
        <v>1934739520</v>
      </c>
      <c r="J84" s="3"/>
      <c r="K84" s="150">
        <f>I84/(I$13)</f>
        <v>1</v>
      </c>
      <c r="L84" s="49">
        <f>SUM(L85:L88)</f>
        <v>2902109280</v>
      </c>
      <c r="M84" s="3"/>
      <c r="N84" s="150">
        <f>L84/(L$13)</f>
        <v>1.5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 t="e">
        <f>U84/(U$13)</f>
        <v>#DIV/0!</v>
      </c>
      <c r="X84" s="49" t="e">
        <f>SUM(X85:X88)</f>
        <v>#DIV/0!</v>
      </c>
      <c r="Y84" s="3"/>
      <c r="Z84" s="150" t="e">
        <f>X84/(X$13)</f>
        <v>#DIV/0!</v>
      </c>
      <c r="AA84" s="49" t="e">
        <f>SUM(AA85:AA88)</f>
        <v>#DIV/0!</v>
      </c>
      <c r="AB84" s="3"/>
      <c r="AC84" s="150" t="e">
        <f>AA84/(AA$13)</f>
        <v>#DIV/0!</v>
      </c>
      <c r="AD84" s="49" t="e">
        <f>SUM(AD85:AD88)</f>
        <v>#DIV/0!</v>
      </c>
      <c r="AE84" s="3"/>
      <c r="AF84" s="150" t="e">
        <f>AD84/(AD$13)</f>
        <v>#DIV/0!</v>
      </c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/>
      <c r="AO84" s="321" t="e">
        <f>AM84/(AM$13)</f>
        <v>#DIV/0!</v>
      </c>
    </row>
    <row r="85" spans="1:41" ht="15" customHeight="1" x14ac:dyDescent="0.2">
      <c r="B85" s="39" t="s">
        <v>78</v>
      </c>
      <c r="C85" s="39">
        <f>'GASTOS OPERATIVOS'!C17*'%DIST'!C4</f>
        <v>32760594.557870179</v>
      </c>
      <c r="D85" s="69"/>
      <c r="E85" s="306"/>
      <c r="F85" s="39">
        <f>'GASTOS OPERATIVOS'!D17*'%DIST'!E4</f>
        <v>117432552.52815108</v>
      </c>
      <c r="G85" s="69"/>
      <c r="H85" s="306"/>
      <c r="I85" s="39">
        <f>'GASTOS OPERATIVOS'!E17*'%DIST'!G4</f>
        <v>1209212200</v>
      </c>
      <c r="J85" s="69"/>
      <c r="K85" s="306"/>
      <c r="L85" s="39">
        <f>'GASTOS OPERATIVOS'!F17*'%DIST'!I4</f>
        <v>2176581960</v>
      </c>
      <c r="M85" s="69"/>
      <c r="N85" s="306"/>
      <c r="O85" s="39" t="e">
        <f>'GASTOS OPERATIVOS'!G17*'%DIST'!K4</f>
        <v>#DIV/0!</v>
      </c>
      <c r="P85" s="69"/>
      <c r="Q85" s="306"/>
      <c r="R85" s="39" t="e">
        <f>'GASTOS OPERATIVOS'!H17*'%DIST'!M4</f>
        <v>#DIV/0!</v>
      </c>
      <c r="S85" s="69"/>
      <c r="T85" s="306"/>
      <c r="U85" s="39" t="e">
        <f>'GASTOS OPERATIVOS'!I17*'%DIST'!O4</f>
        <v>#DIV/0!</v>
      </c>
      <c r="V85" s="69"/>
      <c r="W85" s="306"/>
      <c r="X85" s="39" t="e">
        <f>'GASTOS OPERATIVOS'!J17*'%DIST'!Q4</f>
        <v>#DIV/0!</v>
      </c>
      <c r="Y85" s="69"/>
      <c r="Z85" s="306"/>
      <c r="AA85" s="39" t="e">
        <f>'GASTOS OPERATIVOS'!K17*'%DIST'!S4</f>
        <v>#DIV/0!</v>
      </c>
      <c r="AB85" s="69"/>
      <c r="AC85" s="306"/>
      <c r="AD85" s="39" t="e">
        <f>'GASTOS OPERATIVOS'!L17*'%DIST'!U4</f>
        <v>#DIV/0!</v>
      </c>
      <c r="AE85" s="69"/>
      <c r="AF85" s="306"/>
      <c r="AG85" s="39" t="e">
        <f>'GASTOS OPERATIVOS'!M17*'%DIST'!W4</f>
        <v>#DIV/0!</v>
      </c>
      <c r="AH85" s="69"/>
      <c r="AI85" s="306"/>
      <c r="AJ85" s="39" t="e">
        <f>'GASTOS OPERATIVOS'!N17*'%DIST'!Y4</f>
        <v>#DIV/0!</v>
      </c>
      <c r="AK85" s="69"/>
      <c r="AL85" s="70"/>
      <c r="AM85" s="209" t="e">
        <f t="shared" si="3"/>
        <v>#DIV/0!</v>
      </c>
      <c r="AN85" s="735"/>
      <c r="AO85" s="324" t="e">
        <f>AM85/(AM$13)</f>
        <v>#DIV/0!</v>
      </c>
    </row>
    <row r="86" spans="1:41" s="108" customFormat="1" ht="15" customHeight="1" x14ac:dyDescent="0.2">
      <c r="A86" s="229" t="s">
        <v>322</v>
      </c>
      <c r="B86" s="25" t="s">
        <v>79</v>
      </c>
      <c r="C86" s="25"/>
      <c r="D86" s="43"/>
      <c r="E86" s="118"/>
      <c r="F86" s="25">
        <f>'[33]Hoja 1'!$C$179</f>
        <v>25458943</v>
      </c>
      <c r="G86" s="272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81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509143823</v>
      </c>
      <c r="AN86" s="43"/>
      <c r="AO86" s="118">
        <f>AM86/(AM$13)</f>
        <v>0.13157942393196165</v>
      </c>
    </row>
    <row r="87" spans="1:41" s="108" customFormat="1" ht="15" customHeight="1" x14ac:dyDescent="0.2">
      <c r="A87" s="229" t="s">
        <v>80</v>
      </c>
      <c r="B87" s="97" t="s">
        <v>81</v>
      </c>
      <c r="C87" s="22">
        <f>'[30]Hoja 1'!$D$118</f>
        <v>9288000</v>
      </c>
      <c r="D87" s="42"/>
      <c r="E87" s="140"/>
      <c r="F87" s="25">
        <f>'[4]Hoja 1'!$C$553</f>
        <v>4926700</v>
      </c>
      <c r="G87" s="146"/>
      <c r="H87" s="140"/>
      <c r="I87" s="22">
        <v>241842440</v>
      </c>
      <c r="J87" s="42"/>
      <c r="K87" s="140"/>
      <c r="L87" s="25">
        <v>241842440</v>
      </c>
      <c r="M87" s="42"/>
      <c r="N87" s="140"/>
      <c r="O87" s="25"/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497899580</v>
      </c>
      <c r="AN87" s="42"/>
      <c r="AO87" s="315">
        <f>AM87/(AM$13)</f>
        <v>0.12867354360963279</v>
      </c>
    </row>
    <row r="88" spans="1:41" ht="15" customHeight="1" x14ac:dyDescent="0.2">
      <c r="A88" s="226" t="s">
        <v>82</v>
      </c>
      <c r="B88" s="206" t="s">
        <v>83</v>
      </c>
      <c r="C88" s="83"/>
      <c r="D88" s="84"/>
      <c r="E88" s="336"/>
      <c r="F88" s="83">
        <f>'[33]Hoja 1'!$C$153</f>
        <v>116727</v>
      </c>
      <c r="G88" s="420"/>
      <c r="H88" s="336"/>
      <c r="I88" s="83">
        <v>241842440</v>
      </c>
      <c r="J88" s="84"/>
      <c r="K88" s="336"/>
      <c r="L88" s="83">
        <v>241842440</v>
      </c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483801607</v>
      </c>
      <c r="AN88" s="84"/>
      <c r="AO88" s="310"/>
    </row>
    <row r="89" spans="1:41" ht="15" customHeight="1" x14ac:dyDescent="0.2">
      <c r="B89" s="16" t="s">
        <v>84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0.25</v>
      </c>
      <c r="L89" s="49">
        <f>SUM(L90:L91)</f>
        <v>483684880</v>
      </c>
      <c r="M89" s="3"/>
      <c r="N89" s="150">
        <f>L89/(L$13)</f>
        <v>0.25</v>
      </c>
      <c r="O89" s="49">
        <f>SUM(O90:O91)</f>
        <v>0</v>
      </c>
      <c r="P89" s="3"/>
      <c r="Q89" s="150"/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968269760</v>
      </c>
      <c r="AN89" s="3"/>
      <c r="AO89" s="321">
        <f>AM89/(AM$13)</f>
        <v>0.25023258944956062</v>
      </c>
    </row>
    <row r="90" spans="1:41" ht="15" customHeight="1" outlineLevel="1" x14ac:dyDescent="0.2">
      <c r="B90" s="39" t="s">
        <v>85</v>
      </c>
      <c r="C90" s="961">
        <f>'[52]Hoja 1'!$C$646</f>
        <v>900000</v>
      </c>
      <c r="D90" s="69"/>
      <c r="E90" s="306"/>
      <c r="F90" s="39"/>
      <c r="G90" s="69"/>
      <c r="H90" s="306"/>
      <c r="I90" s="39">
        <v>241842440</v>
      </c>
      <c r="J90" s="69"/>
      <c r="K90" s="306"/>
      <c r="L90" s="39">
        <v>241842440</v>
      </c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484584880</v>
      </c>
      <c r="AN90" s="69"/>
      <c r="AO90" s="324"/>
    </row>
    <row r="91" spans="1:41" ht="15" customHeight="1" outlineLevel="1" x14ac:dyDescent="0.2">
      <c r="B91" s="83" t="s">
        <v>447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>
        <v>241842440</v>
      </c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483684880</v>
      </c>
      <c r="AN91" s="84"/>
      <c r="AO91" s="310"/>
    </row>
    <row r="92" spans="1:41" ht="15" customHeight="1" x14ac:dyDescent="0.2">
      <c r="B92" s="16" t="s">
        <v>87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0.375</v>
      </c>
      <c r="L92" s="49">
        <f>SUM(L93:L95)</f>
        <v>725527320</v>
      </c>
      <c r="M92" s="3"/>
      <c r="N92" s="150">
        <f>L92/(L$13)</f>
        <v>0.375</v>
      </c>
      <c r="O92" s="49">
        <f>SUM(O93:O95)</f>
        <v>0</v>
      </c>
      <c r="P92" s="3"/>
      <c r="Q92" s="150"/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1451054640</v>
      </c>
      <c r="AN92" s="3"/>
      <c r="AO92" s="321">
        <f>AM92/(AM$13)</f>
        <v>0.375</v>
      </c>
    </row>
    <row r="93" spans="1:41" ht="15" customHeight="1" outlineLevel="1" x14ac:dyDescent="0.2">
      <c r="B93" s="39" t="s">
        <v>88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>
        <v>241842440</v>
      </c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483684880</v>
      </c>
      <c r="AN93" s="69"/>
      <c r="AO93" s="324"/>
    </row>
    <row r="94" spans="1:41" ht="15" customHeight="1" outlineLevel="1" x14ac:dyDescent="0.2">
      <c r="B94" s="25" t="s">
        <v>89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>
        <v>241842440</v>
      </c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483684880</v>
      </c>
      <c r="AN94" s="43"/>
      <c r="AO94" s="309"/>
    </row>
    <row r="95" spans="1:41" ht="15" customHeight="1" outlineLevel="1" x14ac:dyDescent="0.2">
      <c r="B95" s="28" t="s">
        <v>90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>
        <v>241842440</v>
      </c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483684880</v>
      </c>
      <c r="AN95" s="45"/>
      <c r="AO95" s="325"/>
    </row>
    <row r="96" spans="1:41" ht="15" customHeight="1" x14ac:dyDescent="0.2">
      <c r="B96" s="106" t="s">
        <v>91</v>
      </c>
      <c r="C96" s="49">
        <f>SUM(C97:C98)</f>
        <v>204680451.79000002</v>
      </c>
      <c r="D96" s="3"/>
      <c r="E96" s="150">
        <f>C96/(AM$13)</f>
        <v>5.2896126241841597E-2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0.25</v>
      </c>
      <c r="L96" s="49">
        <f>SUM(L97:L98)</f>
        <v>483684880</v>
      </c>
      <c r="M96" s="3"/>
      <c r="N96" s="150">
        <f>L96/(L$13)</f>
        <v>0.25</v>
      </c>
      <c r="O96" s="49">
        <f>SUM(O97:O98)</f>
        <v>0</v>
      </c>
      <c r="P96" s="3"/>
      <c r="Q96" s="150"/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1172615293.79</v>
      </c>
      <c r="AN96" s="3">
        <f>AM96/AM12</f>
        <v>0.48486745907376716</v>
      </c>
      <c r="AO96" s="321">
        <f>AM96/(AM$13)</f>
        <v>0.3030421619211045</v>
      </c>
    </row>
    <row r="97" spans="1:41" s="108" customFormat="1" ht="15" customHeight="1" outlineLevel="1" x14ac:dyDescent="0.2">
      <c r="A97" s="229"/>
      <c r="B97" s="39" t="s">
        <v>92</v>
      </c>
      <c r="C97" s="961">
        <f>'[52]Hoja 1'!$C$649+'[30]Hoja 1'!$D$122</f>
        <v>194936872.21000001</v>
      </c>
      <c r="D97" s="69"/>
      <c r="E97" s="306"/>
      <c r="F97" s="39">
        <f>'[33]Hoja 1'!$C$195</f>
        <v>535419</v>
      </c>
      <c r="G97" s="69"/>
      <c r="H97" s="306"/>
      <c r="I97" s="39">
        <v>241842440</v>
      </c>
      <c r="J97" s="69"/>
      <c r="K97" s="306"/>
      <c r="L97" s="39">
        <v>241842440</v>
      </c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679157171.21000004</v>
      </c>
      <c r="AN97" s="69"/>
      <c r="AO97" s="324"/>
    </row>
    <row r="98" spans="1:41" s="108" customFormat="1" ht="15" customHeight="1" outlineLevel="1" x14ac:dyDescent="0.2">
      <c r="A98" s="229"/>
      <c r="B98" s="275" t="s">
        <v>93</v>
      </c>
      <c r="C98" s="275">
        <f>'[30]Hoja 1'!$D$124</f>
        <v>9743579.5800000001</v>
      </c>
      <c r="D98" s="276"/>
      <c r="E98" s="341"/>
      <c r="F98" s="275">
        <f>'[33]Hoja 1'!$C$197</f>
        <v>29663</v>
      </c>
      <c r="G98" s="276"/>
      <c r="H98" s="341"/>
      <c r="I98" s="275">
        <v>241842440</v>
      </c>
      <c r="J98" s="276"/>
      <c r="K98" s="341"/>
      <c r="L98" s="275">
        <v>241842440</v>
      </c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493458122.58000004</v>
      </c>
      <c r="AN98" s="276"/>
      <c r="AO98" s="326"/>
    </row>
    <row r="99" spans="1:41" ht="15" customHeight="1" x14ac:dyDescent="0.2">
      <c r="B99" s="16" t="s">
        <v>94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2176581960</v>
      </c>
      <c r="J99" s="3"/>
      <c r="K99" s="150">
        <f>I99/(I$13)</f>
        <v>1.125</v>
      </c>
      <c r="L99" s="49">
        <f>SUM(L100:L108)</f>
        <v>2176581960</v>
      </c>
      <c r="M99" s="3"/>
      <c r="N99" s="150">
        <f>L99/(L$13)</f>
        <v>1.125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4390298117</v>
      </c>
      <c r="AN99" s="3">
        <f>AM99/AM12</f>
        <v>1.8153547065601885</v>
      </c>
      <c r="AO99" s="321">
        <f>AM99/(AM$13)</f>
        <v>1.1345966916001178</v>
      </c>
    </row>
    <row r="100" spans="1:41" ht="15" customHeight="1" outlineLevel="1" x14ac:dyDescent="0.2">
      <c r="B100" s="39" t="s">
        <v>95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>
        <v>241842440</v>
      </c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483684880</v>
      </c>
      <c r="AN100" s="69"/>
      <c r="AO100" s="324"/>
    </row>
    <row r="101" spans="1:41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483684880</v>
      </c>
      <c r="AN101" s="43"/>
      <c r="AO101" s="309"/>
    </row>
    <row r="102" spans="1:41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483684880</v>
      </c>
      <c r="AN102" s="43"/>
      <c r="AO102" s="309"/>
    </row>
    <row r="103" spans="1:41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'[33]Hoja 1'!C200</f>
        <v>29615777</v>
      </c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5"/>
      <c r="AK103" s="43"/>
      <c r="AL103" s="57"/>
      <c r="AM103" s="205">
        <f t="shared" si="3"/>
        <v>513300657</v>
      </c>
      <c r="AN103" s="43"/>
      <c r="AO103" s="309"/>
    </row>
    <row r="104" spans="1:41" ht="15" customHeight="1" outlineLevel="1" x14ac:dyDescent="0.2">
      <c r="A104" s="226" t="s">
        <v>101</v>
      </c>
      <c r="B104" s="25" t="s">
        <v>102</v>
      </c>
      <c r="C104" s="25">
        <f>'[30]Hoja 1'!$D$127</f>
        <v>7332780</v>
      </c>
      <c r="D104" s="43"/>
      <c r="E104" s="118"/>
      <c r="F104" s="25">
        <f>'[33]Hoja 1'!C201</f>
        <v>185640</v>
      </c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491203300</v>
      </c>
      <c r="AN104" s="43"/>
      <c r="AO104" s="309"/>
    </row>
    <row r="105" spans="1:41" ht="15" customHeight="1" outlineLevel="1" x14ac:dyDescent="0.2">
      <c r="A105" s="226" t="s">
        <v>448</v>
      </c>
      <c r="B105" s="24" t="s">
        <v>103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>
        <v>241842440</v>
      </c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483684880</v>
      </c>
      <c r="AN105" s="43"/>
      <c r="AO105" s="309"/>
    </row>
    <row r="106" spans="1:41" ht="15" customHeight="1" outlineLevel="1" x14ac:dyDescent="0.2">
      <c r="B106" s="24" t="s">
        <v>104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>
        <v>241842440</v>
      </c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483684880</v>
      </c>
      <c r="AN106" s="43"/>
      <c r="AO106" s="309"/>
    </row>
    <row r="107" spans="1:41" ht="15" customHeight="1" outlineLevel="1" x14ac:dyDescent="0.2">
      <c r="B107" s="24" t="s">
        <v>105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>
        <v>241842440</v>
      </c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483684880</v>
      </c>
      <c r="AN107" s="43"/>
      <c r="AO107" s="309"/>
    </row>
    <row r="108" spans="1:41" ht="15" customHeight="1" outlineLevel="1" x14ac:dyDescent="0.2">
      <c r="B108" s="99" t="s">
        <v>106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>
        <v>241842440</v>
      </c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483684880</v>
      </c>
      <c r="AN108" s="42"/>
      <c r="AO108" s="315"/>
    </row>
    <row r="109" spans="1:41" ht="15" customHeight="1" x14ac:dyDescent="0.2">
      <c r="B109" s="16" t="s">
        <v>107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0.5</v>
      </c>
      <c r="L109" s="49">
        <f>SUM(L110:L113)</f>
        <v>967369760</v>
      </c>
      <c r="M109" s="3"/>
      <c r="N109" s="150">
        <f>L109/(L$13)</f>
        <v>0.5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1935073619</v>
      </c>
      <c r="AN109" s="3"/>
      <c r="AO109" s="321">
        <f>AM109/(AM$13)</f>
        <v>0.50008634211389857</v>
      </c>
    </row>
    <row r="110" spans="1:41" ht="15" customHeight="1" outlineLevel="1" x14ac:dyDescent="0.2">
      <c r="B110" s="39" t="s">
        <v>108</v>
      </c>
      <c r="C110" s="39">
        <f>'[30]Hoja 1'!$D$136</f>
        <v>174573</v>
      </c>
      <c r="D110" s="69"/>
      <c r="E110" s="306"/>
      <c r="F110" s="39">
        <f>'[33]Hoja 1'!$C$208</f>
        <v>159526</v>
      </c>
      <c r="G110" s="69"/>
      <c r="H110" s="306"/>
      <c r="I110" s="39">
        <v>241842440</v>
      </c>
      <c r="J110" s="69"/>
      <c r="K110" s="306"/>
      <c r="L110" s="39">
        <v>241842440</v>
      </c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484018979</v>
      </c>
      <c r="AN110" s="69"/>
      <c r="AO110" s="324"/>
    </row>
    <row r="111" spans="1:41" ht="15" customHeight="1" outlineLevel="1" x14ac:dyDescent="0.2">
      <c r="B111" s="25" t="s">
        <v>109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483684880</v>
      </c>
      <c r="AN111" s="43"/>
      <c r="AO111" s="309"/>
    </row>
    <row r="112" spans="1:41" ht="15" customHeight="1" outlineLevel="1" x14ac:dyDescent="0.2">
      <c r="B112" s="25" t="s">
        <v>110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>
        <v>241842440</v>
      </c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483684880</v>
      </c>
      <c r="AN112" s="43"/>
      <c r="AO112" s="309"/>
    </row>
    <row r="113" spans="1:41" ht="15" customHeight="1" outlineLevel="1" x14ac:dyDescent="0.2">
      <c r="B113" s="28" t="s">
        <v>111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>
        <v>241842440</v>
      </c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483684880</v>
      </c>
      <c r="AN113" s="45"/>
      <c r="AO113" s="325"/>
    </row>
    <row r="114" spans="1:41" ht="15" customHeight="1" x14ac:dyDescent="0.2">
      <c r="B114" s="16" t="s">
        <v>112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1209212200</v>
      </c>
      <c r="J114" s="3"/>
      <c r="K114" s="150">
        <f>I114/(I$13)</f>
        <v>0.625</v>
      </c>
      <c r="L114" s="49">
        <f>SUM(L115:L119)</f>
        <v>1209212200</v>
      </c>
      <c r="M114" s="3"/>
      <c r="N114" s="150">
        <f>L114/(L$13)</f>
        <v>0.625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2434386450</v>
      </c>
      <c r="AN114" s="3"/>
      <c r="AO114" s="321">
        <f>AM114/(AM$13)</f>
        <v>0.62912511602595478</v>
      </c>
    </row>
    <row r="115" spans="1:41" ht="15" customHeight="1" outlineLevel="1" x14ac:dyDescent="0.2">
      <c r="A115" s="226" t="s">
        <v>406</v>
      </c>
      <c r="B115" s="39" t="s">
        <v>113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>
        <v>241842440</v>
      </c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483684880</v>
      </c>
      <c r="AN115" s="69"/>
      <c r="AO115" s="324"/>
    </row>
    <row r="116" spans="1:41" ht="15" customHeight="1" outlineLevel="1" x14ac:dyDescent="0.2">
      <c r="B116" s="25" t="s">
        <v>114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>
        <v>241842440</v>
      </c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483684880</v>
      </c>
      <c r="AN116" s="43"/>
      <c r="AO116" s="309"/>
    </row>
    <row r="117" spans="1:41" ht="15" customHeight="1" outlineLevel="1" x14ac:dyDescent="0.2">
      <c r="A117" s="226" t="s">
        <v>380</v>
      </c>
      <c r="B117" s="205" t="s">
        <v>115</v>
      </c>
      <c r="C117" s="25">
        <f>'[30]Hoja 1'!$D$139</f>
        <v>7125200</v>
      </c>
      <c r="D117" s="43"/>
      <c r="E117" s="118"/>
      <c r="F117" s="25">
        <f>'[33]Hoja 1'!$C$212</f>
        <v>5130000</v>
      </c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896"/>
      <c r="AH117" s="43"/>
      <c r="AI117" s="118"/>
      <c r="AJ117" s="25"/>
      <c r="AK117" s="43"/>
      <c r="AL117" s="57"/>
      <c r="AM117" s="205">
        <f t="shared" si="4"/>
        <v>495940080</v>
      </c>
      <c r="AN117" s="43"/>
      <c r="AO117" s="309"/>
    </row>
    <row r="118" spans="1:41" ht="15" customHeight="1" outlineLevel="1" x14ac:dyDescent="0.2">
      <c r="B118" s="205" t="s">
        <v>116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>
        <v>241842440</v>
      </c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483684880</v>
      </c>
      <c r="AN118" s="43"/>
      <c r="AO118" s="309"/>
    </row>
    <row r="119" spans="1:41" ht="15" customHeight="1" outlineLevel="1" x14ac:dyDescent="0.2">
      <c r="B119" s="97" t="s">
        <v>449</v>
      </c>
      <c r="C119" s="28"/>
      <c r="D119" s="42"/>
      <c r="E119" s="140"/>
      <c r="F119" s="22">
        <f>'[33]Hoja 1'!$C$211</f>
        <v>3706850</v>
      </c>
      <c r="G119" s="42"/>
      <c r="H119" s="140"/>
      <c r="I119" s="22">
        <v>241842440</v>
      </c>
      <c r="J119" s="42"/>
      <c r="K119" s="140"/>
      <c r="L119" s="22">
        <v>241842440</v>
      </c>
      <c r="M119" s="42"/>
      <c r="N119" s="140"/>
      <c r="O119" s="785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781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487391730</v>
      </c>
      <c r="AN119" s="42"/>
      <c r="AO119" s="315"/>
    </row>
    <row r="120" spans="1:41" ht="15" customHeight="1" x14ac:dyDescent="0.2">
      <c r="B120" s="16" t="s">
        <v>118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0.125</v>
      </c>
      <c r="L120" s="49">
        <f>SUM(L121)</f>
        <v>241842440</v>
      </c>
      <c r="M120" s="3"/>
      <c r="N120" s="150">
        <f>L120/(L$13)</f>
        <v>0.125</v>
      </c>
      <c r="O120" s="49">
        <f>SUM(O121)</f>
        <v>0</v>
      </c>
      <c r="P120" s="3"/>
      <c r="Q120" s="150" t="e">
        <f>O120/(O$13)</f>
        <v>#DIV/0!</v>
      </c>
      <c r="R120" s="90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483684880</v>
      </c>
      <c r="AN120" s="3"/>
      <c r="AO120" s="321">
        <f>AM120/(AM$13)</f>
        <v>0.125</v>
      </c>
    </row>
    <row r="121" spans="1:41" ht="15" customHeight="1" x14ac:dyDescent="0.2">
      <c r="B121" s="39" t="s">
        <v>119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>
        <v>241842440</v>
      </c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483684880</v>
      </c>
      <c r="AN121" s="69"/>
      <c r="AO121" s="324"/>
    </row>
    <row r="122" spans="1:41" ht="15" customHeight="1" x14ac:dyDescent="0.2">
      <c r="B122" s="284" t="s">
        <v>120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>
        <v>241842440</v>
      </c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483684880</v>
      </c>
      <c r="AN122" s="92"/>
      <c r="AO122" s="327"/>
    </row>
    <row r="123" spans="1:41" ht="15" customHeight="1" x14ac:dyDescent="0.2">
      <c r="B123" s="16" t="s">
        <v>121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0.375</v>
      </c>
      <c r="L123" s="49">
        <f>SUM(L124:L126)</f>
        <v>725527320</v>
      </c>
      <c r="M123" s="3"/>
      <c r="N123" s="150">
        <f>L123/(L$13)</f>
        <v>0.375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1451054640</v>
      </c>
      <c r="AN123" s="3"/>
      <c r="AO123" s="321">
        <f>AM123/(AM$13)</f>
        <v>0.375</v>
      </c>
    </row>
    <row r="124" spans="1:41" ht="15" customHeight="1" outlineLevel="1" x14ac:dyDescent="0.2">
      <c r="B124" s="39" t="s">
        <v>122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>
        <v>241842440</v>
      </c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483684880</v>
      </c>
      <c r="AN124" s="69"/>
      <c r="AO124" s="324"/>
    </row>
    <row r="125" spans="1:41" ht="15" customHeight="1" outlineLevel="1" x14ac:dyDescent="0.2">
      <c r="B125" s="25" t="s">
        <v>123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>
        <v>241842440</v>
      </c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483684880</v>
      </c>
      <c r="AN125" s="43"/>
      <c r="AO125" s="309"/>
    </row>
    <row r="126" spans="1:41" ht="15" customHeight="1" outlineLevel="1" x14ac:dyDescent="0.2">
      <c r="B126" s="28" t="s">
        <v>124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>
        <v>241842440</v>
      </c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483684880</v>
      </c>
      <c r="AN126" s="45"/>
      <c r="AO126" s="325"/>
    </row>
    <row r="127" spans="1:41" ht="15" customHeight="1" x14ac:dyDescent="0.2">
      <c r="B127" s="16" t="s">
        <v>125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1.875</v>
      </c>
      <c r="L127" s="49">
        <f>SUM(L128:L142)</f>
        <v>3627636600</v>
      </c>
      <c r="M127" s="3"/>
      <c r="N127" s="150">
        <f>L127/(L$13)</f>
        <v>1.875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7315943649.6300001</v>
      </c>
      <c r="AN127" s="3">
        <f>AM127/AM12</f>
        <v>3.0250867670827337</v>
      </c>
      <c r="AO127" s="321">
        <f>AM127/(AM$13)</f>
        <v>1.8906792294267085</v>
      </c>
    </row>
    <row r="128" spans="1:41" s="108" customFormat="1" ht="15" customHeight="1" outlineLevel="1" x14ac:dyDescent="0.2">
      <c r="A128" s="229" t="s">
        <v>126</v>
      </c>
      <c r="B128" s="39" t="s">
        <v>127</v>
      </c>
      <c r="C128" s="39"/>
      <c r="D128" s="69"/>
      <c r="E128" s="306"/>
      <c r="F128" s="39">
        <f>'[4]Hoja 1'!$C$565+'[33]Hoja 1'!$C$217</f>
        <v>19181910</v>
      </c>
      <c r="G128" s="69"/>
      <c r="H128" s="306"/>
      <c r="I128" s="39">
        <v>241842440</v>
      </c>
      <c r="J128" s="69"/>
      <c r="K128" s="306"/>
      <c r="L128" s="39">
        <v>241842440</v>
      </c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502866790</v>
      </c>
      <c r="AN128" s="42"/>
      <c r="AO128" s="734"/>
    </row>
    <row r="129" spans="1:41" ht="15" customHeight="1" outlineLevel="1" x14ac:dyDescent="0.2">
      <c r="A129" s="226" t="s">
        <v>128</v>
      </c>
      <c r="B129" s="25" t="s">
        <v>129</v>
      </c>
      <c r="C129" s="25"/>
      <c r="D129" s="43"/>
      <c r="E129" s="118"/>
      <c r="F129" s="25">
        <f>'[4]Hoja 1'!$C$566</f>
        <v>250000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896"/>
      <c r="AH129" s="43"/>
      <c r="AI129" s="118"/>
      <c r="AJ129" s="25"/>
      <c r="AK129" s="43"/>
      <c r="AL129" s="57"/>
      <c r="AM129" s="205">
        <f t="shared" si="4"/>
        <v>483934880</v>
      </c>
      <c r="AN129" s="43"/>
      <c r="AO129" s="329"/>
    </row>
    <row r="130" spans="1:41" ht="15" customHeight="1" outlineLevel="1" x14ac:dyDescent="0.2">
      <c r="A130" s="226" t="s">
        <v>450</v>
      </c>
      <c r="B130" s="25" t="s">
        <v>131</v>
      </c>
      <c r="C130" s="25">
        <f>'[6]Hoja 1'!$C$556</f>
        <v>9190123.1400000006</v>
      </c>
      <c r="D130" s="43"/>
      <c r="E130" s="118"/>
      <c r="F130" s="25">
        <f>'[4]Hoja 1'!$C$519+'[4]Hoja 1'!$C$557</f>
        <v>14904513.49</v>
      </c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507779516.63</v>
      </c>
      <c r="AN130" s="43"/>
      <c r="AO130" s="794"/>
    </row>
    <row r="131" spans="1:41" ht="15" customHeight="1" outlineLevel="1" x14ac:dyDescent="0.2">
      <c r="A131" s="226" t="s">
        <v>132</v>
      </c>
      <c r="B131" s="25" t="s">
        <v>133</v>
      </c>
      <c r="C131" s="25"/>
      <c r="D131" s="43"/>
      <c r="E131" s="118"/>
      <c r="F131" s="25">
        <f>'[4]Hoja 1'!$C$559</f>
        <v>1309625</v>
      </c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484994505</v>
      </c>
      <c r="AN131" s="43"/>
      <c r="AO131" s="329"/>
    </row>
    <row r="132" spans="1:41" ht="15" customHeight="1" outlineLevel="1" x14ac:dyDescent="0.2">
      <c r="B132" s="25" t="s">
        <v>134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483684880</v>
      </c>
      <c r="AN132" s="43"/>
      <c r="AO132" s="309"/>
    </row>
    <row r="133" spans="1:41" ht="15" customHeight="1" outlineLevel="1" x14ac:dyDescent="0.2">
      <c r="A133" s="226" t="s">
        <v>135</v>
      </c>
      <c r="B133" s="25" t="s">
        <v>136</v>
      </c>
      <c r="C133" s="25">
        <f>'[6]Hoja 1'!$C$595+'[30]Hoja 1'!$D$142</f>
        <v>95000</v>
      </c>
      <c r="D133" s="43"/>
      <c r="E133" s="118"/>
      <c r="F133" s="25">
        <f>'[4]Hoja 1'!$C$561+'[33]Hoja 1'!$C$215</f>
        <v>95200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483875080</v>
      </c>
      <c r="AN133" s="43"/>
      <c r="AO133" s="309"/>
    </row>
    <row r="134" spans="1:41" ht="15" customHeight="1" outlineLevel="1" x14ac:dyDescent="0.2">
      <c r="A134" s="226" t="s">
        <v>137</v>
      </c>
      <c r="B134" s="25" t="s">
        <v>138</v>
      </c>
      <c r="C134" s="25">
        <f>'[30]Hoja 1'!$D$144</f>
        <v>448000</v>
      </c>
      <c r="D134" s="43"/>
      <c r="E134" s="118"/>
      <c r="F134" s="25">
        <f>'[4]Hoja 1'!$C$563</f>
        <v>33000</v>
      </c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484165880</v>
      </c>
      <c r="AN134" s="43"/>
      <c r="AO134" s="309"/>
    </row>
    <row r="135" spans="1:41" ht="15" customHeight="1" outlineLevel="1" x14ac:dyDescent="0.2">
      <c r="A135" s="226" t="s">
        <v>419</v>
      </c>
      <c r="B135" s="25" t="s">
        <v>139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483684880</v>
      </c>
      <c r="AN135" s="43"/>
      <c r="AO135" s="309"/>
    </row>
    <row r="136" spans="1:41" ht="15" customHeight="1" outlineLevel="1" x14ac:dyDescent="0.2">
      <c r="B136" s="25" t="s">
        <v>140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483684880</v>
      </c>
      <c r="AN136" s="43"/>
      <c r="AO136" s="309"/>
    </row>
    <row r="137" spans="1:41" ht="15" customHeight="1" outlineLevel="1" x14ac:dyDescent="0.2">
      <c r="B137" s="25" t="s">
        <v>141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483684880</v>
      </c>
      <c r="AN137" s="43"/>
      <c r="AO137" s="309"/>
    </row>
    <row r="138" spans="1:41" ht="15" customHeight="1" outlineLevel="1" x14ac:dyDescent="0.2">
      <c r="B138" s="25" t="s">
        <v>142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>
        <v>241842440</v>
      </c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483684880</v>
      </c>
      <c r="AN138" s="43"/>
      <c r="AO138" s="309"/>
    </row>
    <row r="139" spans="1:41" ht="15" customHeight="1" outlineLevel="1" x14ac:dyDescent="0.2">
      <c r="B139" s="25" t="s">
        <v>143</v>
      </c>
      <c r="C139" s="25"/>
      <c r="D139" s="43"/>
      <c r="E139" s="118"/>
      <c r="F139" s="25">
        <f>'[33]Hoja 1'!$C$218</f>
        <v>6000</v>
      </c>
      <c r="G139" s="43"/>
      <c r="H139" s="118"/>
      <c r="I139" s="25">
        <v>241842440</v>
      </c>
      <c r="J139" s="43"/>
      <c r="K139" s="118"/>
      <c r="L139" s="25">
        <v>241842440</v>
      </c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483690880</v>
      </c>
      <c r="AN139" s="43"/>
      <c r="AO139" s="309"/>
    </row>
    <row r="140" spans="1:41" ht="15" customHeight="1" outlineLevel="1" x14ac:dyDescent="0.2">
      <c r="B140" s="25" t="s">
        <v>145</v>
      </c>
      <c r="C140" s="25"/>
      <c r="D140" s="43"/>
      <c r="E140" s="118"/>
      <c r="F140" s="25">
        <f>'[33]Hoja 1'!$C$219</f>
        <v>15157078</v>
      </c>
      <c r="G140" s="43"/>
      <c r="H140" s="118"/>
      <c r="I140" s="25">
        <v>241842440</v>
      </c>
      <c r="J140" s="43"/>
      <c r="K140" s="118"/>
      <c r="L140" s="25">
        <v>241842440</v>
      </c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498841958</v>
      </c>
      <c r="AN140" s="43"/>
      <c r="AO140" s="309"/>
    </row>
    <row r="141" spans="1:41" ht="15" customHeight="1" outlineLevel="1" x14ac:dyDescent="0.2">
      <c r="B141" s="25" t="s">
        <v>146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>
        <v>241842440</v>
      </c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483684880</v>
      </c>
      <c r="AN141" s="43"/>
      <c r="AO141" s="309"/>
    </row>
    <row r="142" spans="1:41" ht="15" customHeight="1" outlineLevel="1" thickBot="1" x14ac:dyDescent="0.25">
      <c r="B142" s="269" t="s">
        <v>148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>
        <v>241842440</v>
      </c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483684880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149</v>
      </c>
      <c r="C144" s="493">
        <f>+C42-C44-C83</f>
        <v>-1015014146.7578702</v>
      </c>
      <c r="D144" s="494"/>
      <c r="E144" s="495"/>
      <c r="F144" s="493">
        <f>+F42-F44-F83</f>
        <v>-2829504131.6331511</v>
      </c>
      <c r="G144" s="494"/>
      <c r="H144" s="495"/>
      <c r="I144" s="493">
        <f>+I42-I44-I83</f>
        <v>-16801568202.608</v>
      </c>
      <c r="J144" s="494"/>
      <c r="K144" s="495"/>
      <c r="L144" s="493">
        <f>+L42-L44-L83</f>
        <v>-16789476080.608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1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-8.6841500000000007</v>
      </c>
      <c r="J145" s="488"/>
      <c r="K145" s="489"/>
      <c r="L145" s="496">
        <f>IFERROR(L144/L13," ")</f>
        <v>-8.6778999999999993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1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1:41" ht="15" customHeight="1" thickTop="1" x14ac:dyDescent="0.2">
      <c r="B147" s="526" t="s">
        <v>150</v>
      </c>
      <c r="C147" s="490">
        <f>SUM(C148:C151)</f>
        <v>84064414.670172855</v>
      </c>
      <c r="D147" s="491"/>
      <c r="E147" s="492" t="e">
        <f>C147/(C$13)</f>
        <v>#DIV/0!</v>
      </c>
      <c r="F147" s="490">
        <f>SUM(F148:F151)</f>
        <v>214160488.65198308</v>
      </c>
      <c r="G147" s="491"/>
      <c r="H147" s="492" t="e">
        <f>F147/(F$13)</f>
        <v>#DIV/0!</v>
      </c>
      <c r="I147" s="490">
        <f>SUM(I148:I151)</f>
        <v>9915317208.2797012</v>
      </c>
      <c r="J147" s="491"/>
      <c r="K147" s="492">
        <f>I147/(I$13)</f>
        <v>5.1248848259840694</v>
      </c>
      <c r="L147" s="490">
        <f>SUM(L148:L151)</f>
        <v>483684880</v>
      </c>
      <c r="M147" s="491"/>
      <c r="N147" s="492">
        <f>L147/(L$13)</f>
        <v>0.25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1" s="1019" customFormat="1" ht="15" customHeight="1" x14ac:dyDescent="0.2">
      <c r="A148" s="1011"/>
      <c r="B148" s="1020" t="s">
        <v>151</v>
      </c>
      <c r="C148" s="1007">
        <f>'GASTOS ADMINISTRATIVOS'!C96*'%DIST'!B36</f>
        <v>62491547.670988768</v>
      </c>
      <c r="D148" s="1009"/>
      <c r="E148" s="1008"/>
      <c r="F148" s="1007">
        <f>'GASTOS ADMINISTRATIVOS'!D96*'%DIST'!D36</f>
        <v>172014341.9701913</v>
      </c>
      <c r="G148" s="1009"/>
      <c r="H148" s="1008"/>
      <c r="I148" s="1007">
        <f>'GASTOS ADMINISTRATIVOS'!E96*'%DIST'!F36</f>
        <v>9554121059.8158016</v>
      </c>
      <c r="J148" s="1009"/>
      <c r="K148" s="1008"/>
      <c r="L148" s="1007">
        <f>'GASTOS ADMINISTRATIVOS'!F96*'%DIST'!H36</f>
        <v>0</v>
      </c>
      <c r="M148" s="1009"/>
      <c r="N148" s="1008"/>
      <c r="O148" s="1007" t="e">
        <f>'GASTOS ADMINISTRATIVOS'!G96*'%DIST'!J36</f>
        <v>#DIV/0!</v>
      </c>
      <c r="P148" s="1009"/>
      <c r="Q148" s="1008"/>
      <c r="R148" s="1007" t="e">
        <f>'GASTOS ADMINISTRATIVOS'!H96*'%DIST'!L36</f>
        <v>#DIV/0!</v>
      </c>
      <c r="S148" s="1009"/>
      <c r="T148" s="1008"/>
      <c r="U148" s="1007" t="e">
        <f>'GASTOS ADMINISTRATIVOS'!I96*'%DIST'!N36</f>
        <v>#DIV/0!</v>
      </c>
      <c r="V148" s="1009"/>
      <c r="W148" s="1008"/>
      <c r="X148" s="1007" t="e">
        <f>'GASTOS ADMINISTRATIVOS'!J96*'%DIST'!P36</f>
        <v>#DIV/0!</v>
      </c>
      <c r="Y148" s="1009"/>
      <c r="Z148" s="1008"/>
      <c r="AA148" s="1007" t="e">
        <f>'GASTOS ADMINISTRATIVOS'!K96*'%DIST'!R36</f>
        <v>#DIV/0!</v>
      </c>
      <c r="AB148" s="1009"/>
      <c r="AC148" s="1008"/>
      <c r="AD148" s="1007" t="e">
        <f>'GASTOS ADMINISTRATIVOS'!L96*'%DIST'!T36</f>
        <v>#DIV/0!</v>
      </c>
      <c r="AE148" s="1009"/>
      <c r="AF148" s="1008"/>
      <c r="AG148" s="1007" t="e">
        <f>'GASTOS ADMINISTRATIVOS'!M96*'%DIST'!V36</f>
        <v>#DIV/0!</v>
      </c>
      <c r="AH148" s="1009"/>
      <c r="AI148" s="1008"/>
      <c r="AJ148" s="1007" t="e">
        <f>'GASTOS ADMINISTRATIVOS'!N96*'%DIST'!X36</f>
        <v>#DIV/0!</v>
      </c>
      <c r="AK148" s="1009"/>
      <c r="AL148" s="1021"/>
      <c r="AM148" s="1022" t="e">
        <f>C148+F148+I148+L148+O148+R148+U148+X148+AA148+AD148+AG148+AJ148</f>
        <v>#DIV/0!</v>
      </c>
      <c r="AN148" s="1009"/>
      <c r="AO148" s="1023" t="e">
        <f>AM148/AM13</f>
        <v>#DIV/0!</v>
      </c>
    </row>
    <row r="149" spans="1:41" ht="15" customHeight="1" x14ac:dyDescent="0.2">
      <c r="B149" s="1010" t="s">
        <v>152</v>
      </c>
      <c r="C149" s="25">
        <f>'GASTOS ADMINISTRATIVOS'!C109*'%DIST'!C52+520117.4</f>
        <v>17417096.738511123</v>
      </c>
      <c r="D149" s="43"/>
      <c r="E149" s="118"/>
      <c r="F149" s="25">
        <f>'GASTOS ADMINISTRATIVOS'!D109*'%DIST'!E52+129086.38</f>
        <v>42692451.37105225</v>
      </c>
      <c r="G149" s="43"/>
      <c r="H149" s="118"/>
      <c r="I149" s="25">
        <v>241842440</v>
      </c>
      <c r="J149" s="43"/>
      <c r="K149" s="118"/>
      <c r="L149" s="25">
        <v>241842440</v>
      </c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543794428.10956335</v>
      </c>
      <c r="AN149" s="43"/>
      <c r="AO149" s="309"/>
    </row>
    <row r="150" spans="1:41" ht="15" customHeight="1" x14ac:dyDescent="0.2">
      <c r="B150" s="107" t="s">
        <v>153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>
        <v>241842440</v>
      </c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483684880</v>
      </c>
      <c r="AN150" s="42"/>
      <c r="AO150" s="315">
        <f>AM150/AM13</f>
        <v>0.125</v>
      </c>
    </row>
    <row r="151" spans="1:41" s="1019" customFormat="1" ht="15" customHeight="1" thickBot="1" x14ac:dyDescent="0.25">
      <c r="A151" s="1011"/>
      <c r="B151" s="1012" t="s">
        <v>154</v>
      </c>
      <c r="C151" s="1013">
        <f>'GASTOS ADMINISTRATIVOS'!C119*'%DIST'!C52</f>
        <v>4155770.2606729679</v>
      </c>
      <c r="D151" s="1014"/>
      <c r="E151" s="1015"/>
      <c r="F151" s="1013">
        <f>'GASTOS ADMINISTRATIVOS'!D119*'%DIST'!E52</f>
        <v>-546304.68926049571</v>
      </c>
      <c r="G151" s="1014"/>
      <c r="H151" s="1015"/>
      <c r="I151" s="1013">
        <f>'GASTOS ADMINISTRATIVOS'!E119*'%DIST'!G52</f>
        <v>-122488731.53610003</v>
      </c>
      <c r="J151" s="1014"/>
      <c r="K151" s="1015"/>
      <c r="L151" s="1013">
        <f>'GASTOS ADMINISTRATIVOS'!F119*'%DIST'!I52</f>
        <v>0</v>
      </c>
      <c r="M151" s="1014"/>
      <c r="N151" s="1015"/>
      <c r="O151" s="1013" t="e">
        <f>'GASTOS ADMINISTRATIVOS'!G119*'%DIST'!K52</f>
        <v>#DIV/0!</v>
      </c>
      <c r="P151" s="1014"/>
      <c r="Q151" s="1015"/>
      <c r="R151" s="1013" t="e">
        <f>'GASTOS ADMINISTRATIVOS'!H119*'%DIST'!M52</f>
        <v>#DIV/0!</v>
      </c>
      <c r="S151" s="1014"/>
      <c r="T151" s="1015"/>
      <c r="U151" s="1013" t="e">
        <f>'GASTOS ADMINISTRATIVOS'!I119*'%DIST'!O52</f>
        <v>#DIV/0!</v>
      </c>
      <c r="V151" s="1014"/>
      <c r="W151" s="1015"/>
      <c r="X151" s="1013" t="e">
        <f>'GASTOS ADMINISTRATIVOS'!J119*'%DIST'!Q52</f>
        <v>#DIV/0!</v>
      </c>
      <c r="Y151" s="1014"/>
      <c r="Z151" s="1015"/>
      <c r="AA151" s="1013" t="e">
        <f>'GASTOS ADMINISTRATIVOS'!K119*'%DIST'!S52</f>
        <v>#DIV/0!</v>
      </c>
      <c r="AB151" s="1014"/>
      <c r="AC151" s="1015"/>
      <c r="AD151" s="1013" t="e">
        <f>'GASTOS ADMINISTRATIVOS'!L119*'%DIST'!U52</f>
        <v>#DIV/0!</v>
      </c>
      <c r="AE151" s="1014"/>
      <c r="AF151" s="1015"/>
      <c r="AG151" s="1013" t="e">
        <f>'GASTOS ADMINISTRATIVOS'!M119*'%DIST'!W52</f>
        <v>#DIV/0!</v>
      </c>
      <c r="AH151" s="1014"/>
      <c r="AI151" s="1015"/>
      <c r="AJ151" s="1013" t="e">
        <f>'GASTOS ADMINISTRATIVOS'!N119*'%DIST'!Y52</f>
        <v>#DIV/0!</v>
      </c>
      <c r="AK151" s="1014"/>
      <c r="AL151" s="1016"/>
      <c r="AM151" s="1017" t="e">
        <f>C151+F151+I151+L151+O151+R151+U151+X151+AA151+AD151+AG151+AJ151</f>
        <v>#DIV/0!</v>
      </c>
      <c r="AN151" s="1014"/>
      <c r="AO151" s="1018"/>
    </row>
    <row r="152" spans="1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1:41" ht="15" customHeight="1" thickTop="1" thickBot="1" x14ac:dyDescent="0.25">
      <c r="B153" s="524" t="s">
        <v>155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1692897080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3385794160</v>
      </c>
      <c r="AN153" s="498"/>
      <c r="AO153" s="586">
        <f>AM153/AM13</f>
        <v>0.875</v>
      </c>
    </row>
    <row r="154" spans="1:41" ht="15" customHeight="1" thickTop="1" x14ac:dyDescent="0.2">
      <c r="B154" s="40" t="s">
        <v>156</v>
      </c>
      <c r="C154" s="716"/>
      <c r="D154" s="548"/>
      <c r="E154" s="549"/>
      <c r="F154" s="716"/>
      <c r="G154" s="548"/>
      <c r="H154" s="549"/>
      <c r="I154" s="716">
        <v>241842440</v>
      </c>
      <c r="J154" s="548"/>
      <c r="K154" s="549"/>
      <c r="L154" s="716">
        <v>241842440</v>
      </c>
      <c r="M154" s="548"/>
      <c r="N154" s="549"/>
      <c r="O154" s="716"/>
      <c r="P154" s="548"/>
      <c r="Q154" s="549"/>
      <c r="R154" s="716"/>
      <c r="S154" s="548"/>
      <c r="T154" s="549"/>
      <c r="U154" s="716"/>
      <c r="V154" s="548"/>
      <c r="W154" s="549"/>
      <c r="X154" s="716"/>
      <c r="Y154" s="548"/>
      <c r="Z154" s="549"/>
      <c r="AA154" s="716"/>
      <c r="AB154" s="548"/>
      <c r="AC154" s="549"/>
      <c r="AD154" s="716"/>
      <c r="AE154" s="548"/>
      <c r="AF154" s="549"/>
      <c r="AG154" s="716"/>
      <c r="AH154" s="548"/>
      <c r="AI154" s="549"/>
      <c r="AJ154" s="231"/>
      <c r="AK154" s="548"/>
      <c r="AL154" s="717"/>
      <c r="AM154" s="716">
        <f t="shared" si="5"/>
        <v>483684880</v>
      </c>
      <c r="AN154" s="230"/>
      <c r="AO154" s="332"/>
    </row>
    <row r="155" spans="1:41" ht="15" customHeight="1" x14ac:dyDescent="0.2">
      <c r="B155" s="689" t="s">
        <v>157</v>
      </c>
      <c r="C155" s="75"/>
      <c r="D155" s="12"/>
      <c r="E155" s="344"/>
      <c r="F155" s="705"/>
      <c r="G155" s="13"/>
      <c r="H155" s="344"/>
      <c r="I155" s="705">
        <v>241842440</v>
      </c>
      <c r="J155" s="13"/>
      <c r="K155" s="344"/>
      <c r="L155" s="705">
        <v>241842440</v>
      </c>
      <c r="M155" s="13"/>
      <c r="N155" s="344"/>
      <c r="O155" s="838"/>
      <c r="P155" s="844"/>
      <c r="Q155" s="840"/>
      <c r="R155" s="838"/>
      <c r="S155" s="844"/>
      <c r="T155" s="840"/>
      <c r="U155" s="705"/>
      <c r="V155" s="844"/>
      <c r="W155" s="840"/>
      <c r="X155" s="705"/>
      <c r="Y155" s="844"/>
      <c r="Z155" s="869"/>
      <c r="AA155" s="705"/>
      <c r="AB155" s="844"/>
      <c r="AC155" s="840"/>
      <c r="AD155" s="705"/>
      <c r="AE155" s="844"/>
      <c r="AF155" s="840"/>
      <c r="AG155" s="705"/>
      <c r="AH155" s="13"/>
      <c r="AI155" s="344"/>
      <c r="AJ155" s="705"/>
      <c r="AK155" s="13"/>
      <c r="AL155" s="246"/>
      <c r="AM155" s="294">
        <f t="shared" si="5"/>
        <v>483684880</v>
      </c>
      <c r="AN155" s="9"/>
      <c r="AO155" s="690"/>
    </row>
    <row r="156" spans="1:41" ht="15" customHeight="1" x14ac:dyDescent="0.2">
      <c r="B156" s="674" t="s">
        <v>158</v>
      </c>
      <c r="C156" s="77"/>
      <c r="D156" s="7"/>
      <c r="E156" s="678"/>
      <c r="F156" s="718"/>
      <c r="G156" s="677"/>
      <c r="H156" s="678"/>
      <c r="I156" s="718">
        <v>241842440</v>
      </c>
      <c r="J156" s="677"/>
      <c r="K156" s="678"/>
      <c r="L156" s="718">
        <v>241842440</v>
      </c>
      <c r="M156" s="677"/>
      <c r="N156" s="678"/>
      <c r="O156" s="839"/>
      <c r="P156" s="677"/>
      <c r="Q156" s="841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7"/>
      <c r="AL156" s="719"/>
      <c r="AM156" s="713">
        <f t="shared" si="5"/>
        <v>483684880</v>
      </c>
      <c r="AN156" s="675"/>
      <c r="AO156" s="681"/>
    </row>
    <row r="157" spans="1:41" ht="15" customHeight="1" x14ac:dyDescent="0.2">
      <c r="B157" s="550" t="s">
        <v>159</v>
      </c>
      <c r="C157" s="77"/>
      <c r="D157" s="819"/>
      <c r="E157" s="554"/>
      <c r="F157" s="705"/>
      <c r="G157" s="553"/>
      <c r="H157" s="554"/>
      <c r="I157" s="705">
        <v>241842440</v>
      </c>
      <c r="J157" s="553"/>
      <c r="K157" s="554"/>
      <c r="L157" s="705">
        <v>241842440</v>
      </c>
      <c r="M157" s="553"/>
      <c r="N157" s="554"/>
      <c r="O157" s="705"/>
      <c r="P157" s="844"/>
      <c r="Q157" s="842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3"/>
      <c r="AL157" s="720"/>
      <c r="AM157" s="294">
        <f t="shared" si="5"/>
        <v>483684880</v>
      </c>
      <c r="AN157" s="551"/>
      <c r="AO157" s="557">
        <f>AM157/(AM$13)</f>
        <v>0.125</v>
      </c>
    </row>
    <row r="158" spans="1:41" ht="15" customHeight="1" x14ac:dyDescent="0.2">
      <c r="B158" s="563" t="s">
        <v>160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>
        <v>241842440</v>
      </c>
      <c r="M158" s="13"/>
      <c r="N158" s="344"/>
      <c r="O158" s="693"/>
      <c r="P158" s="13"/>
      <c r="Q158" s="843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456"/>
      <c r="AH158" s="13"/>
      <c r="AI158" s="344"/>
      <c r="AJ158" s="456"/>
      <c r="AK158" s="13"/>
      <c r="AL158" s="246"/>
      <c r="AM158" s="294">
        <f t="shared" si="5"/>
        <v>483684880</v>
      </c>
      <c r="AN158" s="13"/>
      <c r="AO158" s="333">
        <f>AM158/(AM$13)</f>
        <v>0.125</v>
      </c>
    </row>
    <row r="159" spans="1:41" ht="15" customHeight="1" x14ac:dyDescent="0.2">
      <c r="B159" s="563" t="s">
        <v>161</v>
      </c>
      <c r="C159" s="705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>
        <v>241842440</v>
      </c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456"/>
      <c r="AH159" s="13"/>
      <c r="AI159" s="344"/>
      <c r="AJ159" s="456"/>
      <c r="AK159" s="13"/>
      <c r="AL159" s="246"/>
      <c r="AM159" s="294">
        <f t="shared" si="5"/>
        <v>483684880</v>
      </c>
      <c r="AN159" s="13"/>
      <c r="AO159" s="333">
        <f>AM159/(AM$13)</f>
        <v>0.125</v>
      </c>
    </row>
    <row r="160" spans="1:41" ht="15" customHeight="1" thickBot="1" x14ac:dyDescent="0.25">
      <c r="B160" s="291" t="s">
        <v>162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>
        <v>241842440</v>
      </c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483684880</v>
      </c>
      <c r="AN160" s="233"/>
      <c r="AO160" s="334"/>
    </row>
    <row r="161" spans="2:41" ht="15" customHeight="1" thickTop="1" thickBot="1" x14ac:dyDescent="0.25">
      <c r="B161" s="524" t="s">
        <v>163</v>
      </c>
      <c r="C161" s="497">
        <f>C144-C147-C153</f>
        <v>-1099078561.4280431</v>
      </c>
      <c r="D161" s="498"/>
      <c r="E161" s="499"/>
      <c r="F161" s="497">
        <f>F144-F147-F153</f>
        <v>-3043664620.2851343</v>
      </c>
      <c r="G161" s="498"/>
      <c r="H161" s="499"/>
      <c r="I161" s="497">
        <f>I144-I147-I153</f>
        <v>-28409782490.887703</v>
      </c>
      <c r="J161" s="498"/>
      <c r="K161" s="499"/>
      <c r="L161" s="497">
        <f>L144-L147-L153</f>
        <v>-18966058040.608002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2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-14.684034825984069</v>
      </c>
      <c r="J162" s="501"/>
      <c r="K162" s="499"/>
      <c r="L162" s="500">
        <f>IFERROR(L161/L13," ")</f>
        <v>-9.8029000000000011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</f>
        <v>968001599.10000002</v>
      </c>
      <c r="F164" s="616">
        <f>F44+F83-F73-F85</f>
        <v>2653770199.5500002</v>
      </c>
      <c r="I164" s="616">
        <f>I44+I83-I73-I85</f>
        <v>15236073720.000002</v>
      </c>
      <c r="L164" s="616">
        <f>L44+L83-L73-L85</f>
        <v>14510546400.000002</v>
      </c>
      <c r="O164" s="616" t="e">
        <f>O44+O83-O73-O85</f>
        <v>#DIV/0!</v>
      </c>
      <c r="R164" s="616" t="e">
        <f>R44+R83-R73-R85</f>
        <v>#DIV/0!</v>
      </c>
      <c r="U164" s="616" t="e">
        <f>U44+U83-U73-U85</f>
        <v>#DIV/0!</v>
      </c>
      <c r="X164" s="616" t="e">
        <f>X44+X83-X73-X85</f>
        <v>#DIV/0!</v>
      </c>
      <c r="AA164" s="616" t="e">
        <f>AA44+AA83-AA73-AA85</f>
        <v>#DIV/0!</v>
      </c>
      <c r="AD164" s="616" t="e">
        <f>AD44+AD83-AD73-AD85</f>
        <v>#DIV/0!</v>
      </c>
      <c r="AG164" s="616" t="e">
        <f>AG44+AG83-AG73-AG85</f>
        <v>#DIV/0!</v>
      </c>
      <c r="AJ164" s="616" t="e">
        <f>AJ44+AJ83-AJ73-AJ85</f>
        <v>#DIV/0!</v>
      </c>
    </row>
    <row r="165" spans="2:41" x14ac:dyDescent="0.2">
      <c r="C165" s="616">
        <f>'[6]Hoja 1'!$C$542+'[6]Hoja 1'!$C$513+'[8]Hoja 1'!$D$24+'[30]Hoja 1'!$D$82-'[30]Hoja 1'!$D$133+'[31]Hoja 1'!$C$67-'[31]Hoja 1'!$C$101</f>
        <v>946098886.0999999</v>
      </c>
      <c r="F165" s="616">
        <f>'[4]Hoja 1'!$C$505+'[4]Hoja 1'!$C$488-'[14]Hoja 1'!$D$32+'[33]Hoja 1'!$C$149+'[33]Hoja 1'!$C$155+'[51]Hoja 1'!$C$27</f>
        <v>2653770199.5500002</v>
      </c>
      <c r="I165" s="616">
        <v>2121596443.7</v>
      </c>
      <c r="L165" s="616">
        <v>1935453066.5599999</v>
      </c>
      <c r="O165" s="616">
        <v>2549031952.4699998</v>
      </c>
      <c r="R165" s="616">
        <v>2102238750.1800001</v>
      </c>
      <c r="U165" s="616">
        <v>1135155632.4400001</v>
      </c>
      <c r="X165" s="616">
        <v>2526140124.5999999</v>
      </c>
      <c r="AA165" s="616">
        <v>2938583349.1399999</v>
      </c>
      <c r="AD165" s="616">
        <v>2262146048.96</v>
      </c>
      <c r="AG165" s="616">
        <v>2001380699.1600001</v>
      </c>
      <c r="AJ165" s="616">
        <v>276800966.56</v>
      </c>
    </row>
    <row r="166" spans="2:41" x14ac:dyDescent="0.2">
      <c r="C166" s="616">
        <f>C164-C165</f>
        <v>21902713.000000119</v>
      </c>
      <c r="F166" s="616">
        <f>F164-F165</f>
        <v>0</v>
      </c>
      <c r="I166" s="616">
        <f>I164-I165</f>
        <v>13114477276.300001</v>
      </c>
      <c r="L166" s="616">
        <f>L164-L165</f>
        <v>12575093333.440002</v>
      </c>
      <c r="O166" s="616" t="e">
        <f>O164-O165</f>
        <v>#DIV/0!</v>
      </c>
      <c r="R166" s="616" t="e">
        <f>R164-R165</f>
        <v>#DIV/0!</v>
      </c>
      <c r="U166" s="616" t="e">
        <f>U164-U165</f>
        <v>#DIV/0!</v>
      </c>
      <c r="X166" s="616" t="e">
        <f>X164-X165</f>
        <v>#DIV/0!</v>
      </c>
      <c r="AA166" s="616" t="e">
        <f>AA164-AA165</f>
        <v>#DIV/0!</v>
      </c>
      <c r="AD166" s="616" t="e">
        <f>AD164-AD165</f>
        <v>#DIV/0!</v>
      </c>
      <c r="AG166" s="616" t="e">
        <f>AG164-AG165</f>
        <v>#DIV/0!</v>
      </c>
      <c r="AJ166" s="616" t="e">
        <f>AJ164-AJ165</f>
        <v>#DIV/0!</v>
      </c>
    </row>
    <row r="167" spans="2:41" x14ac:dyDescent="0.2">
      <c r="C167" s="235">
        <v>21902713</v>
      </c>
      <c r="D167" s="235" t="s">
        <v>451</v>
      </c>
    </row>
    <row r="169" spans="2:41" x14ac:dyDescent="0.2">
      <c r="R169" s="540"/>
    </row>
    <row r="188" spans="29:29" x14ac:dyDescent="0.2">
      <c r="AC188" s="256">
        <f>11287+2223</f>
        <v>13510</v>
      </c>
    </row>
    <row r="189" spans="29:29" x14ac:dyDescent="0.2">
      <c r="AC189" s="256">
        <f>2200/AC188</f>
        <v>0.16284233900814213</v>
      </c>
    </row>
  </sheetData>
  <mergeCells count="1">
    <mergeCell ref="C2:AM2"/>
  </mergeCells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00000000-0004-0000-0600-000000000000}"/>
  </hyperlinks>
  <pageMargins left="0.7" right="0.7" top="0.75" bottom="0.75" header="0.3" footer="0.3"/>
  <pageSetup scale="40" orientation="landscape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2:BO182"/>
  <sheetViews>
    <sheetView zoomScaleNormal="100" workbookViewId="0">
      <pane xSplit="2" ySplit="13" topLeftCell="C158" activePane="bottomRight" state="frozen"/>
      <selection activeCell="J90" sqref="J90"/>
      <selection pane="topRight" activeCell="J90" sqref="J90"/>
      <selection pane="bottomLeft" activeCell="J90" sqref="J90"/>
      <selection pane="bottomRight" activeCell="I148" sqref="I14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2.4414062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8.33203125" style="2" customWidth="1"/>
    <col min="44" max="65" width="11.44140625" style="2" customWidth="1"/>
    <col min="66" max="16384" width="11.44140625" style="2"/>
  </cols>
  <sheetData>
    <row r="2" spans="1:41" ht="24.9" customHeight="1" thickBot="1" x14ac:dyDescent="0.35">
      <c r="B2" s="236" t="s">
        <v>0</v>
      </c>
      <c r="C2" s="1027" t="s">
        <v>1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</row>
    <row r="3" spans="1:41" ht="21.75" customHeight="1" thickTop="1" thickBot="1" x14ac:dyDescent="0.25">
      <c r="B3" s="522" t="s">
        <v>2</v>
      </c>
      <c r="C3" s="53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13</v>
      </c>
      <c r="S3" s="479"/>
      <c r="T3" s="480"/>
      <c r="U3" s="478">
        <v>14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18</v>
      </c>
      <c r="C5" s="259"/>
      <c r="D5" s="89"/>
      <c r="E5" s="303"/>
      <c r="F5" s="259"/>
      <c r="G5" s="260"/>
      <c r="H5" s="303"/>
      <c r="I5" s="259">
        <v>241842440</v>
      </c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8" si="0">C5+F5+I5+L5+O5+R5+U5+X5+AA5+AD5+AG5+AJ5</f>
        <v>241842440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19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241842440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20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241842440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25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21</v>
      </c>
      <c r="C9" s="257"/>
      <c r="D9" s="89"/>
      <c r="E9" s="118"/>
      <c r="F9" s="74"/>
      <c r="G9" s="43"/>
      <c r="H9" s="118"/>
      <c r="I9" s="74">
        <v>241842440</v>
      </c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241842440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967369760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1692897080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1692897080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967369760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398"/>
      <c r="AF15" s="313"/>
      <c r="AG15" s="90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967369760</v>
      </c>
      <c r="AN15" s="3"/>
      <c r="AO15" s="313">
        <f>AM15/AM15</f>
        <v>1</v>
      </c>
    </row>
    <row r="16" spans="1:41" ht="15" customHeight="1" x14ac:dyDescent="0.2">
      <c r="B16" s="262" t="s">
        <v>26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241842440</v>
      </c>
      <c r="AN16" s="79"/>
      <c r="AO16" s="314"/>
    </row>
    <row r="17" spans="1:43" ht="15" customHeight="1" x14ac:dyDescent="0.2">
      <c r="B17" s="104" t="s">
        <v>27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>
        <v>241842440</v>
      </c>
      <c r="J17" s="43"/>
      <c r="K17" s="118"/>
      <c r="L17" s="91"/>
      <c r="M17" s="43"/>
      <c r="N17" s="118"/>
      <c r="O17" s="91"/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5">
        <f t="shared" si="0"/>
        <v>241842440</v>
      </c>
      <c r="AN17" s="43"/>
      <c r="AO17" s="309"/>
    </row>
    <row r="18" spans="1:43" ht="15" customHeight="1" x14ac:dyDescent="0.2">
      <c r="B18" s="104" t="s">
        <v>28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>
        <v>241842440</v>
      </c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241842440</v>
      </c>
      <c r="AN18" s="43"/>
      <c r="AO18" s="309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4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3" ht="15" customHeight="1" x14ac:dyDescent="0.2">
      <c r="B20" s="104" t="s">
        <v>29</v>
      </c>
      <c r="C20" s="75"/>
      <c r="D20" s="43"/>
      <c r="E20" s="118"/>
      <c r="F20" s="74"/>
      <c r="G20" s="43"/>
      <c r="H20" s="118"/>
      <c r="I20" s="74">
        <v>241842440</v>
      </c>
      <c r="J20" s="43"/>
      <c r="K20" s="118"/>
      <c r="L20" s="74"/>
      <c r="M20" s="43"/>
      <c r="N20" s="118"/>
      <c r="O20" s="75"/>
      <c r="P20" s="43"/>
      <c r="Q20" s="118"/>
      <c r="R20" s="74"/>
      <c r="S20" s="43"/>
      <c r="T20" s="118"/>
      <c r="U20" s="74"/>
      <c r="V20" s="43"/>
      <c r="W20" s="118"/>
      <c r="X20" s="75"/>
      <c r="Y20" s="43"/>
      <c r="Z20" s="118"/>
      <c r="AA20" s="25"/>
      <c r="AB20" s="43"/>
      <c r="AC20" s="118"/>
      <c r="AD20" s="74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241842440</v>
      </c>
      <c r="AN20" s="43"/>
      <c r="AO20" s="309"/>
    </row>
    <row r="21" spans="1:43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25"/>
      <c r="AB21" s="43"/>
      <c r="AC21" s="118"/>
      <c r="AD21" s="74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3" ht="15" hidden="1" customHeight="1" outlineLevel="1" x14ac:dyDescent="0.2">
      <c r="B23" s="16" t="s">
        <v>30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725527320</v>
      </c>
      <c r="AN23" s="3"/>
      <c r="AO23" s="313"/>
    </row>
    <row r="24" spans="1:43" ht="15" hidden="1" customHeight="1" outlineLevel="1" x14ac:dyDescent="0.2">
      <c r="B24" s="16" t="s">
        <v>31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725527320</v>
      </c>
      <c r="AN24" s="3"/>
      <c r="AO24" s="313"/>
    </row>
    <row r="25" spans="1:43" ht="15" hidden="1" customHeight="1" outlineLevel="1" x14ac:dyDescent="0.2">
      <c r="B25" s="32" t="s">
        <v>32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241842440</v>
      </c>
      <c r="AN25" s="52"/>
      <c r="AO25" s="316"/>
    </row>
    <row r="26" spans="1:43" ht="15" hidden="1" customHeight="1" outlineLevel="1" x14ac:dyDescent="0.2">
      <c r="B26" s="32" t="s">
        <v>33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241842440</v>
      </c>
      <c r="AN26" s="52"/>
      <c r="AO26" s="316"/>
    </row>
    <row r="27" spans="1:43" ht="15" hidden="1" customHeight="1" outlineLevel="1" x14ac:dyDescent="0.2">
      <c r="B27" s="32" t="s">
        <v>34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241842440</v>
      </c>
      <c r="AN27" s="52"/>
      <c r="AO27" s="316"/>
    </row>
    <row r="28" spans="1:43" ht="15" customHeight="1" collapsed="1" x14ac:dyDescent="0.2">
      <c r="B28" s="16" t="s">
        <v>35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144590339.60280001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144590339.60280001</v>
      </c>
      <c r="AN28" s="3"/>
      <c r="AO28" s="313"/>
    </row>
    <row r="29" spans="1:43" ht="15" customHeight="1" x14ac:dyDescent="0.2">
      <c r="B29" s="16" t="s">
        <v>36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144590339.60280001</v>
      </c>
      <c r="J29" s="3"/>
      <c r="K29" s="132">
        <f>I29/I13</f>
        <v>8.5410000000000014E-2</v>
      </c>
      <c r="L29" s="49">
        <f>SUM(L30:L37)</f>
        <v>0</v>
      </c>
      <c r="M29" s="3"/>
      <c r="N29" s="132" t="e">
        <f>L29/L13</f>
        <v>#DIV/0!</v>
      </c>
      <c r="O29" s="49">
        <f>SUM(O30:O37)</f>
        <v>0</v>
      </c>
      <c r="P29" s="3"/>
      <c r="Q29" s="150" t="e">
        <f>O29/O13</f>
        <v>#DIV/0!</v>
      </c>
      <c r="R29" s="90">
        <f>SUM(R30:R37)</f>
        <v>0</v>
      </c>
      <c r="S29" s="3"/>
      <c r="T29" s="132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SUM(X30:X38)</f>
        <v>0</v>
      </c>
      <c r="Y29" s="760"/>
      <c r="Z29" s="761" t="e">
        <f>X29/X13</f>
        <v>#DIV/0!</v>
      </c>
      <c r="AA29" s="90">
        <f>SUM(AA30:AA38)</f>
        <v>0</v>
      </c>
      <c r="AB29" s="3"/>
      <c r="AC29" s="876" t="e">
        <f>AA29/AA13</f>
        <v>#DIV/0!</v>
      </c>
      <c r="AD29" s="90">
        <f>SUM(AD30:AD38)</f>
        <v>0</v>
      </c>
      <c r="AE29" s="3"/>
      <c r="AF29" s="150" t="e">
        <f>AD29/AD13</f>
        <v>#DIV/0!</v>
      </c>
      <c r="AG29" s="90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144590339.60280001</v>
      </c>
      <c r="AN29" s="3"/>
      <c r="AO29" s="313">
        <f>AM29/AM13</f>
        <v>8.5410000000000014E-2</v>
      </c>
    </row>
    <row r="30" spans="1:43" s="108" customFormat="1" ht="15" customHeight="1" outlineLevel="1" x14ac:dyDescent="0.2">
      <c r="A30" s="229"/>
      <c r="B30" s="262" t="s">
        <v>37</v>
      </c>
      <c r="C30" s="264">
        <f>C$13*0.5%</f>
        <v>0</v>
      </c>
      <c r="D30" s="79"/>
      <c r="E30" s="147"/>
      <c r="F30" s="264">
        <f>F$13*0.5%</f>
        <v>0</v>
      </c>
      <c r="G30" s="79"/>
      <c r="H30" s="147"/>
      <c r="I30" s="264">
        <f>I$13*0.5%</f>
        <v>8464485.4000000004</v>
      </c>
      <c r="J30" s="79"/>
      <c r="K30" s="147"/>
      <c r="L30" s="264">
        <f>L$13*0.5%</f>
        <v>0</v>
      </c>
      <c r="M30" s="79"/>
      <c r="N30" s="147"/>
      <c r="O30" s="264">
        <f>O$13*0.5%</f>
        <v>0</v>
      </c>
      <c r="P30" s="79"/>
      <c r="Q30" s="147"/>
      <c r="R30" s="264">
        <f>R$13*0.5%</f>
        <v>0</v>
      </c>
      <c r="S30" s="79"/>
      <c r="T30" s="147"/>
      <c r="U30" s="264">
        <f>U$13*0.5%</f>
        <v>0</v>
      </c>
      <c r="V30" s="79"/>
      <c r="W30" s="147"/>
      <c r="X30" s="264">
        <f>X$13*0.5%</f>
        <v>0</v>
      </c>
      <c r="Y30" s="79"/>
      <c r="Z30" s="147"/>
      <c r="AA30" s="264">
        <f>AA$13*0.5%</f>
        <v>0</v>
      </c>
      <c r="AB30" s="79"/>
      <c r="AC30" s="147"/>
      <c r="AD30" s="264">
        <f>AD$13*0.5%</f>
        <v>0</v>
      </c>
      <c r="AE30" s="79"/>
      <c r="AF30" s="147"/>
      <c r="AG30" s="264">
        <f>AG$13*0.5%</f>
        <v>0</v>
      </c>
      <c r="AH30" s="79"/>
      <c r="AI30" s="147"/>
      <c r="AJ30" s="264">
        <f>AJ$13*0.5%</f>
        <v>0</v>
      </c>
      <c r="AK30" s="79"/>
      <c r="AL30" s="80"/>
      <c r="AM30" s="212">
        <f t="shared" si="0"/>
        <v>8464485.4000000004</v>
      </c>
      <c r="AN30" s="79"/>
      <c r="AO30" s="314"/>
      <c r="AP30" s="2"/>
      <c r="AQ30" s="2"/>
    </row>
    <row r="31" spans="1:43" ht="15" customHeight="1" outlineLevel="1" x14ac:dyDescent="0.2">
      <c r="B31" s="105" t="s">
        <v>38</v>
      </c>
      <c r="C31" s="265">
        <f>C$13*1%</f>
        <v>0</v>
      </c>
      <c r="D31" s="43"/>
      <c r="E31" s="118"/>
      <c r="F31" s="265">
        <f>F$13*1%</f>
        <v>0</v>
      </c>
      <c r="G31" s="43"/>
      <c r="H31" s="118"/>
      <c r="I31" s="265">
        <f>I$13*1%</f>
        <v>16928970.800000001</v>
      </c>
      <c r="J31" s="43"/>
      <c r="K31" s="118"/>
      <c r="L31" s="265">
        <f>L$13*1%</f>
        <v>0</v>
      </c>
      <c r="M31" s="43"/>
      <c r="N31" s="118"/>
      <c r="O31" s="265">
        <f>O$13*1%</f>
        <v>0</v>
      </c>
      <c r="P31" s="43"/>
      <c r="Q31" s="118"/>
      <c r="R31" s="265">
        <f>R$13*1%</f>
        <v>0</v>
      </c>
      <c r="S31" s="43"/>
      <c r="T31" s="118"/>
      <c r="U31" s="265">
        <f>U$13*1%</f>
        <v>0</v>
      </c>
      <c r="V31" s="43"/>
      <c r="W31" s="118"/>
      <c r="X31" s="265">
        <f>X$13*1%</f>
        <v>0</v>
      </c>
      <c r="Y31" s="43"/>
      <c r="Z31" s="118"/>
      <c r="AA31" s="265">
        <f>AA$13*1%</f>
        <v>0</v>
      </c>
      <c r="AB31" s="43"/>
      <c r="AC31" s="118"/>
      <c r="AD31" s="265">
        <f>AD$13*1%</f>
        <v>0</v>
      </c>
      <c r="AE31" s="43"/>
      <c r="AF31" s="118"/>
      <c r="AG31" s="265">
        <f>AG$13*1%</f>
        <v>0</v>
      </c>
      <c r="AH31" s="43"/>
      <c r="AI31" s="118"/>
      <c r="AJ31" s="265">
        <f>AJ$13*1%</f>
        <v>0</v>
      </c>
      <c r="AK31" s="43"/>
      <c r="AL31" s="57"/>
      <c r="AM31" s="205">
        <f t="shared" si="0"/>
        <v>16928970.800000001</v>
      </c>
      <c r="AN31" s="43"/>
      <c r="AO31" s="309"/>
    </row>
    <row r="32" spans="1:43" ht="15" customHeight="1" outlineLevel="1" x14ac:dyDescent="0.2">
      <c r="B32" s="105" t="s">
        <v>39</v>
      </c>
      <c r="C32" s="808">
        <f>(C13*80%)*0.6%</f>
        <v>0</v>
      </c>
      <c r="D32" s="92"/>
      <c r="E32" s="338"/>
      <c r="F32" s="808">
        <f>(F13*80%)*0.6%</f>
        <v>0</v>
      </c>
      <c r="G32" s="92"/>
      <c r="H32" s="338"/>
      <c r="I32" s="808">
        <f>(I13*1%)*0.6%</f>
        <v>101573.8248</v>
      </c>
      <c r="J32" s="92"/>
      <c r="K32" s="338"/>
      <c r="L32" s="808">
        <f>(L13*1%)*0.6%</f>
        <v>0</v>
      </c>
      <c r="M32" s="92"/>
      <c r="N32" s="338"/>
      <c r="O32" s="808">
        <f>(O13*1%)*0.6%</f>
        <v>0</v>
      </c>
      <c r="P32" s="43"/>
      <c r="Q32" s="118"/>
      <c r="R32" s="808">
        <f>(R13*1%)*0.6%</f>
        <v>0</v>
      </c>
      <c r="S32" s="43"/>
      <c r="T32" s="118"/>
      <c r="U32" s="808">
        <f>(U13*1%)*0.6%</f>
        <v>0</v>
      </c>
      <c r="V32" s="43"/>
      <c r="W32" s="118"/>
      <c r="X32" s="808">
        <f>(X13*1%)*0.6%</f>
        <v>0</v>
      </c>
      <c r="Y32" s="43"/>
      <c r="Z32" s="118"/>
      <c r="AA32" s="808">
        <f>(AA13*1%)*0.6%</f>
        <v>0</v>
      </c>
      <c r="AB32" s="43"/>
      <c r="AC32" s="118"/>
      <c r="AD32" s="808">
        <f>(AD13*1%)*0.6%</f>
        <v>0</v>
      </c>
      <c r="AE32" s="43"/>
      <c r="AF32" s="118"/>
      <c r="AG32" s="808">
        <f>(AG13*1%)*0.6%</f>
        <v>0</v>
      </c>
      <c r="AH32" s="43"/>
      <c r="AI32" s="118"/>
      <c r="AJ32" s="808">
        <f>(AJ13*1%)*0.6%</f>
        <v>0</v>
      </c>
      <c r="AK32" s="43"/>
      <c r="AL32" s="57"/>
      <c r="AM32" s="205">
        <f t="shared" si="0"/>
        <v>101573.8248</v>
      </c>
      <c r="AN32" s="43"/>
      <c r="AO32" s="309"/>
    </row>
    <row r="33" spans="2:41" ht="15" customHeight="1" outlineLevel="1" x14ac:dyDescent="0.2">
      <c r="B33" s="105" t="s">
        <v>40</v>
      </c>
      <c r="C33" s="265">
        <f>C13*2%</f>
        <v>0</v>
      </c>
      <c r="D33" s="43"/>
      <c r="E33" s="118"/>
      <c r="F33" s="265">
        <f>F13*2%</f>
        <v>0</v>
      </c>
      <c r="G33" s="43"/>
      <c r="H33" s="118"/>
      <c r="I33" s="265">
        <f>I13*2%</f>
        <v>33857941.600000001</v>
      </c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33857941.600000001</v>
      </c>
      <c r="AN33" s="43"/>
      <c r="AO33" s="309"/>
    </row>
    <row r="34" spans="2:41" ht="15" customHeight="1" outlineLevel="1" x14ac:dyDescent="0.2">
      <c r="B34" s="105" t="s">
        <v>41</v>
      </c>
      <c r="C34" s="25"/>
      <c r="D34" s="43"/>
      <c r="E34" s="118"/>
      <c r="F34" s="25"/>
      <c r="G34" s="43"/>
      <c r="H34" s="118"/>
      <c r="I34" s="25">
        <f>(I13*1%)*3.5%</f>
        <v>592513.97800000012</v>
      </c>
      <c r="J34" s="43"/>
      <c r="K34" s="118"/>
      <c r="L34" s="25">
        <f>(L13*1%)*3.5%</f>
        <v>0</v>
      </c>
      <c r="M34" s="43"/>
      <c r="N34" s="118"/>
      <c r="O34" s="25">
        <f>(O13*1%)*3.5%</f>
        <v>0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5">
        <f t="shared" si="0"/>
        <v>592513.97800000012</v>
      </c>
      <c r="AN34" s="43"/>
      <c r="AO34" s="309"/>
    </row>
    <row r="35" spans="2:41" ht="15" customHeight="1" outlineLevel="1" x14ac:dyDescent="0.2">
      <c r="B35" s="335" t="s">
        <v>42</v>
      </c>
      <c r="C35" s="91">
        <f>C$13*2.5%</f>
        <v>0</v>
      </c>
      <c r="D35" s="92"/>
      <c r="E35" s="338"/>
      <c r="F35" s="91">
        <f>F$13*2.5%</f>
        <v>0</v>
      </c>
      <c r="G35" s="92"/>
      <c r="H35" s="338"/>
      <c r="I35" s="91">
        <f>I$13*2.5%</f>
        <v>42322427</v>
      </c>
      <c r="J35" s="92"/>
      <c r="K35" s="338"/>
      <c r="L35" s="91">
        <f>L$13*2.5%</f>
        <v>0</v>
      </c>
      <c r="M35" s="92"/>
      <c r="N35" s="338"/>
      <c r="O35" s="91">
        <f>O$13*2.5%</f>
        <v>0</v>
      </c>
      <c r="P35" s="92"/>
      <c r="Q35" s="338"/>
      <c r="R35" s="91">
        <f>R$13*2.5%</f>
        <v>0</v>
      </c>
      <c r="S35" s="92"/>
      <c r="T35" s="338"/>
      <c r="U35" s="91">
        <f>U$13*2.5%</f>
        <v>0</v>
      </c>
      <c r="V35" s="92"/>
      <c r="W35" s="338"/>
      <c r="X35" s="91">
        <f>X$13*2.5%</f>
        <v>0</v>
      </c>
      <c r="Y35" s="92"/>
      <c r="Z35" s="338"/>
      <c r="AA35" s="91">
        <f>AA$13*2.5%</f>
        <v>0</v>
      </c>
      <c r="AB35" s="92"/>
      <c r="AC35" s="338"/>
      <c r="AD35" s="91">
        <f>AD$13*2.5%</f>
        <v>0</v>
      </c>
      <c r="AE35" s="92"/>
      <c r="AF35" s="338"/>
      <c r="AG35" s="91">
        <f>AG$13*2.5%</f>
        <v>0</v>
      </c>
      <c r="AH35" s="92"/>
      <c r="AI35" s="338"/>
      <c r="AJ35" s="91">
        <f>AJ$13*2.5%</f>
        <v>0</v>
      </c>
      <c r="AK35" s="92"/>
      <c r="AL35" s="88"/>
      <c r="AM35" s="284">
        <f t="shared" si="0"/>
        <v>42322427</v>
      </c>
      <c r="AN35" s="92"/>
      <c r="AO35" s="327"/>
    </row>
    <row r="36" spans="2:41" ht="15" customHeight="1" outlineLevel="1" x14ac:dyDescent="0.2">
      <c r="B36" s="105" t="s">
        <v>43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33857941.600000001</v>
      </c>
      <c r="J36" s="43"/>
      <c r="K36" s="118"/>
      <c r="L36" s="25">
        <f>L13*2%</f>
        <v>0</v>
      </c>
      <c r="M36" s="43"/>
      <c r="N36" s="118"/>
      <c r="O36" s="25">
        <f>O13*2%</f>
        <v>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5">
        <f t="shared" si="0"/>
        <v>33857941.600000001</v>
      </c>
      <c r="AN36" s="43"/>
      <c r="AO36" s="309"/>
    </row>
    <row r="37" spans="2:41" ht="15" customHeight="1" outlineLevel="1" x14ac:dyDescent="0.2">
      <c r="B37" s="105" t="s">
        <v>44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8464485.4000000004</v>
      </c>
      <c r="J37" s="43"/>
      <c r="K37" s="118"/>
      <c r="L37" s="25">
        <f>L$13*0.5%</f>
        <v>0</v>
      </c>
      <c r="M37" s="43"/>
      <c r="N37" s="118"/>
      <c r="O37" s="25">
        <f>O$13*0.5%</f>
        <v>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5">
        <f t="shared" si="0"/>
        <v>8464485.4000000004</v>
      </c>
      <c r="AN37" s="43"/>
      <c r="AO37" s="309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1548306740.3972001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1548306740.3972001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>
        <f>161491188.56-AG29</f>
        <v>161491188.56</v>
      </c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46</v>
      </c>
      <c r="C44" s="490">
        <f>+C45+C60+C78</f>
        <v>342668476.08500004</v>
      </c>
      <c r="D44" s="491"/>
      <c r="E44" s="492"/>
      <c r="F44" s="490">
        <f>+F45+F60+F78</f>
        <v>1435840061.5799999</v>
      </c>
      <c r="G44" s="491"/>
      <c r="H44" s="492" t="e">
        <f>F44/F$13</f>
        <v>#DIV/0!</v>
      </c>
      <c r="I44" s="490">
        <f>+I45+I60+I78</f>
        <v>3511552228.8000002</v>
      </c>
      <c r="J44" s="491"/>
      <c r="K44" s="492">
        <f>I44/I$13</f>
        <v>2.0742857142857143</v>
      </c>
      <c r="L44" s="490">
        <f>+L45+L60+L78</f>
        <v>643300890.39999998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53" si="1">C44+F44+I44+L44+O44+R44+U44+X44+AA44+AD44+AG44+AJ44</f>
        <v>5933361656.8649998</v>
      </c>
      <c r="AN44" s="491"/>
      <c r="AO44" s="580">
        <f>AM44/AM$13</f>
        <v>3.5048566903222489</v>
      </c>
    </row>
    <row r="45" spans="2:41" ht="15" customHeight="1" x14ac:dyDescent="0.2">
      <c r="B45" s="16" t="s">
        <v>47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/>
      <c r="U45" s="90">
        <f>+U46+U57</f>
        <v>0</v>
      </c>
      <c r="V45" s="3"/>
      <c r="W45" s="150"/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</row>
    <row r="46" spans="2:41" ht="15" customHeight="1" x14ac:dyDescent="0.2">
      <c r="B46" s="36" t="s">
        <v>48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</row>
    <row r="47" spans="2:41" ht="15" hidden="1" customHeight="1" x14ac:dyDescent="0.2">
      <c r="B47" s="97" t="s">
        <v>49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>
        <f>I47/I5</f>
        <v>0</v>
      </c>
      <c r="K47" s="140">
        <f>I47/I13</f>
        <v>0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76"/>
      <c r="S47" s="42" t="e">
        <f>R47/R5</f>
        <v>#DIV/0!</v>
      </c>
      <c r="T47" s="140" t="e">
        <f>R47/R13</f>
        <v>#DIV/0!</v>
      </c>
      <c r="U47" s="76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76"/>
      <c r="AB47" s="42"/>
      <c r="AC47" s="140" t="e">
        <f>AA47/AA13</f>
        <v>#DIV/0!</v>
      </c>
      <c r="AD47" s="76"/>
      <c r="AE47" s="42"/>
      <c r="AF47" s="140" t="e">
        <f>AD47/AD13</f>
        <v>#DIV/0!</v>
      </c>
      <c r="AG47" s="76"/>
      <c r="AH47" s="42"/>
      <c r="AI47" s="140"/>
      <c r="AJ47" s="76"/>
      <c r="AK47" s="42"/>
      <c r="AL47" s="140"/>
      <c r="AM47" s="97">
        <f t="shared" si="1"/>
        <v>0</v>
      </c>
      <c r="AN47" s="42">
        <f>AM47/AM5</f>
        <v>0</v>
      </c>
      <c r="AO47" s="315">
        <f>AM47/AM13</f>
        <v>0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 t="e">
        <f>AA48/AA6</f>
        <v>#DIV/0!</v>
      </c>
      <c r="AC48" s="118" t="e">
        <f>AA48/AA17</f>
        <v>#DIV/0!</v>
      </c>
      <c r="AD48" s="75"/>
      <c r="AE48" s="43" t="e">
        <f>AD48/AD6</f>
        <v>#DIV/0!</v>
      </c>
      <c r="AF48" s="118" t="e">
        <f>AD48/AD17</f>
        <v>#DIV/0!</v>
      </c>
      <c r="AG48" s="75"/>
      <c r="AH48" s="43" t="e">
        <f>AG48/AG6</f>
        <v>#DIV/0!</v>
      </c>
      <c r="AI48" s="118" t="e">
        <f>AG48/AG17</f>
        <v>#DIV/0!</v>
      </c>
      <c r="AJ48" s="75"/>
      <c r="AK48" s="43"/>
      <c r="AL48" s="118"/>
      <c r="AM48" s="205">
        <f t="shared" si="1"/>
        <v>0</v>
      </c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 t="e">
        <f>AA49/AA7</f>
        <v>#DIV/0!</v>
      </c>
      <c r="AC49" s="118" t="e">
        <f>AA49/AA18</f>
        <v>#DIV/0!</v>
      </c>
      <c r="AD49" s="75"/>
      <c r="AE49" s="43" t="e">
        <f>AD49/AD7</f>
        <v>#DIV/0!</v>
      </c>
      <c r="AF49" s="118" t="e">
        <f>AD49/AD18</f>
        <v>#DIV/0!</v>
      </c>
      <c r="AG49" s="75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5">
        <f t="shared" si="1"/>
        <v>0</v>
      </c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 t="s">
        <v>50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>
        <f>I57/I12</f>
        <v>0</v>
      </c>
      <c r="K57" s="152">
        <f>I57/I13</f>
        <v>0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7">
        <f t="shared" ref="AM57:AM81" si="2">C57+F57+I57+L57+O57+R57+U57+X57+AA57+AD57+AG57+AJ57</f>
        <v>0</v>
      </c>
      <c r="AN57" s="47"/>
      <c r="AO57" s="311"/>
    </row>
    <row r="58" spans="1:41" ht="15" hidden="1" customHeight="1" x14ac:dyDescent="0.2">
      <c r="B58" s="411" t="s">
        <v>52</v>
      </c>
      <c r="C58" s="304"/>
      <c r="D58" s="305"/>
      <c r="E58" s="412"/>
      <c r="F58" s="304"/>
      <c r="G58" s="305" t="e">
        <f>F58/F5</f>
        <v>#DIV/0!</v>
      </c>
      <c r="H58" s="412" t="e">
        <f>F58/F13</f>
        <v>#DIV/0!</v>
      </c>
      <c r="I58" s="304"/>
      <c r="J58" s="305">
        <f>I58/I5</f>
        <v>0</v>
      </c>
      <c r="K58" s="412">
        <f>I58/I13</f>
        <v>0</v>
      </c>
      <c r="L58" s="304"/>
      <c r="M58" s="305" t="e">
        <f>L58/L5</f>
        <v>#DIV/0!</v>
      </c>
      <c r="N58" s="412" t="e">
        <f>L58/L13</f>
        <v>#DIV/0!</v>
      </c>
      <c r="O58" s="304"/>
      <c r="P58" s="305"/>
      <c r="Q58" s="412"/>
      <c r="R58" s="304"/>
      <c r="S58" s="305" t="e">
        <f>R58/R5</f>
        <v>#DIV/0!</v>
      </c>
      <c r="T58" s="412" t="e">
        <f>R58/R13</f>
        <v>#DIV/0!</v>
      </c>
      <c r="U58" s="304"/>
      <c r="V58" s="305" t="e">
        <f>U58/U5</f>
        <v>#DIV/0!</v>
      </c>
      <c r="W58" s="412" t="e">
        <f>U58/U13</f>
        <v>#DIV/0!</v>
      </c>
      <c r="X58" s="304"/>
      <c r="Y58" s="305" t="e">
        <f>X58/X5</f>
        <v>#DIV/0!</v>
      </c>
      <c r="Z58" s="412" t="e">
        <f>X58/X13</f>
        <v>#DIV/0!</v>
      </c>
      <c r="AA58" s="304"/>
      <c r="AB58" s="305" t="e">
        <f>AA58/AA12</f>
        <v>#DIV/0!</v>
      </c>
      <c r="AC58" s="412" t="e">
        <f>AA58/AA13</f>
        <v>#DIV/0!</v>
      </c>
      <c r="AD58" s="304"/>
      <c r="AE58" s="305" t="e">
        <f>AD58/AD12</f>
        <v>#DIV/0!</v>
      </c>
      <c r="AF58" s="412" t="e">
        <f>AD58/AD13</f>
        <v>#DIV/0!</v>
      </c>
      <c r="AG58" s="304"/>
      <c r="AH58" s="305" t="e">
        <f>AG58/AG12</f>
        <v>#DIV/0!</v>
      </c>
      <c r="AI58" s="412" t="e">
        <f>AG58/AG13</f>
        <v>#DIV/0!</v>
      </c>
      <c r="AJ58" s="304"/>
      <c r="AK58" s="305"/>
      <c r="AL58" s="86"/>
      <c r="AM58" s="413">
        <f t="shared" si="2"/>
        <v>0</v>
      </c>
      <c r="AN58" s="305"/>
      <c r="AO58" s="414">
        <f>AM58/AM$16</f>
        <v>0</v>
      </c>
    </row>
    <row r="59" spans="1:41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 t="e">
        <f>F59/F5</f>
        <v>#DIV/0!</v>
      </c>
      <c r="H59" s="336" t="e">
        <f>F59/F13</f>
        <v>#DIV/0!</v>
      </c>
      <c r="I59" s="83"/>
      <c r="J59" s="84">
        <f>I59/I5</f>
        <v>0</v>
      </c>
      <c r="K59" s="336">
        <f>I59/I13</f>
        <v>0</v>
      </c>
      <c r="L59" s="83"/>
      <c r="M59" s="84" t="e">
        <f>L59/L5</f>
        <v>#DIV/0!</v>
      </c>
      <c r="N59" s="336" t="e">
        <f>L59/L13</f>
        <v>#DIV/0!</v>
      </c>
      <c r="O59" s="83"/>
      <c r="P59" s="84"/>
      <c r="Q59" s="336"/>
      <c r="R59" s="83"/>
      <c r="S59" s="84" t="e">
        <f>R59/R5</f>
        <v>#DIV/0!</v>
      </c>
      <c r="T59" s="336" t="e">
        <f>R59/R13</f>
        <v>#DIV/0!</v>
      </c>
      <c r="U59" s="83"/>
      <c r="V59" s="84" t="e">
        <f>U59/U5</f>
        <v>#DIV/0!</v>
      </c>
      <c r="W59" s="336" t="e">
        <f>U59/U13</f>
        <v>#DIV/0!</v>
      </c>
      <c r="X59" s="83"/>
      <c r="Y59" s="84" t="e">
        <f>X59/X5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85"/>
      <c r="AM59" s="206">
        <f t="shared" si="2"/>
        <v>0</v>
      </c>
      <c r="AN59" s="84"/>
      <c r="AO59" s="416">
        <f>AM59/(AM16)</f>
        <v>0</v>
      </c>
    </row>
    <row r="60" spans="1:41" ht="15" customHeight="1" x14ac:dyDescent="0.2">
      <c r="B60" s="16" t="s">
        <v>54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2786024908.8000002</v>
      </c>
      <c r="J60" s="3"/>
      <c r="K60" s="150"/>
      <c r="L60" s="49">
        <f>+L61+L72+L75+L76+L77</f>
        <v>643300890.39999998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90">
        <f>+AG61+AG72+AG75+AG76+AG77</f>
        <v>0</v>
      </c>
      <c r="AH60" s="760"/>
      <c r="AI60" s="150"/>
      <c r="AJ60" s="49">
        <f>+AJ61+AJ72+AJ75+AJ76+AJ77</f>
        <v>0</v>
      </c>
      <c r="AK60" s="3"/>
      <c r="AL60" s="61"/>
      <c r="AM60" s="16">
        <f t="shared" si="2"/>
        <v>4723307345.8649998</v>
      </c>
      <c r="AN60" s="3"/>
      <c r="AO60" s="313"/>
    </row>
    <row r="61" spans="1:41" ht="15" customHeight="1" x14ac:dyDescent="0.2">
      <c r="B61" s="36" t="s">
        <v>55</v>
      </c>
      <c r="C61" s="37">
        <f>SUM(C62:C71)</f>
        <v>212649792.71000001</v>
      </c>
      <c r="D61" s="67"/>
      <c r="E61" s="813" t="e">
        <f>C61/(C$13-C$19-C$20)</f>
        <v>#DIV/0!</v>
      </c>
      <c r="F61" s="37">
        <f>SUM(F62:F71)</f>
        <v>955058633.98000002</v>
      </c>
      <c r="G61" s="67"/>
      <c r="H61" s="813" t="e">
        <f>F61/(F$13-F$19-F$20)</f>
        <v>#DIV/0!</v>
      </c>
      <c r="I61" s="37">
        <f>SUM(I62:I71)</f>
        <v>1209212200</v>
      </c>
      <c r="J61" s="67"/>
      <c r="K61" s="813">
        <f>I61/(I$13-I$19-I$20)</f>
        <v>0.83333333333333337</v>
      </c>
      <c r="L61" s="37">
        <f>SUM(L62:L71)</f>
        <v>0</v>
      </c>
      <c r="M61" s="67"/>
      <c r="N61" s="813" t="e">
        <f>L61/L13</f>
        <v>#DIV/0!</v>
      </c>
      <c r="O61" s="37">
        <f>SUM(O62:O71)</f>
        <v>0</v>
      </c>
      <c r="P61" s="67"/>
      <c r="Q61" s="813" t="e">
        <f>O61/(O13-O20)</f>
        <v>#DIV/0!</v>
      </c>
      <c r="R61" s="37">
        <f>SUM(R62:R71)</f>
        <v>0</v>
      </c>
      <c r="S61" s="67"/>
      <c r="T61" s="813" t="e">
        <f>R61/R13</f>
        <v>#DIV/0!</v>
      </c>
      <c r="U61" s="37">
        <f>SUM(U62:U71)</f>
        <v>0</v>
      </c>
      <c r="V61" s="67"/>
      <c r="W61" s="813" t="e">
        <f>U61/U13</f>
        <v>#DIV/0!</v>
      </c>
      <c r="X61" s="37">
        <f>SUM(X62:X71)</f>
        <v>0</v>
      </c>
      <c r="Y61" s="67"/>
      <c r="Z61" s="813" t="e">
        <f>X61/X13</f>
        <v>#DIV/0!</v>
      </c>
      <c r="AA61" s="37">
        <f>SUM(AA62:AA71)</f>
        <v>0</v>
      </c>
      <c r="AB61" s="67"/>
      <c r="AC61" s="813" t="e">
        <f>AA61/(AA13-AA19-AA20)</f>
        <v>#DIV/0!</v>
      </c>
      <c r="AD61" s="37">
        <f>SUM(AD62:AD71)</f>
        <v>0</v>
      </c>
      <c r="AE61" s="67"/>
      <c r="AF61" s="813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1">
        <f t="shared" si="2"/>
        <v>2376920626.6900001</v>
      </c>
      <c r="AN61" s="67"/>
      <c r="AO61" s="812">
        <f>AM61/(AM$13-AM$19-AM$20)</f>
        <v>1.6380641784033716</v>
      </c>
    </row>
    <row r="62" spans="1:41" ht="15" customHeight="1" x14ac:dyDescent="0.2">
      <c r="A62" s="226" t="s">
        <v>56</v>
      </c>
      <c r="B62" s="100" t="s">
        <v>57</v>
      </c>
      <c r="C62" s="78">
        <f>'[1]Hoja 1'!$I$47</f>
        <v>92598048.179999992</v>
      </c>
      <c r="D62" s="79" t="e">
        <f>C62/C5</f>
        <v>#DIV/0!</v>
      </c>
      <c r="E62" s="147" t="e">
        <f>C62/C16</f>
        <v>#DIV/0!</v>
      </c>
      <c r="F62" s="78">
        <f>'[2]Hoja 1'!$I$56</f>
        <v>419907784.06</v>
      </c>
      <c r="G62" s="79" t="e">
        <f>F62/F5</f>
        <v>#DIV/0!</v>
      </c>
      <c r="H62" s="147" t="e">
        <f>F62/F16</f>
        <v>#DIV/0!</v>
      </c>
      <c r="I62" s="78">
        <v>241842440</v>
      </c>
      <c r="J62" s="79">
        <f>I62/I5</f>
        <v>1</v>
      </c>
      <c r="K62" s="147">
        <f>I62/I16</f>
        <v>1</v>
      </c>
      <c r="L62" s="78"/>
      <c r="M62" s="79" t="e">
        <f>L62/L5</f>
        <v>#DIV/0!</v>
      </c>
      <c r="N62" s="147" t="e">
        <f>L62/L16</f>
        <v>#DIV/0!</v>
      </c>
      <c r="O62" s="78"/>
      <c r="P62" s="79" t="e">
        <f>O62/O5</f>
        <v>#DIV/0!</v>
      </c>
      <c r="Q62" s="147" t="e">
        <f>O62/O16</f>
        <v>#DIV/0!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2">
        <f t="shared" si="2"/>
        <v>754348272.24000001</v>
      </c>
      <c r="AN62" s="79">
        <f>AM62/AM5</f>
        <v>3.1191724340855971</v>
      </c>
      <c r="AO62" s="314">
        <f>AM62/AM16</f>
        <v>3.1191724340855971</v>
      </c>
    </row>
    <row r="63" spans="1:41" ht="15" customHeight="1" x14ac:dyDescent="0.2">
      <c r="A63" s="226" t="s">
        <v>56</v>
      </c>
      <c r="B63" s="101" t="s">
        <v>58</v>
      </c>
      <c r="C63" s="25">
        <f>'[1]Hoja 1'!$I$49</f>
        <v>69463450.939999998</v>
      </c>
      <c r="D63" s="43" t="e">
        <f>C63/C6</f>
        <v>#DIV/0!</v>
      </c>
      <c r="E63" s="118" t="e">
        <f>C63/C17</f>
        <v>#DIV/0!</v>
      </c>
      <c r="F63" s="25">
        <f>'[2]Hoja 1'!$I$58</f>
        <v>342290997.86000001</v>
      </c>
      <c r="G63" s="43" t="e">
        <f>F63/F6</f>
        <v>#DIV/0!</v>
      </c>
      <c r="H63" s="118" t="e">
        <f>F63/F17</f>
        <v>#DIV/0!</v>
      </c>
      <c r="I63" s="25">
        <v>241842440</v>
      </c>
      <c r="J63" s="43">
        <f>I63/I6</f>
        <v>1</v>
      </c>
      <c r="K63" s="118">
        <f>I63/I17</f>
        <v>1</v>
      </c>
      <c r="L63" s="25"/>
      <c r="M63" s="43" t="e">
        <f>L63/L6</f>
        <v>#DIV/0!</v>
      </c>
      <c r="N63" s="118" t="e">
        <f>L63/L17</f>
        <v>#DIV/0!</v>
      </c>
      <c r="O63" s="25"/>
      <c r="P63" s="43" t="e">
        <f>O63/O6</f>
        <v>#DIV/0!</v>
      </c>
      <c r="Q63" s="118" t="e">
        <f>O63/O17</f>
        <v>#DIV/0!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5">
        <f t="shared" si="2"/>
        <v>653596888.79999995</v>
      </c>
      <c r="AN63" s="43">
        <f>AM63/AM6</f>
        <v>2.7025731662317001</v>
      </c>
      <c r="AO63" s="309">
        <f>AM63/AM17</f>
        <v>2.7025731662317001</v>
      </c>
    </row>
    <row r="64" spans="1:41" ht="15" customHeight="1" x14ac:dyDescent="0.2">
      <c r="A64" s="226" t="s">
        <v>56</v>
      </c>
      <c r="B64" s="25" t="s">
        <v>59</v>
      </c>
      <c r="C64" s="25">
        <f>'[1]Hoja 1'!$I$51</f>
        <v>50588293.590000004</v>
      </c>
      <c r="D64" s="43" t="e">
        <f>C64/C7</f>
        <v>#DIV/0!</v>
      </c>
      <c r="E64" s="118" t="e">
        <f>C64/C18</f>
        <v>#DIV/0!</v>
      </c>
      <c r="F64" s="25">
        <f>'[2]Hoja 1'!$I$60</f>
        <v>192859852.06</v>
      </c>
      <c r="G64" s="43" t="e">
        <f>F64/F7</f>
        <v>#DIV/0!</v>
      </c>
      <c r="H64" s="118" t="e">
        <f>F64/F18</f>
        <v>#DIV/0!</v>
      </c>
      <c r="I64" s="25">
        <v>241842440</v>
      </c>
      <c r="J64" s="43">
        <f>I64/I7</f>
        <v>1</v>
      </c>
      <c r="K64" s="118">
        <f>I64/I18</f>
        <v>1</v>
      </c>
      <c r="L64" s="25"/>
      <c r="M64" s="43" t="e">
        <f>L64/L7</f>
        <v>#DIV/0!</v>
      </c>
      <c r="N64" s="118" t="e">
        <f>L64/L18</f>
        <v>#DIV/0!</v>
      </c>
      <c r="O64" s="25"/>
      <c r="P64" s="43" t="e">
        <f>O64/O7</f>
        <v>#DIV/0!</v>
      </c>
      <c r="Q64" s="118" t="e">
        <f>O64/O18</f>
        <v>#DIV/0!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5">
        <f t="shared" si="2"/>
        <v>485290585.64999998</v>
      </c>
      <c r="AN64" s="43">
        <f>AM64/AM7</f>
        <v>2.0066394701029315</v>
      </c>
      <c r="AO64" s="309">
        <f>AM64/AM18</f>
        <v>2.0066394701029315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66" ht="15" customHeight="1" x14ac:dyDescent="0.2">
      <c r="B66" s="25" t="s">
        <v>60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241842440</v>
      </c>
      <c r="AN66" s="43"/>
      <c r="AO66" s="309"/>
    </row>
    <row r="67" spans="1:66" ht="15" customHeight="1" x14ac:dyDescent="0.2">
      <c r="B67" s="25" t="s">
        <v>61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2"/>
        <v>241842440</v>
      </c>
      <c r="AN67" s="43"/>
      <c r="AO67" s="309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>
        <f t="shared" si="2"/>
        <v>0</v>
      </c>
      <c r="AN68" s="43"/>
      <c r="AO68" s="309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>
        <f t="shared" si="2"/>
        <v>0</v>
      </c>
      <c r="AN69" s="43"/>
      <c r="AO69" s="309"/>
    </row>
    <row r="70" spans="1:6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>
        <f t="shared" si="2"/>
        <v>0</v>
      </c>
      <c r="AN70" s="43"/>
      <c r="AO70" s="309"/>
    </row>
    <row r="71" spans="1:6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si="2"/>
        <v>0</v>
      </c>
      <c r="AN71" s="84"/>
      <c r="AO71" s="310"/>
    </row>
    <row r="72" spans="1:66" ht="15" customHeight="1" x14ac:dyDescent="0.2">
      <c r="B72" s="36" t="s">
        <v>62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851285388.79999995</v>
      </c>
      <c r="J72" s="47">
        <f>I72/I12</f>
        <v>0.88</v>
      </c>
      <c r="K72" s="152">
        <f>I72/I13</f>
        <v>0.50285714285714278</v>
      </c>
      <c r="L72" s="46">
        <f>SUM(L73:L74)</f>
        <v>643300890.39999998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1548816957.175</v>
      </c>
      <c r="AN72" s="47">
        <f>AM72/AM12</f>
        <v>1.6010599268422447</v>
      </c>
      <c r="AO72" s="152">
        <f>AM72/AM13</f>
        <v>0.91489138676699711</v>
      </c>
    </row>
    <row r="73" spans="1:66" ht="15" customHeight="1" x14ac:dyDescent="0.2">
      <c r="B73" s="411" t="s">
        <v>63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609442948.79999995</v>
      </c>
      <c r="J73" s="79"/>
      <c r="K73" s="147"/>
      <c r="L73" s="78">
        <f>'GASTOS VEHICULOS'!F25*'%DIST'!H21</f>
        <v>643300890.39999998</v>
      </c>
      <c r="M73" s="79"/>
      <c r="N73" s="147"/>
      <c r="O73" s="78">
        <f>'GASTOS VEHICULOS'!G25*'%DIST'!J21</f>
        <v>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5"/>
      <c r="AL73" s="86"/>
      <c r="AM73" s="413">
        <f t="shared" si="2"/>
        <v>1274624760.175</v>
      </c>
      <c r="AN73" s="305"/>
      <c r="AO73" s="417"/>
    </row>
    <row r="74" spans="1:66" ht="15" customHeight="1" x14ac:dyDescent="0.2">
      <c r="A74" s="226" t="s">
        <v>64</v>
      </c>
      <c r="B74" s="415" t="s">
        <v>65</v>
      </c>
      <c r="C74" s="273">
        <f>'[3]Hoja 1'!$C$66</f>
        <v>2365998</v>
      </c>
      <c r="D74" s="134"/>
      <c r="E74" s="428"/>
      <c r="F74" s="273">
        <f>'[4]Hoja 1'!$C$627+'[5]Hoja 1'!$C$193</f>
        <v>29983759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274192197</v>
      </c>
      <c r="AN74" s="84">
        <f>AM74/AM12</f>
        <v>0.2834409429957786</v>
      </c>
      <c r="AO74" s="416">
        <f>AM74/AM13</f>
        <v>0.16196625314044491</v>
      </c>
    </row>
    <row r="75" spans="1:66" ht="15" customHeight="1" x14ac:dyDescent="0.2">
      <c r="B75" s="36" t="s">
        <v>66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241842440</v>
      </c>
      <c r="AN75" s="67"/>
      <c r="AO75" s="318"/>
    </row>
    <row r="76" spans="1:66" ht="15" customHeight="1" x14ac:dyDescent="0.2">
      <c r="A76" s="226" t="s">
        <v>67</v>
      </c>
      <c r="B76" s="36" t="s">
        <v>68</v>
      </c>
      <c r="C76" s="37"/>
      <c r="D76" s="67"/>
      <c r="E76" s="149"/>
      <c r="F76" s="37">
        <f>'[4]Hoja 1'!$C$593</f>
        <v>51377547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293219987</v>
      </c>
      <c r="AN76" s="67"/>
      <c r="AO76" s="320">
        <f>AM76/$AM$13</f>
        <v>0.17320603270223608</v>
      </c>
    </row>
    <row r="77" spans="1:66" ht="15" customHeight="1" x14ac:dyDescent="0.2">
      <c r="A77" s="226" t="s">
        <v>69</v>
      </c>
      <c r="B77" s="66" t="s">
        <v>70</v>
      </c>
      <c r="C77" s="28">
        <f>'[6]Hoja 1'!$C$692+'[3]Hoja 1'!$C$68</f>
        <v>4179823</v>
      </c>
      <c r="D77" s="45"/>
      <c r="E77" s="340"/>
      <c r="F77" s="28">
        <f>'[4]Hoja 1'!$C$629+'[5]Hoja 1'!$C$195</f>
        <v>16485072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262507335</v>
      </c>
      <c r="AN77" s="42">
        <f>AM77/AM12</f>
        <v>0.27136194023679217</v>
      </c>
      <c r="AO77" s="320">
        <f>AM77/$AM$13</f>
        <v>0.15506396584959553</v>
      </c>
    </row>
    <row r="78" spans="1:66" ht="15" customHeight="1" x14ac:dyDescent="0.2">
      <c r="B78" s="16" t="s">
        <v>71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725527320</v>
      </c>
      <c r="J78" s="3">
        <f>I78/I12</f>
        <v>0.75</v>
      </c>
      <c r="K78" s="150">
        <f>I78/I13</f>
        <v>0.42857142857142855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0</v>
      </c>
      <c r="P78" s="3" t="e">
        <f>O78/O12</f>
        <v>#DIV/0!</v>
      </c>
      <c r="Q78" s="150" t="e">
        <f>O78/O13</f>
        <v>#DIV/0!</v>
      </c>
      <c r="R78" s="90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2"/>
        <v>1210054311</v>
      </c>
      <c r="AN78" s="3">
        <f>AM78/AM12</f>
        <v>1.2508705161509286</v>
      </c>
      <c r="AO78" s="321">
        <f>AM78/AM13</f>
        <v>0.71478315208624499</v>
      </c>
    </row>
    <row r="79" spans="1:66" s="108" customFormat="1" ht="15" customHeight="1" x14ac:dyDescent="0.2">
      <c r="A79" s="229" t="s">
        <v>72</v>
      </c>
      <c r="B79" s="39" t="s">
        <v>73</v>
      </c>
      <c r="C79" s="726">
        <f>'[7]Hoja 1'!$D$9+'[8]Hoja 1'!$D$28+'[9]Hoja 1'!$D$9</f>
        <v>104001450</v>
      </c>
      <c r="D79" s="267"/>
      <c r="E79" s="306"/>
      <c r="F79" s="726">
        <f>'[10]Hoja 1'!$D$19-23031718+'[11]Hoja 1'!$D$33+'[12]Hoja 1'!$D$9</f>
        <v>342229646</v>
      </c>
      <c r="G79" s="69"/>
      <c r="H79" s="306"/>
      <c r="I79" s="39">
        <v>241842440</v>
      </c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894"/>
      <c r="AK79" s="69"/>
      <c r="AL79" s="306"/>
      <c r="AM79" s="729">
        <f t="shared" si="2"/>
        <v>688073536</v>
      </c>
      <c r="AN79" s="730">
        <f>AM79/$AM$12</f>
        <v>0.71128286664656537</v>
      </c>
      <c r="AO79" s="322">
        <f>AM79/AM13</f>
        <v>0.40644735236946594</v>
      </c>
      <c r="AQ79" s="895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108" customFormat="1" ht="15" customHeight="1" x14ac:dyDescent="0.2">
      <c r="A80" s="229" t="s">
        <v>72</v>
      </c>
      <c r="B80" s="25" t="s">
        <v>74</v>
      </c>
      <c r="C80" s="25">
        <f>'[13]Hoja 1'!$D$34+'[13]Hoja 1'!$D$38+'[8]Hoja 1'!$D$32</f>
        <v>14612792</v>
      </c>
      <c r="D80" s="272"/>
      <c r="E80" s="118"/>
      <c r="F80" s="25">
        <f>'[14]Hoja 1'!$D$39+'[10]Hoja 1'!$D$18</f>
        <v>23683103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2"/>
        <v>280138335</v>
      </c>
      <c r="AN80" s="43">
        <f>AM80/$AM$12</f>
        <v>0.28958764950436328</v>
      </c>
      <c r="AO80" s="309">
        <f>AM80/AM13</f>
        <v>0.16547865685963614</v>
      </c>
      <c r="AQ80" s="946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75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241842440</v>
      </c>
      <c r="AN81" s="214"/>
      <c r="AO81" s="323"/>
    </row>
    <row r="82" spans="1:67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67" ht="15" customHeight="1" thickTop="1" x14ac:dyDescent="0.2">
      <c r="B83" s="526" t="s">
        <v>76</v>
      </c>
      <c r="C83" s="490">
        <f>+C84+C89+C92+C96+C99+C109+C114+C120+C123+C127</f>
        <v>73129218.064358726</v>
      </c>
      <c r="D83" s="491"/>
      <c r="E83" s="492" t="e">
        <f>C83/(C$13)</f>
        <v>#DIV/0!</v>
      </c>
      <c r="F83" s="490">
        <f>+F84+F89+F92+F96+F99+F109+F114+F120+F123+F127</f>
        <v>156808090.34399</v>
      </c>
      <c r="G83" s="491"/>
      <c r="H83" s="492" t="e">
        <f>F83/(F$13)</f>
        <v>#DIV/0!</v>
      </c>
      <c r="I83" s="490">
        <f>+I84+I89+I92+I96+I99+I109+I114+I120+I123+I127</f>
        <v>12333964440</v>
      </c>
      <c r="J83" s="491"/>
      <c r="K83" s="492">
        <f>I83/(I$13)</f>
        <v>7.2857142857142856</v>
      </c>
      <c r="L83" s="490">
        <f>+L84+L89+L92+L96+L99+L109+L114+L120+L123+L127</f>
        <v>0</v>
      </c>
      <c r="M83" s="491"/>
      <c r="N83" s="492" t="e">
        <f>L83/(L$13)</f>
        <v>#DIV/0!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67" ht="15" customHeight="1" x14ac:dyDescent="0.2">
      <c r="B84" s="16" t="s">
        <v>77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</v>
      </c>
      <c r="G84" s="3"/>
      <c r="H84" s="150" t="e">
        <f>F84/(F$13)</f>
        <v>#DIV/0!</v>
      </c>
      <c r="I84" s="49">
        <f>SUM(I85:I88)</f>
        <v>1692897080</v>
      </c>
      <c r="J84" s="3"/>
      <c r="K84" s="150">
        <f>I84/(I$13)</f>
        <v>1</v>
      </c>
      <c r="L84" s="49">
        <f>SUM(L85:L88)</f>
        <v>0</v>
      </c>
      <c r="M84" s="3"/>
      <c r="N84" s="150" t="e">
        <f>L84/(L$13)</f>
        <v>#DIV/0!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/>
      <c r="X84" s="49" t="e">
        <f>SUM(X85:X88)</f>
        <v>#DIV/0!</v>
      </c>
      <c r="Y84" s="3"/>
      <c r="Z84" s="150"/>
      <c r="AA84" s="49" t="e">
        <f>SUM(AA85:AA88)</f>
        <v>#DIV/0!</v>
      </c>
      <c r="AB84" s="3"/>
      <c r="AC84" s="150"/>
      <c r="AD84" s="49" t="e">
        <f>SUM(AD85:AD88)</f>
        <v>#DIV/0!</v>
      </c>
      <c r="AE84" s="3"/>
      <c r="AF84" s="150"/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 t="e">
        <f>AM84/AM12</f>
        <v>#DIV/0!</v>
      </c>
      <c r="AO84" s="321" t="e">
        <f>AM84/(AM$13)</f>
        <v>#DIV/0!</v>
      </c>
    </row>
    <row r="85" spans="1:67" ht="15" customHeight="1" x14ac:dyDescent="0.2">
      <c r="B85" s="39" t="s">
        <v>78</v>
      </c>
      <c r="C85" s="39">
        <f>'GASTOS OPERATIVOS'!C17*'%DIST'!C5</f>
        <v>19138041.06435873</v>
      </c>
      <c r="D85" s="69"/>
      <c r="E85" s="306"/>
      <c r="F85" s="39">
        <f>'GASTOS OPERATIVOS'!D17*'%DIST'!E5</f>
        <v>72259740.463990003</v>
      </c>
      <c r="G85" s="69"/>
      <c r="H85" s="306"/>
      <c r="I85" s="39">
        <f>'GASTOS OPERATIVOS'!E17*'%DIST'!G5</f>
        <v>967369760</v>
      </c>
      <c r="J85" s="69"/>
      <c r="K85" s="306"/>
      <c r="L85" s="39">
        <f>'GASTOS OPERATIVOS'!F17*'%DIST'!I5</f>
        <v>0</v>
      </c>
      <c r="M85" s="69"/>
      <c r="N85" s="306"/>
      <c r="O85" s="39" t="e">
        <f>'GASTOS OPERATIVOS'!G17*'%DIST'!K5</f>
        <v>#DIV/0!</v>
      </c>
      <c r="P85" s="69"/>
      <c r="Q85" s="306"/>
      <c r="R85" s="39" t="e">
        <f>'GASTOS OPERATIVOS'!H17*'%DIST'!M5</f>
        <v>#DIV/0!</v>
      </c>
      <c r="S85" s="69"/>
      <c r="T85" s="306"/>
      <c r="U85" s="39" t="e">
        <f>'GASTOS OPERATIVOS'!I17*'%DIST'!O5</f>
        <v>#DIV/0!</v>
      </c>
      <c r="V85" s="69"/>
      <c r="W85" s="306"/>
      <c r="X85" s="39" t="e">
        <f>'GASTOS OPERATIVOS'!J17*'%DIST'!Q5</f>
        <v>#DIV/0!</v>
      </c>
      <c r="Y85" s="69"/>
      <c r="Z85" s="306"/>
      <c r="AA85" s="39" t="e">
        <f>'GASTOS OPERATIVOS'!K17*'%DIST'!S5</f>
        <v>#DIV/0!</v>
      </c>
      <c r="AB85" s="69"/>
      <c r="AC85" s="306"/>
      <c r="AD85" s="39" t="e">
        <f>'GASTOS OPERATIVOS'!L17*'%DIST'!U5</f>
        <v>#DIV/0!</v>
      </c>
      <c r="AE85" s="69"/>
      <c r="AF85" s="306"/>
      <c r="AG85" s="39" t="e">
        <f>'GASTOS OPERATIVOS'!M17*'%DIST'!W5</f>
        <v>#DIV/0!</v>
      </c>
      <c r="AH85" s="69"/>
      <c r="AI85" s="306"/>
      <c r="AJ85" s="39" t="e">
        <f>'GASTOS OPERATIVOS'!N17*'%DIST'!Y5</f>
        <v>#DIV/0!</v>
      </c>
      <c r="AK85" s="69"/>
      <c r="AL85" s="70"/>
      <c r="AM85" s="209" t="e">
        <f t="shared" si="3"/>
        <v>#DIV/0!</v>
      </c>
      <c r="AN85" s="306"/>
      <c r="AO85" s="306" t="e">
        <f>AM85/(AM$13)</f>
        <v>#DIV/0!</v>
      </c>
    </row>
    <row r="86" spans="1:67" s="108" customFormat="1" ht="15" customHeight="1" x14ac:dyDescent="0.2">
      <c r="A86" s="229"/>
      <c r="B86" s="25" t="s">
        <v>79</v>
      </c>
      <c r="C86" s="25"/>
      <c r="D86" s="43"/>
      <c r="E86" s="118"/>
      <c r="F86" s="25">
        <f>'[5]Hoja 1'!$C$174</f>
        <v>23031718</v>
      </c>
      <c r="G86" s="272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1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264874158</v>
      </c>
      <c r="AN86" s="43"/>
      <c r="AO86" s="118">
        <f>AM86/(AM$13)</f>
        <v>0.15646205615760173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108" customFormat="1" ht="15" customHeight="1" x14ac:dyDescent="0.2">
      <c r="A87" s="229" t="s">
        <v>80</v>
      </c>
      <c r="B87" s="97" t="s">
        <v>81</v>
      </c>
      <c r="C87" s="22"/>
      <c r="D87" s="42"/>
      <c r="E87" s="140"/>
      <c r="F87" s="22">
        <f>'[4]Hoja 1'!$C$623</f>
        <v>17699100</v>
      </c>
      <c r="G87" s="146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78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259541540</v>
      </c>
      <c r="AN87" s="42"/>
      <c r="AO87" s="315">
        <f>AM87/(AM$13)</f>
        <v>0.15331206076626938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6" t="s">
        <v>82</v>
      </c>
      <c r="B88" s="206" t="s">
        <v>83</v>
      </c>
      <c r="C88" s="83">
        <f>'[3]Hoja 1'!$C$21+'[15]Hoja 1'!$C$64</f>
        <v>992635</v>
      </c>
      <c r="D88" s="84"/>
      <c r="E88" s="336"/>
      <c r="F88" s="83">
        <f>'[5]Hoja 1'!$C$148+'[16]Hoja 1'!$C$70</f>
        <v>2567998</v>
      </c>
      <c r="G88" s="420"/>
      <c r="H88" s="336"/>
      <c r="I88" s="83">
        <v>241842440</v>
      </c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245403073</v>
      </c>
      <c r="AN88" s="84"/>
      <c r="AO88" s="310"/>
    </row>
    <row r="89" spans="1:67" ht="15" customHeight="1" x14ac:dyDescent="0.2">
      <c r="B89" s="16" t="s">
        <v>84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483684880</v>
      </c>
      <c r="J89" s="3"/>
      <c r="K89" s="150">
        <f>I89/(I$13)</f>
        <v>0.2857142857142857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90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483684880</v>
      </c>
      <c r="AN89" s="3"/>
      <c r="AO89" s="321">
        <f>AM89/(AM$13)</f>
        <v>0.2857142857142857</v>
      </c>
    </row>
    <row r="90" spans="1:67" ht="15" customHeight="1" outlineLevel="1" x14ac:dyDescent="0.2">
      <c r="B90" s="39" t="s">
        <v>85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241842440</v>
      </c>
      <c r="AN90" s="69"/>
      <c r="AO90" s="324"/>
    </row>
    <row r="91" spans="1:67" ht="15" customHeight="1" outlineLevel="1" x14ac:dyDescent="0.2">
      <c r="B91" s="83" t="s">
        <v>86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241842440</v>
      </c>
      <c r="AN91" s="84"/>
      <c r="AO91" s="310"/>
    </row>
    <row r="92" spans="1:67" ht="15" customHeight="1" x14ac:dyDescent="0.2">
      <c r="B92" s="16" t="s">
        <v>87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725527320</v>
      </c>
      <c r="J92" s="3"/>
      <c r="K92" s="150">
        <f>I92/(I$13)</f>
        <v>0.42857142857142855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90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725527320</v>
      </c>
      <c r="AN92" s="3"/>
      <c r="AO92" s="321">
        <f>AM92/(AM$13)</f>
        <v>0.42857142857142855</v>
      </c>
    </row>
    <row r="93" spans="1:67" ht="15" customHeight="1" outlineLevel="1" x14ac:dyDescent="0.2">
      <c r="B93" s="39" t="s">
        <v>88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241842440</v>
      </c>
      <c r="AN93" s="69"/>
      <c r="AO93" s="324"/>
    </row>
    <row r="94" spans="1:67" ht="15" customHeight="1" outlineLevel="1" x14ac:dyDescent="0.2">
      <c r="B94" s="25" t="s">
        <v>89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241842440</v>
      </c>
      <c r="AN94" s="43"/>
      <c r="AO94" s="309"/>
    </row>
    <row r="95" spans="1:67" ht="15" customHeight="1" outlineLevel="1" x14ac:dyDescent="0.2">
      <c r="B95" s="28" t="s">
        <v>90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241842440</v>
      </c>
      <c r="AN95" s="45"/>
      <c r="AO95" s="325"/>
    </row>
    <row r="96" spans="1:67" ht="15" customHeight="1" x14ac:dyDescent="0.2">
      <c r="B96" s="106" t="s">
        <v>91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483684880</v>
      </c>
      <c r="J96" s="3"/>
      <c r="K96" s="150">
        <f>I96/(I$13)</f>
        <v>0.2857142857142857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529481905</v>
      </c>
      <c r="AN96" s="3">
        <f>AM96/AM12</f>
        <v>0.54734179927228654</v>
      </c>
      <c r="AO96" s="321">
        <f>AM96/(AM$13)</f>
        <v>0.31276674244130659</v>
      </c>
      <c r="AP96" s="714"/>
    </row>
    <row r="97" spans="1:43" s="108" customFormat="1" ht="15" customHeight="1" outlineLevel="1" x14ac:dyDescent="0.2">
      <c r="A97" s="229"/>
      <c r="B97" s="39" t="s">
        <v>92</v>
      </c>
      <c r="C97" s="39">
        <f>'[6]Hoja 1'!$C$687+'[3]Hoja 1'!$C$59</f>
        <v>45037562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286880002</v>
      </c>
      <c r="AN97" s="69"/>
      <c r="AO97" s="324"/>
      <c r="AQ97" s="2"/>
    </row>
    <row r="98" spans="1:43" s="108" customFormat="1" ht="15" customHeight="1" outlineLevel="1" x14ac:dyDescent="0.2">
      <c r="A98" s="229"/>
      <c r="B98" s="275" t="s">
        <v>93</v>
      </c>
      <c r="C98" s="275">
        <f>'[3]Hoja 1'!$C$61</f>
        <v>759463</v>
      </c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242601903</v>
      </c>
      <c r="AN98" s="276"/>
      <c r="AO98" s="326"/>
      <c r="AQ98" s="2"/>
    </row>
    <row r="99" spans="1:43" ht="15" customHeight="1" x14ac:dyDescent="0.2">
      <c r="B99" s="16" t="s">
        <v>94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2176581960</v>
      </c>
      <c r="J99" s="3"/>
      <c r="K99" s="150">
        <f>I99/(I$13)</f>
        <v>1.2857142857142858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2183661810</v>
      </c>
      <c r="AN99" s="3">
        <f>AM99/AM12</f>
        <v>2.2573186596198749</v>
      </c>
      <c r="AO99" s="321">
        <f>AM99/(AM$13)</f>
        <v>1.2898963769256429</v>
      </c>
    </row>
    <row r="100" spans="1:43" ht="15" customHeight="1" outlineLevel="1" x14ac:dyDescent="0.2">
      <c r="B100" s="39" t="s">
        <v>95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241842440</v>
      </c>
      <c r="AN100" s="69"/>
      <c r="AO100" s="324"/>
    </row>
    <row r="101" spans="1:43" ht="15" customHeight="1" outlineLevel="1" x14ac:dyDescent="0.2">
      <c r="A101" s="226" t="s">
        <v>96</v>
      </c>
      <c r="B101" s="25" t="s">
        <v>97</v>
      </c>
      <c r="C101" s="25">
        <f>'[6]Hoja 1'!$C$690</f>
        <v>1423500</v>
      </c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243265940</v>
      </c>
      <c r="AN101" s="43"/>
      <c r="AO101" s="309"/>
    </row>
    <row r="102" spans="1:43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241842440</v>
      </c>
      <c r="AN102" s="43"/>
      <c r="AO102" s="309"/>
    </row>
    <row r="103" spans="1:43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'[5]Hoja 1'!C190</f>
        <v>1716677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81"/>
      <c r="AK103" s="43"/>
      <c r="AL103" s="57"/>
      <c r="AM103" s="205">
        <f t="shared" si="3"/>
        <v>243559117</v>
      </c>
      <c r="AN103" s="43"/>
      <c r="AO103" s="309"/>
    </row>
    <row r="104" spans="1:43" ht="15" customHeight="1" outlineLevel="1" x14ac:dyDescent="0.2">
      <c r="A104" s="226" t="s">
        <v>101</v>
      </c>
      <c r="B104" s="25" t="s">
        <v>102</v>
      </c>
      <c r="C104" s="25">
        <f>'[3]Hoja 1'!$C$64</f>
        <v>3852125</v>
      </c>
      <c r="D104" s="43"/>
      <c r="E104" s="118"/>
      <c r="F104" s="25">
        <f>'[5]Hoja 1'!C191</f>
        <v>87548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245782113</v>
      </c>
      <c r="AN104" s="43"/>
      <c r="AO104" s="309"/>
    </row>
    <row r="105" spans="1:43" ht="15" customHeight="1" outlineLevel="1" x14ac:dyDescent="0.2">
      <c r="B105" s="24" t="s">
        <v>103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241842440</v>
      </c>
      <c r="AN105" s="43"/>
      <c r="AO105" s="309"/>
    </row>
    <row r="106" spans="1:43" ht="15" customHeight="1" outlineLevel="1" x14ac:dyDescent="0.2">
      <c r="B106" s="24" t="s">
        <v>104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241842440</v>
      </c>
      <c r="AN106" s="43"/>
      <c r="AO106" s="309"/>
    </row>
    <row r="107" spans="1:43" ht="15" customHeight="1" outlineLevel="1" x14ac:dyDescent="0.2">
      <c r="B107" s="24" t="s">
        <v>105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241842440</v>
      </c>
      <c r="AN107" s="43"/>
      <c r="AO107" s="309"/>
    </row>
    <row r="108" spans="1:43" ht="15" customHeight="1" outlineLevel="1" x14ac:dyDescent="0.2">
      <c r="B108" s="99" t="s">
        <v>106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241842440</v>
      </c>
      <c r="AN108" s="42"/>
      <c r="AO108" s="315"/>
    </row>
    <row r="109" spans="1:43" ht="15" customHeight="1" x14ac:dyDescent="0.2">
      <c r="B109" s="16" t="s">
        <v>107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967369760</v>
      </c>
      <c r="J109" s="3"/>
      <c r="K109" s="150">
        <f>I109/(I$13)</f>
        <v>0.5714285714285714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967639652</v>
      </c>
      <c r="AN109" s="3"/>
      <c r="AO109" s="321">
        <f>AM109/(AM$13)</f>
        <v>0.5715879975408783</v>
      </c>
    </row>
    <row r="110" spans="1:43" ht="15" customHeight="1" outlineLevel="1" x14ac:dyDescent="0.2">
      <c r="B110" s="39" t="s">
        <v>108</v>
      </c>
      <c r="C110" s="39">
        <f>'[3]Hoja 1'!$C$73</f>
        <v>269892</v>
      </c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242112332</v>
      </c>
      <c r="AN110" s="69"/>
      <c r="AO110" s="324"/>
    </row>
    <row r="111" spans="1:43" ht="15" customHeight="1" outlineLevel="1" x14ac:dyDescent="0.2">
      <c r="B111" s="25" t="s">
        <v>109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241842440</v>
      </c>
      <c r="AN111" s="43"/>
      <c r="AO111" s="309"/>
    </row>
    <row r="112" spans="1:43" ht="15" customHeight="1" outlineLevel="1" x14ac:dyDescent="0.2">
      <c r="B112" s="25" t="s">
        <v>110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241842440</v>
      </c>
      <c r="AN112" s="43"/>
      <c r="AO112" s="309"/>
    </row>
    <row r="113" spans="1:41" ht="15" customHeight="1" outlineLevel="1" x14ac:dyDescent="0.2">
      <c r="B113" s="28" t="s">
        <v>111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241842440</v>
      </c>
      <c r="AN113" s="45"/>
      <c r="AO113" s="325"/>
    </row>
    <row r="114" spans="1:41" ht="15" customHeight="1" x14ac:dyDescent="0.2">
      <c r="B114" s="16" t="s">
        <v>112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1209212200</v>
      </c>
      <c r="J114" s="3"/>
      <c r="K114" s="150">
        <f>I114/(I$13)</f>
        <v>0.7142857142857143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3"/>
        <v>1216007200</v>
      </c>
      <c r="AN114" s="3">
        <f>AM114/AM12</f>
        <v>1.257024201376731</v>
      </c>
      <c r="AO114" s="321">
        <f>AM114/(AM$13)</f>
        <v>0.71829954364384629</v>
      </c>
    </row>
    <row r="115" spans="1:41" ht="15" customHeight="1" outlineLevel="1" x14ac:dyDescent="0.2">
      <c r="B115" s="39" t="s">
        <v>113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B116" s="25" t="s">
        <v>114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241842440</v>
      </c>
      <c r="AN116" s="43"/>
      <c r="AO116" s="309"/>
    </row>
    <row r="117" spans="1:41" ht="15" customHeight="1" outlineLevel="1" x14ac:dyDescent="0.2">
      <c r="B117" s="205" t="s">
        <v>115</v>
      </c>
      <c r="C117" s="25">
        <f>'[3]Hoja 1'!$C$76</f>
        <v>1517000</v>
      </c>
      <c r="D117" s="43"/>
      <c r="E117" s="118"/>
      <c r="F117" s="25">
        <f>'[5]Hoja 1'!$C$198</f>
        <v>5278000</v>
      </c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248637440</v>
      </c>
      <c r="AN117" s="43"/>
      <c r="AO117" s="309"/>
    </row>
    <row r="118" spans="1:41" ht="15" customHeight="1" outlineLevel="1" x14ac:dyDescent="0.2">
      <c r="B118" s="205" t="s">
        <v>116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241842440</v>
      </c>
      <c r="AN118" s="43"/>
      <c r="AO118" s="309"/>
    </row>
    <row r="119" spans="1:41" ht="15" customHeight="1" outlineLevel="1" x14ac:dyDescent="0.2">
      <c r="B119" s="97" t="s">
        <v>117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/>
      <c r="P119" s="42"/>
      <c r="Q119" s="140"/>
      <c r="R119" s="785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241842440</v>
      </c>
      <c r="AN119" s="42"/>
      <c r="AO119" s="315"/>
    </row>
    <row r="120" spans="1:41" ht="15" customHeight="1" x14ac:dyDescent="0.2">
      <c r="B120" s="16" t="s">
        <v>118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241842440</v>
      </c>
      <c r="J120" s="3"/>
      <c r="K120" s="150">
        <f>I120/(I$13)</f>
        <v>0.14285714285714285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241842440</v>
      </c>
      <c r="AN120" s="3"/>
      <c r="AO120" s="321">
        <f>AM120/(AM$13)</f>
        <v>0.14285714285714285</v>
      </c>
    </row>
    <row r="121" spans="1:41" ht="15" customHeight="1" x14ac:dyDescent="0.2">
      <c r="B121" s="39" t="s">
        <v>119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241842440</v>
      </c>
      <c r="AN121" s="69"/>
      <c r="AO121" s="324"/>
    </row>
    <row r="122" spans="1:41" ht="15" customHeight="1" x14ac:dyDescent="0.2">
      <c r="B122" s="284" t="s">
        <v>120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241842440</v>
      </c>
      <c r="AN122" s="92"/>
      <c r="AO122" s="327"/>
    </row>
    <row r="123" spans="1:41" ht="15" customHeight="1" x14ac:dyDescent="0.2">
      <c r="B123" s="16" t="s">
        <v>121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725527320</v>
      </c>
      <c r="J123" s="3"/>
      <c r="K123" s="150">
        <f>I123/(I$13)</f>
        <v>0.42857142857142855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725527320</v>
      </c>
      <c r="AN123" s="3"/>
      <c r="AO123" s="321">
        <f>AM123/(AM$13)</f>
        <v>0.42857142857142855</v>
      </c>
    </row>
    <row r="124" spans="1:41" ht="15" customHeight="1" outlineLevel="1" x14ac:dyDescent="0.2">
      <c r="B124" s="39" t="s">
        <v>122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241842440</v>
      </c>
      <c r="AN124" s="69"/>
      <c r="AO124" s="324"/>
    </row>
    <row r="125" spans="1:41" ht="15" customHeight="1" outlineLevel="1" x14ac:dyDescent="0.2">
      <c r="B125" s="25" t="s">
        <v>123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241842440</v>
      </c>
      <c r="AN125" s="43"/>
      <c r="AO125" s="309"/>
    </row>
    <row r="126" spans="1:41" ht="15" customHeight="1" outlineLevel="1" x14ac:dyDescent="0.2">
      <c r="B126" s="28" t="s">
        <v>124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241842440</v>
      </c>
      <c r="AN126" s="45"/>
      <c r="AO126" s="325"/>
    </row>
    <row r="127" spans="1:41" ht="15" customHeight="1" x14ac:dyDescent="0.2">
      <c r="B127" s="16" t="s">
        <v>125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3627636600</v>
      </c>
      <c r="J127" s="3"/>
      <c r="K127" s="150">
        <f>I127/(I$13)</f>
        <v>2.1428571428571428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3661942908.8800001</v>
      </c>
      <c r="AN127" s="3">
        <f>AM127/AM12</f>
        <v>3.7854634911060279</v>
      </c>
      <c r="AO127" s="321">
        <f>AM127/(AM$13)</f>
        <v>2.1631219949177303</v>
      </c>
    </row>
    <row r="128" spans="1:41" s="108" customFormat="1" ht="15" customHeight="1" outlineLevel="1" x14ac:dyDescent="0.2">
      <c r="A128" s="229" t="s">
        <v>126</v>
      </c>
      <c r="B128" s="39" t="s">
        <v>127</v>
      </c>
      <c r="C128" s="39"/>
      <c r="D128" s="69"/>
      <c r="E128" s="306"/>
      <c r="F128" s="39">
        <f>'[5]Hoja 1'!$C$205</f>
        <v>16472151</v>
      </c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258314591</v>
      </c>
      <c r="AN128" s="42"/>
      <c r="AO128" s="734"/>
    </row>
    <row r="129" spans="1:41" ht="15" customHeight="1" outlineLevel="1" x14ac:dyDescent="0.2">
      <c r="A129" s="226" t="s">
        <v>128</v>
      </c>
      <c r="B129" s="25" t="s">
        <v>129</v>
      </c>
      <c r="C129" s="25"/>
      <c r="D129" s="43"/>
      <c r="E129" s="118"/>
      <c r="F129" s="25">
        <f>'[4]Hoja 1'!$C$639+'[5]Hoja 1'!$C$207</f>
        <v>80000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1"/>
      <c r="AH129" s="43"/>
      <c r="AI129" s="118"/>
      <c r="AJ129" s="25"/>
      <c r="AK129" s="43"/>
      <c r="AL129" s="57"/>
      <c r="AM129" s="205">
        <f t="shared" si="4"/>
        <v>241922440</v>
      </c>
      <c r="AN129" s="43"/>
      <c r="AO129" s="329"/>
    </row>
    <row r="130" spans="1:41" ht="15" customHeight="1" outlineLevel="1" x14ac:dyDescent="0.2">
      <c r="A130" s="226" t="s">
        <v>130</v>
      </c>
      <c r="B130" s="25" t="s">
        <v>131</v>
      </c>
      <c r="C130" s="25"/>
      <c r="D130" s="43"/>
      <c r="E130" s="118"/>
      <c r="F130" s="25">
        <f>'[4]Hoja 1'!$C$591+'[5]Hoja 1'!$C$201</f>
        <v>11409919.880000001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253252359.88</v>
      </c>
      <c r="AN130" s="43"/>
      <c r="AO130" s="794"/>
    </row>
    <row r="131" spans="1:41" ht="15" customHeight="1" outlineLevel="1" x14ac:dyDescent="0.2">
      <c r="A131" s="226" t="s">
        <v>132</v>
      </c>
      <c r="B131" s="25" t="s">
        <v>133</v>
      </c>
      <c r="C131" s="25"/>
      <c r="D131" s="43"/>
      <c r="E131" s="118"/>
      <c r="F131" s="25">
        <f>'[4]Hoja 1'!$C$632</f>
        <v>875063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242717503</v>
      </c>
      <c r="AN131" s="43"/>
      <c r="AO131" s="329"/>
    </row>
    <row r="132" spans="1:41" ht="15" customHeight="1" outlineLevel="1" x14ac:dyDescent="0.2">
      <c r="B132" s="25" t="s">
        <v>134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241842440</v>
      </c>
      <c r="AN132" s="43"/>
      <c r="AO132" s="309"/>
    </row>
    <row r="133" spans="1:41" ht="15" customHeight="1" outlineLevel="1" x14ac:dyDescent="0.2">
      <c r="A133" s="226" t="s">
        <v>135</v>
      </c>
      <c r="B133" s="25" t="s">
        <v>136</v>
      </c>
      <c r="C133" s="25">
        <f>'[6]Hoja 1'!$C$695</f>
        <v>79000</v>
      </c>
      <c r="D133" s="43"/>
      <c r="E133" s="118"/>
      <c r="F133" s="25">
        <f>'[4]Hoja 1'!$C$634</f>
        <v>34000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241955440</v>
      </c>
      <c r="AN133" s="43"/>
      <c r="AO133" s="309"/>
    </row>
    <row r="134" spans="1:41" ht="15" customHeight="1" outlineLevel="1" x14ac:dyDescent="0.2">
      <c r="A134" s="226" t="s">
        <v>137</v>
      </c>
      <c r="B134" s="25" t="s">
        <v>138</v>
      </c>
      <c r="C134" s="25"/>
      <c r="D134" s="43"/>
      <c r="E134" s="118"/>
      <c r="F134" s="25">
        <f>'[4]Hoja 1'!$C$636+'[5]Hoja 1'!$C$203</f>
        <v>2355000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244197440</v>
      </c>
      <c r="AN134" s="43"/>
      <c r="AO134" s="309"/>
    </row>
    <row r="135" spans="1:41" ht="15" customHeight="1" outlineLevel="1" x14ac:dyDescent="0.2">
      <c r="B135" s="25" t="s">
        <v>139</v>
      </c>
      <c r="C135" s="25">
        <f>'[6]Hoja 1'!$C$697</f>
        <v>4000</v>
      </c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241846440</v>
      </c>
      <c r="AN135" s="43"/>
      <c r="AO135" s="309"/>
    </row>
    <row r="136" spans="1:41" ht="15" customHeight="1" outlineLevel="1" x14ac:dyDescent="0.2">
      <c r="B136" s="25" t="s">
        <v>140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241842440</v>
      </c>
      <c r="AN136" s="43"/>
      <c r="AO136" s="309"/>
    </row>
    <row r="137" spans="1:41" ht="15" customHeight="1" outlineLevel="1" x14ac:dyDescent="0.2">
      <c r="B137" s="25" t="s">
        <v>141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241842440</v>
      </c>
      <c r="AN137" s="43"/>
      <c r="AO137" s="309"/>
    </row>
    <row r="138" spans="1:41" ht="15" customHeight="1" outlineLevel="1" x14ac:dyDescent="0.2">
      <c r="B138" s="25" t="s">
        <v>142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241842440</v>
      </c>
      <c r="AN138" s="43"/>
      <c r="AO138" s="309"/>
    </row>
    <row r="139" spans="1:41" ht="15" customHeight="1" outlineLevel="1" x14ac:dyDescent="0.2">
      <c r="B139" s="25" t="s">
        <v>143</v>
      </c>
      <c r="C139" s="25">
        <f>'[6]Hoja 1'!$C$699</f>
        <v>56000</v>
      </c>
      <c r="D139" s="43"/>
      <c r="E139" s="118"/>
      <c r="F139" s="25">
        <f>'[4]Hoja 1'!$C$638</f>
        <v>65000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241963440</v>
      </c>
      <c r="AN139" s="43"/>
      <c r="AO139" s="309"/>
    </row>
    <row r="140" spans="1:41" ht="15" customHeight="1" outlineLevel="1" x14ac:dyDescent="0.2">
      <c r="A140" s="226" t="s">
        <v>144</v>
      </c>
      <c r="B140" s="25" t="s">
        <v>145</v>
      </c>
      <c r="C140" s="281"/>
      <c r="D140" s="43"/>
      <c r="E140" s="118"/>
      <c r="F140" s="25">
        <f>'[5]Hoja 1'!$C$206</f>
        <v>2876175</v>
      </c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81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244718615</v>
      </c>
      <c r="AN140" s="43"/>
      <c r="AO140" s="309"/>
    </row>
    <row r="141" spans="1:41" ht="15" customHeight="1" outlineLevel="1" x14ac:dyDescent="0.2">
      <c r="B141" s="25" t="s">
        <v>146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241842440</v>
      </c>
      <c r="AN141" s="43"/>
      <c r="AO141" s="309"/>
    </row>
    <row r="142" spans="1:41" ht="15" customHeight="1" outlineLevel="1" thickBot="1" x14ac:dyDescent="0.25">
      <c r="A142" s="226" t="s">
        <v>147</v>
      </c>
      <c r="B142" s="269" t="s">
        <v>148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241842440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149</v>
      </c>
      <c r="C144" s="493">
        <f>+C42-C44-C83</f>
        <v>-415797694.14935875</v>
      </c>
      <c r="D144" s="494"/>
      <c r="E144" s="495"/>
      <c r="F144" s="493">
        <f>+F42-F44-F83</f>
        <v>-1592648151.92399</v>
      </c>
      <c r="G144" s="494"/>
      <c r="H144" s="495"/>
      <c r="I144" s="493">
        <f>+I42-I44-I83</f>
        <v>-14297209928.4028</v>
      </c>
      <c r="J144" s="494"/>
      <c r="K144" s="495"/>
      <c r="L144" s="493">
        <f>+L42-L44-L83</f>
        <v>-643300890.39999998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-8.445409999999999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150</v>
      </c>
      <c r="C147" s="490">
        <f>SUM(C148:C151)</f>
        <v>50430497.986534253</v>
      </c>
      <c r="D147" s="491"/>
      <c r="E147" s="492" t="e">
        <f>C147/(C$13)</f>
        <v>#DIV/0!</v>
      </c>
      <c r="F147" s="490">
        <f>SUM(F148:F151)</f>
        <v>136906102.15087229</v>
      </c>
      <c r="G147" s="491"/>
      <c r="H147" s="492" t="e">
        <f>F147/(F$13)</f>
        <v>#DIV/0!</v>
      </c>
      <c r="I147" s="490">
        <f>SUM(I148:I151)</f>
        <v>8307042028.3220253</v>
      </c>
      <c r="J147" s="491"/>
      <c r="K147" s="492">
        <f>I147/(I$13)</f>
        <v>4.9069976707160636</v>
      </c>
      <c r="L147" s="490">
        <f>SUM(L148:L151)</f>
        <v>0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/>
      <c r="U147" s="490" t="e">
        <f>SUM(U148:U151)</f>
        <v>#DIV/0!</v>
      </c>
      <c r="V147" s="491"/>
      <c r="W147" s="492"/>
      <c r="X147" s="490" t="e">
        <f>SUM(X148:X151)</f>
        <v>#DIV/0!</v>
      </c>
      <c r="Y147" s="491"/>
      <c r="Z147" s="492"/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151</v>
      </c>
      <c r="C148" s="39">
        <f>'GASTOS ADMINISTRATIVOS'!C96*'%DIST'!B37</f>
        <v>37670325.196722984</v>
      </c>
      <c r="D148" s="69"/>
      <c r="E148" s="306"/>
      <c r="F148" s="39">
        <f>'GASTOS ADMINISTRATIVOS'!D96*'%DIST'!D37</f>
        <v>110029709.76782124</v>
      </c>
      <c r="G148" s="69"/>
      <c r="H148" s="306"/>
      <c r="I148" s="39">
        <f>'GASTOS ADMINISTRATIVOS'!E96*'%DIST'!F37</f>
        <v>8169942440.1184149</v>
      </c>
      <c r="J148" s="69"/>
      <c r="K148" s="306"/>
      <c r="L148" s="39">
        <f>'GASTOS ADMINISTRATIVOS'!F96*'%DIST'!H37</f>
        <v>0</v>
      </c>
      <c r="M148" s="69"/>
      <c r="N148" s="306"/>
      <c r="O148" s="39" t="e">
        <f>'GASTOS ADMINISTRATIVOS'!G96*'%DIST'!J37</f>
        <v>#DIV/0!</v>
      </c>
      <c r="P148" s="69"/>
      <c r="Q148" s="306"/>
      <c r="R148" s="39" t="e">
        <f>'GASTOS ADMINISTRATIVOS'!H96*'%DIST'!L37</f>
        <v>#DIV/0!</v>
      </c>
      <c r="S148" s="69"/>
      <c r="T148" s="306"/>
      <c r="U148" s="39" t="e">
        <f>'GASTOS ADMINISTRATIVOS'!I96*'%DIST'!N37</f>
        <v>#DIV/0!</v>
      </c>
      <c r="V148" s="69"/>
      <c r="W148" s="306"/>
      <c r="X148" s="39" t="e">
        <f>'GASTOS ADMINISTRATIVOS'!J96*'%DIST'!P37</f>
        <v>#DIV/0!</v>
      </c>
      <c r="Y148" s="69"/>
      <c r="Z148" s="306"/>
      <c r="AA148" s="39" t="e">
        <f>'GASTOS ADMINISTRATIVOS'!K96*'%DIST'!R37</f>
        <v>#DIV/0!</v>
      </c>
      <c r="AB148" s="69"/>
      <c r="AC148" s="306"/>
      <c r="AD148" s="39" t="e">
        <f>'GASTOS ADMINISTRATIVOS'!L96*'%DIST'!T37</f>
        <v>#DIV/0!</v>
      </c>
      <c r="AE148" s="69"/>
      <c r="AF148" s="306"/>
      <c r="AG148" s="39" t="e">
        <f>'GASTOS ADMINISTRATIVOS'!M96*'%DIST'!V37</f>
        <v>#DIV/0!</v>
      </c>
      <c r="AH148" s="69"/>
      <c r="AI148" s="306"/>
      <c r="AJ148" s="39" t="e">
        <f>'GASTOS ADMINISTRATIVOS'!N96*'%DIST'!X37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AM148/(AM$13)</f>
        <v>#DIV/0!</v>
      </c>
    </row>
    <row r="149" spans="2:41" ht="15" customHeight="1" x14ac:dyDescent="0.2">
      <c r="B149" s="285" t="s">
        <v>152</v>
      </c>
      <c r="C149" s="25">
        <f>'GASTOS ADMINISTRATIVOS'!C109*'%DIST'!C53+29230.55+40203.2</f>
        <v>10255046.528790571</v>
      </c>
      <c r="D149" s="43"/>
      <c r="E149" s="118"/>
      <c r="F149" s="25">
        <f>'GASTOS ADMINISTRATIVOS'!D109*'%DIST'!E53</f>
        <v>27225838.514784362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37480885.043574929</v>
      </c>
      <c r="AN149" s="43"/>
      <c r="AO149" s="309"/>
    </row>
    <row r="150" spans="2:41" ht="15" customHeight="1" x14ac:dyDescent="0.2">
      <c r="B150" s="107" t="s">
        <v>153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241842440</v>
      </c>
      <c r="AN150" s="42"/>
      <c r="AO150" s="315">
        <f>AM150/(AM$13)</f>
        <v>0.14285714285714285</v>
      </c>
    </row>
    <row r="151" spans="2:41" ht="15" customHeight="1" thickBot="1" x14ac:dyDescent="0.25">
      <c r="B151" s="300" t="s">
        <v>154</v>
      </c>
      <c r="C151" s="71">
        <f>'GASTOS ADMINISTRATIVOS'!C119*'%DIST'!C53</f>
        <v>2505126.2610207004</v>
      </c>
      <c r="D151" s="72"/>
      <c r="E151" s="342"/>
      <c r="F151" s="71">
        <f>'GASTOS ADMINISTRATIVOS'!D119*'%DIST'!E53</f>
        <v>-349446.13173329842</v>
      </c>
      <c r="G151" s="72"/>
      <c r="H151" s="342"/>
      <c r="I151" s="71">
        <f>'GASTOS ADMINISTRATIVOS'!E119*'%DIST'!G53</f>
        <v>-104742851.79638994</v>
      </c>
      <c r="J151" s="72"/>
      <c r="K151" s="342"/>
      <c r="L151" s="71">
        <f>'GASTOS ADMINISTRATIVOS'!F119*'%DIST'!I53</f>
        <v>0</v>
      </c>
      <c r="M151" s="72"/>
      <c r="N151" s="342"/>
      <c r="O151" s="71" t="e">
        <f>'GASTOS ADMINISTRATIVOS'!G119*'%DIST'!K53</f>
        <v>#DIV/0!</v>
      </c>
      <c r="P151" s="72"/>
      <c r="Q151" s="342"/>
      <c r="R151" s="71" t="e">
        <f>'GASTOS ADMINISTRATIVOS'!H119*'%DIST'!M53</f>
        <v>#DIV/0!</v>
      </c>
      <c r="S151" s="72"/>
      <c r="T151" s="342"/>
      <c r="U151" s="71" t="e">
        <f>'GASTOS ADMINISTRATIVOS'!I119*'%DIST'!O53</f>
        <v>#DIV/0!</v>
      </c>
      <c r="V151" s="72"/>
      <c r="W151" s="342"/>
      <c r="X151" s="71" t="e">
        <f>'GASTOS ADMINISTRATIVOS'!J119*'%DIST'!Q53</f>
        <v>#DIV/0!</v>
      </c>
      <c r="Y151" s="72"/>
      <c r="Z151" s="342"/>
      <c r="AA151" s="71" t="e">
        <f>'GASTOS ADMINISTRATIVOS'!K119*'%DIST'!S53</f>
        <v>#DIV/0!</v>
      </c>
      <c r="AB151" s="72"/>
      <c r="AC151" s="342"/>
      <c r="AD151" s="71" t="e">
        <f>'GASTOS ADMINISTRATIVOS'!L119*'%DIST'!U53</f>
        <v>#DIV/0!</v>
      </c>
      <c r="AE151" s="72"/>
      <c r="AF151" s="342"/>
      <c r="AG151" s="71" t="e">
        <f>'GASTOS ADMINISTRATIVOS'!M119*'%DIST'!W53</f>
        <v>#DIV/0!</v>
      </c>
      <c r="AH151" s="72"/>
      <c r="AI151" s="342"/>
      <c r="AJ151" s="71" t="e">
        <f>'GASTOS ADMINISTRATIVOS'!N119*'%DIST'!Y53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155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1692897080</v>
      </c>
      <c r="AN153" s="498"/>
      <c r="AO153" s="586"/>
    </row>
    <row r="154" spans="2:41" ht="15" customHeight="1" thickTop="1" x14ac:dyDescent="0.2">
      <c r="B154" s="40" t="s">
        <v>156</v>
      </c>
      <c r="C154" s="716"/>
      <c r="D154" s="548"/>
      <c r="E154" s="549"/>
      <c r="F154" s="705"/>
      <c r="G154" s="548"/>
      <c r="H154" s="549"/>
      <c r="I154" s="705">
        <v>241842440</v>
      </c>
      <c r="J154" s="548"/>
      <c r="K154" s="549"/>
      <c r="L154" s="705"/>
      <c r="M154" s="548"/>
      <c r="N154" s="549"/>
      <c r="O154" s="705"/>
      <c r="P154" s="548"/>
      <c r="Q154" s="549"/>
      <c r="R154" s="705"/>
      <c r="S154" s="548"/>
      <c r="T154" s="549"/>
      <c r="U154" s="705"/>
      <c r="V154" s="548"/>
      <c r="W154" s="549"/>
      <c r="X154" s="705"/>
      <c r="Y154" s="548"/>
      <c r="Z154" s="549"/>
      <c r="AA154" s="705"/>
      <c r="AB154" s="548"/>
      <c r="AC154" s="549"/>
      <c r="AD154" s="705"/>
      <c r="AE154" s="548"/>
      <c r="AF154" s="549"/>
      <c r="AG154" s="705"/>
      <c r="AH154" s="548"/>
      <c r="AI154" s="549"/>
      <c r="AJ154" s="705"/>
      <c r="AK154" s="230"/>
      <c r="AL154" s="245"/>
      <c r="AM154" s="716">
        <f t="shared" si="5"/>
        <v>241842440</v>
      </c>
      <c r="AN154" s="230"/>
      <c r="AO154" s="332"/>
    </row>
    <row r="155" spans="2:41" ht="15" customHeight="1" x14ac:dyDescent="0.2">
      <c r="B155" s="689" t="s">
        <v>157</v>
      </c>
      <c r="C155" s="705"/>
      <c r="D155" s="13"/>
      <c r="E155" s="344"/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18"/>
      <c r="Y155" s="13"/>
      <c r="Z155" s="344"/>
      <c r="AA155" s="705"/>
      <c r="AB155" s="13"/>
      <c r="AC155" s="344"/>
      <c r="AD155" s="877"/>
      <c r="AE155" s="13"/>
      <c r="AF155" s="344"/>
      <c r="AG155" s="705"/>
      <c r="AH155" s="13"/>
      <c r="AI155" s="344"/>
      <c r="AJ155" s="705"/>
      <c r="AK155" s="9"/>
      <c r="AL155" s="240"/>
      <c r="AM155" s="294">
        <f t="shared" si="5"/>
        <v>241842440</v>
      </c>
      <c r="AN155" s="9"/>
      <c r="AO155" s="690"/>
    </row>
    <row r="156" spans="2:41" ht="15" customHeight="1" x14ac:dyDescent="0.2">
      <c r="B156" s="674" t="s">
        <v>158</v>
      </c>
      <c r="C156" s="705"/>
      <c r="D156" s="677"/>
      <c r="E156" s="678"/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/>
      <c r="P156" s="553"/>
      <c r="Q156" s="840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5"/>
      <c r="AL156" s="679"/>
      <c r="AM156" s="713">
        <f t="shared" si="5"/>
        <v>241842440</v>
      </c>
      <c r="AN156" s="675"/>
      <c r="AO156" s="942">
        <f>AM156/AM42</f>
        <v>0.15619801534801697</v>
      </c>
    </row>
    <row r="157" spans="2:41" ht="15" customHeight="1" x14ac:dyDescent="0.2">
      <c r="B157" s="550" t="s">
        <v>159</v>
      </c>
      <c r="C157" s="705"/>
      <c r="D157" s="553"/>
      <c r="E157" s="554"/>
      <c r="F157" s="705"/>
      <c r="G157" s="553"/>
      <c r="H157" s="554"/>
      <c r="I157" s="705">
        <v>241842440</v>
      </c>
      <c r="J157" s="553"/>
      <c r="K157" s="554"/>
      <c r="L157" s="705"/>
      <c r="M157" s="553"/>
      <c r="N157" s="554"/>
      <c r="O157" s="705"/>
      <c r="P157" s="635"/>
      <c r="Q157" s="840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1"/>
      <c r="AL157" s="555"/>
      <c r="AM157" s="294">
        <f t="shared" si="5"/>
        <v>241842440</v>
      </c>
      <c r="AN157" s="551"/>
      <c r="AO157" s="557"/>
    </row>
    <row r="158" spans="2:41" ht="15" customHeight="1" x14ac:dyDescent="0.2">
      <c r="B158" s="563" t="s">
        <v>160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/>
      <c r="P158" s="13"/>
      <c r="Q158" s="947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5"/>
        <v>241842440</v>
      </c>
      <c r="AN158" s="13"/>
      <c r="AO158" s="333">
        <f>AM158/$AM$42</f>
        <v>0.15619801534801697</v>
      </c>
    </row>
    <row r="159" spans="2:41" ht="15" customHeight="1" x14ac:dyDescent="0.2">
      <c r="B159" s="563" t="s">
        <v>161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947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5"/>
        <v>241842440</v>
      </c>
      <c r="AN159" s="13"/>
      <c r="AO159" s="333"/>
    </row>
    <row r="160" spans="2:41" ht="15" customHeight="1" thickBot="1" x14ac:dyDescent="0.25">
      <c r="B160" s="291" t="s">
        <v>162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948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241842440</v>
      </c>
      <c r="AN160" s="809"/>
      <c r="AO160" s="333">
        <f>AM160/AM42</f>
        <v>0.15619801534801697</v>
      </c>
    </row>
    <row r="161" spans="1:41" ht="15" customHeight="1" thickTop="1" thickBot="1" x14ac:dyDescent="0.25">
      <c r="B161" s="524" t="s">
        <v>163</v>
      </c>
      <c r="C161" s="497">
        <f>C144-C147-C153</f>
        <v>-466228192.13589299</v>
      </c>
      <c r="D161" s="498"/>
      <c r="E161" s="499"/>
      <c r="F161" s="497">
        <f>F144-F147-F153</f>
        <v>-1729554254.0748622</v>
      </c>
      <c r="G161" s="498"/>
      <c r="H161" s="499"/>
      <c r="I161" s="497">
        <f>I144-I147-I153</f>
        <v>-24297149036.724823</v>
      </c>
      <c r="J161" s="498"/>
      <c r="K161" s="499"/>
      <c r="L161" s="497">
        <f>L144-L147-L153</f>
        <v>-643300890.39999998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-14.352407670716062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/>
    <row r="164" spans="1:41" s="153" customFormat="1" ht="9.75" hidden="1" customHeight="1" thickTop="1" thickBot="1" x14ac:dyDescent="0.25">
      <c r="A164" s="226"/>
      <c r="C164" s="616">
        <f>C44+C83-C73-C85</f>
        <v>391801032.71000004</v>
      </c>
      <c r="D164" s="399"/>
      <c r="E164" s="393"/>
      <c r="F164" s="616">
        <f>F44+F83-F73-F85</f>
        <v>1503366110.8600001</v>
      </c>
      <c r="G164" s="399"/>
      <c r="H164" s="393"/>
      <c r="I164" s="616">
        <f>I44+I83-I73-I85</f>
        <v>14268703960</v>
      </c>
      <c r="J164" s="399"/>
      <c r="K164" s="393"/>
      <c r="L164" s="616">
        <f>L44+L83-L73-L85-L58</f>
        <v>0</v>
      </c>
      <c r="M164" s="399"/>
      <c r="N164" s="393"/>
      <c r="O164" s="472" t="e">
        <f>O44+O83-O73-O85-O58</f>
        <v>#DIV/0!</v>
      </c>
      <c r="P164" s="399"/>
      <c r="Q164" s="393"/>
      <c r="R164" s="472" t="e">
        <f>R44+R83-R73-R85-R58</f>
        <v>#DIV/0!</v>
      </c>
      <c r="S164" s="399"/>
      <c r="T164" s="393"/>
      <c r="U164" s="472" t="e">
        <f>U44+U83-U73-U85-U58</f>
        <v>#DIV/0!</v>
      </c>
      <c r="V164" s="399"/>
      <c r="W164" s="393"/>
      <c r="X164" s="472" t="e">
        <f>X44+X83-X73-X85-X58</f>
        <v>#DIV/0!</v>
      </c>
      <c r="Y164" s="399"/>
      <c r="Z164" s="393"/>
      <c r="AA164" s="475" t="e">
        <f>AA44+AA83-AA73-AA85-AA58</f>
        <v>#DIV/0!</v>
      </c>
      <c r="AB164" s="399"/>
      <c r="AC164" s="393"/>
      <c r="AD164" s="475" t="e">
        <f>AD44+AD83-AD73-AD85-AD58</f>
        <v>#DIV/0!</v>
      </c>
      <c r="AE164" s="399"/>
      <c r="AF164" s="393"/>
      <c r="AG164" s="475" t="e">
        <f>AG44+AG83-AG73-AG85-AG58</f>
        <v>#DIV/0!</v>
      </c>
      <c r="AH164" s="399"/>
      <c r="AI164" s="393"/>
      <c r="AJ164" s="475" t="e">
        <f>AJ44+AJ83-AJ73-AJ85-AJ58</f>
        <v>#DIV/0!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616">
        <f>'[6]Hoja 1'!$C$645+'[6]Hoja 1'!$C$606+'[3]Hoja 1'!$C$15-'[3]Hoja 1'!$C$70+'[15]Hoja 1'!$C$64+'[15]Hoja 1'!$C$214+'[15]Hoja 1'!$C$255+'[17]Hoja 1'!$C$27</f>
        <v>391801032.71000004</v>
      </c>
      <c r="D165" s="399"/>
      <c r="E165" s="393"/>
      <c r="F165" s="616">
        <f>'[4]Hoja 1'!$C$577+'[5]Hoja 1'!$C$148+'[5]Hoja 1'!$C$150+'[16]Hoja 1'!$C$70+'[16]Hoja 1'!$C$72+'[18]Hoja 1'!$C$18</f>
        <v>1503366110.8600001</v>
      </c>
      <c r="G165" s="399"/>
      <c r="H165" s="393"/>
      <c r="I165" s="616">
        <v>1430442873.1199999</v>
      </c>
      <c r="J165" s="399"/>
      <c r="K165" s="393"/>
      <c r="L165" s="616">
        <v>1116307669.4200001</v>
      </c>
      <c r="M165" s="399"/>
      <c r="N165" s="393"/>
      <c r="O165" s="472">
        <v>1382223149.7</v>
      </c>
      <c r="P165" s="399"/>
      <c r="Q165" s="393"/>
      <c r="R165" s="472">
        <v>655145421.54999995</v>
      </c>
      <c r="S165" s="399"/>
      <c r="T165" s="393"/>
      <c r="U165" s="472">
        <v>830608364.53999996</v>
      </c>
      <c r="V165" s="399"/>
      <c r="W165" s="393"/>
      <c r="X165" s="472">
        <v>1347308483.54</v>
      </c>
      <c r="Y165" s="399"/>
      <c r="Z165" s="393"/>
      <c r="AA165" s="475">
        <v>1429380841.3499999</v>
      </c>
      <c r="AB165" s="399"/>
      <c r="AC165" s="393"/>
      <c r="AD165" s="475">
        <v>1064563831.2</v>
      </c>
      <c r="AE165" s="399"/>
      <c r="AF165" s="393"/>
      <c r="AG165" s="475">
        <v>903207890.94000006</v>
      </c>
      <c r="AH165" s="399"/>
      <c r="AI165" s="393"/>
      <c r="AJ165" s="475">
        <v>307257937.69000012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616">
        <f>C164-C165</f>
        <v>0</v>
      </c>
      <c r="D166" s="399"/>
      <c r="E166" s="393"/>
      <c r="F166" s="616">
        <f>F164-F165</f>
        <v>0</v>
      </c>
      <c r="G166" s="464"/>
      <c r="H166" s="421"/>
      <c r="I166" s="616">
        <f>I164-I165</f>
        <v>12838261086.880001</v>
      </c>
      <c r="J166" s="399"/>
      <c r="K166" s="421"/>
      <c r="L166" s="616">
        <f>L164-L165</f>
        <v>-1116307669.4200001</v>
      </c>
      <c r="M166" s="399"/>
      <c r="N166" s="393"/>
      <c r="O166" s="472" t="e">
        <f>O164-O165</f>
        <v>#DIV/0!</v>
      </c>
      <c r="P166" s="399"/>
      <c r="Q166" s="393"/>
      <c r="R166" s="472" t="e">
        <f>R164-R165</f>
        <v>#DIV/0!</v>
      </c>
      <c r="S166" s="464"/>
      <c r="T166" s="393"/>
      <c r="U166" s="472" t="e">
        <f>U164-U165</f>
        <v>#DIV/0!</v>
      </c>
      <c r="V166" s="399"/>
      <c r="W166" s="393"/>
      <c r="X166" s="472" t="e">
        <f>X164-X165</f>
        <v>#DIV/0!</v>
      </c>
      <c r="Y166" s="399"/>
      <c r="Z166" s="393"/>
      <c r="AA166" s="475" t="e">
        <f>AA164-AA165</f>
        <v>#DIV/0!</v>
      </c>
      <c r="AB166" s="399" t="s">
        <v>164</v>
      </c>
      <c r="AC166" s="393"/>
      <c r="AD166" s="475" t="e">
        <f>AD164-AD165</f>
        <v>#DIV/0!</v>
      </c>
      <c r="AE166" s="399"/>
      <c r="AF166" s="393"/>
      <c r="AG166" s="475" t="e">
        <f>AG164-AG165</f>
        <v>#DIV/0!</v>
      </c>
      <c r="AH166" s="399"/>
      <c r="AI166" s="393"/>
      <c r="AJ166" s="475" t="e">
        <f>AJ164-AJ165</f>
        <v>#DIV/0!</v>
      </c>
      <c r="AK166" s="401"/>
      <c r="AL166" s="399"/>
      <c r="AM166" s="464"/>
      <c r="AN166" s="399"/>
      <c r="AO166" s="393"/>
    </row>
    <row r="169" spans="1:41" x14ac:dyDescent="0.2">
      <c r="R169" s="540"/>
    </row>
    <row r="172" spans="1:41" x14ac:dyDescent="0.2">
      <c r="AD172" s="235">
        <f>220415*1.14</f>
        <v>251273.09999999998</v>
      </c>
    </row>
    <row r="173" spans="1:41" x14ac:dyDescent="0.2">
      <c r="AD173" s="235">
        <f>AD172*2000*8</f>
        <v>4020369599.9999995</v>
      </c>
    </row>
    <row r="181" spans="24:24" x14ac:dyDescent="0.2">
      <c r="X181" s="235">
        <v>1423200</v>
      </c>
    </row>
    <row r="182" spans="24:24" x14ac:dyDescent="0.2">
      <c r="X182" s="235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59" r:id="rId1" location="'TRANS YUMBO'!V30" xr:uid="{00000000-0004-0000-0700-000000000000}"/>
    <hyperlink ref="B77" r:id="rId2" location="'Proyeccion GAS '!B22" xr:uid="{00000000-0004-0000-0700-000001000000}"/>
    <hyperlink ref="B86" r:id="rId3" location="'DOTACION-UNFORMES'!B57" xr:uid="{00000000-0004-0000-0700-000002000000}"/>
    <hyperlink ref="B87" r:id="rId4" location="'EXAMENES OCUPACIONALES'!B53" xr:uid="{00000000-0004-0000-0700-000003000000}"/>
    <hyperlink ref="B117" r:id="rId5" location="'Proyerccion MTTO'!B3" xr:uid="{00000000-0004-0000-0700-000004000000}"/>
    <hyperlink ref="B128" r:id="rId6" location="YUMBO!D17" display="Bioseguridad " xr:uid="{00000000-0004-0000-0700-000005000000}"/>
  </hyperlinks>
  <pageMargins left="0.7" right="0.7" top="0.75" bottom="0.75" header="0.3" footer="0.3"/>
  <pageSetup scale="40" orientation="landscape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5"/>
  <dimension ref="A2:AP174"/>
  <sheetViews>
    <sheetView tabSelected="1" zoomScaleNormal="100" workbookViewId="0">
      <pane xSplit="2" ySplit="13" topLeftCell="C147" activePane="bottomRight" state="frozen"/>
      <selection activeCell="J90" sqref="J90"/>
      <selection pane="topRight" activeCell="J90" sqref="J90"/>
      <selection pane="bottomLeft" activeCell="J90" sqref="J90"/>
      <selection pane="bottomRight" activeCell="H150" sqref="H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64" width="11.44140625" style="2" customWidth="1"/>
    <col min="65" max="16384" width="11.44140625" style="2"/>
  </cols>
  <sheetData>
    <row r="2" spans="1:41" ht="24.9" customHeight="1" thickBot="1" x14ac:dyDescent="0.35">
      <c r="B2" s="236" t="s">
        <v>0</v>
      </c>
      <c r="C2" s="1027" t="s">
        <v>452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612"/>
      <c r="AO2" s="613"/>
    </row>
    <row r="3" spans="1:41" ht="21.75" customHeight="1" thickTop="1" thickBot="1" x14ac:dyDescent="0.25">
      <c r="B3" s="522" t="s">
        <v>2</v>
      </c>
      <c r="C3" s="478">
        <v>10</v>
      </c>
      <c r="D3" s="479"/>
      <c r="E3" s="480"/>
      <c r="F3" s="478">
        <v>20</v>
      </c>
      <c r="G3" s="479"/>
      <c r="H3" s="480"/>
      <c r="I3" s="478">
        <v>19</v>
      </c>
      <c r="J3" s="479"/>
      <c r="K3" s="480"/>
      <c r="L3" s="478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18</v>
      </c>
      <c r="AH3" s="479"/>
      <c r="AI3" s="480"/>
      <c r="AJ3" s="478"/>
      <c r="AK3" s="479"/>
      <c r="AL3" s="480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340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392</v>
      </c>
      <c r="C5" s="257"/>
      <c r="D5" s="89"/>
      <c r="E5" s="303"/>
      <c r="F5" s="257"/>
      <c r="G5" s="89"/>
      <c r="H5" s="303"/>
      <c r="I5" s="257">
        <v>241842440</v>
      </c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8" si="0">C5+F5+I5+L5+O5+R5+U5+X5+AA5+AD5+AG5+AJ5</f>
        <v>241842440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453</v>
      </c>
      <c r="C6" s="25"/>
      <c r="D6" s="43"/>
      <c r="E6" s="118"/>
      <c r="F6" s="25"/>
      <c r="G6" s="89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241842440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20</v>
      </c>
      <c r="C7" s="25"/>
      <c r="D7" s="43"/>
      <c r="E7" s="118"/>
      <c r="F7" s="25"/>
      <c r="G7" s="89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241842440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 t="s">
        <v>21</v>
      </c>
      <c r="C8" s="74"/>
      <c r="D8" s="43"/>
      <c r="E8" s="118"/>
      <c r="F8" s="25"/>
      <c r="G8" s="43"/>
      <c r="H8" s="118"/>
      <c r="I8" s="25">
        <v>241842440</v>
      </c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241842440</v>
      </c>
      <c r="AN8" s="43"/>
      <c r="AO8" s="309"/>
    </row>
    <row r="9" spans="1:41" s="223" customFormat="1" ht="15" customHeight="1" x14ac:dyDescent="0.2">
      <c r="A9" s="228"/>
      <c r="B9" s="25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967369760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241842440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241842440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241842440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241842440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241842440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96"/>
      <c r="AF15" s="150"/>
      <c r="AG15" s="90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241842440</v>
      </c>
      <c r="AN15" s="3"/>
      <c r="AO15" s="313">
        <f>AM15/AM15</f>
        <v>1</v>
      </c>
    </row>
    <row r="16" spans="1:41" ht="15" customHeight="1" x14ac:dyDescent="0.2">
      <c r="B16" s="1046" t="s">
        <v>393</v>
      </c>
      <c r="C16" s="1047"/>
      <c r="D16" s="1048" t="e">
        <f>C16/C5</f>
        <v>#DIV/0!</v>
      </c>
      <c r="E16" s="1049"/>
      <c r="F16" s="1047"/>
      <c r="G16" s="1048" t="e">
        <f>F16/F5</f>
        <v>#DIV/0!</v>
      </c>
      <c r="H16" s="1049"/>
      <c r="I16" s="1047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147"/>
      <c r="AM16" s="212">
        <f t="shared" si="0"/>
        <v>0</v>
      </c>
      <c r="AN16" s="79"/>
      <c r="AO16" s="314"/>
    </row>
    <row r="17" spans="2:41" ht="15" customHeight="1" x14ac:dyDescent="0.2">
      <c r="B17" s="1046" t="s">
        <v>454</v>
      </c>
      <c r="C17" s="949"/>
      <c r="D17" s="1050" t="e">
        <f>C17/C6</f>
        <v>#DIV/0!</v>
      </c>
      <c r="E17" s="1051"/>
      <c r="F17" s="949"/>
      <c r="G17" s="1050" t="e">
        <f>F17/F6</f>
        <v>#DIV/0!</v>
      </c>
      <c r="H17" s="1051"/>
      <c r="I17" s="949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>
        <f>AM17/AM6</f>
        <v>0</v>
      </c>
      <c r="AO17" s="309">
        <f>AM17/AM$13</f>
        <v>0</v>
      </c>
    </row>
    <row r="18" spans="2:41" ht="15" customHeight="1" x14ac:dyDescent="0.2">
      <c r="B18" s="1046" t="s">
        <v>28</v>
      </c>
      <c r="C18" s="949"/>
      <c r="D18" s="1050" t="e">
        <f>C18/C7</f>
        <v>#DIV/0!</v>
      </c>
      <c r="E18" s="1051"/>
      <c r="F18" s="949"/>
      <c r="G18" s="1050" t="e">
        <f>F18/F7</f>
        <v>#DIV/0!</v>
      </c>
      <c r="H18" s="1051"/>
      <c r="I18" s="949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>
        <f>AM18/AM7</f>
        <v>0</v>
      </c>
      <c r="AO18" s="309">
        <f>AM18/AM$13</f>
        <v>0</v>
      </c>
    </row>
    <row r="19" spans="2:41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258" t="s">
        <v>29</v>
      </c>
      <c r="C20" s="75"/>
      <c r="D20" s="43"/>
      <c r="E20" s="118"/>
      <c r="F20" s="75"/>
      <c r="G20" s="43"/>
      <c r="H20" s="118"/>
      <c r="I20" s="75">
        <v>241842440</v>
      </c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241842440</v>
      </c>
      <c r="AN20" s="43"/>
      <c r="AO20" s="309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30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31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32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33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34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35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25865048.957999997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25865048.957999997</v>
      </c>
      <c r="AN28" s="3"/>
      <c r="AO28" s="313"/>
    </row>
    <row r="29" spans="2:41" ht="15" customHeight="1" x14ac:dyDescent="0.2">
      <c r="B29" s="16" t="s">
        <v>36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25865048.957999997</v>
      </c>
      <c r="J29" s="3"/>
      <c r="K29" s="150">
        <f>I29/I13</f>
        <v>0.10694999999999999</v>
      </c>
      <c r="L29" s="49">
        <f>SUM(L30:L37)</f>
        <v>0</v>
      </c>
      <c r="M29" s="3"/>
      <c r="N29" s="150" t="e">
        <f>L29/L13</f>
        <v>#DIV/0!</v>
      </c>
      <c r="O29" s="49">
        <f>SUM(O30:O37)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3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25865048.957999997</v>
      </c>
      <c r="AN29" s="3"/>
      <c r="AO29" s="313">
        <f>AM29/AM13</f>
        <v>0.10694999999999999</v>
      </c>
    </row>
    <row r="30" spans="2:41" ht="15" customHeight="1" outlineLevel="1" x14ac:dyDescent="0.2">
      <c r="B30" s="262" t="s">
        <v>440</v>
      </c>
      <c r="C30" s="264">
        <f>C13*1%</f>
        <v>0</v>
      </c>
      <c r="D30" s="79"/>
      <c r="E30" s="147"/>
      <c r="F30" s="264">
        <f>F13*1%</f>
        <v>0</v>
      </c>
      <c r="G30" s="79"/>
      <c r="H30" s="147"/>
      <c r="I30" s="264">
        <f>I13*1%</f>
        <v>2418424.4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147"/>
      <c r="AM30" s="212">
        <f t="shared" si="0"/>
        <v>2418424.4</v>
      </c>
      <c r="AN30" s="79"/>
      <c r="AO30" s="314"/>
    </row>
    <row r="31" spans="2:41" ht="15" customHeight="1" outlineLevel="1" x14ac:dyDescent="0.2">
      <c r="B31" s="105" t="s">
        <v>455</v>
      </c>
      <c r="C31" s="265">
        <f>C$13*2.5%</f>
        <v>0</v>
      </c>
      <c r="D31" s="43"/>
      <c r="E31" s="118"/>
      <c r="F31" s="265">
        <f>F$13*2.5%</f>
        <v>0</v>
      </c>
      <c r="G31" s="43"/>
      <c r="H31" s="118"/>
      <c r="I31" s="265">
        <f>I$13*2.5%</f>
        <v>6046061</v>
      </c>
      <c r="J31" s="43"/>
      <c r="K31" s="118"/>
      <c r="L31" s="265">
        <f>L$13*2.5%</f>
        <v>0</v>
      </c>
      <c r="M31" s="43"/>
      <c r="N31" s="118"/>
      <c r="O31" s="265">
        <f>O$13*2.5%</f>
        <v>0</v>
      </c>
      <c r="P31" s="43"/>
      <c r="Q31" s="118"/>
      <c r="R31" s="265">
        <f>R$13*2.5%</f>
        <v>0</v>
      </c>
      <c r="S31" s="43"/>
      <c r="T31" s="118"/>
      <c r="U31" s="265">
        <f>U$13*2.5%</f>
        <v>0</v>
      </c>
      <c r="V31" s="43"/>
      <c r="W31" s="118"/>
      <c r="X31" s="265">
        <f>X$13*2.5%</f>
        <v>0</v>
      </c>
      <c r="Y31" s="43"/>
      <c r="Z31" s="118"/>
      <c r="AA31" s="265">
        <f>AA$13*2.5%</f>
        <v>0</v>
      </c>
      <c r="AB31" s="43"/>
      <c r="AC31" s="118"/>
      <c r="AD31" s="265">
        <f>AD$13*2.5%</f>
        <v>0</v>
      </c>
      <c r="AE31" s="43"/>
      <c r="AF31" s="118"/>
      <c r="AG31" s="265">
        <f>AG$13*2.5%</f>
        <v>0</v>
      </c>
      <c r="AH31" s="43"/>
      <c r="AI31" s="118"/>
      <c r="AJ31" s="265">
        <f>AJ$13*2.5%</f>
        <v>0</v>
      </c>
      <c r="AK31" s="43"/>
      <c r="AL31" s="118"/>
      <c r="AM31" s="205">
        <f t="shared" si="0"/>
        <v>6046061</v>
      </c>
      <c r="AN31" s="43"/>
      <c r="AO31" s="309"/>
    </row>
    <row r="32" spans="2:41" ht="15" customHeight="1" outlineLevel="1" x14ac:dyDescent="0.2">
      <c r="B32" s="105" t="s">
        <v>456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2418424.4</v>
      </c>
      <c r="J32" s="43"/>
      <c r="K32" s="118"/>
      <c r="L32" s="265">
        <f>L$13*1%</f>
        <v>0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118"/>
      <c r="AM32" s="205">
        <f t="shared" si="0"/>
        <v>2418424.4</v>
      </c>
      <c r="AN32" s="43"/>
      <c r="AO32" s="309"/>
    </row>
    <row r="33" spans="1:42" ht="15" customHeight="1" outlineLevel="1" x14ac:dyDescent="0.2">
      <c r="B33" s="105" t="s">
        <v>457</v>
      </c>
      <c r="C33" s="265">
        <f>C13*3%</f>
        <v>0</v>
      </c>
      <c r="D33" s="43"/>
      <c r="E33" s="118"/>
      <c r="F33" s="265">
        <f>F13*3%</f>
        <v>0</v>
      </c>
      <c r="G33" s="43"/>
      <c r="H33" s="118"/>
      <c r="I33" s="265">
        <f>I13*3%</f>
        <v>7255273.2000000002</v>
      </c>
      <c r="J33" s="43"/>
      <c r="K33" s="118"/>
      <c r="L33" s="265">
        <f>L13*3%</f>
        <v>0</v>
      </c>
      <c r="M33" s="43"/>
      <c r="N33" s="118"/>
      <c r="O33" s="265">
        <f>O13*3%</f>
        <v>0</v>
      </c>
      <c r="P33" s="43"/>
      <c r="Q33" s="118"/>
      <c r="R33" s="265">
        <f>R13*3%</f>
        <v>0</v>
      </c>
      <c r="S33" s="43"/>
      <c r="T33" s="118"/>
      <c r="U33" s="265">
        <f>U13*3%</f>
        <v>0</v>
      </c>
      <c r="V33" s="43"/>
      <c r="W33" s="118"/>
      <c r="X33" s="265">
        <f>X13*3%</f>
        <v>0</v>
      </c>
      <c r="Y33" s="43"/>
      <c r="Z33" s="118"/>
      <c r="AA33" s="265">
        <f>AA13*3%</f>
        <v>0</v>
      </c>
      <c r="AB33" s="43"/>
      <c r="AC33" s="118"/>
      <c r="AD33" s="265">
        <f>AD13*3%</f>
        <v>0</v>
      </c>
      <c r="AE33" s="43"/>
      <c r="AF33" s="118"/>
      <c r="AG33" s="265">
        <f>AG13*3%</f>
        <v>0</v>
      </c>
      <c r="AH33" s="43"/>
      <c r="AI33" s="118"/>
      <c r="AJ33" s="265">
        <f>AJ13*3%</f>
        <v>0</v>
      </c>
      <c r="AK33" s="43"/>
      <c r="AL33" s="118"/>
      <c r="AM33" s="205">
        <f t="shared" si="0"/>
        <v>7255273.2000000002</v>
      </c>
      <c r="AN33" s="43"/>
      <c r="AO33" s="309"/>
    </row>
    <row r="34" spans="1:42" ht="15" customHeight="1" outlineLevel="1" x14ac:dyDescent="0.2">
      <c r="B34" s="105" t="s">
        <v>458</v>
      </c>
      <c r="C34" s="265">
        <f>C$13*0.5%</f>
        <v>0</v>
      </c>
      <c r="D34" s="43"/>
      <c r="E34" s="118"/>
      <c r="F34" s="265">
        <f>F$13*0.5%</f>
        <v>0</v>
      </c>
      <c r="G34" s="43"/>
      <c r="H34" s="118"/>
      <c r="I34" s="265">
        <f>I$13*0.5%</f>
        <v>1209212.2</v>
      </c>
      <c r="J34" s="43"/>
      <c r="K34" s="118"/>
      <c r="L34" s="265">
        <f>L$13*0.5%</f>
        <v>0</v>
      </c>
      <c r="M34" s="43"/>
      <c r="N34" s="118"/>
      <c r="O34" s="265">
        <f>O$13*0.5%</f>
        <v>0</v>
      </c>
      <c r="P34" s="43"/>
      <c r="Q34" s="118"/>
      <c r="R34" s="265">
        <f>R$13*0.5%</f>
        <v>0</v>
      </c>
      <c r="S34" s="43"/>
      <c r="T34" s="118"/>
      <c r="U34" s="265">
        <f>U$13*0.5%</f>
        <v>0</v>
      </c>
      <c r="V34" s="43"/>
      <c r="W34" s="118"/>
      <c r="X34" s="265">
        <f>X$13*0.5%</f>
        <v>0</v>
      </c>
      <c r="Y34" s="43"/>
      <c r="Z34" s="118"/>
      <c r="AA34" s="265">
        <f>AA$13*0.5%</f>
        <v>0</v>
      </c>
      <c r="AB34" s="43"/>
      <c r="AC34" s="118"/>
      <c r="AD34" s="265">
        <f>AD$13*0.5%</f>
        <v>0</v>
      </c>
      <c r="AE34" s="43"/>
      <c r="AF34" s="118"/>
      <c r="AG34" s="265">
        <f>AG$13*0.5%</f>
        <v>0</v>
      </c>
      <c r="AH34" s="43"/>
      <c r="AI34" s="118"/>
      <c r="AJ34" s="265">
        <f>AJ$13*0.5%</f>
        <v>0</v>
      </c>
      <c r="AK34" s="43"/>
      <c r="AL34" s="118"/>
      <c r="AM34" s="205">
        <f t="shared" si="0"/>
        <v>1209212.2</v>
      </c>
      <c r="AN34" s="43"/>
      <c r="AO34" s="309"/>
    </row>
    <row r="35" spans="1:42" ht="15" customHeight="1" outlineLevel="1" x14ac:dyDescent="0.2">
      <c r="B35" s="335" t="s">
        <v>459</v>
      </c>
      <c r="C35" s="265">
        <f>C$13*0.66%</f>
        <v>0</v>
      </c>
      <c r="D35" s="92"/>
      <c r="E35" s="338"/>
      <c r="F35" s="265">
        <f>F$13*0.66%</f>
        <v>0</v>
      </c>
      <c r="G35" s="92"/>
      <c r="H35" s="338"/>
      <c r="I35" s="265">
        <f>I$13*0.66%</f>
        <v>1596160.1040000001</v>
      </c>
      <c r="J35" s="92"/>
      <c r="K35" s="338"/>
      <c r="L35" s="265">
        <f>L$13*0.66%</f>
        <v>0</v>
      </c>
      <c r="M35" s="92"/>
      <c r="N35" s="338"/>
      <c r="O35" s="265">
        <f>O$13*0.66%</f>
        <v>0</v>
      </c>
      <c r="P35" s="92"/>
      <c r="Q35" s="338"/>
      <c r="R35" s="265">
        <f>R$13*0.66%</f>
        <v>0</v>
      </c>
      <c r="S35" s="92"/>
      <c r="T35" s="338"/>
      <c r="U35" s="265">
        <f>U$13*0.66%</f>
        <v>0</v>
      </c>
      <c r="V35" s="92"/>
      <c r="W35" s="338"/>
      <c r="X35" s="265">
        <f>X$13*0.66%</f>
        <v>0</v>
      </c>
      <c r="Y35" s="92"/>
      <c r="Z35" s="338"/>
      <c r="AA35" s="265">
        <f>AA$13*0.66%</f>
        <v>0</v>
      </c>
      <c r="AB35" s="92"/>
      <c r="AC35" s="338"/>
      <c r="AD35" s="265">
        <f>AD$13*0.66%</f>
        <v>0</v>
      </c>
      <c r="AE35" s="92"/>
      <c r="AF35" s="338"/>
      <c r="AG35" s="265">
        <f>AG$13*0.66%</f>
        <v>0</v>
      </c>
      <c r="AH35" s="92"/>
      <c r="AI35" s="338"/>
      <c r="AJ35" s="265">
        <f>AJ$13*0.66%</f>
        <v>0</v>
      </c>
      <c r="AK35" s="92"/>
      <c r="AL35" s="338"/>
      <c r="AM35" s="284">
        <f t="shared" si="0"/>
        <v>1596160.1040000001</v>
      </c>
      <c r="AN35" s="92"/>
      <c r="AO35" s="327"/>
    </row>
    <row r="36" spans="1:42" s="108" customFormat="1" ht="15" customHeight="1" outlineLevel="1" x14ac:dyDescent="0.2">
      <c r="A36" s="226"/>
      <c r="B36" s="105" t="s">
        <v>41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84644.854000000007</v>
      </c>
      <c r="J36" s="43"/>
      <c r="K36" s="118"/>
      <c r="L36" s="25">
        <f>(L$13*1%)*3.5%</f>
        <v>0</v>
      </c>
      <c r="M36" s="43"/>
      <c r="N36" s="118"/>
      <c r="O36" s="25">
        <f>(O$13*1%)*3.5%</f>
        <v>0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13"/>
      <c r="AA36" s="25">
        <f>(AA$13*1%)*3.5%</f>
        <v>0</v>
      </c>
      <c r="AB36" s="43"/>
      <c r="AC36" s="513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84644.854000000007</v>
      </c>
      <c r="AN36" s="43"/>
      <c r="AO36" s="309"/>
    </row>
    <row r="37" spans="1:42" ht="15" customHeight="1" outlineLevel="1" x14ac:dyDescent="0.2">
      <c r="B37" s="105" t="s">
        <v>43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4836848.8</v>
      </c>
      <c r="J37" s="43"/>
      <c r="K37" s="118"/>
      <c r="L37" s="25">
        <f>L$13*2%</f>
        <v>0</v>
      </c>
      <c r="M37" s="43"/>
      <c r="N37" s="118"/>
      <c r="O37" s="25">
        <f>O$13*2%</f>
        <v>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5">
        <f t="shared" si="0"/>
        <v>4836848.8</v>
      </c>
      <c r="AN37" s="43"/>
      <c r="AO37" s="309"/>
    </row>
    <row r="38" spans="1:42" ht="15" customHeight="1" outlineLevel="1" x14ac:dyDescent="0.2">
      <c r="B38" s="30" t="s">
        <v>460</v>
      </c>
      <c r="C38" s="22"/>
      <c r="D38" s="42"/>
      <c r="E38" s="140"/>
      <c r="F38" s="22"/>
      <c r="G38" s="42"/>
      <c r="H38" s="140"/>
      <c r="I38" s="22">
        <v>241842440</v>
      </c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241842440</v>
      </c>
      <c r="AN38" s="42"/>
      <c r="AO38" s="315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215977391.042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215977391.042</v>
      </c>
      <c r="AN42" s="488"/>
      <c r="AO42" s="577"/>
    </row>
    <row r="43" spans="1:42" ht="15" customHeight="1" thickTop="1" thickBot="1" x14ac:dyDescent="0.25">
      <c r="C43" s="367"/>
      <c r="D43" s="367"/>
      <c r="E43" s="816" t="e">
        <f>(C46+C61)/C13</f>
        <v>#DIV/0!</v>
      </c>
      <c r="F43" s="702"/>
      <c r="G43" s="698"/>
      <c r="H43" s="817" t="e">
        <f>(F46+F61)/F13</f>
        <v>#DIV/0!</v>
      </c>
      <c r="I43" s="703"/>
      <c r="J43" s="703"/>
      <c r="K43" s="643">
        <f>(I46+I61)/I13</f>
        <v>7</v>
      </c>
      <c r="L43" s="703"/>
      <c r="M43" s="703"/>
      <c r="N43" s="643" t="e">
        <f>(L46+L61)/L13</f>
        <v>#DIV/0!</v>
      </c>
      <c r="O43" s="703"/>
      <c r="P43" s="703"/>
      <c r="Q43" s="643" t="e">
        <f>(O46+O61)/O13</f>
        <v>#DIV/0!</v>
      </c>
      <c r="R43" s="703"/>
      <c r="S43" s="703"/>
      <c r="T43" s="643" t="e">
        <f>(R46+R61)/R13</f>
        <v>#DIV/0!</v>
      </c>
      <c r="U43" s="703"/>
      <c r="V43" s="703"/>
      <c r="W43" s="643" t="e">
        <f>(U46+U61)/U13</f>
        <v>#DIV/0!</v>
      </c>
      <c r="X43" s="703"/>
      <c r="Y43" s="703"/>
      <c r="Z43" s="643" t="e">
        <f>(X46+X61)/X13</f>
        <v>#DIV/0!</v>
      </c>
      <c r="AA43" s="703"/>
      <c r="AB43" s="703"/>
      <c r="AC43" s="643" t="e">
        <f>(AA46+AA61)/AA13</f>
        <v>#DIV/0!</v>
      </c>
      <c r="AD43" s="703"/>
      <c r="AE43" s="703"/>
      <c r="AF43" s="643" t="e">
        <f>(AD46+AD61)/AD13</f>
        <v>#DIV/0!</v>
      </c>
      <c r="AG43" s="703"/>
      <c r="AH43" s="703"/>
      <c r="AI43" s="643" t="e">
        <f>(AG46+AG61)/AG13</f>
        <v>#DIV/0!</v>
      </c>
      <c r="AJ43" s="703"/>
      <c r="AK43" s="703"/>
      <c r="AL43" s="703"/>
      <c r="AM43" s="704"/>
      <c r="AN43" s="703"/>
      <c r="AO43" s="817">
        <f>(AM46+AM61)/AM13</f>
        <v>10.276234149597565</v>
      </c>
      <c r="AP43" s="698"/>
    </row>
    <row r="44" spans="1:42" ht="15" customHeight="1" thickTop="1" x14ac:dyDescent="0.2">
      <c r="B44" s="526" t="s">
        <v>46</v>
      </c>
      <c r="C44" s="490">
        <f>+C45+C60+C78</f>
        <v>345680580.27499998</v>
      </c>
      <c r="D44" s="491"/>
      <c r="E44" s="492" t="e">
        <f>C44/C$13</f>
        <v>#DIV/0!</v>
      </c>
      <c r="F44" s="490">
        <f>+F45+F60+F78</f>
        <v>814752751.6099999</v>
      </c>
      <c r="G44" s="491"/>
      <c r="H44" s="492" t="e">
        <f>F44/F$13</f>
        <v>#DIV/0!</v>
      </c>
      <c r="I44" s="440">
        <f>+I45+I60+I78</f>
        <v>3477502270.1999998</v>
      </c>
      <c r="J44" s="441"/>
      <c r="K44" s="442">
        <f>I44/I$13</f>
        <v>14.379206024385132</v>
      </c>
      <c r="L44" s="440">
        <f>+L45+L60+L78</f>
        <v>118502795.60000001</v>
      </c>
      <c r="M44" s="441"/>
      <c r="N44" s="442" t="e">
        <f>L44/L$13</f>
        <v>#DIV/0!</v>
      </c>
      <c r="O44" s="490">
        <f>+O45+O60+O78</f>
        <v>0</v>
      </c>
      <c r="P44" s="491"/>
      <c r="Q44" s="492"/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/>
      <c r="AM44" s="581">
        <f t="shared" ref="AM44:AM55" si="1">C44+F44+I44+L44+O44+R44+U44+X44+AA44+AD44+AG44+AJ44</f>
        <v>4756438397.6849995</v>
      </c>
      <c r="AN44" s="491"/>
      <c r="AO44" s="580">
        <f>AM44/AM$13</f>
        <v>19.66750913398409</v>
      </c>
    </row>
    <row r="45" spans="1:42" ht="15" customHeight="1" x14ac:dyDescent="0.2">
      <c r="B45" s="16" t="s">
        <v>47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991361987</v>
      </c>
      <c r="J45" s="3"/>
      <c r="K45" s="150">
        <f>I45/I13</f>
        <v>4.0992060243851327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90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1"/>
        <v>1008584652.38</v>
      </c>
      <c r="AN45" s="3"/>
      <c r="AO45" s="313">
        <f>AM45/AM$13</f>
        <v>4.1704204290198197</v>
      </c>
    </row>
    <row r="46" spans="1:42" ht="15" customHeight="1" x14ac:dyDescent="0.2">
      <c r="B46" s="36" t="s">
        <v>48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967369760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1">
        <f t="shared" si="1"/>
        <v>984592425.38</v>
      </c>
      <c r="AN46" s="67"/>
      <c r="AO46" s="318">
        <f>AM46/AM13</f>
        <v>4.071214404634687</v>
      </c>
    </row>
    <row r="47" spans="1:42" ht="15" customHeight="1" x14ac:dyDescent="0.2">
      <c r="B47" s="258" t="s">
        <v>395</v>
      </c>
      <c r="C47" s="76">
        <f>'[1]Hoja 1'!$D$35</f>
        <v>5867307.1600000001</v>
      </c>
      <c r="D47" s="42"/>
      <c r="E47" s="140"/>
      <c r="F47" s="76">
        <f>'[2]Hoja 1'!$D$40</f>
        <v>11355358.220000001</v>
      </c>
      <c r="G47" s="42"/>
      <c r="H47" s="140"/>
      <c r="I47" s="76">
        <v>241842440</v>
      </c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>
        <f t="shared" si="1"/>
        <v>259065105.38</v>
      </c>
      <c r="AN47" s="42"/>
      <c r="AO47" s="140"/>
    </row>
    <row r="48" spans="1:42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1" ht="15" customHeight="1" x14ac:dyDescent="0.2">
      <c r="B49" s="258" t="s">
        <v>368</v>
      </c>
      <c r="C49" s="75"/>
      <c r="D49" s="43"/>
      <c r="E49" s="118"/>
      <c r="F49" s="75"/>
      <c r="G49" s="43"/>
      <c r="H49" s="118"/>
      <c r="I49" s="75">
        <v>241842440</v>
      </c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241842440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1" ht="14.4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1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>
        <v>241842440</v>
      </c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241842440</v>
      </c>
      <c r="AN52" s="43"/>
      <c r="AO52" s="309"/>
    </row>
    <row r="53" spans="1:41" ht="10.199999999999999" hidden="1" customHeight="1" x14ac:dyDescent="0.2">
      <c r="B53" s="25" t="s">
        <v>396</v>
      </c>
      <c r="C53" s="25"/>
      <c r="D53" s="43"/>
      <c r="E53" s="118"/>
      <c r="F53" s="25"/>
      <c r="G53" s="43"/>
      <c r="H53" s="118"/>
      <c r="I53" s="25">
        <v>241842440</v>
      </c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241842440</v>
      </c>
      <c r="AN53" s="43"/>
      <c r="AO53" s="309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>
        <f t="shared" si="1"/>
        <v>0</v>
      </c>
      <c r="AN54" s="43"/>
      <c r="AO54" s="309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>
        <f t="shared" si="1"/>
        <v>0</v>
      </c>
      <c r="AN55" s="43"/>
      <c r="AO55" s="309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1" ht="10.199999999999999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23992227</v>
      </c>
      <c r="J57" s="47">
        <f>I57/I12</f>
        <v>2.4801506096283184E-2</v>
      </c>
      <c r="K57" s="152">
        <f>I57/I13</f>
        <v>9.9206024385132735E-2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23992227</v>
      </c>
      <c r="AN57" s="47">
        <f>AM57/AM12</f>
        <v>2.4801506096283184E-2</v>
      </c>
      <c r="AO57" s="152">
        <f>AM57/AM13</f>
        <v>9.9206024385132735E-2</v>
      </c>
    </row>
    <row r="58" spans="1:41" ht="10.199999999999999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>
        <v>23992227</v>
      </c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23992227</v>
      </c>
      <c r="AN58" s="305"/>
      <c r="AO58" s="414"/>
    </row>
    <row r="59" spans="1:41" s="108" customFormat="1" ht="10.199999999999999" hidden="1" customHeight="1" x14ac:dyDescent="0.2">
      <c r="A59" s="229"/>
      <c r="B59" s="415" t="s">
        <v>53</v>
      </c>
      <c r="C59" s="83"/>
      <c r="D59" s="84"/>
      <c r="E59" s="336"/>
      <c r="F59" s="83"/>
      <c r="G59" s="84" t="e">
        <f>F59/F12</f>
        <v>#DIV/0!</v>
      </c>
      <c r="H59" s="336" t="e">
        <f>F59/F13</f>
        <v>#DIV/0!</v>
      </c>
      <c r="I59" s="83"/>
      <c r="J59" s="84">
        <f>I59/I12</f>
        <v>0</v>
      </c>
      <c r="K59" s="336">
        <f>I59/I13</f>
        <v>0</v>
      </c>
      <c r="L59" s="83"/>
      <c r="M59" s="84" t="e">
        <f>L59/L12</f>
        <v>#DIV/0!</v>
      </c>
      <c r="N59" s="336" t="e">
        <f>L59/L13</f>
        <v>#DIV/0!</v>
      </c>
      <c r="O59" s="83"/>
      <c r="P59" s="84" t="e">
        <f>O59/O12</f>
        <v>#DIV/0!</v>
      </c>
      <c r="Q59" s="336" t="e">
        <f>O59/O13</f>
        <v>#DIV/0!</v>
      </c>
      <c r="R59" s="83"/>
      <c r="S59" s="84" t="e">
        <f>R59/R12</f>
        <v>#DIV/0!</v>
      </c>
      <c r="T59" s="336" t="e">
        <f>R59/R13</f>
        <v>#DIV/0!</v>
      </c>
      <c r="U59" s="83"/>
      <c r="V59" s="84" t="e">
        <f>U59/U12</f>
        <v>#DIV/0!</v>
      </c>
      <c r="W59" s="336" t="e">
        <f>U59/U13</f>
        <v>#DIV/0!</v>
      </c>
      <c r="X59" s="83"/>
      <c r="Y59" s="84" t="e">
        <f>X59/X12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336"/>
      <c r="AM59" s="206">
        <f t="shared" si="2"/>
        <v>0</v>
      </c>
      <c r="AN59" s="84"/>
      <c r="AO59" s="416"/>
    </row>
    <row r="60" spans="1:41" ht="15" customHeight="1" x14ac:dyDescent="0.2">
      <c r="B60" s="16" t="s">
        <v>54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1760612963.2</v>
      </c>
      <c r="J60" s="3"/>
      <c r="K60" s="152">
        <f>I60/I13</f>
        <v>7.28</v>
      </c>
      <c r="L60" s="49">
        <f>+L61+L72+L75+L76+L77</f>
        <v>118502795.60000001</v>
      </c>
      <c r="M60" s="3"/>
      <c r="N60" s="152" t="e">
        <f>L60/L13</f>
        <v>#DIV/0!</v>
      </c>
      <c r="O60" s="49">
        <f>+O61+O72+O75+O76+O77</f>
        <v>0</v>
      </c>
      <c r="P60" s="3"/>
      <c r="Q60" s="152" t="e">
        <f>O60/O13</f>
        <v>#DIV/0!</v>
      </c>
      <c r="R60" s="90">
        <f>+R61+R72+R75+R76+R77</f>
        <v>0</v>
      </c>
      <c r="S60" s="3"/>
      <c r="T60" s="152" t="e">
        <f>R60/R13</f>
        <v>#DIV/0!</v>
      </c>
      <c r="U60" s="90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90">
        <f>+AA61+AA72+AA75+AA76+AA77</f>
        <v>0</v>
      </c>
      <c r="AB60" s="3"/>
      <c r="AC60" s="152" t="e">
        <f>AA60/AA13</f>
        <v>#DIV/0!</v>
      </c>
      <c r="AD60" s="90">
        <f>+AD61+AD72+AD75+AD76+AD77</f>
        <v>0</v>
      </c>
      <c r="AE60" s="3"/>
      <c r="AF60" s="152" t="e">
        <f>AD60/AD13</f>
        <v>#DIV/0!</v>
      </c>
      <c r="AG60" s="90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2729109377.3049998</v>
      </c>
      <c r="AN60" s="3"/>
      <c r="AO60" s="152"/>
    </row>
    <row r="61" spans="1:41" ht="15" customHeight="1" x14ac:dyDescent="0.2">
      <c r="B61" s="36" t="s">
        <v>55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725527320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1500637115.3699999</v>
      </c>
      <c r="AN61" s="67"/>
      <c r="AO61" s="318"/>
    </row>
    <row r="62" spans="1:41" ht="15" customHeight="1" x14ac:dyDescent="0.2">
      <c r="B62" s="258" t="s">
        <v>397</v>
      </c>
      <c r="C62" s="78">
        <f>'[1]Hoja 1'!$D$26+'[1]Hoja 1'!$D$34</f>
        <v>110852234.45999999</v>
      </c>
      <c r="D62" s="79" t="e">
        <f>C62/C6</f>
        <v>#DIV/0!</v>
      </c>
      <c r="E62" s="147" t="e">
        <f>C62/C17</f>
        <v>#DIV/0!</v>
      </c>
      <c r="F62" s="78">
        <f>'[2]Hoja 1'!$D$39</f>
        <v>291167179.39999998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2">
        <f t="shared" si="2"/>
        <v>643861853.8599999</v>
      </c>
      <c r="AN62" s="79">
        <f>AM62/AM6</f>
        <v>2.6623195410201776</v>
      </c>
      <c r="AO62" s="147" t="e">
        <f>AM62/AM17</f>
        <v>#DIV/0!</v>
      </c>
    </row>
    <row r="63" spans="1:41" ht="15" customHeight="1" x14ac:dyDescent="0.2">
      <c r="B63" s="258" t="s">
        <v>398</v>
      </c>
      <c r="C63" s="25">
        <f>'[1]Hoja 1'!$D$30+'[1]Hoja 1'!$D$36</f>
        <v>107910024.58</v>
      </c>
      <c r="D63" s="43" t="e">
        <f>C63/C7</f>
        <v>#DIV/0!</v>
      </c>
      <c r="E63" s="118" t="e">
        <f>C63/C18</f>
        <v>#DIV/0!</v>
      </c>
      <c r="F63" s="25">
        <f>'[2]Hoja 1'!$D$41</f>
        <v>265180356.93000001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5">
        <f t="shared" si="2"/>
        <v>614932821.50999999</v>
      </c>
      <c r="AN63" s="43">
        <f>AM63/AM7</f>
        <v>2.5427002039426991</v>
      </c>
      <c r="AO63" s="118" t="e">
        <f>AM63/AM18</f>
        <v>#DIV/0!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/>
      <c r="AO64" s="309"/>
    </row>
    <row r="65" spans="1:42" ht="15" customHeight="1" x14ac:dyDescent="0.2">
      <c r="B65" s="258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/>
      <c r="AO65" s="309"/>
    </row>
    <row r="66" spans="1:42" s="108" customFormat="1" ht="15" customHeight="1" x14ac:dyDescent="0.2">
      <c r="A66" s="229"/>
      <c r="B66" s="410" t="s">
        <v>60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241842440</v>
      </c>
      <c r="AN66" s="43"/>
      <c r="AO66" s="309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B72" s="36" t="s">
        <v>62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309558323.19999999</v>
      </c>
      <c r="J72" s="47">
        <f>I72/I12</f>
        <v>0.32</v>
      </c>
      <c r="K72" s="152">
        <f>I72/I13</f>
        <v>1.28</v>
      </c>
      <c r="L72" s="46">
        <f>SUM(L73:L74)</f>
        <v>118502795.60000001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si="3"/>
        <v>477289726.935</v>
      </c>
      <c r="AN72" s="47">
        <f>AM72/AM12</f>
        <v>0.49338913275002516</v>
      </c>
      <c r="AO72" s="152">
        <f>AM72/AM13</f>
        <v>1.9735565310001006</v>
      </c>
    </row>
    <row r="73" spans="1:42" ht="15" customHeight="1" x14ac:dyDescent="0.2">
      <c r="B73" s="411" t="s">
        <v>63</v>
      </c>
      <c r="C73" s="78">
        <f>'GASTOS VEHICULOS'!C25*'%DIST'!B23</f>
        <v>971724.07499999995</v>
      </c>
      <c r="D73" s="79"/>
      <c r="E73" s="147"/>
      <c r="F73" s="304">
        <f>'GASTOS VEHICULOS'!D25*'%DIST'!D23</f>
        <v>1702230.06</v>
      </c>
      <c r="G73" s="305"/>
      <c r="H73" s="412"/>
      <c r="I73" s="304">
        <f>'GASTOS VEHICULOS'!E25*'%DIST'!F23</f>
        <v>67715883.200000003</v>
      </c>
      <c r="J73" s="305"/>
      <c r="K73" s="412"/>
      <c r="L73" s="304">
        <f>'GASTOS VEHICULOS'!F25*'%DIST'!H23</f>
        <v>118502795.60000001</v>
      </c>
      <c r="M73" s="305"/>
      <c r="N73" s="412"/>
      <c r="O73" s="78">
        <f>'GASTOS VEHICULOS'!G25*'%DIST'!J23</f>
        <v>0</v>
      </c>
      <c r="P73" s="305"/>
      <c r="Q73" s="412"/>
      <c r="R73" s="304">
        <f>'GASTOS VEHICULOS'!H25*'%DIST'!L23</f>
        <v>0</v>
      </c>
      <c r="S73" s="305"/>
      <c r="T73" s="412"/>
      <c r="U73" s="304">
        <f>'GASTOS VEHICULOS'!I25*'%DIST'!N23</f>
        <v>0</v>
      </c>
      <c r="V73" s="305"/>
      <c r="W73" s="412"/>
      <c r="X73" s="78">
        <f>'GASTOS VEHICULOS'!J25*'%DIST'!P23</f>
        <v>0</v>
      </c>
      <c r="Y73" s="305"/>
      <c r="Z73" s="412"/>
      <c r="AA73" s="304">
        <f>'GASTOS VEHICULOS'!K25*'%DIST'!R23</f>
        <v>0</v>
      </c>
      <c r="AB73" s="305"/>
      <c r="AC73" s="412"/>
      <c r="AD73" s="304">
        <f>'GASTOS VEHICULOS'!L25*'%DIST'!T23</f>
        <v>0</v>
      </c>
      <c r="AE73" s="305"/>
      <c r="AF73" s="412"/>
      <c r="AG73" s="304">
        <f>'GASTOS VEHICULOS'!M25*'%DIST'!V23</f>
        <v>0</v>
      </c>
      <c r="AH73" s="305"/>
      <c r="AI73" s="412"/>
      <c r="AJ73" s="304">
        <f>'GASTOS VEHICULOS'!N25*'%DIST'!X23</f>
        <v>0</v>
      </c>
      <c r="AK73" s="305"/>
      <c r="AL73" s="412"/>
      <c r="AM73" s="413">
        <f t="shared" si="3"/>
        <v>188892632.935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83">
        <f>'[29]Hoja 1'!$C$105</f>
        <v>12297431</v>
      </c>
      <c r="D74" s="134"/>
      <c r="E74" s="428"/>
      <c r="F74" s="83">
        <f>'[4]Hoja 1'!$C$471+'[32]Hoja 1'!$C$218</f>
        <v>34257223</v>
      </c>
      <c r="G74" s="84"/>
      <c r="H74" s="336"/>
      <c r="I74" s="83">
        <v>241842440</v>
      </c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3"/>
        <v>288397094</v>
      </c>
      <c r="AN74" s="84"/>
      <c r="AO74" s="336"/>
    </row>
    <row r="75" spans="1:42" ht="15" customHeight="1" x14ac:dyDescent="0.2">
      <c r="B75" s="36" t="s">
        <v>66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3"/>
        <v>241842440</v>
      </c>
      <c r="AN75" s="67"/>
      <c r="AO75" s="318"/>
    </row>
    <row r="76" spans="1:42" s="108" customFormat="1" ht="15" customHeight="1" x14ac:dyDescent="0.2">
      <c r="A76" s="229" t="s">
        <v>67</v>
      </c>
      <c r="B76" s="36" t="s">
        <v>68</v>
      </c>
      <c r="C76" s="37">
        <f>'[6]Hoja 1'!$C$453+'[29]Hoja 1'!$C$54</f>
        <v>480000</v>
      </c>
      <c r="D76" s="67"/>
      <c r="E76" s="149"/>
      <c r="F76" s="37">
        <f>'[4]Hoja 1'!$C$428</f>
        <v>3619800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3"/>
        <v>245942240</v>
      </c>
      <c r="AN76" s="67"/>
      <c r="AO76" s="320">
        <f>AM76/$AM$13</f>
        <v>1.0169523595610432</v>
      </c>
    </row>
    <row r="77" spans="1:42" ht="15" customHeight="1" x14ac:dyDescent="0.2">
      <c r="A77" s="226" t="s">
        <v>69</v>
      </c>
      <c r="B77" s="66" t="s">
        <v>70</v>
      </c>
      <c r="C77" s="28">
        <f>'[6]Hoja 1'!$C$498+'[29]Hoja 1'!$C$107</f>
        <v>13494000</v>
      </c>
      <c r="D77" s="45"/>
      <c r="E77" s="149"/>
      <c r="F77" s="28">
        <f>'[32]Hoja 1'!$C$220</f>
        <v>8061415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3"/>
        <v>263397855</v>
      </c>
      <c r="AN77" s="42">
        <f>AM77/(AM6+AM7)</f>
        <v>0.54456499653245316</v>
      </c>
      <c r="AO77" s="320">
        <f>AM77/$AM$13</f>
        <v>1.0891299930649063</v>
      </c>
    </row>
    <row r="78" spans="1:42" ht="15" customHeight="1" x14ac:dyDescent="0.2">
      <c r="B78" s="17" t="s">
        <v>71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725527320</v>
      </c>
      <c r="J78" s="3">
        <f>I78/I$12</f>
        <v>0.75</v>
      </c>
      <c r="K78" s="150">
        <f>I78/(I$13)</f>
        <v>3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0</v>
      </c>
      <c r="P78" s="3" t="e">
        <f>O78/O$12</f>
        <v>#DIV/0!</v>
      </c>
      <c r="Q78" s="150" t="e">
        <f>O78/(O$13)</f>
        <v>#DIV/0!</v>
      </c>
      <c r="R78" s="90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3"/>
        <v>1018744368</v>
      </c>
      <c r="AN78" s="3">
        <f>AM78/AM$12</f>
        <v>1.0531075190938364</v>
      </c>
      <c r="AO78" s="321">
        <f>AM78/(AM$13)</f>
        <v>4.2124300763753455</v>
      </c>
    </row>
    <row r="79" spans="1:42" ht="15" customHeight="1" x14ac:dyDescent="0.3">
      <c r="B79" s="473" t="s">
        <v>73</v>
      </c>
      <c r="C79" s="39">
        <f>'[53]Hoja 1'!$I$12+'[35]Hoja 1'!$I$26</f>
        <v>76323434</v>
      </c>
      <c r="D79" s="267"/>
      <c r="E79" s="139"/>
      <c r="F79" s="39">
        <f>'[41]Hoja 1'!$I$20-16825149+'[42]Hoja 1'!$D$21+'[54]Hoja 1'!$C$23</f>
        <v>173555153</v>
      </c>
      <c r="G79" s="267"/>
      <c r="H79" s="139"/>
      <c r="I79" s="39">
        <v>241842440</v>
      </c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782"/>
      <c r="AH79" s="267"/>
      <c r="AI79" s="139"/>
      <c r="AJ79" s="7"/>
      <c r="AK79" s="69"/>
      <c r="AL79" s="306"/>
      <c r="AM79" s="205">
        <f t="shared" si="3"/>
        <v>491721027</v>
      </c>
      <c r="AN79" s="4">
        <f>AM79/AM12</f>
        <v>0.50830721336585916</v>
      </c>
      <c r="AO79" s="322">
        <f>AM79/(AM$13)</f>
        <v>2.0332288534634366</v>
      </c>
      <c r="AP79" s="696">
        <v>267.36689381937742</v>
      </c>
    </row>
    <row r="80" spans="1:42" ht="15" customHeight="1" x14ac:dyDescent="0.2">
      <c r="B80" s="474" t="s">
        <v>74</v>
      </c>
      <c r="C80" s="25">
        <f>'[13]Hoja 1'!$D$21+'[53]Hoja 1'!$I$11+'[35]Hoja 1'!$I$24</f>
        <v>17124717</v>
      </c>
      <c r="D80" s="43"/>
      <c r="E80" s="118"/>
      <c r="F80" s="25">
        <f>'[14]Hoja 1'!$D$22+'[41]Hoja 1'!$I$19</f>
        <v>24312757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3"/>
        <v>283279914</v>
      </c>
      <c r="AN80" s="43">
        <f>AM80/AM12</f>
        <v>0.2928351967504132</v>
      </c>
      <c r="AO80" s="309">
        <f>AM80/(AM$13)</f>
        <v>1.1713407870016528</v>
      </c>
    </row>
    <row r="81" spans="1:42" ht="15" customHeight="1" thickBot="1" x14ac:dyDescent="0.25">
      <c r="A81" s="226" t="s">
        <v>461</v>
      </c>
      <c r="B81" s="300" t="s">
        <v>275</v>
      </c>
      <c r="C81" s="269">
        <f>'[6]Hoja 1'!$C$436+'[19]Hoja 1'!$D$27</f>
        <v>359708</v>
      </c>
      <c r="D81" s="214"/>
      <c r="E81" s="307"/>
      <c r="F81" s="269">
        <f>'[4]Hoja 1'!$C$403+'[4]Hoja 1'!$C$410</f>
        <v>1541279</v>
      </c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3"/>
        <v>243743427</v>
      </c>
      <c r="AN81" s="214"/>
      <c r="AO81" s="323"/>
    </row>
    <row r="82" spans="1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1:42" ht="15" customHeight="1" thickTop="1" x14ac:dyDescent="0.2">
      <c r="B83" s="526" t="s">
        <v>76</v>
      </c>
      <c r="C83" s="490">
        <f>+C84+C89+C92+C96+C99+C109+C114+C120+C123+C127</f>
        <v>151406813.80000001</v>
      </c>
      <c r="D83" s="491"/>
      <c r="E83" s="492" t="e">
        <f>C83/(C$13)</f>
        <v>#DIV/0!</v>
      </c>
      <c r="F83" s="490">
        <f>+F84+F89+F92+F96+F99+F109+F114+F120+F123+F127</f>
        <v>141429553.27000001</v>
      </c>
      <c r="G83" s="491"/>
      <c r="H83" s="492" t="e">
        <f>F83/(F$13)</f>
        <v>#DIV/0!</v>
      </c>
      <c r="I83" s="490">
        <f>+I84+I89+I92+I96+I99+I109+I114+I120+I123+I127</f>
        <v>11608437120</v>
      </c>
      <c r="J83" s="491"/>
      <c r="K83" s="492">
        <f>I83/(I$13)</f>
        <v>48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4">C83+F83+I83+L83+O83+R83+U83+X83+AA83+AD83+AG83+AJ83</f>
        <v>11901273487.07</v>
      </c>
      <c r="AN83" s="491"/>
      <c r="AO83" s="582">
        <f>AM83/(AM$13)</f>
        <v>49.210855989833711</v>
      </c>
    </row>
    <row r="84" spans="1:42" ht="15" customHeight="1" x14ac:dyDescent="0.2">
      <c r="B84" s="16" t="s">
        <v>77</v>
      </c>
      <c r="C84" s="49">
        <f>SUM(C85:C88)</f>
        <v>49511253</v>
      </c>
      <c r="D84" s="3"/>
      <c r="E84" s="150" t="e">
        <f>C84/(C$13)</f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725527320</v>
      </c>
      <c r="J84" s="3"/>
      <c r="K84" s="150">
        <f>I84/(I$13)</f>
        <v>3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4"/>
        <v>875578918</v>
      </c>
      <c r="AN84" s="3"/>
      <c r="AO84" s="321">
        <f>AM84/(AM$13)</f>
        <v>3.6204518859468999</v>
      </c>
    </row>
    <row r="85" spans="1:42" ht="15" customHeight="1" x14ac:dyDescent="0.2">
      <c r="B85" s="1045" t="s">
        <v>78</v>
      </c>
      <c r="C85" s="1007">
        <f>'[13]Hoja 1'!$D$20+'[55]Hoja 1'!$D$9+'[53]Hoja 1'!$I$9+'[21]Hoja 1'!$D$15+'[35]Hoja 1'!$D$16+'[35]Hoja 1'!$I$22</f>
        <v>45260053</v>
      </c>
      <c r="D85" s="1009"/>
      <c r="E85" s="1008"/>
      <c r="F85" s="1007">
        <f>'[14]Hoja 1'!$D$21+'[24]Hoja 1'!$D$18-228123+'[41]Hoja 1'!$I$17-1342558</f>
        <v>73828562</v>
      </c>
      <c r="G85" s="1009"/>
      <c r="H85" s="1008"/>
      <c r="I85" s="1007"/>
      <c r="J85" s="69"/>
      <c r="K85" s="70"/>
      <c r="L85" s="39"/>
      <c r="M85" s="69"/>
      <c r="N85" s="70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 t="shared" si="4"/>
        <v>119088615</v>
      </c>
      <c r="AN85" s="69"/>
      <c r="AO85" s="306">
        <f>AM85/(AM$13)</f>
        <v>0.49242231843178558</v>
      </c>
    </row>
    <row r="86" spans="1:42" ht="15" customHeight="1" x14ac:dyDescent="0.2">
      <c r="A86" s="226" t="s">
        <v>185</v>
      </c>
      <c r="B86" s="24" t="s">
        <v>79</v>
      </c>
      <c r="C86" s="25"/>
      <c r="D86" s="43"/>
      <c r="E86" s="118"/>
      <c r="F86" s="25">
        <f>'[32]Hoja 1'!$C$151+'[32]Hoja 1'!$C$193</f>
        <v>18395830</v>
      </c>
      <c r="G86" s="43"/>
      <c r="H86" s="118"/>
      <c r="I86" s="25">
        <v>241842440</v>
      </c>
      <c r="J86" s="43"/>
      <c r="K86" s="57"/>
      <c r="L86" s="25"/>
      <c r="M86" s="43"/>
      <c r="N86" s="57"/>
      <c r="O86" s="25"/>
      <c r="P86" s="43"/>
      <c r="Q86" s="57"/>
      <c r="R86" s="25"/>
      <c r="S86" s="43"/>
      <c r="T86" s="57"/>
      <c r="U86" s="25"/>
      <c r="V86" s="43"/>
      <c r="W86" s="57"/>
      <c r="X86" s="281"/>
      <c r="Y86" s="43"/>
      <c r="Z86" s="272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260238270</v>
      </c>
      <c r="AN86" s="43"/>
      <c r="AO86" s="118">
        <f>AM86/AM13</f>
        <v>1.0760653506473057</v>
      </c>
    </row>
    <row r="87" spans="1:42" ht="15" customHeight="1" x14ac:dyDescent="0.2">
      <c r="B87" s="24" t="s">
        <v>81</v>
      </c>
      <c r="C87" s="25">
        <f>'[6]Hoja 1'!$C$485+'[29]Hoja 1'!$C$88</f>
        <v>4251200</v>
      </c>
      <c r="D87" s="43"/>
      <c r="E87" s="118"/>
      <c r="F87" s="25">
        <f>'[4]Hoja 1'!$C$458</f>
        <v>7440500</v>
      </c>
      <c r="G87" s="43"/>
      <c r="H87" s="118"/>
      <c r="I87" s="25">
        <v>241842440</v>
      </c>
      <c r="J87" s="43"/>
      <c r="K87" s="57"/>
      <c r="L87" s="25"/>
      <c r="M87" s="43"/>
      <c r="N87" s="57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1"/>
      <c r="AH87" s="43"/>
      <c r="AI87" s="57"/>
      <c r="AJ87" s="25"/>
      <c r="AK87" s="43"/>
      <c r="AL87" s="118"/>
      <c r="AM87" s="25">
        <f t="shared" si="4"/>
        <v>253534140</v>
      </c>
      <c r="AN87" s="43"/>
      <c r="AO87" s="118">
        <f>AM87/(AM$13)</f>
        <v>1.0483442856431651</v>
      </c>
    </row>
    <row r="88" spans="1:42" ht="15" customHeight="1" x14ac:dyDescent="0.2">
      <c r="A88" s="226" t="s">
        <v>82</v>
      </c>
      <c r="B88" s="429" t="s">
        <v>83</v>
      </c>
      <c r="C88" s="273"/>
      <c r="D88" s="134"/>
      <c r="E88" s="428"/>
      <c r="F88" s="273">
        <f>'[32]Hoja 1'!$C$167</f>
        <v>875453</v>
      </c>
      <c r="G88" s="134"/>
      <c r="H88" s="428"/>
      <c r="I88" s="273">
        <v>241842440</v>
      </c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>
        <f t="shared" si="4"/>
        <v>242717893</v>
      </c>
      <c r="AN88" s="134"/>
      <c r="AO88" s="310"/>
    </row>
    <row r="89" spans="1:42" ht="15" customHeight="1" x14ac:dyDescent="0.2">
      <c r="B89" s="16" t="s">
        <v>84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2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4"/>
        <v>483684880</v>
      </c>
      <c r="AN89" s="3"/>
      <c r="AO89" s="321">
        <f>AM89/(AM$13)</f>
        <v>2</v>
      </c>
    </row>
    <row r="90" spans="1:42" ht="15" customHeight="1" outlineLevel="1" x14ac:dyDescent="0.2">
      <c r="B90" s="39" t="s">
        <v>85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4"/>
        <v>241842440</v>
      </c>
      <c r="AN90" s="69"/>
      <c r="AO90" s="324"/>
    </row>
    <row r="91" spans="1:42" ht="15" customHeight="1" outlineLevel="1" x14ac:dyDescent="0.2">
      <c r="B91" s="83" t="s">
        <v>462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4"/>
        <v>241842440</v>
      </c>
      <c r="AN91" s="84"/>
      <c r="AO91" s="310"/>
    </row>
    <row r="92" spans="1:42" ht="15" customHeight="1" x14ac:dyDescent="0.2">
      <c r="B92" s="16" t="s">
        <v>87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3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4"/>
        <v>739149420</v>
      </c>
      <c r="AN92" s="3"/>
      <c r="AO92" s="321">
        <f>AM92/(AM$13)</f>
        <v>3.0563263420597311</v>
      </c>
    </row>
    <row r="93" spans="1:42" ht="15" customHeight="1" outlineLevel="1" x14ac:dyDescent="0.2">
      <c r="B93" s="39" t="s">
        <v>88</v>
      </c>
      <c r="C93" s="39">
        <f>'[6]Hoja 1'!$C$489</f>
        <v>6401050</v>
      </c>
      <c r="D93" s="69"/>
      <c r="E93" s="306"/>
      <c r="F93" s="39">
        <f>'[4]Hoja 1'!$C$462</f>
        <v>7221050</v>
      </c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4"/>
        <v>255464540</v>
      </c>
      <c r="AN93" s="69"/>
      <c r="AO93" s="324"/>
      <c r="AP93" s="724"/>
    </row>
    <row r="94" spans="1:42" ht="15" customHeight="1" outlineLevel="1" x14ac:dyDescent="0.2">
      <c r="B94" s="39" t="s">
        <v>89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4"/>
        <v>241842440</v>
      </c>
      <c r="AN94" s="43"/>
      <c r="AO94" s="309"/>
    </row>
    <row r="95" spans="1:42" ht="15" customHeight="1" outlineLevel="1" x14ac:dyDescent="0.2">
      <c r="B95" s="39" t="s">
        <v>90</v>
      </c>
      <c r="C95" s="25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241842440</v>
      </c>
      <c r="AN95" s="45"/>
      <c r="AO95" s="325"/>
    </row>
    <row r="96" spans="1:42" ht="15" customHeight="1" x14ac:dyDescent="0.2">
      <c r="B96" s="106" t="s">
        <v>91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2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556950481</v>
      </c>
      <c r="AN96" s="3"/>
      <c r="AO96" s="321">
        <f>AM96/(AM$13)</f>
        <v>2.3029476588145572</v>
      </c>
    </row>
    <row r="97" spans="1:42" s="108" customFormat="1" ht="15" customHeight="1" outlineLevel="1" x14ac:dyDescent="0.2">
      <c r="A97" s="229" t="s">
        <v>400</v>
      </c>
      <c r="B97" s="39" t="s">
        <v>92</v>
      </c>
      <c r="C97" s="960">
        <f>'[52]Hoja 1'!$C$535+'[29]Hoja 1'!$C$92</f>
        <v>71637350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4"/>
        <v>313479790</v>
      </c>
      <c r="AN97" s="69"/>
      <c r="AO97" s="324"/>
    </row>
    <row r="98" spans="1:42" s="108" customFormat="1" ht="15" customHeight="1" outlineLevel="1" x14ac:dyDescent="0.2">
      <c r="A98" s="229" t="s">
        <v>401</v>
      </c>
      <c r="B98" s="275" t="s">
        <v>93</v>
      </c>
      <c r="C98" s="275">
        <f>'[29]Hoja 1'!$C$94</f>
        <v>1628251</v>
      </c>
      <c r="D98" s="276"/>
      <c r="E98" s="341"/>
      <c r="F98" s="83"/>
      <c r="G98" s="84"/>
      <c r="H98" s="336"/>
      <c r="I98" s="83">
        <v>241842440</v>
      </c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4"/>
        <v>243470691</v>
      </c>
      <c r="AN98" s="276"/>
      <c r="AO98" s="326"/>
    </row>
    <row r="99" spans="1:42" ht="15" customHeight="1" x14ac:dyDescent="0.2">
      <c r="B99" s="16" t="s">
        <v>94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2176581960</v>
      </c>
      <c r="J99" s="3"/>
      <c r="K99" s="150">
        <f>I99/(I$13)</f>
        <v>9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2190213752</v>
      </c>
      <c r="AN99" s="3"/>
      <c r="AO99" s="321">
        <f>AM99/(AM$13)</f>
        <v>9.0563664177387562</v>
      </c>
      <c r="AP99" s="897">
        <v>1.0509999999999999</v>
      </c>
    </row>
    <row r="100" spans="1:42" ht="15" customHeight="1" outlineLevel="1" x14ac:dyDescent="0.2">
      <c r="B100" s="39" t="s">
        <v>95</v>
      </c>
      <c r="C100" s="39"/>
      <c r="D100" s="69"/>
      <c r="E100" s="306"/>
      <c r="F100" s="39"/>
      <c r="G100" s="69"/>
      <c r="H100" s="70"/>
      <c r="I100" s="39">
        <v>241842440</v>
      </c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4"/>
        <v>241842440</v>
      </c>
      <c r="AN100" s="69"/>
      <c r="AO100" s="324"/>
    </row>
    <row r="101" spans="1:42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>
        <v>241842440</v>
      </c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4"/>
        <v>241842440</v>
      </c>
      <c r="AN101" s="43"/>
      <c r="AO101" s="309"/>
    </row>
    <row r="102" spans="1:42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>
        <v>241842440</v>
      </c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4"/>
        <v>241842440</v>
      </c>
      <c r="AN102" s="43"/>
      <c r="AO102" s="309"/>
    </row>
    <row r="103" spans="1:42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'[32]Hoja 1'!C209</f>
        <v>1196228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4"/>
        <v>243038668</v>
      </c>
      <c r="AN103" s="43"/>
      <c r="AO103" s="309"/>
    </row>
    <row r="104" spans="1:42" ht="15" customHeight="1" outlineLevel="1" x14ac:dyDescent="0.2">
      <c r="A104" s="226" t="s">
        <v>101</v>
      </c>
      <c r="B104" s="25" t="s">
        <v>102</v>
      </c>
      <c r="C104" s="25">
        <f>'[29]Hoja 1'!$C$97</f>
        <v>5611278</v>
      </c>
      <c r="D104" s="43"/>
      <c r="E104" s="118"/>
      <c r="F104" s="25">
        <f>'[32]Hoja 1'!C210</f>
        <v>538034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4"/>
        <v>247991752</v>
      </c>
      <c r="AN104" s="43"/>
      <c r="AO104" s="309"/>
    </row>
    <row r="105" spans="1:42" ht="15" customHeight="1" outlineLevel="1" x14ac:dyDescent="0.2">
      <c r="A105" s="226" t="s">
        <v>463</v>
      </c>
      <c r="B105" s="25" t="s">
        <v>103</v>
      </c>
      <c r="C105" s="25">
        <f>'[6]Hoja 1'!$C$492+'[29]Hoja 1'!$C$99</f>
        <v>70690</v>
      </c>
      <c r="D105" s="43"/>
      <c r="E105" s="118"/>
      <c r="F105" s="25">
        <f>'[4]Hoja 1'!$C$465+'[32]Hoja 1'!$C$212</f>
        <v>84690</v>
      </c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4"/>
        <v>241997820</v>
      </c>
      <c r="AN105" s="43"/>
      <c r="AO105" s="309"/>
    </row>
    <row r="106" spans="1:42" ht="15" customHeight="1" outlineLevel="1" x14ac:dyDescent="0.2">
      <c r="A106" s="226" t="s">
        <v>464</v>
      </c>
      <c r="B106" s="25" t="s">
        <v>104</v>
      </c>
      <c r="C106" s="25">
        <f>'[6]Hoja 1'!$C$494+'[29]Hoja 1'!$C$101</f>
        <v>2073110</v>
      </c>
      <c r="D106" s="43"/>
      <c r="E106" s="118"/>
      <c r="F106" s="25">
        <f>'[4]Hoja 1'!$C$467+'[32]Hoja 1'!$C$214</f>
        <v>3165360</v>
      </c>
      <c r="G106" s="43"/>
      <c r="H106" s="118"/>
      <c r="I106" s="25">
        <v>241842440</v>
      </c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4"/>
        <v>247080910</v>
      </c>
      <c r="AN106" s="43"/>
      <c r="AO106" s="309"/>
    </row>
    <row r="107" spans="1:42" ht="15" customHeight="1" outlineLevel="1" x14ac:dyDescent="0.2">
      <c r="A107" s="226" t="s">
        <v>465</v>
      </c>
      <c r="B107" s="205" t="s">
        <v>105</v>
      </c>
      <c r="C107" s="25">
        <f>'[6]Hoja 1'!$C$496</f>
        <v>412201</v>
      </c>
      <c r="D107" s="43"/>
      <c r="E107" s="118"/>
      <c r="F107" s="25">
        <f>'[4]Hoja 1'!$C$469</f>
        <v>412201</v>
      </c>
      <c r="G107" s="43"/>
      <c r="H107" s="118"/>
      <c r="I107" s="25">
        <v>241842440</v>
      </c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4"/>
        <v>242666842</v>
      </c>
      <c r="AN107" s="43"/>
      <c r="AO107" s="309"/>
    </row>
    <row r="108" spans="1:42" ht="15" customHeight="1" outlineLevel="1" x14ac:dyDescent="0.2">
      <c r="A108" s="226" t="s">
        <v>466</v>
      </c>
      <c r="B108" s="349" t="s">
        <v>106</v>
      </c>
      <c r="C108" s="2">
        <f>'[29]Hoja 1'!$C$103</f>
        <v>43000</v>
      </c>
      <c r="D108" s="42"/>
      <c r="E108" s="140"/>
      <c r="F108" s="2">
        <f>'[32]Hoja 1'!$C$216</f>
        <v>25000</v>
      </c>
      <c r="G108" s="42"/>
      <c r="H108" s="140"/>
      <c r="I108" s="2">
        <v>241842440</v>
      </c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241910440</v>
      </c>
      <c r="AN108" s="42"/>
      <c r="AO108" s="315"/>
    </row>
    <row r="109" spans="1:42" ht="15" customHeight="1" x14ac:dyDescent="0.2">
      <c r="B109" s="16" t="s">
        <v>107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4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4"/>
        <v>967536960</v>
      </c>
      <c r="AN109" s="3"/>
      <c r="AO109" s="321">
        <f>AM109/(AM$13)</f>
        <v>4.0006913592171829</v>
      </c>
    </row>
    <row r="110" spans="1:42" ht="15" customHeight="1" outlineLevel="1" x14ac:dyDescent="0.2">
      <c r="A110" s="226" t="s">
        <v>402</v>
      </c>
      <c r="B110" s="39" t="s">
        <v>108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4"/>
        <v>241842440</v>
      </c>
      <c r="AN110" s="69"/>
      <c r="AO110" s="324"/>
    </row>
    <row r="111" spans="1:42" ht="15" customHeight="1" outlineLevel="1" x14ac:dyDescent="0.2">
      <c r="A111" s="226" t="s">
        <v>403</v>
      </c>
      <c r="B111" s="25" t="s">
        <v>109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4"/>
        <v>241842440</v>
      </c>
      <c r="AN111" s="43"/>
      <c r="AO111" s="309"/>
    </row>
    <row r="112" spans="1:42" ht="15" customHeight="1" outlineLevel="1" x14ac:dyDescent="0.2">
      <c r="A112" s="226" t="s">
        <v>404</v>
      </c>
      <c r="B112" s="25" t="s">
        <v>110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4"/>
        <v>241842440</v>
      </c>
      <c r="AN112" s="43"/>
      <c r="AO112" s="309"/>
    </row>
    <row r="113" spans="1:41" ht="15" customHeight="1" outlineLevel="1" x14ac:dyDescent="0.2">
      <c r="A113" s="226" t="s">
        <v>405</v>
      </c>
      <c r="B113" s="28" t="s">
        <v>111</v>
      </c>
      <c r="C113" s="959">
        <f>'[52]Hoja 1'!$C$538</f>
        <v>167200</v>
      </c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242009640</v>
      </c>
      <c r="AN113" s="45"/>
      <c r="AO113" s="325"/>
    </row>
    <row r="114" spans="1:41" ht="15" customHeight="1" x14ac:dyDescent="0.2">
      <c r="B114" s="16" t="s">
        <v>112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1209212200</v>
      </c>
      <c r="J114" s="3"/>
      <c r="K114" s="150">
        <f>I114/(I$13)</f>
        <v>5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4"/>
        <v>1216633200</v>
      </c>
      <c r="AN114" s="3"/>
      <c r="AO114" s="321">
        <f>AM114/(AM$13)</f>
        <v>5.0306852676478124</v>
      </c>
    </row>
    <row r="115" spans="1:41" ht="15" customHeight="1" outlineLevel="1" x14ac:dyDescent="0.2">
      <c r="A115" s="226" t="s">
        <v>406</v>
      </c>
      <c r="B115" s="205" t="s">
        <v>113</v>
      </c>
      <c r="C115" s="39"/>
      <c r="D115" s="69"/>
      <c r="E115" s="306"/>
      <c r="F115" s="78"/>
      <c r="G115" s="79"/>
      <c r="H115" s="80"/>
      <c r="I115" s="78">
        <v>241842440</v>
      </c>
      <c r="J115" s="79"/>
      <c r="K115" s="80"/>
      <c r="L115" s="78"/>
      <c r="M115" s="79"/>
      <c r="N115" s="80"/>
      <c r="O115" s="78"/>
      <c r="P115" s="79"/>
      <c r="Q115" s="80"/>
      <c r="R115" s="899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3"/>
      <c r="AK115" s="79"/>
      <c r="AL115" s="306"/>
      <c r="AM115" s="209">
        <f t="shared" ref="AM115:AM142" si="5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A116" s="226" t="s">
        <v>407</v>
      </c>
      <c r="B116" s="205" t="s">
        <v>114</v>
      </c>
      <c r="C116" s="25"/>
      <c r="D116" s="43"/>
      <c r="E116" s="118"/>
      <c r="F116" s="25"/>
      <c r="G116" s="43"/>
      <c r="H116" s="57"/>
      <c r="I116" s="25">
        <v>241842440</v>
      </c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5"/>
        <v>241842440</v>
      </c>
      <c r="AN116" s="43"/>
      <c r="AO116" s="309"/>
    </row>
    <row r="117" spans="1:41" ht="15" customHeight="1" outlineLevel="1" x14ac:dyDescent="0.2">
      <c r="A117" s="226" t="s">
        <v>380</v>
      </c>
      <c r="B117" s="205" t="s">
        <v>115</v>
      </c>
      <c r="C117" s="25">
        <f>'[29]Hoja 1'!$C$112</f>
        <v>1542000</v>
      </c>
      <c r="D117" s="43"/>
      <c r="E117" s="118"/>
      <c r="F117" s="25">
        <f>'[32]Hoja 1'!$C$223</f>
        <v>5879000</v>
      </c>
      <c r="G117" s="43"/>
      <c r="H117" s="57"/>
      <c r="I117" s="25">
        <v>241842440</v>
      </c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5"/>
        <v>249263440</v>
      </c>
      <c r="AN117" s="43"/>
      <c r="AO117" s="309"/>
    </row>
    <row r="118" spans="1:41" ht="15" customHeight="1" outlineLevel="1" x14ac:dyDescent="0.2">
      <c r="A118" s="226" t="s">
        <v>408</v>
      </c>
      <c r="B118" s="205" t="s">
        <v>116</v>
      </c>
      <c r="C118" s="25"/>
      <c r="D118" s="43"/>
      <c r="E118" s="118"/>
      <c r="F118" s="25"/>
      <c r="G118" s="43"/>
      <c r="H118" s="57"/>
      <c r="I118" s="25">
        <v>241842440</v>
      </c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5"/>
        <v>241842440</v>
      </c>
      <c r="AN118" s="43"/>
      <c r="AO118" s="309"/>
    </row>
    <row r="119" spans="1:41" ht="15" customHeight="1" outlineLevel="1" x14ac:dyDescent="0.2">
      <c r="A119" s="226" t="s">
        <v>409</v>
      </c>
      <c r="B119" s="205" t="s">
        <v>117</v>
      </c>
      <c r="C119" s="22"/>
      <c r="D119" s="42"/>
      <c r="E119" s="140"/>
      <c r="F119" s="83"/>
      <c r="G119" s="84"/>
      <c r="H119" s="336"/>
      <c r="I119" s="83">
        <v>241842440</v>
      </c>
      <c r="J119" s="84"/>
      <c r="K119" s="336"/>
      <c r="L119" s="83"/>
      <c r="M119" s="84"/>
      <c r="N119" s="336"/>
      <c r="O119" s="898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780"/>
      <c r="AK119" s="84"/>
      <c r="AL119" s="140"/>
      <c r="AM119" s="97">
        <f t="shared" si="5"/>
        <v>241842440</v>
      </c>
      <c r="AN119" s="42"/>
      <c r="AO119" s="315"/>
    </row>
    <row r="120" spans="1:41" ht="15" customHeight="1" x14ac:dyDescent="0.2">
      <c r="B120" s="16" t="s">
        <v>118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483684880</v>
      </c>
      <c r="J120" s="3"/>
      <c r="K120" s="150">
        <f>I120/(I$13)</f>
        <v>2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5"/>
        <v>483684880</v>
      </c>
      <c r="AN120" s="3"/>
      <c r="AO120" s="321">
        <f>AM120/(AM$13)</f>
        <v>2</v>
      </c>
    </row>
    <row r="121" spans="1:41" ht="15" customHeight="1" x14ac:dyDescent="0.3">
      <c r="A121" s="226" t="s">
        <v>410</v>
      </c>
      <c r="B121" s="205" t="s">
        <v>119</v>
      </c>
      <c r="C121" s="353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5"/>
        <v>241842440</v>
      </c>
      <c r="AN121" s="69"/>
      <c r="AO121" s="324"/>
    </row>
    <row r="122" spans="1:41" ht="15" customHeight="1" x14ac:dyDescent="0.3">
      <c r="A122" s="226" t="s">
        <v>411</v>
      </c>
      <c r="B122" s="205" t="s">
        <v>120</v>
      </c>
      <c r="C122" s="354"/>
      <c r="D122" s="92"/>
      <c r="E122" s="338"/>
      <c r="F122" s="83"/>
      <c r="G122" s="84"/>
      <c r="H122" s="85"/>
      <c r="I122" s="83">
        <v>241842440</v>
      </c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5"/>
        <v>241842440</v>
      </c>
      <c r="AN122" s="84"/>
      <c r="AO122" s="327"/>
    </row>
    <row r="123" spans="1:41" ht="15" customHeight="1" x14ac:dyDescent="0.2">
      <c r="B123" s="16" t="s">
        <v>121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3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5"/>
        <v>725527320</v>
      </c>
      <c r="AN123" s="3"/>
      <c r="AO123" s="321">
        <f>AM123/(AM$13)</f>
        <v>3</v>
      </c>
    </row>
    <row r="124" spans="1:41" ht="15" customHeight="1" outlineLevel="1" x14ac:dyDescent="0.2">
      <c r="A124" s="226" t="s">
        <v>412</v>
      </c>
      <c r="B124" s="39" t="s">
        <v>122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5"/>
        <v>241842440</v>
      </c>
      <c r="AN124" s="69"/>
      <c r="AO124" s="324"/>
    </row>
    <row r="125" spans="1:41" ht="15" customHeight="1" outlineLevel="1" x14ac:dyDescent="0.2">
      <c r="A125" s="226" t="s">
        <v>413</v>
      </c>
      <c r="B125" s="25" t="s">
        <v>123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5"/>
        <v>241842440</v>
      </c>
      <c r="AN125" s="43"/>
      <c r="AO125" s="309"/>
    </row>
    <row r="126" spans="1:41" ht="15" customHeight="1" outlineLevel="1" x14ac:dyDescent="0.2">
      <c r="A126" s="226" t="s">
        <v>414</v>
      </c>
      <c r="B126" s="28" t="s">
        <v>124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5"/>
        <v>241842440</v>
      </c>
      <c r="AN126" s="45"/>
      <c r="AO126" s="325"/>
    </row>
    <row r="127" spans="1:41" ht="15" customHeight="1" x14ac:dyDescent="0.2">
      <c r="B127" s="16" t="s">
        <v>125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5"/>
        <v>3662313676.0700002</v>
      </c>
      <c r="AN127" s="3"/>
      <c r="AO127" s="321">
        <f>AM127/(AM$13)</f>
        <v>15.143387058408774</v>
      </c>
    </row>
    <row r="128" spans="1:41" ht="15" customHeight="1" outlineLevel="1" x14ac:dyDescent="0.2">
      <c r="A128" s="226" t="s">
        <v>415</v>
      </c>
      <c r="B128" s="25" t="s">
        <v>127</v>
      </c>
      <c r="C128" s="39">
        <f>'[6]Hoja 1'!$C$455+'[6]Hoja 1'!$C$510</f>
        <v>118313</v>
      </c>
      <c r="D128" s="69"/>
      <c r="E128" s="306"/>
      <c r="F128" s="39">
        <f>'[32]Hoja 1'!$C$230</f>
        <v>12089336</v>
      </c>
      <c r="G128" s="69"/>
      <c r="H128" s="70"/>
      <c r="I128" s="39">
        <v>241842440</v>
      </c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782"/>
      <c r="AH128" s="69"/>
      <c r="AI128" s="306"/>
      <c r="AJ128" s="39"/>
      <c r="AK128" s="69"/>
      <c r="AL128" s="306"/>
      <c r="AM128" s="209">
        <f t="shared" si="5"/>
        <v>254050089</v>
      </c>
      <c r="AN128" s="42"/>
      <c r="AO128" s="328">
        <f>AM128/AM13</f>
        <v>1.0504776953127002</v>
      </c>
    </row>
    <row r="129" spans="1:42" ht="15" customHeight="1" outlineLevel="1" x14ac:dyDescent="0.2">
      <c r="A129" s="226" t="s">
        <v>128</v>
      </c>
      <c r="B129" s="25" t="s">
        <v>129</v>
      </c>
      <c r="C129" s="91"/>
      <c r="D129" s="43"/>
      <c r="E129" s="118"/>
      <c r="F129" s="25">
        <f>'[4]Hoja 1'!$C$485+'[32]Hoja 1'!$C$233</f>
        <v>90000</v>
      </c>
      <c r="G129" s="43"/>
      <c r="H129" s="57"/>
      <c r="I129" s="25">
        <v>241842440</v>
      </c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1"/>
      <c r="AH129" s="43"/>
      <c r="AI129" s="118"/>
      <c r="AJ129" s="25"/>
      <c r="AK129" s="43"/>
      <c r="AL129" s="118"/>
      <c r="AM129" s="205">
        <f t="shared" si="5"/>
        <v>241932440</v>
      </c>
      <c r="AN129" s="92"/>
      <c r="AO129" s="426"/>
    </row>
    <row r="130" spans="1:42" s="108" customFormat="1" ht="15" customHeight="1" outlineLevel="1" x14ac:dyDescent="0.2">
      <c r="A130" s="229" t="s">
        <v>417</v>
      </c>
      <c r="B130" s="25" t="s">
        <v>131</v>
      </c>
      <c r="C130" s="25">
        <f>'[6]Hoja 1'!$C$451+'[6]Hoja 1'!$C$501</f>
        <v>10240234.51</v>
      </c>
      <c r="D130" s="43"/>
      <c r="E130" s="118"/>
      <c r="F130" s="25">
        <f>'[4]Hoja 1'!$C$426+'[4]Hoja 1'!$C$474+'[32]Hoja 1'!$C$226</f>
        <v>8389125.2899999991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5"/>
        <v>260471799.80000001</v>
      </c>
      <c r="AN130" s="43"/>
      <c r="AO130" s="118">
        <f>AM130/AM13</f>
        <v>1.0770309785164258</v>
      </c>
      <c r="AP130" s="703"/>
    </row>
    <row r="131" spans="1:42" ht="15" customHeight="1" outlineLevel="1" x14ac:dyDescent="0.2">
      <c r="A131" s="226" t="s">
        <v>132</v>
      </c>
      <c r="B131" s="25" t="s">
        <v>133</v>
      </c>
      <c r="C131" s="25">
        <f>'[6]Hoja 1'!$C$503</f>
        <v>39999</v>
      </c>
      <c r="D131" s="43"/>
      <c r="E131" s="118"/>
      <c r="F131" s="25">
        <f>'[4]Hoja 1'!$C$476</f>
        <v>163804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5"/>
        <v>242046243</v>
      </c>
      <c r="AN131" s="43"/>
      <c r="AO131" s="329"/>
    </row>
    <row r="132" spans="1:42" ht="15" customHeight="1" outlineLevel="1" x14ac:dyDescent="0.2">
      <c r="A132" s="226" t="s">
        <v>418</v>
      </c>
      <c r="B132" s="25" t="s">
        <v>134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5"/>
        <v>241842440</v>
      </c>
      <c r="AN132" s="43"/>
      <c r="AO132" s="309"/>
    </row>
    <row r="133" spans="1:42" ht="15" customHeight="1" outlineLevel="1" x14ac:dyDescent="0.2">
      <c r="A133" s="226" t="s">
        <v>135</v>
      </c>
      <c r="B133" s="25" t="s">
        <v>136</v>
      </c>
      <c r="C133" s="25">
        <f>'[6]Hoja 1'!$C$505</f>
        <v>524600</v>
      </c>
      <c r="D133" s="43"/>
      <c r="E133" s="118"/>
      <c r="F133" s="25">
        <f>'[4]Hoja 1'!$C$478+'[32]Hoja 1'!$C$228</f>
        <v>269000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5"/>
        <v>242636040</v>
      </c>
      <c r="AN133" s="43"/>
      <c r="AO133" s="309"/>
    </row>
    <row r="134" spans="1:42" ht="15" customHeight="1" outlineLevel="1" x14ac:dyDescent="0.2">
      <c r="A134" s="226" t="s">
        <v>137</v>
      </c>
      <c r="B134" s="25" t="s">
        <v>138</v>
      </c>
      <c r="C134" s="25">
        <f>'[6]Hoja 1'!$C$507+'[29]Hoja 1'!$C$115</f>
        <v>192001</v>
      </c>
      <c r="D134" s="43"/>
      <c r="E134" s="118"/>
      <c r="F134" s="25">
        <f>'[4]Hoja 1'!$C$480</f>
        <v>69000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5"/>
        <v>242103441</v>
      </c>
      <c r="AN134" s="43"/>
      <c r="AO134" s="309"/>
    </row>
    <row r="135" spans="1:42" ht="15" customHeight="1" outlineLevel="1" x14ac:dyDescent="0.2">
      <c r="A135" s="226" t="s">
        <v>419</v>
      </c>
      <c r="B135" s="25" t="s">
        <v>139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5"/>
        <v>241842440</v>
      </c>
      <c r="AN135" s="43"/>
      <c r="AO135" s="309"/>
    </row>
    <row r="136" spans="1:42" ht="15" customHeight="1" outlineLevel="1" x14ac:dyDescent="0.2">
      <c r="A136" s="226" t="s">
        <v>420</v>
      </c>
      <c r="B136" s="25" t="s">
        <v>140</v>
      </c>
      <c r="C136" s="25"/>
      <c r="D136" s="43"/>
      <c r="E136" s="118"/>
      <c r="F136" s="25">
        <f>'[4]Hoja 1'!$C$482</f>
        <v>39650</v>
      </c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241882090</v>
      </c>
      <c r="AN136" s="43"/>
      <c r="AO136" s="309"/>
    </row>
    <row r="137" spans="1:42" ht="15" customHeight="1" outlineLevel="1" x14ac:dyDescent="0.2">
      <c r="A137" s="226" t="s">
        <v>326</v>
      </c>
      <c r="B137" s="25" t="s">
        <v>141</v>
      </c>
      <c r="C137" s="25">
        <f>'[6]Hoja 1'!$C$509</f>
        <v>795683.29</v>
      </c>
      <c r="D137" s="43"/>
      <c r="E137" s="118"/>
      <c r="F137" s="25">
        <f>'[4]Hoja 1'!$C$484</f>
        <v>869729.98</v>
      </c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5"/>
        <v>243507853.27000001</v>
      </c>
      <c r="AN137" s="43"/>
      <c r="AO137" s="309"/>
    </row>
    <row r="138" spans="1:42" ht="15" customHeight="1" outlineLevel="1" x14ac:dyDescent="0.2">
      <c r="B138" s="25" t="s">
        <v>142</v>
      </c>
      <c r="C138" s="427">
        <f>'[29]Hoja 1'!$C$48</f>
        <v>258000</v>
      </c>
      <c r="D138" s="89"/>
      <c r="E138" s="303"/>
      <c r="F138" s="25"/>
      <c r="G138" s="89"/>
      <c r="H138" s="303"/>
      <c r="I138" s="427">
        <v>241842440</v>
      </c>
      <c r="J138" s="89"/>
      <c r="K138" s="303"/>
      <c r="L138" s="427"/>
      <c r="M138" s="89"/>
      <c r="N138" s="303"/>
      <c r="O138" s="25"/>
      <c r="P138" s="89"/>
      <c r="Q138" s="303"/>
      <c r="R138" s="427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5"/>
        <v>242100440</v>
      </c>
      <c r="AN138" s="89"/>
      <c r="AO138" s="308"/>
    </row>
    <row r="139" spans="1:42" ht="15" customHeight="1" outlineLevel="1" x14ac:dyDescent="0.2">
      <c r="B139" s="25" t="s">
        <v>143</v>
      </c>
      <c r="C139" s="25">
        <f>'[29]Hoja 1'!$C$117</f>
        <v>41900</v>
      </c>
      <c r="D139" s="43"/>
      <c r="E139" s="118"/>
      <c r="F139" s="25">
        <f>'[32]Hoja 1'!$C$231</f>
        <v>258000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5"/>
        <v>242142340</v>
      </c>
      <c r="AN139" s="43"/>
      <c r="AO139" s="309"/>
    </row>
    <row r="140" spans="1:42" ht="15" customHeight="1" outlineLevel="1" x14ac:dyDescent="0.2">
      <c r="A140" s="803" t="s">
        <v>144</v>
      </c>
      <c r="B140" s="25" t="s">
        <v>145</v>
      </c>
      <c r="C140" s="25"/>
      <c r="D140" s="43"/>
      <c r="E140" s="118"/>
      <c r="F140" s="25">
        <f>'[32]Hoja 1'!$C$232</f>
        <v>130000</v>
      </c>
      <c r="G140" s="43"/>
      <c r="H140" s="118"/>
      <c r="I140" s="281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5"/>
        <v>241972440</v>
      </c>
      <c r="AN140" s="43"/>
      <c r="AO140" s="309"/>
    </row>
    <row r="141" spans="1:42" ht="15" customHeight="1" outlineLevel="1" x14ac:dyDescent="0.2">
      <c r="B141" s="25" t="s">
        <v>146</v>
      </c>
      <c r="C141" s="25">
        <f>'[29]Hoja 1'!$C$118</f>
        <v>98700</v>
      </c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5"/>
        <v>241941140</v>
      </c>
      <c r="AN141" s="43"/>
      <c r="AO141" s="309"/>
    </row>
    <row r="142" spans="1:42" ht="15" customHeight="1" outlineLevel="1" thickBot="1" x14ac:dyDescent="0.25">
      <c r="A142" s="226" t="s">
        <v>467</v>
      </c>
      <c r="B142" s="269" t="s">
        <v>148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5"/>
        <v>241842440</v>
      </c>
      <c r="AN142" s="214"/>
      <c r="AO142" s="330"/>
    </row>
    <row r="143" spans="1:42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2" ht="15" customHeight="1" thickTop="1" thickBot="1" x14ac:dyDescent="0.25">
      <c r="B144" s="525" t="s">
        <v>149</v>
      </c>
      <c r="C144" s="493">
        <f>+C42-C44-C83</f>
        <v>-497087394.07499999</v>
      </c>
      <c r="D144" s="494"/>
      <c r="E144" s="495"/>
      <c r="F144" s="493">
        <f>+F42-F44-F83</f>
        <v>-956182304.87999988</v>
      </c>
      <c r="G144" s="494"/>
      <c r="H144" s="495"/>
      <c r="I144" s="493">
        <f>+I42-I44-I83</f>
        <v>-14869961999.158001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-16441734493.713001</v>
      </c>
      <c r="AN144" s="494"/>
      <c r="AO144" s="584"/>
    </row>
    <row r="145" spans="1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-61.486156024385139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>
        <f>IFERROR(AM144/AM13," ")</f>
        <v>-67.985315123817813</v>
      </c>
      <c r="AN145" s="488"/>
      <c r="AO145" s="577"/>
    </row>
    <row r="146" spans="1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1:42" ht="15" customHeight="1" thickTop="1" x14ac:dyDescent="0.2">
      <c r="B147" s="526" t="s">
        <v>150</v>
      </c>
      <c r="C147" s="490">
        <f>SUM(C148:C151)</f>
        <v>61442171.726167746</v>
      </c>
      <c r="D147" s="491"/>
      <c r="E147" s="492" t="e">
        <f>C147/(C$13)</f>
        <v>#DIV/0!</v>
      </c>
      <c r="F147" s="490">
        <f>SUM(F148:F151)</f>
        <v>85534185.762208432</v>
      </c>
      <c r="G147" s="491"/>
      <c r="H147" s="492" t="e">
        <f>F147/(F$13)</f>
        <v>#DIV/0!</v>
      </c>
      <c r="I147" s="490">
        <f>SUM(I148:I151)</f>
        <v>1366878403.3982728</v>
      </c>
      <c r="J147" s="491"/>
      <c r="K147" s="492">
        <f>I147/(I$13)</f>
        <v>5.6519376971150006</v>
      </c>
      <c r="L147" s="490">
        <f>SUM(L148:L151)</f>
        <v>0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 t="e">
        <f>O147/(O$13)</f>
        <v>#DIV/0!</v>
      </c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/>
      <c r="AJ147" s="490" t="e">
        <f>SUM(AJ148:AJ151)</f>
        <v>#DIV/0!</v>
      </c>
      <c r="AK147" s="491"/>
      <c r="AL147" s="492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2" ht="15" customHeight="1" x14ac:dyDescent="0.2">
      <c r="B148" s="18" t="s">
        <v>151</v>
      </c>
      <c r="C148" s="39">
        <f>'GASTOS ADMINISTRATIVOS'!C96*'%DIST'!B39</f>
        <v>45896923.691675507</v>
      </c>
      <c r="D148" s="69"/>
      <c r="E148" s="306" t="e">
        <f>C148/C$13</f>
        <v>#DIV/0!</v>
      </c>
      <c r="F148" s="39">
        <f>'GASTOS ADMINISTRATIVOS'!D96*'%DIST'!D39</f>
        <v>68737925.545593619</v>
      </c>
      <c r="G148" s="69"/>
      <c r="H148" s="306"/>
      <c r="I148" s="39">
        <f>'GASTOS ADMINISTRATIVOS'!E96*'%DIST'!F39</f>
        <v>1139646820.0657828</v>
      </c>
      <c r="J148" s="69"/>
      <c r="K148" s="306"/>
      <c r="L148" s="39">
        <f>'GASTOS ADMINISTRATIVOS'!F96*'%DIST'!H39</f>
        <v>0</v>
      </c>
      <c r="M148" s="69"/>
      <c r="N148" s="306"/>
      <c r="O148" s="39" t="e">
        <f>'GASTOS ADMINISTRATIVOS'!G96*'%DIST'!J39</f>
        <v>#DIV/0!</v>
      </c>
      <c r="P148" s="69"/>
      <c r="Q148" s="306"/>
      <c r="R148" s="39" t="e">
        <f>'GASTOS ADMINISTRATIVOS'!H96*'%DIST'!L39</f>
        <v>#DIV/0!</v>
      </c>
      <c r="S148" s="69"/>
      <c r="T148" s="306"/>
      <c r="U148" s="39" t="e">
        <f>'GASTOS ADMINISTRATIVOS'!I96*'%DIST'!N39</f>
        <v>#DIV/0!</v>
      </c>
      <c r="V148" s="69"/>
      <c r="W148" s="306"/>
      <c r="X148" s="39" t="e">
        <f>'GASTOS ADMINISTRATIVOS'!J96*'%DIST'!P39</f>
        <v>#DIV/0!</v>
      </c>
      <c r="Y148" s="69"/>
      <c r="Z148" s="306"/>
      <c r="AA148" s="39" t="e">
        <f>'GASTOS ADMINISTRATIVOS'!K96*'%DIST'!R39</f>
        <v>#DIV/0!</v>
      </c>
      <c r="AB148" s="69"/>
      <c r="AC148" s="306"/>
      <c r="AD148" s="39" t="e">
        <f>'GASTOS ADMINISTRATIVOS'!L96*'%DIST'!T39</f>
        <v>#DIV/0!</v>
      </c>
      <c r="AE148" s="69"/>
      <c r="AF148" s="306"/>
      <c r="AG148" s="39" t="e">
        <f>'GASTOS ADMINISTRATIVOS'!M96*'%DIST'!V39</f>
        <v>#DIV/0!</v>
      </c>
      <c r="AH148" s="69"/>
      <c r="AI148" s="306"/>
      <c r="AJ148" s="39" t="e">
        <f>'GASTOS ADMINISTRATIVOS'!N96*'%DIST'!X39</f>
        <v>#DIV/0!</v>
      </c>
      <c r="AK148" s="69"/>
      <c r="AL148" s="306"/>
      <c r="AM148" s="209" t="e">
        <f>C148+F148+I148+L148+O148+R148+U148+X148+AA148+AD148+AG148+AJ148</f>
        <v>#DIV/0!</v>
      </c>
      <c r="AN148" s="69"/>
      <c r="AO148" s="324" t="e">
        <f>AM148/AM$13</f>
        <v>#DIV/0!</v>
      </c>
      <c r="AP148" s="725"/>
    </row>
    <row r="149" spans="1:42" ht="15" customHeight="1" x14ac:dyDescent="0.2">
      <c r="B149" s="1052" t="s">
        <v>152</v>
      </c>
      <c r="C149" s="949">
        <f>'GASTOS ADMINISTRATIVOS'!C109*'%DIST'!C55+79552.5+3501.4</f>
        <v>12493042.13396867</v>
      </c>
      <c r="D149" s="1050"/>
      <c r="E149" s="1051"/>
      <c r="F149" s="949">
        <f>'GASTOS ADMINISTRATIVOS'!D109*'%DIST'!E55+6000</f>
        <v>17014566.728882868</v>
      </c>
      <c r="G149" s="1050"/>
      <c r="H149" s="1051"/>
      <c r="I149" s="949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29507608.862851538</v>
      </c>
      <c r="AN149" s="43"/>
      <c r="AO149" s="309"/>
    </row>
    <row r="150" spans="1:42" ht="15" customHeight="1" x14ac:dyDescent="0.2">
      <c r="B150" s="107" t="s">
        <v>153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241842440</v>
      </c>
      <c r="AN150" s="42"/>
      <c r="AO150" s="315">
        <f>AM150/AM$13</f>
        <v>1</v>
      </c>
    </row>
    <row r="151" spans="1:42" ht="15" customHeight="1" thickBot="1" x14ac:dyDescent="0.25">
      <c r="B151" s="300" t="s">
        <v>154</v>
      </c>
      <c r="C151" s="71">
        <f>'GASTOS ADMINISTRATIVOS'!C119*'%DIST'!C55</f>
        <v>3052205.9005235662</v>
      </c>
      <c r="D151" s="72"/>
      <c r="E151" s="342"/>
      <c r="F151" s="71">
        <f>'GASTOS ADMINISTRATIVOS'!D119*'%DIST'!E55</f>
        <v>-218306.51226805287</v>
      </c>
      <c r="G151" s="72"/>
      <c r="H151" s="342"/>
      <c r="I151" s="71">
        <f>'GASTOS ADMINISTRATIVOS'!E119*'%DIST'!G55</f>
        <v>-14610856.667510035</v>
      </c>
      <c r="J151" s="72"/>
      <c r="K151" s="342"/>
      <c r="L151" s="71">
        <f>'GASTOS ADMINISTRATIVOS'!F119*'%DIST'!I55</f>
        <v>0</v>
      </c>
      <c r="M151" s="72"/>
      <c r="N151" s="342"/>
      <c r="O151" s="71" t="e">
        <f>'GASTOS ADMINISTRATIVOS'!G119*'%DIST'!K55</f>
        <v>#DIV/0!</v>
      </c>
      <c r="P151" s="72"/>
      <c r="Q151" s="342"/>
      <c r="R151" s="71" t="e">
        <f>'GASTOS ADMINISTRATIVOS'!H119*'%DIST'!M55</f>
        <v>#DIV/0!</v>
      </c>
      <c r="S151" s="72"/>
      <c r="T151" s="342"/>
      <c r="U151" s="71" t="e">
        <f>'GASTOS ADMINISTRATIVOS'!I119*'%DIST'!O55</f>
        <v>#DIV/0!</v>
      </c>
      <c r="V151" s="72"/>
      <c r="W151" s="342"/>
      <c r="X151" s="71" t="e">
        <f>'GASTOS ADMINISTRATIVOS'!J119*'%DIST'!Q55</f>
        <v>#DIV/0!</v>
      </c>
      <c r="Y151" s="72"/>
      <c r="Z151" s="342"/>
      <c r="AA151" s="71" t="e">
        <f>'GASTOS ADMINISTRATIVOS'!K119*'%DIST'!S55</f>
        <v>#DIV/0!</v>
      </c>
      <c r="AB151" s="72"/>
      <c r="AC151" s="342"/>
      <c r="AD151" s="71" t="e">
        <f>'GASTOS ADMINISTRATIVOS'!L119*'%DIST'!U55</f>
        <v>#DIV/0!</v>
      </c>
      <c r="AE151" s="72"/>
      <c r="AF151" s="342"/>
      <c r="AG151" s="71" t="e">
        <f>'GASTOS ADMINISTRATIVOS'!M119*'%DIST'!W55</f>
        <v>#DIV/0!</v>
      </c>
      <c r="AH151" s="72"/>
      <c r="AI151" s="342"/>
      <c r="AJ151" s="71" t="e">
        <f>'GASTOS ADMINISTRATIVOS'!N119*'%DIST'!Y55</f>
        <v>#DIV/0!</v>
      </c>
      <c r="AK151" s="72"/>
      <c r="AL151" s="342"/>
      <c r="AM151" s="301" t="e">
        <f>C151+F151+I151+L151+O151+R151+U151+X151+AA151+AD151+AG151+AJ151</f>
        <v>#DIV/0!</v>
      </c>
      <c r="AN151" s="72"/>
      <c r="AO151" s="331"/>
    </row>
    <row r="152" spans="1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1:42" ht="15" customHeight="1" thickTop="1" thickBot="1" x14ac:dyDescent="0.25">
      <c r="B153" s="524" t="s">
        <v>155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6">C153+F153+I153+L153+O153+R153+U153+X153+AA153+AD153+AG153+AJ153</f>
        <v>1692897080</v>
      </c>
      <c r="AN153" s="498"/>
      <c r="AO153" s="586">
        <f>AM153/(AM$13)</f>
        <v>7</v>
      </c>
    </row>
    <row r="154" spans="1:42" ht="15" customHeight="1" thickTop="1" x14ac:dyDescent="0.2">
      <c r="B154" s="40" t="s">
        <v>156</v>
      </c>
      <c r="C154" s="286"/>
      <c r="D154" s="230"/>
      <c r="E154" s="343"/>
      <c r="F154" s="514"/>
      <c r="G154" s="230"/>
      <c r="H154" s="343"/>
      <c r="I154" s="514">
        <v>241842440</v>
      </c>
      <c r="J154" s="230"/>
      <c r="K154" s="343"/>
      <c r="L154" s="514"/>
      <c r="M154" s="230"/>
      <c r="N154" s="343"/>
      <c r="O154" s="514"/>
      <c r="P154" s="230"/>
      <c r="Q154" s="343"/>
      <c r="R154" s="722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722"/>
      <c r="AK154" s="230"/>
      <c r="AL154" s="343"/>
      <c r="AM154" s="287">
        <f t="shared" si="6"/>
        <v>241842440</v>
      </c>
      <c r="AN154" s="230"/>
      <c r="AO154" s="332"/>
    </row>
    <row r="155" spans="1:42" ht="15" customHeight="1" x14ac:dyDescent="0.2">
      <c r="B155" s="689" t="s">
        <v>157</v>
      </c>
      <c r="C155" s="691"/>
      <c r="D155" s="9"/>
      <c r="E155" s="566"/>
      <c r="F155" s="694"/>
      <c r="G155" s="9"/>
      <c r="H155" s="566"/>
      <c r="I155" s="694">
        <v>241842440</v>
      </c>
      <c r="J155" s="9"/>
      <c r="K155" s="566"/>
      <c r="L155" s="694"/>
      <c r="M155" s="9"/>
      <c r="N155" s="566"/>
      <c r="O155" s="694"/>
      <c r="P155" s="9"/>
      <c r="Q155" s="566"/>
      <c r="R155" s="705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705"/>
      <c r="AK155" s="9"/>
      <c r="AL155" s="566"/>
      <c r="AM155" s="294">
        <f t="shared" si="6"/>
        <v>241842440</v>
      </c>
      <c r="AN155" s="9"/>
      <c r="AO155" s="690"/>
    </row>
    <row r="156" spans="1:42" ht="15" customHeight="1" x14ac:dyDescent="0.2">
      <c r="B156" s="674" t="s">
        <v>158</v>
      </c>
      <c r="C156" s="685"/>
      <c r="D156" s="675"/>
      <c r="E156" s="676"/>
      <c r="F156" s="687"/>
      <c r="G156" s="675"/>
      <c r="H156" s="676"/>
      <c r="I156" s="687">
        <v>241842440</v>
      </c>
      <c r="J156" s="675"/>
      <c r="K156" s="676"/>
      <c r="L156" s="687"/>
      <c r="M156" s="675"/>
      <c r="N156" s="676"/>
      <c r="O156" s="687"/>
      <c r="P156" s="675"/>
      <c r="Q156" s="676"/>
      <c r="R156" s="718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713">
        <f t="shared" si="6"/>
        <v>241842440</v>
      </c>
      <c r="AN156" s="675"/>
      <c r="AO156" s="681"/>
    </row>
    <row r="157" spans="1:42" ht="15" customHeight="1" x14ac:dyDescent="0.2">
      <c r="B157" s="550" t="s">
        <v>159</v>
      </c>
      <c r="C157" s="562"/>
      <c r="D157" s="551"/>
      <c r="E157" s="552"/>
      <c r="F157" s="562"/>
      <c r="G157" s="551"/>
      <c r="H157" s="552"/>
      <c r="I157" s="562">
        <v>241842440</v>
      </c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562"/>
      <c r="Y157" s="551"/>
      <c r="Z157" s="552"/>
      <c r="AA157" s="562"/>
      <c r="AB157" s="551"/>
      <c r="AC157" s="552"/>
      <c r="AD157" s="562"/>
      <c r="AE157" s="551"/>
      <c r="AF157" s="552"/>
      <c r="AG157" s="562"/>
      <c r="AH157" s="13"/>
      <c r="AI157" s="344"/>
      <c r="AJ157" s="562"/>
      <c r="AK157" s="9"/>
      <c r="AL157" s="566"/>
      <c r="AM157" s="75">
        <f t="shared" si="6"/>
        <v>241842440</v>
      </c>
      <c r="AN157" s="551"/>
      <c r="AO157" s="727">
        <f>AM157/AM42</f>
        <v>1.1197581322434353</v>
      </c>
    </row>
    <row r="158" spans="1:42" s="108" customFormat="1" ht="15" customHeight="1" x14ac:dyDescent="0.2">
      <c r="A158" s="229"/>
      <c r="B158" s="563" t="s">
        <v>160</v>
      </c>
      <c r="C158" s="712"/>
      <c r="D158" s="553"/>
      <c r="E158" s="554"/>
      <c r="F158" s="712"/>
      <c r="G158" s="553"/>
      <c r="H158" s="554"/>
      <c r="I158" s="712">
        <v>241842440</v>
      </c>
      <c r="J158" s="553"/>
      <c r="K158" s="554"/>
      <c r="L158" s="712"/>
      <c r="M158" s="553"/>
      <c r="N158" s="554"/>
      <c r="O158" s="712"/>
      <c r="P158" s="553"/>
      <c r="Q158" s="554"/>
      <c r="R158" s="712"/>
      <c r="S158" s="553"/>
      <c r="T158" s="554"/>
      <c r="U158" s="712"/>
      <c r="V158" s="553"/>
      <c r="W158" s="554"/>
      <c r="X158" s="712"/>
      <c r="Y158" s="553"/>
      <c r="Z158" s="554"/>
      <c r="AA158" s="712"/>
      <c r="AB158" s="553"/>
      <c r="AC158" s="554"/>
      <c r="AD158" s="712"/>
      <c r="AE158" s="553"/>
      <c r="AF158" s="554"/>
      <c r="AG158" s="712"/>
      <c r="AH158" s="13"/>
      <c r="AI158" s="344"/>
      <c r="AJ158" s="712"/>
      <c r="AK158" s="13"/>
      <c r="AL158" s="344"/>
      <c r="AM158" s="715">
        <f t="shared" si="6"/>
        <v>241842440</v>
      </c>
      <c r="AN158" s="13"/>
      <c r="AO158" s="333">
        <f>AM158/AM42</f>
        <v>1.1197581322434353</v>
      </c>
    </row>
    <row r="159" spans="1:42" ht="15" customHeight="1" x14ac:dyDescent="0.2">
      <c r="B159" s="563" t="s">
        <v>161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>
        <f t="shared" si="6"/>
        <v>241842440</v>
      </c>
      <c r="AN159" s="13"/>
      <c r="AO159" s="728"/>
    </row>
    <row r="160" spans="1:42" ht="15" customHeight="1" thickBot="1" x14ac:dyDescent="0.25">
      <c r="B160" s="291" t="s">
        <v>162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6"/>
        <v>241842440</v>
      </c>
      <c r="AN160" s="809"/>
      <c r="AO160" s="334"/>
    </row>
    <row r="161" spans="2:41" ht="15" customHeight="1" thickTop="1" thickBot="1" x14ac:dyDescent="0.25">
      <c r="B161" s="524" t="s">
        <v>163</v>
      </c>
      <c r="C161" s="497">
        <f>C144-C147-C153</f>
        <v>-558529565.80116773</v>
      </c>
      <c r="D161" s="498"/>
      <c r="E161" s="499"/>
      <c r="F161" s="497">
        <f>F144-F147-F153</f>
        <v>-1041716490.6422083</v>
      </c>
      <c r="G161" s="498"/>
      <c r="H161" s="499"/>
      <c r="I161" s="497">
        <f>I144-I147-I153</f>
        <v>-17929737482.556274</v>
      </c>
      <c r="J161" s="498"/>
      <c r="K161" s="499"/>
      <c r="L161" s="497">
        <f>L144-L147-L153</f>
        <v>-118502795.60000001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499"/>
      <c r="AM161" s="585" t="e">
        <f t="shared" si="6"/>
        <v>#DIV/0!</v>
      </c>
      <c r="AN161" s="498" t="s">
        <v>340</v>
      </c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>
        <f>IFERROR(I161/I13," ")</f>
        <v>-74.138093721500141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>
      <c r="I163" s="399"/>
    </row>
    <row r="164" spans="2:41" x14ac:dyDescent="0.2">
      <c r="C164" s="616">
        <f>C44+C83-C73</f>
        <v>496115670</v>
      </c>
      <c r="D164" s="399"/>
      <c r="F164" s="616">
        <f>F44+F83-F73</f>
        <v>954480074.81999993</v>
      </c>
      <c r="I164" s="616">
        <f>I44+I83-I73</f>
        <v>15018223507</v>
      </c>
      <c r="L164" s="616">
        <f>L44+L83-L73</f>
        <v>0</v>
      </c>
      <c r="O164" s="569">
        <f>O44+O83-O58-O73</f>
        <v>0</v>
      </c>
      <c r="R164" s="569">
        <f>R44+R83-R58-R73</f>
        <v>0</v>
      </c>
      <c r="U164" s="569">
        <f>U44+U83-U58-U73</f>
        <v>0</v>
      </c>
      <c r="X164" s="569">
        <f>X44+X83-X58-X73</f>
        <v>0</v>
      </c>
      <c r="AA164" s="569">
        <f>AA44+AA83-AA58-AA73</f>
        <v>0</v>
      </c>
      <c r="AD164" s="569">
        <f>AD44+AD83-AD58-AD73</f>
        <v>0</v>
      </c>
      <c r="AG164" s="569">
        <f>AG44+AG83-AG58-AG73</f>
        <v>0</v>
      </c>
      <c r="AJ164" s="569">
        <f>AJ44+AJ83-AJ58-AJ73</f>
        <v>0</v>
      </c>
    </row>
    <row r="165" spans="2:41" x14ac:dyDescent="0.2">
      <c r="C165" s="616">
        <f>'[6]Hoja 1'!$C$405+'[6]Hoja 1'!$C$414+'[6]Hoja 1'!$C$425+'[29]Hoja 1'!$C$17-'[29]Hoja 1'!$C$109+'[36]Hoja 1'!$C$110+'[36]Hoja 1'!$C$177</f>
        <v>494094515</v>
      </c>
      <c r="D165" s="399"/>
      <c r="F165" s="616">
        <f>'[4]Hoja 1'!$C$399+'[32]Hoja 1'!$C$127+'[48]Hoja 1'!$C$86+'[54]Hoja 1'!$C$24</f>
        <v>954480074.82000005</v>
      </c>
      <c r="I165" s="616">
        <v>1037777346.42</v>
      </c>
      <c r="L165" s="616">
        <v>973262962.32999992</v>
      </c>
      <c r="O165" s="569">
        <v>1069339870.73</v>
      </c>
      <c r="R165" s="569">
        <v>949299035.59000015</v>
      </c>
      <c r="U165" s="569">
        <v>564463987.46000004</v>
      </c>
      <c r="X165" s="569">
        <v>974517060.83000004</v>
      </c>
      <c r="AA165" s="569">
        <v>1049899736.09</v>
      </c>
      <c r="AD165" s="569">
        <v>873734177.65999997</v>
      </c>
      <c r="AG165" s="569">
        <v>739373739.20000005</v>
      </c>
      <c r="AJ165" s="569">
        <v>92692433</v>
      </c>
    </row>
    <row r="166" spans="2:41" x14ac:dyDescent="0.2">
      <c r="C166" s="616">
        <f>C164-C165</f>
        <v>2021155</v>
      </c>
      <c r="D166" s="399"/>
      <c r="F166" s="616">
        <f>F164-F165</f>
        <v>0</v>
      </c>
      <c r="I166" s="616">
        <f>I164-I165</f>
        <v>13980446160.58</v>
      </c>
      <c r="L166" s="616">
        <f>L164-L165</f>
        <v>-973262962.32999992</v>
      </c>
      <c r="O166" s="569">
        <f>O164-O165</f>
        <v>-1069339870.73</v>
      </c>
      <c r="R166" s="569">
        <f>R164-R165</f>
        <v>-949299035.59000015</v>
      </c>
      <c r="U166" s="569">
        <f>U164-U165</f>
        <v>-564463987.46000004</v>
      </c>
      <c r="X166" s="569">
        <f>X164-X165</f>
        <v>-974517060.83000004</v>
      </c>
      <c r="AA166" s="569">
        <f>AA164-AA165</f>
        <v>-1049899736.09</v>
      </c>
      <c r="AB166" s="569"/>
      <c r="AC166" s="569"/>
      <c r="AD166" s="569">
        <f>AD164-AD165</f>
        <v>-873734177.65999997</v>
      </c>
      <c r="AE166" s="1042" t="s">
        <v>468</v>
      </c>
      <c r="AF166" s="1038"/>
      <c r="AG166" s="569">
        <f>AG164-AG165</f>
        <v>-739373739.20000005</v>
      </c>
      <c r="AJ166" s="569">
        <f>AJ164-AJ165</f>
        <v>-92692433</v>
      </c>
    </row>
    <row r="167" spans="2:41" x14ac:dyDescent="0.2">
      <c r="C167" s="235">
        <v>2021155</v>
      </c>
      <c r="D167" s="235" t="s">
        <v>469</v>
      </c>
    </row>
    <row r="170" spans="2:41" x14ac:dyDescent="0.2">
      <c r="AJ170" s="891"/>
      <c r="AM170" s="540"/>
    </row>
    <row r="174" spans="2:41" x14ac:dyDescent="0.2">
      <c r="X174" s="235">
        <v>701053</v>
      </c>
    </row>
  </sheetData>
  <mergeCells count="2">
    <mergeCell ref="C2:AM2"/>
    <mergeCell ref="AE166:AF166"/>
  </mergeCells>
  <hyperlinks>
    <hyperlink ref="AP79" r:id="rId1" location="'COSTO MANIPULADORAS BUGA '!I74" display="NOMINA\INFORMACION ENTREGADA-FEB07\COMPARATIVO GASTOS FIJOS BUGA -MANIPULADORAS.xlsx - 'COSTO MANIPULADORAS BUGA '!I74" xr:uid="{00000000-0004-0000-0800-000000000000}"/>
  </hyperlinks>
  <pageMargins left="0.7" right="0.7" top="0.75" bottom="0.75" header="0.3" footer="0.3"/>
  <pageSetup scale="40" orientation="landscape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109375" style="2" customWidth="1"/>
    <col min="43" max="43" width="14.6640625" style="235" customWidth="1" collapsed="1"/>
    <col min="44" max="44" width="7.33203125" style="235" customWidth="1"/>
    <col min="45" max="45" width="7.33203125" style="2" customWidth="1"/>
    <col min="46" max="67" width="11.44140625" style="2" customWidth="1"/>
    <col min="68" max="16384" width="11.44140625" style="2"/>
  </cols>
  <sheetData>
    <row r="2" spans="1:45" ht="24.9" customHeight="1" thickBot="1" x14ac:dyDescent="0.35">
      <c r="B2" s="236" t="s">
        <v>0</v>
      </c>
      <c r="C2" s="1027" t="s">
        <v>470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  <c r="AQ2" s="2"/>
      <c r="AR2" s="2"/>
    </row>
    <row r="3" spans="1:45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745" t="s">
        <v>391</v>
      </c>
      <c r="AR4" s="622"/>
      <c r="AS4" s="622"/>
    </row>
    <row r="5" spans="1:45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</row>
    <row r="9" spans="1:45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5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5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5">
        <f t="shared" si="0"/>
        <v>0</v>
      </c>
      <c r="AN19" s="43"/>
      <c r="AO19" s="309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30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31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32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33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35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1:45" s="108" customFormat="1" ht="15" customHeight="1" outlineLevel="1" x14ac:dyDescent="0.2">
      <c r="A30" s="229"/>
      <c r="B30" s="262" t="s">
        <v>472</v>
      </c>
      <c r="C30" s="264"/>
      <c r="D30" s="79"/>
      <c r="E30" s="147"/>
      <c r="F30" s="264"/>
      <c r="G30" s="79"/>
      <c r="H30" s="147"/>
      <c r="I30" s="264">
        <f>I13*1%</f>
        <v>0</v>
      </c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>
        <f>U13*1.35%</f>
        <v>0</v>
      </c>
      <c r="V30" s="79"/>
      <c r="W30" s="147"/>
      <c r="X30" s="264">
        <f>X13*1.35%</f>
        <v>0</v>
      </c>
      <c r="Y30" s="79"/>
      <c r="Z30" s="147"/>
      <c r="AA30" s="264">
        <f>AA13*1.35%</f>
        <v>0</v>
      </c>
      <c r="AB30" s="79"/>
      <c r="AC30" s="147"/>
      <c r="AD30" s="264">
        <f>AD13*1.35%</f>
        <v>0</v>
      </c>
      <c r="AE30" s="79"/>
      <c r="AF30" s="147"/>
      <c r="AG30" s="264">
        <f>AG13*1.35%</f>
        <v>0</v>
      </c>
      <c r="AH30" s="79"/>
      <c r="AI30" s="147"/>
      <c r="AJ30" s="264">
        <f>AJ13*1.35%</f>
        <v>0</v>
      </c>
      <c r="AK30" s="79"/>
      <c r="AL30" s="80"/>
      <c r="AM30" s="212">
        <f t="shared" si="0"/>
        <v>0</v>
      </c>
      <c r="AN30" s="79"/>
      <c r="AO30" s="314"/>
      <c r="AQ30" s="81"/>
      <c r="AR30" s="81"/>
      <c r="AS30" s="81"/>
    </row>
    <row r="31" spans="1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24"/>
      <c r="AR31" s="24"/>
      <c r="AS31" s="24"/>
    </row>
    <row r="32" spans="1:45" s="108" customFormat="1" ht="15" customHeight="1" outlineLevel="1" x14ac:dyDescent="0.2">
      <c r="A32" s="229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1:45" s="108" customFormat="1" ht="15" hidden="1" customHeight="1" outlineLevel="1" x14ac:dyDescent="0.2">
      <c r="A33" s="229"/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6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1:45" s="108" customFormat="1" ht="15" hidden="1" customHeight="1" outlineLevel="1" thickBot="1" x14ac:dyDescent="0.25">
      <c r="A35" s="229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9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</row>
    <row r="44" spans="1:45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/>
    </row>
    <row r="45" spans="1:45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/>
    </row>
    <row r="46" spans="1:45" ht="15" customHeight="1" x14ac:dyDescent="0.2">
      <c r="B46" s="36" t="s">
        <v>370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1:45" ht="15" customHeight="1" x14ac:dyDescent="0.2">
      <c r="B47" s="97" t="s">
        <v>471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23"/>
      <c r="AS47" s="650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24"/>
      <c r="AS48" s="651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370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/>
      <c r="AS62" s="655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/>
      <c r="AS63" s="651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/>
      <c r="AS64" s="651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5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5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5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52"/>
    </row>
    <row r="73" spans="2:45" ht="15" customHeight="1" x14ac:dyDescent="0.2">
      <c r="B73" s="411" t="s">
        <v>63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65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</row>
    <row r="75" spans="2:45" ht="15" customHeight="1" x14ac:dyDescent="0.2">
      <c r="B75" s="36" t="s">
        <v>66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5" ht="15" customHeight="1" x14ac:dyDescent="0.2">
      <c r="B76" s="36" t="s">
        <v>68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5" ht="15" customHeight="1" x14ac:dyDescent="0.2">
      <c r="B77" s="66" t="s">
        <v>70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5" ht="15" customHeight="1" x14ac:dyDescent="0.2">
      <c r="B78" s="16" t="s">
        <v>71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/>
      <c r="AS78" s="648"/>
    </row>
    <row r="79" spans="2:45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5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5" ht="15" customHeight="1" thickBot="1" x14ac:dyDescent="0.25">
      <c r="B81" s="98" t="s">
        <v>212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/>
      <c r="AS83" s="644"/>
    </row>
    <row r="84" spans="2:45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/>
      <c r="AS84" s="648"/>
    </row>
    <row r="85" spans="2:45" ht="15" customHeight="1" x14ac:dyDescent="0.2">
      <c r="B85" s="39" t="s">
        <v>78</v>
      </c>
      <c r="C85" s="39"/>
      <c r="D85" s="69"/>
      <c r="E85" s="306"/>
      <c r="F85" s="25"/>
      <c r="G85" s="69"/>
      <c r="H85" s="306"/>
      <c r="I85" s="25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</row>
    <row r="86" spans="2:45" ht="15" customHeight="1" x14ac:dyDescent="0.2">
      <c r="B86" s="25" t="s">
        <v>79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5" ht="15" customHeight="1" x14ac:dyDescent="0.2">
      <c r="B87" s="97" t="s">
        <v>81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5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5" ht="15" customHeight="1" x14ac:dyDescent="0.2">
      <c r="B89" s="16" t="s">
        <v>84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/>
      <c r="AR89" s="17"/>
      <c r="AS89" s="648"/>
    </row>
    <row r="90" spans="2:45" ht="15" customHeight="1" outlineLevel="1" x14ac:dyDescent="0.2">
      <c r="B90" s="39" t="s">
        <v>85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86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87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/>
      <c r="AR92" s="17"/>
      <c r="AS92" s="648"/>
    </row>
    <row r="93" spans="2:45" ht="15" customHeight="1" outlineLevel="1" x14ac:dyDescent="0.2">
      <c r="B93" s="39" t="s">
        <v>88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5" ht="15" customHeight="1" outlineLevel="1" x14ac:dyDescent="0.2">
      <c r="B94" s="25" t="s">
        <v>89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28" t="s">
        <v>90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91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/>
      <c r="AS96" s="648"/>
    </row>
    <row r="97" spans="1:45" s="108" customFormat="1" ht="15" customHeight="1" outlineLevel="1" x14ac:dyDescent="0.2">
      <c r="A97" s="229" t="s">
        <v>400</v>
      </c>
      <c r="B97" s="39" t="s">
        <v>92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401</v>
      </c>
      <c r="B98" s="275" t="s">
        <v>379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94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/>
      <c r="AR99" s="17"/>
      <c r="AS99" s="648"/>
    </row>
    <row r="100" spans="1:45" ht="15" customHeight="1" outlineLevel="1" x14ac:dyDescent="0.2">
      <c r="B100" s="39" t="s">
        <v>95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212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103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104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105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106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107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/>
      <c r="AS109" s="648"/>
    </row>
    <row r="110" spans="1:45" ht="15" customHeight="1" outlineLevel="1" x14ac:dyDescent="0.2">
      <c r="A110" s="226" t="s">
        <v>402</v>
      </c>
      <c r="B110" s="39" t="s">
        <v>108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403</v>
      </c>
      <c r="B111" s="25" t="s">
        <v>109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404</v>
      </c>
      <c r="B112" s="25" t="s">
        <v>110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405</v>
      </c>
      <c r="B113" s="28" t="s">
        <v>111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112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/>
      <c r="AS114" s="648"/>
    </row>
    <row r="115" spans="1:45" ht="15" customHeight="1" outlineLevel="1" x14ac:dyDescent="0.2">
      <c r="A115" s="226" t="s">
        <v>406</v>
      </c>
      <c r="B115" s="39" t="s">
        <v>113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407</v>
      </c>
      <c r="B116" s="25" t="s">
        <v>114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380</v>
      </c>
      <c r="B117" s="205" t="s">
        <v>115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408</v>
      </c>
      <c r="B118" s="205" t="s">
        <v>116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409</v>
      </c>
      <c r="B119" s="97" t="s">
        <v>381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118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/>
      <c r="AS120" s="648"/>
    </row>
    <row r="121" spans="1:45" ht="15" customHeight="1" x14ac:dyDescent="0.2">
      <c r="A121" s="226" t="s">
        <v>410</v>
      </c>
      <c r="B121" s="39" t="s">
        <v>119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411</v>
      </c>
      <c r="B122" s="284" t="s">
        <v>120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121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/>
      <c r="AS123" s="648"/>
    </row>
    <row r="124" spans="1:45" ht="15" customHeight="1" outlineLevel="1" x14ac:dyDescent="0.2">
      <c r="A124" s="226" t="s">
        <v>412</v>
      </c>
      <c r="B124" s="39" t="s">
        <v>122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413</v>
      </c>
      <c r="B125" s="25" t="s">
        <v>123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414</v>
      </c>
      <c r="B126" s="28" t="s">
        <v>124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125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/>
      <c r="AS127" s="648"/>
    </row>
    <row r="128" spans="1:45" ht="15" customHeight="1" outlineLevel="1" x14ac:dyDescent="0.2">
      <c r="A128" s="226" t="s">
        <v>415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63" ht="15" customHeight="1" outlineLevel="1" x14ac:dyDescent="0.2">
      <c r="A129" s="226" t="s">
        <v>416</v>
      </c>
      <c r="B129" s="25" t="s">
        <v>129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63" ht="15" customHeight="1" outlineLevel="1" x14ac:dyDescent="0.2">
      <c r="A130" s="226" t="s">
        <v>417</v>
      </c>
      <c r="B130" s="25" t="s">
        <v>131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63" ht="15" customHeight="1" outlineLevel="1" x14ac:dyDescent="0.2">
      <c r="A131" s="226" t="s">
        <v>132</v>
      </c>
      <c r="B131" s="25" t="s">
        <v>133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63" ht="15" customHeight="1" outlineLevel="1" x14ac:dyDescent="0.2">
      <c r="A132" s="226" t="s">
        <v>418</v>
      </c>
      <c r="B132" s="25" t="s">
        <v>134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63" ht="15" customHeight="1" outlineLevel="1" x14ac:dyDescent="0.2">
      <c r="A133" s="226" t="s">
        <v>135</v>
      </c>
      <c r="B133" s="25" t="s">
        <v>136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63" ht="15" customHeight="1" outlineLevel="1" x14ac:dyDescent="0.2">
      <c r="A134" s="226" t="s">
        <v>137</v>
      </c>
      <c r="B134" s="25" t="s">
        <v>138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63" ht="15" customHeight="1" outlineLevel="1" x14ac:dyDescent="0.2">
      <c r="A135" s="226" t="s">
        <v>419</v>
      </c>
      <c r="B135" s="25" t="s">
        <v>139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63" ht="15" customHeight="1" outlineLevel="1" x14ac:dyDescent="0.2">
      <c r="A136" s="226" t="s">
        <v>420</v>
      </c>
      <c r="B136" s="25" t="s">
        <v>140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63" ht="15" customHeight="1" outlineLevel="1" x14ac:dyDescent="0.2">
      <c r="A137" s="226" t="s">
        <v>326</v>
      </c>
      <c r="B137" s="25" t="s">
        <v>141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63" ht="15" customHeight="1" outlineLevel="1" x14ac:dyDescent="0.2">
      <c r="B138" s="25" t="s">
        <v>142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63" ht="15" customHeight="1" outlineLevel="1" x14ac:dyDescent="0.2">
      <c r="B139" s="25" t="s">
        <v>143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63" ht="15" customHeight="1" outlineLevel="1" x14ac:dyDescent="0.2">
      <c r="B140" s="25" t="s">
        <v>145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3"/>
      <c r="AR140" s="23"/>
      <c r="AS140" s="650"/>
      <c r="BI140" s="274"/>
      <c r="BJ140" s="274"/>
      <c r="BK140" s="274"/>
    </row>
    <row r="141" spans="1:63" ht="15" customHeight="1" outlineLevel="1" x14ac:dyDescent="0.2">
      <c r="B141" s="25" t="s">
        <v>146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3"/>
      <c r="AR141" s="23"/>
      <c r="AS141" s="650"/>
      <c r="BI141" s="274"/>
      <c r="BJ141" s="274"/>
      <c r="BK141" s="274"/>
    </row>
    <row r="142" spans="1:63" ht="15" customHeight="1" outlineLevel="1" thickBot="1" x14ac:dyDescent="0.25">
      <c r="A142" s="226" t="s">
        <v>421</v>
      </c>
      <c r="B142" s="269" t="s">
        <v>148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63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63" ht="15" customHeight="1" thickTop="1" thickBot="1" x14ac:dyDescent="0.25">
      <c r="B144" s="525" t="s">
        <v>149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150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/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/>
    </row>
    <row r="148" spans="2:45" ht="15" customHeight="1" x14ac:dyDescent="0.2">
      <c r="B148" s="18" t="s">
        <v>151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/>
    </row>
    <row r="149" spans="2:45" ht="15" customHeight="1" x14ac:dyDescent="0.2">
      <c r="B149" s="285" t="s">
        <v>422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476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/>
    </row>
    <row r="151" spans="2:45" ht="15" customHeight="1" thickBot="1" x14ac:dyDescent="0.25">
      <c r="B151" s="300" t="s">
        <v>287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155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/>
    </row>
    <row r="154" spans="2:45" ht="15" customHeight="1" thickTop="1" x14ac:dyDescent="0.2">
      <c r="B154" s="40" t="s">
        <v>156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286"/>
      <c r="S154" s="230"/>
      <c r="T154" s="343"/>
      <c r="U154" s="287"/>
      <c r="V154" s="230"/>
      <c r="W154" s="343"/>
      <c r="X154" s="287"/>
      <c r="Y154" s="230"/>
      <c r="Z154" s="343"/>
      <c r="AA154" s="287"/>
      <c r="AB154" s="230"/>
      <c r="AC154" s="343"/>
      <c r="AD154" s="287"/>
      <c r="AE154" s="230"/>
      <c r="AF154" s="343"/>
      <c r="AG154" s="287"/>
      <c r="AH154" s="230"/>
      <c r="AI154" s="343"/>
      <c r="AJ154" s="287"/>
      <c r="AK154" s="230"/>
      <c r="AL154" s="245"/>
      <c r="AM154" s="716">
        <f t="shared" si="8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692"/>
      <c r="S155" s="9"/>
      <c r="T155" s="566"/>
      <c r="U155" s="692"/>
      <c r="V155" s="9"/>
      <c r="W155" s="566"/>
      <c r="X155" s="692"/>
      <c r="Y155" s="9"/>
      <c r="Z155" s="566"/>
      <c r="AA155" s="692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294">
        <f t="shared" si="8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686"/>
      <c r="S156" s="675"/>
      <c r="T156" s="676"/>
      <c r="U156" s="686"/>
      <c r="V156" s="675"/>
      <c r="W156" s="676"/>
      <c r="X156" s="686"/>
      <c r="Y156" s="675"/>
      <c r="Z156" s="676"/>
      <c r="AA156" s="686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713">
        <f t="shared" si="8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559"/>
      <c r="AR157" s="559"/>
      <c r="AS157" s="667"/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565"/>
      <c r="P158" s="13"/>
      <c r="Q158" s="344"/>
      <c r="R158" s="565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296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565"/>
      <c r="P159" s="13"/>
      <c r="Q159" s="344"/>
      <c r="R159" s="565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233"/>
      <c r="AO160" s="334" t="e">
        <f>AM160/$AM$42</f>
        <v>#DIV/0!</v>
      </c>
      <c r="AQ160" s="620"/>
      <c r="AR160" s="620"/>
      <c r="AS160" s="668"/>
    </row>
    <row r="161" spans="2:45" ht="15" customHeight="1" thickTop="1" thickBot="1" x14ac:dyDescent="0.25">
      <c r="B161" s="524" t="s">
        <v>163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9"/>
  <dimension ref="A2:AT172"/>
  <sheetViews>
    <sheetView zoomScaleNormal="100" workbookViewId="0">
      <pane xSplit="2" ySplit="13" topLeftCell="C15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64" width="11.44140625" style="2" customWidth="1"/>
    <col min="65" max="16384" width="11.44140625" style="2"/>
  </cols>
  <sheetData>
    <row r="2" spans="1:41" ht="24.9" customHeight="1" thickBot="1" x14ac:dyDescent="0.35">
      <c r="B2" s="236" t="s">
        <v>0</v>
      </c>
      <c r="C2" s="1027" t="s">
        <v>479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612"/>
      <c r="AO2" s="613"/>
    </row>
    <row r="3" spans="1:41" ht="21.75" customHeight="1" thickTop="1" thickBot="1" x14ac:dyDescent="0.25">
      <c r="B3" s="522" t="s">
        <v>2</v>
      </c>
      <c r="C3" s="478">
        <v>16</v>
      </c>
      <c r="D3" s="479"/>
      <c r="E3" s="480"/>
      <c r="F3" s="478">
        <v>20</v>
      </c>
      <c r="G3" s="479"/>
      <c r="H3" s="480"/>
      <c r="I3" s="478">
        <v>21</v>
      </c>
      <c r="J3" s="479"/>
      <c r="K3" s="480"/>
      <c r="L3" s="478">
        <v>20</v>
      </c>
      <c r="M3" s="479"/>
      <c r="N3" s="480"/>
      <c r="O3" s="478">
        <v>19</v>
      </c>
      <c r="P3" s="479"/>
      <c r="Q3" s="480"/>
      <c r="R3" s="478">
        <v>19</v>
      </c>
      <c r="S3" s="479"/>
      <c r="T3" s="480"/>
      <c r="U3" s="478">
        <v>22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21</v>
      </c>
      <c r="AE3" s="479"/>
      <c r="AF3" s="480"/>
      <c r="AG3" s="478">
        <v>19</v>
      </c>
      <c r="AH3" s="479"/>
      <c r="AI3" s="480"/>
      <c r="AJ3" s="478">
        <v>21</v>
      </c>
      <c r="AK3" s="479"/>
      <c r="AL3" s="480"/>
      <c r="AM3" s="571">
        <f>SUM(C3:AL3)</f>
        <v>239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480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481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482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483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73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258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96"/>
      <c r="AF15" s="150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480</v>
      </c>
      <c r="C16" s="257"/>
      <c r="D16" s="79"/>
      <c r="E16" s="147"/>
      <c r="F16" s="257"/>
      <c r="G16" s="79"/>
      <c r="H16" s="147"/>
      <c r="I16" s="257"/>
      <c r="J16" s="79" t="e">
        <f>I16/I5</f>
        <v>#DIV/0!</v>
      </c>
      <c r="K16" s="147"/>
      <c r="L16" s="257"/>
      <c r="M16" s="79" t="e">
        <f>L16/L5</f>
        <v>#DIV/0!</v>
      </c>
      <c r="N16" s="147"/>
      <c r="O16" s="257"/>
      <c r="P16" s="79" t="e">
        <f>O16/O5</f>
        <v>#DIV/0!</v>
      </c>
      <c r="Q16" s="147"/>
      <c r="R16" s="257"/>
      <c r="S16" s="79" t="e">
        <f>R16/R5</f>
        <v>#DIV/0!</v>
      </c>
      <c r="T16" s="147"/>
      <c r="U16" s="257"/>
      <c r="V16" s="79" t="e">
        <f>U16/U5</f>
        <v>#DIV/0!</v>
      </c>
      <c r="W16" s="147"/>
      <c r="X16" s="257"/>
      <c r="Y16" s="79" t="e">
        <f>X16/X5</f>
        <v>#DIV/0!</v>
      </c>
      <c r="Z16" s="147"/>
      <c r="AA16" s="257"/>
      <c r="AB16" s="79" t="e">
        <f>AA16/AA5</f>
        <v>#DIV/0!</v>
      </c>
      <c r="AC16" s="147"/>
      <c r="AD16" s="257"/>
      <c r="AE16" s="79" t="e">
        <f>AD16/AD5</f>
        <v>#DIV/0!</v>
      </c>
      <c r="AF16" s="147"/>
      <c r="AG16" s="257"/>
      <c r="AH16" s="79" t="e">
        <f>AG16/AG5</f>
        <v>#DIV/0!</v>
      </c>
      <c r="AI16" s="147"/>
      <c r="AJ16" s="257"/>
      <c r="AK16" s="79" t="e">
        <f>AJ16/AJ5</f>
        <v>#DIV/0!</v>
      </c>
      <c r="AL16" s="147"/>
      <c r="AM16" s="212">
        <f t="shared" si="0"/>
        <v>0</v>
      </c>
      <c r="AN16" s="79" t="e">
        <f>AM16/(AM5)</f>
        <v>#DIV/0!</v>
      </c>
      <c r="AO16" s="314" t="e">
        <f>AM16/AM$13</f>
        <v>#DIV/0!</v>
      </c>
    </row>
    <row r="17" spans="2:41" ht="15" customHeight="1" x14ac:dyDescent="0.2">
      <c r="B17" s="258" t="s">
        <v>481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 t="e">
        <f>AM17/AM$13</f>
        <v>#DIV/0!</v>
      </c>
    </row>
    <row r="18" spans="2:41" ht="15" customHeight="1" x14ac:dyDescent="0.2">
      <c r="B18" s="258" t="s">
        <v>484</v>
      </c>
      <c r="C18" s="25"/>
      <c r="D18" s="43"/>
      <c r="E18" s="118"/>
      <c r="F18" s="25"/>
      <c r="G18" s="43"/>
      <c r="H18" s="118"/>
      <c r="I18" s="25"/>
      <c r="J18" s="43" t="e">
        <f>I18/I7</f>
        <v>#DIV/0!</v>
      </c>
      <c r="K18" s="118"/>
      <c r="L18" s="25"/>
      <c r="M18" s="43" t="e">
        <f>L18/L7</f>
        <v>#DIV/0!</v>
      </c>
      <c r="N18" s="118"/>
      <c r="O18" s="25"/>
      <c r="P18" s="43" t="e">
        <f>O18/O7</f>
        <v>#DIV/0!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customHeight="1" x14ac:dyDescent="0.2">
      <c r="B19" s="258" t="s">
        <v>485</v>
      </c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738"/>
      <c r="C20" s="74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5" customHeight="1" x14ac:dyDescent="0.2">
      <c r="B21" s="432" t="s">
        <v>486</v>
      </c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5" customHeight="1" x14ac:dyDescent="0.2">
      <c r="B22" s="432" t="s">
        <v>487</v>
      </c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30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49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31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49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32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33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34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35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49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3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 t="e">
        <f>AM29/$AM$5</f>
        <v>#DIV/0!</v>
      </c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147"/>
      <c r="AM30" s="212">
        <f t="shared" si="0"/>
        <v>0</v>
      </c>
      <c r="AN30" s="79"/>
      <c r="AO30" s="314"/>
    </row>
    <row r="31" spans="2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0"/>
        <v>0</v>
      </c>
      <c r="AN31" s="43"/>
      <c r="AO31" s="309"/>
    </row>
    <row r="32" spans="2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0"/>
        <v>0</v>
      </c>
      <c r="AN32" s="43"/>
      <c r="AO32" s="309"/>
    </row>
    <row r="33" spans="1:42" ht="15" hidden="1" customHeight="1" outlineLevel="1" thickBot="1" x14ac:dyDescent="0.25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0"/>
        <v>0</v>
      </c>
      <c r="AN33" s="43"/>
      <c r="AO33" s="309"/>
    </row>
    <row r="34" spans="1:42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0"/>
        <v>0</v>
      </c>
      <c r="AN34" s="43"/>
      <c r="AO34" s="309"/>
    </row>
    <row r="35" spans="1:42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0"/>
        <v>0</v>
      </c>
      <c r="AN35" s="92"/>
      <c r="AO35" s="327"/>
    </row>
    <row r="36" spans="1:42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0</v>
      </c>
      <c r="AN42" s="488"/>
      <c r="AO42" s="577"/>
    </row>
    <row r="43" spans="1:42" ht="15" customHeight="1" thickTop="1" thickBot="1" x14ac:dyDescent="0.25">
      <c r="C43" s="882"/>
      <c r="D43" s="367"/>
      <c r="E43" s="356"/>
      <c r="F43" s="88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882"/>
      <c r="AE43" s="882"/>
      <c r="AF43" s="883"/>
      <c r="AG43" s="882"/>
      <c r="AH43" s="882"/>
      <c r="AI43" s="883"/>
      <c r="AJ43" s="882"/>
      <c r="AK43" s="703"/>
      <c r="AL43" s="703"/>
      <c r="AM43" s="882"/>
      <c r="AN43" s="703"/>
      <c r="AO43" s="643"/>
      <c r="AP43" s="698"/>
    </row>
    <row r="44" spans="1:42" ht="15" customHeight="1" thickTop="1" x14ac:dyDescent="0.2">
      <c r="B44" s="526" t="s">
        <v>46</v>
      </c>
      <c r="C44" s="490">
        <f>+C45+C60+C78</f>
        <v>1940106833.8839219</v>
      </c>
      <c r="D44" s="491"/>
      <c r="E44" s="492" t="e">
        <f>C44/C$13</f>
        <v>#DIV/0!</v>
      </c>
      <c r="F44" s="490">
        <f>+F45+F60+F78</f>
        <v>2303451381.1004481</v>
      </c>
      <c r="G44" s="491"/>
      <c r="H44" s="492" t="e">
        <f>F44/F$13</f>
        <v>#DIV/0!</v>
      </c>
      <c r="I44" s="490">
        <f>+I45+I60+I78</f>
        <v>541727065.60000002</v>
      </c>
      <c r="J44" s="491"/>
      <c r="K44" s="492" t="e">
        <f>I44/I$13</f>
        <v>#DIV/0!</v>
      </c>
      <c r="L44" s="440">
        <f>+L45+L60+L78</f>
        <v>592513978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 t="e">
        <f>AJ44/AJ$13</f>
        <v>#DIV/0!</v>
      </c>
      <c r="AM44" s="581">
        <f t="shared" ref="AM44:AM53" si="1">C44+F44+I44+L44+O44+R44+U44+X44+AA44+AD44+AG44+AJ44</f>
        <v>5377799258.5843706</v>
      </c>
      <c r="AN44" s="491"/>
      <c r="AO44" s="580" t="e">
        <f>AM44/AM$13</f>
        <v>#DIV/0!</v>
      </c>
    </row>
    <row r="45" spans="1:42" ht="15" customHeight="1" x14ac:dyDescent="0.2">
      <c r="B45" s="16" t="s">
        <v>47</v>
      </c>
      <c r="C45" s="49">
        <f>+C46+C58+C59</f>
        <v>1848522571.533922</v>
      </c>
      <c r="D45" s="3"/>
      <c r="E45" s="150"/>
      <c r="F45" s="49">
        <f>+F46+F57</f>
        <v>2190302626.345448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761"/>
      <c r="AJ45" s="49">
        <f>+AJ46+AJ57</f>
        <v>0</v>
      </c>
      <c r="AK45" s="3"/>
      <c r="AL45" s="150"/>
      <c r="AM45" s="16">
        <f t="shared" si="1"/>
        <v>4038825197.8793697</v>
      </c>
      <c r="AN45" s="3"/>
      <c r="AO45" s="313" t="e">
        <f>AM45/AM13</f>
        <v>#DIV/0!</v>
      </c>
    </row>
    <row r="46" spans="1:42" ht="15" customHeight="1" x14ac:dyDescent="0.2">
      <c r="B46" s="36" t="s">
        <v>48</v>
      </c>
      <c r="C46" s="37">
        <f>SUM(C47:C56)+C57</f>
        <v>1848522571.533922</v>
      </c>
      <c r="D46" s="67"/>
      <c r="E46" s="149"/>
      <c r="F46" s="37">
        <f>SUM(F47:F56)</f>
        <v>2190302626.345448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1"/>
        <v>4038825197.8793697</v>
      </c>
      <c r="AN46" s="67"/>
      <c r="AO46" s="318" t="e">
        <f>AM46/(AM16+AM18+AM19)</f>
        <v>#DIV/0!</v>
      </c>
    </row>
    <row r="47" spans="1:42" ht="15" customHeight="1" x14ac:dyDescent="0.2">
      <c r="A47" s="226" t="s">
        <v>56</v>
      </c>
      <c r="B47" s="258" t="s">
        <v>488</v>
      </c>
      <c r="C47" s="76">
        <v>1848522571.533922</v>
      </c>
      <c r="D47" s="42" t="e">
        <f>C47/C12</f>
        <v>#DIV/0!</v>
      </c>
      <c r="E47" s="140" t="e">
        <f>C47/(C16+C18)</f>
        <v>#DIV/0!</v>
      </c>
      <c r="F47" s="76">
        <v>2190302626.345448</v>
      </c>
      <c r="G47" s="42" t="e">
        <f>F47/F12</f>
        <v>#DIV/0!</v>
      </c>
      <c r="H47" s="964" t="e">
        <f>F47/(F16+F18)</f>
        <v>#DIV/0!</v>
      </c>
      <c r="I47" s="76"/>
      <c r="J47" s="42" t="e">
        <f>I47/I12</f>
        <v>#DIV/0!</v>
      </c>
      <c r="K47" s="140" t="e">
        <f>I47/(I16+I18)</f>
        <v>#DIV/0!</v>
      </c>
      <c r="L47" s="76"/>
      <c r="M47" s="42" t="e">
        <f>L47/L12</f>
        <v>#DIV/0!</v>
      </c>
      <c r="N47" s="140" t="e">
        <f>L47/(L16+L18)</f>
        <v>#DIV/0!</v>
      </c>
      <c r="O47" s="76"/>
      <c r="P47" s="42" t="e">
        <f>O47/O12</f>
        <v>#DIV/0!</v>
      </c>
      <c r="Q47" s="140" t="e">
        <f>O47/(O16+O18)</f>
        <v>#DIV/0!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1"/>
        <v>4038825197.8793697</v>
      </c>
      <c r="AN47" s="42" t="e">
        <f>AM47/(AM5+AM7+AM8)</f>
        <v>#DIV/0!</v>
      </c>
      <c r="AO47" s="140" t="e">
        <f>AM47/(AM16+AM18+AM19)</f>
        <v>#DIV/0!</v>
      </c>
    </row>
    <row r="48" spans="1:42" ht="15" customHeight="1" x14ac:dyDescent="0.2">
      <c r="B48" s="258" t="s">
        <v>489</v>
      </c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4" s="108" customFormat="1" ht="15" customHeight="1" x14ac:dyDescent="0.2">
      <c r="A49" s="229"/>
      <c r="B49" s="738" t="s">
        <v>490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0</v>
      </c>
      <c r="AN49" s="43" t="e">
        <f>AM49/AM7</f>
        <v>#DIV/0!</v>
      </c>
      <c r="AO49" s="118" t="e">
        <f>AM49/AM18</f>
        <v>#DIV/0!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4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4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0</v>
      </c>
      <c r="AN52" s="43"/>
      <c r="AO52" s="309"/>
    </row>
    <row r="53" spans="1:44" ht="10.199999999999999" hidden="1" customHeight="1" x14ac:dyDescent="0.2">
      <c r="B53" s="25" t="s">
        <v>396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0</v>
      </c>
      <c r="AN53" s="43"/>
      <c r="AO53" s="309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4" ht="15" hidden="1" customHeight="1" x14ac:dyDescent="0.2">
      <c r="B57" s="36" t="s">
        <v>491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/>
      <c r="N57" s="152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4" ht="15" hidden="1" customHeight="1" x14ac:dyDescent="0.2">
      <c r="B58" s="411" t="s">
        <v>492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0</v>
      </c>
      <c r="AN58" s="305"/>
      <c r="AO58" s="414" t="e">
        <f>AM58/AM$13</f>
        <v>#DIV/0!</v>
      </c>
    </row>
    <row r="59" spans="1:44" s="108" customFormat="1" ht="15" hidden="1" customHeight="1" x14ac:dyDescent="0.2">
      <c r="A59" s="229"/>
      <c r="B59" s="415" t="s">
        <v>493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2"/>
        <v>0</v>
      </c>
      <c r="AN59" s="84"/>
      <c r="AO59" s="416" t="e">
        <f>AM59/AM$13</f>
        <v>#DIV/0!</v>
      </c>
      <c r="AQ59" s="2"/>
      <c r="AR59" s="2"/>
    </row>
    <row r="60" spans="1:44" ht="15" hidden="1" customHeight="1" x14ac:dyDescent="0.2">
      <c r="B60" s="16" t="s">
        <v>54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541727065.60000002</v>
      </c>
      <c r="J60" s="3"/>
      <c r="K60" s="152"/>
      <c r="L60" s="49">
        <f>+L61+L72+L75+L76+L77</f>
        <v>592513978</v>
      </c>
      <c r="M60" s="3"/>
      <c r="N60" s="152"/>
      <c r="O60" s="49">
        <f>+O61+O72+O75+O76+O77</f>
        <v>0</v>
      </c>
      <c r="P60" s="3"/>
      <c r="Q60" s="152"/>
      <c r="R60" s="90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1315717096.7049999</v>
      </c>
      <c r="AN60" s="3" t="e">
        <f>AM60/$AM$5</f>
        <v>#DIV/0!</v>
      </c>
      <c r="AO60" s="152" t="e">
        <f>AM60/AM$13</f>
        <v>#DIV/0!</v>
      </c>
    </row>
    <row r="61" spans="1:44" ht="15" hidden="1" customHeight="1" x14ac:dyDescent="0.2">
      <c r="B61" s="36" t="s">
        <v>55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4" ht="15" hidden="1" customHeight="1" x14ac:dyDescent="0.2">
      <c r="B62" s="258" t="s">
        <v>397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2"/>
        <v>0</v>
      </c>
      <c r="AN62" s="79" t="e">
        <f t="shared" si="3"/>
        <v>#DIV/0!</v>
      </c>
      <c r="AO62" s="147" t="e">
        <f t="shared" si="4"/>
        <v>#DIV/0!</v>
      </c>
    </row>
    <row r="63" spans="1:44" ht="15" hidden="1" customHeight="1" x14ac:dyDescent="0.2">
      <c r="B63" s="258" t="s">
        <v>398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2"/>
        <v>0</v>
      </c>
      <c r="AN63" s="43" t="e">
        <f t="shared" si="3"/>
        <v>#DIV/0!</v>
      </c>
      <c r="AO63" s="118" t="e">
        <f t="shared" si="4"/>
        <v>#DIV/0!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1:42" ht="15" hidden="1" customHeight="1" x14ac:dyDescent="0.2">
      <c r="B65" s="258" t="s">
        <v>399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1:42" ht="15" hidden="1" customHeight="1" x14ac:dyDescent="0.2">
      <c r="B66" s="410" t="s">
        <v>60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 t="e">
        <f t="shared" si="3"/>
        <v>#DIV/0!</v>
      </c>
      <c r="AO67" s="309" t="e">
        <f t="shared" si="4"/>
        <v>#DIV/0!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 t="e">
        <f t="shared" si="3"/>
        <v>#DIV/0!</v>
      </c>
      <c r="AO68" s="309" t="e">
        <f t="shared" si="4"/>
        <v>#DIV/0!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 t="e">
        <f t="shared" si="3"/>
        <v>#DIV/0!</v>
      </c>
      <c r="AO69" s="309" t="e">
        <f t="shared" si="4"/>
        <v>#DIV/0!</v>
      </c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 t="e">
        <f t="shared" si="3"/>
        <v>#DIV/0!</v>
      </c>
      <c r="AO70" s="309" t="e">
        <f t="shared" si="4"/>
        <v>#DIV/0!</v>
      </c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1:42" ht="15" customHeight="1" x14ac:dyDescent="0.2">
      <c r="B72" s="36" t="s">
        <v>494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541727065.60000002</v>
      </c>
      <c r="J72" s="47" t="e">
        <f>I72/I12</f>
        <v>#DIV/0!</v>
      </c>
      <c r="K72" s="152" t="e">
        <f>I72/I13</f>
        <v>#DIV/0!</v>
      </c>
      <c r="L72" s="46">
        <f>SUM(L73:L74)</f>
        <v>592513978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7">
        <f t="shared" si="5"/>
        <v>1315717096.7049999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63</v>
      </c>
      <c r="C73" s="78">
        <f>'GASTOS VEHICULOS'!C25*'%DIST'!B25</f>
        <v>43403675.350000001</v>
      </c>
      <c r="D73" s="79"/>
      <c r="E73" s="147"/>
      <c r="F73" s="304">
        <f>'GASTOS VEHICULOS'!D25*'%DIST'!D25</f>
        <v>7234477.7550000008</v>
      </c>
      <c r="G73" s="305"/>
      <c r="H73" s="412"/>
      <c r="I73" s="304">
        <f>'GASTOS VEHICULOS'!E25*'%DIST'!F25</f>
        <v>541727065.60000002</v>
      </c>
      <c r="J73" s="305"/>
      <c r="K73" s="412"/>
      <c r="L73" s="304">
        <f>'GASTOS VEHICULOS'!F25*'%DIST'!H25</f>
        <v>592513978</v>
      </c>
      <c r="M73" s="305"/>
      <c r="N73" s="412"/>
      <c r="O73" s="78">
        <f>'GASTOS VEHICULOS'!G25*'%DIST'!J25</f>
        <v>0</v>
      </c>
      <c r="P73" s="305"/>
      <c r="Q73" s="412"/>
      <c r="R73" s="304">
        <f>'GASTOS VEHICULOS'!H25*'%DIST'!L25</f>
        <v>0</v>
      </c>
      <c r="S73" s="305"/>
      <c r="T73" s="412"/>
      <c r="U73" s="304">
        <f>'GASTOS VEHICULOS'!I25*'%DIST'!N25</f>
        <v>0</v>
      </c>
      <c r="V73" s="305"/>
      <c r="W73" s="412"/>
      <c r="X73" s="78">
        <f>'GASTOS VEHICULOS'!J25*'%DIST'!P25</f>
        <v>0</v>
      </c>
      <c r="Y73" s="305"/>
      <c r="Z73" s="412"/>
      <c r="AA73" s="78">
        <f>'GASTOS VEHICULOS'!K25*'%DIST'!R25</f>
        <v>0</v>
      </c>
      <c r="AB73" s="305"/>
      <c r="AC73" s="412"/>
      <c r="AD73" s="78">
        <f>'GASTOS VEHICULOS'!L25*'%DIST'!T25</f>
        <v>0</v>
      </c>
      <c r="AE73" s="305"/>
      <c r="AF73" s="412"/>
      <c r="AG73" s="304">
        <f>'GASTOS VEHICULOS'!M25*'%DIST'!V25</f>
        <v>0</v>
      </c>
      <c r="AH73" s="305"/>
      <c r="AI73" s="412"/>
      <c r="AJ73" s="304">
        <f>'GASTOS VEHICULOS'!N25*'%DIST'!X25</f>
        <v>0</v>
      </c>
      <c r="AK73" s="305"/>
      <c r="AL73" s="412"/>
      <c r="AM73" s="413">
        <f t="shared" si="5"/>
        <v>1184879196.7049999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273">
        <f>'[6]Hoja 1'!$C$315</f>
        <v>37395068</v>
      </c>
      <c r="D74" s="134"/>
      <c r="E74" s="428"/>
      <c r="F74" s="83">
        <f>'[4]Hoja 1'!$C$310</f>
        <v>93442832</v>
      </c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5"/>
        <v>130837900</v>
      </c>
      <c r="AN74" s="84"/>
      <c r="AO74" s="336" t="e">
        <f>AM72/AM13</f>
        <v>#DIV/0!</v>
      </c>
    </row>
    <row r="75" spans="1:42" ht="15" customHeight="1" x14ac:dyDescent="0.2">
      <c r="A75" s="226" t="s">
        <v>446</v>
      </c>
      <c r="B75" s="36" t="s">
        <v>66</v>
      </c>
      <c r="C75" s="37">
        <f>'[6]Hoja 1'!$C$309-9947928.12</f>
        <v>0</v>
      </c>
      <c r="D75" s="67"/>
      <c r="E75" s="149"/>
      <c r="F75" s="37">
        <f>'[4]Hoja 1'!$C$304-10303069.4</f>
        <v>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5"/>
        <v>0</v>
      </c>
      <c r="AN75" s="67"/>
      <c r="AO75" s="318" t="e">
        <f>AM75/AM$13</f>
        <v>#DIV/0!</v>
      </c>
    </row>
    <row r="76" spans="1:42" ht="15" customHeight="1" x14ac:dyDescent="0.2">
      <c r="B76" s="36" t="s">
        <v>68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5"/>
        <v>0</v>
      </c>
      <c r="AN76" s="67"/>
      <c r="AO76" s="320"/>
    </row>
    <row r="77" spans="1:42" ht="15" customHeight="1" x14ac:dyDescent="0.2">
      <c r="B77" s="66" t="s">
        <v>70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5"/>
        <v>0</v>
      </c>
      <c r="AN77" s="42"/>
      <c r="AO77" s="320"/>
    </row>
    <row r="78" spans="1:42" ht="15" customHeight="1" x14ac:dyDescent="0.2">
      <c r="B78" s="17" t="s">
        <v>71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5"/>
        <v>23256964</v>
      </c>
      <c r="AN78" s="3"/>
      <c r="AO78" s="321" t="e">
        <f>AM78/(AM$13)</f>
        <v>#DIV/0!</v>
      </c>
    </row>
    <row r="79" spans="1:42" ht="15" customHeight="1" x14ac:dyDescent="0.3">
      <c r="B79" s="473" t="s">
        <v>73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5"/>
        <v>0</v>
      </c>
      <c r="AN79" s="4" t="e">
        <f>AM79/AM12</f>
        <v>#DIV/0!</v>
      </c>
      <c r="AO79" s="322"/>
      <c r="AP79" s="696"/>
    </row>
    <row r="80" spans="1:42" ht="15" customHeight="1" x14ac:dyDescent="0.2">
      <c r="B80" s="474" t="s">
        <v>74</v>
      </c>
      <c r="C80" s="25">
        <f>'[13]Hoja 1'!$D$16+'[8]Hoja 1'!$D$16</f>
        <v>10785519</v>
      </c>
      <c r="D80" s="43"/>
      <c r="E80" s="118"/>
      <c r="F80" s="25">
        <f>'[14]Hoja 1'!$D$17+'[41]Hoja 1'!$D$13</f>
        <v>12471445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5"/>
        <v>23256964</v>
      </c>
      <c r="AN80" s="43"/>
      <c r="AO80" s="309"/>
      <c r="AP80" s="367"/>
    </row>
    <row r="81" spans="2:42" ht="15" customHeight="1" thickBot="1" x14ac:dyDescent="0.25">
      <c r="B81" s="300" t="s">
        <v>495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810"/>
      <c r="AK81" s="214"/>
      <c r="AL81" s="307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2:42" ht="15" customHeight="1" thickTop="1" x14ac:dyDescent="0.2">
      <c r="B83" s="526" t="s">
        <v>76</v>
      </c>
      <c r="C83" s="490">
        <f>+C84+C89+C92+C96+C99+C109+C114+C120+C123+C127</f>
        <v>152810573.94205084</v>
      </c>
      <c r="D83" s="491"/>
      <c r="E83" s="492" t="e">
        <f>C83/(C$13)</f>
        <v>#DIV/0!</v>
      </c>
      <c r="F83" s="490">
        <f>+F84+F89+F92+F96+F99+F109+F114+F120+F123+F127</f>
        <v>143692590.01040757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296503163.95245838</v>
      </c>
      <c r="AN83" s="491"/>
      <c r="AO83" s="582" t="e">
        <f>AM83/(AM$13)</f>
        <v>#DIV/0!</v>
      </c>
    </row>
    <row r="84" spans="2:42" ht="15" customHeight="1" x14ac:dyDescent="0.2">
      <c r="B84" s="16" t="s">
        <v>77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>C84+F84+I84+L84+O84+R84+U84+X84+AA84+AD84+AG84+AJ84</f>
        <v>292498291.3124584</v>
      </c>
      <c r="AN84" s="3"/>
      <c r="AO84" s="321" t="e">
        <f>AM84/(AM$13)</f>
        <v>#DIV/0!</v>
      </c>
    </row>
    <row r="85" spans="2:42" ht="15" customHeight="1" x14ac:dyDescent="0.2">
      <c r="B85" s="284" t="s">
        <v>78</v>
      </c>
      <c r="C85" s="91">
        <f>'GASTOS OPERATIVOS'!C17*'%DIST'!C9</f>
        <v>150834036.80205086</v>
      </c>
      <c r="D85" s="69"/>
      <c r="E85" s="306"/>
      <c r="F85" s="91">
        <f>'GASTOS OPERATIVOS'!D17*'%DIST'!E9</f>
        <v>141664254.51040757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"/>
      <c r="AK85" s="69"/>
      <c r="AL85" s="306"/>
      <c r="AM85" s="209">
        <f>C85+F85+I85+L85+O85+R85+U85+X85+AA85+AD85+AG85+AJ85</f>
        <v>292498291.3124584</v>
      </c>
      <c r="AN85" s="69"/>
      <c r="AO85" s="306" t="e">
        <f>AM85/(AM$13)</f>
        <v>#DIV/0!</v>
      </c>
      <c r="AP85" s="758">
        <v>1.095</v>
      </c>
    </row>
    <row r="86" spans="2:42" ht="15" customHeight="1" x14ac:dyDescent="0.2">
      <c r="B86" s="24" t="s">
        <v>79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 t="e">
        <f>AN86/AM13</f>
        <v>#DIV/0!</v>
      </c>
    </row>
    <row r="87" spans="2:42" ht="15" customHeight="1" x14ac:dyDescent="0.2">
      <c r="B87" s="24" t="s">
        <v>81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</row>
    <row r="88" spans="2:42" ht="15" customHeight="1" x14ac:dyDescent="0.2">
      <c r="B88" s="429" t="s">
        <v>83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</row>
    <row r="89" spans="2:42" ht="15" customHeight="1" x14ac:dyDescent="0.2">
      <c r="B89" s="16" t="s">
        <v>84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ref="AM89:AM120" si="6">C89+F89+I89+L89+O89+R89+U89+X89+AA89+AD89+AG89+AJ89</f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85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86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6"/>
        <v>0</v>
      </c>
      <c r="AN91" s="84"/>
      <c r="AO91" s="310"/>
    </row>
    <row r="92" spans="2:42" ht="15" customHeight="1" x14ac:dyDescent="0.2">
      <c r="B92" s="16" t="s">
        <v>87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88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6"/>
        <v>0</v>
      </c>
      <c r="AN93" s="69"/>
      <c r="AO93" s="324"/>
      <c r="AP93" s="697"/>
    </row>
    <row r="94" spans="2:42" ht="15" customHeight="1" outlineLevel="1" x14ac:dyDescent="0.2">
      <c r="B94" s="39" t="s">
        <v>89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6"/>
        <v>0</v>
      </c>
      <c r="AN94" s="43"/>
      <c r="AO94" s="309"/>
    </row>
    <row r="95" spans="2:42" ht="15" customHeight="1" outlineLevel="1" x14ac:dyDescent="0.2">
      <c r="B95" s="39" t="s">
        <v>90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6"/>
        <v>0</v>
      </c>
      <c r="AN95" s="45"/>
      <c r="AO95" s="325"/>
    </row>
    <row r="96" spans="2:42" ht="15" customHeight="1" x14ac:dyDescent="0.2">
      <c r="B96" s="106" t="s">
        <v>91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6"/>
        <v>0</v>
      </c>
      <c r="AN96" s="3"/>
      <c r="AO96" s="321" t="e">
        <f>AM96/(AM$13)</f>
        <v>#DIV/0!</v>
      </c>
    </row>
    <row r="97" spans="1:46" s="108" customFormat="1" ht="15" customHeight="1" outlineLevel="1" x14ac:dyDescent="0.2">
      <c r="A97" s="229"/>
      <c r="B97" s="39" t="s">
        <v>92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6"/>
        <v>0</v>
      </c>
      <c r="AN97" s="69"/>
      <c r="AO97" s="324"/>
      <c r="AQ97" s="2"/>
      <c r="AR97" s="2"/>
      <c r="AS97" s="2"/>
      <c r="AT97" s="2"/>
    </row>
    <row r="98" spans="1:46" s="108" customFormat="1" ht="15" customHeight="1" outlineLevel="1" x14ac:dyDescent="0.2">
      <c r="A98" s="229"/>
      <c r="B98" s="275" t="s">
        <v>93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6"/>
        <v>0</v>
      </c>
      <c r="AN98" s="276"/>
      <c r="AO98" s="326"/>
      <c r="AQ98" s="2"/>
      <c r="AR98" s="2"/>
      <c r="AS98" s="2"/>
      <c r="AT98" s="2"/>
    </row>
    <row r="99" spans="1:46" ht="15" customHeight="1" x14ac:dyDescent="0.2">
      <c r="B99" s="16" t="s">
        <v>94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6"/>
        <v>0</v>
      </c>
      <c r="AN99" s="3"/>
      <c r="AO99" s="321" t="e">
        <f>AM99/(AM$13)</f>
        <v>#DIV/0!</v>
      </c>
    </row>
    <row r="100" spans="1:46" ht="15" customHeight="1" outlineLevel="1" x14ac:dyDescent="0.2">
      <c r="B100" s="39" t="s">
        <v>95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6"/>
        <v>0</v>
      </c>
      <c r="AN100" s="69"/>
      <c r="AO100" s="324"/>
    </row>
    <row r="101" spans="1:46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6"/>
        <v>0</v>
      </c>
      <c r="AN101" s="43"/>
      <c r="AO101" s="309"/>
    </row>
    <row r="102" spans="1:46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6"/>
        <v>0</v>
      </c>
      <c r="AN102" s="43"/>
      <c r="AO102" s="309"/>
    </row>
    <row r="103" spans="1:46" ht="15" customHeight="1" outlineLevel="1" x14ac:dyDescent="0.2">
      <c r="B103" s="25" t="s">
        <v>100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6"/>
        <v>0</v>
      </c>
      <c r="AN103" s="43"/>
      <c r="AO103" s="309"/>
    </row>
    <row r="104" spans="1:46" ht="15" customHeight="1" outlineLevel="1" x14ac:dyDescent="0.2">
      <c r="B104" s="25" t="s">
        <v>102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6"/>
        <v>0</v>
      </c>
      <c r="AN104" s="43"/>
      <c r="AO104" s="309"/>
    </row>
    <row r="105" spans="1:46" ht="15" customHeight="1" outlineLevel="1" x14ac:dyDescent="0.2">
      <c r="B105" s="25" t="s">
        <v>103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6"/>
        <v>0</v>
      </c>
      <c r="AN105" s="43"/>
      <c r="AO105" s="309"/>
    </row>
    <row r="106" spans="1:46" ht="15" customHeight="1" outlineLevel="1" x14ac:dyDescent="0.2">
      <c r="B106" s="25" t="s">
        <v>104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6"/>
        <v>0</v>
      </c>
      <c r="AN106" s="43"/>
      <c r="AO106" s="309"/>
    </row>
    <row r="107" spans="1:46" ht="15" customHeight="1" outlineLevel="1" x14ac:dyDescent="0.2">
      <c r="B107" s="205" t="s">
        <v>105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6"/>
        <v>0</v>
      </c>
      <c r="AN107" s="43"/>
      <c r="AO107" s="309"/>
    </row>
    <row r="108" spans="1:46" ht="15" customHeight="1" outlineLevel="1" x14ac:dyDescent="0.2">
      <c r="B108" s="349" t="s">
        <v>106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6"/>
        <v>0</v>
      </c>
      <c r="AN108" s="42"/>
      <c r="AO108" s="315"/>
    </row>
    <row r="109" spans="1:46" ht="15" customHeight="1" x14ac:dyDescent="0.2">
      <c r="B109" s="16" t="s">
        <v>107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6"/>
        <v>0</v>
      </c>
      <c r="AN109" s="3"/>
      <c r="AO109" s="321" t="e">
        <f>AM109/(AM$13)</f>
        <v>#DIV/0!</v>
      </c>
    </row>
    <row r="110" spans="1:46" ht="15" customHeight="1" outlineLevel="1" x14ac:dyDescent="0.2">
      <c r="B110" s="39" t="s">
        <v>108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</row>
    <row r="111" spans="1:46" ht="15" customHeight="1" outlineLevel="1" x14ac:dyDescent="0.2">
      <c r="B111" s="25" t="s">
        <v>109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</row>
    <row r="112" spans="1:46" ht="15" customHeight="1" outlineLevel="1" x14ac:dyDescent="0.2">
      <c r="B112" s="25" t="s">
        <v>110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</row>
    <row r="113" spans="2:41" ht="15" customHeight="1" outlineLevel="1" x14ac:dyDescent="0.2">
      <c r="B113" s="28" t="s">
        <v>111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</row>
    <row r="114" spans="2:41" ht="15" customHeight="1" x14ac:dyDescent="0.2">
      <c r="B114" s="16" t="s">
        <v>112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6"/>
        <v>0</v>
      </c>
      <c r="AN114" s="3"/>
      <c r="AO114" s="321" t="e">
        <f>AM114/(AM$13)</f>
        <v>#DIV/0!</v>
      </c>
    </row>
    <row r="115" spans="2:41" ht="15" customHeight="1" outlineLevel="1" x14ac:dyDescent="0.2">
      <c r="B115" s="205" t="s">
        <v>113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</row>
    <row r="116" spans="2:41" ht="15" customHeight="1" outlineLevel="1" x14ac:dyDescent="0.2">
      <c r="B116" s="205" t="s">
        <v>114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</row>
    <row r="117" spans="2:41" ht="15" customHeight="1" outlineLevel="1" x14ac:dyDescent="0.2">
      <c r="B117" s="205" t="s">
        <v>115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</row>
    <row r="118" spans="2:41" ht="15" customHeight="1" outlineLevel="1" x14ac:dyDescent="0.2">
      <c r="B118" s="205" t="s">
        <v>116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</row>
    <row r="119" spans="2:41" ht="15" customHeight="1" outlineLevel="1" x14ac:dyDescent="0.2">
      <c r="B119" s="205" t="s">
        <v>117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</row>
    <row r="120" spans="2:41" ht="15" customHeight="1" x14ac:dyDescent="0.2">
      <c r="B120" s="16" t="s">
        <v>118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6"/>
        <v>0</v>
      </c>
      <c r="AN120" s="3"/>
      <c r="AO120" s="321" t="e">
        <f>AM120/(AM$13)</f>
        <v>#DIV/0!</v>
      </c>
    </row>
    <row r="121" spans="2:41" ht="15" customHeight="1" x14ac:dyDescent="0.3">
      <c r="B121" s="205" t="s">
        <v>119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ref="AM121:AM142" si="7">C121+F121+I121+L121+O121+R121+U121+X121+AA121+AD121+AG121+AJ121</f>
        <v>0</v>
      </c>
      <c r="AN121" s="69"/>
      <c r="AO121" s="324"/>
    </row>
    <row r="122" spans="2:41" ht="15" customHeight="1" x14ac:dyDescent="0.3">
      <c r="B122" s="205" t="s">
        <v>496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7"/>
        <v>0</v>
      </c>
      <c r="AN122" s="84"/>
      <c r="AO122" s="327"/>
    </row>
    <row r="123" spans="2:41" ht="15" customHeight="1" x14ac:dyDescent="0.2">
      <c r="B123" s="16" t="s">
        <v>121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7"/>
        <v>0</v>
      </c>
      <c r="AN123" s="3"/>
      <c r="AO123" s="321" t="e">
        <f>AM123/(AM$13)</f>
        <v>#DIV/0!</v>
      </c>
    </row>
    <row r="124" spans="2:41" ht="15" customHeight="1" outlineLevel="1" x14ac:dyDescent="0.2">
      <c r="B124" s="39" t="s">
        <v>122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</row>
    <row r="125" spans="2:41" ht="15" customHeight="1" outlineLevel="1" x14ac:dyDescent="0.2">
      <c r="B125" s="25" t="s">
        <v>123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</row>
    <row r="126" spans="2:41" ht="15" customHeight="1" outlineLevel="1" x14ac:dyDescent="0.2">
      <c r="B126" s="28" t="s">
        <v>124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</row>
    <row r="127" spans="2:41" ht="15" customHeight="1" x14ac:dyDescent="0.2">
      <c r="B127" s="16" t="s">
        <v>125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7"/>
        <v>4004872.6399999997</v>
      </c>
      <c r="AN127" s="3"/>
      <c r="AO127" s="321" t="e">
        <f>AM127/(AM$13)</f>
        <v>#DIV/0!</v>
      </c>
    </row>
    <row r="128" spans="2:41" ht="15" customHeight="1" outlineLevel="1" x14ac:dyDescent="0.2">
      <c r="B128" s="25" t="s">
        <v>127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</row>
    <row r="129" spans="1:41" ht="15" customHeight="1" outlineLevel="1" x14ac:dyDescent="0.2">
      <c r="B129" s="25" t="s">
        <v>129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</row>
    <row r="130" spans="1:41" ht="15" customHeight="1" outlineLevel="1" x14ac:dyDescent="0.2">
      <c r="A130" s="226" t="s">
        <v>450</v>
      </c>
      <c r="B130" s="25" t="s">
        <v>131</v>
      </c>
      <c r="C130" s="25">
        <f>'[6]Hoja 1'!$C$311+'[6]Hoja 1'!$C$287</f>
        <v>1911537.14</v>
      </c>
      <c r="D130" s="43"/>
      <c r="E130" s="118"/>
      <c r="F130" s="25">
        <f>'[4]Hoja 1'!$C$306</f>
        <v>2028335.5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3939872.6399999997</v>
      </c>
      <c r="AN130" s="43"/>
      <c r="AO130" s="118"/>
    </row>
    <row r="131" spans="1:41" ht="15" customHeight="1" outlineLevel="1" x14ac:dyDescent="0.2">
      <c r="A131" s="226" t="s">
        <v>132</v>
      </c>
      <c r="B131" s="25" t="s">
        <v>133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</row>
    <row r="132" spans="1:41" ht="15" customHeight="1" outlineLevel="1" x14ac:dyDescent="0.2">
      <c r="B132" s="25" t="s">
        <v>134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135</v>
      </c>
      <c r="B133" s="25" t="s">
        <v>136</v>
      </c>
      <c r="C133" s="25">
        <f>'[6]Hoja 1'!$C$318</f>
        <v>65000</v>
      </c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65000</v>
      </c>
      <c r="AN133" s="43"/>
      <c r="AO133" s="309"/>
    </row>
    <row r="134" spans="1:41" ht="15" customHeight="1" outlineLevel="1" x14ac:dyDescent="0.2">
      <c r="A134" s="226" t="s">
        <v>137</v>
      </c>
      <c r="B134" s="25" t="s">
        <v>138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</row>
    <row r="135" spans="1:41" ht="15" customHeight="1" outlineLevel="1" x14ac:dyDescent="0.2">
      <c r="B135" s="25" t="s">
        <v>139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</row>
    <row r="136" spans="1:41" ht="15" customHeight="1" outlineLevel="1" x14ac:dyDescent="0.2">
      <c r="B136" s="25" t="s">
        <v>140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</row>
    <row r="137" spans="1:41" ht="15" customHeight="1" outlineLevel="1" x14ac:dyDescent="0.2">
      <c r="B137" s="25" t="s">
        <v>141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142</v>
      </c>
      <c r="C138" s="427"/>
      <c r="D138" s="89"/>
      <c r="E138" s="303"/>
      <c r="F138" s="427"/>
      <c r="G138" s="89"/>
      <c r="H138" s="303"/>
      <c r="I138" s="826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7"/>
        <v>0</v>
      </c>
      <c r="AN138" s="89"/>
      <c r="AO138" s="308"/>
    </row>
    <row r="139" spans="1:41" ht="15" customHeight="1" outlineLevel="1" x14ac:dyDescent="0.2">
      <c r="B139" s="25" t="s">
        <v>143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7"/>
        <v>0</v>
      </c>
      <c r="AN139" s="43"/>
      <c r="AO139" s="309"/>
    </row>
    <row r="140" spans="1:41" ht="15" customHeight="1" outlineLevel="1" x14ac:dyDescent="0.2">
      <c r="B140" s="25" t="s">
        <v>145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7"/>
        <v>0</v>
      </c>
      <c r="AN140" s="43"/>
      <c r="AO140" s="309"/>
    </row>
    <row r="141" spans="1:41" ht="15" customHeight="1" outlineLevel="1" x14ac:dyDescent="0.2">
      <c r="B141" s="25" t="s">
        <v>146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7"/>
        <v>0</v>
      </c>
      <c r="AN141" s="43"/>
      <c r="AO141" s="309"/>
    </row>
    <row r="142" spans="1:41" ht="15" customHeight="1" outlineLevel="1" thickBot="1" x14ac:dyDescent="0.25">
      <c r="B142" s="269" t="s">
        <v>148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1" ht="15" customHeight="1" thickTop="1" thickBot="1" x14ac:dyDescent="0.25">
      <c r="B144" s="525" t="s">
        <v>149</v>
      </c>
      <c r="C144" s="493">
        <f>+C42-C44-C83</f>
        <v>-2092917407.8259728</v>
      </c>
      <c r="D144" s="494"/>
      <c r="E144" s="495"/>
      <c r="F144" s="493">
        <f>+F42-F44-F83</f>
        <v>-2447143971.1108556</v>
      </c>
      <c r="G144" s="494"/>
      <c r="H144" s="495"/>
      <c r="I144" s="493">
        <f>+I42-I44-I83</f>
        <v>-541727065.60000002</v>
      </c>
      <c r="J144" s="494"/>
      <c r="K144" s="495"/>
      <c r="L144" s="493">
        <f>+L42-L44-L83</f>
        <v>-592513978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-5674302422.536829</v>
      </c>
      <c r="AN144" s="494"/>
      <c r="AO144" s="584"/>
    </row>
    <row r="145" spans="2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2:42" ht="15" customHeight="1" thickTop="1" x14ac:dyDescent="0.2">
      <c r="B147" s="526" t="s">
        <v>150</v>
      </c>
      <c r="C147" s="490">
        <f>SUM(C148:C151)</f>
        <v>408197284.69980586</v>
      </c>
      <c r="D147" s="491"/>
      <c r="E147" s="492" t="e">
        <f>C147/(C$13)</f>
        <v>#DIV/0!</v>
      </c>
      <c r="F147" s="490">
        <f>SUM(F148:F151)</f>
        <v>266804846.49061304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492"/>
      <c r="AM147" s="581">
        <f>C147+F147+I147+L147+O147+R147+U147+X147+AA147+AD147+AG147+AJ147</f>
        <v>675002131.19041896</v>
      </c>
      <c r="AN147" s="491"/>
      <c r="AO147" s="580" t="e">
        <f>AM147/(AM$13)</f>
        <v>#DIV/0!</v>
      </c>
    </row>
    <row r="148" spans="2:42" ht="15" customHeight="1" x14ac:dyDescent="0.2">
      <c r="B148" s="18" t="s">
        <v>151</v>
      </c>
      <c r="C148" s="39">
        <f>'GASTOS ADMINISTRATIVOS'!C96*'%DIST'!B41</f>
        <v>304163799.23624122</v>
      </c>
      <c r="D148" s="69"/>
      <c r="E148" s="306"/>
      <c r="F148" s="39">
        <f>'GASTOS ADMINISTRATIVOS'!D96*'%DIST'!D41</f>
        <v>213298477.33453581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517462276.57077706</v>
      </c>
      <c r="AN148" s="69"/>
      <c r="AO148" s="324"/>
      <c r="AP148" s="144"/>
    </row>
    <row r="149" spans="2:42" ht="15" customHeight="1" x14ac:dyDescent="0.2">
      <c r="B149" s="285" t="s">
        <v>152</v>
      </c>
      <c r="C149" s="25">
        <f>'GASTOS ADMINISTRATIVOS'!C109*'%DIST'!C57</f>
        <v>83497485.499911845</v>
      </c>
      <c r="D149" s="43"/>
      <c r="E149" s="118"/>
      <c r="F149" s="25">
        <f>'GASTOS ADMINISTRATIVOS'!D109*'%DIST'!E57</f>
        <v>54202057.530402198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137699543.03031403</v>
      </c>
      <c r="AN149" s="43"/>
      <c r="AO149" s="309"/>
    </row>
    <row r="150" spans="2:42" ht="15" customHeight="1" x14ac:dyDescent="0.2">
      <c r="B150" s="107" t="s">
        <v>153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/>
      <c r="AP150" s="144"/>
    </row>
    <row r="151" spans="2:42" ht="15" customHeight="1" thickBot="1" x14ac:dyDescent="0.25">
      <c r="B151" s="300" t="s">
        <v>154</v>
      </c>
      <c r="C151" s="71">
        <f>'GASTOS ADMINISTRATIVOS'!C119*'%DIST'!C57</f>
        <v>20535999.963652764</v>
      </c>
      <c r="D151" s="72"/>
      <c r="E151" s="342"/>
      <c r="F151" s="71">
        <f>'GASTOS ADMINISTRATIVOS'!D119*'%DIST'!E57</f>
        <v>-695688.37432497949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19840311.589327782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2:42" ht="15" customHeight="1" thickTop="1" thickBot="1" x14ac:dyDescent="0.25">
      <c r="B153" s="524" t="s">
        <v>155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8">C153+F153+I153+L153+O153+R153+U153+X153+AA153+AD153+AG153+AJ153</f>
        <v>0</v>
      </c>
      <c r="AN153" s="498"/>
      <c r="AO153" s="586" t="e">
        <f>AM153/AM13</f>
        <v>#DIV/0!</v>
      </c>
    </row>
    <row r="154" spans="2:42" ht="15" customHeight="1" thickTop="1" x14ac:dyDescent="0.2">
      <c r="B154" s="909" t="s">
        <v>497</v>
      </c>
      <c r="C154" s="722"/>
      <c r="D154" s="548"/>
      <c r="E154" s="549"/>
      <c r="F154" s="722"/>
      <c r="G154" s="548"/>
      <c r="H154" s="549"/>
      <c r="I154" s="722"/>
      <c r="J154" s="548"/>
      <c r="K154" s="549"/>
      <c r="L154" s="722"/>
      <c r="M154" s="548"/>
      <c r="N154" s="549"/>
      <c r="O154" s="722"/>
      <c r="P154" s="548"/>
      <c r="Q154" s="549"/>
      <c r="R154" s="722"/>
      <c r="S154" s="548"/>
      <c r="T154" s="549"/>
      <c r="U154" s="722"/>
      <c r="V154" s="548"/>
      <c r="W154" s="549"/>
      <c r="X154" s="722"/>
      <c r="Y154" s="548"/>
      <c r="Z154" s="549"/>
      <c r="AA154" s="722"/>
      <c r="AB154" s="548"/>
      <c r="AC154" s="549"/>
      <c r="AD154" s="722"/>
      <c r="AE154" s="548"/>
      <c r="AF154" s="549"/>
      <c r="AG154" s="722"/>
      <c r="AH154" s="548"/>
      <c r="AI154" s="549"/>
      <c r="AJ154" s="722"/>
      <c r="AK154" s="548"/>
      <c r="AL154" s="549"/>
      <c r="AM154" s="716">
        <f t="shared" si="8"/>
        <v>0</v>
      </c>
      <c r="AN154" s="230"/>
      <c r="AO154" s="332"/>
    </row>
    <row r="155" spans="2:42" ht="15" customHeight="1" x14ac:dyDescent="0.2">
      <c r="B155" s="966" t="s">
        <v>498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13"/>
      <c r="AL155" s="344"/>
      <c r="AM155" s="294">
        <f t="shared" si="8"/>
        <v>0</v>
      </c>
      <c r="AN155" s="13"/>
      <c r="AO155" s="690"/>
    </row>
    <row r="156" spans="2:42" ht="15" customHeight="1" x14ac:dyDescent="0.2">
      <c r="B156" s="967" t="s">
        <v>499</v>
      </c>
      <c r="C156" s="705"/>
      <c r="D156" s="677"/>
      <c r="E156" s="678"/>
      <c r="F156" s="705"/>
      <c r="G156" s="677"/>
      <c r="H156" s="678"/>
      <c r="I156" s="705"/>
      <c r="J156" s="677"/>
      <c r="K156" s="678"/>
      <c r="L156" s="705"/>
      <c r="M156" s="677"/>
      <c r="N156" s="678"/>
      <c r="O156" s="705"/>
      <c r="P156" s="677"/>
      <c r="Q156" s="678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7"/>
      <c r="AL156" s="678"/>
      <c r="AM156" s="713">
        <f t="shared" si="8"/>
        <v>0</v>
      </c>
      <c r="AN156" s="677"/>
      <c r="AO156" s="681"/>
    </row>
    <row r="157" spans="2:42" ht="15" customHeight="1" x14ac:dyDescent="0.2">
      <c r="B157" s="968" t="s">
        <v>426</v>
      </c>
      <c r="C157" s="705"/>
      <c r="D157" s="13"/>
      <c r="E157" s="344"/>
      <c r="F157" s="705"/>
      <c r="G157" s="13"/>
      <c r="H157" s="344"/>
      <c r="I157" s="705"/>
      <c r="J157" s="13"/>
      <c r="K157" s="344"/>
      <c r="L157" s="705"/>
      <c r="M157" s="13"/>
      <c r="N157" s="344"/>
      <c r="O157" s="705"/>
      <c r="P157" s="13"/>
      <c r="Q157" s="344"/>
      <c r="R157" s="705"/>
      <c r="S157" s="13"/>
      <c r="T157" s="344"/>
      <c r="U157" s="705"/>
      <c r="V157" s="13"/>
      <c r="W157" s="344"/>
      <c r="X157" s="705"/>
      <c r="Y157" s="13"/>
      <c r="Z157" s="344"/>
      <c r="AA157" s="705"/>
      <c r="AB157" s="13"/>
      <c r="AC157" s="344"/>
      <c r="AD157" s="705"/>
      <c r="AE157" s="13"/>
      <c r="AF157" s="344"/>
      <c r="AG157" s="705"/>
      <c r="AH157" s="13"/>
      <c r="AI157" s="344"/>
      <c r="AJ157" s="705"/>
      <c r="AK157" s="13"/>
      <c r="AL157" s="344"/>
      <c r="AM157" s="294">
        <f t="shared" si="8"/>
        <v>0</v>
      </c>
      <c r="AN157" s="13"/>
      <c r="AO157" s="786"/>
    </row>
    <row r="158" spans="2:42" ht="15" customHeight="1" x14ac:dyDescent="0.2">
      <c r="B158" s="563" t="s">
        <v>158</v>
      </c>
      <c r="C158" s="75"/>
      <c r="D158" s="13"/>
      <c r="E158" s="344"/>
      <c r="F158" s="75"/>
      <c r="G158" s="13"/>
      <c r="H158" s="344"/>
      <c r="I158" s="75"/>
      <c r="J158" s="13"/>
      <c r="K158" s="344"/>
      <c r="L158" s="75"/>
      <c r="M158" s="13"/>
      <c r="N158" s="344"/>
      <c r="O158" s="75"/>
      <c r="P158" s="13"/>
      <c r="Q158" s="344"/>
      <c r="R158" s="75"/>
      <c r="S158" s="13"/>
      <c r="T158" s="344"/>
      <c r="U158" s="75"/>
      <c r="V158" s="13"/>
      <c r="W158" s="344"/>
      <c r="X158" s="75"/>
      <c r="Y158" s="13"/>
      <c r="Z158" s="344"/>
      <c r="AA158" s="75"/>
      <c r="AB158" s="13"/>
      <c r="AC158" s="344"/>
      <c r="AD158" s="75"/>
      <c r="AE158" s="13"/>
      <c r="AF158" s="344"/>
      <c r="AG158" s="75"/>
      <c r="AH158" s="13"/>
      <c r="AI158" s="344"/>
      <c r="AJ158" s="75"/>
      <c r="AK158" s="13"/>
      <c r="AL158" s="344"/>
      <c r="AM158" s="205">
        <f t="shared" si="8"/>
        <v>0</v>
      </c>
      <c r="AN158" s="13"/>
      <c r="AO158" s="333"/>
    </row>
    <row r="159" spans="2:42" ht="15" customHeight="1" x14ac:dyDescent="0.2">
      <c r="B159" s="563" t="s">
        <v>159</v>
      </c>
      <c r="C159" s="705"/>
      <c r="D159" s="13"/>
      <c r="E159" s="344"/>
      <c r="F159" s="705"/>
      <c r="G159" s="13"/>
      <c r="H159" s="344"/>
      <c r="I159" s="705"/>
      <c r="J159" s="13"/>
      <c r="K159" s="344"/>
      <c r="L159" s="705"/>
      <c r="M159" s="13"/>
      <c r="N159" s="344"/>
      <c r="O159" s="705"/>
      <c r="P159" s="13"/>
      <c r="Q159" s="344"/>
      <c r="R159" s="705"/>
      <c r="S159" s="13"/>
      <c r="T159" s="344"/>
      <c r="U159" s="705"/>
      <c r="V159" s="13"/>
      <c r="W159" s="344"/>
      <c r="X159" s="705"/>
      <c r="Y159" s="13"/>
      <c r="Z159" s="344"/>
      <c r="AA159" s="705"/>
      <c r="AB159" s="13"/>
      <c r="AC159" s="344"/>
      <c r="AD159" s="705"/>
      <c r="AE159" s="43"/>
      <c r="AF159" s="344"/>
      <c r="AG159" s="705"/>
      <c r="AH159" s="13"/>
      <c r="AI159" s="344"/>
      <c r="AJ159" s="705"/>
      <c r="AK159" s="13"/>
      <c r="AL159" s="344"/>
      <c r="AM159" s="205">
        <f t="shared" si="8"/>
        <v>0</v>
      </c>
      <c r="AN159" s="13"/>
      <c r="AO159" s="333"/>
    </row>
    <row r="160" spans="2:42" ht="15" customHeight="1" thickBot="1" x14ac:dyDescent="0.25">
      <c r="B160" s="969" t="s">
        <v>160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8"/>
        <v>0</v>
      </c>
      <c r="AN160" s="809"/>
      <c r="AO160" s="334"/>
    </row>
    <row r="161" spans="2:41" ht="15" customHeight="1" thickTop="1" thickBot="1" x14ac:dyDescent="0.25">
      <c r="B161" s="524" t="s">
        <v>163</v>
      </c>
      <c r="C161" s="497">
        <f>C144-C147-C153</f>
        <v>-2501114692.5257788</v>
      </c>
      <c r="D161" s="498"/>
      <c r="E161" s="499"/>
      <c r="F161" s="497">
        <f>F144-F147-F153</f>
        <v>-2713948817.6014686</v>
      </c>
      <c r="G161" s="498"/>
      <c r="H161" s="499"/>
      <c r="I161" s="497">
        <f>I144-I147-I153</f>
        <v>-541727065.60000002</v>
      </c>
      <c r="J161" s="498"/>
      <c r="K161" s="499"/>
      <c r="L161" s="497">
        <f>L144-L147-L153</f>
        <v>-592513978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8"/>
        <v>-6349304553.7272472</v>
      </c>
      <c r="AN161" s="498"/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C44+C83-C73-C85+'CTAS EN PPACION'!C164</f>
        <v>2839782761.3699994</v>
      </c>
      <c r="F164" s="616">
        <f>F44+F83-F73-F85+'CTAS EN PPACION'!F164</f>
        <v>3254872917.6199942</v>
      </c>
      <c r="I164" s="616">
        <f>I44+I83-I73-I85</f>
        <v>0</v>
      </c>
      <c r="L164" s="616">
        <f>L44+L83-L73-L85</f>
        <v>0</v>
      </c>
      <c r="O164" s="616">
        <f>O44+O83-O73-O85</f>
        <v>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AA44+AA83-AA73-AA85+'CTAS EN PPACION'!AA164</f>
        <v>0</v>
      </c>
      <c r="AD164" s="616">
        <f>AD44+AD83-AD73-AD85+'CTAS EN PPACION'!AD164</f>
        <v>0</v>
      </c>
      <c r="AG164" s="616">
        <f>AG44+AG83-AG73-AG85+'CTAS EN PPACION'!AG164</f>
        <v>0</v>
      </c>
      <c r="AJ164" s="616">
        <f>AJ44+AJ83-AJ73-AJ85+'CTAS EN PPACION'!AJ164</f>
        <v>0</v>
      </c>
    </row>
    <row r="165" spans="2:41" x14ac:dyDescent="0.2">
      <c r="C165" s="616">
        <f>'[6]Hoja 1'!$C$278+'[6]Hoja 1'!$C$299-'[6]Hoja 1'!$C$309+'[6]Hoja 1'!$C$330+'[6]Hoja 1'!$C$387+'[8]Hoja 1'!$D$16+'[8]Hoja 1'!$D$20</f>
        <v>2727878421.3699999</v>
      </c>
      <c r="F165" s="616">
        <f>'[4]Hoja 1'!$C$291+'[4]Hoja 1'!$C$279-'[4]Hoja 1'!$C$304-'[4]Hoja 1'!$C$312+'[4]Hoja 1'!$C$324+'[4]Hoja 1'!$C$396+'[5]Hoja 1'!$C$103+'[41]Hoja 1'!$D$13+'[33]Hoja 1'!$C$108</f>
        <v>3440479127.6199999</v>
      </c>
      <c r="I165" s="616">
        <v>2985496113.8600001</v>
      </c>
      <c r="L165" s="616">
        <v>3625851913.54</v>
      </c>
      <c r="O165" s="616">
        <v>3323110405.5300002</v>
      </c>
      <c r="R165" s="616">
        <v>3094110603.0500002</v>
      </c>
      <c r="U165" s="616">
        <v>3405629371.3899999</v>
      </c>
      <c r="X165" s="616">
        <v>2674284425.3600011</v>
      </c>
      <c r="AA165" s="616">
        <v>4314883838.2000008</v>
      </c>
      <c r="AD165" s="616">
        <v>3537589844.4699998</v>
      </c>
      <c r="AG165" s="616">
        <v>3595747620.96</v>
      </c>
      <c r="AJ165" s="616">
        <v>3354883060.7199998</v>
      </c>
      <c r="AM165" s="235">
        <f>AM13+'CTAS EN PPACION'!AM13</f>
        <v>0</v>
      </c>
    </row>
    <row r="166" spans="2:41" x14ac:dyDescent="0.2">
      <c r="C166" s="616">
        <f>C164-C165</f>
        <v>111904339.99999952</v>
      </c>
      <c r="F166" s="616">
        <f>F164-F165</f>
        <v>-185606210.00000572</v>
      </c>
      <c r="I166" s="616">
        <f>I164-I165</f>
        <v>-2985496113.8600001</v>
      </c>
      <c r="L166" s="616">
        <f>L164-L165</f>
        <v>-3625851913.54</v>
      </c>
      <c r="O166" s="616">
        <f>O164-O165</f>
        <v>-3323110405.5300002</v>
      </c>
      <c r="R166" s="616">
        <f>R164-R165</f>
        <v>-3094110603.0500002</v>
      </c>
      <c r="U166" s="616">
        <f>U164-U165</f>
        <v>-3405629371.3899999</v>
      </c>
      <c r="X166" s="616">
        <f>X164-X165</f>
        <v>-2674284425.3600011</v>
      </c>
      <c r="AA166" s="616">
        <f>AA164-AA165</f>
        <v>-4314883838.2000008</v>
      </c>
      <c r="AD166" s="616">
        <f>AD164-AD165</f>
        <v>-3537589844.4699998</v>
      </c>
      <c r="AG166" s="616">
        <f>AG164-AG165</f>
        <v>-3595747620.96</v>
      </c>
      <c r="AJ166" s="616">
        <f>AJ164-AJ165</f>
        <v>-3354883060.7199998</v>
      </c>
    </row>
    <row r="170" spans="2:41" ht="11.4" customHeight="1" x14ac:dyDescent="0.2">
      <c r="AM170" s="929">
        <f>AM161+'CTAS EN PPACION'!AM161</f>
        <v>-8257429547.0653706</v>
      </c>
    </row>
    <row r="172" spans="2:41" x14ac:dyDescent="0.2">
      <c r="AM172" s="911"/>
    </row>
  </sheetData>
  <mergeCells count="1">
    <mergeCell ref="C2:AM2"/>
  </mergeCells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7"/>
  <dimension ref="A2:BG216"/>
  <sheetViews>
    <sheetView zoomScaleNormal="100" workbookViewId="0">
      <pane xSplit="2" ySplit="13" topLeftCell="C149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88671875" style="2" customWidth="1"/>
    <col min="43" max="64" width="11.44140625" style="2" customWidth="1"/>
    <col min="65" max="16384" width="11.44140625" style="2"/>
  </cols>
  <sheetData>
    <row r="2" spans="1:41" ht="24.9" customHeight="1" thickBot="1" x14ac:dyDescent="0.35">
      <c r="B2" s="236" t="s">
        <v>0</v>
      </c>
      <c r="C2" s="1027" t="s">
        <v>500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</row>
    <row r="3" spans="1:41" ht="21.75" customHeight="1" thickTop="1" thickBot="1" x14ac:dyDescent="0.25">
      <c r="B3" s="522" t="s">
        <v>2</v>
      </c>
      <c r="C3" s="535">
        <v>20</v>
      </c>
      <c r="D3" s="479"/>
      <c r="E3" s="480"/>
      <c r="F3" s="535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240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/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501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49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827"/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05">
        <f t="shared" si="0"/>
        <v>0</v>
      </c>
      <c r="AN16" s="79"/>
      <c r="AO16" s="314"/>
    </row>
    <row r="17" spans="1:41" ht="15" customHeight="1" x14ac:dyDescent="0.2">
      <c r="B17" s="762" t="s">
        <v>471</v>
      </c>
      <c r="C17" s="25"/>
      <c r="D17" s="43"/>
      <c r="E17" s="118"/>
      <c r="F17" s="25"/>
      <c r="G17" s="43"/>
      <c r="H17" s="118"/>
      <c r="I17" s="25"/>
      <c r="J17" s="43" t="e">
        <f>I17/I6</f>
        <v>#DIV/0!</v>
      </c>
      <c r="K17" s="118"/>
      <c r="L17" s="25"/>
      <c r="M17" s="43" t="e">
        <f>L17/L6</f>
        <v>#DIV/0!</v>
      </c>
      <c r="N17" s="118"/>
      <c r="O17" s="25"/>
      <c r="P17" s="43" t="e">
        <f>O17/O6</f>
        <v>#DIV/0!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5">
        <f t="shared" si="0"/>
        <v>0</v>
      </c>
      <c r="AN17" s="43"/>
      <c r="AO17" s="309"/>
    </row>
    <row r="18" spans="1:41" ht="15" customHeight="1" x14ac:dyDescent="0.2">
      <c r="B18" s="104"/>
      <c r="C18" s="75"/>
      <c r="D18" s="43"/>
      <c r="E18" s="118"/>
      <c r="F18" s="75"/>
      <c r="G18" s="43"/>
      <c r="H18" s="118"/>
      <c r="I18" s="75"/>
      <c r="J18" s="43" t="e">
        <f>I18/I7</f>
        <v>#DIV/0!</v>
      </c>
      <c r="K18" s="118"/>
      <c r="L18" s="75"/>
      <c r="M18" s="43" t="e">
        <f>L18/L7</f>
        <v>#DIV/0!</v>
      </c>
      <c r="N18" s="118"/>
      <c r="O18" s="75"/>
      <c r="P18" s="43" t="e">
        <f>O18/O7</f>
        <v>#DIV/0!</v>
      </c>
      <c r="Q18" s="118"/>
      <c r="R18" s="75"/>
      <c r="S18" s="43" t="e">
        <f>R18/R7</f>
        <v>#DIV/0!</v>
      </c>
      <c r="T18" s="118"/>
      <c r="U18" s="75"/>
      <c r="V18" s="43" t="e">
        <f>U18/U7</f>
        <v>#DIV/0!</v>
      </c>
      <c r="W18" s="118"/>
      <c r="X18" s="75"/>
      <c r="Y18" s="43" t="e">
        <f>X18/X7</f>
        <v>#DIV/0!</v>
      </c>
      <c r="Z18" s="118"/>
      <c r="AA18" s="75"/>
      <c r="AB18" s="43" t="e">
        <f>AA18/AA7</f>
        <v>#DIV/0!</v>
      </c>
      <c r="AC18" s="118"/>
      <c r="AD18" s="75"/>
      <c r="AE18" s="43" t="e">
        <f>AD18/AD7</f>
        <v>#DIV/0!</v>
      </c>
      <c r="AF18" s="118"/>
      <c r="AG18" s="75"/>
      <c r="AH18" s="43" t="e">
        <f>AG18/AG7</f>
        <v>#DIV/0!</v>
      </c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762" t="s">
        <v>502</v>
      </c>
      <c r="C21" s="7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30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49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31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49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32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33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35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49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AM29/$AM$6</f>
        <v>#DIV/0!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x14ac:dyDescent="0.2">
      <c r="B31" s="105" t="s">
        <v>503</v>
      </c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x14ac:dyDescent="0.2">
      <c r="B32" s="105" t="s">
        <v>503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2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2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2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2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2" ht="15" customHeight="1" thickTop="1" x14ac:dyDescent="0.2">
      <c r="B44" s="526" t="s">
        <v>46</v>
      </c>
      <c r="C44" s="490">
        <f>+C45+C60+C78</f>
        <v>927552261.69607747</v>
      </c>
      <c r="D44" s="491"/>
      <c r="E44" s="492"/>
      <c r="F44" s="490">
        <f>+F45+F60+F78</f>
        <v>936232861.77454615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1863785123.4706235</v>
      </c>
      <c r="AN44" s="491"/>
      <c r="AO44" s="580" t="e">
        <f>AM44/AM$13</f>
        <v>#DIV/0!</v>
      </c>
    </row>
    <row r="45" spans="2:42" ht="15" customHeight="1" x14ac:dyDescent="0.2">
      <c r="B45" s="16" t="s">
        <v>47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49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1863785123.4706235</v>
      </c>
      <c r="AN45" s="3"/>
      <c r="AO45" s="313"/>
    </row>
    <row r="46" spans="2:42" ht="15" customHeight="1" x14ac:dyDescent="0.2">
      <c r="B46" s="36" t="s">
        <v>370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1407017123.4706235</v>
      </c>
      <c r="AN46" s="67"/>
      <c r="AO46" s="318"/>
    </row>
    <row r="47" spans="2:42" ht="15" customHeight="1" x14ac:dyDescent="0.2">
      <c r="B47" s="97" t="s">
        <v>471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/>
      <c r="J47" s="42" t="e">
        <f>I47/I12</f>
        <v>#DIV/0!</v>
      </c>
      <c r="K47" s="140" t="e">
        <f>I47/I13</f>
        <v>#DIV/0!</v>
      </c>
      <c r="L47" s="76"/>
      <c r="M47" s="42" t="e">
        <f>L47/L12</f>
        <v>#DIV/0!</v>
      </c>
      <c r="N47" s="140" t="e">
        <f>L47/L13</f>
        <v>#DIV/0!</v>
      </c>
      <c r="O47" s="76"/>
      <c r="P47" s="42" t="e">
        <f>O47/O12</f>
        <v>#DIV/0!</v>
      </c>
      <c r="Q47" s="140" t="e">
        <f>O47/O13</f>
        <v>#DIV/0!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1"/>
        <v>1407017123.4706235</v>
      </c>
      <c r="AN47" s="42" t="e">
        <f>AM47/$AM$12</f>
        <v>#DIV/0!</v>
      </c>
      <c r="AO47" s="315" t="e">
        <f>AM47/AM13</f>
        <v>#DIV/0!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59" ht="15" customHeight="1" x14ac:dyDescent="0.2">
      <c r="B57" s="36" t="s">
        <v>504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7">
        <f t="shared" ref="AM57:AM66" si="2">C57+F57+I57+L57+O57+R57+U57+X57+AA57+AD57+AG57+AJ57</f>
        <v>456768000</v>
      </c>
      <c r="AN57" s="47" t="e">
        <f>AM57/AM12</f>
        <v>#DIV/0!</v>
      </c>
      <c r="AO57" s="311" t="e">
        <f>AM57/AM13</f>
        <v>#DIV/0!</v>
      </c>
    </row>
    <row r="58" spans="1:59" ht="15" customHeight="1" x14ac:dyDescent="0.2">
      <c r="B58" s="411" t="s">
        <v>505</v>
      </c>
      <c r="C58" s="304">
        <f>[56]ENERO!$G$22</f>
        <v>223236000</v>
      </c>
      <c r="D58" s="305"/>
      <c r="E58" s="412"/>
      <c r="F58" s="304">
        <f>[56]FEBRERO!$G$22</f>
        <v>233532000</v>
      </c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456768000</v>
      </c>
      <c r="AN58" s="305"/>
      <c r="AO58" s="414" t="e">
        <f>AM58/AM$13</f>
        <v>#DIV/0!</v>
      </c>
      <c r="AP58" s="144"/>
    </row>
    <row r="59" spans="1:59" s="108" customFormat="1" ht="15" customHeight="1" x14ac:dyDescent="0.2">
      <c r="A59" s="229"/>
      <c r="B59" s="415" t="s">
        <v>506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0</v>
      </c>
      <c r="P60" s="3"/>
      <c r="Q60" s="150" t="e">
        <f>O60/$O$13</f>
        <v>#DIV/0!</v>
      </c>
      <c r="R60" s="90">
        <f>+R61+R72+R75+R76+R77</f>
        <v>0</v>
      </c>
      <c r="S60" s="3"/>
      <c r="T60" s="150" t="e">
        <f>R60/$O$13</f>
        <v>#DIV/0!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</row>
    <row r="61" spans="1:59" ht="15" hidden="1" customHeight="1" x14ac:dyDescent="0.2">
      <c r="B61" s="36" t="s">
        <v>370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/>
      <c r="AO61" s="318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/>
      <c r="AO62" s="314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/>
      <c r="AO63" s="309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59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59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59" ht="15" customHeight="1" x14ac:dyDescent="0.2">
      <c r="B72" s="36" t="s">
        <v>507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67"/>
      <c r="N72" s="149"/>
      <c r="O72" s="46">
        <f>SUM(O73:O74)</f>
        <v>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3"/>
        <v>0</v>
      </c>
      <c r="AN72" s="47" t="e">
        <f>AM72/AM12</f>
        <v>#DIV/0!</v>
      </c>
      <c r="AO72" s="152" t="e">
        <f>AM72/AM13</f>
        <v>#DIV/0!</v>
      </c>
    </row>
    <row r="73" spans="1:59" ht="15" customHeight="1" x14ac:dyDescent="0.2">
      <c r="B73" s="411"/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3"/>
        <v>0</v>
      </c>
      <c r="AN73" s="305"/>
      <c r="AO73" s="417"/>
    </row>
    <row r="74" spans="1:59" s="108" customFormat="1" ht="15" customHeight="1" thickBot="1" x14ac:dyDescent="0.25">
      <c r="A74" s="229"/>
      <c r="B74" s="830" t="s">
        <v>508</v>
      </c>
      <c r="C74" s="71"/>
      <c r="D74" s="72"/>
      <c r="E74" s="342"/>
      <c r="F74" s="71"/>
      <c r="G74" s="72"/>
      <c r="H74" s="342"/>
      <c r="I74" s="71"/>
      <c r="J74" s="72"/>
      <c r="K74" s="342"/>
      <c r="L74" s="71"/>
      <c r="M74" s="72"/>
      <c r="N74" s="342"/>
      <c r="O74" s="71"/>
      <c r="P74" s="72"/>
      <c r="Q74" s="342"/>
      <c r="R74" s="71"/>
      <c r="S74" s="72"/>
      <c r="T74" s="342"/>
      <c r="U74" s="71"/>
      <c r="V74" s="72"/>
      <c r="W74" s="342"/>
      <c r="X74" s="71"/>
      <c r="Y74" s="72"/>
      <c r="Z74" s="342"/>
      <c r="AA74" s="71"/>
      <c r="AB74" s="72"/>
      <c r="AC74" s="342"/>
      <c r="AD74" s="71"/>
      <c r="AE74" s="72"/>
      <c r="AF74" s="342"/>
      <c r="AG74" s="71"/>
      <c r="AH74" s="72"/>
      <c r="AI74" s="342"/>
      <c r="AJ74" s="71"/>
      <c r="AK74" s="72"/>
      <c r="AL74" s="73"/>
      <c r="AM74" s="301">
        <f t="shared" si="3"/>
        <v>0</v>
      </c>
      <c r="AN74" s="72"/>
      <c r="AO74" s="831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28" t="s">
        <v>66</v>
      </c>
      <c r="C75" s="273"/>
      <c r="D75" s="134"/>
      <c r="E75" s="428"/>
      <c r="F75" s="273"/>
      <c r="G75" s="134"/>
      <c r="H75" s="428"/>
      <c r="I75" s="273"/>
      <c r="J75" s="134"/>
      <c r="K75" s="428"/>
      <c r="L75" s="273"/>
      <c r="M75" s="134"/>
      <c r="N75" s="428"/>
      <c r="O75" s="273"/>
      <c r="P75" s="134"/>
      <c r="Q75" s="428"/>
      <c r="R75" s="273"/>
      <c r="S75" s="134"/>
      <c r="T75" s="428"/>
      <c r="U75" s="273"/>
      <c r="V75" s="134"/>
      <c r="W75" s="428"/>
      <c r="X75" s="273"/>
      <c r="Y75" s="134"/>
      <c r="Z75" s="428"/>
      <c r="AA75" s="273"/>
      <c r="AB75" s="134"/>
      <c r="AC75" s="428"/>
      <c r="AD75" s="273"/>
      <c r="AE75" s="134"/>
      <c r="AF75" s="428"/>
      <c r="AG75" s="273"/>
      <c r="AH75" s="134"/>
      <c r="AI75" s="428"/>
      <c r="AJ75" s="273"/>
      <c r="AK75" s="134"/>
      <c r="AL75" s="135"/>
      <c r="AM75" s="429">
        <f t="shared" si="3"/>
        <v>0</v>
      </c>
      <c r="AN75" s="134"/>
      <c r="AO75" s="829"/>
    </row>
    <row r="76" spans="1:59" ht="15" hidden="1" customHeight="1" x14ac:dyDescent="0.2">
      <c r="B76" s="36" t="s">
        <v>68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0</v>
      </c>
      <c r="AN76" s="67"/>
      <c r="AO76" s="320"/>
    </row>
    <row r="77" spans="1:59" ht="15" hidden="1" customHeight="1" x14ac:dyDescent="0.2">
      <c r="B77" s="66" t="s">
        <v>70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0</v>
      </c>
      <c r="AN77" s="42"/>
      <c r="AO77" s="320"/>
    </row>
    <row r="78" spans="1:59" ht="15" hidden="1" customHeight="1" x14ac:dyDescent="0.2">
      <c r="B78" s="16" t="s">
        <v>71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3"/>
        <v>0</v>
      </c>
      <c r="AN78" s="3"/>
      <c r="AO78" s="321" t="e">
        <f>AM78/(AM$13)</f>
        <v>#DIV/0!</v>
      </c>
    </row>
    <row r="79" spans="1:59" ht="15" hidden="1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3"/>
        <v>0</v>
      </c>
      <c r="AN79" s="4" t="e">
        <f>AM79/AM12</f>
        <v>#DIV/0!</v>
      </c>
      <c r="AO79" s="322"/>
      <c r="AP79" s="144"/>
    </row>
    <row r="80" spans="1:59" ht="15" hidden="1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2:41" ht="15" hidden="1" customHeight="1" thickBot="1" x14ac:dyDescent="0.25">
      <c r="B81" s="98" t="s">
        <v>212</v>
      </c>
      <c r="C81" s="269"/>
      <c r="D81" s="270"/>
      <c r="E81" s="307"/>
      <c r="F81" s="269"/>
      <c r="G81" s="214"/>
      <c r="H81" s="307"/>
      <c r="I81" s="269"/>
      <c r="J81" s="214"/>
      <c r="K81" s="307"/>
      <c r="L81" s="790"/>
      <c r="M81" s="791"/>
      <c r="N81" s="792"/>
      <c r="O81" s="790"/>
      <c r="P81" s="791"/>
      <c r="Q81" s="792"/>
      <c r="R81" s="790"/>
      <c r="S81" s="791"/>
      <c r="T81" s="792"/>
      <c r="U81" s="790"/>
      <c r="V81" s="791"/>
      <c r="W81" s="792"/>
      <c r="X81" s="790"/>
      <c r="Y81" s="791"/>
      <c r="Z81" s="792"/>
      <c r="AA81" s="790"/>
      <c r="AB81" s="791"/>
      <c r="AC81" s="792"/>
      <c r="AD81" s="790"/>
      <c r="AE81" s="791"/>
      <c r="AF81" s="792"/>
      <c r="AG81" s="790"/>
      <c r="AH81" s="791"/>
      <c r="AI81" s="792"/>
      <c r="AJ81" s="793"/>
      <c r="AK81" s="214"/>
      <c r="AL81" s="271"/>
      <c r="AM81" s="213">
        <f t="shared" si="3"/>
        <v>0</v>
      </c>
      <c r="AN81" s="214"/>
      <c r="AO81" s="323"/>
    </row>
    <row r="82" spans="2:41" ht="15" customHeight="1" thickTop="1" thickBot="1" x14ac:dyDescent="0.25">
      <c r="C82" s="2"/>
      <c r="D82" s="2"/>
      <c r="E82" s="244"/>
      <c r="F82" s="2"/>
      <c r="G82" s="2"/>
      <c r="H82" s="244"/>
      <c r="I82" s="2" t="e">
        <f>I58/I6</f>
        <v>#DIV/0!</v>
      </c>
      <c r="J82" s="2"/>
      <c r="K82" s="2"/>
      <c r="L82" s="2" t="e">
        <f>L58/L6</f>
        <v>#DIV/0!</v>
      </c>
      <c r="M82" s="2"/>
      <c r="N82" s="2"/>
      <c r="O82" s="2" t="e">
        <f>O58/O6</f>
        <v>#DIV/0!</v>
      </c>
      <c r="P82" s="2"/>
      <c r="Q82" s="2"/>
      <c r="R82" s="2" t="e">
        <f>R58/R6</f>
        <v>#DIV/0!</v>
      </c>
      <c r="S82" s="2"/>
      <c r="T82" s="2"/>
      <c r="U82" s="2" t="e">
        <f>U58/U6</f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44"/>
    </row>
    <row r="83" spans="2:41" ht="15" customHeight="1" thickTop="1" x14ac:dyDescent="0.2">
      <c r="B83" s="526" t="s">
        <v>76</v>
      </c>
      <c r="C83" s="490">
        <f>+C84+C89+C92+C96+C99+C109+C114+C120+C123+C127</f>
        <v>13550804</v>
      </c>
      <c r="D83" s="491"/>
      <c r="E83" s="492"/>
      <c r="F83" s="490">
        <f>+F84+F89+F92+F96+F99+F109+F114+F120+F123+F127</f>
        <v>20394817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4">C83+F83+I83+L83+O83+R83+U83+X83+AA83+AD83+AG83+AJ83</f>
        <v>33945621</v>
      </c>
      <c r="AN83" s="491"/>
      <c r="AO83" s="582" t="e">
        <f>AM83/(AM$13)</f>
        <v>#DIV/0!</v>
      </c>
    </row>
    <row r="84" spans="2:41" ht="15" customHeight="1" x14ac:dyDescent="0.2">
      <c r="B84" s="16" t="s">
        <v>77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4"/>
        <v>33945621</v>
      </c>
      <c r="AN84" s="3"/>
      <c r="AO84" s="321" t="e">
        <f>AM84/(AM$13)</f>
        <v>#DIV/0!</v>
      </c>
    </row>
    <row r="85" spans="2:41" ht="15" customHeight="1" x14ac:dyDescent="0.2">
      <c r="B85" s="39" t="s">
        <v>78</v>
      </c>
      <c r="C85" s="39">
        <f>'[8]Hoja 1'!$D$20</f>
        <v>13550804</v>
      </c>
      <c r="D85" s="69"/>
      <c r="E85" s="306"/>
      <c r="F85" s="25">
        <f>'[10]Hoja 1'!$D$14+'[43]Hoja 1'!$D$15</f>
        <v>20394817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0"/>
      <c r="AK85" s="69"/>
      <c r="AL85" s="70"/>
      <c r="AM85" s="209">
        <f t="shared" si="4"/>
        <v>33945621</v>
      </c>
      <c r="AN85" s="69" t="e">
        <f>AM85/$AM$6</f>
        <v>#DIV/0!</v>
      </c>
      <c r="AO85" s="324" t="e">
        <f>AM85/(AM$13)</f>
        <v>#DIV/0!</v>
      </c>
    </row>
    <row r="86" spans="2:41" ht="15" customHeight="1" x14ac:dyDescent="0.2">
      <c r="B86" s="25" t="s">
        <v>79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4"/>
        <v>0</v>
      </c>
      <c r="AN86" s="43"/>
      <c r="AO86" s="309"/>
    </row>
    <row r="87" spans="2:41" ht="15" customHeight="1" x14ac:dyDescent="0.2">
      <c r="B87" s="97" t="s">
        <v>81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4"/>
        <v>0</v>
      </c>
      <c r="AN87" s="42"/>
      <c r="AO87" s="315"/>
    </row>
    <row r="88" spans="2:41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4"/>
        <v>0</v>
      </c>
      <c r="AN88" s="84"/>
      <c r="AO88" s="310"/>
    </row>
    <row r="89" spans="2:41" ht="15" hidden="1" customHeight="1" x14ac:dyDescent="0.2">
      <c r="B89" s="16" t="s">
        <v>84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1" t="e">
        <f>AM89/(AM$13)</f>
        <v>#DIV/0!</v>
      </c>
    </row>
    <row r="90" spans="2:41" ht="15" hidden="1" customHeight="1" outlineLevel="1" x14ac:dyDescent="0.2">
      <c r="B90" s="39" t="s">
        <v>85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4"/>
        <v>0</v>
      </c>
      <c r="AN90" s="69"/>
      <c r="AO90" s="324"/>
    </row>
    <row r="91" spans="2:41" ht="15" hidden="1" customHeight="1" outlineLevel="1" x14ac:dyDescent="0.2">
      <c r="B91" s="83" t="s">
        <v>86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4"/>
        <v>0</v>
      </c>
      <c r="AN91" s="84"/>
      <c r="AO91" s="310"/>
    </row>
    <row r="92" spans="2:41" ht="15" hidden="1" customHeight="1" collapsed="1" x14ac:dyDescent="0.2">
      <c r="B92" s="16" t="s">
        <v>87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1" t="e">
        <f>AM92/(AM$13)</f>
        <v>#DIV/0!</v>
      </c>
    </row>
    <row r="93" spans="2:41" ht="15" hidden="1" customHeight="1" outlineLevel="1" x14ac:dyDescent="0.2">
      <c r="B93" s="39" t="s">
        <v>88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4"/>
        <v>0</v>
      </c>
      <c r="AN93" s="69"/>
      <c r="AO93" s="324"/>
    </row>
    <row r="94" spans="2:41" ht="15" hidden="1" customHeight="1" outlineLevel="1" x14ac:dyDescent="0.2">
      <c r="B94" s="25" t="s">
        <v>89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4"/>
        <v>0</v>
      </c>
      <c r="AN94" s="43"/>
      <c r="AO94" s="309"/>
    </row>
    <row r="95" spans="2:41" ht="15" hidden="1" customHeight="1" outlineLevel="1" x14ac:dyDescent="0.2">
      <c r="B95" s="28" t="s">
        <v>90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5"/>
    </row>
    <row r="96" spans="2:41" ht="15" hidden="1" customHeight="1" collapsed="1" x14ac:dyDescent="0.2">
      <c r="B96" s="106" t="s">
        <v>91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1" t="e">
        <f>AM96/(AM$13)</f>
        <v>#DIV/0!</v>
      </c>
    </row>
    <row r="97" spans="1:41" s="108" customFormat="1" ht="15" hidden="1" customHeight="1" outlineLevel="1" x14ac:dyDescent="0.2">
      <c r="A97" s="229" t="s">
        <v>400</v>
      </c>
      <c r="B97" s="39" t="s">
        <v>92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4"/>
        <v>0</v>
      </c>
      <c r="AN97" s="69"/>
      <c r="AO97" s="324"/>
    </row>
    <row r="98" spans="1:41" s="108" customFormat="1" ht="15" hidden="1" customHeight="1" outlineLevel="1" x14ac:dyDescent="0.2">
      <c r="A98" s="229" t="s">
        <v>401</v>
      </c>
      <c r="B98" s="275" t="s">
        <v>379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4"/>
        <v>0</v>
      </c>
      <c r="AN98" s="276"/>
      <c r="AO98" s="326"/>
    </row>
    <row r="99" spans="1:41" ht="15" hidden="1" customHeight="1" collapsed="1" x14ac:dyDescent="0.2">
      <c r="B99" s="16" t="s">
        <v>94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1" t="e">
        <f>AM99/(AM$13)</f>
        <v>#DIV/0!</v>
      </c>
    </row>
    <row r="100" spans="1:41" ht="15" hidden="1" customHeight="1" outlineLevel="1" x14ac:dyDescent="0.2">
      <c r="B100" s="39" t="s">
        <v>95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4"/>
        <v>0</v>
      </c>
      <c r="AN100" s="69"/>
      <c r="AO100" s="324"/>
    </row>
    <row r="101" spans="1:41" ht="15" hidden="1" customHeight="1" outlineLevel="1" x14ac:dyDescent="0.2">
      <c r="B101" s="25" t="s">
        <v>212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0</v>
      </c>
      <c r="AN101" s="43"/>
      <c r="AO101" s="309"/>
    </row>
    <row r="102" spans="1:41" ht="15" hidden="1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0</v>
      </c>
      <c r="AN102" s="43"/>
      <c r="AO102" s="309"/>
    </row>
    <row r="103" spans="1:41" ht="15" hidden="1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0</v>
      </c>
      <c r="AN103" s="43"/>
      <c r="AO103" s="309"/>
    </row>
    <row r="104" spans="1:41" ht="15" hidden="1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0</v>
      </c>
      <c r="AN104" s="43"/>
      <c r="AO104" s="309"/>
    </row>
    <row r="105" spans="1:41" ht="15" hidden="1" customHeight="1" outlineLevel="1" x14ac:dyDescent="0.2">
      <c r="B105" s="24" t="s">
        <v>103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4"/>
        <v>0</v>
      </c>
      <c r="AN105" s="43"/>
      <c r="AO105" s="309"/>
    </row>
    <row r="106" spans="1:41" ht="15" hidden="1" customHeight="1" outlineLevel="1" x14ac:dyDescent="0.2">
      <c r="B106" s="24" t="s">
        <v>104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0</v>
      </c>
      <c r="AN106" s="43"/>
      <c r="AO106" s="309"/>
    </row>
    <row r="107" spans="1:41" ht="15" hidden="1" customHeight="1" outlineLevel="1" x14ac:dyDescent="0.2">
      <c r="B107" s="24" t="s">
        <v>105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4"/>
        <v>0</v>
      </c>
      <c r="AN107" s="43"/>
      <c r="AO107" s="309"/>
    </row>
    <row r="108" spans="1:41" ht="15" hidden="1" customHeight="1" outlineLevel="1" x14ac:dyDescent="0.2">
      <c r="B108" s="99" t="s">
        <v>106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5"/>
    </row>
    <row r="109" spans="1:41" ht="15" hidden="1" customHeight="1" collapsed="1" x14ac:dyDescent="0.2">
      <c r="B109" s="16" t="s">
        <v>107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1" t="e">
        <f>AM109/(AM$13)</f>
        <v>#DIV/0!</v>
      </c>
    </row>
    <row r="110" spans="1:41" ht="15" hidden="1" customHeight="1" outlineLevel="1" x14ac:dyDescent="0.2">
      <c r="A110" s="226" t="s">
        <v>402</v>
      </c>
      <c r="B110" s="39" t="s">
        <v>108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4"/>
        <v>0</v>
      </c>
      <c r="AN110" s="69"/>
      <c r="AO110" s="324"/>
    </row>
    <row r="111" spans="1:41" ht="15" hidden="1" customHeight="1" outlineLevel="1" x14ac:dyDescent="0.2">
      <c r="A111" s="226" t="s">
        <v>403</v>
      </c>
      <c r="B111" s="25" t="s">
        <v>109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0</v>
      </c>
      <c r="AN111" s="43"/>
      <c r="AO111" s="309"/>
    </row>
    <row r="112" spans="1:41" ht="15" hidden="1" customHeight="1" outlineLevel="1" x14ac:dyDescent="0.2">
      <c r="A112" s="226" t="s">
        <v>404</v>
      </c>
      <c r="B112" s="25" t="s">
        <v>110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4"/>
        <v>0</v>
      </c>
      <c r="AN112" s="43"/>
      <c r="AO112" s="309"/>
    </row>
    <row r="113" spans="1:41" ht="15" hidden="1" customHeight="1" outlineLevel="1" x14ac:dyDescent="0.2">
      <c r="A113" s="226" t="s">
        <v>405</v>
      </c>
      <c r="B113" s="28" t="s">
        <v>111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5"/>
    </row>
    <row r="114" spans="1:41" ht="15" hidden="1" customHeight="1" collapsed="1" x14ac:dyDescent="0.2">
      <c r="B114" s="16" t="s">
        <v>112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1" t="e">
        <f>AM114/(AM$13)</f>
        <v>#DIV/0!</v>
      </c>
    </row>
    <row r="115" spans="1:41" ht="15" hidden="1" customHeight="1" outlineLevel="1" x14ac:dyDescent="0.2">
      <c r="A115" s="226" t="s">
        <v>406</v>
      </c>
      <c r="B115" s="39" t="s">
        <v>113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5">C115+F115+I115+L115+O115+R115+U115+X115+AA115+AD115+AG115+AJ115</f>
        <v>0</v>
      </c>
      <c r="AN115" s="69"/>
      <c r="AO115" s="324"/>
    </row>
    <row r="116" spans="1:41" ht="15" hidden="1" customHeight="1" outlineLevel="1" x14ac:dyDescent="0.2">
      <c r="A116" s="226" t="s">
        <v>407</v>
      </c>
      <c r="B116" s="25" t="s">
        <v>114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5"/>
        <v>0</v>
      </c>
      <c r="AN116" s="43"/>
      <c r="AO116" s="309"/>
    </row>
    <row r="117" spans="1:41" ht="15" hidden="1" customHeight="1" outlineLevel="1" x14ac:dyDescent="0.2">
      <c r="A117" s="226" t="s">
        <v>380</v>
      </c>
      <c r="B117" s="205" t="s">
        <v>115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5"/>
        <v>0</v>
      </c>
      <c r="AN117" s="43"/>
      <c r="AO117" s="309"/>
    </row>
    <row r="118" spans="1:41" ht="15" hidden="1" customHeight="1" outlineLevel="1" x14ac:dyDescent="0.2">
      <c r="A118" s="226" t="s">
        <v>408</v>
      </c>
      <c r="B118" s="205" t="s">
        <v>116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5"/>
        <v>0</v>
      </c>
      <c r="AN118" s="43"/>
      <c r="AO118" s="309"/>
    </row>
    <row r="119" spans="1:41" ht="15" hidden="1" customHeight="1" outlineLevel="1" x14ac:dyDescent="0.2">
      <c r="A119" s="226" t="s">
        <v>409</v>
      </c>
      <c r="B119" s="97" t="s">
        <v>117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0</v>
      </c>
      <c r="AN119" s="42"/>
      <c r="AO119" s="315"/>
    </row>
    <row r="120" spans="1:41" ht="15" hidden="1" customHeight="1" collapsed="1" x14ac:dyDescent="0.2">
      <c r="B120" s="16" t="s">
        <v>118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0</v>
      </c>
      <c r="AN120" s="3"/>
      <c r="AO120" s="321" t="e">
        <f>AM120/(AM$13)</f>
        <v>#DIV/0!</v>
      </c>
    </row>
    <row r="121" spans="1:41" ht="15" hidden="1" customHeight="1" x14ac:dyDescent="0.2">
      <c r="A121" s="226" t="s">
        <v>410</v>
      </c>
      <c r="B121" s="39" t="s">
        <v>119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5"/>
        <v>0</v>
      </c>
      <c r="AN121" s="69"/>
      <c r="AO121" s="324"/>
    </row>
    <row r="122" spans="1:41" ht="15" hidden="1" customHeight="1" x14ac:dyDescent="0.2">
      <c r="A122" s="226" t="s">
        <v>411</v>
      </c>
      <c r="B122" s="284" t="s">
        <v>120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5"/>
        <v>0</v>
      </c>
      <c r="AN122" s="92"/>
      <c r="AO122" s="327"/>
    </row>
    <row r="123" spans="1:41" ht="15" hidden="1" customHeight="1" x14ac:dyDescent="0.2">
      <c r="B123" s="16" t="s">
        <v>121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0</v>
      </c>
      <c r="AN123" s="3"/>
      <c r="AO123" s="321" t="e">
        <f>AM123/(AM$13)</f>
        <v>#DIV/0!</v>
      </c>
    </row>
    <row r="124" spans="1:41" ht="15" hidden="1" customHeight="1" outlineLevel="1" x14ac:dyDescent="0.2">
      <c r="A124" s="226" t="s">
        <v>412</v>
      </c>
      <c r="B124" s="39" t="s">
        <v>122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5"/>
        <v>0</v>
      </c>
      <c r="AN124" s="69"/>
      <c r="AO124" s="324"/>
    </row>
    <row r="125" spans="1:41" ht="15" hidden="1" customHeight="1" outlineLevel="1" x14ac:dyDescent="0.2">
      <c r="A125" s="226" t="s">
        <v>413</v>
      </c>
      <c r="B125" s="25" t="s">
        <v>123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5"/>
        <v>0</v>
      </c>
      <c r="AN125" s="43"/>
      <c r="AO125" s="309"/>
    </row>
    <row r="126" spans="1:41" ht="15" hidden="1" customHeight="1" outlineLevel="1" x14ac:dyDescent="0.2">
      <c r="A126" s="226" t="s">
        <v>414</v>
      </c>
      <c r="B126" s="28" t="s">
        <v>124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0</v>
      </c>
      <c r="AN126" s="45"/>
      <c r="AO126" s="325"/>
    </row>
    <row r="127" spans="1:41" ht="15" hidden="1" customHeight="1" collapsed="1" x14ac:dyDescent="0.2">
      <c r="B127" s="16" t="s">
        <v>125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0</v>
      </c>
      <c r="AN127" s="3"/>
      <c r="AO127" s="321" t="e">
        <f>AM127/(AM$13)</f>
        <v>#DIV/0!</v>
      </c>
    </row>
    <row r="128" spans="1:41" ht="15" hidden="1" customHeight="1" outlineLevel="1" x14ac:dyDescent="0.2">
      <c r="A128" s="226" t="s">
        <v>415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5"/>
        <v>0</v>
      </c>
      <c r="AN128" s="42"/>
      <c r="AO128" s="328"/>
    </row>
    <row r="129" spans="1:41" ht="15" hidden="1" customHeight="1" outlineLevel="1" x14ac:dyDescent="0.2">
      <c r="A129" s="226" t="s">
        <v>416</v>
      </c>
      <c r="B129" s="25" t="s">
        <v>129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5"/>
        <v>0</v>
      </c>
      <c r="AN129" s="43"/>
      <c r="AO129" s="329"/>
    </row>
    <row r="130" spans="1:41" ht="15" hidden="1" customHeight="1" outlineLevel="1" x14ac:dyDescent="0.2">
      <c r="A130" s="226" t="s">
        <v>417</v>
      </c>
      <c r="B130" s="25" t="s">
        <v>131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0</v>
      </c>
      <c r="AN130" s="43"/>
      <c r="AO130" s="329"/>
    </row>
    <row r="131" spans="1:41" ht="15" hidden="1" customHeight="1" outlineLevel="1" x14ac:dyDescent="0.2">
      <c r="A131" s="226" t="s">
        <v>132</v>
      </c>
      <c r="B131" s="25" t="s">
        <v>133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0</v>
      </c>
      <c r="AN131" s="43"/>
      <c r="AO131" s="329"/>
    </row>
    <row r="132" spans="1:41" ht="15" hidden="1" customHeight="1" outlineLevel="1" x14ac:dyDescent="0.2">
      <c r="A132" s="226" t="s">
        <v>418</v>
      </c>
      <c r="B132" s="25" t="s">
        <v>134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0</v>
      </c>
      <c r="AN132" s="43"/>
      <c r="AO132" s="309"/>
    </row>
    <row r="133" spans="1:41" ht="15" hidden="1" customHeight="1" outlineLevel="1" x14ac:dyDescent="0.2">
      <c r="A133" s="226" t="s">
        <v>135</v>
      </c>
      <c r="B133" s="25" t="s">
        <v>136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0</v>
      </c>
      <c r="AN133" s="43"/>
      <c r="AO133" s="309"/>
    </row>
    <row r="134" spans="1:41" ht="15" hidden="1" customHeight="1" outlineLevel="1" x14ac:dyDescent="0.2">
      <c r="A134" s="226" t="s">
        <v>137</v>
      </c>
      <c r="B134" s="25" t="s">
        <v>138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0</v>
      </c>
      <c r="AN134" s="43"/>
      <c r="AO134" s="309"/>
    </row>
    <row r="135" spans="1:41" ht="15" hidden="1" customHeight="1" outlineLevel="1" x14ac:dyDescent="0.2">
      <c r="A135" s="226" t="s">
        <v>419</v>
      </c>
      <c r="B135" s="25" t="s">
        <v>139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0</v>
      </c>
      <c r="AN135" s="43"/>
      <c r="AO135" s="309"/>
    </row>
    <row r="136" spans="1:41" ht="15" hidden="1" customHeight="1" outlineLevel="1" x14ac:dyDescent="0.2">
      <c r="A136" s="226" t="s">
        <v>420</v>
      </c>
      <c r="B136" s="25" t="s">
        <v>140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0</v>
      </c>
      <c r="AN136" s="43"/>
      <c r="AO136" s="309"/>
    </row>
    <row r="137" spans="1:41" ht="15" hidden="1" customHeight="1" outlineLevel="1" x14ac:dyDescent="0.2">
      <c r="A137" s="226" t="s">
        <v>326</v>
      </c>
      <c r="B137" s="25" t="s">
        <v>141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0</v>
      </c>
      <c r="AN137" s="43"/>
      <c r="AO137" s="309"/>
    </row>
    <row r="138" spans="1:41" ht="15" hidden="1" customHeight="1" outlineLevel="1" x14ac:dyDescent="0.2">
      <c r="B138" s="25" t="s">
        <v>142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5"/>
        <v>0</v>
      </c>
      <c r="AN138" s="43"/>
      <c r="AO138" s="309"/>
    </row>
    <row r="139" spans="1:41" ht="15" hidden="1" customHeight="1" outlineLevel="1" x14ac:dyDescent="0.2">
      <c r="B139" s="25" t="s">
        <v>143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5"/>
        <v>0</v>
      </c>
      <c r="AN139" s="43"/>
      <c r="AO139" s="309"/>
    </row>
    <row r="140" spans="1:41" ht="15" hidden="1" customHeight="1" outlineLevel="1" x14ac:dyDescent="0.2">
      <c r="B140" s="25" t="s">
        <v>145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5"/>
        <v>0</v>
      </c>
      <c r="AN140" s="43"/>
      <c r="AO140" s="309"/>
    </row>
    <row r="141" spans="1:41" ht="15" hidden="1" customHeight="1" outlineLevel="1" x14ac:dyDescent="0.2">
      <c r="B141" s="25" t="s">
        <v>146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5"/>
        <v>0</v>
      </c>
      <c r="AN141" s="43"/>
      <c r="AO141" s="309"/>
    </row>
    <row r="142" spans="1:41" ht="15" hidden="1" customHeight="1" outlineLevel="1" thickBot="1" x14ac:dyDescent="0.25">
      <c r="A142" s="226" t="s">
        <v>421</v>
      </c>
      <c r="B142" s="269" t="s">
        <v>148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5"/>
        <v>0</v>
      </c>
      <c r="AN142" s="214"/>
      <c r="AO142" s="330"/>
    </row>
    <row r="143" spans="1:41" ht="15" customHeight="1" collapsed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149</v>
      </c>
      <c r="C144" s="493">
        <f>+C42-C44-C83</f>
        <v>-941103065.69607747</v>
      </c>
      <c r="D144" s="494"/>
      <c r="E144" s="495"/>
      <c r="F144" s="493">
        <f>+F42-F44-F83</f>
        <v>-956627678.77454615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-1897730744.4706235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150</v>
      </c>
      <c r="C147" s="490">
        <f>SUM(C148:C151)</f>
        <v>4642111.6305</v>
      </c>
      <c r="D147" s="491"/>
      <c r="E147" s="492"/>
      <c r="F147" s="490">
        <f>SUM(F148:F151)</f>
        <v>5752137.2370000007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10394248.8675</v>
      </c>
      <c r="AN147" s="491" t="e">
        <f>AM147/$AM$6</f>
        <v>#DIV/0!</v>
      </c>
      <c r="AO147" s="580" t="e">
        <f>AM147/(AM$13)</f>
        <v>#DIV/0!</v>
      </c>
    </row>
    <row r="148" spans="2:42" ht="15" customHeight="1" x14ac:dyDescent="0.2">
      <c r="B148" s="18" t="s">
        <v>151</v>
      </c>
      <c r="C148" s="39">
        <f>'GASTOS ADMINISTRATIVOS'!C96*'%DIST'!B45</f>
        <v>4642111.6305</v>
      </c>
      <c r="D148" s="69"/>
      <c r="E148" s="306"/>
      <c r="F148" s="39">
        <f>'GASTOS ADMINISTRATIVOS'!D96*'%DIST'!D45</f>
        <v>5752137.2370000007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10394248.8675</v>
      </c>
      <c r="AN148" s="69"/>
      <c r="AO148" s="324" t="e">
        <f>AM148/(AM$13)</f>
        <v>#DIV/0!</v>
      </c>
    </row>
    <row r="149" spans="2:42" ht="15" customHeight="1" x14ac:dyDescent="0.2">
      <c r="B149" s="285" t="s">
        <v>152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</row>
    <row r="150" spans="2:42" ht="15" customHeight="1" x14ac:dyDescent="0.2">
      <c r="B150" s="107" t="s">
        <v>153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</row>
    <row r="151" spans="2:42" ht="15" customHeight="1" thickBot="1" x14ac:dyDescent="0.25">
      <c r="B151" s="300" t="s">
        <v>154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hidden="1" customHeight="1" thickTop="1" thickBot="1" x14ac:dyDescent="0.25">
      <c r="B153" s="524" t="s">
        <v>155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6">C153+F153+I153+L153+O153+R153+U153+X153+AA153+AD153+AG153+AJ153</f>
        <v>0</v>
      </c>
      <c r="AN153" s="498"/>
      <c r="AO153" s="586" t="e">
        <f>AM153/(AM$13)</f>
        <v>#DIV/0!</v>
      </c>
    </row>
    <row r="154" spans="2:42" ht="15" hidden="1" customHeight="1" thickTop="1" x14ac:dyDescent="0.2">
      <c r="B154" s="40" t="s">
        <v>156</v>
      </c>
      <c r="C154" s="286"/>
      <c r="D154" s="230"/>
      <c r="E154" s="343"/>
      <c r="F154" s="286"/>
      <c r="G154" s="230"/>
      <c r="H154" s="343"/>
      <c r="I154" s="287"/>
      <c r="J154" s="230"/>
      <c r="K154" s="343"/>
      <c r="L154" s="287"/>
      <c r="M154" s="230"/>
      <c r="N154" s="343"/>
      <c r="O154" s="231"/>
      <c r="P154" s="230"/>
      <c r="Q154" s="343"/>
      <c r="R154" s="231"/>
      <c r="S154" s="230"/>
      <c r="T154" s="343"/>
      <c r="U154" s="287"/>
      <c r="V154" s="230"/>
      <c r="W154" s="343"/>
      <c r="X154" s="287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6"/>
        <v>0</v>
      </c>
      <c r="AN154" s="230"/>
      <c r="AO154" s="332"/>
      <c r="AP154" s="630"/>
    </row>
    <row r="155" spans="2:42" ht="15" hidden="1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565"/>
      <c r="J155" s="9"/>
      <c r="K155" s="566"/>
      <c r="L155" s="565"/>
      <c r="M155" s="9"/>
      <c r="N155" s="566"/>
      <c r="O155" s="565"/>
      <c r="P155" s="9"/>
      <c r="Q155" s="566"/>
      <c r="R155" s="565"/>
      <c r="S155" s="9"/>
      <c r="T155" s="566"/>
      <c r="U155" s="565"/>
      <c r="V155" s="9"/>
      <c r="W155" s="566"/>
      <c r="X155" s="565"/>
      <c r="Y155" s="9"/>
      <c r="Z155" s="566"/>
      <c r="AA155" s="565"/>
      <c r="AB155" s="9"/>
      <c r="AC155" s="566"/>
      <c r="AD155" s="565"/>
      <c r="AE155" s="9"/>
      <c r="AF155" s="566"/>
      <c r="AG155" s="565"/>
      <c r="AH155" s="9"/>
      <c r="AI155" s="566"/>
      <c r="AJ155" s="565"/>
      <c r="AK155" s="9"/>
      <c r="AL155" s="240"/>
      <c r="AM155" s="565">
        <f t="shared" si="6"/>
        <v>0</v>
      </c>
      <c r="AN155" s="9" t="e">
        <f>AM155/AM12</f>
        <v>#DIV/0!</v>
      </c>
      <c r="AO155" s="690"/>
      <c r="AP155" s="707"/>
    </row>
    <row r="156" spans="2:42" ht="15" hidden="1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0"/>
      <c r="J156" s="675"/>
      <c r="K156" s="676"/>
      <c r="L156" s="680"/>
      <c r="M156" s="675"/>
      <c r="N156" s="676"/>
      <c r="O156" s="680"/>
      <c r="P156" s="675"/>
      <c r="Q156" s="676"/>
      <c r="R156" s="680"/>
      <c r="S156" s="675"/>
      <c r="T156" s="676"/>
      <c r="U156" s="680"/>
      <c r="V156" s="675"/>
      <c r="W156" s="676"/>
      <c r="X156" s="680"/>
      <c r="Y156" s="675"/>
      <c r="Z156" s="676"/>
      <c r="AA156" s="680"/>
      <c r="AB156" s="675"/>
      <c r="AC156" s="676"/>
      <c r="AD156" s="680"/>
      <c r="AE156" s="675"/>
      <c r="AF156" s="676"/>
      <c r="AG156" s="680"/>
      <c r="AH156" s="675"/>
      <c r="AI156" s="676"/>
      <c r="AJ156" s="680"/>
      <c r="AK156" s="675"/>
      <c r="AL156" s="679"/>
      <c r="AM156" s="680">
        <f t="shared" si="6"/>
        <v>0</v>
      </c>
      <c r="AN156" s="675" t="e">
        <f>AM156/AM12</f>
        <v>#DIV/0!</v>
      </c>
      <c r="AO156" s="681"/>
      <c r="AP156" s="707"/>
    </row>
    <row r="157" spans="2:42" ht="15" hidden="1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6"/>
        <v>0</v>
      </c>
      <c r="AN157" s="551"/>
      <c r="AO157" s="557" t="e">
        <f>AM157/AM13</f>
        <v>#DIV/0!</v>
      </c>
      <c r="AP157" s="632"/>
    </row>
    <row r="158" spans="2:42" ht="15" hidden="1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13"/>
      <c r="AF158" s="344"/>
      <c r="AG158" s="232"/>
      <c r="AH158" s="13"/>
      <c r="AI158" s="344"/>
      <c r="AJ158" s="232"/>
      <c r="AK158" s="13"/>
      <c r="AL158" s="246"/>
      <c r="AM158" s="294">
        <f t="shared" si="6"/>
        <v>0</v>
      </c>
      <c r="AN158" s="13"/>
      <c r="AO158" s="333" t="e">
        <f>AM158/AM13</f>
        <v>#DIV/0!</v>
      </c>
      <c r="AP158" s="632"/>
    </row>
    <row r="159" spans="2:42" ht="15" hidden="1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13"/>
      <c r="AF159" s="344"/>
      <c r="AG159" s="232"/>
      <c r="AH159" s="13"/>
      <c r="AI159" s="344"/>
      <c r="AJ159" s="232"/>
      <c r="AK159" s="13"/>
      <c r="AL159" s="246"/>
      <c r="AM159" s="294">
        <f t="shared" si="6"/>
        <v>0</v>
      </c>
      <c r="AN159" s="13"/>
      <c r="AO159" s="333" t="e">
        <f>AM159/AM13</f>
        <v>#DIV/0!</v>
      </c>
      <c r="AP159" s="632"/>
    </row>
    <row r="160" spans="2:42" ht="15" hidden="1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6"/>
        <v>0</v>
      </c>
      <c r="AN160" s="809"/>
      <c r="AO160" s="453"/>
      <c r="AP160" s="633"/>
    </row>
    <row r="161" spans="2:41" ht="15" customHeight="1" thickTop="1" thickBot="1" x14ac:dyDescent="0.25">
      <c r="B161" s="524" t="s">
        <v>163</v>
      </c>
      <c r="C161" s="497">
        <f>C144-C147-C153</f>
        <v>-945745177.32657743</v>
      </c>
      <c r="D161" s="498"/>
      <c r="E161" s="499"/>
      <c r="F161" s="497">
        <f>F144-F147-F153</f>
        <v>-962379816.01154613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7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6"/>
        <v>-1908124993.3381236</v>
      </c>
      <c r="AN161" s="498"/>
      <c r="AO161" s="586"/>
    </row>
    <row r="162" spans="2:41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hidden="1" x14ac:dyDescent="0.2">
      <c r="C164" s="616">
        <f>C44+C83</f>
        <v>941103065.69607747</v>
      </c>
      <c r="F164" s="616">
        <f>F44+F83</f>
        <v>956627678.77454615</v>
      </c>
      <c r="L164" s="616">
        <f>L44+L83+L147</f>
        <v>0</v>
      </c>
      <c r="O164" s="616">
        <f>O44+O83</f>
        <v>0</v>
      </c>
      <c r="R164" s="616">
        <f>R44+R83</f>
        <v>0</v>
      </c>
      <c r="U164" s="616">
        <f>U44+U83</f>
        <v>0</v>
      </c>
      <c r="X164" s="616">
        <f>X44+X83</f>
        <v>0</v>
      </c>
      <c r="AA164" s="464">
        <f>AA44+AA83-AA73-AA85</f>
        <v>0</v>
      </c>
      <c r="AD164" s="464">
        <f>AD44+AD83-AD73-AD85</f>
        <v>0</v>
      </c>
      <c r="AG164" s="464">
        <f>AG44+AG83-AG73-AG85</f>
        <v>0</v>
      </c>
      <c r="AJ164" s="464">
        <f>AJ44+AJ83-AJ73-AJ85</f>
        <v>0</v>
      </c>
    </row>
    <row r="165" spans="2:41" x14ac:dyDescent="0.2">
      <c r="L165" s="616">
        <v>569714340.77999997</v>
      </c>
      <c r="O165" s="616">
        <v>866604637.32000005</v>
      </c>
      <c r="R165" s="616">
        <v>777933614.04999995</v>
      </c>
      <c r="U165" s="616">
        <v>937031600.52999997</v>
      </c>
      <c r="X165" s="616">
        <v>1447577388.22</v>
      </c>
      <c r="AA165" s="464">
        <v>1217442425.6300001</v>
      </c>
      <c r="AG165" s="464">
        <v>366076117.29000002</v>
      </c>
      <c r="AJ165" s="464"/>
    </row>
    <row r="166" spans="2:41" x14ac:dyDescent="0.2">
      <c r="L166" s="616">
        <f>L164-L165</f>
        <v>-569714340.77999997</v>
      </c>
      <c r="O166" s="616">
        <f>O164-O165</f>
        <v>-866604637.32000005</v>
      </c>
      <c r="R166" s="616">
        <f>R164-R165</f>
        <v>-777933614.04999995</v>
      </c>
      <c r="U166" s="616">
        <f>U164-U165</f>
        <v>-937031600.52999997</v>
      </c>
      <c r="X166" s="616">
        <f>X164-X165</f>
        <v>-1447577388.22</v>
      </c>
      <c r="AA166" s="464">
        <f>AA164-AA165</f>
        <v>-1217442425.6300001</v>
      </c>
      <c r="AB166" s="235" t="s">
        <v>509</v>
      </c>
      <c r="AG166" s="464">
        <f>AG164-AG165</f>
        <v>-366076117.29000002</v>
      </c>
      <c r="AJ166" s="464">
        <f>AJ164-AJ165</f>
        <v>0</v>
      </c>
    </row>
    <row r="216" spans="39:39" x14ac:dyDescent="0.2">
      <c r="AM216" s="235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6"/>
  <dimension ref="A2:BI170"/>
  <sheetViews>
    <sheetView zoomScaleNormal="100" workbookViewId="0">
      <pane xSplit="2" ySplit="13" topLeftCell="C138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64" width="11.44140625" style="2" customWidth="1"/>
    <col min="65" max="16384" width="11.44140625" style="2"/>
  </cols>
  <sheetData>
    <row r="2" spans="1:41" ht="24.9" customHeight="1" thickBot="1" x14ac:dyDescent="0.35">
      <c r="B2" s="236" t="s">
        <v>0</v>
      </c>
      <c r="C2" s="1027" t="s">
        <v>510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</row>
    <row r="3" spans="1:41" ht="21.75" customHeight="1" thickTop="1" thickBot="1" x14ac:dyDescent="0.25">
      <c r="B3" s="522" t="s">
        <v>2</v>
      </c>
      <c r="C3" s="535">
        <v>10</v>
      </c>
      <c r="D3" s="479"/>
      <c r="E3" s="480"/>
      <c r="F3" s="535">
        <v>20</v>
      </c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230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471</v>
      </c>
      <c r="C5" s="257">
        <v>22050</v>
      </c>
      <c r="D5" s="89"/>
      <c r="E5" s="303"/>
      <c r="F5" s="257">
        <v>21565</v>
      </c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43615</v>
      </c>
      <c r="AN5" s="89"/>
      <c r="AO5" s="308">
        <f>AM5/AM12</f>
        <v>0.956469298245614</v>
      </c>
    </row>
    <row r="6" spans="1:41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>
        <f>AM6/AM12</f>
        <v>0</v>
      </c>
    </row>
    <row r="7" spans="1:41" s="223" customFormat="1" ht="15" customHeight="1" x14ac:dyDescent="0.2">
      <c r="A7" s="228"/>
      <c r="B7" s="258" t="s">
        <v>511</v>
      </c>
      <c r="C7" s="25">
        <v>750</v>
      </c>
      <c r="D7" s="43"/>
      <c r="E7" s="118"/>
      <c r="F7" s="25">
        <v>1235</v>
      </c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1985</v>
      </c>
      <c r="AN7" s="43"/>
      <c r="AO7" s="309">
        <f>AM7/AM12</f>
        <v>4.3530701754385961E-2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45600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>
        <f>AM16/AM5</f>
        <v>0</v>
      </c>
      <c r="AO16" s="314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 t="e">
        <f>I17/I5</f>
        <v>#DIV/0!</v>
      </c>
      <c r="K17" s="118"/>
      <c r="L17" s="25"/>
      <c r="M17" s="43" t="e">
        <f>L17/L5</f>
        <v>#DIV/0!</v>
      </c>
      <c r="N17" s="118"/>
      <c r="O17" s="25"/>
      <c r="P17" s="43" t="e">
        <f>O17/O5</f>
        <v>#DIV/0!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5">
        <f t="shared" si="0"/>
        <v>0</v>
      </c>
      <c r="AN17" s="43">
        <f>AM17/AM5</f>
        <v>0</v>
      </c>
      <c r="AO17" s="309"/>
    </row>
    <row r="18" spans="1:41" ht="15" customHeight="1" x14ac:dyDescent="0.2">
      <c r="B18" s="104" t="s">
        <v>512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104" t="s">
        <v>502</v>
      </c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30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31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32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33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35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thickBot="1" x14ac:dyDescent="0.25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thickBot="1" x14ac:dyDescent="0.25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46</v>
      </c>
      <c r="C44" s="490">
        <f>+C45+C60+C78</f>
        <v>55739477.530000001</v>
      </c>
      <c r="D44" s="491"/>
      <c r="E44" s="580" t="e">
        <f>C44/C$13</f>
        <v>#DIV/0!</v>
      </c>
      <c r="F44" s="490">
        <f>+F45+F60+F78</f>
        <v>54297896.620000005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110037374.15000001</v>
      </c>
      <c r="AN44" s="491"/>
      <c r="AO44" s="580" t="e">
        <f>AM44/AM$13</f>
        <v>#DIV/0!</v>
      </c>
    </row>
    <row r="45" spans="2:41" ht="15" customHeight="1" x14ac:dyDescent="0.2">
      <c r="B45" s="16" t="s">
        <v>47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104952248.02000001</v>
      </c>
      <c r="AN45" s="3"/>
      <c r="AO45" s="313"/>
    </row>
    <row r="46" spans="2:41" ht="15" customHeight="1" x14ac:dyDescent="0.2">
      <c r="B46" s="36" t="s">
        <v>370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104952248.02000001</v>
      </c>
      <c r="AN46" s="67"/>
      <c r="AO46" s="318"/>
    </row>
    <row r="47" spans="2:41" ht="15" customHeight="1" x14ac:dyDescent="0.2">
      <c r="B47" s="97" t="s">
        <v>471</v>
      </c>
      <c r="C47" s="962">
        <f>'[1]Hoja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'[57]Hoja 1'!$G$29+'[2]Hoja 1'!$D$23</f>
        <v>51153464.590000004</v>
      </c>
      <c r="G47" s="42">
        <f>F47/F5</f>
        <v>2372.0595682819385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104952248.02000001</v>
      </c>
      <c r="AN47" s="42">
        <f>AM47/$AM$5</f>
        <v>2406.3337847070966</v>
      </c>
      <c r="AO47" s="315" t="e">
        <f>AM47/AM16</f>
        <v>#DIV/0!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>
        <f>AM57/AM12</f>
        <v>0</v>
      </c>
      <c r="AO57" s="311" t="e">
        <f>AM57/AM13</f>
        <v>#DIV/0!</v>
      </c>
    </row>
    <row r="58" spans="1:41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</row>
    <row r="59" spans="1:41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</row>
    <row r="60" spans="1:41" ht="15" customHeight="1" x14ac:dyDescent="0.2">
      <c r="B60" s="16" t="s">
        <v>54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5085126.1300000008</v>
      </c>
      <c r="AN60" s="3"/>
      <c r="AO60" s="313"/>
    </row>
    <row r="61" spans="1:41" ht="15" hidden="1" customHeight="1" x14ac:dyDescent="0.2">
      <c r="B61" s="36" t="s">
        <v>370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</row>
    <row r="70" spans="2:42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</row>
    <row r="71" spans="2:42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2:42" ht="15" customHeight="1" x14ac:dyDescent="0.2">
      <c r="B72" s="36" t="s">
        <v>473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7">
        <f t="shared" si="5"/>
        <v>5049526.1300000008</v>
      </c>
      <c r="AN72" s="47">
        <f>AM72/AM12</f>
        <v>110.73522214912282</v>
      </c>
      <c r="AO72" s="152" t="e">
        <f>AM72/AM13</f>
        <v>#DIV/0!</v>
      </c>
    </row>
    <row r="73" spans="2:42" ht="15" customHeight="1" x14ac:dyDescent="0.2">
      <c r="B73" s="411" t="s">
        <v>63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/>
      <c r="J73" s="79"/>
      <c r="K73" s="147"/>
      <c r="L73" s="78"/>
      <c r="M73" s="79"/>
      <c r="N73" s="147"/>
      <c r="O73" s="78"/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2">
        <f t="shared" si="5"/>
        <v>2146747.13</v>
      </c>
      <c r="AN73" s="79"/>
      <c r="AO73" s="638"/>
    </row>
    <row r="74" spans="2:42" ht="15" customHeight="1" x14ac:dyDescent="0.2">
      <c r="B74" s="415" t="s">
        <v>65</v>
      </c>
      <c r="C74" s="273">
        <f>'[6]Hoja 1'!$C$381</f>
        <v>645062</v>
      </c>
      <c r="D74" s="134"/>
      <c r="E74" s="428"/>
      <c r="F74" s="273">
        <f>'[4]Hoja 1'!$C$378</f>
        <v>2257717</v>
      </c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134"/>
      <c r="AL74" s="135"/>
      <c r="AM74" s="429">
        <f t="shared" si="5"/>
        <v>2902779</v>
      </c>
      <c r="AN74" s="134"/>
      <c r="AO74" s="637"/>
      <c r="AP74" s="758"/>
    </row>
    <row r="75" spans="2:42" ht="15" customHeight="1" x14ac:dyDescent="0.2">
      <c r="B75" s="36" t="s">
        <v>66</v>
      </c>
      <c r="C75" s="37"/>
      <c r="D75" s="67"/>
      <c r="E75" s="149"/>
      <c r="F75" s="37">
        <f>'[4]Hoja 1'!$C$381</f>
        <v>35600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35600</v>
      </c>
      <c r="AN75" s="67"/>
      <c r="AO75" s="318" t="e">
        <f>AM75/AM$13</f>
        <v>#DIV/0!</v>
      </c>
    </row>
    <row r="76" spans="2:42" ht="15" customHeight="1" x14ac:dyDescent="0.2">
      <c r="B76" s="36" t="s">
        <v>68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</row>
    <row r="77" spans="2:42" ht="15" customHeight="1" x14ac:dyDescent="0.2">
      <c r="B77" s="66" t="s">
        <v>70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</row>
    <row r="78" spans="2:42" ht="15" customHeight="1" x14ac:dyDescent="0.2">
      <c r="B78" s="16" t="s">
        <v>71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</row>
    <row r="79" spans="2:42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>
        <f>AM79/AM12</f>
        <v>0</v>
      </c>
      <c r="AO79" s="322"/>
    </row>
    <row r="80" spans="2:42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</row>
    <row r="81" spans="2:42" ht="15" customHeight="1" thickBot="1" x14ac:dyDescent="0.25">
      <c r="B81" s="98" t="s">
        <v>212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2:42" ht="15" customHeight="1" thickTop="1" x14ac:dyDescent="0.2">
      <c r="B83" s="526" t="s">
        <v>76</v>
      </c>
      <c r="C83" s="490">
        <f>+C84+C89+C92+C96+C99+C109+C114+C120+C123+C127</f>
        <v>7803372.6057202425</v>
      </c>
      <c r="D83" s="491"/>
      <c r="E83" s="492" t="e">
        <f>C83/(C$13)</f>
        <v>#DIV/0!</v>
      </c>
      <c r="F83" s="490">
        <f>+F84+F89+F92+F96+F99+F109+F114+F120+F123+F127</f>
        <v>3992214.5074513727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11795587.113171615</v>
      </c>
      <c r="AN83" s="491"/>
      <c r="AO83" s="582" t="e">
        <f>AM83/(AM$13)</f>
        <v>#DIV/0!</v>
      </c>
    </row>
    <row r="84" spans="2:42" ht="15" customHeight="1" x14ac:dyDescent="0.2">
      <c r="B84" s="16" t="s">
        <v>77</v>
      </c>
      <c r="C84" s="49">
        <f>SUM(C85:C88)</f>
        <v>4578334.6057202425</v>
      </c>
      <c r="D84" s="3"/>
      <c r="E84" s="150" t="e">
        <f>C84/(C$13)</f>
        <v>#DIV/0!</v>
      </c>
      <c r="F84" s="49">
        <f>SUM(F85:F88)</f>
        <v>3461064.5074513727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8039399.1131716147</v>
      </c>
      <c r="AN84" s="3"/>
      <c r="AO84" s="321" t="e">
        <f>AM84/(AM$13)</f>
        <v>#DIV/0!</v>
      </c>
    </row>
    <row r="85" spans="2:42" ht="15" customHeight="1" x14ac:dyDescent="0.2">
      <c r="B85" s="39" t="s">
        <v>78</v>
      </c>
      <c r="C85" s="39">
        <f>'GASTOS OPERATIVOS'!C17*'%DIST'!C11</f>
        <v>4578334.6057202425</v>
      </c>
      <c r="D85" s="69">
        <f>$L$85</f>
        <v>0</v>
      </c>
      <c r="E85" s="306" t="e">
        <f>C85/(C$13)</f>
        <v>#DIV/0!</v>
      </c>
      <c r="F85" s="39">
        <f>'GASTOS OPERATIVOS'!D17*'%DIST'!E11</f>
        <v>3461064.5074513727</v>
      </c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8039399.1131716147</v>
      </c>
      <c r="AN85" s="69"/>
      <c r="AO85" s="324" t="e">
        <f>AM85/(AM$13)</f>
        <v>#DIV/0!</v>
      </c>
      <c r="AP85" s="758"/>
    </row>
    <row r="86" spans="2:42" ht="15" customHeight="1" x14ac:dyDescent="0.2">
      <c r="B86" s="25" t="s">
        <v>79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</row>
    <row r="87" spans="2:42" ht="15" customHeight="1" x14ac:dyDescent="0.2">
      <c r="B87" s="97" t="s">
        <v>81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</row>
    <row r="88" spans="2:42" ht="15" customHeight="1" x14ac:dyDescent="0.2">
      <c r="B88" s="206" t="s">
        <v>83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</row>
    <row r="89" spans="2:42" ht="15" customHeight="1" x14ac:dyDescent="0.2">
      <c r="B89" s="16" t="s">
        <v>84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85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86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</row>
    <row r="92" spans="2:42" ht="15" customHeight="1" x14ac:dyDescent="0.2">
      <c r="B92" s="16" t="s">
        <v>87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88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</row>
    <row r="94" spans="2:42" ht="15" customHeight="1" outlineLevel="1" x14ac:dyDescent="0.2">
      <c r="B94" s="25" t="s">
        <v>89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</row>
    <row r="95" spans="2:42" ht="15" customHeight="1" outlineLevel="1" x14ac:dyDescent="0.2">
      <c r="B95" s="28" t="s">
        <v>90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</row>
    <row r="96" spans="2:42" ht="15" customHeight="1" x14ac:dyDescent="0.2">
      <c r="B96" s="106" t="s">
        <v>91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</row>
    <row r="97" spans="1:61" s="108" customFormat="1" ht="15" customHeight="1" outlineLevel="1" x14ac:dyDescent="0.2">
      <c r="A97" s="229" t="s">
        <v>400</v>
      </c>
      <c r="B97" s="39" t="s">
        <v>92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29" t="s">
        <v>401</v>
      </c>
      <c r="B98" s="275" t="s">
        <v>379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94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</row>
    <row r="100" spans="1:61" ht="15" customHeight="1" outlineLevel="1" x14ac:dyDescent="0.2">
      <c r="B100" s="39" t="s">
        <v>95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</row>
    <row r="101" spans="1:61" ht="15" customHeight="1" outlineLevel="1" x14ac:dyDescent="0.2">
      <c r="B101" s="25" t="s">
        <v>212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</row>
    <row r="102" spans="1:61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</row>
    <row r="103" spans="1:61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</row>
    <row r="104" spans="1:61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</row>
    <row r="105" spans="1:61" ht="15" customHeight="1" outlineLevel="1" x14ac:dyDescent="0.2">
      <c r="B105" s="24" t="s">
        <v>103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</row>
    <row r="106" spans="1:61" ht="15" customHeight="1" outlineLevel="1" x14ac:dyDescent="0.2">
      <c r="B106" s="24" t="s">
        <v>104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</row>
    <row r="107" spans="1:61" ht="15" customHeight="1" outlineLevel="1" x14ac:dyDescent="0.2">
      <c r="B107" s="24" t="s">
        <v>105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</row>
    <row r="108" spans="1:61" ht="15" customHeight="1" outlineLevel="1" x14ac:dyDescent="0.2">
      <c r="B108" s="99" t="s">
        <v>106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</row>
    <row r="109" spans="1:61" ht="15" customHeight="1" x14ac:dyDescent="0.2">
      <c r="B109" s="16" t="s">
        <v>107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</row>
    <row r="110" spans="1:61" ht="15" customHeight="1" outlineLevel="1" x14ac:dyDescent="0.2">
      <c r="A110" s="226" t="s">
        <v>402</v>
      </c>
      <c r="B110" s="39" t="s">
        <v>108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</row>
    <row r="111" spans="1:61" ht="15" customHeight="1" outlineLevel="1" x14ac:dyDescent="0.2">
      <c r="A111" s="226" t="s">
        <v>403</v>
      </c>
      <c r="B111" s="25" t="s">
        <v>109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</row>
    <row r="112" spans="1:61" ht="15" customHeight="1" outlineLevel="1" x14ac:dyDescent="0.2">
      <c r="A112" s="226" t="s">
        <v>404</v>
      </c>
      <c r="B112" s="25" t="s">
        <v>110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</row>
    <row r="113" spans="1:41" ht="15" customHeight="1" outlineLevel="1" x14ac:dyDescent="0.2">
      <c r="A113" s="226" t="s">
        <v>405</v>
      </c>
      <c r="B113" s="28" t="s">
        <v>111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</row>
    <row r="114" spans="1:41" ht="15" customHeight="1" x14ac:dyDescent="0.2">
      <c r="B114" s="16" t="s">
        <v>112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406</v>
      </c>
      <c r="B115" s="39" t="s">
        <v>113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</row>
    <row r="116" spans="1:41" ht="15" customHeight="1" outlineLevel="1" x14ac:dyDescent="0.2">
      <c r="A116" s="226" t="s">
        <v>407</v>
      </c>
      <c r="B116" s="25" t="s">
        <v>114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</row>
    <row r="117" spans="1:41" ht="15" customHeight="1" outlineLevel="1" x14ac:dyDescent="0.2">
      <c r="A117" s="226" t="s">
        <v>380</v>
      </c>
      <c r="B117" s="205" t="s">
        <v>115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</row>
    <row r="118" spans="1:41" ht="15" customHeight="1" outlineLevel="1" x14ac:dyDescent="0.2">
      <c r="A118" s="226" t="s">
        <v>408</v>
      </c>
      <c r="B118" s="205" t="s">
        <v>116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</row>
    <row r="119" spans="1:41" ht="15" customHeight="1" outlineLevel="1" x14ac:dyDescent="0.2">
      <c r="A119" s="226" t="s">
        <v>409</v>
      </c>
      <c r="B119" s="97" t="s">
        <v>117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</row>
    <row r="120" spans="1:41" ht="15" customHeight="1" x14ac:dyDescent="0.2">
      <c r="B120" s="16" t="s">
        <v>118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</row>
    <row r="121" spans="1:41" ht="15" customHeight="1" x14ac:dyDescent="0.2">
      <c r="A121" s="226" t="s">
        <v>410</v>
      </c>
      <c r="B121" s="39" t="s">
        <v>119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</row>
    <row r="122" spans="1:41" ht="15" customHeight="1" x14ac:dyDescent="0.2">
      <c r="A122" s="226" t="s">
        <v>411</v>
      </c>
      <c r="B122" s="284" t="s">
        <v>120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</row>
    <row r="123" spans="1:41" ht="15" customHeight="1" x14ac:dyDescent="0.2">
      <c r="B123" s="16" t="s">
        <v>121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</row>
    <row r="124" spans="1:41" ht="15" customHeight="1" outlineLevel="1" x14ac:dyDescent="0.2">
      <c r="A124" s="226" t="s">
        <v>412</v>
      </c>
      <c r="B124" s="39" t="s">
        <v>122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</row>
    <row r="125" spans="1:41" ht="15" customHeight="1" outlineLevel="1" x14ac:dyDescent="0.2">
      <c r="A125" s="226" t="s">
        <v>413</v>
      </c>
      <c r="B125" s="25" t="s">
        <v>123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</row>
    <row r="126" spans="1:41" ht="15" customHeight="1" outlineLevel="1" x14ac:dyDescent="0.2">
      <c r="A126" s="226" t="s">
        <v>414</v>
      </c>
      <c r="B126" s="28" t="s">
        <v>124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</row>
    <row r="127" spans="1:41" ht="15" customHeight="1" x14ac:dyDescent="0.2">
      <c r="B127" s="16" t="s">
        <v>125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3756188</v>
      </c>
      <c r="AN127" s="3"/>
      <c r="AO127" s="321" t="e">
        <f>AM127/(AM$13)</f>
        <v>#DIV/0!</v>
      </c>
    </row>
    <row r="128" spans="1:41" ht="15" customHeight="1" outlineLevel="1" x14ac:dyDescent="0.2">
      <c r="A128" s="226" t="s">
        <v>415</v>
      </c>
      <c r="B128" s="39" t="s">
        <v>127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</row>
    <row r="129" spans="1:41" ht="15" customHeight="1" outlineLevel="1" x14ac:dyDescent="0.2">
      <c r="A129" s="226" t="s">
        <v>416</v>
      </c>
      <c r="B129" s="25" t="s">
        <v>129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</row>
    <row r="130" spans="1:41" ht="15" customHeight="1" outlineLevel="1" x14ac:dyDescent="0.2">
      <c r="A130" s="226" t="s">
        <v>417</v>
      </c>
      <c r="B130" s="25" t="s">
        <v>131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</row>
    <row r="131" spans="1:41" ht="15" customHeight="1" outlineLevel="1" x14ac:dyDescent="0.2">
      <c r="A131" s="226" t="s">
        <v>132</v>
      </c>
      <c r="B131" s="25" t="s">
        <v>133</v>
      </c>
      <c r="C131" s="25">
        <f>'[6]Hoja 1'!$C$384</f>
        <v>3225038</v>
      </c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3225038</v>
      </c>
      <c r="AN131" s="43"/>
      <c r="AO131" s="329"/>
    </row>
    <row r="132" spans="1:41" ht="15" customHeight="1" outlineLevel="1" x14ac:dyDescent="0.2">
      <c r="A132" s="226" t="s">
        <v>418</v>
      </c>
      <c r="B132" s="25" t="s">
        <v>134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135</v>
      </c>
      <c r="B133" s="25" t="s">
        <v>136</v>
      </c>
      <c r="C133" s="25"/>
      <c r="D133" s="43"/>
      <c r="E133" s="118"/>
      <c r="F133" s="25">
        <f>'[4]Hoja 1'!$C$383</f>
        <v>15000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15000</v>
      </c>
      <c r="AN133" s="43"/>
      <c r="AO133" s="309"/>
    </row>
    <row r="134" spans="1:41" ht="15" customHeight="1" outlineLevel="1" x14ac:dyDescent="0.2">
      <c r="A134" s="226" t="s">
        <v>137</v>
      </c>
      <c r="B134" s="25" t="s">
        <v>138</v>
      </c>
      <c r="C134" s="25"/>
      <c r="D134" s="43"/>
      <c r="E134" s="118"/>
      <c r="F134" s="25">
        <f>'[4]Hoja 1'!$C$385</f>
        <v>450000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450000</v>
      </c>
      <c r="AN134" s="43"/>
      <c r="AO134" s="309"/>
    </row>
    <row r="135" spans="1:41" ht="15" customHeight="1" outlineLevel="1" x14ac:dyDescent="0.2">
      <c r="A135" s="226" t="s">
        <v>419</v>
      </c>
      <c r="B135" s="25" t="s">
        <v>139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</row>
    <row r="136" spans="1:41" ht="15" customHeight="1" outlineLevel="1" x14ac:dyDescent="0.2">
      <c r="A136" s="226" t="s">
        <v>420</v>
      </c>
      <c r="B136" s="25" t="s">
        <v>140</v>
      </c>
      <c r="C136" s="25"/>
      <c r="D136" s="43"/>
      <c r="E136" s="118"/>
      <c r="F136" s="25">
        <f>'[4]Hoja 1'!$C$387</f>
        <v>66150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66150</v>
      </c>
      <c r="AN136" s="43"/>
      <c r="AO136" s="309"/>
    </row>
    <row r="137" spans="1:41" ht="15" customHeight="1" outlineLevel="1" x14ac:dyDescent="0.2">
      <c r="A137" s="226" t="s">
        <v>326</v>
      </c>
      <c r="B137" s="25" t="s">
        <v>141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142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</row>
    <row r="139" spans="1:41" ht="15" customHeight="1" outlineLevel="1" x14ac:dyDescent="0.2">
      <c r="B139" s="25" t="s">
        <v>143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</row>
    <row r="140" spans="1:41" ht="15" customHeight="1" outlineLevel="1" x14ac:dyDescent="0.2">
      <c r="B140" s="25" t="s">
        <v>145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</row>
    <row r="141" spans="1:41" ht="15" customHeight="1" outlineLevel="1" x14ac:dyDescent="0.2">
      <c r="B141" s="25" t="s">
        <v>146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</row>
    <row r="142" spans="1:41" ht="15" customHeight="1" outlineLevel="1" thickBot="1" x14ac:dyDescent="0.25">
      <c r="A142" s="226" t="s">
        <v>421</v>
      </c>
      <c r="B142" s="269" t="s">
        <v>148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149</v>
      </c>
      <c r="C144" s="493">
        <f>+C42-C44-C83</f>
        <v>-63542850.135720246</v>
      </c>
      <c r="D144" s="494"/>
      <c r="E144" s="495"/>
      <c r="F144" s="493">
        <f>+F42-F44-F83</f>
        <v>-58290111.127451375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-121832961.26317161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150</v>
      </c>
      <c r="C147" s="490">
        <f>SUM(C148:C151)</f>
        <v>12495178.886819396</v>
      </c>
      <c r="D147" s="491"/>
      <c r="E147" s="492" t="e">
        <f>C147/(C$13)</f>
        <v>#DIV/0!</v>
      </c>
      <c r="F147" s="490">
        <f>SUM(F148:F151)</f>
        <v>6695553.2973233899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19190732.184142787</v>
      </c>
      <c r="AN147" s="491"/>
      <c r="AO147" s="580" t="e">
        <f>AM147/(AM$13)</f>
        <v>#DIV/0!</v>
      </c>
    </row>
    <row r="148" spans="2:42" ht="15" customHeight="1" x14ac:dyDescent="0.2">
      <c r="B148" s="18" t="s">
        <v>151</v>
      </c>
      <c r="C148" s="39">
        <f>'GASTOS ADMINISTRATIVOS'!C96*'%DIST'!B43</f>
        <v>9346455.6238715854</v>
      </c>
      <c r="D148" s="69"/>
      <c r="E148" s="306"/>
      <c r="F148" s="39">
        <f>'GASTOS ADMINISTRATIVOS'!D96*'%DIST'!D43</f>
        <v>5381131.844858218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14727587.468729803</v>
      </c>
      <c r="AN148" s="69"/>
      <c r="AO148" s="324" t="e">
        <f>AM148/(AM$13)</f>
        <v>#DIV/0!</v>
      </c>
      <c r="AP148" s="144"/>
    </row>
    <row r="149" spans="2:42" ht="15" customHeight="1" x14ac:dyDescent="0.2">
      <c r="B149" s="285" t="s">
        <v>152</v>
      </c>
      <c r="C149" s="25">
        <f>'GASTOS ADMINISTRATIVOS'!C109*'%DIST'!C59</f>
        <v>2527171.648817807</v>
      </c>
      <c r="D149" s="43"/>
      <c r="E149" s="118"/>
      <c r="F149" s="25">
        <f>'GASTOS ADMINISTRATIVOS'!D109*'%DIST'!E59</f>
        <v>1331511.5248783459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3858683.1736961529</v>
      </c>
      <c r="AN149" s="43"/>
      <c r="AO149" s="309"/>
    </row>
    <row r="150" spans="2:42" ht="15" customHeight="1" x14ac:dyDescent="0.2">
      <c r="B150" s="107" t="s">
        <v>153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</row>
    <row r="151" spans="2:42" ht="15" customHeight="1" thickBot="1" x14ac:dyDescent="0.25">
      <c r="B151" s="300" t="s">
        <v>154</v>
      </c>
      <c r="C151" s="71">
        <f>'GASTOS ADMINISTRATIVOS'!C119*'%DIST'!C59</f>
        <v>621551.61413000373</v>
      </c>
      <c r="D151" s="72"/>
      <c r="E151" s="342"/>
      <c r="F151" s="71">
        <f>'GASTOS ADMINISTRATIVOS'!D119*'%DIST'!E59</f>
        <v>-17090.072413173893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604461.54171682987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customHeight="1" thickTop="1" thickBot="1" x14ac:dyDescent="0.25">
      <c r="B153" s="524" t="s">
        <v>155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</row>
    <row r="154" spans="2:42" ht="15" customHeight="1" thickTop="1" x14ac:dyDescent="0.2">
      <c r="B154" s="40" t="s">
        <v>156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/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</row>
    <row r="155" spans="2:42" ht="15" customHeight="1" x14ac:dyDescent="0.2">
      <c r="B155" s="689" t="s">
        <v>477</v>
      </c>
      <c r="C155" s="705">
        <f>C17</f>
        <v>0</v>
      </c>
      <c r="D155" s="13"/>
      <c r="E155" s="344"/>
      <c r="F155" s="705">
        <f>F17</f>
        <v>0</v>
      </c>
      <c r="G155" s="13"/>
      <c r="H155" s="344"/>
      <c r="I155" s="705">
        <f>I17</f>
        <v>0</v>
      </c>
      <c r="J155" s="13"/>
      <c r="K155" s="344"/>
      <c r="L155" s="705">
        <f>L17</f>
        <v>0</v>
      </c>
      <c r="M155" s="13"/>
      <c r="N155" s="344"/>
      <c r="O155" s="705">
        <f>O17</f>
        <v>0</v>
      </c>
      <c r="P155" s="13"/>
      <c r="Q155" s="344"/>
      <c r="R155" s="705">
        <f>R17</f>
        <v>0</v>
      </c>
      <c r="S155" s="13"/>
      <c r="T155" s="344"/>
      <c r="U155" s="705">
        <f>U17</f>
        <v>0</v>
      </c>
      <c r="V155" s="13"/>
      <c r="W155" s="344"/>
      <c r="X155" s="705">
        <f>X17</f>
        <v>0</v>
      </c>
      <c r="Y155" s="13"/>
      <c r="Z155" s="344"/>
      <c r="AA155" s="705">
        <f>AA17</f>
        <v>0</v>
      </c>
      <c r="AB155" s="13"/>
      <c r="AC155" s="344"/>
      <c r="AD155" s="705">
        <f>AD17</f>
        <v>0</v>
      </c>
      <c r="AE155" s="13"/>
      <c r="AF155" s="344"/>
      <c r="AG155" s="705">
        <f>AG17</f>
        <v>0</v>
      </c>
      <c r="AH155" s="13"/>
      <c r="AI155" s="344"/>
      <c r="AJ155" s="705">
        <f>AJ17</f>
        <v>0</v>
      </c>
      <c r="AK155" s="9"/>
      <c r="AL155" s="240"/>
      <c r="AM155" s="565">
        <f t="shared" si="8"/>
        <v>0</v>
      </c>
      <c r="AN155" s="9"/>
      <c r="AO155" s="690"/>
      <c r="AP155" s="367"/>
    </row>
    <row r="156" spans="2:42" ht="15" customHeight="1" x14ac:dyDescent="0.2">
      <c r="B156" s="674" t="s">
        <v>477</v>
      </c>
      <c r="C156" s="718">
        <f>C22</f>
        <v>0</v>
      </c>
      <c r="D156" s="677"/>
      <c r="E156" s="678"/>
      <c r="F156" s="718">
        <f>F22</f>
        <v>0</v>
      </c>
      <c r="G156" s="677"/>
      <c r="H156" s="678"/>
      <c r="I156" s="718">
        <f>I22</f>
        <v>0</v>
      </c>
      <c r="J156" s="677"/>
      <c r="K156" s="678"/>
      <c r="L156" s="718">
        <f>L22</f>
        <v>0</v>
      </c>
      <c r="M156" s="677"/>
      <c r="N156" s="678"/>
      <c r="O156" s="718">
        <f>O22</f>
        <v>0</v>
      </c>
      <c r="P156" s="677"/>
      <c r="Q156" s="678"/>
      <c r="R156" s="718">
        <f>R22</f>
        <v>0</v>
      </c>
      <c r="S156" s="677"/>
      <c r="T156" s="678"/>
      <c r="U156" s="718">
        <f>U22</f>
        <v>0</v>
      </c>
      <c r="V156" s="677"/>
      <c r="W156" s="678"/>
      <c r="X156" s="718">
        <f>X22</f>
        <v>0</v>
      </c>
      <c r="Y156" s="677"/>
      <c r="Z156" s="678"/>
      <c r="AA156" s="718">
        <f>AA22</f>
        <v>0</v>
      </c>
      <c r="AB156" s="677"/>
      <c r="AC156" s="678"/>
      <c r="AD156" s="718">
        <f>AD22</f>
        <v>0</v>
      </c>
      <c r="AE156" s="677"/>
      <c r="AF156" s="678"/>
      <c r="AG156" s="718">
        <f>AG22</f>
        <v>0</v>
      </c>
      <c r="AH156" s="677"/>
      <c r="AI156" s="678"/>
      <c r="AJ156" s="718">
        <f>AJ22</f>
        <v>0</v>
      </c>
      <c r="AK156" s="675"/>
      <c r="AL156" s="679"/>
      <c r="AM156" s="680">
        <f t="shared" si="8"/>
        <v>0</v>
      </c>
      <c r="AN156" s="675"/>
      <c r="AO156" s="681"/>
      <c r="AP156" s="367"/>
    </row>
    <row r="157" spans="2:42" ht="15" customHeight="1" x14ac:dyDescent="0.2">
      <c r="B157" s="550" t="s">
        <v>478</v>
      </c>
      <c r="C157" s="712">
        <f>C18</f>
        <v>0</v>
      </c>
      <c r="D157" s="553"/>
      <c r="E157" s="554"/>
      <c r="F157" s="712">
        <f>F18</f>
        <v>0</v>
      </c>
      <c r="G157" s="553"/>
      <c r="H157" s="554"/>
      <c r="I157" s="723"/>
      <c r="J157" s="553"/>
      <c r="K157" s="554"/>
      <c r="L157" s="231"/>
      <c r="M157" s="553"/>
      <c r="N157" s="554"/>
      <c r="O157" s="231">
        <f>O19</f>
        <v>0</v>
      </c>
      <c r="P157" s="553"/>
      <c r="Q157" s="554"/>
      <c r="R157" s="231">
        <f>R19</f>
        <v>0</v>
      </c>
      <c r="S157" s="553"/>
      <c r="T157" s="554"/>
      <c r="U157" s="231">
        <f>U19</f>
        <v>0</v>
      </c>
      <c r="V157" s="553"/>
      <c r="W157" s="554"/>
      <c r="X157" s="231">
        <f>X19</f>
        <v>0</v>
      </c>
      <c r="Y157" s="553"/>
      <c r="Z157" s="554"/>
      <c r="AA157" s="231">
        <f>AA19</f>
        <v>0</v>
      </c>
      <c r="AB157" s="553"/>
      <c r="AC157" s="554"/>
      <c r="AD157" s="705">
        <f>AD19</f>
        <v>0</v>
      </c>
      <c r="AE157" s="553"/>
      <c r="AF157" s="554"/>
      <c r="AG157" s="705">
        <f>AG19</f>
        <v>0</v>
      </c>
      <c r="AH157" s="553"/>
      <c r="AI157" s="554"/>
      <c r="AJ157" s="705">
        <f>AJ19</f>
        <v>0</v>
      </c>
      <c r="AK157" s="551"/>
      <c r="AL157" s="555"/>
      <c r="AM157" s="294">
        <f t="shared" si="8"/>
        <v>0</v>
      </c>
      <c r="AN157" s="551"/>
      <c r="AO157" s="557"/>
    </row>
    <row r="158" spans="2:42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/>
    </row>
    <row r="159" spans="2:42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/>
    </row>
    <row r="160" spans="2:42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</row>
    <row r="161" spans="1:41" ht="15" customHeight="1" thickTop="1" thickBot="1" x14ac:dyDescent="0.25">
      <c r="B161" s="524" t="s">
        <v>163</v>
      </c>
      <c r="C161" s="497">
        <f>C144-C147-C153</f>
        <v>-76038029.022539645</v>
      </c>
      <c r="D161" s="498"/>
      <c r="E161" s="499"/>
      <c r="F161" s="497">
        <f>F144-F147-F153</f>
        <v>-64985664.424774766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-141023693.44731441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>
      <c r="C163" s="399"/>
    </row>
    <row r="164" spans="1:41" s="153" customFormat="1" hidden="1" x14ac:dyDescent="0.2">
      <c r="A164" s="226"/>
      <c r="C164" s="472">
        <f>C44+C83-C73-C85</f>
        <v>57668883.43</v>
      </c>
      <c r="D164" s="547"/>
      <c r="E164" s="699"/>
      <c r="F164" s="472">
        <f>F44+F83-F73-F85</f>
        <v>53977931.590000004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472">
        <f>'[6]Hoja 1'!$C$370</f>
        <v>30740394.43</v>
      </c>
      <c r="D165" s="547"/>
      <c r="E165" s="699"/>
      <c r="F165" s="472">
        <f>'[4]Hoja 1'!$C$356+'[4]Hoja 1'!$C$365-26928489</f>
        <v>53977931.550000012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91046571.739999995</v>
      </c>
      <c r="P165" s="399"/>
      <c r="Q165" s="393"/>
      <c r="R165" s="472">
        <v>61660665.32</v>
      </c>
      <c r="S165" s="399"/>
      <c r="T165" s="393"/>
      <c r="U165" s="472">
        <v>61566467.289999999</v>
      </c>
      <c r="V165" s="399"/>
      <c r="W165" s="393"/>
      <c r="X165" s="475">
        <v>61323136.299999997</v>
      </c>
      <c r="Y165" s="399"/>
      <c r="Z165" s="393"/>
      <c r="AA165" s="475">
        <v>59864944.020000003</v>
      </c>
      <c r="AB165" s="399"/>
      <c r="AC165" s="393"/>
      <c r="AD165" s="475">
        <v>56913588.740000002</v>
      </c>
      <c r="AE165" s="399"/>
      <c r="AF165" s="393"/>
      <c r="AG165" s="475">
        <v>80549716.340000004</v>
      </c>
      <c r="AH165" s="399"/>
      <c r="AI165" s="393"/>
      <c r="AJ165" s="475">
        <v>93324.84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472">
        <f>C164-C165</f>
        <v>26928489</v>
      </c>
      <c r="D166" s="700"/>
      <c r="E166" s="699"/>
      <c r="F166" s="472">
        <f>F164-F165</f>
        <v>3.9999991655349731E-2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-91046571.739999995</v>
      </c>
      <c r="P166" s="399"/>
      <c r="Q166" s="393"/>
      <c r="R166" s="472">
        <f>R164-R165</f>
        <v>-61660665.32</v>
      </c>
      <c r="S166" s="464"/>
      <c r="T166" s="393"/>
      <c r="U166" s="472">
        <f>U164-U165</f>
        <v>-61566467.289999999</v>
      </c>
      <c r="V166" s="401"/>
      <c r="W166" s="393"/>
      <c r="X166" s="475">
        <f>X164-X165</f>
        <v>-61323136.299999997</v>
      </c>
      <c r="Y166" s="399"/>
      <c r="Z166" s="393"/>
      <c r="AA166" s="475">
        <f>AA164-AA165</f>
        <v>-59864944.020000003</v>
      </c>
      <c r="AB166" s="399"/>
      <c r="AC166" s="393"/>
      <c r="AD166" s="475">
        <f>AD164-AD165</f>
        <v>-56913588.740000002</v>
      </c>
      <c r="AE166" s="611" t="s">
        <v>509</v>
      </c>
      <c r="AF166" s="393"/>
      <c r="AG166" s="475">
        <f>AG164-AG165</f>
        <v>-80549716.340000004</v>
      </c>
      <c r="AH166" s="399"/>
      <c r="AI166" s="393"/>
      <c r="AJ166" s="475">
        <f>AJ164-AJ165</f>
        <v>-93324.84</v>
      </c>
      <c r="AK166" s="399"/>
      <c r="AL166" s="399"/>
      <c r="AM166" s="464"/>
      <c r="AN166" s="399"/>
      <c r="AO166" s="393"/>
    </row>
    <row r="167" spans="1:41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639"/>
      <c r="AN167" s="399"/>
      <c r="AO167" s="393"/>
    </row>
    <row r="168" spans="1:41" x14ac:dyDescent="0.2">
      <c r="O168" s="235">
        <f>SUM(O155:O157)</f>
        <v>0</v>
      </c>
      <c r="R168" s="235">
        <f>SUM(R155:R157)</f>
        <v>0</v>
      </c>
    </row>
    <row r="169" spans="1:41" x14ac:dyDescent="0.2">
      <c r="O169" s="235">
        <f>O168*6%</f>
        <v>0</v>
      </c>
      <c r="R169" s="235">
        <f>R168*6%</f>
        <v>0</v>
      </c>
    </row>
    <row r="170" spans="1:41" x14ac:dyDescent="0.2">
      <c r="F170" s="463"/>
      <c r="R170" s="235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hidden="1" customWidth="1"/>
    <col min="13" max="13" width="8.6640625" style="235" hidden="1" customWidth="1"/>
    <col min="14" max="14" width="8.6640625" style="256" hidden="1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15.6640625" style="235" customWidth="1"/>
    <col min="44" max="44" width="7.33203125" style="235" customWidth="1"/>
    <col min="45" max="45" width="7.33203125" style="2" customWidth="1"/>
    <col min="46" max="46" width="7.44140625" style="2" customWidth="1"/>
    <col min="47" max="71" width="11.44140625" style="2" customWidth="1"/>
    <col min="72" max="16384" width="11.44140625" style="2"/>
  </cols>
  <sheetData>
    <row r="2" spans="1:49" ht="24.9" customHeight="1" thickBot="1" x14ac:dyDescent="0.35">
      <c r="B2" s="236" t="s">
        <v>0</v>
      </c>
      <c r="C2" s="1027" t="s">
        <v>513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  <c r="AQ2" s="2"/>
      <c r="AR2" s="2"/>
    </row>
    <row r="3" spans="1:49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200</v>
      </c>
      <c r="AN3" s="572"/>
      <c r="AO3" s="573"/>
      <c r="AQ3" s="621"/>
      <c r="AR3" s="621"/>
      <c r="AS3" s="621"/>
      <c r="AU3" s="759">
        <v>1.0509999999999999</v>
      </c>
    </row>
    <row r="4" spans="1:49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618" t="s">
        <v>514</v>
      </c>
      <c r="AR4" s="622"/>
      <c r="AS4" s="622"/>
      <c r="AU4" s="754" t="s">
        <v>362</v>
      </c>
      <c r="AV4" s="753" t="s">
        <v>515</v>
      </c>
      <c r="AW4" s="915" t="s">
        <v>516</v>
      </c>
    </row>
    <row r="5" spans="1:49" s="223" customFormat="1" ht="15" customHeight="1" thickTop="1" x14ac:dyDescent="0.2">
      <c r="A5" s="228"/>
      <c r="B5" s="258" t="s">
        <v>471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U5" s="755">
        <v>12000</v>
      </c>
      <c r="AV5" s="756">
        <f>4333*AU3</f>
        <v>4553.9829999999993</v>
      </c>
      <c r="AW5" s="756">
        <v>2779.7756311504008</v>
      </c>
    </row>
    <row r="6" spans="1:49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U6" s="912">
        <v>0.06</v>
      </c>
      <c r="AV6" s="757"/>
      <c r="AW6" s="757"/>
    </row>
    <row r="7" spans="1:49" s="223" customFormat="1" ht="15" customHeight="1" x14ac:dyDescent="0.2">
      <c r="A7" s="228"/>
      <c r="B7" s="258" t="s">
        <v>511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U7" s="913">
        <v>4.4999999999999998E-2</v>
      </c>
      <c r="AV7" s="908"/>
      <c r="AW7" s="757"/>
    </row>
    <row r="8" spans="1:49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U8" s="914">
        <v>8</v>
      </c>
    </row>
    <row r="9" spans="1:49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9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9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9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U12" s="2"/>
    </row>
    <row r="13" spans="1:49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9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9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2" t="s">
        <v>471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AM17/AM5</f>
        <v>#DIV/0!</v>
      </c>
      <c r="AO17" s="309"/>
      <c r="AQ17" s="24"/>
      <c r="AR17" s="24"/>
      <c r="AS17" s="24"/>
    </row>
    <row r="18" spans="1:45" ht="15" customHeight="1" x14ac:dyDescent="0.2">
      <c r="B18" s="104" t="s">
        <v>511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30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31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32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33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35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3" t="e">
        <f>AM29/AM13</f>
        <v>#DIV/0!</v>
      </c>
      <c r="AQ29" s="17">
        <f>SUM(AQ30:AQ37)</f>
        <v>0</v>
      </c>
      <c r="AR29" s="17"/>
      <c r="AS29" s="17"/>
    </row>
    <row r="30" spans="1:45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  <c r="AQ30" s="736"/>
      <c r="AR30" s="736"/>
      <c r="AS30" s="736"/>
    </row>
    <row r="31" spans="1:45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</row>
    <row r="32" spans="1:45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2:45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2:45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2:45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2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  <c r="AS43" s="815" t="e">
        <f>(AQ46+AQ61)/(AQ13-AQ20-AQ21-AQ22)</f>
        <v>#DIV/0!</v>
      </c>
    </row>
    <row r="44" spans="2:45" ht="15" customHeight="1" thickTop="1" x14ac:dyDescent="0.2">
      <c r="B44" s="526" t="s">
        <v>46</v>
      </c>
      <c r="C44" s="490">
        <f>+C45+C60+C78</f>
        <v>0</v>
      </c>
      <c r="D44" s="491"/>
      <c r="E44" s="580" t="e">
        <f>C44/C$13</f>
        <v>#DIV/0!</v>
      </c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2:45" ht="15" customHeight="1" x14ac:dyDescent="0.2">
      <c r="B45" s="16" t="s">
        <v>47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</row>
    <row r="46" spans="2:45" ht="15" customHeight="1" x14ac:dyDescent="0.2">
      <c r="B46" s="36" t="s">
        <v>370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2:45" ht="15" customHeight="1" x14ac:dyDescent="0.2">
      <c r="B47" s="97" t="s">
        <v>471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1"/>
        <v>0</v>
      </c>
      <c r="AN47" s="42" t="e">
        <f>AM47/$AM$5</f>
        <v>#DIV/0!</v>
      </c>
      <c r="AO47" s="315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  <c r="AQ48" s="24"/>
      <c r="AR48" s="24"/>
      <c r="AS48" s="651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54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370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7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7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7" ht="15" customHeight="1" x14ac:dyDescent="0.2">
      <c r="B72" s="36" t="s">
        <v>473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52" t="e">
        <f>AQ72/(AQ$13-AQ$20)</f>
        <v>#DIV/0!</v>
      </c>
    </row>
    <row r="73" spans="2:47" ht="15" customHeight="1" x14ac:dyDescent="0.2">
      <c r="B73" s="411" t="s">
        <v>63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2">
        <f t="shared" si="5"/>
        <v>0</v>
      </c>
      <c r="AN73" s="79"/>
      <c r="AO73" s="638"/>
      <c r="AQ73" s="298"/>
      <c r="AR73" s="298"/>
      <c r="AS73" s="653"/>
    </row>
    <row r="74" spans="2:47" ht="15" customHeight="1" x14ac:dyDescent="0.2">
      <c r="B74" s="415" t="s">
        <v>65</v>
      </c>
      <c r="C74" s="273"/>
      <c r="D74" s="134"/>
      <c r="E74" s="428"/>
      <c r="F74" s="273"/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784"/>
      <c r="AK74" s="134"/>
      <c r="AL74" s="135"/>
      <c r="AM74" s="429">
        <f t="shared" si="5"/>
        <v>0</v>
      </c>
      <c r="AN74" s="134"/>
      <c r="AO74" s="637"/>
      <c r="AP74" s="758"/>
      <c r="AQ74" s="349"/>
      <c r="AR74" s="349"/>
      <c r="AS74" s="654"/>
      <c r="AT74" s="367"/>
      <c r="AU74" s="367">
        <f>$AT$74</f>
        <v>0</v>
      </c>
    </row>
    <row r="75" spans="2:47" ht="15" customHeight="1" x14ac:dyDescent="0.2">
      <c r="B75" s="36" t="s">
        <v>66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7" ht="15" customHeight="1" x14ac:dyDescent="0.2">
      <c r="B76" s="36" t="s">
        <v>68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7" ht="15" customHeight="1" x14ac:dyDescent="0.2">
      <c r="B77" s="66" t="s">
        <v>70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7" ht="15" customHeight="1" x14ac:dyDescent="0.2">
      <c r="B78" s="16" t="s">
        <v>71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</row>
    <row r="79" spans="2:47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7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6" ht="15" customHeight="1" thickBot="1" x14ac:dyDescent="0.25">
      <c r="B81" s="98" t="s">
        <v>212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6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 t="e">
        <f>C83/(C$13)</f>
        <v>#DIV/0!</v>
      </c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</row>
    <row r="84" spans="2:46" ht="15" customHeight="1" x14ac:dyDescent="0.2">
      <c r="B84" s="16" t="s">
        <v>77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</row>
    <row r="85" spans="2:46" ht="15" customHeight="1" x14ac:dyDescent="0.2">
      <c r="B85" s="39" t="s">
        <v>78</v>
      </c>
      <c r="C85" s="39"/>
      <c r="D85" s="69">
        <f>$L$85</f>
        <v>0</v>
      </c>
      <c r="E85" s="306" t="e">
        <f>C85/(C$13)</f>
        <v>#DIV/0!</v>
      </c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P85" s="758"/>
      <c r="AQ85" s="31"/>
      <c r="AR85" s="31"/>
      <c r="AS85" s="659"/>
      <c r="AT85" s="895"/>
    </row>
    <row r="86" spans="2:46" ht="15" customHeight="1" x14ac:dyDescent="0.2">
      <c r="B86" s="25" t="s">
        <v>79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6" ht="15" customHeight="1" x14ac:dyDescent="0.2">
      <c r="B87" s="97" t="s">
        <v>81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6" ht="15" customHeight="1" x14ac:dyDescent="0.2">
      <c r="B88" s="206" t="s">
        <v>83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6" ht="15" customHeight="1" x14ac:dyDescent="0.2">
      <c r="B89" s="16" t="s">
        <v>84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</row>
    <row r="90" spans="2:46" ht="15" customHeight="1" outlineLevel="1" x14ac:dyDescent="0.2">
      <c r="B90" s="39" t="s">
        <v>85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6" ht="15" customHeight="1" outlineLevel="1" x14ac:dyDescent="0.2">
      <c r="B91" s="83" t="s">
        <v>86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6" ht="15" customHeight="1" x14ac:dyDescent="0.2">
      <c r="B92" s="16" t="s">
        <v>87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</row>
    <row r="93" spans="2:46" ht="15" customHeight="1" outlineLevel="1" x14ac:dyDescent="0.2">
      <c r="B93" s="39" t="s">
        <v>88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6" ht="15" customHeight="1" outlineLevel="1" x14ac:dyDescent="0.2">
      <c r="B94" s="25" t="s">
        <v>89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6" ht="15" customHeight="1" outlineLevel="1" x14ac:dyDescent="0.2">
      <c r="B95" s="28" t="s">
        <v>90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6" ht="15" customHeight="1" x14ac:dyDescent="0.2">
      <c r="B96" s="106" t="s">
        <v>91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</row>
    <row r="97" spans="1:45" s="108" customFormat="1" ht="15" customHeight="1" outlineLevel="1" x14ac:dyDescent="0.2">
      <c r="A97" s="229" t="s">
        <v>400</v>
      </c>
      <c r="B97" s="39" t="s">
        <v>92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401</v>
      </c>
      <c r="B98" s="275" t="s">
        <v>379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94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</row>
    <row r="100" spans="1:45" ht="15" customHeight="1" outlineLevel="1" x14ac:dyDescent="0.2">
      <c r="B100" s="39" t="s">
        <v>95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212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103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104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105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106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107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</row>
    <row r="110" spans="1:45" ht="15" customHeight="1" outlineLevel="1" x14ac:dyDescent="0.2">
      <c r="A110" s="226" t="s">
        <v>402</v>
      </c>
      <c r="B110" s="39" t="s">
        <v>108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403</v>
      </c>
      <c r="B111" s="25" t="s">
        <v>109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404</v>
      </c>
      <c r="B112" s="25" t="s">
        <v>110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405</v>
      </c>
      <c r="B113" s="28" t="s">
        <v>111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112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</row>
    <row r="115" spans="1:45" ht="15" customHeight="1" outlineLevel="1" x14ac:dyDescent="0.2">
      <c r="A115" s="226" t="s">
        <v>406</v>
      </c>
      <c r="B115" s="39" t="s">
        <v>113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407</v>
      </c>
      <c r="B116" s="25" t="s">
        <v>114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380</v>
      </c>
      <c r="B117" s="205" t="s">
        <v>115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408</v>
      </c>
      <c r="B118" s="205" t="s">
        <v>116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409</v>
      </c>
      <c r="B119" s="97" t="s">
        <v>117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118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</row>
    <row r="121" spans="1:45" ht="15" customHeight="1" x14ac:dyDescent="0.2">
      <c r="A121" s="226" t="s">
        <v>410</v>
      </c>
      <c r="B121" s="39" t="s">
        <v>119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411</v>
      </c>
      <c r="B122" s="284" t="s">
        <v>120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121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</row>
    <row r="124" spans="1:45" ht="15" customHeight="1" outlineLevel="1" x14ac:dyDescent="0.2">
      <c r="A124" s="226" t="s">
        <v>412</v>
      </c>
      <c r="B124" s="39" t="s">
        <v>122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413</v>
      </c>
      <c r="B125" s="25" t="s">
        <v>123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414</v>
      </c>
      <c r="B126" s="28" t="s">
        <v>124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125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</row>
    <row r="128" spans="1:45" ht="15" customHeight="1" outlineLevel="1" x14ac:dyDescent="0.2">
      <c r="A128" s="226" t="s">
        <v>415</v>
      </c>
      <c r="B128" s="39" t="s">
        <v>127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416</v>
      </c>
      <c r="B129" s="25" t="s">
        <v>129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45" ht="15" customHeight="1" outlineLevel="1" x14ac:dyDescent="0.2">
      <c r="A130" s="226" t="s">
        <v>417</v>
      </c>
      <c r="B130" s="25" t="s">
        <v>131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45" ht="15" customHeight="1" outlineLevel="1" x14ac:dyDescent="0.2">
      <c r="A131" s="226" t="s">
        <v>132</v>
      </c>
      <c r="B131" s="25" t="s">
        <v>133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418</v>
      </c>
      <c r="B132" s="25" t="s">
        <v>134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135</v>
      </c>
      <c r="B133" s="25" t="s">
        <v>136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137</v>
      </c>
      <c r="B134" s="25" t="s">
        <v>138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419</v>
      </c>
      <c r="B135" s="25" t="s">
        <v>139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420</v>
      </c>
      <c r="B136" s="25" t="s">
        <v>140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326</v>
      </c>
      <c r="B137" s="25" t="s">
        <v>141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142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45" ht="15" customHeight="1" outlineLevel="1" x14ac:dyDescent="0.2">
      <c r="B139" s="25" t="s">
        <v>143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145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146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421</v>
      </c>
      <c r="B142" s="269" t="s">
        <v>148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149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150</v>
      </c>
      <c r="C147" s="490">
        <f>SUM(C148:C151)</f>
        <v>0</v>
      </c>
      <c r="D147" s="491"/>
      <c r="E147" s="492" t="e">
        <f>C147/(C$13)</f>
        <v>#DIV/0!</v>
      </c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</row>
    <row r="148" spans="2:45" ht="15" customHeight="1" x14ac:dyDescent="0.2">
      <c r="B148" s="18" t="s">
        <v>151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>
        <v>5.3999999999999999E-2</v>
      </c>
      <c r="AQ148" s="31"/>
      <c r="AR148" s="31"/>
      <c r="AS148" s="659"/>
    </row>
    <row r="149" spans="2:45" ht="15" customHeight="1" x14ac:dyDescent="0.2">
      <c r="B149" s="285" t="s">
        <v>152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153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>
        <v>0.01</v>
      </c>
      <c r="AQ150" s="24"/>
      <c r="AR150" s="24"/>
      <c r="AS150" s="651"/>
    </row>
    <row r="151" spans="2:45" ht="15" customHeight="1" thickBot="1" x14ac:dyDescent="0.25">
      <c r="B151" s="300" t="s">
        <v>154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155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</row>
    <row r="154" spans="2:45" ht="15" customHeight="1" thickTop="1" x14ac:dyDescent="0.2">
      <c r="B154" s="40" t="s">
        <v>156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>
        <f>AG18*0.9</f>
        <v>0</v>
      </c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</row>
    <row r="155" spans="2:45" ht="15" customHeight="1" x14ac:dyDescent="0.2">
      <c r="B155" s="689" t="s">
        <v>477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9"/>
      <c r="AL155" s="240"/>
      <c r="AM155" s="565">
        <f t="shared" si="8"/>
        <v>0</v>
      </c>
      <c r="AN155" s="9" t="e">
        <f>AM155/AM12</f>
        <v>#DIV/0!</v>
      </c>
      <c r="AO155" s="690"/>
      <c r="AP155" s="367"/>
      <c r="AQ155" s="705"/>
      <c r="AR155" s="248"/>
      <c r="AS155" s="672"/>
    </row>
    <row r="156" spans="2:45" ht="15" customHeight="1" x14ac:dyDescent="0.2">
      <c r="B156" s="674" t="s">
        <v>477</v>
      </c>
      <c r="C156" s="718"/>
      <c r="D156" s="67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718"/>
      <c r="P156" s="677"/>
      <c r="Q156" s="678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5"/>
      <c r="AL156" s="679"/>
      <c r="AM156" s="680">
        <f t="shared" si="8"/>
        <v>0</v>
      </c>
      <c r="AN156" s="675"/>
      <c r="AO156" s="681"/>
      <c r="AP156" s="367"/>
      <c r="AQ156" s="764"/>
      <c r="AR156" s="248"/>
      <c r="AS156" s="672"/>
    </row>
    <row r="157" spans="2:45" ht="15" customHeight="1" x14ac:dyDescent="0.2">
      <c r="B157" s="550" t="s">
        <v>478</v>
      </c>
      <c r="C157" s="723"/>
      <c r="D157" s="553"/>
      <c r="E157" s="554"/>
      <c r="F157" s="723"/>
      <c r="G157" s="553"/>
      <c r="H157" s="554"/>
      <c r="I157" s="723"/>
      <c r="J157" s="553"/>
      <c r="K157" s="554"/>
      <c r="L157" s="231"/>
      <c r="M157" s="553"/>
      <c r="N157" s="554"/>
      <c r="O157" s="231">
        <f>O13*$AU$6</f>
        <v>0</v>
      </c>
      <c r="P157" s="553"/>
      <c r="Q157" s="554"/>
      <c r="R157" s="231">
        <f>R13*$AU$6</f>
        <v>0</v>
      </c>
      <c r="S157" s="553"/>
      <c r="T157" s="554"/>
      <c r="U157" s="231">
        <f>U13*$AU$6</f>
        <v>0</v>
      </c>
      <c r="V157" s="553"/>
      <c r="W157" s="554"/>
      <c r="X157" s="231">
        <f>X13*$AU$6</f>
        <v>0</v>
      </c>
      <c r="Y157" s="553"/>
      <c r="Z157" s="554"/>
      <c r="AA157" s="231">
        <f>AA13*$AU$6</f>
        <v>0</v>
      </c>
      <c r="AB157" s="553"/>
      <c r="AC157" s="554"/>
      <c r="AD157" s="231">
        <f>AD13*$AU$6</f>
        <v>0</v>
      </c>
      <c r="AE157" s="553"/>
      <c r="AF157" s="554"/>
      <c r="AG157" s="231">
        <f>AG13*$AU$6</f>
        <v>0</v>
      </c>
      <c r="AH157" s="553"/>
      <c r="AI157" s="554"/>
      <c r="AJ157" s="231">
        <f>AJ13*$AU$6</f>
        <v>0</v>
      </c>
      <c r="AK157" s="551"/>
      <c r="AL157" s="555"/>
      <c r="AM157" s="294">
        <f t="shared" si="8"/>
        <v>0</v>
      </c>
      <c r="AN157" s="881"/>
      <c r="AO157" s="557" t="e">
        <f>AM157/$AM$13</f>
        <v>#DIV/0!</v>
      </c>
      <c r="AQ157" s="705"/>
      <c r="AR157" s="559"/>
      <c r="AS157" s="667" t="e">
        <f>AQ157/AQ13</f>
        <v>#DIV/0!</v>
      </c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>
        <f>O13*$AU$7</f>
        <v>0</v>
      </c>
      <c r="P158" s="13"/>
      <c r="Q158" s="344"/>
      <c r="R158" s="232">
        <f>R13*$AU$7</f>
        <v>0</v>
      </c>
      <c r="S158" s="13"/>
      <c r="T158" s="344"/>
      <c r="U158" s="232">
        <f>U13*$AU$7</f>
        <v>0</v>
      </c>
      <c r="V158" s="13"/>
      <c r="W158" s="344"/>
      <c r="X158" s="232">
        <f>X13*$AU$7</f>
        <v>0</v>
      </c>
      <c r="Y158" s="13"/>
      <c r="Z158" s="344"/>
      <c r="AA158" s="232">
        <f>AA13*$AU$7</f>
        <v>0</v>
      </c>
      <c r="AB158" s="13"/>
      <c r="AC158" s="344"/>
      <c r="AD158" s="232">
        <f>AD13*$AU$7</f>
        <v>0</v>
      </c>
      <c r="AE158" s="43"/>
      <c r="AF158" s="344"/>
      <c r="AG158" s="232">
        <f>AG13*$AU$7</f>
        <v>0</v>
      </c>
      <c r="AH158" s="13"/>
      <c r="AI158" s="344"/>
      <c r="AJ158" s="232">
        <f>AJ13*$AU$7</f>
        <v>0</v>
      </c>
      <c r="AK158" s="13"/>
      <c r="AL158" s="246"/>
      <c r="AM158" s="294">
        <f t="shared" si="8"/>
        <v>0</v>
      </c>
      <c r="AN158" s="13"/>
      <c r="AO158" s="557" t="e">
        <f>AM158/$AM$13</f>
        <v>#DIV/0!</v>
      </c>
      <c r="AQ158" s="75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>
        <f>O12*$AU$8</f>
        <v>0</v>
      </c>
      <c r="P159" s="13"/>
      <c r="Q159" s="344"/>
      <c r="R159" s="232">
        <f>R12*$AU$8</f>
        <v>0</v>
      </c>
      <c r="S159" s="13"/>
      <c r="T159" s="344"/>
      <c r="U159" s="232">
        <f>U12*$AU$8</f>
        <v>0</v>
      </c>
      <c r="V159" s="13"/>
      <c r="W159" s="344"/>
      <c r="X159" s="232">
        <f>X12*$AU$8</f>
        <v>0</v>
      </c>
      <c r="Y159" s="13"/>
      <c r="Z159" s="344"/>
      <c r="AA159" s="232">
        <f>AA12*$AU$8</f>
        <v>0</v>
      </c>
      <c r="AB159" s="13"/>
      <c r="AC159" s="344"/>
      <c r="AD159" s="232">
        <f>AD12*$AU$8</f>
        <v>0</v>
      </c>
      <c r="AE159" s="43"/>
      <c r="AF159" s="344"/>
      <c r="AG159" s="232">
        <f>AG12*$AU$8</f>
        <v>0</v>
      </c>
      <c r="AH159" s="13"/>
      <c r="AI159" s="344"/>
      <c r="AJ159" s="232">
        <f>AJ12*$AU$8</f>
        <v>0</v>
      </c>
      <c r="AK159" s="13"/>
      <c r="AL159" s="246"/>
      <c r="AM159" s="294">
        <f t="shared" si="8"/>
        <v>0</v>
      </c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  <c r="AQ160" s="620"/>
      <c r="AR160" s="620"/>
      <c r="AS160" s="668"/>
    </row>
    <row r="161" spans="1:45" ht="15" customHeight="1" thickTop="1" thickBot="1" x14ac:dyDescent="0.25">
      <c r="B161" s="524" t="s">
        <v>163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1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1:45" ht="10.8" customHeight="1" thickTop="1" x14ac:dyDescent="0.2">
      <c r="C163" s="399"/>
    </row>
    <row r="164" spans="1:45" s="153" customFormat="1" hidden="1" x14ac:dyDescent="0.2">
      <c r="A164" s="226"/>
      <c r="C164" s="472">
        <f>C44+C83-C73-C85</f>
        <v>0</v>
      </c>
      <c r="D164" s="547"/>
      <c r="E164" s="699"/>
      <c r="F164" s="472">
        <f>F44+F83-F73-F85</f>
        <v>0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AA44+AA83-AA73-AA58</f>
        <v>0</v>
      </c>
      <c r="AB164" s="399"/>
      <c r="AC164" s="393"/>
      <c r="AD164" s="475">
        <f>AD44+AD83-AD73-AD58</f>
        <v>0</v>
      </c>
      <c r="AE164" s="399"/>
      <c r="AF164" s="393"/>
      <c r="AG164" s="475">
        <f>AG44+AG83-AG73-AG58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</row>
    <row r="165" spans="1:45" s="153" customFormat="1" hidden="1" x14ac:dyDescent="0.2">
      <c r="A165" s="226"/>
      <c r="C165" s="472">
        <v>47016022.880000003</v>
      </c>
      <c r="D165" s="547"/>
      <c r="E165" s="699"/>
      <c r="F165" s="472">
        <v>48773877.270000003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517164154.94999999</v>
      </c>
      <c r="P165" s="399"/>
      <c r="Q165" s="393"/>
      <c r="R165" s="472">
        <v>675567081.08000004</v>
      </c>
      <c r="S165" s="399"/>
      <c r="T165" s="393"/>
      <c r="U165" s="472">
        <v>681804153.17999995</v>
      </c>
      <c r="V165" s="399"/>
      <c r="W165" s="393"/>
      <c r="X165" s="475">
        <v>692050605.86000001</v>
      </c>
      <c r="Y165" s="399"/>
      <c r="Z165" s="393"/>
      <c r="AA165" s="475">
        <v>641035328.89999998</v>
      </c>
      <c r="AB165" s="399"/>
      <c r="AC165" s="393"/>
      <c r="AD165" s="475">
        <v>831021932.09000003</v>
      </c>
      <c r="AE165" s="399"/>
      <c r="AF165" s="393"/>
      <c r="AG165" s="475">
        <v>592985589.73000002</v>
      </c>
      <c r="AH165" s="399"/>
      <c r="AI165" s="393"/>
      <c r="AJ165" s="475">
        <v>394419.68</v>
      </c>
      <c r="AK165" s="399"/>
      <c r="AL165" s="399"/>
      <c r="AM165" s="399"/>
      <c r="AN165" s="399"/>
      <c r="AO165" s="393"/>
      <c r="AQ165" s="235"/>
      <c r="AR165" s="235"/>
      <c r="AS165" s="2"/>
    </row>
    <row r="166" spans="1:45" s="153" customFormat="1" hidden="1" x14ac:dyDescent="0.2">
      <c r="A166" s="226"/>
      <c r="C166" s="472">
        <f>C164-C165</f>
        <v>-47016022.880000003</v>
      </c>
      <c r="D166" s="700"/>
      <c r="E166" s="699"/>
      <c r="F166" s="472">
        <f>F164-F165</f>
        <v>-48773877.270000003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-517164154.94999999</v>
      </c>
      <c r="P166" s="399"/>
      <c r="Q166" s="393"/>
      <c r="R166" s="472">
        <f>R164-R165</f>
        <v>-675567081.08000004</v>
      </c>
      <c r="S166" s="464"/>
      <c r="T166" s="393"/>
      <c r="U166" s="472">
        <f>U164-U165</f>
        <v>-681804153.17999995</v>
      </c>
      <c r="V166" s="401"/>
      <c r="W166" s="393"/>
      <c r="X166" s="475">
        <f>X164-X165</f>
        <v>-692050605.86000001</v>
      </c>
      <c r="Y166" s="399"/>
      <c r="Z166" s="393"/>
      <c r="AA166" s="475">
        <f>AA164-AA165</f>
        <v>-641035328.89999998</v>
      </c>
      <c r="AB166" s="399"/>
      <c r="AC166" s="393"/>
      <c r="AD166" s="475">
        <f>AD164-AD165</f>
        <v>-831021932.09000003</v>
      </c>
      <c r="AE166" s="611" t="s">
        <v>509</v>
      </c>
      <c r="AF166" s="393"/>
      <c r="AG166" s="475">
        <f>AG164-AG165</f>
        <v>-592985589.73000002</v>
      </c>
      <c r="AH166" s="399"/>
      <c r="AI166" s="393"/>
      <c r="AJ166" s="475">
        <f>AJ164-AJ165</f>
        <v>-394419.68</v>
      </c>
      <c r="AK166" s="399"/>
      <c r="AL166" s="399"/>
      <c r="AM166" s="464"/>
      <c r="AN166" s="399"/>
      <c r="AO166" s="393"/>
      <c r="AQ166" s="235"/>
      <c r="AR166" s="235"/>
      <c r="AS166" s="2"/>
    </row>
    <row r="167" spans="1:45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890"/>
      <c r="AH167" s="399"/>
      <c r="AJ167" s="235"/>
      <c r="AK167" s="399"/>
      <c r="AL167" s="399"/>
      <c r="AM167" s="639"/>
      <c r="AN167" s="399"/>
      <c r="AO167" s="393"/>
      <c r="AQ167" s="235"/>
      <c r="AR167" s="235"/>
      <c r="AS167" s="2"/>
    </row>
    <row r="170" spans="1:45" x14ac:dyDescent="0.2">
      <c r="F170" s="463"/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4.6640625" style="2" customWidth="1"/>
    <col min="43" max="43" width="15.6640625" style="235" customWidth="1"/>
    <col min="44" max="44" width="7.5546875" style="235" customWidth="1"/>
    <col min="45" max="46" width="7.33203125" style="2" customWidth="1"/>
    <col min="47" max="68" width="11.44140625" style="2" customWidth="1"/>
    <col min="69" max="16384" width="11.44140625" style="2"/>
  </cols>
  <sheetData>
    <row r="2" spans="1:46" ht="24.9" customHeight="1" thickBot="1" x14ac:dyDescent="0.35">
      <c r="B2" s="236" t="s">
        <v>0</v>
      </c>
      <c r="C2" s="1027" t="s">
        <v>517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  <c r="AQ2" s="2"/>
      <c r="AR2" s="2"/>
    </row>
    <row r="3" spans="1:46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  <c r="AT3" s="821"/>
    </row>
    <row r="4" spans="1:46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893" t="s">
        <v>514</v>
      </c>
      <c r="AR4" s="622"/>
      <c r="AS4" s="622"/>
      <c r="AT4" s="236"/>
    </row>
    <row r="5" spans="1:46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7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T5" s="820"/>
    </row>
    <row r="6" spans="1:46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T6" s="820"/>
    </row>
    <row r="7" spans="1:46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T7" s="820"/>
    </row>
    <row r="8" spans="1:46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T8" s="820"/>
    </row>
    <row r="9" spans="1:46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  <c r="AT9" s="820"/>
    </row>
    <row r="10" spans="1:46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  <c r="AT10" s="820"/>
    </row>
    <row r="11" spans="1:46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  <c r="AT11" s="820"/>
    </row>
    <row r="12" spans="1:46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T12" s="822"/>
    </row>
    <row r="13" spans="1:46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  <c r="AT13" s="698"/>
    </row>
    <row r="14" spans="1:46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  <c r="AT14" s="698"/>
    </row>
    <row r="15" spans="1:46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  <c r="AT15" s="698"/>
    </row>
    <row r="16" spans="1:46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  <c r="AT16" s="820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  <c r="AT17" s="820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  <c r="AT18" s="820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  <c r="AT19" s="820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  <c r="AT20" s="820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  <c r="AT21" s="820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  <c r="AT22" s="820"/>
    </row>
    <row r="23" spans="1:46" ht="15" hidden="1" customHeight="1" outlineLevel="1" x14ac:dyDescent="0.2">
      <c r="B23" s="16" t="s">
        <v>30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  <c r="AT23" s="698"/>
    </row>
    <row r="24" spans="1:46" ht="15" hidden="1" customHeight="1" outlineLevel="1" x14ac:dyDescent="0.2">
      <c r="B24" s="16" t="s">
        <v>31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  <c r="AT24" s="698"/>
    </row>
    <row r="25" spans="1:46" ht="15" hidden="1" customHeight="1" outlineLevel="1" x14ac:dyDescent="0.2">
      <c r="B25" s="32" t="s">
        <v>32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  <c r="AT25" s="820"/>
    </row>
    <row r="26" spans="1:46" ht="15" hidden="1" customHeight="1" outlineLevel="1" x14ac:dyDescent="0.2">
      <c r="B26" s="32" t="s">
        <v>33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  <c r="AT26" s="820"/>
    </row>
    <row r="27" spans="1:46" ht="15" hidden="1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  <c r="AT27" s="820"/>
    </row>
    <row r="28" spans="1:46" ht="15" customHeight="1" collapsed="1" x14ac:dyDescent="0.2">
      <c r="B28" s="16" t="s">
        <v>35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  <c r="AT28" s="698"/>
    </row>
    <row r="29" spans="1:46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3" t="e">
        <f>L29/L13</f>
        <v>#DIV/0!</v>
      </c>
      <c r="O29" s="49">
        <f>SUM(O30:O41)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1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SUM(AQ30:AQ37)</f>
        <v>0</v>
      </c>
      <c r="AR29" s="17"/>
      <c r="AS29" s="17"/>
      <c r="AT29" s="698"/>
    </row>
    <row r="30" spans="1:46" ht="15" customHeight="1" outlineLevel="1" x14ac:dyDescent="0.2">
      <c r="A30" s="229"/>
      <c r="B30" s="262" t="s">
        <v>38</v>
      </c>
      <c r="C30" s="264"/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80"/>
      <c r="AM30" s="212">
        <f t="shared" si="0"/>
        <v>0</v>
      </c>
      <c r="AN30" s="79"/>
      <c r="AO30" s="314"/>
      <c r="AP30" s="108"/>
      <c r="AQ30" s="736"/>
      <c r="AR30" s="736"/>
      <c r="AS30" s="736"/>
      <c r="AT30" s="820"/>
    </row>
    <row r="31" spans="1:46" ht="15" customHeight="1" outlineLevel="1" x14ac:dyDescent="0.2">
      <c r="B31" s="105" t="s">
        <v>39</v>
      </c>
      <c r="C31" s="265"/>
      <c r="D31" s="43"/>
      <c r="E31" s="118"/>
      <c r="F31" s="265">
        <f>F13*0.6%</f>
        <v>0</v>
      </c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  <c r="AT31" s="820"/>
    </row>
    <row r="32" spans="1:46" ht="15" customHeight="1" outlineLevel="1" x14ac:dyDescent="0.2">
      <c r="B32" s="105" t="s">
        <v>518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>
        <f>L13*0.5%</f>
        <v>0</v>
      </c>
      <c r="M32" s="43"/>
      <c r="N32" s="118"/>
      <c r="O32" s="265">
        <f>O13*0.5%</f>
        <v>0</v>
      </c>
      <c r="P32" s="43"/>
      <c r="Q32" s="118"/>
      <c r="R32" s="265">
        <f>R13*0.5%</f>
        <v>0</v>
      </c>
      <c r="S32" s="43"/>
      <c r="T32" s="118"/>
      <c r="U32" s="265">
        <f>U13*0.5%</f>
        <v>0</v>
      </c>
      <c r="V32" s="43"/>
      <c r="W32" s="118"/>
      <c r="X32" s="265">
        <f>X13*0.5%</f>
        <v>0</v>
      </c>
      <c r="Y32" s="43"/>
      <c r="Z32" s="118"/>
      <c r="AA32" s="265">
        <f>AA13*0.5%</f>
        <v>0</v>
      </c>
      <c r="AB32" s="43"/>
      <c r="AC32" s="118"/>
      <c r="AD32" s="265">
        <f>AD13*0.5%</f>
        <v>0</v>
      </c>
      <c r="AE32" s="43"/>
      <c r="AF32" s="118"/>
      <c r="AG32" s="265">
        <f>AG13*0.5%</f>
        <v>0</v>
      </c>
      <c r="AH32" s="43"/>
      <c r="AI32" s="118"/>
      <c r="AJ32" s="265">
        <f>AJ13*0.5%</f>
        <v>0</v>
      </c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  <c r="AT32" s="820"/>
    </row>
    <row r="33" spans="1:46" ht="15" customHeight="1" outlineLevel="1" x14ac:dyDescent="0.2">
      <c r="B33" s="105" t="s">
        <v>40</v>
      </c>
      <c r="C33" s="205"/>
      <c r="D33" s="43"/>
      <c r="E33" s="118"/>
      <c r="F33" s="25"/>
      <c r="G33" s="43"/>
      <c r="H33" s="118"/>
      <c r="I33" s="25"/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  <c r="AT33" s="820"/>
    </row>
    <row r="34" spans="1:46" ht="15" customHeight="1" outlineLevel="1" x14ac:dyDescent="0.2">
      <c r="B34" s="105" t="s">
        <v>42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  <c r="AT34" s="820"/>
    </row>
    <row r="35" spans="1:46" ht="15" customHeight="1" outlineLevel="1" x14ac:dyDescent="0.2">
      <c r="A35" s="229"/>
      <c r="B35" s="335" t="s">
        <v>43</v>
      </c>
      <c r="C35" s="91"/>
      <c r="D35" s="92"/>
      <c r="E35" s="338"/>
      <c r="F35" s="91"/>
      <c r="G35" s="92"/>
      <c r="H35" s="338"/>
      <c r="I35" s="91"/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  <c r="AP35" s="108"/>
      <c r="AQ35" s="133"/>
      <c r="AR35" s="133"/>
      <c r="AS35" s="133"/>
      <c r="AT35" s="820"/>
    </row>
    <row r="36" spans="1:46" ht="15" customHeight="1" outlineLevel="1" x14ac:dyDescent="0.2">
      <c r="A36" s="229"/>
      <c r="B36" s="105" t="s">
        <v>44</v>
      </c>
      <c r="C36" s="832"/>
      <c r="D36" s="833"/>
      <c r="E36" s="834"/>
      <c r="F36" s="832"/>
      <c r="G36" s="833"/>
      <c r="H36" s="834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5">
        <f t="shared" si="0"/>
        <v>0</v>
      </c>
      <c r="AN36" s="43"/>
      <c r="AO36" s="309"/>
      <c r="AP36" s="108"/>
      <c r="AQ36" s="24"/>
      <c r="AR36" s="24"/>
      <c r="AS36" s="24"/>
      <c r="AT36" s="820"/>
    </row>
    <row r="37" spans="1:46" ht="15" customHeight="1" outlineLevel="1" x14ac:dyDescent="0.2">
      <c r="B37" s="30" t="s">
        <v>519</v>
      </c>
      <c r="C37" s="835"/>
      <c r="D37" s="836"/>
      <c r="E37" s="837"/>
      <c r="F37" s="835"/>
      <c r="G37" s="836"/>
      <c r="H37" s="837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5"/>
      <c r="AQ37" s="23"/>
      <c r="AR37" s="23"/>
      <c r="AS37" s="23"/>
      <c r="AT37" s="820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  <c r="AT38" s="820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  <c r="AT39" s="820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  <c r="AT40" s="820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  <c r="AT41" s="820"/>
    </row>
    <row r="42" spans="1:46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  <c r="AT42" s="698"/>
    </row>
    <row r="43" spans="1:46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818" t="e">
        <f>(L46+L61)/(L13)</f>
        <v>#DIV/0!</v>
      </c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818" t="e">
        <f>(AM46+AM61)/(AM13)</f>
        <v>#DIV/0!</v>
      </c>
      <c r="AQ43" s="136"/>
      <c r="AR43" s="2"/>
      <c r="AS43" s="815" t="e">
        <f>(AQ46+AQ61)/(AQ13-AQ20-AQ21-AQ22)</f>
        <v>#DIV/0!</v>
      </c>
      <c r="AT43" s="721"/>
    </row>
    <row r="44" spans="1:46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118502795.60000001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118502795.60000001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  <c r="AT44" s="701"/>
    </row>
    <row r="45" spans="1:46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  <c r="AT45" s="701"/>
    </row>
    <row r="46" spans="1:46" ht="15" customHeight="1" x14ac:dyDescent="0.2">
      <c r="B46" s="36" t="s">
        <v>370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  <c r="AT46" s="823"/>
    </row>
    <row r="47" spans="1:46" ht="15" customHeight="1" x14ac:dyDescent="0.2">
      <c r="A47" s="226" t="s">
        <v>520</v>
      </c>
      <c r="B47" s="97" t="s">
        <v>471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42" t="e">
        <f>AQ47/$AM$5</f>
        <v>#DIV/0!</v>
      </c>
      <c r="AS47" s="315" t="e">
        <f>AQ47/AQ13</f>
        <v>#DIV/0!</v>
      </c>
      <c r="AT47" s="823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43" t="e">
        <f>AQ48/AQ12</f>
        <v>#DIV/0!</v>
      </c>
      <c r="AS48" s="309"/>
      <c r="AT48" s="823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  <c r="AT49" s="823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  <c r="AT50" s="823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  <c r="AT51" s="823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  <c r="AT52" s="823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  <c r="AT53" s="823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  <c r="AT54" s="823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  <c r="AT55" s="823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  <c r="AT56" s="823"/>
    </row>
    <row r="57" spans="1:46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  <c r="AT57" s="824"/>
    </row>
    <row r="58" spans="1:46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  <c r="AT58" s="823"/>
    </row>
    <row r="59" spans="1:46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  <c r="AT59" s="823"/>
    </row>
    <row r="60" spans="1:46" ht="15" hidden="1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118502795.60000001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118502795.60000001</v>
      </c>
      <c r="AN60" s="3"/>
      <c r="AO60" s="313"/>
      <c r="AQ60" s="17">
        <f>+AQ61+AQ72+AQ75+AQ76+AQ77</f>
        <v>0</v>
      </c>
      <c r="AR60" s="17"/>
      <c r="AS60" s="648"/>
      <c r="AT60" s="701"/>
    </row>
    <row r="61" spans="1:46" ht="15" hidden="1" customHeight="1" x14ac:dyDescent="0.2">
      <c r="B61" s="36" t="s">
        <v>370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  <c r="AT61" s="823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  <c r="AT62" s="823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  <c r="AT63" s="823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  <c r="AT64" s="823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  <c r="AT65" s="823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  <c r="AT66" s="823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  <c r="AT67" s="823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  <c r="AT68" s="823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  <c r="AT69" s="823"/>
    </row>
    <row r="70" spans="1:4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  <c r="AT70" s="823"/>
    </row>
    <row r="71" spans="1:4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  <c r="AT71" s="823"/>
    </row>
    <row r="72" spans="1:46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118502795.60000001</v>
      </c>
      <c r="M72" s="47"/>
      <c r="N72" s="152" t="e">
        <f>L72/L13</f>
        <v>#DIV/0!</v>
      </c>
      <c r="O72" s="46">
        <f>SUM(O73:O74)</f>
        <v>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7">
        <f t="shared" si="5"/>
        <v>118502795.60000001</v>
      </c>
      <c r="AN72" s="47"/>
      <c r="AO72" s="152" t="e">
        <f>AM72/AM13</f>
        <v>#DIV/0!</v>
      </c>
      <c r="AQ72" s="29">
        <f>SUM(AQ73:AQ74)</f>
        <v>0</v>
      </c>
      <c r="AR72" s="29"/>
      <c r="AS72" s="652" t="e">
        <f>AQ72/(AQ$13-AQ$20)</f>
        <v>#DIV/0!</v>
      </c>
      <c r="AT72" s="824"/>
    </row>
    <row r="73" spans="1:46" ht="15" customHeight="1" x14ac:dyDescent="0.2">
      <c r="B73" s="411" t="s">
        <v>63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>
        <f>'GASTOS VEHICULOS'!F25*'%DIST'!H28</f>
        <v>118502795.60000001</v>
      </c>
      <c r="M73" s="305"/>
      <c r="N73" s="412"/>
      <c r="O73" s="304">
        <f>'GASTOS VEHICULOS'!G25*'%DIST'!J28</f>
        <v>0</v>
      </c>
      <c r="P73" s="305"/>
      <c r="Q73" s="412"/>
      <c r="R73" s="304">
        <f>'GASTOS VEHICULOS'!H25*'%DIST'!L28</f>
        <v>0</v>
      </c>
      <c r="S73" s="305"/>
      <c r="T73" s="412"/>
      <c r="U73" s="304">
        <f>'GASTOS VEHICULOS'!I25*'%DIST'!N28</f>
        <v>0</v>
      </c>
      <c r="V73" s="305"/>
      <c r="W73" s="412"/>
      <c r="X73" s="304">
        <f>'GASTOS VEHICULOS'!J25*'%DIST'!P28</f>
        <v>0</v>
      </c>
      <c r="Y73" s="305"/>
      <c r="Z73" s="412"/>
      <c r="AA73" s="304">
        <f>'GASTOS VEHICULOS'!K25*'%DIST'!R28</f>
        <v>0</v>
      </c>
      <c r="AB73" s="305"/>
      <c r="AC73" s="412"/>
      <c r="AD73" s="304">
        <f>'GASTOS VEHICULOS'!L25*'%DIST'!T28</f>
        <v>0</v>
      </c>
      <c r="AE73" s="305"/>
      <c r="AF73" s="412"/>
      <c r="AG73" s="304">
        <f>'GASTOS VEHICULOS'!M25*'%DIST'!V28</f>
        <v>0</v>
      </c>
      <c r="AH73" s="305"/>
      <c r="AI73" s="412"/>
      <c r="AJ73" s="304"/>
      <c r="AK73" s="305"/>
      <c r="AL73" s="86"/>
      <c r="AM73" s="413">
        <f t="shared" si="5"/>
        <v>118502795.60000001</v>
      </c>
      <c r="AN73" s="305"/>
      <c r="AO73" s="417"/>
      <c r="AQ73" s="298"/>
      <c r="AR73" s="298"/>
      <c r="AS73" s="653"/>
      <c r="AT73" s="823"/>
    </row>
    <row r="74" spans="1:46" ht="15" customHeight="1" x14ac:dyDescent="0.2">
      <c r="B74" s="415" t="s">
        <v>65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  <c r="AT74" s="823"/>
    </row>
    <row r="75" spans="1:46" ht="15" customHeight="1" x14ac:dyDescent="0.2">
      <c r="A75" s="226" t="s">
        <v>521</v>
      </c>
      <c r="B75" s="36" t="s">
        <v>66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  <c r="AT75" s="823"/>
    </row>
    <row r="76" spans="1:46" ht="15" customHeight="1" x14ac:dyDescent="0.2">
      <c r="B76" s="36" t="s">
        <v>68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  <c r="AT76" s="823"/>
    </row>
    <row r="77" spans="1:46" ht="15" customHeight="1" x14ac:dyDescent="0.2">
      <c r="B77" s="66" t="s">
        <v>70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  <c r="AT77" s="823"/>
    </row>
    <row r="78" spans="1:46" ht="15" customHeight="1" x14ac:dyDescent="0.2">
      <c r="B78" s="16" t="s">
        <v>71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  <c r="AT78" s="701"/>
    </row>
    <row r="79" spans="1:46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  <c r="AT79" s="244"/>
    </row>
    <row r="80" spans="1:46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  <c r="AT80" s="823"/>
    </row>
    <row r="81" spans="2:46" ht="15" customHeight="1" thickBot="1" x14ac:dyDescent="0.25">
      <c r="B81" s="98" t="s">
        <v>212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  <c r="AT81" s="823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  <c r="AT82" s="244"/>
    </row>
    <row r="83" spans="2:46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  <c r="AT83" s="701"/>
    </row>
    <row r="84" spans="2:46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  <c r="AT84" s="701"/>
    </row>
    <row r="85" spans="2:46" ht="15" customHeight="1" x14ac:dyDescent="0.2">
      <c r="B85" s="39" t="s">
        <v>78</v>
      </c>
      <c r="C85" s="39"/>
      <c r="D85" s="69"/>
      <c r="E85" s="306"/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  <c r="AT85" s="823"/>
    </row>
    <row r="86" spans="2:46" ht="15" customHeight="1" x14ac:dyDescent="0.2">
      <c r="B86" s="25" t="s">
        <v>79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  <c r="AT86" s="823"/>
    </row>
    <row r="87" spans="2:46" ht="15" customHeight="1" x14ac:dyDescent="0.2">
      <c r="B87" s="97" t="s">
        <v>81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  <c r="AT87" s="823"/>
    </row>
    <row r="88" spans="2:46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  <c r="AT88" s="823"/>
    </row>
    <row r="89" spans="2:46" ht="15" customHeight="1" x14ac:dyDescent="0.2">
      <c r="B89" s="16" t="s">
        <v>84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  <c r="AT89" s="701"/>
    </row>
    <row r="90" spans="2:46" ht="15" customHeight="1" outlineLevel="1" x14ac:dyDescent="0.2">
      <c r="B90" s="39" t="s">
        <v>85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  <c r="AT90" s="823"/>
    </row>
    <row r="91" spans="2:46" ht="15" customHeight="1" outlineLevel="1" x14ac:dyDescent="0.2">
      <c r="B91" s="83" t="s">
        <v>86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  <c r="AT91" s="823"/>
    </row>
    <row r="92" spans="2:46" ht="15" customHeight="1" x14ac:dyDescent="0.2">
      <c r="B92" s="16" t="s">
        <v>87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  <c r="AT92" s="701"/>
    </row>
    <row r="93" spans="2:46" ht="15" customHeight="1" outlineLevel="1" x14ac:dyDescent="0.2">
      <c r="B93" s="39" t="s">
        <v>88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  <c r="AT93" s="823"/>
    </row>
    <row r="94" spans="2:46" ht="15" customHeight="1" outlineLevel="1" x14ac:dyDescent="0.2">
      <c r="B94" s="25" t="s">
        <v>89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  <c r="AT94" s="823"/>
    </row>
    <row r="95" spans="2:46" ht="15" customHeight="1" outlineLevel="1" x14ac:dyDescent="0.2">
      <c r="B95" s="28" t="s">
        <v>90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  <c r="AT95" s="823"/>
    </row>
    <row r="96" spans="2:46" ht="15" customHeight="1" x14ac:dyDescent="0.2">
      <c r="B96" s="106" t="s">
        <v>91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  <c r="AT96" s="701"/>
    </row>
    <row r="97" spans="1:46" s="108" customFormat="1" ht="15" customHeight="1" outlineLevel="1" x14ac:dyDescent="0.2">
      <c r="A97" s="229"/>
      <c r="B97" s="39" t="s">
        <v>92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  <c r="AT97" s="823"/>
    </row>
    <row r="98" spans="1:46" s="108" customFormat="1" ht="15" customHeight="1" outlineLevel="1" x14ac:dyDescent="0.2">
      <c r="A98" s="229"/>
      <c r="B98" s="275" t="s">
        <v>379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  <c r="AT98" s="823"/>
    </row>
    <row r="99" spans="1:46" ht="15" customHeight="1" x14ac:dyDescent="0.2">
      <c r="B99" s="16" t="s">
        <v>94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  <c r="AT99" s="701"/>
    </row>
    <row r="100" spans="1:46" ht="15" customHeight="1" outlineLevel="1" x14ac:dyDescent="0.2">
      <c r="B100" s="39" t="s">
        <v>95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  <c r="AT100" s="823"/>
    </row>
    <row r="101" spans="1:46" ht="15" customHeight="1" outlineLevel="1" x14ac:dyDescent="0.2">
      <c r="B101" s="25" t="s">
        <v>212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  <c r="AT101" s="823"/>
    </row>
    <row r="102" spans="1:46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  <c r="AT102" s="823"/>
    </row>
    <row r="103" spans="1:46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  <c r="AT103" s="823"/>
    </row>
    <row r="104" spans="1:46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  <c r="AT104" s="823"/>
    </row>
    <row r="105" spans="1:46" ht="15" customHeight="1" outlineLevel="1" x14ac:dyDescent="0.2">
      <c r="B105" s="24" t="s">
        <v>103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  <c r="AT105" s="823"/>
    </row>
    <row r="106" spans="1:46" ht="15" customHeight="1" outlineLevel="1" x14ac:dyDescent="0.2">
      <c r="B106" s="24" t="s">
        <v>104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  <c r="AT106" s="823"/>
    </row>
    <row r="107" spans="1:46" ht="15" customHeight="1" outlineLevel="1" x14ac:dyDescent="0.2">
      <c r="B107" s="24" t="s">
        <v>105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  <c r="AT107" s="823"/>
    </row>
    <row r="108" spans="1:46" ht="15" customHeight="1" outlineLevel="1" x14ac:dyDescent="0.2">
      <c r="B108" s="99" t="s">
        <v>106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  <c r="AT108" s="823"/>
    </row>
    <row r="109" spans="1:46" ht="15" customHeight="1" x14ac:dyDescent="0.2">
      <c r="B109" s="16" t="s">
        <v>107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  <c r="AT109" s="701"/>
    </row>
    <row r="110" spans="1:46" ht="15" customHeight="1" outlineLevel="1" x14ac:dyDescent="0.2">
      <c r="B110" s="39" t="s">
        <v>108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  <c r="AT110" s="823"/>
    </row>
    <row r="111" spans="1:46" ht="15" customHeight="1" outlineLevel="1" x14ac:dyDescent="0.2">
      <c r="B111" s="25" t="s">
        <v>109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  <c r="AT111" s="823"/>
    </row>
    <row r="112" spans="1:46" ht="15" customHeight="1" outlineLevel="1" x14ac:dyDescent="0.2">
      <c r="B112" s="25" t="s">
        <v>110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  <c r="AT112" s="823"/>
    </row>
    <row r="113" spans="2:46" ht="15" customHeight="1" outlineLevel="1" x14ac:dyDescent="0.2">
      <c r="B113" s="28" t="s">
        <v>111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  <c r="AT113" s="823"/>
    </row>
    <row r="114" spans="2:46" ht="15" customHeight="1" x14ac:dyDescent="0.2">
      <c r="B114" s="16" t="s">
        <v>112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  <c r="AT114" s="701"/>
    </row>
    <row r="115" spans="2:46" ht="15" customHeight="1" outlineLevel="1" x14ac:dyDescent="0.2">
      <c r="B115" s="39" t="s">
        <v>113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  <c r="AT115" s="823"/>
    </row>
    <row r="116" spans="2:46" ht="15" customHeight="1" outlineLevel="1" x14ac:dyDescent="0.2">
      <c r="B116" s="25" t="s">
        <v>114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  <c r="AT116" s="823"/>
    </row>
    <row r="117" spans="2:46" ht="15" customHeight="1" outlineLevel="1" x14ac:dyDescent="0.2">
      <c r="B117" s="205" t="s">
        <v>115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  <c r="AT117" s="823"/>
    </row>
    <row r="118" spans="2:46" ht="15" customHeight="1" outlineLevel="1" x14ac:dyDescent="0.2">
      <c r="B118" s="205" t="s">
        <v>116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  <c r="AT118" s="823"/>
    </row>
    <row r="119" spans="2:46" ht="15" customHeight="1" outlineLevel="1" x14ac:dyDescent="0.2">
      <c r="B119" s="97" t="s">
        <v>381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  <c r="AT119" s="823"/>
    </row>
    <row r="120" spans="2:46" ht="15" customHeight="1" x14ac:dyDescent="0.2">
      <c r="B120" s="16" t="s">
        <v>118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  <c r="AT120" s="701"/>
    </row>
    <row r="121" spans="2:46" ht="15" customHeight="1" x14ac:dyDescent="0.2">
      <c r="B121" s="39" t="s">
        <v>119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  <c r="AT121" s="823"/>
    </row>
    <row r="122" spans="2:46" ht="15" customHeight="1" x14ac:dyDescent="0.2">
      <c r="B122" s="284" t="s">
        <v>120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  <c r="AT122" s="823"/>
    </row>
    <row r="123" spans="2:46" ht="15" customHeight="1" x14ac:dyDescent="0.2">
      <c r="B123" s="16" t="s">
        <v>121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  <c r="AT123" s="701"/>
    </row>
    <row r="124" spans="2:46" ht="15" customHeight="1" outlineLevel="1" x14ac:dyDescent="0.2">
      <c r="B124" s="39" t="s">
        <v>122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  <c r="AT124" s="823"/>
    </row>
    <row r="125" spans="2:46" ht="15" customHeight="1" outlineLevel="1" x14ac:dyDescent="0.2">
      <c r="B125" s="25" t="s">
        <v>123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  <c r="AT125" s="823"/>
    </row>
    <row r="126" spans="2:46" ht="15" customHeight="1" outlineLevel="1" x14ac:dyDescent="0.2">
      <c r="B126" s="28" t="s">
        <v>124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  <c r="AT126" s="823"/>
    </row>
    <row r="127" spans="2:46" ht="15" customHeight="1" x14ac:dyDescent="0.2">
      <c r="B127" s="16" t="s">
        <v>125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  <c r="AT127" s="701"/>
    </row>
    <row r="128" spans="2:46" ht="15" customHeight="1" outlineLevel="1" x14ac:dyDescent="0.2"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  <c r="AT128" s="823"/>
    </row>
    <row r="129" spans="1:46" ht="15" customHeight="1" outlineLevel="1" x14ac:dyDescent="0.2">
      <c r="B129" s="25" t="s">
        <v>129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  <c r="AT129" s="823"/>
    </row>
    <row r="130" spans="1:46" ht="15" customHeight="1" outlineLevel="1" x14ac:dyDescent="0.2">
      <c r="B130" s="25" t="s">
        <v>131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  <c r="AT130" s="823"/>
    </row>
    <row r="131" spans="1:46" ht="15" customHeight="1" outlineLevel="1" x14ac:dyDescent="0.2">
      <c r="A131" s="226" t="s">
        <v>132</v>
      </c>
      <c r="B131" s="25" t="s">
        <v>133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  <c r="AT131" s="823"/>
    </row>
    <row r="132" spans="1:46" ht="15" customHeight="1" outlineLevel="1" x14ac:dyDescent="0.2">
      <c r="B132" s="25" t="s">
        <v>134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  <c r="AT132" s="823"/>
    </row>
    <row r="133" spans="1:46" ht="15" customHeight="1" outlineLevel="1" x14ac:dyDescent="0.2">
      <c r="A133" s="226" t="s">
        <v>135</v>
      </c>
      <c r="B133" s="25" t="s">
        <v>136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  <c r="AT133" s="823"/>
    </row>
    <row r="134" spans="1:46" ht="15" customHeight="1" outlineLevel="1" x14ac:dyDescent="0.2">
      <c r="B134" s="25" t="s">
        <v>138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  <c r="AT134" s="823"/>
    </row>
    <row r="135" spans="1:46" ht="15" customHeight="1" outlineLevel="1" x14ac:dyDescent="0.2">
      <c r="B135" s="25" t="s">
        <v>139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  <c r="AT135" s="823"/>
    </row>
    <row r="136" spans="1:46" ht="15" customHeight="1" outlineLevel="1" x14ac:dyDescent="0.2">
      <c r="B136" s="25" t="s">
        <v>140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  <c r="AT136" s="823"/>
    </row>
    <row r="137" spans="1:46" ht="15" customHeight="1" outlineLevel="1" x14ac:dyDescent="0.2">
      <c r="B137" s="25" t="s">
        <v>141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  <c r="AT137" s="823"/>
    </row>
    <row r="138" spans="1:46" ht="15" customHeight="1" outlineLevel="1" x14ac:dyDescent="0.2">
      <c r="B138" s="25" t="s">
        <v>142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  <c r="AT138" s="823"/>
    </row>
    <row r="139" spans="1:46" ht="15" customHeight="1" outlineLevel="1" x14ac:dyDescent="0.2">
      <c r="B139" s="25" t="s">
        <v>143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  <c r="AT139" s="823"/>
    </row>
    <row r="140" spans="1:46" ht="15" customHeight="1" outlineLevel="1" x14ac:dyDescent="0.2">
      <c r="B140" s="25" t="s">
        <v>145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  <c r="AT140" s="823"/>
    </row>
    <row r="141" spans="1:46" ht="15" customHeight="1" outlineLevel="1" x14ac:dyDescent="0.2">
      <c r="B141" s="25" t="s">
        <v>146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  <c r="AT141" s="823"/>
    </row>
    <row r="142" spans="1:46" ht="15" customHeight="1" outlineLevel="1" thickBot="1" x14ac:dyDescent="0.25">
      <c r="B142" s="269" t="s">
        <v>148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  <c r="AT142" s="823"/>
    </row>
    <row r="143" spans="1:46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  <c r="AT143" s="244"/>
    </row>
    <row r="144" spans="1:46" ht="15" customHeight="1" thickTop="1" thickBot="1" x14ac:dyDescent="0.25">
      <c r="B144" s="525" t="s">
        <v>149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-118502795.60000001</v>
      </c>
      <c r="AN144" s="494"/>
      <c r="AO144" s="584"/>
      <c r="AQ144" s="626">
        <f>+AQ42-AQ44-AQ83</f>
        <v>0</v>
      </c>
      <c r="AR144" s="626"/>
      <c r="AS144" s="662"/>
      <c r="AT144" s="701"/>
    </row>
    <row r="145" spans="2:46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  <c r="AT145" s="701"/>
    </row>
    <row r="146" spans="2:46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  <c r="AT146" s="721"/>
    </row>
    <row r="147" spans="2:46" ht="15" customHeight="1" thickTop="1" x14ac:dyDescent="0.2">
      <c r="B147" s="526" t="s">
        <v>150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  <c r="AT147" s="701"/>
    </row>
    <row r="148" spans="2:46" ht="15" customHeight="1" x14ac:dyDescent="0.2">
      <c r="B148" s="18" t="s">
        <v>151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/>
      <c r="AQ148" s="31"/>
      <c r="AR148" s="31"/>
      <c r="AS148" s="659"/>
      <c r="AT148" s="823"/>
    </row>
    <row r="149" spans="2:46" ht="15" customHeight="1" x14ac:dyDescent="0.2">
      <c r="B149" s="285" t="s">
        <v>152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  <c r="AT149" s="823"/>
    </row>
    <row r="150" spans="2:46" ht="15" customHeight="1" x14ac:dyDescent="0.2">
      <c r="B150" s="107" t="s">
        <v>153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  <c r="AQ150" s="24"/>
      <c r="AR150" s="24"/>
      <c r="AS150" s="651"/>
      <c r="AT150" s="823"/>
    </row>
    <row r="151" spans="2:46" ht="15" customHeight="1" thickBot="1" x14ac:dyDescent="0.25">
      <c r="B151" s="300" t="s">
        <v>154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  <c r="AT151" s="823"/>
    </row>
    <row r="152" spans="2:46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  <c r="AT152" s="244"/>
    </row>
    <row r="153" spans="2:46" ht="15" customHeight="1" thickTop="1" thickBot="1" x14ac:dyDescent="0.25">
      <c r="B153" s="524" t="s">
        <v>155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  <c r="AT153" s="701"/>
    </row>
    <row r="154" spans="2:46" ht="15" customHeight="1" thickTop="1" x14ac:dyDescent="0.2">
      <c r="B154" s="40" t="s">
        <v>156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634"/>
      <c r="S154" s="230"/>
      <c r="T154" s="343"/>
      <c r="U154" s="286"/>
      <c r="V154" s="230"/>
      <c r="W154" s="343"/>
      <c r="X154" s="286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  <c r="AT154" s="256"/>
    </row>
    <row r="155" spans="2:46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848"/>
      <c r="S155" s="9"/>
      <c r="T155" s="566"/>
      <c r="U155" s="692"/>
      <c r="V155" s="9"/>
      <c r="W155" s="566"/>
      <c r="X155" s="692"/>
      <c r="Y155" s="9"/>
      <c r="Z155" s="566"/>
      <c r="AA155" s="693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565">
        <f t="shared" si="8"/>
        <v>0</v>
      </c>
      <c r="AN155" s="9"/>
      <c r="AO155" s="690"/>
      <c r="AQ155" s="705"/>
      <c r="AR155" s="248"/>
      <c r="AS155" s="672"/>
      <c r="AT155" s="256"/>
    </row>
    <row r="156" spans="2:46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294">
        <v>0</v>
      </c>
      <c r="S156" s="675"/>
      <c r="T156" s="676"/>
      <c r="U156" s="686"/>
      <c r="V156" s="675"/>
      <c r="W156" s="676"/>
      <c r="X156" s="686"/>
      <c r="Y156" s="675"/>
      <c r="Z156" s="676"/>
      <c r="AA156" s="688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680">
        <f t="shared" si="8"/>
        <v>0</v>
      </c>
      <c r="AN156" s="675"/>
      <c r="AO156" s="681"/>
      <c r="AQ156" s="764"/>
      <c r="AR156" s="248"/>
      <c r="AS156" s="672"/>
      <c r="AT156" s="256"/>
    </row>
    <row r="157" spans="2:46" ht="15" customHeight="1" x14ac:dyDescent="0.2">
      <c r="B157" s="550" t="s">
        <v>478</v>
      </c>
      <c r="C157" s="561"/>
      <c r="D157" s="551"/>
      <c r="E157" s="552"/>
      <c r="F157" s="565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705"/>
      <c r="AR157" s="559"/>
      <c r="AS157" s="667"/>
      <c r="AT157" s="256"/>
    </row>
    <row r="158" spans="2:46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75"/>
      <c r="AR158" s="296"/>
      <c r="AS158" s="671"/>
      <c r="AT158" s="256"/>
    </row>
    <row r="159" spans="2:46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  <c r="AT159" s="256"/>
    </row>
    <row r="160" spans="2:46" ht="15" customHeight="1" thickBot="1" x14ac:dyDescent="0.25">
      <c r="B160" s="291" t="s">
        <v>522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2"/>
      <c r="M160" s="13"/>
      <c r="N160" s="344"/>
      <c r="O160" s="232"/>
      <c r="P160" s="13"/>
      <c r="Q160" s="344"/>
      <c r="R160" s="232"/>
      <c r="S160" s="233"/>
      <c r="T160" s="345"/>
      <c r="U160" s="232"/>
      <c r="V160" s="233"/>
      <c r="W160" s="345"/>
      <c r="X160" s="232"/>
      <c r="Y160" s="233"/>
      <c r="Z160" s="345"/>
      <c r="AA160" s="232"/>
      <c r="AB160" s="233"/>
      <c r="AC160" s="345"/>
      <c r="AD160" s="232"/>
      <c r="AE160" s="233"/>
      <c r="AF160" s="345"/>
      <c r="AG160" s="232"/>
      <c r="AH160" s="233"/>
      <c r="AI160" s="345"/>
      <c r="AJ160" s="232"/>
      <c r="AK160" s="233"/>
      <c r="AL160" s="247"/>
      <c r="AM160" s="292">
        <f t="shared" si="8"/>
        <v>0</v>
      </c>
      <c r="AN160" s="809"/>
      <c r="AO160" s="333" t="e">
        <f>AM160/AM13</f>
        <v>#DIV/0!</v>
      </c>
      <c r="AQ160" s="620"/>
      <c r="AR160" s="620"/>
      <c r="AS160" s="668"/>
      <c r="AT160" s="256"/>
    </row>
    <row r="161" spans="1:46" ht="15" customHeight="1" thickTop="1" thickBot="1" x14ac:dyDescent="0.25">
      <c r="B161" s="524" t="s">
        <v>163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-118502795.60000001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-118502795.60000001</v>
      </c>
      <c r="AN161" s="498"/>
      <c r="AO161" s="586"/>
      <c r="AQ161" s="628">
        <f>AQ144-AQ147-AQ153</f>
        <v>0</v>
      </c>
      <c r="AR161" s="628"/>
      <c r="AS161" s="665"/>
      <c r="AT161" s="701"/>
    </row>
    <row r="162" spans="1:46" ht="14.4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  <c r="AT162" s="701"/>
    </row>
    <row r="163" spans="1:46" ht="10.8" customHeight="1" thickTop="1" x14ac:dyDescent="0.2"/>
    <row r="164" spans="1:46" s="153" customFormat="1" hidden="1" x14ac:dyDescent="0.2">
      <c r="A164" s="226"/>
      <c r="C164" s="399"/>
      <c r="D164" s="399"/>
      <c r="E164" s="393"/>
      <c r="F164" s="547"/>
      <c r="G164" s="399"/>
      <c r="H164" s="393"/>
      <c r="I164" s="547"/>
      <c r="J164" s="399"/>
      <c r="K164" s="393"/>
      <c r="L164" s="616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5">
        <f>R44+R83-R73-R85-R58</f>
        <v>0</v>
      </c>
      <c r="S164" s="399"/>
      <c r="T164" s="393"/>
      <c r="U164" s="475">
        <f>U44+U83-U73-U85-U58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  <c r="AT164" s="2"/>
    </row>
    <row r="165" spans="1:46" s="153" customFormat="1" hidden="1" x14ac:dyDescent="0.2">
      <c r="A165" s="226"/>
      <c r="C165" s="399"/>
      <c r="D165" s="399"/>
      <c r="E165" s="393"/>
      <c r="F165" s="547"/>
      <c r="G165" s="399"/>
      <c r="H165" s="393"/>
      <c r="I165" s="547"/>
      <c r="J165" s="399"/>
      <c r="K165" s="393"/>
      <c r="L165" s="616">
        <v>248496098.22</v>
      </c>
      <c r="M165" s="399"/>
      <c r="N165" s="393"/>
      <c r="O165" s="472">
        <v>232932438</v>
      </c>
      <c r="P165" s="399"/>
      <c r="Q165" s="393"/>
      <c r="R165" s="475">
        <v>247608078.25999999</v>
      </c>
      <c r="S165" s="399"/>
      <c r="T165" s="393"/>
      <c r="U165" s="475">
        <v>2469802.02</v>
      </c>
      <c r="V165" s="399"/>
      <c r="W165" s="393"/>
      <c r="X165" s="475">
        <v>242923595.62</v>
      </c>
      <c r="Y165" s="399"/>
      <c r="Z165" s="393"/>
      <c r="AA165" s="475">
        <v>245927632.56999999</v>
      </c>
      <c r="AB165" s="399"/>
      <c r="AC165" s="393"/>
      <c r="AD165" s="475">
        <v>247341748.46000001</v>
      </c>
      <c r="AE165" s="399"/>
      <c r="AF165" s="393"/>
      <c r="AG165" s="475">
        <v>255609489.47999999</v>
      </c>
      <c r="AH165" s="399"/>
      <c r="AI165" s="393"/>
      <c r="AJ165" s="475">
        <v>251921253.38</v>
      </c>
      <c r="AK165" s="399"/>
      <c r="AL165" s="399"/>
      <c r="AM165" s="399"/>
      <c r="AN165" s="399"/>
      <c r="AO165" s="393"/>
      <c r="AQ165" s="235"/>
      <c r="AR165" s="235"/>
      <c r="AS165" s="2"/>
      <c r="AT165" s="2"/>
    </row>
    <row r="166" spans="1:46" s="153" customFormat="1" hidden="1" x14ac:dyDescent="0.2">
      <c r="A166" s="226"/>
      <c r="C166" s="399"/>
      <c r="D166" s="399"/>
      <c r="E166" s="393"/>
      <c r="F166" s="547"/>
      <c r="G166" s="464"/>
      <c r="H166" s="421"/>
      <c r="I166" s="568"/>
      <c r="J166" s="399"/>
      <c r="K166" s="421"/>
      <c r="L166" s="616">
        <f>L164-L165</f>
        <v>-248496098.22</v>
      </c>
      <c r="M166" s="399"/>
      <c r="N166" s="393"/>
      <c r="O166" s="472">
        <f>O164-O165</f>
        <v>-232932438</v>
      </c>
      <c r="P166" s="399"/>
      <c r="Q166" s="393"/>
      <c r="R166" s="475">
        <f>R164-R165</f>
        <v>-247608078.25999999</v>
      </c>
      <c r="S166" s="399"/>
      <c r="T166" s="393"/>
      <c r="U166" s="475">
        <f>U164-U165</f>
        <v>-2469802.02</v>
      </c>
      <c r="V166" s="399"/>
      <c r="W166" s="393"/>
      <c r="X166" s="475">
        <f>X164-X165</f>
        <v>-242923595.62</v>
      </c>
      <c r="Y166" s="399"/>
      <c r="Z166" s="393"/>
      <c r="AA166" s="475">
        <f>AA164-AA165</f>
        <v>-245927632.56999999</v>
      </c>
      <c r="AB166" s="399"/>
      <c r="AC166" s="393"/>
      <c r="AD166" s="475">
        <f>AD164-AD165</f>
        <v>-247341748.46000001</v>
      </c>
      <c r="AE166" s="399"/>
      <c r="AF166" s="393"/>
      <c r="AG166" s="475">
        <f>AG164-AG165</f>
        <v>-255609489.47999999</v>
      </c>
      <c r="AH166" s="399"/>
      <c r="AI166" s="393"/>
      <c r="AJ166" s="475">
        <f>AJ164-AJ165</f>
        <v>-251921253.38</v>
      </c>
      <c r="AK166" s="399"/>
      <c r="AL166" s="399"/>
      <c r="AM166" s="464"/>
      <c r="AN166" s="399"/>
      <c r="AO166" s="393"/>
      <c r="AQ166" s="235"/>
      <c r="AR166" s="235"/>
      <c r="AS166" s="2"/>
      <c r="AT166" s="2"/>
    </row>
    <row r="167" spans="1:46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475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401"/>
      <c r="AN167" s="399"/>
      <c r="AO167" s="393"/>
      <c r="AQ167" s="235"/>
      <c r="AR167" s="235"/>
      <c r="AS167" s="2"/>
      <c r="AT167" s="2"/>
    </row>
    <row r="170" spans="1:46" x14ac:dyDescent="0.2">
      <c r="AD170" s="463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1">
    <tabColor rgb="FF00FFFF"/>
  </sheetPr>
  <dimension ref="A2:BM214"/>
  <sheetViews>
    <sheetView zoomScaleNormal="100" workbookViewId="0">
      <pane xSplit="2" ySplit="13" topLeftCell="C157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5" customWidth="1"/>
    <col min="4" max="5" width="8.6640625" style="235" customWidth="1"/>
    <col min="6" max="6" width="14.44140625" style="235" customWidth="1"/>
    <col min="7" max="8" width="8.6640625" style="235" customWidth="1"/>
    <col min="9" max="9" width="14.44140625" style="235" customWidth="1"/>
    <col min="10" max="11" width="8.6640625" style="235" customWidth="1"/>
    <col min="12" max="12" width="14.44140625" style="235" customWidth="1"/>
    <col min="13" max="13" width="8.6640625" style="235" customWidth="1"/>
    <col min="14" max="14" width="7" style="235" customWidth="1"/>
    <col min="15" max="15" width="14.44140625" style="235" customWidth="1"/>
    <col min="16" max="17" width="8.6640625" style="235" customWidth="1"/>
    <col min="18" max="18" width="14.44140625" style="235" customWidth="1"/>
    <col min="19" max="20" width="8.6640625" style="235" customWidth="1"/>
    <col min="21" max="21" width="14.44140625" style="235" customWidth="1"/>
    <col min="22" max="23" width="8.6640625" style="235" customWidth="1"/>
    <col min="24" max="24" width="15.33203125" style="235" customWidth="1"/>
    <col min="25" max="26" width="8.6640625" style="235" customWidth="1"/>
    <col min="27" max="27" width="16" style="235" customWidth="1"/>
    <col min="28" max="28" width="8.6640625" style="235" customWidth="1"/>
    <col min="29" max="29" width="7.6640625" style="235" customWidth="1"/>
    <col min="30" max="30" width="14.6640625" style="235" customWidth="1"/>
    <col min="31" max="31" width="8.44140625" style="235" customWidth="1"/>
    <col min="32" max="32" width="7.44140625" style="235" customWidth="1"/>
    <col min="33" max="33" width="14.44140625" style="235" customWidth="1"/>
    <col min="34" max="35" width="8.6640625" style="235" customWidth="1"/>
    <col min="36" max="36" width="14.44140625" style="235" customWidth="1"/>
    <col min="37" max="38" width="8.6640625" style="235" customWidth="1"/>
    <col min="39" max="39" width="17.109375" style="235" customWidth="1"/>
    <col min="40" max="40" width="8.44140625" style="235" customWidth="1"/>
    <col min="41" max="41" width="8.6640625" style="235" customWidth="1"/>
    <col min="42" max="63" width="11.44140625" style="2" customWidth="1"/>
    <col min="64" max="16384" width="11.44140625" style="2"/>
  </cols>
  <sheetData>
    <row r="2" spans="1:41" ht="20.25" customHeight="1" thickBot="1" x14ac:dyDescent="0.35">
      <c r="B2" s="236" t="s">
        <v>0</v>
      </c>
      <c r="C2" s="1027" t="s">
        <v>523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37"/>
    </row>
    <row r="3" spans="1:41" ht="21.75" customHeight="1" thickTop="1" thickBot="1" x14ac:dyDescent="0.25">
      <c r="B3" s="522" t="s">
        <v>2</v>
      </c>
      <c r="C3" s="478"/>
      <c r="D3" s="504"/>
      <c r="E3" s="505"/>
      <c r="F3" s="478"/>
      <c r="G3" s="504"/>
      <c r="H3" s="505"/>
      <c r="I3" s="478"/>
      <c r="J3" s="504"/>
      <c r="K3" s="505"/>
      <c r="L3" s="478"/>
      <c r="M3" s="504"/>
      <c r="N3" s="505"/>
      <c r="O3" s="478"/>
      <c r="P3" s="504"/>
      <c r="Q3" s="505"/>
      <c r="R3" s="478"/>
      <c r="S3" s="504"/>
      <c r="T3" s="505"/>
      <c r="U3" s="478"/>
      <c r="V3" s="504"/>
      <c r="W3" s="505"/>
      <c r="X3" s="478"/>
      <c r="Y3" s="504"/>
      <c r="Z3" s="505"/>
      <c r="AA3" s="478"/>
      <c r="AB3" s="504"/>
      <c r="AC3" s="505"/>
      <c r="AD3" s="478"/>
      <c r="AE3" s="504"/>
      <c r="AF3" s="505"/>
      <c r="AG3" s="478"/>
      <c r="AH3" s="504"/>
      <c r="AI3" s="505"/>
      <c r="AJ3" s="478"/>
      <c r="AK3" s="504"/>
      <c r="AL3" s="505"/>
      <c r="AM3" s="595"/>
      <c r="AN3" s="596"/>
      <c r="AO3" s="536"/>
    </row>
    <row r="4" spans="1:41" s="215" customFormat="1" ht="24.75" customHeight="1" thickTop="1" thickBot="1" x14ac:dyDescent="0.35">
      <c r="A4" s="742"/>
      <c r="B4" s="21"/>
      <c r="C4" s="481" t="s">
        <v>3</v>
      </c>
      <c r="D4" s="482" t="s">
        <v>4</v>
      </c>
      <c r="E4" s="506" t="s">
        <v>5</v>
      </c>
      <c r="F4" s="481" t="s">
        <v>6</v>
      </c>
      <c r="G4" s="482" t="s">
        <v>4</v>
      </c>
      <c r="H4" s="506" t="s">
        <v>5</v>
      </c>
      <c r="I4" s="481" t="s">
        <v>7</v>
      </c>
      <c r="J4" s="482" t="s">
        <v>4</v>
      </c>
      <c r="K4" s="506" t="s">
        <v>5</v>
      </c>
      <c r="L4" s="481" t="s">
        <v>8</v>
      </c>
      <c r="M4" s="482" t="s">
        <v>4</v>
      </c>
      <c r="N4" s="506" t="s">
        <v>5</v>
      </c>
      <c r="O4" s="481" t="s">
        <v>9</v>
      </c>
      <c r="P4" s="482" t="s">
        <v>4</v>
      </c>
      <c r="Q4" s="506" t="s">
        <v>5</v>
      </c>
      <c r="R4" s="481" t="s">
        <v>10</v>
      </c>
      <c r="S4" s="482" t="s">
        <v>4</v>
      </c>
      <c r="T4" s="506" t="s">
        <v>5</v>
      </c>
      <c r="U4" s="481" t="s">
        <v>11</v>
      </c>
      <c r="V4" s="482" t="s">
        <v>4</v>
      </c>
      <c r="W4" s="506" t="s">
        <v>5</v>
      </c>
      <c r="X4" s="481" t="s">
        <v>12</v>
      </c>
      <c r="Y4" s="482" t="s">
        <v>4</v>
      </c>
      <c r="Z4" s="506" t="s">
        <v>5</v>
      </c>
      <c r="AA4" s="481" t="s">
        <v>13</v>
      </c>
      <c r="AB4" s="482" t="s">
        <v>4</v>
      </c>
      <c r="AC4" s="506" t="s">
        <v>5</v>
      </c>
      <c r="AD4" s="481" t="s">
        <v>14</v>
      </c>
      <c r="AE4" s="482" t="s">
        <v>4</v>
      </c>
      <c r="AF4" s="506" t="s">
        <v>5</v>
      </c>
      <c r="AG4" s="481" t="s">
        <v>15</v>
      </c>
      <c r="AH4" s="482" t="s">
        <v>4</v>
      </c>
      <c r="AI4" s="506" t="s">
        <v>5</v>
      </c>
      <c r="AJ4" s="481" t="s">
        <v>16</v>
      </c>
      <c r="AK4" s="482" t="s">
        <v>4</v>
      </c>
      <c r="AL4" s="506" t="s">
        <v>5</v>
      </c>
      <c r="AM4" s="588" t="s">
        <v>17</v>
      </c>
      <c r="AN4" s="589" t="s">
        <v>4</v>
      </c>
      <c r="AO4" s="506" t="s">
        <v>5</v>
      </c>
    </row>
    <row r="5" spans="1:41" s="223" customFormat="1" ht="15" customHeight="1" thickTop="1" x14ac:dyDescent="0.2">
      <c r="A5" s="743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>
        <f>CALI!I5+HUNGRIA!I5+YUMBO!I5+'ADULTO MAYOR'!I5+'COMEDORES VALLE'!I5+BUGA!I5+'COMEDORES CALI'!I5+'CTAS EN PPACION'!I5+'COMEDORES PALMIRA'!I5+IMDERTY!I5</f>
        <v>725527320</v>
      </c>
      <c r="J5" s="42"/>
      <c r="K5" s="56"/>
      <c r="L5" s="41">
        <f>CALI!L5+HUNGRIA!L5+YUMBO!L5+'ADULTO MAYOR'!L5+'COMEDORES VALLE'!L5+BUGA!L5+'COMEDORES CALI'!L5+'CTAS EN PPACION'!L5+'COMEDORES PALMIRA'!L5+IMDERTY!L5</f>
        <v>241842440</v>
      </c>
      <c r="M5" s="42"/>
      <c r="N5" s="56"/>
      <c r="O5" s="41">
        <f>CALI!O5+HUNGRIA!O5+YUMBO!O5+'ADULTO MAYOR'!O5+'COMEDORES VALLE'!O5+BUGA!O5+'COMEDORES CALI'!O5+'CTAS EN PPACION'!O5+'COMEDORES PALMIRA'!O5+IMDERTY!O5</f>
        <v>0</v>
      </c>
      <c r="P5" s="42"/>
      <c r="Q5" s="56"/>
      <c r="R5" s="41">
        <f>CALI!R5+YUMBO!R5+BUGA!R5+HUNGRIA!R5+'COMEDORES CALI'!R5+'CTAS EN PPACION'!R5+'COMEDORES PALMIRA'!R5+'ADULTO MAYOR'!R5+'COMEDORES VALLE'!R5</f>
        <v>0</v>
      </c>
      <c r="S5" s="42"/>
      <c r="T5" s="56"/>
      <c r="U5" s="41">
        <f>CALI!U5+HUNGRIA!U5+YUMBO!U5+'ADULTO MAYOR'!U5+'COMEDORES VALLE'!U5+BUGA!U5+'COMEDORES CALI'!U5+'CTAS EN PPACION'!U5+'COMEDORES PALMIRA'!U5+IMDERTY!U5</f>
        <v>0</v>
      </c>
      <c r="V5" s="42"/>
      <c r="W5" s="56"/>
      <c r="X5" s="41">
        <f>CALI!X5+HUNGRIA!X5+YUMBO!X5+'ADULTO MAYOR'!X5+'COMEDORES VALLE'!X5+BUGA!X5+'COMEDORES CALI'!X5+'CTAS EN PPACION'!X5+'COMEDORES PALMIRA'!X5+IMDERTY!X5</f>
        <v>0</v>
      </c>
      <c r="Y5" s="42"/>
      <c r="Z5" s="56"/>
      <c r="AA5" s="41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41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 t="shared" ref="AM5:AM42" si="0">C5+F5+I5+L5+O5+R5+U5+X5+AA5+AD5+AG5+AJ5</f>
        <v>967413375</v>
      </c>
      <c r="AN5" s="194"/>
      <c r="AO5" s="56"/>
    </row>
    <row r="6" spans="1:41" s="223" customFormat="1" ht="15" customHeight="1" x14ac:dyDescent="0.2">
      <c r="A6" s="743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>
        <f>CALI!I6+HUNGRIA!I6+YUMBO!I6+'ADULTO MAYOR'!I6+'COMEDORES VALLE'!I6+BUGA!I6+'COMEDORES CALI'!I6+'CTAS EN PPACION'!I6+'COMEDORES PALMIRA'!I6+IMDERTY!I6</f>
        <v>725527320</v>
      </c>
      <c r="J6" s="43"/>
      <c r="K6" s="57"/>
      <c r="L6" s="74">
        <f>CALI!L6+HUNGRIA!L6+YUMBO!L6+'ADULTO MAYOR'!L6+'COMEDORES VALLE'!L6+BUGA!L6+'COMEDORES CALI'!L6+'CTAS EN PPACION'!L6+'COMEDORES PALMIRA'!L6+IMDERTY!L6</f>
        <v>241842440</v>
      </c>
      <c r="M6" s="43"/>
      <c r="N6" s="57"/>
      <c r="O6" s="74">
        <f>CALI!O6+HUNGRIA!O6+YUMBO!O6+'ADULTO MAYOR'!O6+'COMEDORES VALLE'!O6+BUGA!O6+'COMEDORES CALI'!O6+'CTAS EN PPACION'!O6+'COMEDORES PALMIRA'!O6+IMDERTY!O6</f>
        <v>0</v>
      </c>
      <c r="P6" s="43"/>
      <c r="Q6" s="57"/>
      <c r="R6" s="74">
        <f>CALI!R6+HUNGRIA!R6+YUMBO!R6+'ADULTO MAYOR'!R6+'COMEDORES VALLE'!R6+BUGA!R6+'COMEDORES CALI'!R6+'CTAS EN PPACION'!R6+'COMEDORES PALMIRA'!R6+IMDERTY!R6</f>
        <v>0</v>
      </c>
      <c r="S6" s="43"/>
      <c r="T6" s="57"/>
      <c r="U6" s="74">
        <f>CALI!U6+HUNGRIA!U6+YUMBO!U6+'ADULTO MAYOR'!U6+'COMEDORES VALLE'!U6+BUGA!U6+'COMEDORES CALI'!U6+'CTAS EN PPACION'!U6+'COMEDORES PALMIRA'!U6+IMDERTY!U6</f>
        <v>0</v>
      </c>
      <c r="V6" s="43"/>
      <c r="W6" s="57"/>
      <c r="X6" s="74">
        <f>CALI!X6+HUNGRIA!X6+YUMBO!X6+'ADULTO MAYOR'!X6+'COMEDORES VALLE'!X6+BUGA!X6+'COMEDORES CALI'!X6+'CTAS EN PPACION'!X6+'COMEDORES PALMIRA'!X6+IMDERTY!X6</f>
        <v>0</v>
      </c>
      <c r="Y6" s="43"/>
      <c r="Z6" s="57"/>
      <c r="AA6" s="7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si="0"/>
        <v>967369760</v>
      </c>
      <c r="AN6" s="195"/>
      <c r="AO6" s="57"/>
    </row>
    <row r="7" spans="1:41" s="223" customFormat="1" ht="15" customHeight="1" x14ac:dyDescent="0.2">
      <c r="A7" s="743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>
        <f>CALI!I7+HUNGRIA!I7+YUMBO!I7+'ADULTO MAYOR'!I7+'COMEDORES VALLE'!I7+BUGA!I7+'COMEDORES CALI'!I7+'CTAS EN PPACION'!I7+'COMEDORES PALMIRA'!I7+IMDERTY!I7</f>
        <v>725527320</v>
      </c>
      <c r="J7" s="43"/>
      <c r="K7" s="57"/>
      <c r="L7" s="74">
        <f>CALI!L7+HUNGRIA!L7+YUMBO!L7+'ADULTO MAYOR'!L7+'COMEDORES VALLE'!L7+BUGA!L7+'COMEDORES CALI'!L7+'CTAS EN PPACION'!L7+'COMEDORES PALMIRA'!L7+IMDERTY!L7</f>
        <v>241842440</v>
      </c>
      <c r="M7" s="43"/>
      <c r="N7" s="57"/>
      <c r="O7" s="74">
        <f>CALI!O7+HUNGRIA!O7+YUMBO!O7+'ADULTO MAYOR'!O7+'COMEDORES VALLE'!O7+BUGA!O7+'COMEDORES CALI'!O7+'CTAS EN PPACION'!O7+'COMEDORES PALMIRA'!O7+IMDERTY!O7</f>
        <v>0</v>
      </c>
      <c r="P7" s="43"/>
      <c r="Q7" s="57"/>
      <c r="R7" s="74">
        <f>CALI!R7+HUNGRIA!R7+YUMBO!R7+'ADULTO MAYOR'!R7+'COMEDORES VALLE'!R7+BUGA!R7+'COMEDORES CALI'!R7+'CTAS EN PPACION'!R7+'COMEDORES PALMIRA'!R7+IMDERTY!R7</f>
        <v>0</v>
      </c>
      <c r="S7" s="43"/>
      <c r="T7" s="57"/>
      <c r="U7" s="74">
        <f>CALI!U7+HUNGRIA!U7+YUMBO!U7+'ADULTO MAYOR'!U7+'COMEDORES VALLE'!U7+BUGA!U7+'COMEDORES CALI'!U7+'CTAS EN PPACION'!U7+'COMEDORES PALMIRA'!U7+IMDERTY!U7</f>
        <v>0</v>
      </c>
      <c r="V7" s="43"/>
      <c r="W7" s="57"/>
      <c r="X7" s="74">
        <f>CALI!X7+HUNGRIA!X7+YUMBO!X7+'ADULTO MAYOR'!X7+'COMEDORES VALLE'!X7+BUGA!X7+'COMEDORES CALI'!X7+'CTAS EN PPACION'!X7+'COMEDORES PALMIRA'!X7+IMDERTY!X7</f>
        <v>0</v>
      </c>
      <c r="Y7" s="43"/>
      <c r="Z7" s="57"/>
      <c r="AA7" s="7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967371745</v>
      </c>
      <c r="AN7" s="195"/>
      <c r="AO7" s="57"/>
    </row>
    <row r="8" spans="1:41" s="223" customFormat="1" ht="15" customHeight="1" x14ac:dyDescent="0.2">
      <c r="A8" s="743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>
        <f>CALI!I8+HUNGRIA!I8+YUMBO!I8+'ADULTO MAYOR'!I8+'COMEDORES VALLE'!I8+BUGA!I8+'COMEDORES CALI'!I8+'CTAS EN PPACION'!I8+'COMEDORES PALMIRA'!I8+IMDERTY!I8</f>
        <v>483684880</v>
      </c>
      <c r="J8" s="42"/>
      <c r="K8" s="56"/>
      <c r="L8" s="44">
        <f>CALI!L8+HUNGRIA!L8+YUMBO!L8+'ADULTO MAYOR'!L8+'COMEDORES VALLE'!L8+BUGA!L8+'COMEDORES CALI'!L8+'CTAS EN PPACION'!L8+'COMEDORES PALMIRA'!L8+IMDERTY!L8</f>
        <v>241842440</v>
      </c>
      <c r="M8" s="42"/>
      <c r="N8" s="56"/>
      <c r="O8" s="44">
        <f>CALI!O8+HUNGRIA!O8+YUMBO!O8+'ADULTO MAYOR'!O8+'COMEDORES VALLE'!O8+BUGA!O8+'COMEDORES CALI'!O8+'CTAS EN PPACION'!O8+'COMEDORES PALMIRA'!O8+IMDERTY!O8</f>
        <v>0</v>
      </c>
      <c r="P8" s="42"/>
      <c r="Q8" s="56"/>
      <c r="R8" s="44">
        <f>CALI!R8+HUNGRIA!R8+YUMBO!R8+'ADULTO MAYOR'!R8+'COMEDORES VALLE'!R8+BUGA!R8+'COMEDORES CALI'!R8+'CTAS EN PPACION'!R8+'COMEDORES PALMIRA'!R8+IMDERTY!R8</f>
        <v>0</v>
      </c>
      <c r="S8" s="42"/>
      <c r="T8" s="56"/>
      <c r="U8" s="44">
        <f>CALI!U8+HUNGRIA!U8+YUMBO!U8+'ADULTO MAYOR'!U8+'COMEDORES VALLE'!U8+BUGA!U8+'COMEDORES CALI'!U8+'CTAS EN PPACION'!U8+'COMEDORES PALMIRA'!U8+IMDERTY!U8</f>
        <v>0</v>
      </c>
      <c r="V8" s="42"/>
      <c r="W8" s="56"/>
      <c r="X8" s="44">
        <f>CALI!X8+HUNGRIA!X8+YUMBO!X8+'ADULTO MAYOR'!X8+'COMEDORES VALLE'!X8+BUGA!X8+'COMEDORES CALI'!X8+'CTAS EN PPACION'!X8+'COMEDORES PALMIRA'!X8+IMDERTY!X8</f>
        <v>0</v>
      </c>
      <c r="Y8" s="42"/>
      <c r="Z8" s="56"/>
      <c r="AA8" s="44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44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725527320</v>
      </c>
      <c r="AN8" s="194"/>
      <c r="AO8" s="57"/>
    </row>
    <row r="9" spans="1:41" s="223" customFormat="1" ht="15" customHeight="1" x14ac:dyDescent="0.2">
      <c r="A9" s="743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>
        <f>CALI!I9+HUNGRIA!I9+YUMBO!I9+'ADULTO MAYOR'!I9+'COMEDORES VALLE'!I9+BUGA!I9+'COMEDORES CALI'!I9+'CTAS EN PPACION'!I9+'COMEDORES PALMIRA'!I9+IMDERTY!I9</f>
        <v>483684880</v>
      </c>
      <c r="J9" s="43"/>
      <c r="K9" s="57"/>
      <c r="L9" s="74">
        <f>CALI!L9+HUNGRIA!L9+YUMBO!L9+'ADULTO MAYOR'!L9+'COMEDORES VALLE'!L9+BUGA!L9+'COMEDORES CALI'!L9+'CTAS EN PPACION'!L9+'COMEDORES PALMIRA'!L9+IMDERTY!L9</f>
        <v>241842440</v>
      </c>
      <c r="M9" s="43"/>
      <c r="N9" s="57"/>
      <c r="O9" s="74">
        <f>CALI!O9+HUNGRIA!O9+YUMBO!O9+'ADULTO MAYOR'!O9+'COMEDORES VALLE'!O9+BUGA!O9+'COMEDORES CALI'!O9+'CTAS EN PPACION'!O9+'COMEDORES PALMIRA'!O9+IMDERTY!O9</f>
        <v>0</v>
      </c>
      <c r="P9" s="43"/>
      <c r="Q9" s="57"/>
      <c r="R9" s="74">
        <f>CALI!R9+HUNGRIA!R9+YUMBO!R9+'ADULTO MAYOR'!R9+'COMEDORES VALLE'!R9+BUGA!R9+'COMEDORES CALI'!R9+'CTAS EN PPACION'!R9+'COMEDORES PALMIRA'!R9+IMDERTY!R9</f>
        <v>0</v>
      </c>
      <c r="S9" s="43"/>
      <c r="T9" s="57"/>
      <c r="U9" s="74">
        <f>CALI!U9+HUNGRIA!U9+YUMBO!U9+'ADULTO MAYOR'!U9+'COMEDORES VALLE'!U9+BUGA!U9+'COMEDORES CALI'!U9+'CTAS EN PPACION'!U9+'COMEDORES PALMIRA'!U9+IMDERTY!U9</f>
        <v>0</v>
      </c>
      <c r="V9" s="43"/>
      <c r="W9" s="57"/>
      <c r="X9" s="74">
        <f>CALI!X9+HUNGRIA!X9+YUMBO!X9+'ADULTO MAYOR'!X9+'COMEDORES VALLE'!X9+BUGA!X9+'COMEDORES CALI'!X9+'CTAS EN PPACION'!X9+'COMEDORES PALMIRA'!X9+IMDERTY!X9</f>
        <v>0</v>
      </c>
      <c r="Y9" s="43"/>
      <c r="Z9" s="57"/>
      <c r="AA9" s="7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725527320</v>
      </c>
      <c r="AN9" s="195"/>
      <c r="AO9" s="57"/>
    </row>
    <row r="10" spans="1:41" s="223" customFormat="1" ht="15" customHeight="1" x14ac:dyDescent="0.2">
      <c r="A10" s="743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>
        <f>CALI!I10+HUNGRIA!I10+YUMBO!I10+'ADULTO MAYOR'!I10+'COMEDORES VALLE'!I10+BUGA!I10+'COMEDORES CALI'!I10+'CTAS EN PPACION'!I10+'COMEDORES PALMIRA'!I10</f>
        <v>0</v>
      </c>
      <c r="J10" s="43"/>
      <c r="K10" s="57"/>
      <c r="L10" s="74">
        <f>CALI!L10+HUNGRIA!L10+YUMBO!L10+'ADULTO MAYOR'!L10+'COMEDORES VALLE'!L10+BUGA!L10+'COMEDORES CALI'!L10+'CTAS EN PPACION'!L10+'COMEDORES PALMIRA'!L10</f>
        <v>0</v>
      </c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3" customFormat="1" ht="15" customHeight="1" x14ac:dyDescent="0.2">
      <c r="A11" s="743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>
        <f>CALI!I11+HUNGRIA!I11+YUMBO!I11+'ADULTO MAYOR'!I11+'COMEDORES VALLE'!I11+BUGA!I11+'COMEDORES CALI'!I11+'CTAS EN PPACION'!I11</f>
        <v>0</v>
      </c>
      <c r="J11" s="42"/>
      <c r="K11" s="56"/>
      <c r="L11" s="44">
        <f>CALI!L11+HUNGRIA!L11+YUMBO!L11+'ADULTO MAYOR'!L11+'COMEDORES VALLE'!L11+BUGA!L11+'COMEDORES CALI'!L11+'CTAS EN PPACION'!L11</f>
        <v>0</v>
      </c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44">
        <f>CALI!R11+HUNGRIA!R11+YUMBO!R11+'ADULTO MAYOR'!R11+'COMEDORES VALLE'!R11+BUGA!R11+'COMEDORES CALI'!R11+'CTAS EN PPACION'!R11</f>
        <v>0</v>
      </c>
      <c r="S11" s="42"/>
      <c r="T11" s="56"/>
      <c r="U11" s="44">
        <f>CALI!U11+HUNGRIA!U11+YUMBO!U11+'ADULTO MAYOR'!U11+'COMEDORES VALLE'!U11+BUGA!U11+'COMEDORES CALI'!U11+'CTAS EN PPACION'!U11</f>
        <v>0</v>
      </c>
      <c r="V11" s="42"/>
      <c r="W11" s="56"/>
      <c r="X11" s="44">
        <f>CALI!X11+HUNGRIA!X11+YUMBO!X11+'ADULTO MAYOR'!X11+'COMEDORES VALLE'!X11+BUGA!X11+'COMEDORES CALI'!X11+'CTAS EN PPACION'!X11</f>
        <v>0</v>
      </c>
      <c r="Y11" s="42"/>
      <c r="Z11" s="56"/>
      <c r="AA11" s="44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44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3" customFormat="1" ht="15" customHeight="1" x14ac:dyDescent="0.2">
      <c r="A12" s="743"/>
      <c r="B12" s="15" t="s">
        <v>22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>
        <f>SUM(I5:I11)</f>
        <v>3143951720</v>
      </c>
      <c r="J12" s="47"/>
      <c r="K12" s="59"/>
      <c r="L12" s="46">
        <f>SUM(L5:L11)</f>
        <v>1209212200</v>
      </c>
      <c r="M12" s="47"/>
      <c r="N12" s="59"/>
      <c r="O12" s="46">
        <f>SUM(O5:O11)</f>
        <v>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 t="shared" si="0"/>
        <v>4353209520</v>
      </c>
      <c r="AN12" s="196"/>
      <c r="AO12" s="59"/>
    </row>
    <row r="13" spans="1:41" ht="15.75" customHeight="1" x14ac:dyDescent="0.2">
      <c r="B13" s="523" t="s">
        <v>23</v>
      </c>
      <c r="C13" s="484">
        <f>C14+C23</f>
        <v>0</v>
      </c>
      <c r="D13" s="485"/>
      <c r="E13" s="507"/>
      <c r="F13" s="484">
        <f>F14+F23</f>
        <v>0</v>
      </c>
      <c r="G13" s="485"/>
      <c r="H13" s="507"/>
      <c r="I13" s="484">
        <f>I14+I23</f>
        <v>3869479040</v>
      </c>
      <c r="J13" s="485"/>
      <c r="K13" s="507"/>
      <c r="L13" s="484">
        <f>L14+L23</f>
        <v>1934739520</v>
      </c>
      <c r="M13" s="485"/>
      <c r="N13" s="507"/>
      <c r="O13" s="484">
        <f>O14+O23</f>
        <v>0</v>
      </c>
      <c r="P13" s="485"/>
      <c r="Q13" s="507"/>
      <c r="R13" s="484">
        <f>R14+R23</f>
        <v>0</v>
      </c>
      <c r="S13" s="485"/>
      <c r="T13" s="507"/>
      <c r="U13" s="484">
        <f>U14+U23</f>
        <v>0</v>
      </c>
      <c r="V13" s="485"/>
      <c r="W13" s="507"/>
      <c r="X13" s="484">
        <f>X14+X23</f>
        <v>0</v>
      </c>
      <c r="Y13" s="485"/>
      <c r="Z13" s="507"/>
      <c r="AA13" s="484">
        <f>AA14+AA23</f>
        <v>0</v>
      </c>
      <c r="AB13" s="485"/>
      <c r="AC13" s="507"/>
      <c r="AD13" s="597">
        <f>AD14+AD23</f>
        <v>0</v>
      </c>
      <c r="AE13" s="598"/>
      <c r="AF13" s="599"/>
      <c r="AG13" s="597">
        <f>AG14+AG23</f>
        <v>0</v>
      </c>
      <c r="AH13" s="598"/>
      <c r="AI13" s="599"/>
      <c r="AJ13" s="597">
        <f>AJ14+AJ23</f>
        <v>0</v>
      </c>
      <c r="AK13" s="598"/>
      <c r="AL13" s="599"/>
      <c r="AM13" s="600">
        <f t="shared" si="0"/>
        <v>5804218560</v>
      </c>
      <c r="AN13" s="590"/>
      <c r="AO13" s="507"/>
    </row>
    <row r="14" spans="1:41" ht="15" customHeight="1" x14ac:dyDescent="0.2">
      <c r="B14" s="16" t="s">
        <v>24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>
        <f>I15</f>
        <v>2418424400</v>
      </c>
      <c r="J14" s="3"/>
      <c r="K14" s="61"/>
      <c r="L14" s="49">
        <f>L15</f>
        <v>1209212200</v>
      </c>
      <c r="M14" s="3"/>
      <c r="N14" s="61"/>
      <c r="O14" s="49">
        <f>O15</f>
        <v>0</v>
      </c>
      <c r="P14" s="3"/>
      <c r="Q14" s="61"/>
      <c r="R14" s="90">
        <f>R15</f>
        <v>0</v>
      </c>
      <c r="S14" s="3"/>
      <c r="T14" s="61"/>
      <c r="U14" s="49">
        <f>U15</f>
        <v>0</v>
      </c>
      <c r="V14" s="3"/>
      <c r="W14" s="61"/>
      <c r="X14" s="90">
        <f>X15</f>
        <v>0</v>
      </c>
      <c r="Y14" s="760"/>
      <c r="Z14" s="866"/>
      <c r="AA14" s="90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3627636600</v>
      </c>
      <c r="AN14" s="197"/>
      <c r="AO14" s="61"/>
    </row>
    <row r="15" spans="1:41" ht="15" customHeight="1" x14ac:dyDescent="0.2">
      <c r="B15" s="16" t="s">
        <v>25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f>CALI!I15+HUNGRIA!I15+YUMBO!I15+'ADULTO MAYOR'!I15+'COMEDORES VALLE'!I15+BUGA!I15+'COMEDORES CALI'!I15+'CTAS EN PPACION'!I15+'COMEDORES PALMIRA'!I15+IMDERTY!I15</f>
        <v>2418424400</v>
      </c>
      <c r="J15" s="3"/>
      <c r="K15" s="61"/>
      <c r="L15" s="49">
        <f>CALI!L15+HUNGRIA!L15+YUMBO!L15+'ADULTO MAYOR'!L15+'COMEDORES VALLE'!L15+BUGA!L15+'COMEDORES CALI'!L15+'CTAS EN PPACION'!L15+'COMEDORES PALMIRA'!L15+IMDERTY!L15</f>
        <v>1209212200</v>
      </c>
      <c r="M15" s="3"/>
      <c r="N15" s="61"/>
      <c r="O15" s="49">
        <f>CALI!O15+HUNGRIA!O15+YUMBO!O15+'ADULTO MAYOR'!O15+'COMEDORES VALLE'!O15+BUGA!O15+'COMEDORES CALI'!O15+'CTAS EN PPACION'!O15+'COMEDORES PALMIRA'!O15+IMDERTY!O15</f>
        <v>0</v>
      </c>
      <c r="P15" s="1"/>
      <c r="Q15" s="61"/>
      <c r="R15" s="90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90">
        <f>CALI!X15+HUNGRIA!X15+YUMBO!X15+'ADULTO MAYOR'!X15+'COMEDORES VALLE'!X15+BUGA!X15+'COMEDORES CALI'!X15+'CTAS EN PPACION'!X15+'COMEDORES PALMIRA'!X15+IMDERTY!X15</f>
        <v>0</v>
      </c>
      <c r="Y15" s="760"/>
      <c r="Z15" s="866"/>
      <c r="AA15" s="90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si="0"/>
        <v>3627636600</v>
      </c>
      <c r="AN15" s="5"/>
      <c r="AO15" s="61"/>
    </row>
    <row r="16" spans="1:41" ht="15" customHeight="1" x14ac:dyDescent="0.2">
      <c r="B16" s="432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>
        <f>CALI!I16+HUNGRIA!I16+YUMBO!I16+'ADULTO MAYOR'!I16+'COMEDORES VALLE'!I16+BUGA!I16+'COMEDORES CALI'!I16+'CTAS EN PPACION'!I16+'COMEDORES PALMIRA'!I16+IMDERTY!I16</f>
        <v>483684880</v>
      </c>
      <c r="J16" s="42"/>
      <c r="K16" s="56"/>
      <c r="L16" s="11">
        <f>CALI!L16+HUNGRIA!L16+YUMBO!L16+'ADULTO MAYOR'!L16+'COMEDORES VALLE'!L16+BUGA!L16+'COMEDORES CALI'!L16+'CTAS EN PPACION'!L16+'COMEDORES PALMIRA'!L16+IMDERTY!L16</f>
        <v>241842440</v>
      </c>
      <c r="M16" s="42"/>
      <c r="N16" s="56"/>
      <c r="O16" s="50">
        <f>CALI!O16+HUNGRIA!O16+YUMBO!O16+'ADULTO MAYOR'!O16+'COMEDORES VALLE'!O16+BUGA!O16+'COMEDORES CALI'!O16+'CTAS EN PPACION'!O16+'COMEDORES PALMIRA'!O16+IMDERTY!O16</f>
        <v>0</v>
      </c>
      <c r="P16" s="94"/>
      <c r="Q16" s="56"/>
      <c r="R16" s="50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50">
        <f>CALI!X16+HUNGRIA!X16+YUMBO!X16+'ADULTO MAYOR'!X16+'COMEDORES VALLE'!X16+BUGA!X16+'COMEDORES CALI'!X16+'CTAS EN PPACION'!X16+'COMEDORES PALMIRA'!X16+IMDERTY!X16</f>
        <v>0</v>
      </c>
      <c r="Y16" s="42"/>
      <c r="Z16" s="56"/>
      <c r="AA16" s="50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0"/>
        <v>725527320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>
        <f>CALI!I17+HUNGRIA!I17+YUMBO!I17+'ADULTO MAYOR'!I17+'COMEDORES VALLE'!I17+BUGA!I17+'COMEDORES CALI'!I17+'CTAS EN PPACION'!I17+'COMEDORES PALMIRA'!I17+IMDERTY!I17</f>
        <v>483684880</v>
      </c>
      <c r="J17" s="43"/>
      <c r="K17" s="57"/>
      <c r="L17" s="12">
        <f>CALI!L17+HUNGRIA!L17+YUMBO!L17+'ADULTO MAYOR'!L17+'COMEDORES VALLE'!L17+BUGA!L17+'COMEDORES CALI'!L17+'CTAS EN PPACION'!L17+'COMEDORES PALMIRA'!L17+IMDERTY!L17</f>
        <v>241842440</v>
      </c>
      <c r="M17" s="43"/>
      <c r="N17" s="57"/>
      <c r="O17" s="75">
        <f>CALI!O17+HUNGRIA!O17+YUMBO!O17+'ADULTO MAYOR'!O17+'COMEDORES VALLE'!O17+BUGA!O17+'COMEDORES CALI'!O17+'CTAS EN PPACION'!O17+'COMEDORES PALMIRA'!O17+IMDERTY!O17</f>
        <v>0</v>
      </c>
      <c r="P17" s="89"/>
      <c r="Q17" s="57"/>
      <c r="R17" s="75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75">
        <f>CALI!X17+HUNGRIA!X17+YUMBO!X17+'ADULTO MAYOR'!X17+'COMEDORES VALLE'!X17+BUGA!X17+'COMEDORES CALI'!X17+'CTAS EN PPACION'!X17+'COMEDORES PALMIRA'!X17+IMDERTY!X17</f>
        <v>0</v>
      </c>
      <c r="Y17" s="43"/>
      <c r="Z17" s="57"/>
      <c r="AA17" s="75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0"/>
        <v>725527320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>
        <f>CALI!I18+HUNGRIA!I18+YUMBO!I18+'ADULTO MAYOR'!I18+'COMEDORES VALLE'!I18+BUGA!I18+'COMEDORES CALI'!I18+'CTAS EN PPACION'!I18+'COMEDORES PALMIRA'!I18+IMDERTY!I18</f>
        <v>483684880</v>
      </c>
      <c r="J18" s="43"/>
      <c r="K18" s="57"/>
      <c r="L18" s="12">
        <f>CALI!L18+HUNGRIA!L18+YUMBO!L18+'ADULTO MAYOR'!L18+'COMEDORES VALLE'!L18+BUGA!L18+'COMEDORES CALI'!L18+'CTAS EN PPACION'!L18+'COMEDORES PALMIRA'!L18+IMDERTY!L18</f>
        <v>241842440</v>
      </c>
      <c r="M18" s="43"/>
      <c r="N18" s="57"/>
      <c r="O18" s="75">
        <f>CALI!O18+HUNGRIA!O18+YUMBO!O18+'ADULTO MAYOR'!O18+'COMEDORES VALLE'!O18+BUGA!O18+'COMEDORES CALI'!O18+'CTAS EN PPACION'!O18+'COMEDORES PALMIRA'!O18+IMDERTY!O18</f>
        <v>0</v>
      </c>
      <c r="P18" s="43"/>
      <c r="Q18" s="57"/>
      <c r="R18" s="75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75">
        <f>CALI!X18+HUNGRIA!X18+YUMBO!X18+'ADULTO MAYOR'!X18+'COMEDORES VALLE'!X18+BUGA!X18+'COMEDORES CALI'!X18+'CTAS EN PPACION'!X18+'COMEDORES PALMIRA'!X18+IMDERTY!X18</f>
        <v>0</v>
      </c>
      <c r="Y18" s="43"/>
      <c r="Z18" s="57"/>
      <c r="AA18" s="75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0"/>
        <v>725527320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>
        <f>CALI!I19+HUNGRIA!I19+YUMBO!I19+'ADULTO MAYOR'!I19+'COMEDORES VALLE'!I19+BUGA!I19+'COMEDORES CALI'!I19+'CTAS EN PPACION'!I19+'COMEDORES PALMIRA'!I19+IMDERTY!I19</f>
        <v>241842440</v>
      </c>
      <c r="J19" s="43"/>
      <c r="K19" s="57"/>
      <c r="L19" s="12">
        <f>CALI!L19+HUNGRIA!L19+YUMBO!L19+'ADULTO MAYOR'!L19+'COMEDORES VALLE'!L19+BUGA!L19+'COMEDORES CALI'!L19+'CTAS EN PPACION'!L19+'COMEDORES PALMIRA'!L19+IMDERTY!L19</f>
        <v>241842440</v>
      </c>
      <c r="M19" s="43"/>
      <c r="N19" s="57"/>
      <c r="O19" s="25">
        <f>CALI!O19+HUNGRIA!O19+YUMBO!O19+'ADULTO MAYOR'!O19+'COMEDORES VALLE'!O19+BUGA!O19+'COMEDORES CALI'!O19+'CTAS EN PPACION'!O19+'COMEDORES PALMIRA'!O19+IMDERTY!O19</f>
        <v>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0"/>
        <v>483684880</v>
      </c>
      <c r="AN19" s="195"/>
      <c r="AO19" s="57"/>
    </row>
    <row r="20" spans="2:41" ht="15" customHeight="1" x14ac:dyDescent="0.2">
      <c r="B20" s="104" t="s">
        <v>29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f>CALI!I20+HUNGRIA!I20+YUMBO!I20+'ADULTO MAYOR'!I20+'COMEDORES VALLE'!I20+BUGA!I20+'COMEDORES CALI'!I20+'CTAS EN PPACION'!I20+'COMEDORES PALMIRA'!I20+IMDERTY!I20</f>
        <v>725527320</v>
      </c>
      <c r="J20" s="42"/>
      <c r="K20" s="56"/>
      <c r="L20" s="76">
        <f>CALI!L20+HUNGRIA!L20+YUMBO!L20+'ADULTO MAYOR'!L20+'COMEDORES VALLE'!L20+BUGA!L20+'COMEDORES CALI'!L20+'CTAS EN PPACION'!L20+'COMEDORES PALMIRA'!L20+IMDERTY!L20</f>
        <v>241842440</v>
      </c>
      <c r="M20" s="42"/>
      <c r="N20" s="56"/>
      <c r="O20" s="76">
        <f>CALI!O20+HUNGRIA!O20+YUMBO!O20+'ADULTO MAYOR'!O20+'COMEDORES VALLE'!O20+BUGA!O20+'COMEDORES CALI'!O20+'CTAS EN PPACION'!O20+'COMEDORES PALMIRA'!O20+IMDERTY!O20</f>
        <v>0</v>
      </c>
      <c r="P20" s="42"/>
      <c r="Q20" s="56"/>
      <c r="R20" s="76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76">
        <f>CALI!X20+HUNGRIA!X20+YUMBO!X20+'ADULTO MAYOR'!X20+'COMEDORES VALLE'!X20+BUGA!X20+'COMEDORES CALI'!X20+'CTAS EN PPACION'!X20+'COMEDORES PALMIRA'!X20+IMDERTY!X20</f>
        <v>0</v>
      </c>
      <c r="Y20" s="42"/>
      <c r="Z20" s="56"/>
      <c r="AA20" s="76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76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0"/>
        <v>967369760</v>
      </c>
      <c r="AN20" s="194"/>
      <c r="AO20" s="57"/>
    </row>
    <row r="21" spans="2:41" ht="15" customHeight="1" x14ac:dyDescent="0.2">
      <c r="B21" s="104" t="s">
        <v>502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f>CALI!I21+HUNGRIA!I21+YUMBO!I21+'ADULTO MAYOR'!I21+'COMEDORES VALLE'!I21+BUGA!I21+'COMEDORES CALI'!I21+'CTAS EN PPACION'!I21+'COMEDORES PALMIRA'!I21+IMDERTY!I21</f>
        <v>0</v>
      </c>
      <c r="J21" s="43"/>
      <c r="K21" s="57"/>
      <c r="L21" s="75">
        <f>CALI!L21+HUNGRIA!L21+YUMBO!L21+'ADULTO MAYOR'!L21+'COMEDORES VALLE'!L21+BUGA!L21+'COMEDORES CALI'!L21+'CTAS EN PPACION'!L21+'COMEDORES PALMIRA'!L21+IMDERTY!L21</f>
        <v>0</v>
      </c>
      <c r="M21" s="43"/>
      <c r="N21" s="57"/>
      <c r="O21" s="75">
        <f>CALI!O21+HUNGRIA!O21+YUMBO!O21+'ADULTO MAYOR'!O21+'COMEDORES VALLE'!O21+BUGA!O21+'COMEDORES CALI'!O21+'CTAS EN PPACION'!O21+'COMEDORES PALMIRA'!O21+IMDERTY!O21</f>
        <v>0</v>
      </c>
      <c r="P21" s="43"/>
      <c r="Q21" s="57"/>
      <c r="R21" s="75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75">
        <f>CALI!X21+HUNGRIA!X21+YUMBO!X21+'ADULTO MAYOR'!X21+'COMEDORES VALLE'!X21+BUGA!X21+'COMEDORES CALI'!X21+'CTAS EN PPACION'!X21+'COMEDORES PALMIRA'!X21+IMDERTY!X21</f>
        <v>0</v>
      </c>
      <c r="Y21" s="43"/>
      <c r="Z21" s="57"/>
      <c r="AA21" s="75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0"/>
        <v>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>
        <f>CALI!I22+HUNGRIA!I22+YUMBO!I22+'ADULTO MAYOR'!I22+'COMEDORES VALLE'!I22+BUGA!I22+'COMEDORES CALI'!I22+'CTAS EN PPACION'!I22+'COMEDORES PALMIRA'!I22+IMDERTY!I22</f>
        <v>0</v>
      </c>
      <c r="J22" s="42"/>
      <c r="K22" s="56"/>
      <c r="L22" s="51">
        <f>CALI!L22+HUNGRIA!L22+YUMBO!L22+'ADULTO MAYOR'!L22+'COMEDORES VALLE'!L22+BUGA!L22+'COMEDORES CALI'!L22+'CTAS EN PPACION'!L22+'COMEDORES PALMIRA'!L22+IMDERTY!L22</f>
        <v>0</v>
      </c>
      <c r="M22" s="42"/>
      <c r="N22" s="56"/>
      <c r="O22" s="51">
        <f>CALI!O22+HUNGRIA!O22+YUMBO!O22+'ADULTO MAYOR'!O22+'COMEDORES VALLE'!O22+BUGA!O22+'COMEDORES CALI'!O22+'CTAS EN PPACION'!O22+'COMEDORES PALMIRA'!O22+IMDERTY!O22</f>
        <v>0</v>
      </c>
      <c r="P22" s="42"/>
      <c r="Q22" s="56"/>
      <c r="R22" s="51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51">
        <f>CALI!X22+HUNGRIA!X22+YUMBO!X22+'ADULTO MAYOR'!X22+'COMEDORES VALLE'!X22+BUGA!X22+'COMEDORES CALI'!X22+'CTAS EN PPACION'!X22+'COMEDORES PALMIRA'!X22+IMDERTY!X22</f>
        <v>0</v>
      </c>
      <c r="Y22" s="42"/>
      <c r="Z22" s="56"/>
      <c r="AA22" s="51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0"/>
        <v>0</v>
      </c>
      <c r="AN22" s="194"/>
      <c r="AO22" s="56"/>
    </row>
    <row r="23" spans="2:41" ht="15" customHeight="1" x14ac:dyDescent="0.2">
      <c r="B23" s="16" t="s">
        <v>30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>
        <f>I24</f>
        <v>1451054640</v>
      </c>
      <c r="J23" s="3"/>
      <c r="K23" s="61"/>
      <c r="L23" s="49">
        <f>L24</f>
        <v>725527320</v>
      </c>
      <c r="M23" s="3"/>
      <c r="N23" s="61"/>
      <c r="O23" s="49">
        <f>O24</f>
        <v>0</v>
      </c>
      <c r="P23" s="3"/>
      <c r="Q23" s="61"/>
      <c r="R23" s="90">
        <f>R24</f>
        <v>0</v>
      </c>
      <c r="S23" s="3"/>
      <c r="T23" s="61"/>
      <c r="U23" s="49">
        <f>U24</f>
        <v>0</v>
      </c>
      <c r="V23" s="3"/>
      <c r="W23" s="61"/>
      <c r="X23" s="90">
        <f>X24</f>
        <v>0</v>
      </c>
      <c r="Y23" s="760"/>
      <c r="Z23" s="866"/>
      <c r="AA23" s="90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si="0"/>
        <v>2176581960</v>
      </c>
      <c r="AN23" s="197"/>
      <c r="AO23" s="61"/>
    </row>
    <row r="24" spans="2:41" ht="15" customHeight="1" x14ac:dyDescent="0.2">
      <c r="B24" s="16" t="s">
        <v>31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>
        <f>SUM(I25:I27)</f>
        <v>1451054640</v>
      </c>
      <c r="J24" s="3"/>
      <c r="K24" s="61"/>
      <c r="L24" s="49">
        <f>SUM(L25:L27)</f>
        <v>725527320</v>
      </c>
      <c r="M24" s="3"/>
      <c r="N24" s="61"/>
      <c r="O24" s="49">
        <f>SUM(O25:O27)</f>
        <v>0</v>
      </c>
      <c r="P24" s="3"/>
      <c r="Q24" s="61"/>
      <c r="R24" s="90">
        <f>SUM(R25:R27)</f>
        <v>0</v>
      </c>
      <c r="S24" s="3"/>
      <c r="T24" s="61"/>
      <c r="U24" s="49">
        <f>SUM(U25:U27)</f>
        <v>0</v>
      </c>
      <c r="V24" s="3"/>
      <c r="W24" s="61"/>
      <c r="X24" s="90">
        <f>SUM(X25:X27)</f>
        <v>0</v>
      </c>
      <c r="Y24" s="760"/>
      <c r="Z24" s="866"/>
      <c r="AA24" s="90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0"/>
        <v>2176581960</v>
      </c>
      <c r="AN24" s="197"/>
      <c r="AO24" s="61"/>
    </row>
    <row r="25" spans="2:41" ht="15" hidden="1" customHeight="1" outlineLevel="1" x14ac:dyDescent="0.2">
      <c r="B25" s="32" t="s">
        <v>32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f>CALI!I25+HUNGRIA!I25+YUMBO!I25+'ADULTO MAYOR'!I25+'COMEDORES VALLE'!I25+BUGA!I25+'COMEDORES CALI'!I25+'CTAS EN PPACION'!I25</f>
        <v>483684880</v>
      </c>
      <c r="J25" s="52"/>
      <c r="K25" s="62"/>
      <c r="L25" s="35">
        <f>CALI!L25+HUNGRIA!L25+YUMBO!L25+'ADULTO MAYOR'!L25+'COMEDORES VALLE'!L25+BUGA!L25+'COMEDORES CALI'!L25+'CTAS EN PPACION'!L25</f>
        <v>241842440</v>
      </c>
      <c r="M25" s="52"/>
      <c r="N25" s="62"/>
      <c r="O25" s="35">
        <f>CALI!O25+HUNGRIA!O25+YUMBO!O25+'ADULTO MAYOR'!O25+'COMEDORES VALLE'!O25+BUGA!O25+'COMEDORES CALI'!O25+'CTAS EN PPACION'!O25</f>
        <v>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0"/>
        <v>725527320</v>
      </c>
      <c r="AN25" s="198"/>
      <c r="AO25" s="62"/>
    </row>
    <row r="26" spans="2:41" ht="15" hidden="1" customHeight="1" outlineLevel="1" x14ac:dyDescent="0.2">
      <c r="B26" s="32" t="s">
        <v>33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f>CALI!I26+HUNGRIA!I26+YUMBO!I26+'ADULTO MAYOR'!I26+'COMEDORES VALLE'!I26+BUGA!I26+'COMEDORES CALI'!I26+'CTAS EN PPACION'!I26</f>
        <v>483684880</v>
      </c>
      <c r="J26" s="52"/>
      <c r="K26" s="62"/>
      <c r="L26" s="35">
        <f>CALI!L26+HUNGRIA!L26+YUMBO!L26+'ADULTO MAYOR'!L26+'COMEDORES VALLE'!L26+BUGA!L26+'COMEDORES CALI'!L26+'CTAS EN PPACION'!L26</f>
        <v>241842440</v>
      </c>
      <c r="M26" s="52"/>
      <c r="N26" s="62"/>
      <c r="O26" s="35">
        <f>CALI!O26+HUNGRIA!O26+YUMBO!O26+'ADULTO MAYOR'!O26+'COMEDORES VALLE'!O26+BUGA!O26+'COMEDORES CALI'!O26+'CTAS EN PPACION'!O26</f>
        <v>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0"/>
        <v>725527320</v>
      </c>
      <c r="AN26" s="198"/>
      <c r="AO26" s="62"/>
    </row>
    <row r="27" spans="2:41" ht="15" hidden="1" customHeight="1" outlineLevel="1" x14ac:dyDescent="0.2">
      <c r="B27" s="32" t="s">
        <v>369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f>CALI!I27+HUNGRIA!I27+YUMBO!I27+'ADULTO MAYOR'!I27+'COMEDORES VALLE'!I27+BUGA!I27+'COMEDORES CALI'!I27+'CTAS EN PPACION'!I27</f>
        <v>483684880</v>
      </c>
      <c r="J27" s="52"/>
      <c r="K27" s="62"/>
      <c r="L27" s="35">
        <f>CALI!L27+HUNGRIA!L27+YUMBO!L27+'ADULTO MAYOR'!L27+'COMEDORES VALLE'!L27+BUGA!L27+'COMEDORES CALI'!L27+'CTAS EN PPACION'!L27</f>
        <v>241842440</v>
      </c>
      <c r="M27" s="52"/>
      <c r="N27" s="62"/>
      <c r="O27" s="35">
        <f>CALI!O27+HUNGRIA!O27+YUMBO!O27+'ADULTO MAYOR'!O27+'COMEDORES VALLE'!O27+BUGA!O27+'COMEDORES CALI'!O27+'CTAS EN PPACION'!O27</f>
        <v>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0"/>
        <v>725527320</v>
      </c>
      <c r="AN27" s="198"/>
      <c r="AO27" s="62"/>
    </row>
    <row r="28" spans="2:41" ht="15" customHeight="1" collapsed="1" x14ac:dyDescent="0.2">
      <c r="B28" s="16" t="s">
        <v>524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>
        <f>+I29</f>
        <v>536411368.76879996</v>
      </c>
      <c r="J28" s="3"/>
      <c r="K28" s="61"/>
      <c r="L28" s="49">
        <f>+L29</f>
        <v>124113540.208</v>
      </c>
      <c r="M28" s="3"/>
      <c r="N28" s="61"/>
      <c r="O28" s="49">
        <f>+O29</f>
        <v>0</v>
      </c>
      <c r="P28" s="3"/>
      <c r="Q28" s="61"/>
      <c r="R28" s="90">
        <f>+R29</f>
        <v>0</v>
      </c>
      <c r="S28" s="3"/>
      <c r="T28" s="61"/>
      <c r="U28" s="49">
        <f>+U29</f>
        <v>0</v>
      </c>
      <c r="V28" s="3"/>
      <c r="W28" s="61"/>
      <c r="X28" s="90">
        <f>+X29</f>
        <v>0</v>
      </c>
      <c r="Y28" s="760"/>
      <c r="Z28" s="866"/>
      <c r="AA28" s="90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0"/>
        <v>660524908.97679996</v>
      </c>
      <c r="AN28" s="197"/>
      <c r="AO28" s="61"/>
    </row>
    <row r="29" spans="2:41" ht="15" customHeight="1" x14ac:dyDescent="0.2">
      <c r="B29" s="16" t="s">
        <v>36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>
        <f>SUM(I30:I41)</f>
        <v>536411368.76879996</v>
      </c>
      <c r="J29" s="3"/>
      <c r="K29" s="61">
        <f>I29/I13</f>
        <v>0.13862624999999998</v>
      </c>
      <c r="L29" s="49">
        <f>SUM(L30:L41)</f>
        <v>124113540.208</v>
      </c>
      <c r="M29" s="3"/>
      <c r="N29" s="61">
        <f>L29/L13</f>
        <v>6.4149999999999999E-2</v>
      </c>
      <c r="O29" s="49">
        <f>SUM(O30:O41)</f>
        <v>0</v>
      </c>
      <c r="P29" s="3"/>
      <c r="Q29" s="61" t="e">
        <f>O29/O13</f>
        <v>#DIV/0!</v>
      </c>
      <c r="R29" s="90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90">
        <f>SUM(X30:X41)</f>
        <v>0</v>
      </c>
      <c r="Y29" s="760"/>
      <c r="Z29" s="761" t="e">
        <f>X29/X13</f>
        <v>#DIV/0!</v>
      </c>
      <c r="AA29" s="90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0"/>
        <v>660524908.97679996</v>
      </c>
      <c r="AN29" s="197"/>
      <c r="AO29" s="150">
        <f>AM29/AM13</f>
        <v>0.11380083333333332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>
        <f>CALI!I30+HUNGRIA!I30+YUMBO!I30+'ADULTO MAYOR'!I30+'COMEDORES VALLE'!I30+BUGA!I30+'COMEDORES CALI'!I30+'CTAS EN PPACION'!I30+'COMEDORES PALMIRA'!I30+IMDERTY!I30</f>
        <v>49577700.199999996</v>
      </c>
      <c r="J30" s="69"/>
      <c r="K30" s="56"/>
      <c r="L30" s="53">
        <f>CALI!L30+HUNGRIA!L30+YUMBO!L30+'ADULTO MAYOR'!L30+'COMEDORES VALLE'!L30+BUGA!L30+'COMEDORES CALI'!L30+'CTAS EN PPACION'!L30+'COMEDORES PALMIRA'!L30+IMDERTY!L30</f>
        <v>38694790.399999999</v>
      </c>
      <c r="M30" s="69"/>
      <c r="N30" s="56"/>
      <c r="O30" s="53">
        <f>CALI!O30+HUNGRIA!O30+YUMBO!O30+'ADULTO MAYOR'!O30+'COMEDORES VALLE'!O30+BUGA!O30+'COMEDORES CALI'!O30+'CTAS EN PPACION'!O30+'COMEDORES PALMIRA'!O30+IMDERTY!O30</f>
        <v>0</v>
      </c>
      <c r="P30" s="69"/>
      <c r="Q30" s="56"/>
      <c r="R30" s="53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53">
        <f>CALI!X30+HUNGRIA!X30+YUMBO!X30+'ADULTO MAYOR'!X30+'COMEDORES VALLE'!X30+BUGA!X30+'COMEDORES CALI'!X30+'CTAS EN PPACION'!X30+'COMEDORES PALMIRA'!X30+IMDERTY!X30</f>
        <v>0</v>
      </c>
      <c r="Y30" s="69"/>
      <c r="Z30" s="56"/>
      <c r="AA30" s="53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0"/>
        <v>88272490.599999994</v>
      </c>
      <c r="AN30" s="194"/>
      <c r="AO30" s="56"/>
    </row>
    <row r="31" spans="2:41" ht="15" customHeight="1" outlineLevel="1" x14ac:dyDescent="0.2">
      <c r="B31" s="105"/>
      <c r="C31" s="265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5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5">
        <f>CALI!I31+HUNGRIA!I31+YUMBO!I31+'ADULTO MAYOR'!I31+'COMEDORES VALLE'!I31+BUGA!I31+'COMEDORES CALI'!I31+'CTAS EN PPACION'!I31+'COMEDORES PALMIRA'!I31+IMDERTY!I31</f>
        <v>40000739.576000005</v>
      </c>
      <c r="J31" s="43"/>
      <c r="K31" s="57"/>
      <c r="L31" s="265">
        <f>CALI!L31+HUNGRIA!L31+YUMBO!L31+'ADULTO MAYOR'!L31+'COMEDORES VALLE'!L31+BUGA!L31+'COMEDORES CALI'!L31+'CTAS EN PPACION'!L31+'COMEDORES PALMIRA'!L31+IMDERTY!L31</f>
        <v>17025707.776000001</v>
      </c>
      <c r="M31" s="43"/>
      <c r="N31" s="57"/>
      <c r="O31" s="265">
        <f>CALI!O31+HUNGRIA!O31+YUMBO!O31+'ADULTO MAYOR'!O31+'COMEDORES VALLE'!O31+BUGA!O31+'COMEDORES CALI'!O31+'CTAS EN PPACION'!O31+'COMEDORES PALMIRA'!O31+IMDERTY!O31</f>
        <v>0</v>
      </c>
      <c r="P31" s="43"/>
      <c r="Q31" s="57"/>
      <c r="R31" s="265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5">
        <f>CALI!U31+HUNGRIA!U31+YUMBO!U31+'ADULTO MAYOR'!U31+'COMEDORES VALLE'!U31+BUGA!U31+'COMEDORES CALI'!U31+'CTAS EN PPACION'!U31+'COMEDORES PALMIRA'!U31+IMDERTY!U31</f>
        <v>0</v>
      </c>
      <c r="V31" s="43"/>
      <c r="W31" s="57"/>
      <c r="X31" s="265">
        <f>CALI!X31+HUNGRIA!X31+YUMBO!X31+'ADULTO MAYOR'!X31+'COMEDORES VALLE'!X31+BUGA!X31+'COMEDORES CALI'!X31+'CTAS EN PPACION'!X31+'COMEDORES PALMIRA'!X31+IMDERTY!X31</f>
        <v>0</v>
      </c>
      <c r="Y31" s="43"/>
      <c r="Z31" s="57"/>
      <c r="AA31" s="265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5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5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5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0"/>
        <v>57026447.352000006</v>
      </c>
      <c r="AN31" s="195"/>
      <c r="AO31" s="57"/>
    </row>
    <row r="32" spans="2:41" ht="15" customHeight="1" outlineLevel="1" x14ac:dyDescent="0.2">
      <c r="B32" s="105"/>
      <c r="C32" s="265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5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5">
        <f>CALI!I32+HUNGRIA!I32+YUMBO!I32+'ADULTO MAYOR'!I32+'COMEDORES VALLE'!I32+BUGA!I32+'COMEDORES CALI'!I32+'CTAS EN PPACION'!I32+'COMEDORES PALMIRA'!I32+IMDERTY!I32</f>
        <v>21867393.424799997</v>
      </c>
      <c r="J32" s="43"/>
      <c r="K32" s="57"/>
      <c r="L32" s="265">
        <f>CALI!L32+HUNGRIA!L32+YUMBO!L32+'ADULTO MAYOR'!L32+'COMEDORES VALLE'!L32+BUGA!L32+'COMEDORES CALI'!L32+'CTAS EN PPACION'!L32+'COMEDORES PALMIRA'!L32+IMDERTY!L32</f>
        <v>19347395.199999999</v>
      </c>
      <c r="M32" s="43"/>
      <c r="N32" s="57"/>
      <c r="O32" s="265">
        <f>CALI!O32+HUNGRIA!O32+YUMBO!O32+'ADULTO MAYOR'!O32+'COMEDORES VALLE'!O32+BUGA!O32+'COMEDORES CALI'!O32+'CTAS EN PPACION'!O32+'COMEDORES PALMIRA'!O32+IMDERTY!O32</f>
        <v>0</v>
      </c>
      <c r="P32" s="43"/>
      <c r="Q32" s="57"/>
      <c r="R32" s="265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5">
        <f>CALI!U32+HUNGRIA!U32+YUMBO!U32+'ADULTO MAYOR'!U32+'COMEDORES VALLE'!U32+BUGA!U32+'COMEDORES CALI'!U32+'CTAS EN PPACION'!U32+'COMEDORES PALMIRA'!U32+IMDERTY!U32</f>
        <v>0</v>
      </c>
      <c r="V32" s="43"/>
      <c r="W32" s="57"/>
      <c r="X32" s="265">
        <f>CALI!X32+HUNGRIA!X32+YUMBO!X32+'ADULTO MAYOR'!X32+'COMEDORES VALLE'!X32+BUGA!X32+'COMEDORES CALI'!X32+'CTAS EN PPACION'!X32+'COMEDORES PALMIRA'!X32+IMDERTY!X32</f>
        <v>0</v>
      </c>
      <c r="Y32" s="43"/>
      <c r="Z32" s="57"/>
      <c r="AA32" s="265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5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5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5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0"/>
        <v>41214788.624799997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>
        <f>CALI!I33+HUNGRIA!I33+YUMBO!I33+'ADULTO MAYOR'!I33+'COMEDORES VALLE'!I33+BUGA!I33+'COMEDORES CALI'!I33+'CTAS EN PPACION'!I33+'COMEDORES PALMIRA'!I33+IMDERTY!I33</f>
        <v>50786912.400000006</v>
      </c>
      <c r="J33" s="43"/>
      <c r="K33" s="57"/>
      <c r="L33" s="25">
        <f>CALI!L33+HUNGRIA!L33+YUMBO!L33+'ADULTO MAYOR'!L33+'COMEDORES VALLE'!L33+BUGA!L33+'COMEDORES CALI'!L33+'CTAS EN PPACION'!L33+'COMEDORES PALMIRA'!L33+IMDERTY!L33</f>
        <v>9673697.5999999996</v>
      </c>
      <c r="M33" s="43"/>
      <c r="N33" s="57"/>
      <c r="O33" s="25">
        <f>CALI!O33+HUNGRIA!O33+YUMBO!O33+'ADULTO MAYOR'!O33+'COMEDORES VALLE'!O33+BUGA!O33+'COMEDORES CALI'!O33+'CTAS EN PPACION'!O33+'COMEDORES PALMIRA'!O33+IMDERTY!O33</f>
        <v>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0"/>
        <v>60460610.000000007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>
        <f>CALI!I34+HUNGRIA!I34+YUMBO!I34+'ADULTO MAYOR'!I34+'COMEDORES VALLE'!I34+BUGA!I34+'COMEDORES CALI'!I34+'CTAS EN PPACION'!I34+'COMEDORES PALMIRA'!I34+IMDERTY!I34</f>
        <v>2478885.0099999998</v>
      </c>
      <c r="J34" s="43"/>
      <c r="K34" s="57"/>
      <c r="L34" s="25">
        <f>CALI!L34+HUNGRIA!L34+YUMBO!L34+'ADULTO MAYOR'!L34+'COMEDORES VALLE'!L34+BUGA!L34+'COMEDORES CALI'!L34+'CTAS EN PPACION'!L34+'COMEDORES PALMIRA'!L34+IMDERTY!L34</f>
        <v>677158.83200000005</v>
      </c>
      <c r="M34" s="43"/>
      <c r="N34" s="57"/>
      <c r="O34" s="25">
        <f>CALI!O34+HUNGRIA!O34+YUMBO!O34+'ADULTO MAYOR'!O34+'COMEDORES VALLE'!O34+BUGA!O34+'COMEDORES CALI'!O34+'CTAS EN PPACION'!O34+'COMEDORES PALMIRA'!O34+IMDERTY!O34</f>
        <v>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0"/>
        <v>3156043.8419999997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>
        <f>CALI!I35+HUNGRIA!I35+YUMBO!I35+'ADULTO MAYOR'!I35+'COMEDORES VALLE'!I35+BUGA!I35+'COMEDORES CALI'!I35+'CTAS EN PPACION'!I35+'COMEDORES PALMIRA'!I35+IMDERTY!I35</f>
        <v>82613377.504000008</v>
      </c>
      <c r="J35" s="43"/>
      <c r="K35" s="57"/>
      <c r="L35" s="25">
        <f>CALI!L35+HUNGRIA!L35+YUMBO!L35+'ADULTO MAYOR'!L35+'COMEDORES VALLE'!L35+BUGA!L35+'COMEDORES CALI'!L35+'CTAS EN PPACION'!L35+'COMEDORES PALMIRA'!L35+IMDERTY!L35</f>
        <v>38694790.399999999</v>
      </c>
      <c r="M35" s="43"/>
      <c r="N35" s="57"/>
      <c r="O35" s="25">
        <f>CALI!O35+HUNGRIA!O35+YUMBO!O35+'ADULTO MAYOR'!O35+'COMEDORES VALLE'!O35+BUGA!O35+'COMEDORES CALI'!O35+'CTAS EN PPACION'!O35+'COMEDORES PALMIRA'!O35+IMDERTY!O35</f>
        <v>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0"/>
        <v>121308167.90400001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>
        <f>CALI!I36+HUNGRIA!I36+YUMBO!I36+'ADULTO MAYOR'!I36+'COMEDORES VALLE'!I36+BUGA!I36+'COMEDORES CALI'!I36+'CTAS EN PPACION'!I36+'COMEDORES PALMIRA'!I36+IMDERTY!I36</f>
        <v>33942586.454000004</v>
      </c>
      <c r="J36" s="43"/>
      <c r="K36" s="57"/>
      <c r="L36" s="25">
        <f>CALI!L36+HUNGRIA!L36+YUMBO!L36+'ADULTO MAYOR'!L36+'COMEDORES VALLE'!L36+BUGA!L36+'COMEDORES CALI'!L36+'CTAS EN PPACION'!L36+'COMEDORES PALMIRA'!L36+IMDERTY!L36</f>
        <v>0</v>
      </c>
      <c r="M36" s="43"/>
      <c r="N36" s="57"/>
      <c r="O36" s="25">
        <f>CALI!O36+HUNGRIA!O36+YUMBO!O36+'ADULTO MAYOR'!O36+'COMEDORES VALLE'!O36+BUGA!O36+'COMEDORES CALI'!O36+'CTAS EN PPACION'!O36+'COMEDORES PALMIRA'!O36+IMDERTY!O36</f>
        <v>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0"/>
        <v>33942586.454000004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>
        <f>CALI!I37+HUNGRIA!I37+YUMBO!I37+'ADULTO MAYOR'!I37+'COMEDORES VALLE'!I37+BUGA!I37+'COMEDORES CALI'!I37+'CTAS EN PPACION'!I37+'COMEDORES PALMIRA'!I37+IMDERTY!I37</f>
        <v>13301334.199999999</v>
      </c>
      <c r="J37" s="43"/>
      <c r="K37" s="57"/>
      <c r="L37" s="25">
        <f>CALI!L37+HUNGRIA!L37+YUMBO!L37+'ADULTO MAYOR'!L37+'COMEDORES VALLE'!L37+BUGA!L37+'COMEDORES CALI'!L37+'CTAS EN PPACION'!L37+'COMEDORES PALMIRA'!L37+IMDERTY!L37</f>
        <v>0</v>
      </c>
      <c r="M37" s="43"/>
      <c r="N37" s="57"/>
      <c r="O37" s="25">
        <f>CALI!O37+HUNGRIA!O37+YUMBO!O37+'ADULTO MAYOR'!O37+'COMEDORES VALLE'!O37+BUGA!O37+'COMEDORES CALI'!O37+'CTAS EN PPACION'!O37+'COMEDORES PALMIRA'!O37+IMDERTY!O37</f>
        <v>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0"/>
        <v>13301334.199999999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>
        <f>CALI!I38+HUNGRIA!I38+YUMBO!I38+'ADULTO MAYOR'!I38+'COMEDORES VALLE'!I38+BUGA!I38+'COMEDORES CALI'!I38+'CTAS EN PPACION'!I38+'COMEDORES PALMIRA'!I38+IMDERTY!I38</f>
        <v>241842440</v>
      </c>
      <c r="J38" s="43"/>
      <c r="K38" s="57"/>
      <c r="L38" s="25">
        <f>CALI!L38+HUNGRIA!L38+YUMBO!L38+'ADULTO MAYOR'!L38+'COMEDORES VALLE'!L38+BUGA!L38+'COMEDORES CALI'!L38+'CTAS EN PPACION'!L38+'COMEDORES PALMIRA'!L38+IMDERTY!L38</f>
        <v>0</v>
      </c>
      <c r="M38" s="43"/>
      <c r="N38" s="57"/>
      <c r="O38" s="25">
        <f>CALI!O38+HUNGRIA!O38+YUMBO!O38+'ADULTO MAYOR'!O38+'COMEDORES VALLE'!O38+BUGA!O38+'COMEDORES CALI'!O38+'CTAS EN PPACION'!O38+'COMEDORES PALMIRA'!O38+IMDERTY!O38</f>
        <v>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0"/>
        <v>241842440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>
        <f>CALI!I39+HUNGRIA!I39+YUMBO!I39+'ADULTO MAYOR'!I39+'COMEDORES VALLE'!I39+BUGA!I39+'COMEDORES CALI'!I39+'CTAS EN PPACION'!I39+'COMEDORES PALMIRA'!I39+IMDERTY!I39</f>
        <v>0</v>
      </c>
      <c r="J39" s="43"/>
      <c r="K39" s="57"/>
      <c r="L39" s="25">
        <f>CALI!L39+HUNGRIA!L39+YUMBO!L39+'ADULTO MAYOR'!L39+'COMEDORES VALLE'!L39+BUGA!L39+'COMEDORES CALI'!L39+'CTAS EN PPACION'!L39+'COMEDORES PALMIRA'!L39+IMDERTY!L39</f>
        <v>0</v>
      </c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0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>
        <f>CALI!I40+HUNGRIA!I40+YUMBO!I40+'ADULTO MAYOR'!I40+'COMEDORES VALLE'!I40+BUGA!I40+'COMEDORES CALI'!I40+'CTAS EN PPACION'!I40+'COMEDORES PALMIRA'!I40+IMDERTY!I40</f>
        <v>0</v>
      </c>
      <c r="J40" s="43"/>
      <c r="K40" s="57"/>
      <c r="L40" s="25">
        <f>CALI!L40+HUNGRIA!L40+YUMBO!L40+'ADULTO MAYOR'!L40+'COMEDORES VALLE'!L40+BUGA!L40+'COMEDORES CALI'!L40+'CTAS EN PPACION'!L40+'COMEDORES PALMIRA'!L40+IMDERTY!L40</f>
        <v>0</v>
      </c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0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>
        <f>CALI!I41+HUNGRIA!I41+YUMBO!I41+'ADULTO MAYOR'!I41+'COMEDORES VALLE'!I41+BUGA!I41+'COMEDORES CALI'!I41+'CTAS EN PPACION'!I41+'COMEDORES PALMIRA'!I41+IMDERTY!I41</f>
        <v>0</v>
      </c>
      <c r="J41" s="42"/>
      <c r="K41" s="56"/>
      <c r="L41" s="22">
        <f>CALI!L41+HUNGRIA!L41+YUMBO!L41+'ADULTO MAYOR'!L41+'COMEDORES VALLE'!L41+BUGA!L41+'COMEDORES CALI'!L41+'CTAS EN PPACION'!L41+'COMEDORES PALMIRA'!L41+IMDERTY!L41</f>
        <v>0</v>
      </c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0"/>
        <v>0</v>
      </c>
      <c r="AN41" s="194"/>
      <c r="AO41" s="56"/>
    </row>
    <row r="42" spans="2:41" ht="15" customHeight="1" thickBot="1" x14ac:dyDescent="0.25">
      <c r="B42" s="527" t="s">
        <v>45</v>
      </c>
      <c r="C42" s="487">
        <f>+C14+C23-C28</f>
        <v>0</v>
      </c>
      <c r="D42" s="488"/>
      <c r="E42" s="509"/>
      <c r="F42" s="487">
        <f>+F14+F23-F28</f>
        <v>0</v>
      </c>
      <c r="G42" s="488"/>
      <c r="H42" s="509"/>
      <c r="I42" s="487">
        <f>+I14+I23-I28</f>
        <v>3333067671.2312002</v>
      </c>
      <c r="J42" s="488"/>
      <c r="K42" s="509"/>
      <c r="L42" s="487">
        <f>+L14+L23-L28</f>
        <v>1810625979.7920001</v>
      </c>
      <c r="M42" s="488"/>
      <c r="N42" s="509"/>
      <c r="O42" s="487">
        <f>+O14+O23-O28</f>
        <v>0</v>
      </c>
      <c r="P42" s="488"/>
      <c r="Q42" s="509"/>
      <c r="R42" s="487">
        <f>+R14+R23-R28</f>
        <v>0</v>
      </c>
      <c r="S42" s="488"/>
      <c r="T42" s="509"/>
      <c r="U42" s="487">
        <f>+U14+U23-U28</f>
        <v>0</v>
      </c>
      <c r="V42" s="488"/>
      <c r="W42" s="509"/>
      <c r="X42" s="487">
        <f>+X14+X23-X28</f>
        <v>0</v>
      </c>
      <c r="Y42" s="488"/>
      <c r="Z42" s="509"/>
      <c r="AA42" s="487">
        <f>+AA14+AA23-AA28</f>
        <v>0</v>
      </c>
      <c r="AB42" s="488"/>
      <c r="AC42" s="509"/>
      <c r="AD42" s="487">
        <f>+AD14+AD23-AD28</f>
        <v>0</v>
      </c>
      <c r="AE42" s="488"/>
      <c r="AF42" s="509"/>
      <c r="AG42" s="487">
        <f>+AG14+AG23-AG28</f>
        <v>0</v>
      </c>
      <c r="AH42" s="488"/>
      <c r="AI42" s="509"/>
      <c r="AJ42" s="487">
        <f>+AJ14+AJ23-AJ28</f>
        <v>0</v>
      </c>
      <c r="AK42" s="488"/>
      <c r="AL42" s="509"/>
      <c r="AM42" s="591">
        <f t="shared" si="0"/>
        <v>5143693651.0232</v>
      </c>
      <c r="AN42" s="592"/>
      <c r="AO42" s="509"/>
    </row>
    <row r="43" spans="2:41" ht="15" customHeight="1" thickTop="1" thickBot="1" x14ac:dyDescent="0.25">
      <c r="C43" s="930"/>
      <c r="D43" s="931"/>
      <c r="E43" s="932" t="e">
        <f>(C46+C61)/(C13-C20-C21-C22)</f>
        <v>#DIV/0!</v>
      </c>
      <c r="F43" s="930"/>
      <c r="G43" s="930"/>
      <c r="H43" s="963" t="e">
        <f>(F46+F61)/(F13-F20-F21-F22)</f>
        <v>#DIV/0!</v>
      </c>
      <c r="I43" s="930"/>
      <c r="J43" s="930"/>
      <c r="K43" s="933">
        <f>(I46+I61)/(I13-I20-I21-I22)</f>
        <v>1.4615384615384615</v>
      </c>
      <c r="L43" s="930"/>
      <c r="M43" s="930"/>
      <c r="N43" s="934">
        <f>(L46+L61)/(L13-L20-L21-L22)</f>
        <v>0.8571428571428571</v>
      </c>
      <c r="O43" s="930"/>
      <c r="P43" s="930"/>
      <c r="Q43" s="935" t="e">
        <f>(O46+O61)/(O13-O20-O21-O22)</f>
        <v>#DIV/0!</v>
      </c>
      <c r="R43" s="930"/>
      <c r="S43" s="930"/>
      <c r="T43" s="934" t="e">
        <f>(R46+R61)/(R13-R20-R21-R22)</f>
        <v>#DIV/0!</v>
      </c>
      <c r="U43" s="930"/>
      <c r="V43" s="930"/>
      <c r="W43" s="934" t="e">
        <f>(U46+U61)/(U13-U20-U21-U22)</f>
        <v>#DIV/0!</v>
      </c>
      <c r="X43" s="930"/>
      <c r="Y43" s="930"/>
      <c r="Z43" s="934" t="e">
        <f>(X46+X61)/(X13-X20-X21-X22)</f>
        <v>#DIV/0!</v>
      </c>
      <c r="AA43" s="930">
        <f>650768778-AA29</f>
        <v>650768778</v>
      </c>
      <c r="AB43" s="930"/>
      <c r="AC43" s="934" t="e">
        <f>(AA46+AA61)/(AA13-AA20-AA21-AA22)</f>
        <v>#DIV/0!</v>
      </c>
      <c r="AD43" s="936"/>
      <c r="AE43" s="937"/>
      <c r="AF43" s="934" t="e">
        <f>(AD46+AD61)/(AD13-AD20-AD21-AD22)</f>
        <v>#DIV/0!</v>
      </c>
      <c r="AG43" s="937" t="e">
        <f>(AG13*AF43)-(AG46+AG61)</f>
        <v>#DIV/0!</v>
      </c>
      <c r="AH43" s="937"/>
      <c r="AI43" s="934" t="e">
        <f>(AG46+AG61)/(AG13-AG20-AG21-AG22)</f>
        <v>#DIV/0!</v>
      </c>
      <c r="AJ43" s="937" t="e">
        <f>(AJ13*AI43)-(AJ46+AJ61)</f>
        <v>#DIV/0!</v>
      </c>
      <c r="AK43" s="937"/>
      <c r="AL43" s="934" t="e">
        <f>(AJ46+AJ61)/(AJ13-AJ20-AJ21-AJ22)</f>
        <v>#DIV/0!</v>
      </c>
      <c r="AM43" s="867"/>
      <c r="AN43" s="695"/>
      <c r="AO43" s="938">
        <f>(AM46+AM61)/(AM13-AM20-AM21-AM22)</f>
        <v>3.3347418379172806</v>
      </c>
    </row>
    <row r="44" spans="2:41" ht="15" customHeight="1" thickTop="1" x14ac:dyDescent="0.2">
      <c r="B44" s="526" t="s">
        <v>46</v>
      </c>
      <c r="C44" s="490">
        <f>+C45+C60+C78</f>
        <v>4354767053.7399988</v>
      </c>
      <c r="D44" s="491"/>
      <c r="E44" s="492" t="e">
        <f>C44/C13</f>
        <v>#DIV/0!</v>
      </c>
      <c r="F44" s="490">
        <f>+F45+F60+F78</f>
        <v>8135843960.2999945</v>
      </c>
      <c r="G44" s="491"/>
      <c r="H44" s="492" t="e">
        <f>F44/F13</f>
        <v>#DIV/0!</v>
      </c>
      <c r="I44" s="490">
        <f>+I45+I60+I78</f>
        <v>13567168867</v>
      </c>
      <c r="J44" s="491"/>
      <c r="K44" s="492">
        <f>I44/I13</f>
        <v>3.5062003765240708</v>
      </c>
      <c r="L44" s="490">
        <f>+L45+L60+L78</f>
        <v>6529745880</v>
      </c>
      <c r="M44" s="491"/>
      <c r="N44" s="492">
        <f>L44/L13</f>
        <v>3.375</v>
      </c>
      <c r="O44" s="490">
        <f>+O45+O60+O78</f>
        <v>0</v>
      </c>
      <c r="P44" s="491"/>
      <c r="Q44" s="492" t="e">
        <f>O44/O13</f>
        <v>#DIV/0!</v>
      </c>
      <c r="R44" s="490">
        <f>+R45+R60+R78</f>
        <v>0</v>
      </c>
      <c r="S44" s="491"/>
      <c r="T44" s="492" t="e">
        <f>R44/R13</f>
        <v>#DIV/0!</v>
      </c>
      <c r="U44" s="490">
        <f>+U45+U60+U78</f>
        <v>0</v>
      </c>
      <c r="V44" s="491"/>
      <c r="W44" s="492" t="e">
        <f>U44/U13</f>
        <v>#DIV/0!</v>
      </c>
      <c r="X44" s="490">
        <f>+X45+X60+X78</f>
        <v>0</v>
      </c>
      <c r="Y44" s="491"/>
      <c r="Z44" s="492" t="e">
        <f>X44/X13</f>
        <v>#DIV/0!</v>
      </c>
      <c r="AA44" s="490">
        <f>+AA45+AA60+AA78</f>
        <v>0</v>
      </c>
      <c r="AB44" s="491"/>
      <c r="AC44" s="492" t="e">
        <f>AA44/AA13</f>
        <v>#DIV/0!</v>
      </c>
      <c r="AD44" s="490">
        <f>+AD45+AD60+AD78</f>
        <v>0</v>
      </c>
      <c r="AE44" s="491"/>
      <c r="AF44" s="492" t="e">
        <f>AD44/AD13</f>
        <v>#DIV/0!</v>
      </c>
      <c r="AG44" s="490">
        <f>+AG45+AG60+AG78</f>
        <v>0</v>
      </c>
      <c r="AH44" s="491"/>
      <c r="AI44" s="492" t="e">
        <f>AG44/AG13</f>
        <v>#DIV/0!</v>
      </c>
      <c r="AJ44" s="490">
        <f>+AJ45+AJ60+AJ78</f>
        <v>0</v>
      </c>
      <c r="AK44" s="491"/>
      <c r="AL44" s="492" t="e">
        <f>AJ44/AJ13</f>
        <v>#DIV/0!</v>
      </c>
      <c r="AM44" s="593">
        <f t="shared" ref="AM44:AM81" si="1">C44+F44+I44+L44+O44+R44+U44+X44+AA44+AD44+AG44+AJ44</f>
        <v>32587525761.039993</v>
      </c>
      <c r="AN44" s="594"/>
      <c r="AO44" s="492">
        <f>AM44/AM13</f>
        <v>5.6144553180023591</v>
      </c>
    </row>
    <row r="45" spans="2:41" ht="15" customHeight="1" x14ac:dyDescent="0.2">
      <c r="B45" s="16" t="s">
        <v>47</v>
      </c>
      <c r="C45" s="49">
        <f>+C46+C57</f>
        <v>2902760864.5499992</v>
      </c>
      <c r="D45" s="3"/>
      <c r="E45" s="150" t="e">
        <f>C45/C13</f>
        <v>#DIV/0!</v>
      </c>
      <c r="F45" s="49">
        <f>+F46+F57</f>
        <v>3539975223.4199944</v>
      </c>
      <c r="G45" s="3"/>
      <c r="H45" s="150" t="e">
        <f>F45/F13</f>
        <v>#DIV/0!</v>
      </c>
      <c r="I45" s="49">
        <f>+I46+I57</f>
        <v>1716889307</v>
      </c>
      <c r="J45" s="3"/>
      <c r="K45" s="150">
        <f>I45/I13</f>
        <v>0.44370037652407079</v>
      </c>
      <c r="L45" s="49">
        <f>+L46+L57</f>
        <v>725527320</v>
      </c>
      <c r="M45" s="3"/>
      <c r="N45" s="150">
        <f>L45/L13</f>
        <v>0.375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1"/>
        <v>8885152714.9699936</v>
      </c>
      <c r="AN45" s="197"/>
      <c r="AO45" s="150">
        <f>AM45/AM13</f>
        <v>1.5308094661014959</v>
      </c>
    </row>
    <row r="46" spans="2:41" ht="15" customHeight="1" x14ac:dyDescent="0.2">
      <c r="B46" s="36" t="s">
        <v>525</v>
      </c>
      <c r="C46" s="46">
        <f>SUM(C47:C56)</f>
        <v>2679524864.5499992</v>
      </c>
      <c r="D46" s="47"/>
      <c r="E46" s="152" t="e">
        <f>C46/C13</f>
        <v>#DIV/0!</v>
      </c>
      <c r="F46" s="46">
        <f>SUM(F47:F56)</f>
        <v>3306443223.4199944</v>
      </c>
      <c r="G46" s="47"/>
      <c r="H46" s="152" t="e">
        <f>F46/F13</f>
        <v>#DIV/0!</v>
      </c>
      <c r="I46" s="46">
        <f>SUM(I47:I56)</f>
        <v>1209212200</v>
      </c>
      <c r="J46" s="47"/>
      <c r="K46" s="152">
        <f>I46/I13</f>
        <v>0.3125</v>
      </c>
      <c r="L46" s="46">
        <f>SUM(L47:L56)</f>
        <v>241842440</v>
      </c>
      <c r="M46" s="47"/>
      <c r="N46" s="152">
        <f>L46/L13</f>
        <v>0.125</v>
      </c>
      <c r="O46" s="46">
        <f>SUM(O47:O56)</f>
        <v>0</v>
      </c>
      <c r="P46" s="47"/>
      <c r="Q46" s="152" t="e">
        <f>O46/O13</f>
        <v>#DIV/0!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1"/>
        <v>7437022727.9699936</v>
      </c>
      <c r="AN46" s="199"/>
      <c r="AO46" s="152">
        <f>AM46/AM13</f>
        <v>1.2813133501247744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2679524864.5499992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3306443223.4199944</v>
      </c>
      <c r="G47" s="42"/>
      <c r="H47" s="56"/>
      <c r="I47" s="50">
        <f>CALI!I47+HUNGRIA!I47+YUMBO!I47+'ADULTO MAYOR'!I47+'COMEDORES VALLE'!I47+BUGA!I47+'COMEDORES CALI'!I47+'CTAS EN PPACION'!I47+'COMEDORES PALMIRA'!I47+IMDERTY!I47</f>
        <v>483684880</v>
      </c>
      <c r="J47" s="42"/>
      <c r="K47" s="56"/>
      <c r="L47" s="50">
        <f>CALI!L47+HUNGRIA!L47+YUMBO!L47+'ADULTO MAYOR'!L47+'COMEDORES VALLE'!L47+BUGA!L47+'COMEDORES CALI'!L47+'CTAS EN PPACION'!L47+'COMEDORES PALMIRA'!L47+IMDERTY!L47</f>
        <v>241842440</v>
      </c>
      <c r="M47" s="42"/>
      <c r="N47" s="56"/>
      <c r="O47" s="50">
        <f>CALI!O47+HUNGRIA!O47+YUMBO!O47+'ADULTO MAYOR'!O47+'COMEDORES VALLE'!O47+BUGA!O47+'COMEDORES CALI'!O47+'CTAS EN PPACION'!O47+'COMEDORES PALMIRA'!O47+IMDERTY!O47</f>
        <v>0</v>
      </c>
      <c r="P47" s="42"/>
      <c r="Q47" s="56"/>
      <c r="R47" s="50">
        <f>CALI!R47+HUNGRIA!R47+YUMBO!R47+'ADULTO MAYOR'!R47+'COMEDORES VALLE'!R47+BUGA!R47+'COMEDORES CALI'!R47+'CTAS EN PPACION'!R47+'COMEDORES PALMIRA'!R47+IMDERTY!R47</f>
        <v>0</v>
      </c>
      <c r="S47" s="42"/>
      <c r="T47" s="56"/>
      <c r="U47" s="50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50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1"/>
        <v>6711495407.9699936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>
        <f>CALI!I48+HUNGRIA!I48+YUMBO!I48+'ADULTO MAYOR'!I48+'COMEDORES VALLE'!I48+BUGA!I48+'COMEDORES CALI'!I48+'CTAS EN PPACION'!I48+'COMEDORES PALMIRA'!I48+IMDERTY!I48</f>
        <v>0</v>
      </c>
      <c r="J48" s="43"/>
      <c r="K48" s="57"/>
      <c r="L48" s="25">
        <f>CALI!L48+HUNGRIA!L48+YUMBO!L48+'ADULTO MAYOR'!L48+'COMEDORES VALLE'!L48+BUGA!L48+'COMEDORES CALI'!L48+'CTAS EN PPACION'!L48+'COMEDORES PALMIRA'!L48+IMDERTY!L48</f>
        <v>0</v>
      </c>
      <c r="M48" s="43"/>
      <c r="N48" s="57"/>
      <c r="O48" s="25">
        <f>CALI!O48+HUNGRIA!O48+YUMBO!O48+'ADULTO MAYOR'!O48+'COMEDORES VALLE'!O48+BUGA!O48+'COMEDORES CALI'!O48+'CTAS EN PPACION'!O48+'COMEDORES PALMIRA'!O48+IMDERTY!O48</f>
        <v>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1"/>
        <v>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>
        <f>CALI!I49+HUNGRIA!I49+YUMBO!I49+'ADULTO MAYOR'!I49+'COMEDORES VALLE'!I49+BUGA!I49+'COMEDORES CALI'!I49+'CTAS EN PPACION'!I49+'COMEDORES PALMIRA'!I49+IMDERTY!I49</f>
        <v>241842440</v>
      </c>
      <c r="J49" s="43"/>
      <c r="K49" s="57"/>
      <c r="L49" s="25">
        <f>CALI!L49+HUNGRIA!L49+YUMBO!L49+'ADULTO MAYOR'!L49+'COMEDORES VALLE'!L49+BUGA!L49+'COMEDORES CALI'!L49+'CTAS EN PPACION'!L49+'COMEDORES PALMIRA'!L49+IMDERTY!L49</f>
        <v>0</v>
      </c>
      <c r="M49" s="43"/>
      <c r="N49" s="57"/>
      <c r="O49" s="25">
        <f>CALI!O49+HUNGRIA!O49+YUMBO!O49+'ADULTO MAYOR'!O49+'COMEDORES VALLE'!O49+BUGA!O49+'COMEDORES CALI'!O49+'CTAS EN PPACION'!O49+'COMEDORES PALMIRA'!O49+IMDERTY!O49</f>
        <v>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1"/>
        <v>241842440</v>
      </c>
      <c r="AN49" s="195"/>
      <c r="AO49" s="57"/>
    </row>
    <row r="50" spans="2:41" ht="15" customHeight="1" x14ac:dyDescent="0.2">
      <c r="B50" s="430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>
        <f>CALI!I50+HUNGRIA!I50+YUMBO!I50+'ADULTO MAYOR'!I50+'COMEDORES VALLE'!I50+BUGA!I50+'COMEDORES CALI'!I50+'CTAS EN PPACION'!I50+'COMEDORES PALMIRA'!I50+IMDERTY!I50</f>
        <v>0</v>
      </c>
      <c r="J50" s="43"/>
      <c r="K50" s="57"/>
      <c r="L50" s="25">
        <f>CALI!L50+HUNGRIA!L50+YUMBO!L50+'ADULTO MAYOR'!L50+'COMEDORES VALLE'!L50+BUGA!L50+'COMEDORES CALI'!L50+'CTAS EN PPACION'!L50+'COMEDORES PALMIRA'!L50+IMDERTY!L50</f>
        <v>0</v>
      </c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1"/>
        <v>0</v>
      </c>
      <c r="AN50" s="195"/>
      <c r="AO50" s="57"/>
    </row>
    <row r="51" spans="2:41" ht="15" hidden="1" customHeight="1" x14ac:dyDescent="0.2">
      <c r="B51" s="430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>
        <f>CALI!I51+HUNGRIA!I51+YUMBO!I51+'ADULTO MAYOR'!I51+'COMEDORES VALLE'!I51+BUGA!I51+'COMEDORES CALI'!I51+'CTAS EN PPACION'!I51+'COMEDORES PALMIRA'!I51+IMDERTY!I51</f>
        <v>0</v>
      </c>
      <c r="J51" s="43"/>
      <c r="K51" s="57"/>
      <c r="L51" s="25">
        <f>CALI!L51+HUNGRIA!L51+YUMBO!L51+'ADULTO MAYOR'!L51+'COMEDORES VALLE'!L51+BUGA!L51+'COMEDORES CALI'!L51+'CTAS EN PPACION'!L51+'COMEDORES PALMIRA'!L51+IMDERTY!L51</f>
        <v>0</v>
      </c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1"/>
        <v>0</v>
      </c>
      <c r="AN51" s="195"/>
      <c r="AO51" s="57"/>
    </row>
    <row r="52" spans="2:41" ht="15" hidden="1" customHeight="1" x14ac:dyDescent="0.2">
      <c r="B52" s="431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>
        <f>CALI!I52+HUNGRIA!I52+YUMBO!I52+'ADULTO MAYOR'!I52+'COMEDORES VALLE'!I52+BUGA!I52+'COMEDORES CALI'!I52+'CTAS EN PPACION'!I52+'COMEDORES PALMIRA'!I52</f>
        <v>241842440</v>
      </c>
      <c r="J52" s="43"/>
      <c r="K52" s="57"/>
      <c r="L52" s="25">
        <f>CALI!L52+HUNGRIA!L52+YUMBO!L52+'ADULTO MAYOR'!L52+'COMEDORES VALLE'!L52+BUGA!L52+'COMEDORES CALI'!L52+'CTAS EN PPACION'!L52+'COMEDORES PALMIRA'!L52</f>
        <v>0</v>
      </c>
      <c r="M52" s="43"/>
      <c r="N52" s="57"/>
      <c r="O52" s="25">
        <f>CALI!O52+HUNGRIA!O52+YUMBO!O52+'ADULTO MAYOR'!O52+'COMEDORES VALLE'!O52+BUGA!O52+'COMEDORES CALI'!O52+'CTAS EN PPACION'!O52+'COMEDORES PALMIRA'!O52</f>
        <v>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1"/>
        <v>241842440</v>
      </c>
      <c r="AN52" s="195"/>
      <c r="AO52" s="57"/>
    </row>
    <row r="53" spans="2:41" ht="15" hidden="1" customHeight="1" x14ac:dyDescent="0.2">
      <c r="B53" s="431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>
        <f>CALI!I53+HUNGRIA!I53+YUMBO!I53+'ADULTO MAYOR'!I53+'COMEDORES VALLE'!I53+BUGA!I53+'COMEDORES CALI'!I53+'CTAS EN PPACION'!I53+'COMEDORES PALMIRA'!I53</f>
        <v>241842440</v>
      </c>
      <c r="J53" s="43"/>
      <c r="K53" s="57"/>
      <c r="L53" s="25">
        <f>CALI!L53+HUNGRIA!L53+YUMBO!L53+'ADULTO MAYOR'!L53+'COMEDORES VALLE'!L53+BUGA!L53+'COMEDORES CALI'!L53+'CTAS EN PPACION'!L53+'COMEDORES PALMIRA'!L53</f>
        <v>0</v>
      </c>
      <c r="M53" s="43"/>
      <c r="N53" s="57"/>
      <c r="O53" s="25">
        <f>CALI!O53+HUNGRIA!O53+YUMBO!O53+'ADULTO MAYOR'!O53+'COMEDORES VALLE'!O53+BUGA!O53+'COMEDORES CALI'!O53+'CTAS EN PPACION'!O53+'COMEDORES PALMIRA'!O53</f>
        <v>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1"/>
        <v>241842440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>
        <f>CALI!I54+HUNGRIA!I54+YUMBO!I54+'ADULTO MAYOR'!I54+'COMEDORES VALLE'!I54+BUGA!I54+'COMEDORES CALI'!I54+'CTAS EN PPACION'!I54+'COMEDORES PALMIRA'!I54</f>
        <v>0</v>
      </c>
      <c r="J54" s="43"/>
      <c r="K54" s="57"/>
      <c r="L54" s="25">
        <f>CALI!L54+HUNGRIA!L54+YUMBO!L54+'ADULTO MAYOR'!L54+'COMEDORES VALLE'!L54+BUGA!L54+'COMEDORES CALI'!L54+'CTAS EN PPACION'!L54+'COMEDORES PALMIRA'!L54</f>
        <v>0</v>
      </c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1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>
        <f>CALI!I55+HUNGRIA!I55+YUMBO!I55+'ADULTO MAYOR'!I55+'COMEDORES VALLE'!I55+BUGA!I55+'COMEDORES CALI'!I55+'CTAS EN PPACION'!I55+'COMEDORES PALMIRA'!I55</f>
        <v>0</v>
      </c>
      <c r="J55" s="43"/>
      <c r="K55" s="57"/>
      <c r="L55" s="25">
        <f>CALI!L55+HUNGRIA!L55+YUMBO!L55+'ADULTO MAYOR'!L55+'COMEDORES VALLE'!L55+BUGA!L55+'COMEDORES CALI'!L55+'CTAS EN PPACION'!L55+'COMEDORES PALMIRA'!L55</f>
        <v>0</v>
      </c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1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>
        <f>CALI!I56+HUNGRIA!I56+YUMBO!I56+'ADULTO MAYOR'!I56+'COMEDORES VALLE'!I56+BUGA!I56+'COMEDORES CALI'!I56+'CTAS EN PPACION'!I56+'COMEDORES PALMIRA'!I56</f>
        <v>0</v>
      </c>
      <c r="J56" s="42"/>
      <c r="K56" s="56"/>
      <c r="L56" s="22">
        <f>CALI!L56+HUNGRIA!L56+YUMBO!L56+'ADULTO MAYOR'!L56+'COMEDORES VALLE'!L56+BUGA!L56+'COMEDORES CALI'!L56+'CTAS EN PPACION'!L56+'COMEDORES PALMIRA'!L56</f>
        <v>0</v>
      </c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1"/>
        <v>0</v>
      </c>
      <c r="AN56" s="194"/>
      <c r="AO56" s="56"/>
    </row>
    <row r="57" spans="2:41" ht="15" customHeight="1" x14ac:dyDescent="0.2">
      <c r="B57" s="36" t="s">
        <v>491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>
        <f>SUM(I58:I59)</f>
        <v>507677107</v>
      </c>
      <c r="J57" s="47">
        <f>I57/I12</f>
        <v>0.16147738649116405</v>
      </c>
      <c r="K57" s="59">
        <f>I57/I13</f>
        <v>0.13120037652407079</v>
      </c>
      <c r="L57" s="46">
        <f>SUM(L58:L59)</f>
        <v>483684880</v>
      </c>
      <c r="M57" s="67"/>
      <c r="N57" s="68"/>
      <c r="O57" s="46">
        <f>SUM(O58:O59)</f>
        <v>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1"/>
        <v>1448129987</v>
      </c>
      <c r="AN57" s="196">
        <f>AM57/AM12</f>
        <v>0.33265800332992013</v>
      </c>
      <c r="AO57" s="59">
        <f>AM57/AM13</f>
        <v>0.24949611597672158</v>
      </c>
    </row>
    <row r="58" spans="2:41" ht="15" customHeight="1" x14ac:dyDescent="0.2">
      <c r="B58" s="411" t="s">
        <v>492</v>
      </c>
      <c r="C58" s="304">
        <f>CALI!C58+HUNGRIA!C58+YUMBO!C58+'ADULTO MAYOR'!C58+'COMEDORES VALLE'!C58+BUGA!C58+'COMEDORES CALI'!C58+'CTAS EN PPACION'!C58+'COMEDORES PALMIRA'!C58</f>
        <v>223236000</v>
      </c>
      <c r="D58" s="305"/>
      <c r="E58" s="86"/>
      <c r="F58" s="304">
        <f>CALI!F58+HUNGRIA!F58+YUMBO!F58+'ADULTO MAYOR'!F58+'COMEDORES VALLE'!F58+BUGA!F58+'COMEDORES CALI'!F58+'CTAS EN PPACION'!F58+'COMEDORES PALMIRA'!F58</f>
        <v>233532000</v>
      </c>
      <c r="G58" s="305"/>
      <c r="H58" s="86"/>
      <c r="I58" s="304">
        <f>CALI!I58+HUNGRIA!I58+YUMBO!I58+'ADULTO MAYOR'!I58+'COMEDORES VALLE'!I58+BUGA!I58+'COMEDORES CALI'!I58+'CTAS EN PPACION'!I58+'COMEDORES PALMIRA'!I58</f>
        <v>265834667</v>
      </c>
      <c r="J58" s="305"/>
      <c r="K58" s="86"/>
      <c r="L58" s="304">
        <f>CALI!L58+HUNGRIA!L58+YUMBO!L58+'ADULTO MAYOR'!L58+'COMEDORES VALLE'!L58+BUGA!L58+'COMEDORES CALI'!L58+'CTAS EN PPACION'!L58+'COMEDORES PALMIRA'!L58</f>
        <v>241842440</v>
      </c>
      <c r="M58" s="305"/>
      <c r="N58" s="86"/>
      <c r="O58" s="304">
        <f>CALI!O58+HUNGRIA!O58+YUMBO!O58+'ADULTO MAYOR'!O58+'COMEDORES VALLE'!O58+BUGA!O58+'COMEDORES CALI'!O58+'CTAS EN PPACION'!O58+'COMEDORES PALMIRA'!O58</f>
        <v>0</v>
      </c>
      <c r="P58" s="305"/>
      <c r="Q58" s="86"/>
      <c r="R58" s="304">
        <f>CALI!R58+HUNGRIA!R58+YUMBO!R58+'ADULTO MAYOR'!R58+'COMEDORES VALLE'!R58+BUGA!R58+'COMEDORES CALI'!R58+'CTAS EN PPACION'!R58+'COMEDORES PALMIRA'!R58+IMDERTY!R58</f>
        <v>0</v>
      </c>
      <c r="S58" s="305"/>
      <c r="T58" s="86"/>
      <c r="U58" s="304">
        <f>CALI!U58+HUNGRIA!U58+YUMBO!U58+'ADULTO MAYOR'!U58+'COMEDORES VALLE'!U58+BUGA!U58+'COMEDORES CALI'!U58+'CTAS EN PPACION'!U58+'COMEDORES PALMIRA'!U58+IMDERTY!U58</f>
        <v>0</v>
      </c>
      <c r="V58" s="305"/>
      <c r="W58" s="86"/>
      <c r="X58" s="304">
        <f>CALI!X58+HUNGRIA!X58+YUMBO!X58+'ADULTO MAYOR'!X58+'COMEDORES VALLE'!X58+BUGA!X58+'COMEDORES CALI'!X58+'CTAS EN PPACION'!X58+'COMEDORES PALMIRA'!X58+IMDERTY!X58</f>
        <v>0</v>
      </c>
      <c r="Y58" s="305"/>
      <c r="Z58" s="86"/>
      <c r="AA58" s="304">
        <f>CALI!AA58+HUNGRIA!AA58+YUMBO!AA58+'ADULTO MAYOR'!AA58+'COMEDORES VALLE'!AA58+BUGA!AA58+'COMEDORES CALI'!AA58+'CTAS EN PPACION'!AA58+'COMEDORES PALMIRA'!AA58+IMDERTY!AA58</f>
        <v>0</v>
      </c>
      <c r="AB58" s="305"/>
      <c r="AC58" s="86"/>
      <c r="AD58" s="304">
        <f>CALI!AD58+HUNGRIA!AD58+YUMBO!AD58+'ADULTO MAYOR'!AD58+'COMEDORES VALLE'!AD58+BUGA!AD58+'COMEDORES CALI'!AD58+'CTAS EN PPACION'!AD58+'COMEDORES PALMIRA'!AD58+IMDERTY!AD58</f>
        <v>0</v>
      </c>
      <c r="AE58" s="305"/>
      <c r="AF58" s="86"/>
      <c r="AG58" s="304">
        <f>CALI!AG58+HUNGRIA!AG58+YUMBO!AG58+'ADULTO MAYOR'!AG58+'COMEDORES VALLE'!AG58+BUGA!AG58+'COMEDORES CALI'!AG58+'CTAS EN PPACION'!AG58+'COMEDORES PALMIRA'!AG58+IMDERTY!AG58</f>
        <v>0</v>
      </c>
      <c r="AH58" s="305"/>
      <c r="AI58" s="86"/>
      <c r="AJ58" s="304">
        <f>CALI!AJ58+HUNGRIA!AJ58+YUMBO!AJ58+'ADULTO MAYOR'!AJ58+'COMEDORES VALLE'!AJ58+BUGA!AJ58+'COMEDORES CALI'!AJ58+'CTAS EN PPACION'!AJ58+'COMEDORES PALMIRA'!AJ58+IMDERTY!AJ58</f>
        <v>0</v>
      </c>
      <c r="AK58" s="305"/>
      <c r="AL58" s="86"/>
      <c r="AM58" s="298">
        <f t="shared" si="1"/>
        <v>964445107</v>
      </c>
      <c r="AN58" s="204"/>
      <c r="AO58" s="86">
        <f>AM58/AM$13</f>
        <v>0.16616278264338827</v>
      </c>
    </row>
    <row r="59" spans="2:41" ht="15" customHeight="1" x14ac:dyDescent="0.2">
      <c r="B59" s="415" t="s">
        <v>493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f>CALI!I59+HUNGRIA!I59+YUMBO!I59+'ADULTO MAYOR'!I59+'COMEDORES VALLE'!I59+BUGA!I59+'COMEDORES CALI'!I59+'CTAS EN PPACION'!I59+'COMEDORES PALMIRA'!I59</f>
        <v>241842440</v>
      </c>
      <c r="J59" s="84"/>
      <c r="K59" s="85"/>
      <c r="L59" s="83">
        <f>CALI!L59+HUNGRIA!L59+YUMBO!L59+'ADULTO MAYOR'!L59+'COMEDORES VALLE'!L59+BUGA!L59+'COMEDORES CALI'!L59+'CTAS EN PPACION'!L59+'COMEDORES PALMIRA'!L59</f>
        <v>241842440</v>
      </c>
      <c r="M59" s="84"/>
      <c r="N59" s="85"/>
      <c r="O59" s="83">
        <f>CALI!O59+HUNGRIA!O59+YUMBO!O59+'ADULTO MAYOR'!O59+'COMEDORES VALLE'!O59+BUGA!O59+'COMEDORES CALI'!O59+'CTAS EN PPACION'!O59+'COMEDORES PALMIRA'!O59</f>
        <v>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49">
        <f t="shared" si="1"/>
        <v>483684880</v>
      </c>
      <c r="AN59" s="350"/>
      <c r="AO59" s="418">
        <f>AM59/AM$13</f>
        <v>8.3333333333333329E-2</v>
      </c>
    </row>
    <row r="60" spans="2:41" ht="15" customHeight="1" x14ac:dyDescent="0.2">
      <c r="B60" s="16" t="s">
        <v>54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>
        <f>+I61+I72+I75+I76+I77</f>
        <v>9673697600</v>
      </c>
      <c r="J60" s="3"/>
      <c r="K60" s="150">
        <f>I60/I13</f>
        <v>2.5</v>
      </c>
      <c r="L60" s="90">
        <f>+L61+L72+L75+L76+L77</f>
        <v>5320533680</v>
      </c>
      <c r="M60" s="3"/>
      <c r="N60" s="150">
        <f>L60/L13</f>
        <v>2.75</v>
      </c>
      <c r="O60" s="90">
        <f>+O61+O72+O75+O76+O77</f>
        <v>0</v>
      </c>
      <c r="P60" s="3"/>
      <c r="Q60" s="150" t="e">
        <f>O60/O13</f>
        <v>#DIV/0!</v>
      </c>
      <c r="R60" s="90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90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48">
        <f t="shared" si="1"/>
        <v>19711214641.07</v>
      </c>
      <c r="AN60" s="197"/>
      <c r="AO60" s="150">
        <f>AM60/$AM$13</f>
        <v>3.396015232250317</v>
      </c>
    </row>
    <row r="61" spans="2:41" ht="15" customHeight="1" x14ac:dyDescent="0.2">
      <c r="B61" s="36" t="s">
        <v>526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>
        <f>SUM(I62:I71)</f>
        <v>3385794160</v>
      </c>
      <c r="J61" s="67"/>
      <c r="K61" s="152">
        <f>I61/I14</f>
        <v>1.4</v>
      </c>
      <c r="L61" s="46">
        <f>SUM(L62:L71)</f>
        <v>1209212200</v>
      </c>
      <c r="M61" s="67"/>
      <c r="N61" s="152">
        <f>L61/L14</f>
        <v>1</v>
      </c>
      <c r="O61" s="46">
        <f>SUM(O62:O71)</f>
        <v>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1"/>
        <v>8692619329.0699997</v>
      </c>
      <c r="AN61" s="199"/>
      <c r="AO61" s="152">
        <f>AM61/$AM$13</f>
        <v>1.4976381814729596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>
        <f>CALI!I62+HUNGRIA!I62+YUMBO!I62+'ADULTO MAYOR'!I62+'COMEDORES VALLE'!I62+BUGA!I62+'COMEDORES CALI'!I62+'CTAS EN PPACION'!I62+'COMEDORES PALMIRA'!I62+IMDERTY!I62</f>
        <v>725527320</v>
      </c>
      <c r="J62" s="79"/>
      <c r="K62" s="80"/>
      <c r="L62" s="78">
        <f>CALI!L62+HUNGRIA!L62+YUMBO!L62+'ADULTO MAYOR'!L62+'COMEDORES VALLE'!L62+BUGA!L62+'COMEDORES CALI'!L62+'CTAS EN PPACION'!L62+'COMEDORES PALMIRA'!L62+IMDERTY!L62</f>
        <v>241842440</v>
      </c>
      <c r="M62" s="79"/>
      <c r="N62" s="80"/>
      <c r="O62" s="78">
        <f>CALI!O62+HUNGRIA!O62+YUMBO!O62+'ADULTO MAYOR'!O62+'COMEDORES VALLE'!O62+BUGA!O62+'COMEDORES CALI'!O62+'CTAS EN PPACION'!O62+'COMEDORES PALMIRA'!O62+IMDERTY!O62</f>
        <v>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1"/>
        <v>3039795393.1799998</v>
      </c>
      <c r="AN62" s="348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>
        <f>CALI!I63+HUNGRIA!I63+YUMBO!I63+'ADULTO MAYOR'!I63+'COMEDORES VALLE'!I63+BUGA!I63+'COMEDORES CALI'!I63+'CTAS EN PPACION'!I63+'COMEDORES PALMIRA'!I63+IMDERTY!I63</f>
        <v>725527320</v>
      </c>
      <c r="J63" s="43"/>
      <c r="K63" s="57"/>
      <c r="L63" s="25">
        <f>CALI!L63+HUNGRIA!L63+YUMBO!L63+'ADULTO MAYOR'!L63+'COMEDORES VALLE'!L63+BUGA!L63+'COMEDORES CALI'!L63+'CTAS EN PPACION'!L63+'COMEDORES PALMIRA'!L63+IMDERTY!L63</f>
        <v>0</v>
      </c>
      <c r="M63" s="43"/>
      <c r="N63" s="57"/>
      <c r="O63" s="25">
        <f>CALI!O63+HUNGRIA!O63+YUMBO!O63+'ADULTO MAYOR'!O63+'COMEDORES VALLE'!O63+BUGA!O63+'COMEDORES CALI'!O63+'CTAS EN PPACION'!O63+'COMEDORES PALMIRA'!O63+IMDERTY!O63</f>
        <v>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1"/>
        <v>1959121331.73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>
        <f>CALI!I64+HUNGRIA!I64+YUMBO!I64+'ADULTO MAYOR'!I64+'COMEDORES VALLE'!I64+BUGA!I64+'COMEDORES CALI'!I64+'CTAS EN PPACION'!I64+'COMEDORES PALMIRA'!I64+IMDERTY!I64</f>
        <v>483684880</v>
      </c>
      <c r="J64" s="43"/>
      <c r="K64" s="57"/>
      <c r="L64" s="82">
        <f>CALI!L64+HUNGRIA!L64+YUMBO!L64+'ADULTO MAYOR'!L64+'COMEDORES VALLE'!L64+BUGA!L64+'COMEDORES CALI'!L64+'CTAS EN PPACION'!L64+'COMEDORES PALMIRA'!L64+IMDERTY!L64</f>
        <v>241842440</v>
      </c>
      <c r="M64" s="43"/>
      <c r="N64" s="57"/>
      <c r="O64" s="82">
        <f>CALI!O64+HUNGRIA!O64+YUMBO!O64+'ADULTO MAYOR'!O64+'COMEDORES VALLE'!O64+BUGA!O64+'COMEDORES CALI'!O64+'CTAS EN PPACION'!O64+'COMEDORES PALMIRA'!O64+IMDERTY!O64</f>
        <v>0</v>
      </c>
      <c r="P64" s="43"/>
      <c r="Q64" s="57"/>
      <c r="R64" s="82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82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1"/>
        <v>1517120644.1599998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>
        <f>CALI!I65+HUNGRIA!I65+YUMBO!I65+'ADULTO MAYOR'!I65+'COMEDORES VALLE'!I65+BUGA!I65+'COMEDORES CALI'!I65+'CTAS EN PPACION'!I65+'COMEDORES PALMIRA'!I65+IMDERTY!I65</f>
        <v>241842440</v>
      </c>
      <c r="J65" s="43"/>
      <c r="K65" s="57"/>
      <c r="L65" s="25">
        <f>CALI!L65+HUNGRIA!L65+YUMBO!L65+'ADULTO MAYOR'!L65+'COMEDORES VALLE'!L65+BUGA!L65+'COMEDORES CALI'!L65+'CTAS EN PPACION'!L65+'COMEDORES PALMIRA'!L65+IMDERTY!L65</f>
        <v>241842440</v>
      </c>
      <c r="M65" s="43"/>
      <c r="N65" s="57"/>
      <c r="O65" s="25">
        <f>CALI!O65+HUNGRIA!O65+YUMBO!O65+'ADULTO MAYOR'!O65+'COMEDORES VALLE'!O65+BUGA!O65+'COMEDORES CALI'!O65+'CTAS EN PPACION'!O65+'COMEDORES PALMIRA'!O65+IMDERTY!O65</f>
        <v>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1"/>
        <v>483684880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>
        <f>CALI!I66+HUNGRIA!I66+YUMBO!I66+'ADULTO MAYOR'!I66+'COMEDORES VALLE'!I66+BUGA!I66+'COMEDORES CALI'!I66+'CTAS EN PPACION'!I66+'COMEDORES PALMIRA'!I66+IMDERTY!I66</f>
        <v>725527320</v>
      </c>
      <c r="J66" s="43"/>
      <c r="K66" s="57"/>
      <c r="L66" s="25">
        <f>CALI!L66+HUNGRIA!L66+YUMBO!L66+'ADULTO MAYOR'!L66+'COMEDORES VALLE'!L66+BUGA!L66+'COMEDORES CALI'!L66+'CTAS EN PPACION'!L66+'COMEDORES PALMIRA'!L66+IMDERTY!L66</f>
        <v>241842440</v>
      </c>
      <c r="M66" s="43"/>
      <c r="N66" s="57"/>
      <c r="O66" s="25">
        <f>CALI!O66+HUNGRIA!O66+YUMBO!O66+'ADULTO MAYOR'!O66+'COMEDORES VALLE'!O66+BUGA!O66+'COMEDORES CALI'!O66+'CTAS EN PPACION'!O66+'COMEDORES PALMIRA'!O66+IMDERTY!O66</f>
        <v>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1"/>
        <v>967369760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>
        <f>CALI!I67+HUNGRIA!I67+YUMBO!I67+'ADULTO MAYOR'!I67+'COMEDORES VALLE'!I67+BUGA!I67+'COMEDORES CALI'!I67+'CTAS EN PPACION'!I67+'COMEDORES PALMIRA'!I67+IMDERTY!I67</f>
        <v>483684880</v>
      </c>
      <c r="J67" s="43"/>
      <c r="K67" s="57"/>
      <c r="L67" s="25">
        <f>CALI!L67+HUNGRIA!L67+YUMBO!L67+'ADULTO MAYOR'!L67+'COMEDORES VALLE'!L67+BUGA!L67+'COMEDORES CALI'!L67+'CTAS EN PPACION'!L67+'COMEDORES PALMIRA'!L67+IMDERTY!L67</f>
        <v>241842440</v>
      </c>
      <c r="M67" s="43"/>
      <c r="N67" s="57"/>
      <c r="O67" s="25">
        <f>CALI!O67+HUNGRIA!O67+YUMBO!O67+'ADULTO MAYOR'!O67+'COMEDORES VALLE'!O67+BUGA!O67+'COMEDORES CALI'!O67+'CTAS EN PPACION'!O67+'COMEDORES PALMIRA'!O67+IMDERTY!O67</f>
        <v>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1"/>
        <v>725527320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>
        <f>CALI!I68+HUNGRIA!I68+YUMBO!I68+'ADULTO MAYOR'!I68+'COMEDORES VALLE'!I68+BUGA!I68+'COMEDORES CALI'!I68+'CTAS EN PPACION'!I68+'COMEDORES PALMIRA'!I68+IMDERTY!I68</f>
        <v>0</v>
      </c>
      <c r="J68" s="43"/>
      <c r="K68" s="57"/>
      <c r="L68" s="25">
        <f>CALI!L68+HUNGRIA!L68+YUMBO!L68+'ADULTO MAYOR'!L68+'COMEDORES VALLE'!L68+BUGA!L68+'COMEDORES CALI'!L68+'CTAS EN PPACION'!L68+'COMEDORES PALMIRA'!L68+IMDERTY!L68</f>
        <v>0</v>
      </c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1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>
        <f>CALI!I69+HUNGRIA!I69+YUMBO!I69+'ADULTO MAYOR'!I69+'COMEDORES VALLE'!I69+BUGA!I69+'COMEDORES CALI'!I69+'CTAS EN PPACION'!I69+'COMEDORES PALMIRA'!I69+IMDERTY!I69</f>
        <v>0</v>
      </c>
      <c r="J69" s="43"/>
      <c r="K69" s="57"/>
      <c r="L69" s="25">
        <f>CALI!L69+HUNGRIA!L69+YUMBO!L69+'ADULTO MAYOR'!L69+'COMEDORES VALLE'!L69+BUGA!L69+'COMEDORES CALI'!L69+'CTAS EN PPACION'!L69+'COMEDORES PALMIRA'!L69+IMDERTY!L69</f>
        <v>0</v>
      </c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1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>
        <f>CALI!I70+HUNGRIA!I70+YUMBO!I70+'ADULTO MAYOR'!I70+'COMEDORES VALLE'!I70+BUGA!I70+'COMEDORES CALI'!I70+'CTAS EN PPACION'!I70+'COMEDORES PALMIRA'!I70+IMDERTY!I70</f>
        <v>0</v>
      </c>
      <c r="J70" s="43"/>
      <c r="K70" s="57"/>
      <c r="L70" s="25">
        <f>CALI!L70+HUNGRIA!L70+YUMBO!L70+'ADULTO MAYOR'!L70+'COMEDORES VALLE'!L70+BUGA!L70+'COMEDORES CALI'!L70+'CTAS EN PPACION'!L70+'COMEDORES PALMIRA'!L70+IMDERTY!L70</f>
        <v>0</v>
      </c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1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>
        <f>CALI!I71+HUNGRIA!I71+YUMBO!I71+'ADULTO MAYOR'!I71+'COMEDORES VALLE'!I71+BUGA!I71+'COMEDORES CALI'!I71+'CTAS EN PPACION'!I71+'COMEDORES PALMIRA'!I71+IMDERTY!I71</f>
        <v>0</v>
      </c>
      <c r="J71" s="84"/>
      <c r="K71" s="85"/>
      <c r="L71" s="83">
        <f>CALI!L71+HUNGRIA!L71+YUMBO!L71+'ADULTO MAYOR'!L71+'COMEDORES VALLE'!L71+BUGA!L71+'COMEDORES CALI'!L71+'CTAS EN PPACION'!L71+'COMEDORES PALMIRA'!L71+IMDERTY!L71</f>
        <v>0</v>
      </c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1"/>
        <v>0</v>
      </c>
      <c r="AN71" s="203"/>
      <c r="AO71" s="85"/>
    </row>
    <row r="72" spans="2:41" ht="15" customHeight="1" x14ac:dyDescent="0.2">
      <c r="B72" s="36" t="s">
        <v>473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>
        <f>SUM(I73:I74)</f>
        <v>4111321479.9999995</v>
      </c>
      <c r="J72" s="47">
        <f>I72/I12</f>
        <v>1.3076923076923075</v>
      </c>
      <c r="K72" s="152">
        <f>I72/I13</f>
        <v>1.0624999999999998</v>
      </c>
      <c r="L72" s="46">
        <f>SUM(L73:L74)</f>
        <v>3627636599.9999995</v>
      </c>
      <c r="M72" s="47">
        <f>L72/L12</f>
        <v>2.9999999999999996</v>
      </c>
      <c r="N72" s="152">
        <f>L72/L13</f>
        <v>1.8749999999999998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1"/>
        <v>8128087000</v>
      </c>
      <c r="AN72" s="196">
        <f>AM72/AM12</f>
        <v>1.8671481266079746</v>
      </c>
      <c r="AO72" s="152">
        <f>AM72/AM13</f>
        <v>1.4003757639340171</v>
      </c>
    </row>
    <row r="73" spans="2:41" ht="15" customHeight="1" x14ac:dyDescent="0.2">
      <c r="B73" s="411" t="s">
        <v>63</v>
      </c>
      <c r="C73" s="304">
        <f>CALI!C73+HUNGRIA!C73+YUMBO!C73+'ADULTO MAYOR'!C73+'COMEDORES VALLE'!C73+BUGA!C73+'COMEDORES CALI'!C73+'CTAS EN PPACION'!C73+'COMEDORES PALMIRA'!C73+IMDERTY!C73</f>
        <v>64781605.000000007</v>
      </c>
      <c r="D73" s="305"/>
      <c r="E73" s="86"/>
      <c r="F73" s="304">
        <f>CALI!F73+HUNGRIA!F73+YUMBO!F73+'ADULTO MAYOR'!F73+'COMEDORES VALLE'!F73+BUGA!F73+'COMEDORES CALI'!F73+'CTAS EN PPACION'!F73+'COMEDORES PALMIRA'!F73+IMDERTY!F73</f>
        <v>85111503</v>
      </c>
      <c r="G73" s="305"/>
      <c r="H73" s="86"/>
      <c r="I73" s="304">
        <f>CALI!I73+HUNGRIA!I73+YUMBO!I73+'ADULTO MAYOR'!I73+'COMEDORES VALLE'!I73+BUGA!I73+'COMEDORES CALI'!I73+'CTAS EN PPACION'!I73+'COMEDORES PALMIRA'!I73+IMDERTY!I73</f>
        <v>3385794159.9999995</v>
      </c>
      <c r="J73" s="305"/>
      <c r="K73" s="86"/>
      <c r="L73" s="304">
        <f>CALI!L73+HUNGRIA!L73+YUMBO!L73+'ADULTO MAYOR'!L73+'COMEDORES VALLE'!L73+BUGA!L73+'COMEDORES CALI'!L73+'CTAS EN PPACION'!L73+'COMEDORES PALMIRA'!L73+IMDERTY!L73</f>
        <v>3385794159.9999995</v>
      </c>
      <c r="M73" s="305"/>
      <c r="N73" s="86"/>
      <c r="O73" s="304">
        <f>CALI!O73+HUNGRIA!O73+YUMBO!O73+'ADULTO MAYOR'!O73+'COMEDORES VALLE'!O73+BUGA!O73+'COMEDORES CALI'!O73+'CTAS EN PPACION'!O73+'COMEDORES PALMIRA'!O73+IMDERTY!O73</f>
        <v>0</v>
      </c>
      <c r="P73" s="305"/>
      <c r="Q73" s="86"/>
      <c r="R73" s="304">
        <f>CALI!R73+HUNGRIA!R73+YUMBO!R73+'ADULTO MAYOR'!R73+'COMEDORES VALLE'!R73+BUGA!R73+'COMEDORES CALI'!R73+'CTAS EN PPACION'!R73+'COMEDORES PALMIRA'!R73+IMDERTY!R73</f>
        <v>0</v>
      </c>
      <c r="S73" s="305"/>
      <c r="T73" s="86"/>
      <c r="U73" s="304">
        <f>CALI!U73+HUNGRIA!U73+YUMBO!U73+'ADULTO MAYOR'!U73+'COMEDORES VALLE'!U73+BUGA!U73+'COMEDORES CALI'!U73+'CTAS EN PPACION'!U73+'COMEDORES PALMIRA'!U73+IMDERTY!U73</f>
        <v>0</v>
      </c>
      <c r="V73" s="305"/>
      <c r="W73" s="86"/>
      <c r="X73" s="304">
        <f>CALI!X73+HUNGRIA!X73+YUMBO!X73+'ADULTO MAYOR'!X73+'COMEDORES VALLE'!X73+BUGA!X73+'COMEDORES CALI'!X73+'CTAS EN PPACION'!X73+'COMEDORES PALMIRA'!X73+IMDERTY!X73</f>
        <v>0</v>
      </c>
      <c r="Y73" s="305"/>
      <c r="Z73" s="86"/>
      <c r="AA73" s="304">
        <f>CALI!AA73+HUNGRIA!AA73+YUMBO!AA73+'ADULTO MAYOR'!AA73+'COMEDORES VALLE'!AA73+BUGA!AA73+'COMEDORES CALI'!AA73+'CTAS EN PPACION'!AA73+'COMEDORES PALMIRA'!AA73+IMDERTY!AA73</f>
        <v>0</v>
      </c>
      <c r="AB73" s="305"/>
      <c r="AC73" s="86"/>
      <c r="AD73" s="304">
        <f>CALI!AD73+HUNGRIA!AD73+YUMBO!AD73+'ADULTO MAYOR'!AD73+'COMEDORES VALLE'!AD73+BUGA!AD73+'COMEDORES CALI'!AD73+'CTAS EN PPACION'!AD73+'COMEDORES PALMIRA'!AD73+IMDERTY!AD73</f>
        <v>0</v>
      </c>
      <c r="AE73" s="305"/>
      <c r="AF73" s="86"/>
      <c r="AG73" s="304">
        <f>CALI!AG73+HUNGRIA!AG73+YUMBO!AG73+'ADULTO MAYOR'!AG73+'COMEDORES VALLE'!AG73+BUGA!AG73+'COMEDORES CALI'!AG73+'CTAS EN PPACION'!AG73+'COMEDORES PALMIRA'!AG73+IMDERTY!AG73</f>
        <v>0</v>
      </c>
      <c r="AH73" s="305"/>
      <c r="AI73" s="86"/>
      <c r="AJ73" s="304">
        <f>CALI!AJ73+HUNGRIA!AJ73+YUMBO!AJ73+'ADULTO MAYOR'!AJ73+'COMEDORES VALLE'!AJ73+BUGA!AJ73+'COMEDORES CALI'!AJ73+'CTAS EN PPACION'!AJ73+'COMEDORES PALMIRA'!AJ73+IMDERTY!AJ73</f>
        <v>0</v>
      </c>
      <c r="AK73" s="305"/>
      <c r="AL73" s="86"/>
      <c r="AM73" s="298">
        <f t="shared" si="1"/>
        <v>6921481427.999999</v>
      </c>
      <c r="AN73" s="204"/>
      <c r="AO73" s="419"/>
    </row>
    <row r="74" spans="2:41" ht="15" customHeight="1" x14ac:dyDescent="0.2">
      <c r="B74" s="415" t="s">
        <v>65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f>CALI!I74+HUNGRIA!I74+YUMBO!I74+'ADULTO MAYOR'!I74+'COMEDORES VALLE'!I74+BUGA!I74+'COMEDORES CALI'!I74+'CTAS EN PPACION'!I74+'COMEDORES PALMIRA'!I74+IMDERTY!I74</f>
        <v>725527320</v>
      </c>
      <c r="J74" s="84"/>
      <c r="K74" s="85"/>
      <c r="L74" s="83">
        <f>CALI!L74+HUNGRIA!L74+YUMBO!L74+'ADULTO MAYOR'!L74+'COMEDORES VALLE'!L74+BUGA!L74+'COMEDORES CALI'!L74+'CTAS EN PPACION'!L74+'COMEDORES PALMIRA'!L74+IMDERTY!L74</f>
        <v>241842440</v>
      </c>
      <c r="M74" s="84"/>
      <c r="N74" s="85"/>
      <c r="O74" s="83">
        <f>CALI!O74+HUNGRIA!O74+YUMBO!O74+'ADULTO MAYOR'!O74+'COMEDORES VALLE'!O74+BUGA!O74+'COMEDORES CALI'!O74+'CTAS EN PPACION'!O74+'COMEDORES PALMIRA'!O74+IMDERTY!O74</f>
        <v>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49">
        <f t="shared" si="1"/>
        <v>1206605572</v>
      </c>
      <c r="AN74" s="350"/>
      <c r="AO74" s="645"/>
    </row>
    <row r="75" spans="2:41" ht="15" customHeight="1" x14ac:dyDescent="0.2">
      <c r="B75" s="36" t="s">
        <v>66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f>CALI!I75+HUNGRIA!I75+YUMBO!I75+'ADULTO MAYOR'!I75+'COMEDORES VALLE'!I75+BUGA!I75+'COMEDORES CALI'!I75+'CTAS EN PPACION'!I75+'COMEDORES PALMIRA'!I75+IMDERTY!I75</f>
        <v>725527320</v>
      </c>
      <c r="J75" s="67"/>
      <c r="K75" s="68"/>
      <c r="L75" s="37">
        <f>CALI!L75+HUNGRIA!L75+YUMBO!L75+'ADULTO MAYOR'!L75+'COMEDORES VALLE'!L75+BUGA!L75+'COMEDORES CALI'!L75+'CTAS EN PPACION'!L75+'COMEDORES PALMIRA'!L75+IMDERTY!L75</f>
        <v>241842440</v>
      </c>
      <c r="M75" s="67"/>
      <c r="N75" s="68"/>
      <c r="O75" s="37">
        <f>CALI!O75+HUNGRIA!O75+YUMBO!O75+'ADULTO MAYOR'!O75+'COMEDORES VALLE'!O75+BUGA!O75+'COMEDORES CALI'!O75+'CTAS EN PPACION'!O75+'COMEDORES PALMIRA'!O75+IMDERTY!O75</f>
        <v>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1"/>
        <v>967405360</v>
      </c>
      <c r="AN75" s="199"/>
      <c r="AO75" s="149">
        <f>AM75/AM$13</f>
        <v>0.16667280013659583</v>
      </c>
    </row>
    <row r="76" spans="2:41" ht="15" customHeight="1" x14ac:dyDescent="0.2">
      <c r="B76" s="36" t="s">
        <v>68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f>CALI!I76+HUNGRIA!I76+YUMBO!I76+'ADULTO MAYOR'!I76+'COMEDORES VALLE'!I76+BUGA!I76+'COMEDORES CALI'!I76+'CTAS EN PPACION'!I76+'COMEDORES PALMIRA'!I76+IMDERTY!I76</f>
        <v>725527320</v>
      </c>
      <c r="J76" s="67"/>
      <c r="K76" s="68"/>
      <c r="L76" s="37">
        <f>CALI!L76+HUNGRIA!L76+YUMBO!L76+'ADULTO MAYOR'!L76+'COMEDORES VALLE'!L76+BUGA!L76+'COMEDORES CALI'!L76+'CTAS EN PPACION'!L76+'COMEDORES PALMIRA'!L76+IMDERTY!L76</f>
        <v>241842440</v>
      </c>
      <c r="M76" s="67"/>
      <c r="N76" s="68"/>
      <c r="O76" s="37">
        <f>CALI!O76+HUNGRIA!O76+YUMBO!O76+'ADULTO MAYOR'!O76+'COMEDORES VALLE'!O76+BUGA!O76+'COMEDORES CALI'!O76+'CTAS EN PPACION'!O76+'COMEDORES PALMIRA'!O76+IMDERTY!O76</f>
        <v>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1"/>
        <v>1122633045</v>
      </c>
      <c r="AN76" s="199"/>
      <c r="AO76" s="646">
        <f>AM76/$AM$13</f>
        <v>0.19341674221861141</v>
      </c>
    </row>
    <row r="77" spans="2:41" ht="15" customHeight="1" x14ac:dyDescent="0.2">
      <c r="B77" s="66" t="s">
        <v>70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f>CALI!I77+HUNGRIA!I77+YUMBO!I77+'ADULTO MAYOR'!I77+'COMEDORES VALLE'!I77+BUGA!I77+'COMEDORES CALI'!I77+'CTAS EN PPACION'!I77+'COMEDORES PALMIRA'!I77+IMDERTY!I77</f>
        <v>725527320</v>
      </c>
      <c r="J77" s="45"/>
      <c r="K77" s="58"/>
      <c r="L77" s="28">
        <f>CALI!L77+HUNGRIA!L77+YUMBO!L77+'ADULTO MAYOR'!L77+'COMEDORES VALLE'!L77+BUGA!L77+'COMEDORES CALI'!L77+'CTAS EN PPACION'!L77+'COMEDORES PALMIRA'!L77+IMDERTY!L77</f>
        <v>0</v>
      </c>
      <c r="M77" s="45"/>
      <c r="N77" s="58"/>
      <c r="O77" s="28">
        <f>CALI!O77+HUNGRIA!O77+YUMBO!O77+'ADULTO MAYOR'!O77+'COMEDORES VALLE'!O77+BUGA!O77+'COMEDORES CALI'!O77+'CTAS EN PPACION'!O77+'COMEDORES PALMIRA'!O77+IMDERTY!O77</f>
        <v>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1"/>
        <v>800469907</v>
      </c>
      <c r="AN77" s="194"/>
      <c r="AO77" s="646">
        <f>AM77/$AM$13</f>
        <v>0.13791174448813312</v>
      </c>
    </row>
    <row r="78" spans="2:41" ht="15" customHeight="1" x14ac:dyDescent="0.2">
      <c r="B78" s="16" t="s">
        <v>71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>
        <f>SUM(I79:I81)</f>
        <v>2176581960</v>
      </c>
      <c r="J78" s="3"/>
      <c r="K78" s="150">
        <f>I78/I13</f>
        <v>0.5625</v>
      </c>
      <c r="L78" s="49">
        <f>SUM(L79:L81)</f>
        <v>483684880</v>
      </c>
      <c r="M78" s="3"/>
      <c r="N78" s="150">
        <f>L78/L13</f>
        <v>0.25</v>
      </c>
      <c r="O78" s="49">
        <f>SUM(O79:O81)</f>
        <v>0</v>
      </c>
      <c r="P78" s="3"/>
      <c r="Q78" s="150" t="e">
        <f>O78/O13</f>
        <v>#DIV/0!</v>
      </c>
      <c r="R78" s="90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48">
        <f t="shared" si="1"/>
        <v>3991158405</v>
      </c>
      <c r="AN78" s="197"/>
      <c r="AO78" s="451">
        <f>AM78/(AM$13)</f>
        <v>0.68763061965054606</v>
      </c>
    </row>
    <row r="79" spans="2:41" ht="15" customHeight="1" x14ac:dyDescent="0.2">
      <c r="B79" s="39" t="s">
        <v>73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6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6" t="e">
        <f>F79/(F$13)</f>
        <v>#DIV/0!</v>
      </c>
      <c r="I79" s="39">
        <f>CALI!I79+HUNGRIA!I79+YUMBO!I79+'ADULTO MAYOR'!I79+'COMEDORES VALLE'!I79+BUGA!I79+'COMEDORES CALI'!I79+'CTAS EN PPACION'!I79+'COMEDORES PALMIRA'!I79+IMDERTY!I79</f>
        <v>725527320</v>
      </c>
      <c r="J79" s="69"/>
      <c r="K79" s="306">
        <f>I79/(I$13)</f>
        <v>0.1875</v>
      </c>
      <c r="L79" s="39">
        <f>CALI!L79+HUNGRIA!L79+YUMBO!L79+'ADULTO MAYOR'!L79+'COMEDORES VALLE'!L79+BUGA!L79+'COMEDORES CALI'!L79+'CTAS EN PPACION'!L79+'COMEDORES PALMIRA'!L79+IMDERTY!L79</f>
        <v>0</v>
      </c>
      <c r="M79" s="69"/>
      <c r="N79" s="306">
        <f>L79/(L$13)</f>
        <v>0</v>
      </c>
      <c r="O79" s="39">
        <f>CALI!O79+HUNGRIA!O79+YUMBO!O79+'ADULTO MAYOR'!O79+'COMEDORES VALLE'!O79+BUGA!O79+'COMEDORES CALI'!O79+'CTAS EN PPACION'!O79+'COMEDORES PALMIRA'!O79+IMDERTY!O79</f>
        <v>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6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6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1"/>
        <v>1861387239</v>
      </c>
      <c r="AN79" s="201"/>
      <c r="AO79" s="452">
        <f>AM79/(AM$13)</f>
        <v>0.32069558025051353</v>
      </c>
    </row>
    <row r="80" spans="2:41" ht="15" customHeight="1" x14ac:dyDescent="0.2">
      <c r="B80" s="25" t="s">
        <v>74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f>CALI!I80+HUNGRIA!I80+YUMBO!I80+'ADULTO MAYOR'!I80+'COMEDORES VALLE'!I80+BUGA!I80+'COMEDORES CALI'!I80+'CTAS EN PPACION'!I80+'COMEDORES PALMIRA'!I80+IMDERTY!I80</f>
        <v>725527320</v>
      </c>
      <c r="J80" s="43"/>
      <c r="K80" s="118">
        <f>I80/(I$13)</f>
        <v>0.1875</v>
      </c>
      <c r="L80" s="25">
        <f>CALI!L80+HUNGRIA!L80+YUMBO!L80+'ADULTO MAYOR'!L80+'COMEDORES VALLE'!L80+BUGA!L80+'COMEDORES CALI'!L80+'CTAS EN PPACION'!L80+'COMEDORES PALMIRA'!L80+IMDERTY!L80</f>
        <v>241842440</v>
      </c>
      <c r="M80" s="43"/>
      <c r="N80" s="118">
        <f>L80/(L$13)</f>
        <v>0.125</v>
      </c>
      <c r="O80" s="25">
        <f>CALI!O80+HUNGRIA!O80+YUMBO!O80+'ADULTO MAYOR'!O80+'COMEDORES VALLE'!O80+BUGA!O80+'COMEDORES CALI'!O80+'CTAS EN PPACION'!O80+'COMEDORES PALMIRA'!O80+IMDERTY!O80</f>
        <v>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1"/>
        <v>1160500419</v>
      </c>
      <c r="AN80" s="195"/>
      <c r="AO80" s="452">
        <f>AM80/(AM$13)</f>
        <v>0.1999408545704385</v>
      </c>
    </row>
    <row r="81" spans="1:41" ht="15" customHeight="1" thickBot="1" x14ac:dyDescent="0.25">
      <c r="B81" s="98" t="s">
        <v>527</v>
      </c>
      <c r="C81" s="269">
        <f>CALI!C81+HUNGRIA!C81+YUMBO!C81+'ADULTO MAYOR'!C81+'COMEDORES VALLE'!C81+BUGA!C81+'COMEDORES CALI'!C81+'CTAS EN PPACION'!C81+'COMEDORES PALMIRA'!C81</f>
        <v>359708</v>
      </c>
      <c r="D81" s="214"/>
      <c r="E81" s="271"/>
      <c r="F81" s="269">
        <f>CALI!F81+HUNGRIA!F81+YUMBO!F81+'ADULTO MAYOR'!F81+'COMEDORES VALLE'!F81+BUGA!F81+'COMEDORES CALI'!F81+'CTAS EN PPACION'!F81+'COMEDORES PALMIRA'!F81</f>
        <v>1541279</v>
      </c>
      <c r="G81" s="214"/>
      <c r="H81" s="271"/>
      <c r="I81" s="269">
        <f>CALI!I81+HUNGRIA!I81+YUMBO!I81+'ADULTO MAYOR'!I81+'COMEDORES VALLE'!I81+BUGA!I81+'COMEDORES CALI'!I81+'CTAS EN PPACION'!I81+'COMEDORES PALMIRA'!I81</f>
        <v>725527320</v>
      </c>
      <c r="J81" s="214"/>
      <c r="K81" s="271">
        <f>I81/I13</f>
        <v>0.1875</v>
      </c>
      <c r="L81" s="269">
        <f>CALI!L81+HUNGRIA!L81+YUMBO!L81+'ADULTO MAYOR'!L81+'COMEDORES VALLE'!L81+BUGA!L81+'COMEDORES CALI'!L81+'CTAS EN PPACION'!L81+'COMEDORES PALMIRA'!L81</f>
        <v>241842440</v>
      </c>
      <c r="M81" s="214"/>
      <c r="N81" s="271"/>
      <c r="O81" s="269">
        <f>CALI!O81+HUNGRIA!O81+YUMBO!O81+'ADULTO MAYOR'!O81+'COMEDORES VALLE'!O81+BUGA!O81+'COMEDORES CALI'!O81+'CTAS EN PPACION'!O81+'COMEDORES PALMIRA'!O81</f>
        <v>0</v>
      </c>
      <c r="P81" s="214"/>
      <c r="Q81" s="271" t="e">
        <f>O81/O13</f>
        <v>#DIV/0!</v>
      </c>
      <c r="R81" s="269">
        <f>CALI!R81+HUNGRIA!R81+YUMBO!R81+'ADULTO MAYOR'!R81+'COMEDORES VALLE'!R81+BUGA!R81+'COMEDORES CALI'!R81+'CTAS EN PPACION'!R81+'COMEDORES PALMIRA'!R81+IMDERTY!R81</f>
        <v>0</v>
      </c>
      <c r="S81" s="214"/>
      <c r="T81" s="271"/>
      <c r="U81" s="269">
        <f>CALI!U81+HUNGRIA!U81+YUMBO!U81+'ADULTO MAYOR'!U81+'COMEDORES VALLE'!U81+BUGA!U81+'COMEDORES CALI'!U81+'CTAS EN PPACION'!U81+'COMEDORES PALMIRA'!U81+IMDERTY!U81</f>
        <v>0</v>
      </c>
      <c r="V81" s="214"/>
      <c r="W81" s="271"/>
      <c r="X81" s="269">
        <f>CALI!X81+HUNGRIA!X81+YUMBO!X81+'ADULTO MAYOR'!X81+'COMEDORES VALLE'!X81+BUGA!X81+'COMEDORES CALI'!X81+'CTAS EN PPACION'!X81+'COMEDORES PALMIRA'!X81+IMDERTY!X81</f>
        <v>0</v>
      </c>
      <c r="Y81" s="214"/>
      <c r="Z81" s="271"/>
      <c r="AA81" s="269">
        <f>CALI!AA81+HUNGRIA!AA81+YUMBO!AA81+'ADULTO MAYOR'!AA81+'COMEDORES VALLE'!AA81+BUGA!AA81+'COMEDORES CALI'!AA81+'CTAS EN PPACION'!AA81+'COMEDORES PALMIRA'!AA81+IMDERTY!AA81</f>
        <v>0</v>
      </c>
      <c r="AB81" s="214"/>
      <c r="AC81" s="271" t="e">
        <f>AA81/AA13</f>
        <v>#DIV/0!</v>
      </c>
      <c r="AD81" s="269">
        <f>CALI!AD81+HUNGRIA!AD81+YUMBO!AD81+'ADULTO MAYOR'!AD81+'COMEDORES VALLE'!AD81+BUGA!AD81+'COMEDORES CALI'!AD81+'CTAS EN PPACION'!AD81+'COMEDORES PALMIRA'!AD81+IMDERTY!AD81</f>
        <v>0</v>
      </c>
      <c r="AE81" s="214"/>
      <c r="AF81" s="271"/>
      <c r="AG81" s="269">
        <f>CALI!AG81+HUNGRIA!AG81+YUMBO!AG81+'ADULTO MAYOR'!AG81+'COMEDORES VALLE'!AG81+BUGA!AG81+'COMEDORES CALI'!AG81+'CTAS EN PPACION'!AG81+'COMEDORES PALMIRA'!AG81+IMDERTY!AG81</f>
        <v>0</v>
      </c>
      <c r="AH81" s="214"/>
      <c r="AI81" s="271" t="e">
        <f>AG81/AG13</f>
        <v>#DIV/0!</v>
      </c>
      <c r="AJ81" s="269">
        <f>CALI!AJ81+HUNGRIA!AJ81+YUMBO!AJ81+'ADULTO MAYOR'!AJ81+'COMEDORES VALLE'!AJ81+BUGA!AJ81+'COMEDORES CALI'!AJ81+'CTAS EN PPACION'!AJ81+'COMEDORES PALMIRA'!AJ81+IMDERTY!AJ81</f>
        <v>0</v>
      </c>
      <c r="AK81" s="214"/>
      <c r="AL81" s="271"/>
      <c r="AM81" s="98">
        <f t="shared" si="1"/>
        <v>969270747</v>
      </c>
      <c r="AN81" s="202"/>
      <c r="AO81" s="673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26" t="s">
        <v>76</v>
      </c>
      <c r="C83" s="490">
        <f>+C84+C89+C92+C96+C99+C109+C114+C120+C123+C127</f>
        <v>670695504.89999998</v>
      </c>
      <c r="D83" s="491"/>
      <c r="E83" s="492" t="e">
        <f>C83/C13</f>
        <v>#DIV/0!</v>
      </c>
      <c r="F83" s="490">
        <f>+F84+F89+F92+F96+F99+F109+F114+F120+F123+F127</f>
        <v>704552389.14999998</v>
      </c>
      <c r="G83" s="491"/>
      <c r="H83" s="492" t="e">
        <f>F83/F13</f>
        <v>#DIV/0!</v>
      </c>
      <c r="I83" s="490">
        <f>+I84+I89+I92+I96+I99+I109+I114+I120+I123+I127</f>
        <v>37001893320</v>
      </c>
      <c r="J83" s="491"/>
      <c r="K83" s="492">
        <f>I83/I13</f>
        <v>9.5625</v>
      </c>
      <c r="L83" s="490">
        <f>+L84+L89+L92+L96+L99+L109+L114+L120+L123+L127</f>
        <v>13785019080</v>
      </c>
      <c r="M83" s="491"/>
      <c r="N83" s="492">
        <f>L83/L13</f>
        <v>7.125</v>
      </c>
      <c r="O83" s="490" t="e">
        <f>+O84+O89+O92+O96+O99+O109+O114+O120+O123+O127</f>
        <v>#DIV/0!</v>
      </c>
      <c r="P83" s="491"/>
      <c r="Q83" s="492" t="e">
        <f>O83/O13</f>
        <v>#DIV/0!</v>
      </c>
      <c r="R83" s="490" t="e">
        <f>+R84+R89+R92+R96+R99+R109+R114+R120+R123+R127</f>
        <v>#DIV/0!</v>
      </c>
      <c r="S83" s="491"/>
      <c r="T83" s="492" t="e">
        <f>R83/R13</f>
        <v>#DIV/0!</v>
      </c>
      <c r="U83" s="490" t="e">
        <f>+U84+U89+U92+U96+U99+U109+U114+U120+U123+U127</f>
        <v>#DIV/0!</v>
      </c>
      <c r="V83" s="491"/>
      <c r="W83" s="492" t="e">
        <f>U83/U13</f>
        <v>#DIV/0!</v>
      </c>
      <c r="X83" s="490" t="e">
        <f>+X84+X89+X92+X96+X99+X109+X114+X120+X123+X127</f>
        <v>#DIV/0!</v>
      </c>
      <c r="Y83" s="491"/>
      <c r="Z83" s="492" t="e">
        <f>X83/X13</f>
        <v>#DIV/0!</v>
      </c>
      <c r="AA83" s="490" t="e">
        <f>+AA84+AA89+AA92+AA96+AA99+AA109+AA114+AA120+AA123+AA127</f>
        <v>#DIV/0!</v>
      </c>
      <c r="AB83" s="491"/>
      <c r="AC83" s="492" t="e">
        <f>AA83/AA13</f>
        <v>#DIV/0!</v>
      </c>
      <c r="AD83" s="490" t="e">
        <f>+AD84+AD89+AD92+AD96+AD99+AD109+AD114+AD120+AD123+AD127</f>
        <v>#DIV/0!</v>
      </c>
      <c r="AE83" s="491"/>
      <c r="AF83" s="492" t="e">
        <f>AD83/AD13</f>
        <v>#DIV/0!</v>
      </c>
      <c r="AG83" s="490" t="e">
        <f>+AG84+AG89+AG92+AG96+AG99+AG109+AG114+AG120+AG123+AG127</f>
        <v>#DIV/0!</v>
      </c>
      <c r="AH83" s="491"/>
      <c r="AI83" s="510" t="e">
        <f>AG83/AG13</f>
        <v>#DIV/0!</v>
      </c>
      <c r="AJ83" s="490" t="e">
        <f>+AJ84+AJ89+AJ92+AJ96+AJ99+AJ109+AJ114+AJ120+AJ123+AJ127</f>
        <v>#DIV/0!</v>
      </c>
      <c r="AK83" s="491"/>
      <c r="AL83" s="492" t="e">
        <f>AJ83/AJ13</f>
        <v>#DIV/0!</v>
      </c>
      <c r="AM83" s="593" t="e">
        <f t="shared" ref="AM83:AM114" si="2">C83+F83+I83+L83+O83+R83+U83+X83+AA83+AD83+AG83+AJ83</f>
        <v>#DIV/0!</v>
      </c>
      <c r="AN83" s="594"/>
      <c r="AO83" s="601" t="e">
        <f>AM83/(AM$13)</f>
        <v>#DIV/0!</v>
      </c>
    </row>
    <row r="84" spans="1:41" ht="15" customHeight="1" x14ac:dyDescent="0.2">
      <c r="B84" s="16" t="s">
        <v>77</v>
      </c>
      <c r="C84" s="49">
        <f>SUM(C85:C88)</f>
        <v>280653699.02999997</v>
      </c>
      <c r="D84" s="3"/>
      <c r="E84" s="150" t="e">
        <f>C84/(C$13)</f>
        <v>#DIV/0!</v>
      </c>
      <c r="F84" s="49">
        <f>SUM(F85:F88)</f>
        <v>529553960.00999999</v>
      </c>
      <c r="G84" s="3"/>
      <c r="H84" s="150" t="e">
        <f>F84/F$13</f>
        <v>#DIV/0!</v>
      </c>
      <c r="I84" s="49">
        <f>SUM(I85:I88)</f>
        <v>4353163920</v>
      </c>
      <c r="J84" s="3"/>
      <c r="K84" s="150">
        <f>I84/I$13</f>
        <v>1.125</v>
      </c>
      <c r="L84" s="49">
        <f>SUM(L85:L88)</f>
        <v>2902109280</v>
      </c>
      <c r="M84" s="3"/>
      <c r="N84" s="61">
        <f>L84/L$13</f>
        <v>1.5</v>
      </c>
      <c r="O84" s="49" t="e">
        <f>SUM(O85:O88)</f>
        <v>#DIV/0!</v>
      </c>
      <c r="P84" s="3"/>
      <c r="Q84" s="61" t="e">
        <f>O84/O$13</f>
        <v>#DIV/0!</v>
      </c>
      <c r="R84" s="90" t="e">
        <f>SUM(R85:R88)</f>
        <v>#DIV/0!</v>
      </c>
      <c r="S84" s="3"/>
      <c r="T84" s="150" t="e">
        <f>R84/R$13</f>
        <v>#DIV/0!</v>
      </c>
      <c r="U84" s="49" t="e">
        <f>SUM(U85:U88)</f>
        <v>#DIV/0!</v>
      </c>
      <c r="V84" s="3"/>
      <c r="W84" s="150" t="e">
        <f>U84/U$13</f>
        <v>#DIV/0!</v>
      </c>
      <c r="X84" s="49" t="e">
        <f>SUM(X85:X88)</f>
        <v>#DIV/0!</v>
      </c>
      <c r="Y84" s="3"/>
      <c r="Z84" s="150" t="e">
        <f>X84/X$13</f>
        <v>#DIV/0!</v>
      </c>
      <c r="AA84" s="49" t="e">
        <f>SUM(AA85:AA88)</f>
        <v>#DIV/0!</v>
      </c>
      <c r="AB84" s="3"/>
      <c r="AC84" s="61" t="e">
        <f>AA84/AA$13</f>
        <v>#DIV/0!</v>
      </c>
      <c r="AD84" s="49" t="e">
        <f>SUM(AD85:AD88)</f>
        <v>#DIV/0!</v>
      </c>
      <c r="AE84" s="3"/>
      <c r="AF84" s="61" t="e">
        <f>AD84/AD$13</f>
        <v>#DIV/0!</v>
      </c>
      <c r="AG84" s="49" t="e">
        <f>SUM(AG85:AG88)</f>
        <v>#DIV/0!</v>
      </c>
      <c r="AH84" s="3"/>
      <c r="AI84" s="61" t="e">
        <f>AG84/AG$13</f>
        <v>#DIV/0!</v>
      </c>
      <c r="AJ84" s="49" t="e">
        <f>SUM(AJ85:AJ88)</f>
        <v>#DIV/0!</v>
      </c>
      <c r="AK84" s="3"/>
      <c r="AL84" s="61"/>
      <c r="AM84" s="17" t="e">
        <f t="shared" si="2"/>
        <v>#DIV/0!</v>
      </c>
      <c r="AN84" s="197"/>
      <c r="AO84" s="451" t="e">
        <f>AM84/(AM$13)</f>
        <v>#DIV/0!</v>
      </c>
    </row>
    <row r="85" spans="1:41" ht="15" customHeight="1" x14ac:dyDescent="0.2">
      <c r="B85" s="39" t="s">
        <v>78</v>
      </c>
      <c r="C85" s="39">
        <f>CALI!C85+HUNGRIA!C85+YUMBO!C85+'ADULTO MAYOR'!C85+'COMEDORES VALLE'!C85+BUGA!C85+'COMEDORES CALI'!C85+'CTAS EN PPACION'!C85+'COMEDORES PALMIRA'!C85+IMDERTY!C85</f>
        <v>266121864.03</v>
      </c>
      <c r="D85" s="69"/>
      <c r="E85" s="306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429040991.00999999</v>
      </c>
      <c r="G85" s="69"/>
      <c r="H85" s="306" t="e">
        <f>F85/F$13</f>
        <v>#DIV/0!</v>
      </c>
      <c r="I85" s="39">
        <f>CALI!I85+HUNGRIA!I85+YUMBO!I85+'ADULTO MAYOR'!I85+'COMEDORES VALLE'!I85+BUGA!I85+'COMEDORES CALI'!I85+'CTAS EN PPACION'!I85+'COMEDORES PALMIRA'!I85+IMDERTY!I85</f>
        <v>2176581960</v>
      </c>
      <c r="J85" s="69"/>
      <c r="K85" s="306">
        <f>I85/I$13</f>
        <v>0.5625</v>
      </c>
      <c r="L85" s="39">
        <f>CALI!L85+HUNGRIA!L85+YUMBO!L85+'ADULTO MAYOR'!L85+'COMEDORES VALLE'!L85+BUGA!L85+'COMEDORES CALI'!L85+'CTAS EN PPACION'!L85+'COMEDORES PALMIRA'!L85+IMDERTY!L85</f>
        <v>2176581960</v>
      </c>
      <c r="M85" s="69"/>
      <c r="N85" s="306">
        <f>L85/L$13</f>
        <v>1.125</v>
      </c>
      <c r="O85" s="39" t="e">
        <f>CALI!O85+HUNGRIA!O85+YUMBO!O85+'ADULTO MAYOR'!O85+'COMEDORES VALLE'!O85+BUGA!O85+'COMEDORES CALI'!O85+'CTAS EN PPACION'!O85+'COMEDORES PALMIRA'!O85+IMDERTY!O85</f>
        <v>#DIV/0!</v>
      </c>
      <c r="P85" s="69"/>
      <c r="Q85" s="70"/>
      <c r="R85" s="39" t="e">
        <f>CALI!R85+HUNGRIA!R85+YUMBO!R85+'ADULTO MAYOR'!R85+'COMEDORES VALLE'!R85+BUGA!R85+'COMEDORES CALI'!R85+'CTAS EN PPACION'!R85+'COMEDORES PALMIRA'!R85+IMDERTY!R85</f>
        <v>#DIV/0!</v>
      </c>
      <c r="S85" s="69"/>
      <c r="T85" s="70"/>
      <c r="U85" s="39" t="e">
        <f>CALI!U85+HUNGRIA!U85+YUMBO!U85+'ADULTO MAYOR'!U85+'COMEDORES VALLE'!U85+BUGA!U85+'COMEDORES CALI'!U85+'CTAS EN PPACION'!U85+'COMEDORES PALMIRA'!U85+IMDERTY!U85</f>
        <v>#DIV/0!</v>
      </c>
      <c r="V85" s="69"/>
      <c r="W85" s="70"/>
      <c r="X85" s="39" t="e">
        <f>CALI!X85+HUNGRIA!X85+YUMBO!X85+'ADULTO MAYOR'!X85+'COMEDORES VALLE'!X85+BUGA!X85+'COMEDORES CALI'!X85+'CTAS EN PPACION'!X85+'COMEDORES PALMIRA'!X85+IMDERTY!X85</f>
        <v>#DIV/0!</v>
      </c>
      <c r="Y85" s="69"/>
      <c r="Z85" s="70"/>
      <c r="AA85" s="39" t="e">
        <f>CALI!AA85+HUNGRIA!AA85+YUMBO!AA85+'ADULTO MAYOR'!AA85+'COMEDORES VALLE'!AA85+BUGA!AA85+'COMEDORES CALI'!AA85+'CTAS EN PPACION'!AA85+'COMEDORES PALMIRA'!AA85+IMDERTY!AA85</f>
        <v>#DIV/0!</v>
      </c>
      <c r="AB85" s="69"/>
      <c r="AC85" s="70"/>
      <c r="AD85" s="39" t="e">
        <f>CALI!AD85+HUNGRIA!AD85+YUMBO!AD85+'ADULTO MAYOR'!AD85+'COMEDORES VALLE'!AD85+BUGA!AD85+'COMEDORES CALI'!AD85+'CTAS EN PPACION'!AD85+'COMEDORES PALMIRA'!AD85+IMDERTY!AD85</f>
        <v>#DIV/0!</v>
      </c>
      <c r="AE85" s="69"/>
      <c r="AF85" s="70"/>
      <c r="AG85" s="39" t="e">
        <f>CALI!AG85+HUNGRIA!AG85+YUMBO!AG85+'ADULTO MAYOR'!AG85+'COMEDORES VALLE'!AG85+BUGA!AG85+'COMEDORES CALI'!AG85+'CTAS EN PPACION'!AG85+'COMEDORES PALMIRA'!AG85+IMDERTY!AG85</f>
        <v>#DIV/0!</v>
      </c>
      <c r="AH85" s="69"/>
      <c r="AI85" s="70"/>
      <c r="AJ85" s="39" t="e">
        <f>CALI!AJ85+HUNGRIA!AJ85+YUMBO!AJ85+'ADULTO MAYOR'!AJ85+'COMEDORES VALLE'!AJ85+BUGA!AJ85+'COMEDORES CALI'!AJ85+'CTAS EN PPACION'!AJ85+'COMEDORES PALMIRA'!AJ85+IMDERTY!AJ85</f>
        <v>#DIV/0!</v>
      </c>
      <c r="AK85" s="69"/>
      <c r="AL85" s="70"/>
      <c r="AM85" s="31" t="e">
        <f t="shared" si="2"/>
        <v>#DIV/0!</v>
      </c>
      <c r="AN85" s="201"/>
      <c r="AO85" s="306" t="e">
        <f>AM85/AM$13</f>
        <v>#DIV/0!</v>
      </c>
    </row>
    <row r="86" spans="1:41" ht="15" customHeight="1" x14ac:dyDescent="0.2">
      <c r="B86" s="25" t="s">
        <v>79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f>CALI!I86+HUNGRIA!I86+YUMBO!I86+'ADULTO MAYOR'!I86+'COMEDORES VALLE'!I86+BUGA!I86+'COMEDORES CALI'!I86+'CTAS EN PPACION'!I86+'COMEDORES PALMIRA'!I86+IMDERTY!I86</f>
        <v>725527320</v>
      </c>
      <c r="J86" s="43"/>
      <c r="K86" s="118">
        <f>I86/I13</f>
        <v>0.1875</v>
      </c>
      <c r="L86" s="25">
        <f>CALI!L86+HUNGRIA!L86+YUMBO!L86+'ADULTO MAYOR'!L86+'COMEDORES VALLE'!L86+BUGA!L86+'COMEDORES CALI'!L86+'CTAS EN PPACION'!L86+'COMEDORES PALMIRA'!L86+IMDERTY!L86</f>
        <v>241842440</v>
      </c>
      <c r="M86" s="43"/>
      <c r="N86" s="118">
        <f>L86/L13</f>
        <v>0.125</v>
      </c>
      <c r="O86" s="25">
        <f>CALI!O86+HUNGRIA!O86+YUMBO!O86+'ADULTO MAYOR'!O86+'COMEDORES VALLE'!O86+BUGA!O86+'COMEDORES CALI'!O86+'CTAS EN PPACION'!O86+'COMEDORES PALMIRA'!O86+IMDERTY!O86</f>
        <v>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2"/>
        <v>1034256251</v>
      </c>
      <c r="AN86" s="195"/>
      <c r="AO86" s="118">
        <f>AM86/AM13</f>
        <v>0.17819043861091269</v>
      </c>
    </row>
    <row r="87" spans="1:41" ht="15" customHeight="1" x14ac:dyDescent="0.2">
      <c r="A87" s="744"/>
      <c r="B87" s="97" t="s">
        <v>81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f>CALI!I87+HUNGRIA!I87+YUMBO!I87+'ADULTO MAYOR'!I87+'COMEDORES VALLE'!I87+BUGA!I87+'COMEDORES CALI'!I87+'CTAS EN PPACION'!I87+'COMEDORES PALMIRA'!I87+IMDERTY!I87</f>
        <v>725527320</v>
      </c>
      <c r="J87" s="42"/>
      <c r="K87" s="140">
        <f>I87/I$13</f>
        <v>0.1875</v>
      </c>
      <c r="L87" s="22">
        <f>CALI!L87+HUNGRIA!L87+YUMBO!L87+'ADULTO MAYOR'!L87+'COMEDORES VALLE'!L87+BUGA!L87+'COMEDORES CALI'!L87+'CTAS EN PPACION'!L87+'COMEDORES PALMIRA'!L87+IMDERTY!L87</f>
        <v>241842440</v>
      </c>
      <c r="M87" s="42"/>
      <c r="N87" s="140">
        <f>L87/L$13</f>
        <v>0.125</v>
      </c>
      <c r="O87" s="22">
        <f>CALI!O87+HUNGRIA!O87+YUMBO!O87+'ADULTO MAYOR'!O87+'COMEDORES VALLE'!O87+BUGA!O87+'COMEDORES CALI'!O87+'CTAS EN PPACION'!O87+'COMEDORES PALMIRA'!O87+IMDERTY!O87</f>
        <v>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2"/>
        <v>1010975260</v>
      </c>
      <c r="AN87" s="194"/>
      <c r="AO87" s="140">
        <f>AM87/AM$13</f>
        <v>0.17417939203171565</v>
      </c>
    </row>
    <row r="88" spans="1:41" ht="15" customHeight="1" x14ac:dyDescent="0.2">
      <c r="A88" s="744"/>
      <c r="B88" s="206" t="s">
        <v>83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f>CALI!I88+HUNGRIA!I88+YUMBO!I88+'ADULTO MAYOR'!I88+'COMEDORES VALLE'!I88+BUGA!I88+'COMEDORES CALI'!I88+'CTAS EN PPACION'!I88+'COMEDORES PALMIRA'!I88+IMDERTY!I88</f>
        <v>725527320</v>
      </c>
      <c r="J88" s="84"/>
      <c r="K88" s="85"/>
      <c r="L88" s="83">
        <f>CALI!L88+HUNGRIA!L88+YUMBO!L88+'ADULTO MAYOR'!L88+'COMEDORES VALLE'!L88+BUGA!L88+'COMEDORES CALI'!L88+'CTAS EN PPACION'!L88+'COMEDORES PALMIRA'!L88+IMDERTY!L88</f>
        <v>241842440</v>
      </c>
      <c r="M88" s="84"/>
      <c r="N88" s="85"/>
      <c r="O88" s="83">
        <f>CALI!O88+HUNGRIA!O88+YUMBO!O88+'ADULTO MAYOR'!O88+'COMEDORES VALLE'!O88+BUGA!O88+'COMEDORES CALI'!O88+'CTAS EN PPACION'!O88+'COMEDORES PALMIRA'!O88+IMDERTY!O88</f>
        <v>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49">
        <f t="shared" si="2"/>
        <v>971922573</v>
      </c>
      <c r="AN88" s="350"/>
      <c r="AO88" s="85"/>
    </row>
    <row r="89" spans="1:41" ht="15" customHeight="1" x14ac:dyDescent="0.2">
      <c r="B89" s="16" t="s">
        <v>84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>
        <f>SUM(I90:I91)</f>
        <v>1451054640</v>
      </c>
      <c r="J89" s="3"/>
      <c r="K89" s="61">
        <f>I89/I$13</f>
        <v>0.375</v>
      </c>
      <c r="L89" s="49">
        <f>SUM(L90:L91)</f>
        <v>483684880</v>
      </c>
      <c r="M89" s="3"/>
      <c r="N89" s="61">
        <f>L89/L$13</f>
        <v>0.25</v>
      </c>
      <c r="O89" s="49">
        <f>SUM(O90:O91)</f>
        <v>0</v>
      </c>
      <c r="P89" s="3"/>
      <c r="Q89" s="61" t="e">
        <f>O89/O$13</f>
        <v>#DIV/0!</v>
      </c>
      <c r="R89" s="90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2"/>
        <v>1935639520</v>
      </c>
      <c r="AN89" s="197"/>
      <c r="AO89" s="451">
        <f>AM89/(AM$13)</f>
        <v>0.33348839296637378</v>
      </c>
    </row>
    <row r="90" spans="1:41" ht="15" customHeight="1" outlineLevel="1" x14ac:dyDescent="0.2">
      <c r="B90" s="39" t="s">
        <v>85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f>CALI!I90+HUNGRIA!I90+YUMBO!I90+'ADULTO MAYOR'!I90+'COMEDORES VALLE'!I90+BUGA!I90+'COMEDORES CALI'!I90+'CTAS EN PPACION'!I90+'COMEDORES PALMIRA'!I90+IMDERTY!I90</f>
        <v>725527320</v>
      </c>
      <c r="J90" s="69"/>
      <c r="K90" s="70"/>
      <c r="L90" s="39">
        <f>CALI!L90+HUNGRIA!L90+YUMBO!L90+'ADULTO MAYOR'!L90+'COMEDORES VALLE'!L90+BUGA!L90+'COMEDORES CALI'!L90+'CTAS EN PPACION'!L90+'COMEDORES PALMIRA'!L90+IMDERTY!L90</f>
        <v>241842440</v>
      </c>
      <c r="M90" s="69"/>
      <c r="N90" s="70"/>
      <c r="O90" s="39">
        <f>CALI!O90+HUNGRIA!O90+YUMBO!O90+'ADULTO MAYOR'!O90+'COMEDORES VALLE'!O90+BUGA!O90+'COMEDORES CALI'!O90+'CTAS EN PPACION'!O90+'COMEDORES PALMIRA'!O90+IMDERTY!O90</f>
        <v>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2"/>
        <v>968269760</v>
      </c>
      <c r="AN90" s="201"/>
      <c r="AO90" s="70"/>
    </row>
    <row r="91" spans="1:41" ht="15" customHeight="1" outlineLevel="1" x14ac:dyDescent="0.2">
      <c r="B91" s="83" t="s">
        <v>86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f>CALI!I91+HUNGRIA!I91+YUMBO!I91+'ADULTO MAYOR'!I91+'COMEDORES VALLE'!I91+BUGA!I91+'COMEDORES CALI'!I91+'CTAS EN PPACION'!I91+'COMEDORES PALMIRA'!I91+IMDERTY!I91</f>
        <v>725527320</v>
      </c>
      <c r="J91" s="84"/>
      <c r="K91" s="85"/>
      <c r="L91" s="83">
        <f>CALI!L91+HUNGRIA!L91+YUMBO!L91+'ADULTO MAYOR'!L91+'COMEDORES VALLE'!L91+BUGA!L91+'COMEDORES CALI'!L91+'CTAS EN PPACION'!L91+'COMEDORES PALMIRA'!L91+IMDERTY!L91</f>
        <v>241842440</v>
      </c>
      <c r="M91" s="84"/>
      <c r="N91" s="85"/>
      <c r="O91" s="83">
        <f>CALI!O91+HUNGRIA!O91+YUMBO!O91+'ADULTO MAYOR'!O91+'COMEDORES VALLE'!O91+BUGA!O91+'COMEDORES CALI'!O91+'CTAS EN PPACION'!O91+'COMEDORES PALMIRA'!O91+IMDERTY!O91</f>
        <v>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49">
        <f t="shared" si="2"/>
        <v>967369760</v>
      </c>
      <c r="AN91" s="350"/>
      <c r="AO91" s="85"/>
    </row>
    <row r="92" spans="1:41" ht="15" customHeight="1" x14ac:dyDescent="0.2">
      <c r="B92" s="16" t="s">
        <v>87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>
        <f>SUM(I93:I95)</f>
        <v>2176581960</v>
      </c>
      <c r="J92" s="3"/>
      <c r="K92" s="61">
        <f>I92/I$13</f>
        <v>0.5625</v>
      </c>
      <c r="L92" s="49">
        <f>SUM(L93:L95)</f>
        <v>725527320</v>
      </c>
      <c r="M92" s="3"/>
      <c r="N92" s="61">
        <f>L92/L$13</f>
        <v>0.375</v>
      </c>
      <c r="O92" s="49">
        <f>SUM(O93:O95)</f>
        <v>0</v>
      </c>
      <c r="P92" s="3"/>
      <c r="Q92" s="61" t="e">
        <f>O92/O$13</f>
        <v>#DIV/0!</v>
      </c>
      <c r="R92" s="90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2"/>
        <v>2915731380</v>
      </c>
      <c r="AN92" s="197"/>
      <c r="AO92" s="451">
        <f>AM92/(AM$13)</f>
        <v>0.5023469309191555</v>
      </c>
    </row>
    <row r="93" spans="1:41" ht="15" customHeight="1" outlineLevel="1" x14ac:dyDescent="0.2">
      <c r="B93" s="39" t="s">
        <v>88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f>CALI!I93+HUNGRIA!I93+YUMBO!I93+'ADULTO MAYOR'!I93+'COMEDORES VALLE'!I93+BUGA!I93+'COMEDORES CALI'!I93+'CTAS EN PPACION'!I93+'COMEDORES PALMIRA'!I93+IMDERTY!I93</f>
        <v>725527320</v>
      </c>
      <c r="J93" s="69"/>
      <c r="K93" s="70"/>
      <c r="L93" s="39">
        <f>CALI!L93+HUNGRIA!L93+YUMBO!L93+'ADULTO MAYOR'!L93+'COMEDORES VALLE'!L93+BUGA!L93+'COMEDORES CALI'!L93+'CTAS EN PPACION'!L93+'COMEDORES PALMIRA'!L93+IMDERTY!L93</f>
        <v>241842440</v>
      </c>
      <c r="M93" s="69"/>
      <c r="N93" s="70"/>
      <c r="O93" s="39">
        <f>CALI!O93+HUNGRIA!O93+YUMBO!O93+'ADULTO MAYOR'!O93+'COMEDORES VALLE'!O93+BUGA!O93+'COMEDORES CALI'!O93+'CTAS EN PPACION'!O93+'COMEDORES PALMIRA'!O93+IMDERTY!O93</f>
        <v>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2"/>
        <v>980991860</v>
      </c>
      <c r="AN93" s="201"/>
      <c r="AO93" s="70"/>
    </row>
    <row r="94" spans="1:41" ht="15" customHeight="1" outlineLevel="1" x14ac:dyDescent="0.2">
      <c r="B94" s="25" t="s">
        <v>89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f>CALI!I94+HUNGRIA!I94+YUMBO!I94+'ADULTO MAYOR'!I94+'COMEDORES VALLE'!I94+BUGA!I94+'COMEDORES CALI'!I94+'CTAS EN PPACION'!I94+'COMEDORES PALMIRA'!I94+IMDERTY!I94</f>
        <v>725527320</v>
      </c>
      <c r="J94" s="43"/>
      <c r="K94" s="57"/>
      <c r="L94" s="25">
        <f>CALI!L94+HUNGRIA!L94+YUMBO!L94+'ADULTO MAYOR'!L94+'COMEDORES VALLE'!L94+BUGA!L94+'COMEDORES CALI'!L94+'CTAS EN PPACION'!L94+'COMEDORES PALMIRA'!L94+IMDERTY!L94</f>
        <v>241842440</v>
      </c>
      <c r="M94" s="43"/>
      <c r="N94" s="57"/>
      <c r="O94" s="25">
        <f>CALI!O94+HUNGRIA!O94+YUMBO!O94+'ADULTO MAYOR'!O94+'COMEDORES VALLE'!O94+BUGA!O94+'COMEDORES CALI'!O94+'CTAS EN PPACION'!O94+'COMEDORES PALMIRA'!O94+IMDERTY!O94</f>
        <v>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2"/>
        <v>967369760</v>
      </c>
      <c r="AN94" s="195"/>
      <c r="AO94" s="57"/>
    </row>
    <row r="95" spans="1:41" ht="15" customHeight="1" outlineLevel="1" x14ac:dyDescent="0.2">
      <c r="B95" s="28" t="s">
        <v>90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f>CALI!I95+HUNGRIA!I95+YUMBO!I95+'ADULTO MAYOR'!I95+'COMEDORES VALLE'!I95+BUGA!I95+'COMEDORES CALI'!I95+'CTAS EN PPACION'!I95+'COMEDORES PALMIRA'!I95+IMDERTY!I95</f>
        <v>725527320</v>
      </c>
      <c r="J95" s="45"/>
      <c r="K95" s="58"/>
      <c r="L95" s="28">
        <f>CALI!L95+HUNGRIA!L95+YUMBO!L95+'ADULTO MAYOR'!L95+'COMEDORES VALLE'!L95+BUGA!L95+'COMEDORES CALI'!L95+'CTAS EN PPACION'!L95+'COMEDORES PALMIRA'!L95+IMDERTY!L95</f>
        <v>241842440</v>
      </c>
      <c r="M95" s="45"/>
      <c r="N95" s="58"/>
      <c r="O95" s="28">
        <f>CALI!O95+HUNGRIA!O95+YUMBO!O95+'ADULTO MAYOR'!O95+'COMEDORES VALLE'!O95+BUGA!O95+'COMEDORES CALI'!O95+'CTAS EN PPACION'!O95+'COMEDORES PALMIRA'!O95+IMDERTY!O95</f>
        <v>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2"/>
        <v>967369760</v>
      </c>
      <c r="AN95" s="200"/>
      <c r="AO95" s="58"/>
    </row>
    <row r="96" spans="1:41" ht="15" customHeight="1" x14ac:dyDescent="0.2">
      <c r="B96" s="16" t="s">
        <v>91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>
        <f>SUM(I97:I98)</f>
        <v>1451054640</v>
      </c>
      <c r="J96" s="3"/>
      <c r="K96" s="61">
        <f>I96/I$13</f>
        <v>0.375</v>
      </c>
      <c r="L96" s="49">
        <f>SUM(L97:L98)</f>
        <v>483684880</v>
      </c>
      <c r="M96" s="3"/>
      <c r="N96" s="61">
        <f>L96/L$13</f>
        <v>0.25</v>
      </c>
      <c r="O96" s="49">
        <f>SUM(O97:O98)</f>
        <v>0</v>
      </c>
      <c r="P96" s="3"/>
      <c r="Q96" s="61" t="e">
        <f>O96/O$13</f>
        <v>#DIV/0!</v>
      </c>
      <c r="R96" s="90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2"/>
        <v>2259047679.79</v>
      </c>
      <c r="AN96" s="197"/>
      <c r="AO96" s="451">
        <f>AM96/(AM$13)</f>
        <v>0.38920789361005731</v>
      </c>
    </row>
    <row r="97" spans="1:41" ht="15" customHeight="1" x14ac:dyDescent="0.2">
      <c r="A97" s="153" t="s">
        <v>400</v>
      </c>
      <c r="B97" s="39" t="s">
        <v>92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6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f>CALI!I97+HUNGRIA!I97+YUMBO!I97+'ADULTO MAYOR'!I97+'COMEDORES VALLE'!I97+BUGA!I97+'COMEDORES CALI'!I97+'CTAS EN PPACION'!I97+'COMEDORES PALMIRA'!I97+IMDERTY!I97</f>
        <v>725527320</v>
      </c>
      <c r="J97" s="69"/>
      <c r="K97" s="70"/>
      <c r="L97" s="39">
        <f>CALI!L97+HUNGRIA!L97+YUMBO!L97+'ADULTO MAYOR'!L97+'COMEDORES VALLE'!L97+BUGA!L97+'COMEDORES CALI'!L97+'CTAS EN PPACION'!L97+'COMEDORES PALMIRA'!L97+IMDERTY!L97</f>
        <v>241842440</v>
      </c>
      <c r="M97" s="69"/>
      <c r="N97" s="70"/>
      <c r="O97" s="39">
        <f>CALI!O97+HUNGRIA!O97+YUMBO!O97+'ADULTO MAYOR'!O97+'COMEDORES VALLE'!O97+BUGA!O97+'COMEDORES CALI'!O97+'CTAS EN PPACION'!O97+'COMEDORES PALMIRA'!O97+IMDERTY!O97</f>
        <v>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2"/>
        <v>1279516963.21</v>
      </c>
      <c r="AN97" s="201"/>
      <c r="AO97" s="70"/>
    </row>
    <row r="98" spans="1:41" ht="15" customHeight="1" x14ac:dyDescent="0.2">
      <c r="A98" s="153" t="s">
        <v>401</v>
      </c>
      <c r="B98" s="275" t="s">
        <v>93</v>
      </c>
      <c r="C98" s="275">
        <f>CALI!C98+HUNGRIA!C98+YUMBO!C98+'ADULTO MAYOR'!C98+'COMEDORES VALLE'!C98+BUGA!C98+'COMEDORES CALI'!C98+'CTAS EN PPACION'!C98+'COMEDORES PALMIRA'!C98+IMDERTY!C98</f>
        <v>12131293.58</v>
      </c>
      <c r="D98" s="276"/>
      <c r="E98" s="341"/>
      <c r="F98" s="275">
        <f>CALI!F98+HUNGRIA!F98+YUMBO!F98+'ADULTO MAYOR'!F98+'COMEDORES VALLE'!F98+BUGA!F98+'COMEDORES CALI'!F98+'CTAS EN PPACION'!F98+'COMEDORES PALMIRA'!F98+IMDERTY!F98</f>
        <v>29663</v>
      </c>
      <c r="G98" s="276"/>
      <c r="H98" s="277"/>
      <c r="I98" s="275">
        <f>CALI!I98+HUNGRIA!I98+YUMBO!I98+'ADULTO MAYOR'!I98+'COMEDORES VALLE'!I98+BUGA!I98+'COMEDORES CALI'!I98+'CTAS EN PPACION'!I98+'COMEDORES PALMIRA'!I98+IMDERTY!I98</f>
        <v>725527320</v>
      </c>
      <c r="J98" s="276"/>
      <c r="K98" s="277"/>
      <c r="L98" s="275">
        <f>CALI!L98+HUNGRIA!L98+YUMBO!L98+'ADULTO MAYOR'!L98+'COMEDORES VALLE'!L98+BUGA!L98+'COMEDORES CALI'!L98+'CTAS EN PPACION'!L98+'COMEDORES PALMIRA'!L98+IMDERTY!L98</f>
        <v>241842440</v>
      </c>
      <c r="M98" s="276"/>
      <c r="N98" s="277"/>
      <c r="O98" s="275">
        <f>CALI!O98+HUNGRIA!O98+YUMBO!O98+'ADULTO MAYOR'!O98+'COMEDORES VALLE'!O98+BUGA!O98+'COMEDORES CALI'!O98+'CTAS EN PPACION'!O98+'COMEDORES PALMIRA'!O98+IMDERTY!O98</f>
        <v>0</v>
      </c>
      <c r="P98" s="276"/>
      <c r="Q98" s="277"/>
      <c r="R98" s="275">
        <f>CALI!R98+HUNGRIA!R98+YUMBO!R98+'ADULTO MAYOR'!R98+'COMEDORES VALLE'!R98+BUGA!R98+'COMEDORES CALI'!R98+'CTAS EN PPACION'!R98+'COMEDORES PALMIRA'!R98+IMDERTY!R98</f>
        <v>0</v>
      </c>
      <c r="S98" s="276"/>
      <c r="T98" s="277"/>
      <c r="U98" s="275">
        <f>CALI!U98+HUNGRIA!U98+YUMBO!U98+'ADULTO MAYOR'!U98+'COMEDORES VALLE'!U98+BUGA!U98+'COMEDORES CALI'!U98+'CTAS EN PPACION'!U98+'COMEDORES PALMIRA'!U98+IMDERTY!U98</f>
        <v>0</v>
      </c>
      <c r="V98" s="276"/>
      <c r="W98" s="277"/>
      <c r="X98" s="275">
        <f>CALI!X98+HUNGRIA!X98+YUMBO!X98+'ADULTO MAYOR'!X98+'COMEDORES VALLE'!X98+BUGA!X98+'COMEDORES CALI'!X98+'CTAS EN PPACION'!X98+'COMEDORES PALMIRA'!X98+IMDERTY!X98</f>
        <v>0</v>
      </c>
      <c r="Y98" s="276"/>
      <c r="Z98" s="277"/>
      <c r="AA98" s="275">
        <f>CALI!AA98+HUNGRIA!AA98+YUMBO!AA98+'ADULTO MAYOR'!AA98+'COMEDORES VALLE'!AA98+BUGA!AA98+'COMEDORES CALI'!AA98+'CTAS EN PPACION'!AA98+'COMEDORES PALMIRA'!AA98+IMDERTY!AA98</f>
        <v>0</v>
      </c>
      <c r="AB98" s="276"/>
      <c r="AC98" s="277"/>
      <c r="AD98" s="275">
        <f>CALI!AD98+HUNGRIA!AD98+YUMBO!AD98+'ADULTO MAYOR'!AD98+'COMEDORES VALLE'!AD98+BUGA!AD98+'COMEDORES CALI'!AD98+'CTAS EN PPACION'!AD98+'COMEDORES PALMIRA'!AD98+IMDERTY!AD98</f>
        <v>0</v>
      </c>
      <c r="AE98" s="276"/>
      <c r="AF98" s="277"/>
      <c r="AG98" s="275">
        <f>CALI!AG98+HUNGRIA!AG98+YUMBO!AG98+'ADULTO MAYOR'!AG98+'COMEDORES VALLE'!AG98+BUGA!AG98+'COMEDORES CALI'!AG98+'CTAS EN PPACION'!AG98+'COMEDORES PALMIRA'!AG98+IMDERTY!AG98</f>
        <v>0</v>
      </c>
      <c r="AH98" s="276"/>
      <c r="AI98" s="277"/>
      <c r="AJ98" s="275">
        <f>CALI!AJ98+HUNGRIA!AJ98+YUMBO!AJ98+'ADULTO MAYOR'!AJ98+'COMEDORES VALLE'!AJ98+BUGA!AJ98+'COMEDORES CALI'!AJ98+'CTAS EN PPACION'!AJ98+'COMEDORES PALMIRA'!AJ98+IMDERTY!AJ98</f>
        <v>0</v>
      </c>
      <c r="AK98" s="276"/>
      <c r="AL98" s="277"/>
      <c r="AM98" s="279">
        <f t="shared" si="2"/>
        <v>979530716.58000004</v>
      </c>
      <c r="AN98" s="280"/>
      <c r="AO98" s="277"/>
    </row>
    <row r="99" spans="1:41" ht="15" customHeight="1" x14ac:dyDescent="0.2">
      <c r="B99" s="16" t="s">
        <v>94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>
        <f>SUM(I100:I108)</f>
        <v>6529745880</v>
      </c>
      <c r="J99" s="3"/>
      <c r="K99" s="61">
        <f>I99/I$13</f>
        <v>1.6875</v>
      </c>
      <c r="L99" s="49">
        <f>SUM(L100:L108)</f>
        <v>2176581960</v>
      </c>
      <c r="M99" s="3"/>
      <c r="N99" s="61">
        <f>L99/L$13</f>
        <v>1.125</v>
      </c>
      <c r="O99" s="49">
        <f>SUM(O100:O108)</f>
        <v>0</v>
      </c>
      <c r="P99" s="3"/>
      <c r="Q99" s="61" t="e">
        <f>O99/O$13</f>
        <v>#DIV/0!</v>
      </c>
      <c r="R99" s="90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2"/>
        <v>8764173679</v>
      </c>
      <c r="AN99" s="197"/>
      <c r="AO99" s="451">
        <f>AM99/(AM$13)</f>
        <v>1.5099661717425059</v>
      </c>
    </row>
    <row r="100" spans="1:41" ht="15" customHeight="1" x14ac:dyDescent="0.2">
      <c r="B100" s="39" t="s">
        <v>95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6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f>CALI!I100+HUNGRIA!I100+YUMBO!I100+'ADULTO MAYOR'!I100+'COMEDORES VALLE'!I100+BUGA!I100+'COMEDORES CALI'!I100+'CTAS EN PPACION'!I100+'COMEDORES PALMIRA'!I100+IMDERTY!I100</f>
        <v>725527320</v>
      </c>
      <c r="J100" s="69"/>
      <c r="K100" s="70"/>
      <c r="L100" s="39">
        <f>CALI!L100+HUNGRIA!L100+YUMBO!L100+'ADULTO MAYOR'!L100+'COMEDORES VALLE'!L100+BUGA!L100+'COMEDORES CALI'!L100+'CTAS EN PPACION'!L100+'COMEDORES PALMIRA'!L100+IMDERTY!L100</f>
        <v>241842440</v>
      </c>
      <c r="M100" s="69"/>
      <c r="N100" s="70"/>
      <c r="O100" s="39">
        <f>CALI!O100+HUNGRIA!O100+YUMBO!O100+'ADULTO MAYOR'!O100+'COMEDORES VALLE'!O100+BUGA!O100+'COMEDORES CALI'!O100+'CTAS EN PPACION'!O100+'COMEDORES PALMIRA'!O100+IMDERTY!O100</f>
        <v>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2"/>
        <v>967369760</v>
      </c>
      <c r="AN100" s="201"/>
      <c r="AO100" s="70"/>
    </row>
    <row r="101" spans="1:41" ht="15" customHeight="1" x14ac:dyDescent="0.2">
      <c r="B101" s="25" t="s">
        <v>212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f>CALI!I101+HUNGRIA!I101+YUMBO!I101+'ADULTO MAYOR'!I101+'COMEDORES VALLE'!I101+BUGA!I101+'COMEDORES CALI'!I101+'CTAS EN PPACION'!I101+'COMEDORES PALMIRA'!I101+IMDERTY!I101</f>
        <v>725527320</v>
      </c>
      <c r="J101" s="43"/>
      <c r="K101" s="57"/>
      <c r="L101" s="25">
        <f>CALI!L101+HUNGRIA!L101+YUMBO!L101+'ADULTO MAYOR'!L101+'COMEDORES VALLE'!L101+BUGA!L101+'COMEDORES CALI'!L101+'CTAS EN PPACION'!L101+'COMEDORES PALMIRA'!L101+IMDERTY!L101</f>
        <v>241842440</v>
      </c>
      <c r="M101" s="43"/>
      <c r="N101" s="57"/>
      <c r="O101" s="25">
        <f>CALI!O101+HUNGRIA!O101+YUMBO!O101+'ADULTO MAYOR'!O101+'COMEDORES VALLE'!O101+BUGA!O101+'COMEDORES CALI'!O101+'CTAS EN PPACION'!O101+'COMEDORES PALMIRA'!O101+IMDERTY!O101</f>
        <v>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2"/>
        <v>968793260</v>
      </c>
      <c r="AN101" s="195"/>
      <c r="AO101" s="57"/>
    </row>
    <row r="102" spans="1:41" ht="15" customHeight="1" x14ac:dyDescent="0.2">
      <c r="B102" s="25" t="s">
        <v>98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f>CALI!I102+HUNGRIA!I102+YUMBO!I102+'ADULTO MAYOR'!I102+'COMEDORES VALLE'!I102+BUGA!I102+'COMEDORES CALI'!I102+'CTAS EN PPACION'!I102+'COMEDORES PALMIRA'!I102+IMDERTY!I102</f>
        <v>725527320</v>
      </c>
      <c r="J102" s="43"/>
      <c r="K102" s="57"/>
      <c r="L102" s="25">
        <f>CALI!L102+HUNGRIA!L102+YUMBO!L102+'ADULTO MAYOR'!L102+'COMEDORES VALLE'!L102+BUGA!L102+'COMEDORES CALI'!L102+'CTAS EN PPACION'!L102+'COMEDORES PALMIRA'!L102+IMDERTY!L102</f>
        <v>241842440</v>
      </c>
      <c r="M102" s="43"/>
      <c r="N102" s="57"/>
      <c r="O102" s="25">
        <f>CALI!O102+HUNGRIA!O102+YUMBO!O102+'ADULTO MAYOR'!O102+'COMEDORES VALLE'!O102+BUGA!O102+'COMEDORES CALI'!O102+'CTAS EN PPACION'!O102+'COMEDORES PALMIRA'!O102+IMDERTY!O102</f>
        <v>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2"/>
        <v>967369760</v>
      </c>
      <c r="AN102" s="195"/>
      <c r="AO102" s="57"/>
    </row>
    <row r="103" spans="1:41" ht="15" customHeight="1" x14ac:dyDescent="0.2">
      <c r="B103" s="25" t="s">
        <v>100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f>CALI!I103+HUNGRIA!I103+YUMBO!I103+'ADULTO MAYOR'!I103+'COMEDORES VALLE'!I103+BUGA!I103+'COMEDORES CALI'!I103+'CTAS EN PPACION'!I103+'COMEDORES PALMIRA'!I103+IMDERTY!I103</f>
        <v>725527320</v>
      </c>
      <c r="J103" s="43"/>
      <c r="K103" s="57"/>
      <c r="L103" s="25">
        <f>CALI!L103+HUNGRIA!L103+YUMBO!L103+'ADULTO MAYOR'!L103+'COMEDORES VALLE'!L103+BUGA!L103+'COMEDORES CALI'!L103+'CTAS EN PPACION'!L103+'COMEDORES PALMIRA'!L103+IMDERTY!L103</f>
        <v>241842440</v>
      </c>
      <c r="M103" s="43"/>
      <c r="N103" s="57"/>
      <c r="O103" s="25">
        <f>CALI!O103+HUNGRIA!O103+YUMBO!O103+'ADULTO MAYOR'!O103+'COMEDORES VALLE'!O103+BUGA!O103+'COMEDORES CALI'!O103+'CTAS EN PPACION'!O103+'COMEDORES PALMIRA'!O103+IMDERTY!O103</f>
        <v>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2"/>
        <v>999898442</v>
      </c>
      <c r="AN103" s="195"/>
      <c r="AO103" s="57"/>
    </row>
    <row r="104" spans="1:41" ht="15" customHeight="1" x14ac:dyDescent="0.2">
      <c r="B104" s="25" t="s">
        <v>102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f>CALI!I104+HUNGRIA!I104+YUMBO!I104+'ADULTO MAYOR'!I104+'COMEDORES VALLE'!I104+BUGA!I104+'COMEDORES CALI'!I104+'CTAS EN PPACION'!I104+'COMEDORES PALMIRA'!I104+IMDERTY!I104</f>
        <v>725527320</v>
      </c>
      <c r="J104" s="43"/>
      <c r="K104" s="57"/>
      <c r="L104" s="25">
        <f>CALI!L104+HUNGRIA!L104+YUMBO!L104+'ADULTO MAYOR'!L104+'COMEDORES VALLE'!L104+BUGA!L104+'COMEDORES CALI'!L104+'CTAS EN PPACION'!L104+'COMEDORES PALMIRA'!L104+IMDERTY!L104</f>
        <v>241842440</v>
      </c>
      <c r="M104" s="43"/>
      <c r="N104" s="57"/>
      <c r="O104" s="25">
        <f>CALI!O104+HUNGRIA!O104+YUMBO!O104+'ADULTO MAYOR'!O104+'COMEDORES VALLE'!O104+BUGA!O104+'COMEDORES CALI'!O104+'CTAS EN PPACION'!O104+'COMEDORES PALMIRA'!O104+IMDERTY!O104</f>
        <v>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2"/>
        <v>984977165</v>
      </c>
      <c r="AN104" s="195"/>
      <c r="AO104" s="57"/>
    </row>
    <row r="105" spans="1:41" ht="15" customHeight="1" x14ac:dyDescent="0.2">
      <c r="B105" s="25" t="s">
        <v>103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f>CALI!I105+HUNGRIA!I105+YUMBO!I105+'ADULTO MAYOR'!I105+'COMEDORES VALLE'!I105+BUGA!I105+'COMEDORES CALI'!I105+'CTAS EN PPACION'!I105+'COMEDORES PALMIRA'!I105+IMDERTY!I105</f>
        <v>725527320</v>
      </c>
      <c r="J105" s="43"/>
      <c r="K105" s="57"/>
      <c r="L105" s="25">
        <f>CALI!L105+HUNGRIA!L105+YUMBO!L105+'ADULTO MAYOR'!L105+'COMEDORES VALLE'!L105+BUGA!L105+'COMEDORES CALI'!L105+'CTAS EN PPACION'!L105+'COMEDORES PALMIRA'!L105+IMDERTY!L105</f>
        <v>241842440</v>
      </c>
      <c r="M105" s="43"/>
      <c r="N105" s="57"/>
      <c r="O105" s="25">
        <f>CALI!O105+HUNGRIA!O105+YUMBO!O105+'ADULTO MAYOR'!O105+'COMEDORES VALLE'!O105+BUGA!O105+'COMEDORES CALI'!O105+'CTAS EN PPACION'!O105+'COMEDORES PALMIRA'!O105+IMDERTY!O105</f>
        <v>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2"/>
        <v>967525140</v>
      </c>
      <c r="AN105" s="195"/>
      <c r="AO105" s="57"/>
    </row>
    <row r="106" spans="1:41" ht="15" customHeight="1" x14ac:dyDescent="0.2">
      <c r="B106" s="25" t="s">
        <v>104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f>CALI!I106+HUNGRIA!I106+YUMBO!I106+'ADULTO MAYOR'!I106+'COMEDORES VALLE'!I106+BUGA!I106+'COMEDORES CALI'!I106+'CTAS EN PPACION'!I106+'COMEDORES PALMIRA'!I106+IMDERTY!I106</f>
        <v>725527320</v>
      </c>
      <c r="J106" s="43"/>
      <c r="K106" s="57"/>
      <c r="L106" s="25">
        <f>CALI!L106+HUNGRIA!L106+YUMBO!L106+'ADULTO MAYOR'!L106+'COMEDORES VALLE'!L106+BUGA!L106+'COMEDORES CALI'!L106+'CTAS EN PPACION'!L106+'COMEDORES PALMIRA'!L106+IMDERTY!L106</f>
        <v>241842440</v>
      </c>
      <c r="M106" s="43"/>
      <c r="N106" s="57"/>
      <c r="O106" s="25">
        <f>CALI!O106+HUNGRIA!O106+YUMBO!O106+'ADULTO MAYOR'!O106+'COMEDORES VALLE'!O106+BUGA!O106+'COMEDORES CALI'!O106+'CTAS EN PPACION'!O106+'COMEDORES PALMIRA'!O106+IMDERTY!O106</f>
        <v>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2"/>
        <v>972608230</v>
      </c>
      <c r="AN106" s="195"/>
      <c r="AO106" s="57"/>
    </row>
    <row r="107" spans="1:41" ht="15" customHeight="1" x14ac:dyDescent="0.2">
      <c r="B107" s="205" t="s">
        <v>105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f>CALI!I107+HUNGRIA!I107+YUMBO!I107+'ADULTO MAYOR'!I107+'COMEDORES VALLE'!I107+BUGA!I107+'COMEDORES CALI'!I107+'CTAS EN PPACION'!I107+'COMEDORES PALMIRA'!I107+IMDERTY!I107</f>
        <v>725527320</v>
      </c>
      <c r="J107" s="43"/>
      <c r="K107" s="57"/>
      <c r="L107" s="25">
        <f>CALI!L107+HUNGRIA!L107+YUMBO!L107+'ADULTO MAYOR'!L107+'COMEDORES VALLE'!L107+BUGA!L107+'COMEDORES CALI'!L107+'CTAS EN PPACION'!L107+'COMEDORES PALMIRA'!L107+IMDERTY!L107</f>
        <v>241842440</v>
      </c>
      <c r="M107" s="43"/>
      <c r="N107" s="57"/>
      <c r="O107" s="25">
        <f>CALI!O107+HUNGRIA!O107+YUMBO!O107+'ADULTO MAYOR'!O107+'COMEDORES VALLE'!O107+BUGA!O107+'COMEDORES CALI'!O107+'CTAS EN PPACION'!O107+'COMEDORES PALMIRA'!O107+IMDERTY!O107</f>
        <v>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2"/>
        <v>968194162</v>
      </c>
      <c r="AN107" s="195"/>
      <c r="AO107" s="57"/>
    </row>
    <row r="108" spans="1:41" ht="15" customHeight="1" x14ac:dyDescent="0.2">
      <c r="B108" s="97" t="s">
        <v>106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f>CALI!I108+HUNGRIA!I108+YUMBO!I108+'ADULTO MAYOR'!I108+'COMEDORES VALLE'!I108+BUGA!I108+'COMEDORES CALI'!I108+'CTAS EN PPACION'!I108+'COMEDORES PALMIRA'!I108+IMDERTY!I108</f>
        <v>725527320</v>
      </c>
      <c r="J108" s="42"/>
      <c r="K108" s="56"/>
      <c r="L108" s="28">
        <f>CALI!L108+HUNGRIA!L108+YUMBO!L108+'ADULTO MAYOR'!L108+'COMEDORES VALLE'!L108+BUGA!L108+'COMEDORES CALI'!L108+'CTAS EN PPACION'!L108+'COMEDORES PALMIRA'!L108+IMDERTY!L108</f>
        <v>241842440</v>
      </c>
      <c r="M108" s="42"/>
      <c r="N108" s="56"/>
      <c r="O108" s="22">
        <f>CALI!O108+HUNGRIA!O108+YUMBO!O108+'ADULTO MAYOR'!O108+'COMEDORES VALLE'!O108+BUGA!O108+'COMEDORES CALI'!O108+'CTAS EN PPACION'!O108+'COMEDORES PALMIRA'!O108+IMDERTY!O108</f>
        <v>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2"/>
        <v>967437760</v>
      </c>
      <c r="AN108" s="194"/>
      <c r="AO108" s="56"/>
    </row>
    <row r="109" spans="1:41" ht="15" customHeight="1" x14ac:dyDescent="0.2">
      <c r="B109" s="16" t="s">
        <v>107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>
        <f>SUM(I110:I113)</f>
        <v>2902109280</v>
      </c>
      <c r="J109" s="3"/>
      <c r="K109" s="61"/>
      <c r="L109" s="49">
        <f>SUM(L110:L113)</f>
        <v>967369760</v>
      </c>
      <c r="M109" s="3"/>
      <c r="N109" s="61"/>
      <c r="O109" s="49">
        <f>SUM(O110:O113)</f>
        <v>0</v>
      </c>
      <c r="P109" s="3"/>
      <c r="Q109" s="61"/>
      <c r="R109" s="90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2"/>
        <v>3870250231</v>
      </c>
      <c r="AN109" s="197"/>
      <c r="AO109" s="451">
        <f>AM109/(AM$13)</f>
        <v>0.66679953399273784</v>
      </c>
    </row>
    <row r="110" spans="1:41" ht="15" customHeight="1" x14ac:dyDescent="0.2">
      <c r="A110" s="153" t="s">
        <v>402</v>
      </c>
      <c r="B110" s="39" t="s">
        <v>108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6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f>CALI!I110+HUNGRIA!I110+YUMBO!I110+'ADULTO MAYOR'!I110+'COMEDORES VALLE'!I110+BUGA!I110+'COMEDORES CALI'!I110+'CTAS EN PPACION'!I110+'COMEDORES PALMIRA'!I110+IMDERTY!I110</f>
        <v>725527320</v>
      </c>
      <c r="J110" s="69"/>
      <c r="K110" s="70"/>
      <c r="L110" s="39">
        <f>CALI!L110+HUNGRIA!L110+YUMBO!L110+'ADULTO MAYOR'!L110+'COMEDORES VALLE'!L110+BUGA!L110+'COMEDORES CALI'!L110+'CTAS EN PPACION'!L110+'COMEDORES PALMIRA'!L110+IMDERTY!L110</f>
        <v>241842440</v>
      </c>
      <c r="M110" s="69"/>
      <c r="N110" s="70"/>
      <c r="O110" s="39">
        <f>CALI!O110+HUNGRIA!O110+YUMBO!O110+'ADULTO MAYOR'!O110+'COMEDORES VALLE'!O110+BUGA!O110+'COMEDORES CALI'!O110+'CTAS EN PPACION'!O110+'COMEDORES PALMIRA'!O110+IMDERTY!O110</f>
        <v>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2"/>
        <v>967973751</v>
      </c>
      <c r="AN110" s="201"/>
      <c r="AO110" s="70"/>
    </row>
    <row r="111" spans="1:41" ht="15" customHeight="1" x14ac:dyDescent="0.2">
      <c r="A111" s="153" t="s">
        <v>403</v>
      </c>
      <c r="B111" s="25" t="s">
        <v>109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f>CALI!I111+HUNGRIA!I111+YUMBO!I111+'ADULTO MAYOR'!I111+'COMEDORES VALLE'!I111+BUGA!I111+'COMEDORES CALI'!I111+'CTAS EN PPACION'!I111+'COMEDORES PALMIRA'!I111+IMDERTY!I111</f>
        <v>725527320</v>
      </c>
      <c r="J111" s="43"/>
      <c r="K111" s="57"/>
      <c r="L111" s="25">
        <f>CALI!L111+HUNGRIA!L111+YUMBO!L111+'ADULTO MAYOR'!L111+'COMEDORES VALLE'!L111+BUGA!L111+'COMEDORES CALI'!L111+'CTAS EN PPACION'!L111+'COMEDORES PALMIRA'!L111+IMDERTY!L111</f>
        <v>241842440</v>
      </c>
      <c r="M111" s="43"/>
      <c r="N111" s="57"/>
      <c r="O111" s="25">
        <f>CALI!O111+HUNGRIA!O111+YUMBO!O111+'ADULTO MAYOR'!O111+'COMEDORES VALLE'!O111+BUGA!O111+'COMEDORES CALI'!O111+'CTAS EN PPACION'!O111+'COMEDORES PALMIRA'!O111+IMDERTY!O111</f>
        <v>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2"/>
        <v>967369760</v>
      </c>
      <c r="AN111" s="195"/>
      <c r="AO111" s="57"/>
    </row>
    <row r="112" spans="1:41" ht="15" customHeight="1" x14ac:dyDescent="0.2">
      <c r="A112" s="153" t="s">
        <v>404</v>
      </c>
      <c r="B112" s="25" t="s">
        <v>110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f>CALI!I112+HUNGRIA!I112+YUMBO!I112+'ADULTO MAYOR'!I112+'COMEDORES VALLE'!I112+BUGA!I112+'COMEDORES CALI'!I112+'CTAS EN PPACION'!I112+'COMEDORES PALMIRA'!I112+IMDERTY!I112</f>
        <v>725527320</v>
      </c>
      <c r="J112" s="43"/>
      <c r="K112" s="57"/>
      <c r="L112" s="25">
        <f>CALI!L112+HUNGRIA!L112+YUMBO!L112+'ADULTO MAYOR'!L112+'COMEDORES VALLE'!L112+BUGA!L112+'COMEDORES CALI'!L112+'CTAS EN PPACION'!L112+'COMEDORES PALMIRA'!L112+IMDERTY!L112</f>
        <v>241842440</v>
      </c>
      <c r="M112" s="43"/>
      <c r="N112" s="57"/>
      <c r="O112" s="25">
        <f>CALI!O112+HUNGRIA!O112+YUMBO!O112+'ADULTO MAYOR'!O112+'COMEDORES VALLE'!O112+BUGA!O112+'COMEDORES CALI'!O112+'CTAS EN PPACION'!O112+'COMEDORES PALMIRA'!O112+IMDERTY!O112</f>
        <v>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2"/>
        <v>967369760</v>
      </c>
      <c r="AN112" s="195"/>
      <c r="AO112" s="57"/>
    </row>
    <row r="113" spans="1:41" ht="15" customHeight="1" x14ac:dyDescent="0.2">
      <c r="A113" s="153" t="s">
        <v>405</v>
      </c>
      <c r="B113" s="28" t="s">
        <v>111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f>CALI!I113+HUNGRIA!I113+YUMBO!I113+'ADULTO MAYOR'!I113+'COMEDORES VALLE'!I113+BUGA!I113+'COMEDORES CALI'!I113+'CTAS EN PPACION'!I113+'COMEDORES PALMIRA'!I113+IMDERTY!I113</f>
        <v>725527320</v>
      </c>
      <c r="J113" s="45"/>
      <c r="K113" s="58"/>
      <c r="L113" s="28">
        <f>CALI!L113+HUNGRIA!L113+YUMBO!L113+'ADULTO MAYOR'!L113+'COMEDORES VALLE'!L113+BUGA!L113+'COMEDORES CALI'!L113+'CTAS EN PPACION'!L113+'COMEDORES PALMIRA'!L113+IMDERTY!L113</f>
        <v>241842440</v>
      </c>
      <c r="M113" s="45"/>
      <c r="N113" s="58"/>
      <c r="O113" s="28">
        <f>CALI!O113+HUNGRIA!O113+YUMBO!O113+'ADULTO MAYOR'!O113+'COMEDORES VALLE'!O113+BUGA!O113+'COMEDORES CALI'!O113+'CTAS EN PPACION'!O113+'COMEDORES PALMIRA'!O113+IMDERTY!O113</f>
        <v>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2"/>
        <v>967536960</v>
      </c>
      <c r="AN113" s="200"/>
      <c r="AO113" s="58"/>
    </row>
    <row r="114" spans="1:41" ht="15" customHeight="1" x14ac:dyDescent="0.2">
      <c r="B114" s="16" t="s">
        <v>112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>
        <f>SUM(I115:I119)</f>
        <v>3627636600</v>
      </c>
      <c r="J114" s="3"/>
      <c r="K114" s="61">
        <f>I114/I$13</f>
        <v>0.9375</v>
      </c>
      <c r="L114" s="49">
        <f>SUM(L115:L119)</f>
        <v>1209212200</v>
      </c>
      <c r="M114" s="3"/>
      <c r="N114" s="61">
        <f>L114/L$13</f>
        <v>0.625</v>
      </c>
      <c r="O114" s="49">
        <f>SUM(O115:O119)</f>
        <v>0</v>
      </c>
      <c r="P114" s="3"/>
      <c r="Q114" s="61" t="e">
        <f>O114/O$13</f>
        <v>#DIV/0!</v>
      </c>
      <c r="R114" s="90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2"/>
        <v>4867026850</v>
      </c>
      <c r="AN114" s="197"/>
      <c r="AO114" s="451">
        <f>AM114/(AM$13)</f>
        <v>0.8385326637320839</v>
      </c>
    </row>
    <row r="115" spans="1:41" ht="15" customHeight="1" x14ac:dyDescent="0.2">
      <c r="A115" s="153" t="s">
        <v>406</v>
      </c>
      <c r="B115" s="39" t="s">
        <v>113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6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f>CALI!I115+HUNGRIA!I115+YUMBO!I115+'ADULTO MAYOR'!I115+'COMEDORES VALLE'!I115+BUGA!I115+'COMEDORES CALI'!I115+'CTAS EN PPACION'!I115+'COMEDORES PALMIRA'!I115+IMDERTY!I115</f>
        <v>725527320</v>
      </c>
      <c r="J115" s="69"/>
      <c r="K115" s="70"/>
      <c r="L115" s="39">
        <f>CALI!L115+HUNGRIA!L115+YUMBO!L115+'ADULTO MAYOR'!L115+'COMEDORES VALLE'!L115+BUGA!L115+'COMEDORES CALI'!L115+'CTAS EN PPACION'!L115+'COMEDORES PALMIRA'!L115+IMDERTY!L115</f>
        <v>241842440</v>
      </c>
      <c r="M115" s="69"/>
      <c r="N115" s="70"/>
      <c r="O115" s="39">
        <f>CALI!O115+HUNGRIA!O115+YUMBO!O115+'ADULTO MAYOR'!O115+'COMEDORES VALLE'!O115+BUGA!O115+'COMEDORES CALI'!O115+'CTAS EN PPACION'!O115+'COMEDORES PALMIRA'!O115+IMDERTY!O115</f>
        <v>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3">C115+F115+I115+L115+O115+R115+U115+X115+AA115+AD115+AG115+AJ115</f>
        <v>967369760</v>
      </c>
      <c r="AN115" s="201"/>
      <c r="AO115" s="70"/>
    </row>
    <row r="116" spans="1:41" ht="15" customHeight="1" x14ac:dyDescent="0.2">
      <c r="A116" s="153" t="s">
        <v>407</v>
      </c>
      <c r="B116" s="25" t="s">
        <v>114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f>CALI!I116+HUNGRIA!I116+YUMBO!I116+'ADULTO MAYOR'!I116+'COMEDORES VALLE'!I116+BUGA!I116+'COMEDORES CALI'!I116+'CTAS EN PPACION'!I116+'COMEDORES PALMIRA'!I116+IMDERTY!I116</f>
        <v>725527320</v>
      </c>
      <c r="J116" s="43"/>
      <c r="K116" s="57"/>
      <c r="L116" s="25">
        <f>CALI!L116+HUNGRIA!L116+YUMBO!L116+'ADULTO MAYOR'!L116+'COMEDORES VALLE'!L116+BUGA!L116+'COMEDORES CALI'!L116+'CTAS EN PPACION'!L116+'COMEDORES PALMIRA'!L116+IMDERTY!L116</f>
        <v>241842440</v>
      </c>
      <c r="M116" s="43"/>
      <c r="N116" s="57"/>
      <c r="O116" s="25">
        <f>CALI!O116+HUNGRIA!O116+YUMBO!O116+'ADULTO MAYOR'!O116+'COMEDORES VALLE'!O116+BUGA!O116+'COMEDORES CALI'!O116+'CTAS EN PPACION'!O116+'COMEDORES PALMIRA'!O116+IMDERTY!O116</f>
        <v>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3"/>
        <v>967369760</v>
      </c>
      <c r="AN116" s="195"/>
      <c r="AO116" s="57"/>
    </row>
    <row r="117" spans="1:41" ht="15" customHeight="1" x14ac:dyDescent="0.2">
      <c r="A117" s="153" t="s">
        <v>380</v>
      </c>
      <c r="B117" s="205" t="s">
        <v>115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f>CALI!I117+HUNGRIA!I117+YUMBO!I117+'ADULTO MAYOR'!I117+'COMEDORES VALLE'!I117+BUGA!I117+'COMEDORES CALI'!I117+'CTAS EN PPACION'!I117+'COMEDORES PALMIRA'!I117+IMDERTY!I117</f>
        <v>725527320</v>
      </c>
      <c r="J117" s="43"/>
      <c r="K117" s="57"/>
      <c r="L117" s="25">
        <f>CALI!L117+HUNGRIA!L117+YUMBO!L117+'ADULTO MAYOR'!L117+'COMEDORES VALLE'!L117+BUGA!L117+'COMEDORES CALI'!L117+'CTAS EN PPACION'!L117+'COMEDORES PALMIRA'!L117+IMDERTY!L117</f>
        <v>241842440</v>
      </c>
      <c r="M117" s="43"/>
      <c r="N117" s="57"/>
      <c r="O117" s="25">
        <f>CALI!O117+HUNGRIA!O117+YUMBO!O117+'ADULTO MAYOR'!O117+'COMEDORES VALLE'!O117+BUGA!O117+'COMEDORES CALI'!O117+'CTAS EN PPACION'!O117+'COMEDORES PALMIRA'!O117+IMDERTY!O117</f>
        <v>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3"/>
        <v>993840960</v>
      </c>
      <c r="AN117" s="195"/>
      <c r="AO117" s="57"/>
    </row>
    <row r="118" spans="1:41" ht="15" customHeight="1" x14ac:dyDescent="0.2">
      <c r="A118" s="153" t="s">
        <v>408</v>
      </c>
      <c r="B118" s="205" t="s">
        <v>116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f>CALI!I118+HUNGRIA!I118+YUMBO!I118+'ADULTO MAYOR'!I118+'COMEDORES VALLE'!I118+BUGA!I118+'COMEDORES CALI'!I118+'CTAS EN PPACION'!I118+'COMEDORES PALMIRA'!I118+IMDERTY!I118</f>
        <v>725527320</v>
      </c>
      <c r="J118" s="43"/>
      <c r="K118" s="57"/>
      <c r="L118" s="25">
        <f>CALI!L118+HUNGRIA!L118+YUMBO!L118+'ADULTO MAYOR'!L118+'COMEDORES VALLE'!L118+BUGA!L118+'COMEDORES CALI'!L118+'CTAS EN PPACION'!L118+'COMEDORES PALMIRA'!L118+IMDERTY!L118</f>
        <v>241842440</v>
      </c>
      <c r="M118" s="43"/>
      <c r="N118" s="57"/>
      <c r="O118" s="25">
        <f>CALI!O118+HUNGRIA!O118+YUMBO!O118+'ADULTO MAYOR'!O118+'COMEDORES VALLE'!O118+BUGA!O118+'COMEDORES CALI'!O118+'CTAS EN PPACION'!O118+'COMEDORES PALMIRA'!O118+IMDERTY!O118</f>
        <v>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3"/>
        <v>967369760</v>
      </c>
      <c r="AN118" s="195"/>
      <c r="AO118" s="57"/>
    </row>
    <row r="119" spans="1:41" ht="15" customHeight="1" x14ac:dyDescent="0.2">
      <c r="A119" s="153" t="s">
        <v>409</v>
      </c>
      <c r="B119" s="97" t="s">
        <v>117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f>CALI!I119+HUNGRIA!I119+YUMBO!I119+'ADULTO MAYOR'!I119+'COMEDORES VALLE'!I119+BUGA!I119+'COMEDORES CALI'!I119+'CTAS EN PPACION'!I119+'COMEDORES PALMIRA'!I119+IMDERTY!I119</f>
        <v>725527320</v>
      </c>
      <c r="J119" s="43"/>
      <c r="K119" s="57"/>
      <c r="L119" s="25">
        <f>CALI!L119+HUNGRIA!L119+YUMBO!L119+'ADULTO MAYOR'!L119+'COMEDORES VALLE'!L119+BUGA!L119+'COMEDORES CALI'!L119+'CTAS EN PPACION'!L119+'COMEDORES PALMIRA'!L119+IMDERTY!L119</f>
        <v>241842440</v>
      </c>
      <c r="M119" s="42"/>
      <c r="N119" s="56"/>
      <c r="O119" s="25">
        <f>CALI!O119+HUNGRIA!O119+YUMBO!O119+'ADULTO MAYOR'!O119+'COMEDORES VALLE'!O119+BUGA!O119+'COMEDORES CALI'!O119+'CTAS EN PPACION'!O119+'COMEDORES PALMIRA'!O119+IMDERTY!O119</f>
        <v>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3"/>
        <v>971076610</v>
      </c>
      <c r="AN119" s="194"/>
      <c r="AO119" s="56"/>
    </row>
    <row r="120" spans="1:41" ht="15" customHeight="1" x14ac:dyDescent="0.2">
      <c r="B120" s="16" t="s">
        <v>118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>
        <f>SUM(I121:I122)</f>
        <v>1451054640</v>
      </c>
      <c r="J120" s="3"/>
      <c r="K120" s="61">
        <f>I120/I$13</f>
        <v>0.375</v>
      </c>
      <c r="L120" s="49">
        <f>SUM(L121:L122)</f>
        <v>483684880</v>
      </c>
      <c r="M120" s="3"/>
      <c r="N120" s="61">
        <f>L120/L$13</f>
        <v>0.25</v>
      </c>
      <c r="O120" s="49">
        <f>SUM(O121:O122)</f>
        <v>0</v>
      </c>
      <c r="P120" s="3"/>
      <c r="Q120" s="61" t="e">
        <f>O120/O$13</f>
        <v>#DIV/0!</v>
      </c>
      <c r="R120" s="90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3"/>
        <v>1934739520</v>
      </c>
      <c r="AN120" s="197"/>
      <c r="AO120" s="451">
        <f>AM120/(AM$13)</f>
        <v>0.33333333333333331</v>
      </c>
    </row>
    <row r="121" spans="1:41" ht="15" customHeight="1" x14ac:dyDescent="0.2">
      <c r="A121" s="153" t="s">
        <v>410</v>
      </c>
      <c r="B121" s="39" t="s">
        <v>119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6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f>CALI!I121+HUNGRIA!I121+YUMBO!I121+'ADULTO MAYOR'!I121+'COMEDORES VALLE'!I121+BUGA!I121+'COMEDORES CALI'!I121+'CTAS EN PPACION'!I121+'COMEDORES PALMIRA'!I121+IMDERTY!I121</f>
        <v>725527320</v>
      </c>
      <c r="J121" s="69"/>
      <c r="K121" s="70"/>
      <c r="L121" s="39">
        <f>CALI!L121+HUNGRIA!L121+YUMBO!L121+'ADULTO MAYOR'!L121+'COMEDORES VALLE'!L121+BUGA!L121+'COMEDORES CALI'!L121+'CTAS EN PPACION'!L121+'COMEDORES PALMIRA'!L121+IMDERTY!L121</f>
        <v>241842440</v>
      </c>
      <c r="M121" s="69"/>
      <c r="N121" s="70"/>
      <c r="O121" s="39">
        <f>CALI!O121+HUNGRIA!O121+YUMBO!O121+'ADULTO MAYOR'!O121+'COMEDORES VALLE'!O121+BUGA!O121+'COMEDORES CALI'!O121+'CTAS EN PPACION'!O121+'COMEDORES PALMIRA'!O121+IMDERTY!O121</f>
        <v>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3"/>
        <v>967369760</v>
      </c>
      <c r="AN121" s="201"/>
      <c r="AO121" s="70"/>
    </row>
    <row r="122" spans="1:41" ht="15" customHeight="1" x14ac:dyDescent="0.2">
      <c r="A122" s="153" t="s">
        <v>411</v>
      </c>
      <c r="B122" s="284" t="s">
        <v>120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38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f>CALI!I122+HUNGRIA!I122+YUMBO!I122+'ADULTO MAYOR'!I122+'COMEDORES VALLE'!I122+BUGA!I122+'COMEDORES CALI'!I122+'CTAS EN PPACION'!I122+'COMEDORES PALMIRA'!I122+IMDERTY!I122</f>
        <v>725527320</v>
      </c>
      <c r="J122" s="92"/>
      <c r="K122" s="88"/>
      <c r="L122" s="275">
        <f>CALI!L122+HUNGRIA!L122+YUMBO!L122+'ADULTO MAYOR'!L122+'COMEDORES VALLE'!L122+BUGA!L122+'COMEDORES CALI'!L122+'CTAS EN PPACION'!L122+'COMEDORES PALMIRA'!L122+IMDERTY!L122</f>
        <v>241842440</v>
      </c>
      <c r="M122" s="92"/>
      <c r="N122" s="88"/>
      <c r="O122" s="91">
        <f>CALI!O122+HUNGRIA!O122+YUMBO!O122+'ADULTO MAYOR'!O122+'COMEDORES VALLE'!O122+BUGA!O122+'COMEDORES CALI'!O122+'CTAS EN PPACION'!O122+'COMEDORES PALMIRA'!O122+IMDERTY!O122</f>
        <v>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3"/>
        <v>967369760</v>
      </c>
      <c r="AN122" s="203"/>
      <c r="AO122" s="88"/>
    </row>
    <row r="123" spans="1:41" ht="15" customHeight="1" x14ac:dyDescent="0.2">
      <c r="B123" s="16" t="s">
        <v>121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>
        <f>SUM(I124:I126)</f>
        <v>2176581960</v>
      </c>
      <c r="J123" s="3"/>
      <c r="K123" s="61">
        <f>I123/I$13</f>
        <v>0.5625</v>
      </c>
      <c r="L123" s="49">
        <f>SUM(L124:L126)</f>
        <v>725527320</v>
      </c>
      <c r="M123" s="3"/>
      <c r="N123" s="61">
        <f>L123/L$13</f>
        <v>0.375</v>
      </c>
      <c r="O123" s="49">
        <f>SUM(O124:O126)</f>
        <v>0</v>
      </c>
      <c r="P123" s="3"/>
      <c r="Q123" s="61" t="e">
        <f>O123/O$13</f>
        <v>#DIV/0!</v>
      </c>
      <c r="R123" s="90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3"/>
        <v>2902109280</v>
      </c>
      <c r="AN123" s="197"/>
      <c r="AO123" s="451">
        <f>AM123/(AM$13)</f>
        <v>0.5</v>
      </c>
    </row>
    <row r="124" spans="1:41" ht="15" customHeight="1" x14ac:dyDescent="0.2">
      <c r="A124" s="153" t="s">
        <v>412</v>
      </c>
      <c r="B124" s="39" t="s">
        <v>122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6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f>CALI!I124+HUNGRIA!I124+YUMBO!I124+'ADULTO MAYOR'!I124+'COMEDORES VALLE'!I124+BUGA!I124+'COMEDORES CALI'!I124+'CTAS EN PPACION'!I124+'COMEDORES PALMIRA'!I124+IMDERTY!I124</f>
        <v>725527320</v>
      </c>
      <c r="J124" s="69"/>
      <c r="K124" s="70"/>
      <c r="L124" s="39">
        <f>CALI!L124+HUNGRIA!L124+YUMBO!L124+'ADULTO MAYOR'!L124+'COMEDORES VALLE'!L124+BUGA!L124+'COMEDORES CALI'!L124+'CTAS EN PPACION'!L124+'COMEDORES PALMIRA'!L124+IMDERTY!L124</f>
        <v>241842440</v>
      </c>
      <c r="M124" s="69"/>
      <c r="N124" s="70"/>
      <c r="O124" s="39">
        <f>CALI!O124+HUNGRIA!O124+YUMBO!O124+'ADULTO MAYOR'!O124+'COMEDORES VALLE'!O124+BUGA!O124+'COMEDORES CALI'!O124+'CTAS EN PPACION'!O124+'COMEDORES PALMIRA'!O124+IMDERTY!O124</f>
        <v>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3"/>
        <v>967369760</v>
      </c>
      <c r="AN124" s="201"/>
      <c r="AO124" s="70"/>
    </row>
    <row r="125" spans="1:41" ht="15" customHeight="1" x14ac:dyDescent="0.2">
      <c r="A125" s="153" t="s">
        <v>413</v>
      </c>
      <c r="B125" s="25" t="s">
        <v>123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f>CALI!I125+HUNGRIA!I125+YUMBO!I125+'ADULTO MAYOR'!I125+'COMEDORES VALLE'!I125+BUGA!I125+'COMEDORES CALI'!I125+'CTAS EN PPACION'!I125+'COMEDORES PALMIRA'!I125+IMDERTY!I125</f>
        <v>725527320</v>
      </c>
      <c r="J125" s="43"/>
      <c r="K125" s="57"/>
      <c r="L125" s="25">
        <f>CALI!L125+HUNGRIA!L125+YUMBO!L125+'ADULTO MAYOR'!L125+'COMEDORES VALLE'!L125+BUGA!L125+'COMEDORES CALI'!L125+'CTAS EN PPACION'!L125+'COMEDORES PALMIRA'!L125+IMDERTY!L125</f>
        <v>241842440</v>
      </c>
      <c r="M125" s="43"/>
      <c r="N125" s="57"/>
      <c r="O125" s="25">
        <f>CALI!O125+HUNGRIA!O125+YUMBO!O125+'ADULTO MAYOR'!O125+'COMEDORES VALLE'!O125+BUGA!O125+'COMEDORES CALI'!O125+'CTAS EN PPACION'!O125+'COMEDORES PALMIRA'!O125+IMDERTY!O125</f>
        <v>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3"/>
        <v>967369760</v>
      </c>
      <c r="AN125" s="195"/>
      <c r="AO125" s="57"/>
    </row>
    <row r="126" spans="1:41" ht="15" customHeight="1" x14ac:dyDescent="0.2">
      <c r="A126" s="153" t="s">
        <v>414</v>
      </c>
      <c r="B126" s="28" t="s">
        <v>124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f>CALI!I126+HUNGRIA!I126+YUMBO!I126+'ADULTO MAYOR'!I126+'COMEDORES VALLE'!I126+BUGA!I126+'COMEDORES CALI'!I126+'CTAS EN PPACION'!I126+'COMEDORES PALMIRA'!I126+IMDERTY!I126</f>
        <v>725527320</v>
      </c>
      <c r="J126" s="45"/>
      <c r="K126" s="58"/>
      <c r="L126" s="28">
        <f>CALI!L126+HUNGRIA!L126+YUMBO!L126+'ADULTO MAYOR'!L126+'COMEDORES VALLE'!L126+BUGA!L126+'COMEDORES CALI'!L126+'CTAS EN PPACION'!L126+'COMEDORES PALMIRA'!L126+IMDERTY!L126</f>
        <v>241842440</v>
      </c>
      <c r="M126" s="45"/>
      <c r="N126" s="58"/>
      <c r="O126" s="28">
        <f>CALI!O126+HUNGRIA!O126+YUMBO!O126+'ADULTO MAYOR'!O126+'COMEDORES VALLE'!O126+BUGA!O126+'COMEDORES CALI'!O126+'CTAS EN PPACION'!O126+'COMEDORES PALMIRA'!O126+IMDERTY!O126</f>
        <v>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3"/>
        <v>967369760</v>
      </c>
      <c r="AN126" s="200"/>
      <c r="AO126" s="58"/>
    </row>
    <row r="127" spans="1:41" ht="15" customHeight="1" x14ac:dyDescent="0.2">
      <c r="B127" s="16" t="s">
        <v>125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>
        <f>SUM(I128:I142)</f>
        <v>10882909800</v>
      </c>
      <c r="J127" s="3"/>
      <c r="K127" s="61">
        <f>I127/I$13</f>
        <v>2.8125</v>
      </c>
      <c r="L127" s="49">
        <f>SUM(L128:L142)</f>
        <v>3627636600</v>
      </c>
      <c r="M127" s="3"/>
      <c r="N127" s="61">
        <f>L127/L$13</f>
        <v>1.875</v>
      </c>
      <c r="O127" s="49">
        <f>SUM(O128:O142)</f>
        <v>0</v>
      </c>
      <c r="P127" s="3"/>
      <c r="Q127" s="61" t="e">
        <f>O127/O$13</f>
        <v>#DIV/0!</v>
      </c>
      <c r="R127" s="90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3"/>
        <v>14647961295.219999</v>
      </c>
      <c r="AN127" s="197"/>
      <c r="AO127" s="451">
        <f>AM127/(AM$13)</f>
        <v>2.5236750035856677</v>
      </c>
    </row>
    <row r="128" spans="1:41" ht="15" customHeight="1" x14ac:dyDescent="0.2">
      <c r="A128" s="153" t="s">
        <v>415</v>
      </c>
      <c r="B128" s="39" t="s">
        <v>127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6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f>CALI!I128+HUNGRIA!I128+YUMBO!I128+'ADULTO MAYOR'!I128+'COMEDORES VALLE'!I128+BUGA!I128+'COMEDORES CALI'!I128+'CTAS EN PPACION'!I128+'COMEDORES PALMIRA'!I128+IMDERTY!I128</f>
        <v>725527320</v>
      </c>
      <c r="J128" s="69"/>
      <c r="K128" s="70"/>
      <c r="L128" s="39">
        <f>CALI!L128+HUNGRIA!L128+YUMBO!L128+'ADULTO MAYOR'!L128+'COMEDORES VALLE'!L128+BUGA!L128+'COMEDORES CALI'!L128+'CTAS EN PPACION'!L128+'COMEDORES PALMIRA'!L128+IMDERTY!L128</f>
        <v>241842440</v>
      </c>
      <c r="M128" s="69"/>
      <c r="N128" s="70"/>
      <c r="O128" s="39">
        <f>CALI!O128+HUNGRIA!O128+YUMBO!O128+'ADULTO MAYOR'!O128+'COMEDORES VALLE'!O128+BUGA!O128+'COMEDORES CALI'!O128+'CTAS EN PPACION'!O128+'COMEDORES PALMIRA'!O128+IMDERTY!O128</f>
        <v>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3"/>
        <v>1015231470</v>
      </c>
      <c r="AN128" s="201"/>
      <c r="AO128" s="70"/>
    </row>
    <row r="129" spans="1:41" ht="15" customHeight="1" x14ac:dyDescent="0.2">
      <c r="A129" s="153" t="s">
        <v>416</v>
      </c>
      <c r="B129" s="25" t="s">
        <v>129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f>CALI!I129+HUNGRIA!I129+YUMBO!I129+'ADULTO MAYOR'!I129+'COMEDORES VALLE'!I129+BUGA!I129+'COMEDORES CALI'!I129+'CTAS EN PPACION'!I129+'COMEDORES PALMIRA'!I129+IMDERTY!I129</f>
        <v>725527320</v>
      </c>
      <c r="J129" s="43"/>
      <c r="K129" s="57"/>
      <c r="L129" s="25">
        <f>CALI!L129+HUNGRIA!L129+YUMBO!L129+'ADULTO MAYOR'!L129+'COMEDORES VALLE'!L129+BUGA!L129+'COMEDORES CALI'!L129+'CTAS EN PPACION'!L129+'COMEDORES PALMIRA'!L129+IMDERTY!L129</f>
        <v>241842440</v>
      </c>
      <c r="M129" s="43"/>
      <c r="N129" s="57"/>
      <c r="O129" s="25">
        <f>CALI!O129+HUNGRIA!O129+YUMBO!O129+'ADULTO MAYOR'!O129+'COMEDORES VALLE'!O129+BUGA!O129+'COMEDORES CALI'!O129+'CTAS EN PPACION'!O129+'COMEDORES PALMIRA'!O129+IMDERTY!O129</f>
        <v>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3"/>
        <v>967789760</v>
      </c>
      <c r="AN129" s="195"/>
      <c r="AO129" s="57"/>
    </row>
    <row r="130" spans="1:41" ht="15" customHeight="1" x14ac:dyDescent="0.2">
      <c r="A130" s="153" t="s">
        <v>417</v>
      </c>
      <c r="B130" s="25" t="s">
        <v>131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f>CALI!I130+HUNGRIA!I130+YUMBO!I130+'ADULTO MAYOR'!I130+'COMEDORES VALLE'!I130+BUGA!I130+'COMEDORES CALI'!I130+'CTAS EN PPACION'!I130+'COMEDORES PALMIRA'!I130+IMDERTY!I130</f>
        <v>725527320</v>
      </c>
      <c r="J130" s="43"/>
      <c r="K130" s="118"/>
      <c r="L130" s="25">
        <f>CALI!L130+HUNGRIA!L130+YUMBO!L130+'ADULTO MAYOR'!L130+'COMEDORES VALLE'!L130+BUGA!L130+'COMEDORES CALI'!L130+'CTAS EN PPACION'!L130+'COMEDORES PALMIRA'!L130+IMDERTY!L130</f>
        <v>241842440</v>
      </c>
      <c r="M130" s="43"/>
      <c r="N130" s="118"/>
      <c r="O130" s="25">
        <f>CALI!O130+HUNGRIA!O130+YUMBO!O130+'ADULTO MAYOR'!O130+'COMEDORES VALLE'!O130+BUGA!O130+'COMEDORES CALI'!O130+'CTAS EN PPACION'!O130+'COMEDORES PALMIRA'!O130+IMDERTY!O130</f>
        <v>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3"/>
        <v>1025443548.95</v>
      </c>
      <c r="AN130" s="195"/>
      <c r="AO130" s="118"/>
    </row>
    <row r="131" spans="1:41" ht="15" customHeight="1" x14ac:dyDescent="0.2">
      <c r="A131" s="153" t="s">
        <v>132</v>
      </c>
      <c r="B131" s="25" t="s">
        <v>133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f>CALI!I131+HUNGRIA!I131+YUMBO!I131+'ADULTO MAYOR'!I131+'COMEDORES VALLE'!I131+BUGA!I131+'COMEDORES CALI'!I131+'CTAS EN PPACION'!I131+'COMEDORES PALMIRA'!I131+IMDERTY!I131</f>
        <v>725527320</v>
      </c>
      <c r="J131" s="43"/>
      <c r="K131" s="57"/>
      <c r="L131" s="25">
        <f>CALI!L131+HUNGRIA!L131+YUMBO!L131+'ADULTO MAYOR'!L131+'COMEDORES VALLE'!L131+BUGA!L131+'COMEDORES CALI'!L131+'CTAS EN PPACION'!L131+'COMEDORES PALMIRA'!L131+IMDERTY!L131</f>
        <v>241842440</v>
      </c>
      <c r="M131" s="43"/>
      <c r="N131" s="57"/>
      <c r="O131" s="25">
        <f>CALI!O131+HUNGRIA!O131+YUMBO!O131+'ADULTO MAYOR'!O131+'COMEDORES VALLE'!O131+BUGA!O131+'COMEDORES CALI'!O131+'CTAS EN PPACION'!O131+'COMEDORES PALMIRA'!O131+IMDERTY!O131</f>
        <v>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3"/>
        <v>972983289</v>
      </c>
      <c r="AN131" s="195"/>
      <c r="AO131" s="57"/>
    </row>
    <row r="132" spans="1:41" ht="15" customHeight="1" x14ac:dyDescent="0.2">
      <c r="A132" s="153" t="s">
        <v>418</v>
      </c>
      <c r="B132" s="25" t="s">
        <v>134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f>CALI!I132+HUNGRIA!I132+YUMBO!I132+'ADULTO MAYOR'!I132+'COMEDORES VALLE'!I132+BUGA!I132+'COMEDORES CALI'!I132+'CTAS EN PPACION'!I132+'COMEDORES PALMIRA'!I132+IMDERTY!I132</f>
        <v>725527320</v>
      </c>
      <c r="J132" s="43"/>
      <c r="K132" s="57"/>
      <c r="L132" s="25">
        <f>CALI!L132+HUNGRIA!L132+YUMBO!L132+'ADULTO MAYOR'!L132+'COMEDORES VALLE'!L132+BUGA!L132+'COMEDORES CALI'!L132+'CTAS EN PPACION'!L132+'COMEDORES PALMIRA'!L132+IMDERTY!L132</f>
        <v>241842440</v>
      </c>
      <c r="M132" s="43"/>
      <c r="N132" s="57"/>
      <c r="O132" s="25">
        <f>CALI!O132+HUNGRIA!O132+YUMBO!O132+'ADULTO MAYOR'!O132+'COMEDORES VALLE'!O132+BUGA!O132+'COMEDORES CALI'!O132+'CTAS EN PPACION'!O132+'COMEDORES PALMIRA'!O132+IMDERTY!O132</f>
        <v>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3"/>
        <v>967369760</v>
      </c>
      <c r="AN132" s="195"/>
      <c r="AO132" s="57"/>
    </row>
    <row r="133" spans="1:41" ht="15" customHeight="1" x14ac:dyDescent="0.2">
      <c r="A133" s="153" t="s">
        <v>135</v>
      </c>
      <c r="B133" s="25" t="s">
        <v>136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f>CALI!I133+HUNGRIA!I133+YUMBO!I133+'ADULTO MAYOR'!I133+'COMEDORES VALLE'!I133+BUGA!I133+'COMEDORES CALI'!I133+'CTAS EN PPACION'!I133+'COMEDORES PALMIRA'!I133+IMDERTY!I133</f>
        <v>725527320</v>
      </c>
      <c r="J133" s="43"/>
      <c r="K133" s="57"/>
      <c r="L133" s="25">
        <f>CALI!L133+HUNGRIA!L133+YUMBO!L133+'ADULTO MAYOR'!L133+'COMEDORES VALLE'!L133+BUGA!L133+'COMEDORES CALI'!L133+'CTAS EN PPACION'!L133+'COMEDORES PALMIRA'!L133+IMDERTY!L133</f>
        <v>241842440</v>
      </c>
      <c r="M133" s="43"/>
      <c r="N133" s="57"/>
      <c r="O133" s="25">
        <f>CALI!O133+HUNGRIA!O133+YUMBO!O133+'ADULTO MAYOR'!O133+'COMEDORES VALLE'!O133+BUGA!O133+'COMEDORES CALI'!O133+'CTAS EN PPACION'!O133+'COMEDORES PALMIRA'!O133+IMDERTY!O133</f>
        <v>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3"/>
        <v>968546560</v>
      </c>
      <c r="AN133" s="195"/>
      <c r="AO133" s="57"/>
    </row>
    <row r="134" spans="1:41" ht="15" customHeight="1" x14ac:dyDescent="0.2">
      <c r="A134" s="153" t="s">
        <v>137</v>
      </c>
      <c r="B134" s="25" t="s">
        <v>138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f>CALI!I134+HUNGRIA!I134+YUMBO!I134+'ADULTO MAYOR'!I134+'COMEDORES VALLE'!I134+BUGA!I134+'COMEDORES CALI'!I134+'CTAS EN PPACION'!I134+'COMEDORES PALMIRA'!I134+IMDERTY!I134</f>
        <v>725527320</v>
      </c>
      <c r="J134" s="43"/>
      <c r="K134" s="57"/>
      <c r="L134" s="25">
        <f>CALI!L134+HUNGRIA!L134+YUMBO!L134+'ADULTO MAYOR'!L134+'COMEDORES VALLE'!L134+BUGA!L134+'COMEDORES CALI'!L134+'CTAS EN PPACION'!L134+'COMEDORES PALMIRA'!L134+IMDERTY!L134</f>
        <v>241842440</v>
      </c>
      <c r="M134" s="43"/>
      <c r="N134" s="57"/>
      <c r="O134" s="25">
        <f>CALI!O134+HUNGRIA!O134+YUMBO!O134+'ADULTO MAYOR'!O134+'COMEDORES VALLE'!O134+BUGA!O134+'COMEDORES CALI'!O134+'CTAS EN PPACION'!O134+'COMEDORES PALMIRA'!O134+IMDERTY!O134</f>
        <v>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3"/>
        <v>970916761</v>
      </c>
      <c r="AN134" s="195"/>
      <c r="AO134" s="57"/>
    </row>
    <row r="135" spans="1:41" ht="15" customHeight="1" x14ac:dyDescent="0.2">
      <c r="A135" s="153" t="s">
        <v>419</v>
      </c>
      <c r="B135" s="25" t="s">
        <v>139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f>CALI!I135+HUNGRIA!I135+YUMBO!I135+'ADULTO MAYOR'!I135+'COMEDORES VALLE'!I135+BUGA!I135+'COMEDORES CALI'!I135+'CTAS EN PPACION'!I135+'COMEDORES PALMIRA'!I135+IMDERTY!I135</f>
        <v>725527320</v>
      </c>
      <c r="J135" s="43"/>
      <c r="K135" s="57"/>
      <c r="L135" s="25">
        <f>CALI!L135+HUNGRIA!L135+YUMBO!L135+'ADULTO MAYOR'!L135+'COMEDORES VALLE'!L135+BUGA!L135+'COMEDORES CALI'!L135+'CTAS EN PPACION'!L135+'COMEDORES PALMIRA'!L135+IMDERTY!L135</f>
        <v>241842440</v>
      </c>
      <c r="M135" s="43"/>
      <c r="N135" s="57"/>
      <c r="O135" s="25">
        <f>CALI!O135+HUNGRIA!O135+YUMBO!O135+'ADULTO MAYOR'!O135+'COMEDORES VALLE'!O135+BUGA!O135+'COMEDORES CALI'!O135+'CTAS EN PPACION'!O135+'COMEDORES PALMIRA'!O135+IMDERTY!O135</f>
        <v>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3"/>
        <v>967373760</v>
      </c>
      <c r="AN135" s="195"/>
      <c r="AO135" s="57"/>
    </row>
    <row r="136" spans="1:41" ht="15" customHeight="1" x14ac:dyDescent="0.2">
      <c r="A136" s="153" t="s">
        <v>420</v>
      </c>
      <c r="B136" s="25" t="s">
        <v>140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f>CALI!I136+HUNGRIA!I136+YUMBO!I136+'ADULTO MAYOR'!I136+'COMEDORES VALLE'!I136+BUGA!I136+'COMEDORES CALI'!I136+'CTAS EN PPACION'!I136+'COMEDORES PALMIRA'!I136+IMDERTY!I136</f>
        <v>725527320</v>
      </c>
      <c r="J136" s="43"/>
      <c r="K136" s="57"/>
      <c r="L136" s="25">
        <f>CALI!L136+HUNGRIA!L136+YUMBO!L136+'ADULTO MAYOR'!L136+'COMEDORES VALLE'!L136+BUGA!L136+'COMEDORES CALI'!L136+'CTAS EN PPACION'!L136+'COMEDORES PALMIRA'!L136+IMDERTY!L136</f>
        <v>241842440</v>
      </c>
      <c r="M136" s="43"/>
      <c r="N136" s="57"/>
      <c r="O136" s="25">
        <f>CALI!O136+HUNGRIA!O136+YUMBO!O136+'ADULTO MAYOR'!O136+'COMEDORES VALLE'!O136+BUGA!O136+'COMEDORES CALI'!O136+'CTAS EN PPACION'!O136+'COMEDORES PALMIRA'!O136+IMDERTY!O136</f>
        <v>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3"/>
        <v>967475560</v>
      </c>
      <c r="AN136" s="195"/>
      <c r="AO136" s="57"/>
    </row>
    <row r="137" spans="1:41" ht="15" customHeight="1" x14ac:dyDescent="0.2">
      <c r="A137" s="153" t="s">
        <v>326</v>
      </c>
      <c r="B137" s="25" t="s">
        <v>141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f>CALI!I137+HUNGRIA!I137+YUMBO!I137+'ADULTO MAYOR'!I137+'COMEDORES VALLE'!I137+BUGA!I137+'COMEDORES CALI'!I137+'CTAS EN PPACION'!I137+'COMEDORES PALMIRA'!I137+IMDERTY!I137</f>
        <v>725527320</v>
      </c>
      <c r="J137" s="43"/>
      <c r="K137" s="57"/>
      <c r="L137" s="25">
        <f>CALI!L137+HUNGRIA!L137+YUMBO!L137+'ADULTO MAYOR'!L137+'COMEDORES VALLE'!L137+BUGA!L137+'COMEDORES CALI'!L137+'CTAS EN PPACION'!L137+'COMEDORES PALMIRA'!L137+IMDERTY!L137</f>
        <v>241842440</v>
      </c>
      <c r="M137" s="43"/>
      <c r="N137" s="57"/>
      <c r="O137" s="25">
        <f>CALI!O137+HUNGRIA!O137+YUMBO!O137+'ADULTO MAYOR'!O137+'COMEDORES VALLE'!O137+BUGA!O137+'COMEDORES CALI'!O137+'CTAS EN PPACION'!O137+'COMEDORES PALMIRA'!O137+IMDERTY!O137</f>
        <v>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3"/>
        <v>969035173.26999998</v>
      </c>
      <c r="AN137" s="195"/>
      <c r="AO137" s="57"/>
    </row>
    <row r="138" spans="1:41" ht="15" customHeight="1" x14ac:dyDescent="0.2">
      <c r="B138" s="25" t="s">
        <v>142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f>CALI!I138+HUNGRIA!I138+YUMBO!I138+'ADULTO MAYOR'!I138+'COMEDORES VALLE'!I138+BUGA!I138+'COMEDORES CALI'!I138+'CTAS EN PPACION'!I138+'COMEDORES PALMIRA'!I138+IMDERTY!I138</f>
        <v>725527320</v>
      </c>
      <c r="J138" s="43"/>
      <c r="K138" s="57"/>
      <c r="L138" s="25">
        <f>CALI!L138+HUNGRIA!L138+YUMBO!L138+'ADULTO MAYOR'!L138+'COMEDORES VALLE'!L138+BUGA!L138+'COMEDORES CALI'!L138+'CTAS EN PPACION'!L138+'COMEDORES PALMIRA'!L138+IMDERTY!L138</f>
        <v>241842440</v>
      </c>
      <c r="M138" s="43"/>
      <c r="N138" s="57"/>
      <c r="O138" s="25">
        <f>CALI!O138+HUNGRIA!O138+YUMBO!O138+'ADULTO MAYOR'!O138+'COMEDORES VALLE'!O138+BUGA!O138+'COMEDORES CALI'!O138+'CTAS EN PPACION'!O138+'COMEDORES PALMIRA'!O138+IMDERTY!O138</f>
        <v>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3"/>
        <v>967627760</v>
      </c>
      <c r="AN138" s="195"/>
      <c r="AO138" s="57"/>
    </row>
    <row r="139" spans="1:41" ht="15" customHeight="1" x14ac:dyDescent="0.2">
      <c r="B139" s="25" t="s">
        <v>143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f>CALI!I139+HUNGRIA!I139+YUMBO!I139+'ADULTO MAYOR'!I139+'COMEDORES VALLE'!I139+BUGA!I139+'COMEDORES CALI'!I139+'CTAS EN PPACION'!I139+'COMEDORES PALMIRA'!I139+IMDERTY!I139</f>
        <v>725527320</v>
      </c>
      <c r="J139" s="43"/>
      <c r="K139" s="57"/>
      <c r="L139" s="25">
        <f>CALI!L139+HUNGRIA!L139+YUMBO!L139+'ADULTO MAYOR'!L139+'COMEDORES VALLE'!L139+BUGA!L139+'COMEDORES CALI'!L139+'CTAS EN PPACION'!L139+'COMEDORES PALMIRA'!L139+IMDERTY!L139</f>
        <v>241842440</v>
      </c>
      <c r="M139" s="43"/>
      <c r="N139" s="57"/>
      <c r="O139" s="25">
        <f>CALI!O139+HUNGRIA!O139+YUMBO!O139+'ADULTO MAYOR'!O139+'COMEDORES VALLE'!O139+BUGA!O139+'COMEDORES CALI'!O139+'CTAS EN PPACION'!O139+'COMEDORES PALMIRA'!O139+IMDERTY!O139</f>
        <v>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3"/>
        <v>967796660</v>
      </c>
      <c r="AN139" s="195"/>
      <c r="AO139" s="57"/>
    </row>
    <row r="140" spans="1:41" ht="15" customHeight="1" x14ac:dyDescent="0.2">
      <c r="B140" s="25" t="s">
        <v>145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f>CALI!I140+HUNGRIA!I140+YUMBO!I140+'ADULTO MAYOR'!I140+'COMEDORES VALLE'!I140+BUGA!I140+'COMEDORES CALI'!I140+'CTAS EN PPACION'!I140+'COMEDORES PALMIRA'!I140+IMDERTY!I140</f>
        <v>725527320</v>
      </c>
      <c r="J140" s="43"/>
      <c r="K140" s="57"/>
      <c r="L140" s="25">
        <f>CALI!L140+HUNGRIA!L140+YUMBO!L140+'ADULTO MAYOR'!L140+'COMEDORES VALLE'!L140+BUGA!L140+'COMEDORES CALI'!L140+'CTAS EN PPACION'!L140+'COMEDORES PALMIRA'!L140+IMDERTY!L140</f>
        <v>241842440</v>
      </c>
      <c r="M140" s="43"/>
      <c r="N140" s="57"/>
      <c r="O140" s="25">
        <f>CALI!O140+HUNGRIA!O140+YUMBO!O140+'ADULTO MAYOR'!O140+'COMEDORES VALLE'!O140+BUGA!O140+'COMEDORES CALI'!O140+'CTAS EN PPACION'!O140+'COMEDORES PALMIRA'!O140+IMDERTY!O140</f>
        <v>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3"/>
        <v>985533013</v>
      </c>
      <c r="AN140" s="195"/>
      <c r="AO140" s="57"/>
    </row>
    <row r="141" spans="1:41" ht="15" customHeight="1" x14ac:dyDescent="0.2">
      <c r="B141" s="25" t="s">
        <v>146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f>CALI!I141+HUNGRIA!I141+YUMBO!I141+'ADULTO MAYOR'!I141+'COMEDORES VALLE'!I141+BUGA!I141+'COMEDORES CALI'!I141+'CTAS EN PPACION'!I141+'COMEDORES PALMIRA'!I141+IMDERTY!I141</f>
        <v>725527320</v>
      </c>
      <c r="J141" s="43"/>
      <c r="K141" s="57"/>
      <c r="L141" s="25">
        <f>CALI!L141+HUNGRIA!L141+YUMBO!L141+'ADULTO MAYOR'!L141+'COMEDORES VALLE'!L141+BUGA!L141+'COMEDORES CALI'!L141+'CTAS EN PPACION'!L141+'COMEDORES PALMIRA'!L141+IMDERTY!L141</f>
        <v>241842440</v>
      </c>
      <c r="M141" s="43"/>
      <c r="N141" s="57"/>
      <c r="O141" s="25">
        <f>CALI!O141+HUNGRIA!O141+YUMBO!O141+'ADULTO MAYOR'!O141+'COMEDORES VALLE'!O141+BUGA!O141+'COMEDORES CALI'!O141+'CTAS EN PPACION'!O141+'COMEDORES PALMIRA'!O141+IMDERTY!O141</f>
        <v>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3"/>
        <v>967468460</v>
      </c>
      <c r="AN141" s="195"/>
      <c r="AO141" s="57"/>
    </row>
    <row r="142" spans="1:41" ht="15" customHeight="1" thickBot="1" x14ac:dyDescent="0.25">
      <c r="A142" s="153" t="s">
        <v>421</v>
      </c>
      <c r="B142" s="269" t="s">
        <v>148</v>
      </c>
      <c r="C142" s="269">
        <f>CALI!C142+HUNGRIA!C142+YUMBO!C142+'ADULTO MAYOR'!C142+'COMEDORES VALLE'!C142+BUGA!C142+'COMEDORES CALI'!C142+'CTAS EN PPACION'!C142+'COMEDORES PALMIRA'!C142+IMDERTY!C142</f>
        <v>0</v>
      </c>
      <c r="D142" s="214"/>
      <c r="E142" s="307"/>
      <c r="F142" s="269">
        <f>CALI!F142+HUNGRIA!F142+YUMBO!F142+'ADULTO MAYOR'!F142+'COMEDORES VALLE'!F142+BUGA!F142+'COMEDORES CALI'!F142+'CTAS EN PPACION'!F142+'COMEDORES PALMIRA'!F142+IMDERTY!F142</f>
        <v>0</v>
      </c>
      <c r="G142" s="214"/>
      <c r="H142" s="271"/>
      <c r="I142" s="269">
        <f>CALI!I142+HUNGRIA!I142+YUMBO!I142+'ADULTO MAYOR'!I142+'COMEDORES VALLE'!I142+BUGA!I142+'COMEDORES CALI'!I142+'CTAS EN PPACION'!I142+'COMEDORES PALMIRA'!I142+IMDERTY!I142</f>
        <v>725527320</v>
      </c>
      <c r="J142" s="214"/>
      <c r="K142" s="271"/>
      <c r="L142" s="269">
        <f>CALI!L142+HUNGRIA!L142+YUMBO!L142+'ADULTO MAYOR'!L142+'COMEDORES VALLE'!L142+BUGA!L142+'COMEDORES CALI'!L142+'CTAS EN PPACION'!L142+'COMEDORES PALMIRA'!L142+IMDERTY!L142</f>
        <v>241842440</v>
      </c>
      <c r="M142" s="214"/>
      <c r="N142" s="271"/>
      <c r="O142" s="269">
        <f>CALI!O142+HUNGRIA!O142+YUMBO!O142+'ADULTO MAYOR'!O142+'COMEDORES VALLE'!O142+BUGA!O142+'COMEDORES CALI'!O142+'CTAS EN PPACION'!O142+'COMEDORES PALMIRA'!O142+IMDERTY!O142</f>
        <v>0</v>
      </c>
      <c r="P142" s="214"/>
      <c r="Q142" s="271"/>
      <c r="R142" s="269">
        <f>CALI!R142+HUNGRIA!R142+YUMBO!R142+'ADULTO MAYOR'!R142+'COMEDORES VALLE'!R142+BUGA!R142+'COMEDORES CALI'!R142+'CTAS EN PPACION'!R142+'COMEDORES PALMIRA'!R142+IMDERTY!R142</f>
        <v>0</v>
      </c>
      <c r="S142" s="214"/>
      <c r="T142" s="271"/>
      <c r="U142" s="269">
        <f>CALI!U142+HUNGRIA!U142+YUMBO!U142+'ADULTO MAYOR'!U142+'COMEDORES VALLE'!U142+BUGA!U142+'COMEDORES CALI'!U142+'CTAS EN PPACION'!U142+'COMEDORES PALMIRA'!U142+IMDERTY!U142</f>
        <v>0</v>
      </c>
      <c r="V142" s="214"/>
      <c r="W142" s="271"/>
      <c r="X142" s="269">
        <f>CALI!X142+HUNGRIA!X142+YUMBO!X142+'ADULTO MAYOR'!X142+'COMEDORES VALLE'!X142+BUGA!X142+'COMEDORES CALI'!X142+'CTAS EN PPACION'!X142+'COMEDORES PALMIRA'!X142+IMDERTY!X142</f>
        <v>0</v>
      </c>
      <c r="Y142" s="214"/>
      <c r="Z142" s="271"/>
      <c r="AA142" s="269">
        <f>CALI!AA142+HUNGRIA!AA142+YUMBO!AA142+'ADULTO MAYOR'!AA142+'COMEDORES VALLE'!AA142+BUGA!AA142+'COMEDORES CALI'!AA142+'CTAS EN PPACION'!AA142+'COMEDORES PALMIRA'!AA142+IMDERTY!AA142</f>
        <v>0</v>
      </c>
      <c r="AB142" s="214"/>
      <c r="AC142" s="271"/>
      <c r="AD142" s="269">
        <f>CALI!AD142+HUNGRIA!AD142+YUMBO!AD142+'ADULTO MAYOR'!AD142+'COMEDORES VALLE'!AD142+BUGA!AD142+'COMEDORES CALI'!AD142+'CTAS EN PPACION'!AD142+'COMEDORES PALMIRA'!AD142+IMDERTY!AD142</f>
        <v>0</v>
      </c>
      <c r="AE142" s="214"/>
      <c r="AF142" s="271"/>
      <c r="AG142" s="269">
        <f>CALI!AG142+HUNGRIA!AG142+YUMBO!AG142+'ADULTO MAYOR'!AG142+'COMEDORES VALLE'!AG142+BUGA!AG142+'COMEDORES CALI'!AG142+'CTAS EN PPACION'!AG142+'COMEDORES PALMIRA'!AG142+IMDERTY!AG142</f>
        <v>0</v>
      </c>
      <c r="AH142" s="214"/>
      <c r="AI142" s="271"/>
      <c r="AJ142" s="269">
        <f>CALI!AJ142+HUNGRIA!AJ142+YUMBO!AJ142+'ADULTO MAYOR'!AJ142+'COMEDORES VALLE'!AJ142+BUGA!AJ142+'COMEDORES CALI'!AJ142+'CTAS EN PPACION'!AJ142+'COMEDORES PALMIRA'!AJ142+IMDERTY!AJ142</f>
        <v>0</v>
      </c>
      <c r="AK142" s="214"/>
      <c r="AL142" s="271"/>
      <c r="AM142" s="98">
        <f t="shared" si="3"/>
        <v>967369760</v>
      </c>
      <c r="AN142" s="202"/>
      <c r="AO142" s="271"/>
    </row>
    <row r="143" spans="1:41" ht="15" customHeight="1" thickTop="1" thickBot="1" x14ac:dyDescent="0.25">
      <c r="C143" s="2"/>
      <c r="D143" s="2"/>
      <c r="E143" s="244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25" t="s">
        <v>149</v>
      </c>
      <c r="C144" s="493">
        <f>+C42-C44-C83</f>
        <v>-5025462558.6399984</v>
      </c>
      <c r="D144" s="494"/>
      <c r="E144" s="495"/>
      <c r="F144" s="493">
        <f>+F42-F44-F83</f>
        <v>-8840396349.449995</v>
      </c>
      <c r="G144" s="494"/>
      <c r="H144" s="508"/>
      <c r="I144" s="493">
        <f>+I42-I44-I83</f>
        <v>-47235994515.768799</v>
      </c>
      <c r="J144" s="494"/>
      <c r="K144" s="508"/>
      <c r="L144" s="493">
        <f>+L42-L44-L83</f>
        <v>-18504138980.208</v>
      </c>
      <c r="M144" s="494"/>
      <c r="N144" s="508"/>
      <c r="O144" s="493" t="e">
        <f>+O42-O44-O83</f>
        <v>#DIV/0!</v>
      </c>
      <c r="P144" s="494"/>
      <c r="Q144" s="508"/>
      <c r="R144" s="493" t="e">
        <f>+R42-R44-R83</f>
        <v>#DIV/0!</v>
      </c>
      <c r="S144" s="494"/>
      <c r="T144" s="508"/>
      <c r="U144" s="493" t="e">
        <f>+U42-U44-U83</f>
        <v>#DIV/0!</v>
      </c>
      <c r="V144" s="494"/>
      <c r="W144" s="508"/>
      <c r="X144" s="493" t="e">
        <f>+X42-X44-X83</f>
        <v>#DIV/0!</v>
      </c>
      <c r="Y144" s="494"/>
      <c r="Z144" s="508"/>
      <c r="AA144" s="493" t="e">
        <f>+AA42-AA44-AA83</f>
        <v>#DIV/0!</v>
      </c>
      <c r="AB144" s="494"/>
      <c r="AC144" s="508"/>
      <c r="AD144" s="493" t="e">
        <f>+AD42-AD44-AD83</f>
        <v>#DIV/0!</v>
      </c>
      <c r="AE144" s="494"/>
      <c r="AF144" s="508"/>
      <c r="AG144" s="493" t="e">
        <f>+AG42-AG44-AG83</f>
        <v>#DIV/0!</v>
      </c>
      <c r="AH144" s="494"/>
      <c r="AI144" s="508"/>
      <c r="AJ144" s="493" t="e">
        <f>+AJ42-AJ44-AJ83</f>
        <v>#DIV/0!</v>
      </c>
      <c r="AK144" s="494"/>
      <c r="AL144" s="508"/>
      <c r="AM144" s="602" t="e">
        <f>+AM42-AM44-AM83</f>
        <v>#DIV/0!</v>
      </c>
      <c r="AN144" s="603"/>
      <c r="AO144" s="508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509"/>
      <c r="I145" s="496">
        <f>IFERROR(I144/I13," ")</f>
        <v>-12.20732662652407</v>
      </c>
      <c r="J145" s="488"/>
      <c r="K145" s="509"/>
      <c r="L145" s="496">
        <f>IFERROR(L144/L13," ")</f>
        <v>-9.5641499999999997</v>
      </c>
      <c r="M145" s="488"/>
      <c r="N145" s="509"/>
      <c r="O145" s="496" t="str">
        <f>IFERROR(O144/O13," ")</f>
        <v xml:space="preserve"> </v>
      </c>
      <c r="P145" s="488"/>
      <c r="Q145" s="509"/>
      <c r="R145" s="496" t="str">
        <f>IFERROR(R144/R13," ")</f>
        <v xml:space="preserve"> </v>
      </c>
      <c r="S145" s="488"/>
      <c r="T145" s="509"/>
      <c r="U145" s="496" t="str">
        <f>IFERROR(U144/U13," ")</f>
        <v xml:space="preserve"> </v>
      </c>
      <c r="V145" s="488"/>
      <c r="W145" s="509"/>
      <c r="X145" s="496" t="str">
        <f>IFERROR(X144/X13," ")</f>
        <v xml:space="preserve"> </v>
      </c>
      <c r="Y145" s="488"/>
      <c r="Z145" s="509"/>
      <c r="AA145" s="496" t="str">
        <f>IFERROR(AA144/AA13," ")</f>
        <v xml:space="preserve"> </v>
      </c>
      <c r="AB145" s="488"/>
      <c r="AC145" s="509"/>
      <c r="AD145" s="496" t="str">
        <f>IFERROR(AD144/AD13," ")</f>
        <v xml:space="preserve"> </v>
      </c>
      <c r="AE145" s="488"/>
      <c r="AF145" s="509"/>
      <c r="AG145" s="496" t="str">
        <f>IFERROR(AG144/AG13," ")</f>
        <v xml:space="preserve"> </v>
      </c>
      <c r="AH145" s="488"/>
      <c r="AI145" s="50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604"/>
      <c r="AO145" s="605"/>
    </row>
    <row r="146" spans="2:41" ht="15" customHeight="1" thickTop="1" thickBot="1" x14ac:dyDescent="0.25">
      <c r="C146" s="141"/>
      <c r="D146" s="141"/>
      <c r="E146" s="615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394"/>
      <c r="AN146" s="141"/>
      <c r="AO146" s="64"/>
    </row>
    <row r="147" spans="2:41" ht="15" customHeight="1" thickTop="1" x14ac:dyDescent="0.2">
      <c r="B147" s="526" t="s">
        <v>150</v>
      </c>
      <c r="C147" s="490">
        <f>SUM(C148:C151)</f>
        <v>621271659.60000014</v>
      </c>
      <c r="D147" s="491"/>
      <c r="E147" s="492" t="e">
        <f>C147/(C$13)</f>
        <v>#DIV/0!</v>
      </c>
      <c r="F147" s="490">
        <f>SUM(F148:F151)</f>
        <v>715853313.59000027</v>
      </c>
      <c r="G147" s="491"/>
      <c r="H147" s="492" t="e">
        <f>F147/F$13</f>
        <v>#DIV/0!</v>
      </c>
      <c r="I147" s="490">
        <f>SUM(I148:I151)</f>
        <v>19589237640</v>
      </c>
      <c r="J147" s="491"/>
      <c r="K147" s="492">
        <f>I147/I$13</f>
        <v>5.0625</v>
      </c>
      <c r="L147" s="490">
        <f>SUM(L148:L151)</f>
        <v>483684880</v>
      </c>
      <c r="M147" s="491"/>
      <c r="N147" s="492">
        <f>L147/L$13</f>
        <v>0.25</v>
      </c>
      <c r="O147" s="490" t="e">
        <f>SUM(O148:O151)</f>
        <v>#DIV/0!</v>
      </c>
      <c r="P147" s="491"/>
      <c r="Q147" s="492" t="e">
        <f>O147/O$13</f>
        <v>#DIV/0!</v>
      </c>
      <c r="R147" s="490" t="e">
        <f>SUM(R148:R151)</f>
        <v>#DIV/0!</v>
      </c>
      <c r="S147" s="491"/>
      <c r="T147" s="492" t="e">
        <f>R147/R$13</f>
        <v>#DIV/0!</v>
      </c>
      <c r="U147" s="490" t="e">
        <f>SUM(U148:U151)</f>
        <v>#DIV/0!</v>
      </c>
      <c r="V147" s="491"/>
      <c r="W147" s="510" t="e">
        <f>U147/U$13</f>
        <v>#DIV/0!</v>
      </c>
      <c r="X147" s="490" t="e">
        <f>SUM(X148:X151)</f>
        <v>#DIV/0!</v>
      </c>
      <c r="Y147" s="491"/>
      <c r="Z147" s="510" t="e">
        <f>X147/X$13</f>
        <v>#DIV/0!</v>
      </c>
      <c r="AA147" s="490" t="e">
        <f>SUM(AA148:AA151)</f>
        <v>#DIV/0!</v>
      </c>
      <c r="AB147" s="491"/>
      <c r="AC147" s="492" t="e">
        <f>AA147/AA$13</f>
        <v>#DIV/0!</v>
      </c>
      <c r="AD147" s="490" t="e">
        <f>SUM(AD148:AD151)</f>
        <v>#DIV/0!</v>
      </c>
      <c r="AE147" s="491"/>
      <c r="AF147" s="492" t="e">
        <f>AD147/AD$13</f>
        <v>#DIV/0!</v>
      </c>
      <c r="AG147" s="490" t="e">
        <f>SUM(AG148:AG151)</f>
        <v>#DIV/0!</v>
      </c>
      <c r="AH147" s="491"/>
      <c r="AI147" s="510" t="e">
        <f>AG147/AG$13</f>
        <v>#DIV/0!</v>
      </c>
      <c r="AJ147" s="490" t="e">
        <f>SUM(AJ148:AJ151)</f>
        <v>#DIV/0!</v>
      </c>
      <c r="AK147" s="491"/>
      <c r="AL147" s="510" t="e">
        <f>AJ147/AJ$13</f>
        <v>#DIV/0!</v>
      </c>
      <c r="AM147" s="593" t="e">
        <f>C147+F147+I147+L147+O147+R147+U147+X147+AA147+AD147+AG147+AJ147</f>
        <v>#DIV/0!</v>
      </c>
      <c r="AN147" s="594"/>
      <c r="AO147" s="492" t="e">
        <f>AM147/(AM$13)</f>
        <v>#DIV/0!</v>
      </c>
    </row>
    <row r="148" spans="2:41" ht="15" customHeight="1" x14ac:dyDescent="0.2">
      <c r="B148" s="18" t="s">
        <v>151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6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575213723.70000017</v>
      </c>
      <c r="G148" s="69"/>
      <c r="H148" s="306" t="e">
        <f>F148/(F$13)</f>
        <v>#DIV/0!</v>
      </c>
      <c r="I148" s="39">
        <f>CALI!I148+HUNGRIA!I148+YUMBO!I148+'ADULTO MAYOR'!I148+'COMEDORES VALLE'!I148+BUGA!I148+'COMEDORES CALI'!I148+'CTAS EN PPACION'!I148+'COMEDORES PALMIRA'!I148+IMDERTY!I148</f>
        <v>18863710320</v>
      </c>
      <c r="J148" s="69"/>
      <c r="K148" s="70"/>
      <c r="L148" s="39">
        <f>CALI!L148+HUNGRIA!L148+YUMBO!L148+'ADULTO MAYOR'!L148+'COMEDORES VALLE'!L148+BUGA!L148+'COMEDORES CALI'!L148+'CTAS EN PPACION'!L148+'COMEDORES PALMIRA'!L148+IMDERTY!L148</f>
        <v>0</v>
      </c>
      <c r="M148" s="69"/>
      <c r="N148" s="70"/>
      <c r="O148" s="39" t="e">
        <f>CALI!O148+HUNGRIA!O148+YUMBO!O148+'ADULTO MAYOR'!O148+'COMEDORES VALLE'!O148+BUGA!O148+'COMEDORES CALI'!O148+'CTAS EN PPACION'!O148+'COMEDORES PALMIRA'!O148+IMDERTY!O148</f>
        <v>#DIV/0!</v>
      </c>
      <c r="P148" s="69"/>
      <c r="Q148" s="70"/>
      <c r="R148" s="39" t="e">
        <f>CALI!R148+HUNGRIA!R148+YUMBO!R148+'ADULTO MAYOR'!R148+'COMEDORES VALLE'!R148+BUGA!R148+'COMEDORES CALI'!R148+'CTAS EN PPACION'!R148+'COMEDORES PALMIRA'!R148+IMDERTY!R148</f>
        <v>#DIV/0!</v>
      </c>
      <c r="S148" s="69"/>
      <c r="T148" s="70"/>
      <c r="U148" s="39" t="e">
        <f>CALI!U148+HUNGRIA!U148+YUMBO!U148+'ADULTO MAYOR'!U148+'COMEDORES VALLE'!U148+BUGA!U148+'COMEDORES CALI'!U148+'CTAS EN PPACION'!U148+'COMEDORES PALMIRA'!U148+IMDERTY!U148</f>
        <v>#DIV/0!</v>
      </c>
      <c r="V148" s="69"/>
      <c r="W148" s="70"/>
      <c r="X148" s="39" t="e">
        <f>CALI!X148+HUNGRIA!X148+YUMBO!X148+'ADULTO MAYOR'!X148+'COMEDORES VALLE'!X148+BUGA!X148+'COMEDORES CALI'!X148+'CTAS EN PPACION'!X148+'COMEDORES PALMIRA'!X148+IMDERTY!X148</f>
        <v>#DIV/0!</v>
      </c>
      <c r="Y148" s="69"/>
      <c r="Z148" s="70"/>
      <c r="AA148" s="39" t="e">
        <f>CALI!AA148+HUNGRIA!AA148+YUMBO!AA148+'ADULTO MAYOR'!AA148+'COMEDORES VALLE'!AA148+BUGA!AA148+'COMEDORES CALI'!AA148+'CTAS EN PPACION'!AA148+'COMEDORES PALMIRA'!AA148+IMDERTY!AA148</f>
        <v>#DIV/0!</v>
      </c>
      <c r="AB148" s="69"/>
      <c r="AC148" s="70"/>
      <c r="AD148" s="39" t="e">
        <f>CALI!AD148+HUNGRIA!AD148+YUMBO!AD148+'ADULTO MAYOR'!AD148+'COMEDORES VALLE'!AD148+BUGA!AD148+'COMEDORES CALI'!AD148+'CTAS EN PPACION'!AD148+'COMEDORES PALMIRA'!AD148+IMDERTY!AD148</f>
        <v>#DIV/0!</v>
      </c>
      <c r="AE148" s="69"/>
      <c r="AF148" s="70"/>
      <c r="AG148" s="39" t="e">
        <f>CALI!AG148+HUNGRIA!AG148+YUMBO!AG148+'ADULTO MAYOR'!AG148+'COMEDORES VALLE'!AG148+BUGA!AG148+'COMEDORES CALI'!AG148+'CTAS EN PPACION'!AG148+'COMEDORES PALMIRA'!AG148+IMDERTY!AG148</f>
        <v>#DIV/0!</v>
      </c>
      <c r="AH148" s="69"/>
      <c r="AI148" s="70"/>
      <c r="AJ148" s="39" t="e">
        <f>CALI!AJ148+HUNGRIA!AJ148+YUMBO!AJ148+'ADULTO MAYOR'!AJ148+'COMEDORES VALLE'!AJ148+BUGA!AJ148+'COMEDORES CALI'!AJ148+'CTAS EN PPACION'!AJ148+'COMEDORES PALMIRA'!AJ148+IMDERTY!AJ148</f>
        <v>#DIV/0!</v>
      </c>
      <c r="AK148" s="69"/>
      <c r="AL148" s="70"/>
      <c r="AM148" s="31" t="e">
        <f>C148+F148+I148+L148+O148+R148+U148+X148+AA148+AD148+AG148+AJ148</f>
        <v>#DIV/0!</v>
      </c>
      <c r="AN148" s="201"/>
      <c r="AO148" s="306" t="e">
        <f>AM148/(AM$13)</f>
        <v>#DIV/0!</v>
      </c>
    </row>
    <row r="149" spans="2:41" ht="15" customHeight="1" x14ac:dyDescent="0.2">
      <c r="B149" s="285" t="s">
        <v>152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142466425.67000005</v>
      </c>
      <c r="G149" s="43"/>
      <c r="H149" s="118"/>
      <c r="I149" s="25">
        <f>CALI!I149+HUNGRIA!I149+YUMBO!I149+'ADULTO MAYOR'!I149+'COMEDORES VALLE'!I149+BUGA!I149+'COMEDORES CALI'!I149+'CTAS EN PPACION'!I149+'COMEDORES PALMIRA'!I149+IMDERTY!I149</f>
        <v>241842440</v>
      </c>
      <c r="J149" s="43"/>
      <c r="K149" s="57"/>
      <c r="L149" s="25">
        <f>CALI!L149+HUNGRIA!L149+YUMBO!L149+'ADULTO MAYOR'!L149+'COMEDORES VALLE'!L149+BUGA!L149+'COMEDORES CALI'!L149+'CTAS EN PPACION'!L149+'COMEDORES PALMIRA'!L149+IMDERTY!L149</f>
        <v>241842440</v>
      </c>
      <c r="M149" s="43"/>
      <c r="N149" s="57"/>
      <c r="O149" s="25">
        <f>CALI!O149+HUNGRIA!O149+YUMBO!O149+'ADULTO MAYOR'!O149+'COMEDORES VALLE'!O149+BUGA!O149+'COMEDORES CALI'!O149+'CTAS EN PPACION'!O149+'COMEDORES PALMIRA'!O149+IMDERTY!O149</f>
        <v>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752341148.22000003</v>
      </c>
      <c r="AN149" s="195"/>
      <c r="AO149" s="118"/>
    </row>
    <row r="150" spans="2:41" ht="15" customHeight="1" x14ac:dyDescent="0.2">
      <c r="B150" s="107" t="s">
        <v>153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f>CALI!I150+HUNGRIA!I150+YUMBO!I150+'ADULTO MAYOR'!I150+'COMEDORES VALLE'!I150+BUGA!I150+'COMEDORES CALI'!I150+'CTAS EN PPACION'!I150+'COMEDORES PALMIRA'!I150+IMDERTY!I150</f>
        <v>725527320</v>
      </c>
      <c r="J150" s="43"/>
      <c r="K150" s="57"/>
      <c r="L150" s="25">
        <f>CALI!L150+HUNGRIA!L150+YUMBO!L150+'ADULTO MAYOR'!L150+'COMEDORES VALLE'!L150+BUGA!L150+'COMEDORES CALI'!L150+'CTAS EN PPACION'!L150+'COMEDORES PALMIRA'!L150+IMDERTY!L150</f>
        <v>241842440</v>
      </c>
      <c r="M150" s="43"/>
      <c r="N150" s="57"/>
      <c r="O150" s="25">
        <f>CALI!O150+HUNGRIA!O150+YUMBO!O150+'ADULTO MAYOR'!O150+'COMEDORES VALLE'!O150+BUGA!O150+'COMEDORES CALI'!O150+'CTAS EN PPACION'!O150+'COMEDORES PALMIRA'!O150+IMDERTY!O150</f>
        <v>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967369760</v>
      </c>
      <c r="AN150" s="194"/>
      <c r="AO150" s="140">
        <f>AM150/(AM$13)</f>
        <v>0.16666666666666666</v>
      </c>
    </row>
    <row r="151" spans="2:41" ht="15" customHeight="1" thickBot="1" x14ac:dyDescent="0.25">
      <c r="B151" s="300" t="s">
        <v>154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2"/>
      <c r="F151" s="71">
        <f>CALI!F151+HUNGRIA!F151+YUMBO!F151+'ADULTO MAYOR'!F151+'COMEDORES VALLE'!F151+BUGA!F151+'COMEDORES CALI'!F151+'CTAS EN PPACION'!F151+'COMEDORES PALMIRA'!F151+IMDERTY!F151</f>
        <v>-1826835.7800000005</v>
      </c>
      <c r="G151" s="72"/>
      <c r="H151" s="73"/>
      <c r="I151" s="71">
        <f>CALI!I151+HUNGRIA!I151+YUMBO!I151+'ADULTO MAYOR'!I151+'COMEDORES VALLE'!I151+BUGA!I151+'COMEDORES CALI'!I151+'CTAS EN PPACION'!I151+'COMEDORES PALMIRA'!I151+IMDERTY!I151</f>
        <v>-241842440</v>
      </c>
      <c r="J151" s="72"/>
      <c r="K151" s="73"/>
      <c r="L151" s="71">
        <f>CALI!L151+HUNGRIA!L151+YUMBO!L151+'ADULTO MAYOR'!L151+'COMEDORES VALLE'!L151+BUGA!L151+'COMEDORES CALI'!L151+'CTAS EN PPACION'!L151+'COMEDORES PALMIRA'!L151+IMDERTY!L151</f>
        <v>0</v>
      </c>
      <c r="M151" s="72"/>
      <c r="N151" s="73"/>
      <c r="O151" s="71" t="e">
        <f>CALI!O151+HUNGRIA!O151+YUMBO!O151+'ADULTO MAYOR'!O151+'COMEDORES VALLE'!O151+BUGA!O151+'COMEDORES CALI'!O151+'CTAS EN PPACION'!O151+'COMEDORES PALMIRA'!O151+IMDERTY!O151</f>
        <v>#DIV/0!</v>
      </c>
      <c r="P151" s="72"/>
      <c r="Q151" s="73"/>
      <c r="R151" s="71" t="e">
        <f>CALI!R151+HUNGRIA!R151+YUMBO!R151+'ADULTO MAYOR'!R151+'COMEDORES VALLE'!R151+BUGA!R151+'COMEDORES CALI'!R151+'CTAS EN PPACION'!R151+'COMEDORES PALMIRA'!R151+IMDERTY!R151</f>
        <v>#DIV/0!</v>
      </c>
      <c r="S151" s="72"/>
      <c r="T151" s="73"/>
      <c r="U151" s="71" t="e">
        <f>CALI!U151+HUNGRIA!U151+YUMBO!U151+'ADULTO MAYOR'!U151+'COMEDORES VALLE'!U151+BUGA!U151+'COMEDORES CALI'!U151+'CTAS EN PPACION'!U151+'COMEDORES PALMIRA'!U151+IMDERTY!U151</f>
        <v>#DIV/0!</v>
      </c>
      <c r="V151" s="72"/>
      <c r="W151" s="73"/>
      <c r="X151" s="71" t="e">
        <f>CALI!X151+HUNGRIA!X151+YUMBO!X151+'ADULTO MAYOR'!X151+'COMEDORES VALLE'!X151+BUGA!X151+'COMEDORES CALI'!X151+'CTAS EN PPACION'!X151+'COMEDORES PALMIRA'!X151+IMDERTY!X151</f>
        <v>#DIV/0!</v>
      </c>
      <c r="Y151" s="72"/>
      <c r="Z151" s="73"/>
      <c r="AA151" s="71" t="e">
        <f>CALI!AA151+HUNGRIA!AA151+YUMBO!AA151+'ADULTO MAYOR'!AA151+'COMEDORES VALLE'!AA151+BUGA!AA151+'COMEDORES CALI'!AA151+'CTAS EN PPACION'!AA151+'COMEDORES PALMIRA'!AA151+IMDERTY!AA151</f>
        <v>#DIV/0!</v>
      </c>
      <c r="AB151" s="72"/>
      <c r="AC151" s="73"/>
      <c r="AD151" s="71" t="e">
        <f>CALI!AD151+HUNGRIA!AD151+YUMBO!AD151+'ADULTO MAYOR'!AD151+'COMEDORES VALLE'!AD151+BUGA!AD151+'COMEDORES CALI'!AD151+'CTAS EN PPACION'!AD151+'COMEDORES PALMIRA'!AD151+IMDERTY!AD151</f>
        <v>#DIV/0!</v>
      </c>
      <c r="AE151" s="72"/>
      <c r="AF151" s="73"/>
      <c r="AG151" s="71" t="e">
        <f>CALI!AG151+HUNGRIA!AG151+YUMBO!AG151+'ADULTO MAYOR'!AG151+'COMEDORES VALLE'!AG151+BUGA!AG151+'COMEDORES CALI'!AG151+'CTAS EN PPACION'!AG151+'COMEDORES PALMIRA'!AG151+IMDERTY!AG151</f>
        <v>#DIV/0!</v>
      </c>
      <c r="AH151" s="72"/>
      <c r="AI151" s="73"/>
      <c r="AJ151" s="71" t="e">
        <f>CALI!AJ151+HUNGRIA!AJ151+YUMBO!AJ151+'ADULTO MAYOR'!AJ151+'COMEDORES VALLE'!AJ151+BUGA!AJ151+'COMEDORES CALI'!AJ151+'CTAS EN PPACION'!AJ151+'COMEDORES PALMIRA'!AJ151+IMDERTY!AJ151</f>
        <v>#DIV/0!</v>
      </c>
      <c r="AK151" s="72"/>
      <c r="AL151" s="73"/>
      <c r="AM151" s="300" t="e">
        <f>C151+F151+I151+L151+O151+R151+U151+X151+AA151+AD151+AG151+AJ151</f>
        <v>#DIV/0!</v>
      </c>
      <c r="AN151" s="302"/>
      <c r="AO151" s="73"/>
    </row>
    <row r="152" spans="2:41" ht="15" customHeight="1" thickTop="1" thickBot="1" x14ac:dyDescent="0.25">
      <c r="C152" s="2"/>
      <c r="D152" s="2"/>
      <c r="E152" s="244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24" t="s">
        <v>155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5078691240</v>
      </c>
      <c r="J153" s="498"/>
      <c r="K153" s="499">
        <f>I153/I13</f>
        <v>1.3125</v>
      </c>
      <c r="L153" s="497">
        <f>SUM(L154:L160)</f>
        <v>1692897080</v>
      </c>
      <c r="M153" s="498"/>
      <c r="N153" s="499">
        <f>L153/L13</f>
        <v>0.875</v>
      </c>
      <c r="O153" s="497">
        <f>SUM(O154:O160)</f>
        <v>0</v>
      </c>
      <c r="P153" s="498"/>
      <c r="Q153" s="499" t="e">
        <f>O153/O13</f>
        <v>#DIV/0!</v>
      </c>
      <c r="R153" s="497">
        <f>SUM(R154:R160)</f>
        <v>0</v>
      </c>
      <c r="S153" s="498"/>
      <c r="T153" s="499" t="e">
        <f>R153/R13</f>
        <v>#DIV/0!</v>
      </c>
      <c r="U153" s="497">
        <f>SUM(U154:U160)</f>
        <v>0</v>
      </c>
      <c r="V153" s="498"/>
      <c r="W153" s="511"/>
      <c r="X153" s="497">
        <f>SUM(X154:X160)</f>
        <v>0</v>
      </c>
      <c r="Y153" s="498"/>
      <c r="Z153" s="511" t="e">
        <f>X153/X13</f>
        <v>#DIV/0!</v>
      </c>
      <c r="AA153" s="497">
        <f>SUM(AA154:AA160)</f>
        <v>0</v>
      </c>
      <c r="AB153" s="498"/>
      <c r="AC153" s="511" t="e">
        <f>AA153/AA13</f>
        <v>#DIV/0!</v>
      </c>
      <c r="AD153" s="497">
        <f>SUM(AD154:AD160)</f>
        <v>0</v>
      </c>
      <c r="AE153" s="498"/>
      <c r="AF153" s="511" t="e">
        <f>AD153/AD13</f>
        <v>#DIV/0!</v>
      </c>
      <c r="AG153" s="497">
        <f>SUM(AG154:AG160)</f>
        <v>0</v>
      </c>
      <c r="AH153" s="498"/>
      <c r="AI153" s="511"/>
      <c r="AJ153" s="497">
        <f>SUM(AJ154:AJ160)</f>
        <v>0</v>
      </c>
      <c r="AK153" s="498"/>
      <c r="AL153" s="511"/>
      <c r="AM153" s="606">
        <f t="shared" ref="AM153:AM167" si="4">C153+F153+I153+L153+O153+R153+U153+X153+AA153+AD153+AG153+AJ153</f>
        <v>6771588320</v>
      </c>
      <c r="AN153" s="607"/>
      <c r="AO153" s="499">
        <f>AM153/AM13</f>
        <v>1.1666666666666667</v>
      </c>
    </row>
    <row r="154" spans="2:41" ht="15" customHeight="1" thickTop="1" x14ac:dyDescent="0.2">
      <c r="B154" s="40" t="s">
        <v>156</v>
      </c>
      <c r="C154" s="288">
        <f>CALI!C154+HUNGRIA!C154+YUMBO!C154+'ADULTO MAYOR'!C154+BUGA!C154+'COMEDORES CALI'!C154+'CTAS EN PPACION'!C154+'COMEDORES PALMIRA'!C154</f>
        <v>0</v>
      </c>
      <c r="D154" s="230"/>
      <c r="E154" s="343"/>
      <c r="F154" s="288">
        <f>CALI!F154+HUNGRIA!F154+YUMBO!F154+'ADULTO MAYOR'!F154+BUGA!F154+'COMEDORES CALI'!F154+'CTAS EN PPACION'!F154+'COMEDORES PALMIRA'!F154</f>
        <v>0</v>
      </c>
      <c r="G154" s="230"/>
      <c r="H154" s="245"/>
      <c r="I154" s="288">
        <f>CALI!I154+HUNGRIA!I154+YUMBO!I154+'ADULTO MAYOR'!I154+BUGA!I154+'COMEDORES CALI'!I154+'CTAS EN PPACION'!I154+'COMEDORES PALMIRA'!I154</f>
        <v>725527320</v>
      </c>
      <c r="J154" s="230"/>
      <c r="K154" s="245"/>
      <c r="L154" s="288">
        <f>CALI!L154+HUNGRIA!L154+YUMBO!L154+'ADULTO MAYOR'!L154+BUGA!L154+'COMEDORES CALI'!L154+'CTAS EN PPACION'!L154+'COMEDORES PALMIRA'!L154</f>
        <v>241842440</v>
      </c>
      <c r="M154" s="230"/>
      <c r="N154" s="245"/>
      <c r="O154" s="288">
        <f>CALI!O154+HUNGRIA!O154+YUMBO!O154+'ADULTO MAYOR'!O154+BUGA!O154+'COMEDORES CALI'!O154+'CTAS EN PPACION'!O154+'COMEDORES PALMIRA'!O154+'COMEDORES VALLE'!O154</f>
        <v>0</v>
      </c>
      <c r="P154" s="230"/>
      <c r="Q154" s="245"/>
      <c r="R154" s="846">
        <f>CALI!R154+HUNGRIA!R154+YUMBO!R154+'ADULTO MAYOR'!R154+BUGA!R154+'COMEDORES CALI'!R154+'CTAS EN PPACION'!R154+'COMEDORES PALMIRA'!R154+'COMEDORES VALLE'!R154</f>
        <v>0</v>
      </c>
      <c r="S154" s="230"/>
      <c r="T154" s="245"/>
      <c r="U154" s="288">
        <f>CALI!U154+HUNGRIA!U154+YUMBO!U154+'ADULTO MAYOR'!U154+BUGA!U154+'COMEDORES CALI'!U154+'CTAS EN PPACION'!U154+'COMEDORES PALMIRA'!U154+'COMEDORES VALLE'!U154</f>
        <v>0</v>
      </c>
      <c r="V154" s="230"/>
      <c r="W154" s="245"/>
      <c r="X154" s="288">
        <f>CALI!X154+HUNGRIA!X154+YUMBO!X154+'ADULTO MAYOR'!X154+BUGA!X154+'COMEDORES CALI'!X154+'CTAS EN PPACION'!X154+'COMEDORES PALMIRA'!X154+'COMEDORES VALLE'!X154</f>
        <v>0</v>
      </c>
      <c r="Y154" s="230"/>
      <c r="Z154" s="245"/>
      <c r="AA154" s="288">
        <f>CALI!AA154+HUNGRIA!AA154+YUMBO!AA154+'ADULTO MAYOR'!AA154+BUGA!AA154+'COMEDORES CALI'!AA154+'CTAS EN PPACION'!AA154+'COMEDORES PALMIRA'!AA154+'COMEDORES VALLE'!AA154</f>
        <v>0</v>
      </c>
      <c r="AB154" s="230"/>
      <c r="AC154" s="245"/>
      <c r="AD154" s="288">
        <f>CALI!AD154+HUNGRIA!AD154+YUMBO!AD154+'ADULTO MAYOR'!AD154+BUGA!AD154+'COMEDORES CALI'!AD154+'CTAS EN PPACION'!AD154+'COMEDORES PALMIRA'!AD154+'COMEDORES VALLE'!AD154</f>
        <v>0</v>
      </c>
      <c r="AE154" s="230"/>
      <c r="AF154" s="245"/>
      <c r="AG154" s="288">
        <f>CALI!AG154+HUNGRIA!AG154+YUMBO!AG154+'ADULTO MAYOR'!AG154+BUGA!AG154+'COMEDORES CALI'!AG154+'CTAS EN PPACION'!AG154+'COMEDORES PALMIRA'!AG154+'COMEDORES VALLE'!AG154</f>
        <v>0</v>
      </c>
      <c r="AH154" s="230"/>
      <c r="AI154" s="245"/>
      <c r="AJ154" s="884">
        <f>CALI!AJ154+HUNGRIA!AJ154+YUMBO!AJ154+'ADULTO MAYOR'!AJ154+BUGA!AJ154+'COMEDORES CALI'!AJ154+'CTAS EN PPACION'!AJ154+'COMEDORES PALMIRA'!AJ154+'COMEDORES VALLE'!AJ154</f>
        <v>0</v>
      </c>
      <c r="AK154" s="230"/>
      <c r="AL154" s="245"/>
      <c r="AM154" s="289">
        <f t="shared" si="4"/>
        <v>967369760</v>
      </c>
      <c r="AN154" s="290"/>
      <c r="AO154" s="245"/>
    </row>
    <row r="155" spans="2:41" ht="15" customHeight="1" x14ac:dyDescent="0.2">
      <c r="B155" s="689" t="s">
        <v>477</v>
      </c>
      <c r="C155" s="77">
        <f>CALI!C155+HUNGRIA!C155+YUMBO!C155+'ADULTO MAYOR'!C155+BUGA!C155+'COMEDORES CALI'!C155+'CTAS EN PPACION'!C155+'COMEDORES PALMIRA'!C155</f>
        <v>0</v>
      </c>
      <c r="D155" s="9"/>
      <c r="E155" s="240"/>
      <c r="F155" s="77">
        <f>CALI!F155+HUNGRIA!F155+YUMBO!F155+'ADULTO MAYOR'!F155+BUGA!F155+'COMEDORES CALI'!F155+'CTAS EN PPACION'!F155+'COMEDORES PALMIRA'!F155</f>
        <v>0</v>
      </c>
      <c r="G155" s="9"/>
      <c r="H155" s="240"/>
      <c r="I155" s="77">
        <f>CALI!I155+HUNGRIA!I155+YUMBO!I155+'ADULTO MAYOR'!I155+BUGA!I155+'COMEDORES CALI'!I155+'CTAS EN PPACION'!I155+'COMEDORES PALMIRA'!I155</f>
        <v>725527320</v>
      </c>
      <c r="J155" s="9"/>
      <c r="K155" s="240"/>
      <c r="L155" s="77">
        <f>CALI!L155+HUNGRIA!L155+YUMBO!L155+'ADULTO MAYOR'!L155+BUGA!L155+'COMEDORES CALI'!L155+'CTAS EN PPACION'!L155+'COMEDORES PALMIRA'!L155</f>
        <v>241842440</v>
      </c>
      <c r="M155" s="9"/>
      <c r="N155" s="240"/>
      <c r="O155" s="77">
        <f>CALI!O155+HUNGRIA!O155+YUMBO!O155+'ADULTO MAYOR'!O155+BUGA!O155+'COMEDORES CALI'!O155+'CTAS EN PPACION'!O155+'COMEDORES PALMIRA'!O155+'COMEDORES VALLE'!O155</f>
        <v>0</v>
      </c>
      <c r="P155" s="9"/>
      <c r="Q155" s="240"/>
      <c r="R155" s="75">
        <f>CALI!R155+HUNGRIA!R155+YUMBO!R155+'ADULTO MAYOR'!R155+BUGA!R155+'COMEDORES CALI'!R155+'CTAS EN PPACION'!R155+'COMEDORES PALMIRA'!R155+'COMEDORES VALLE'!R155</f>
        <v>0</v>
      </c>
      <c r="S155" s="9"/>
      <c r="T155" s="240"/>
      <c r="U155" s="77">
        <f>CALI!U155+HUNGRIA!U155+YUMBO!U155+'ADULTO MAYOR'!U155+BUGA!U155+'COMEDORES CALI'!U155+'CTAS EN PPACION'!U155+'COMEDORES PALMIRA'!U155+'COMEDORES VALLE'!U155</f>
        <v>0</v>
      </c>
      <c r="V155" s="9"/>
      <c r="W155" s="240"/>
      <c r="X155" s="77">
        <f>CALI!X155+HUNGRIA!X155+YUMBO!X155+'ADULTO MAYOR'!X155+BUGA!X155+'COMEDORES CALI'!X155+'CTAS EN PPACION'!X155+'COMEDORES PALMIRA'!X155+'COMEDORES VALLE'!X155</f>
        <v>0</v>
      </c>
      <c r="Y155" s="9"/>
      <c r="Z155" s="240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0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0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0"/>
      <c r="AJ155" s="885">
        <f>CALI!AJ155+HUNGRIA!AJ155+YUMBO!AJ155+'ADULTO MAYOR'!AJ155+BUGA!AJ155+'COMEDORES CALI'!AJ155+'CTAS EN PPACION'!AJ155+'COMEDORES PALMIRA'!AJ155+'COMEDORES VALLE'!AJ155</f>
        <v>0</v>
      </c>
      <c r="AK155" s="9"/>
      <c r="AL155" s="240"/>
      <c r="AM155" s="248">
        <f t="shared" si="4"/>
        <v>967369760</v>
      </c>
      <c r="AN155" s="297"/>
      <c r="AO155" s="240"/>
    </row>
    <row r="156" spans="2:41" ht="15" customHeight="1" x14ac:dyDescent="0.2">
      <c r="B156" s="674" t="s">
        <v>477</v>
      </c>
      <c r="C156" s="683">
        <f>CALI!C156+HUNGRIA!C156+YUMBO!C156+'ADULTO MAYOR'!C156+BUGA!C156+'COMEDORES CALI'!C156+'CTAS EN PPACION'!C156+'COMEDORES PALMIRA'!C156</f>
        <v>0</v>
      </c>
      <c r="D156" s="675"/>
      <c r="E156" s="679"/>
      <c r="F156" s="683">
        <f>CALI!F156+HUNGRIA!F156+YUMBO!F156+'ADULTO MAYOR'!F156+BUGA!F156+'COMEDORES CALI'!F156+'CTAS EN PPACION'!F156+'COMEDORES PALMIRA'!F156</f>
        <v>0</v>
      </c>
      <c r="G156" s="675"/>
      <c r="H156" s="679"/>
      <c r="I156" s="683">
        <f>CALI!I156+HUNGRIA!I156+YUMBO!I156+'ADULTO MAYOR'!I156+BUGA!I156+'COMEDORES CALI'!I156+'CTAS EN PPACION'!I156+'COMEDORES PALMIRA'!I156</f>
        <v>725527320</v>
      </c>
      <c r="J156" s="675"/>
      <c r="K156" s="679"/>
      <c r="L156" s="683">
        <f>CALI!L156+HUNGRIA!L156+YUMBO!L156+'ADULTO MAYOR'!L156+BUGA!L156+'COMEDORES CALI'!L156+'CTAS EN PPACION'!L156+'COMEDORES PALMIRA'!L156</f>
        <v>241842440</v>
      </c>
      <c r="M156" s="675"/>
      <c r="N156" s="679"/>
      <c r="O156" s="683">
        <f>CALI!O156+HUNGRIA!O156+YUMBO!O156+'ADULTO MAYOR'!O156+BUGA!O156+'COMEDORES CALI'!O156+'CTAS EN PPACION'!O156+'COMEDORES PALMIRA'!O156+'COMEDORES VALLE'!O156</f>
        <v>0</v>
      </c>
      <c r="P156" s="675"/>
      <c r="Q156" s="679"/>
      <c r="R156" s="76">
        <f>CALI!R156+HUNGRIA!R156+YUMBO!R156+'ADULTO MAYOR'!R156+BUGA!R156+'COMEDORES CALI'!R156+'CTAS EN PPACION'!R156+'COMEDORES PALMIRA'!R156+'COMEDORES VALLE'!R156</f>
        <v>0</v>
      </c>
      <c r="S156" s="675"/>
      <c r="T156" s="679"/>
      <c r="U156" s="683">
        <f>CALI!U156+HUNGRIA!U156+YUMBO!U156+'ADULTO MAYOR'!U156+BUGA!U156+'COMEDORES CALI'!U156+'CTAS EN PPACION'!U156+'COMEDORES PALMIRA'!U156+'COMEDORES VALLE'!U156</f>
        <v>0</v>
      </c>
      <c r="V156" s="675"/>
      <c r="W156" s="679"/>
      <c r="X156" s="683">
        <f>CALI!X156+HUNGRIA!X156+YUMBO!X156+'ADULTO MAYOR'!X156+BUGA!X156+'COMEDORES CALI'!X156+'CTAS EN PPACION'!X156+'COMEDORES PALMIRA'!X156+'COMEDORES VALLE'!X156</f>
        <v>0</v>
      </c>
      <c r="Y156" s="675"/>
      <c r="Z156" s="679"/>
      <c r="AA156" s="683">
        <f>CALI!AA156+HUNGRIA!AA156+YUMBO!AA156+'ADULTO MAYOR'!AA156+BUGA!AA156+'COMEDORES CALI'!AA156+'CTAS EN PPACION'!AA156+'COMEDORES PALMIRA'!AA156+'COMEDORES VALLE'!AA156</f>
        <v>0</v>
      </c>
      <c r="AB156" s="675"/>
      <c r="AC156" s="679"/>
      <c r="AD156" s="683">
        <f>CALI!AD156+HUNGRIA!AD156+YUMBO!AD156+'ADULTO MAYOR'!AD156+BUGA!AD156+'COMEDORES CALI'!AD156+'CTAS EN PPACION'!AD156+'COMEDORES PALMIRA'!AD156+'COMEDORES VALLE'!AD156</f>
        <v>0</v>
      </c>
      <c r="AE156" s="675"/>
      <c r="AF156" s="679"/>
      <c r="AG156" s="683">
        <f>CALI!AG156+HUNGRIA!AG156+YUMBO!AG156+'ADULTO MAYOR'!AG156+BUGA!AG156+'COMEDORES CALI'!AG156+'CTAS EN PPACION'!AG156+'COMEDORES PALMIRA'!AG156+'COMEDORES VALLE'!AG156</f>
        <v>0</v>
      </c>
      <c r="AH156" s="675"/>
      <c r="AI156" s="679"/>
      <c r="AJ156" s="886">
        <f>CALI!AJ156+HUNGRIA!AJ156+YUMBO!AJ156+'ADULTO MAYOR'!AJ156+BUGA!AJ156+'COMEDORES CALI'!AJ156+'CTAS EN PPACION'!AJ156+'COMEDORES PALMIRA'!AJ156+'COMEDORES VALLE'!AJ156</f>
        <v>0</v>
      </c>
      <c r="AK156" s="675"/>
      <c r="AL156" s="679"/>
      <c r="AM156" s="682">
        <f t="shared" si="4"/>
        <v>967369760</v>
      </c>
      <c r="AN156" s="684"/>
      <c r="AO156" s="679"/>
    </row>
    <row r="157" spans="2:41" ht="15" customHeight="1" x14ac:dyDescent="0.2">
      <c r="B157" s="550" t="s">
        <v>478</v>
      </c>
      <c r="C157" s="558">
        <f>CALI!C157+HUNGRIA!C157+YUMBO!C157+'ADULTO MAYOR'!C157+BUGA!C157+'COMEDORES CALI'!C157+'CTAS EN PPACION'!C157+'COMEDORES PALMIRA'!C157</f>
        <v>0</v>
      </c>
      <c r="D157" s="551"/>
      <c r="E157" s="555"/>
      <c r="F157" s="558">
        <f>CALI!F157+HUNGRIA!F157+YUMBO!F157+'ADULTO MAYOR'!F157+BUGA!F157+'COMEDORES CALI'!F157+'CTAS EN PPACION'!F157+'COMEDORES PALMIRA'!F157</f>
        <v>0</v>
      </c>
      <c r="G157" s="551"/>
      <c r="H157" s="555"/>
      <c r="I157" s="558">
        <f>CALI!I157+HUNGRIA!I157+YUMBO!I157+'ADULTO MAYOR'!I157+BUGA!I157+'COMEDORES CALI'!I157+'CTAS EN PPACION'!I157+'COMEDORES PALMIRA'!I157</f>
        <v>725527320</v>
      </c>
      <c r="J157" s="551"/>
      <c r="K157" s="555"/>
      <c r="L157" s="558">
        <f>CALI!L157+HUNGRIA!L157+YUMBO!L157+'ADULTO MAYOR'!L157+BUGA!L157+'COMEDORES CALI'!L157+'CTAS EN PPACION'!L157+'COMEDORES PALMIRA'!L157</f>
        <v>241842440</v>
      </c>
      <c r="M157" s="551"/>
      <c r="N157" s="555"/>
      <c r="O157" s="558">
        <f>CALI!O157+HUNGRIA!O157+YUMBO!O157+'ADULTO MAYOR'!O157+BUGA!O157+'COMEDORES CALI'!O157+'CTAS EN PPACION'!O157+'COMEDORES PALMIRA'!O157+'COMEDORES VALLE'!O157</f>
        <v>0</v>
      </c>
      <c r="P157" s="551"/>
      <c r="Q157" s="555"/>
      <c r="R157" s="847">
        <f>CALI!R157+HUNGRIA!R157+YUMBO!R157+'ADULTO MAYOR'!R157+BUGA!R157+'COMEDORES CALI'!R157+'CTAS EN PPACION'!R157+'COMEDORES PALMIRA'!R157+'COMEDORES VALLE'!R157</f>
        <v>0</v>
      </c>
      <c r="S157" s="551"/>
      <c r="T157" s="555"/>
      <c r="U157" s="558">
        <f>CALI!U157+HUNGRIA!U157+YUMBO!U157+'ADULTO MAYOR'!U157+BUGA!U157+'COMEDORES CALI'!U157+'CTAS EN PPACION'!U157+'COMEDORES PALMIRA'!U157+'COMEDORES VALLE'!U157</f>
        <v>0</v>
      </c>
      <c r="V157" s="551"/>
      <c r="W157" s="555"/>
      <c r="X157" s="558">
        <f>CALI!X157+HUNGRIA!X157+YUMBO!X157+'ADULTO MAYOR'!X157+BUGA!X157+'COMEDORES CALI'!X157+'CTAS EN PPACION'!X157+'COMEDORES PALMIRA'!X157+'COMEDORES VALLE'!X157</f>
        <v>0</v>
      </c>
      <c r="Y157" s="551"/>
      <c r="Z157" s="555"/>
      <c r="AA157" s="558">
        <f>CALI!AA157+HUNGRIA!AA157+YUMBO!AA157+'ADULTO MAYOR'!AA157+BUGA!AA157+'COMEDORES CALI'!AA157+'CTAS EN PPACION'!AA157+'COMEDORES PALMIRA'!AA157+'COMEDORES VALLE'!AA157</f>
        <v>0</v>
      </c>
      <c r="AB157" s="551"/>
      <c r="AC157" s="555"/>
      <c r="AD157" s="558">
        <f>CALI!AD157+HUNGRIA!AD157+YUMBO!AD157+'ADULTO MAYOR'!AD157+BUGA!AD157+'COMEDORES CALI'!AD157+'CTAS EN PPACION'!AD157+'COMEDORES PALMIRA'!AD157+'COMEDORES VALLE'!AD157</f>
        <v>0</v>
      </c>
      <c r="AE157" s="551"/>
      <c r="AF157" s="555"/>
      <c r="AG157" s="558">
        <f>CALI!AG157+HUNGRIA!AG157+YUMBO!AG157+'ADULTO MAYOR'!AG157+BUGA!AG157+'COMEDORES CALI'!AG157+'CTAS EN PPACION'!AG157+'COMEDORES PALMIRA'!AG157+'COMEDORES VALLE'!AG157</f>
        <v>0</v>
      </c>
      <c r="AH157" s="551"/>
      <c r="AI157" s="555"/>
      <c r="AJ157" s="887">
        <f>CALI!AJ157+HUNGRIA!AJ157+YUMBO!AJ157+'ADULTO MAYOR'!AJ157+BUGA!AJ157+'COMEDORES CALI'!AJ157+'CTAS EN PPACION'!AJ157+'COMEDORES PALMIRA'!AJ157+'COMEDORES VALLE'!AJ157</f>
        <v>0</v>
      </c>
      <c r="AK157" s="551"/>
      <c r="AL157" s="555"/>
      <c r="AM157" s="559">
        <f t="shared" si="4"/>
        <v>967369760</v>
      </c>
      <c r="AN157" s="560"/>
      <c r="AO157" s="555"/>
    </row>
    <row r="158" spans="2:41" ht="15" customHeight="1" x14ac:dyDescent="0.2">
      <c r="B158" s="564" t="s">
        <v>478</v>
      </c>
      <c r="C158" s="77">
        <f>CALI!C158+HUNGRIA!C158+YUMBO!C158+'ADULTO MAYOR'!C158+BUGA!C158+'COMEDORES CALI'!C158+'CTAS EN PPACION'!C158+'COMEDORES PALMIRA'!C158</f>
        <v>0</v>
      </c>
      <c r="D158" s="9"/>
      <c r="E158" s="240"/>
      <c r="F158" s="77">
        <f>CALI!F158+HUNGRIA!F158+YUMBO!F158+'ADULTO MAYOR'!F158+BUGA!F158+'COMEDORES CALI'!F158+'CTAS EN PPACION'!F158+'COMEDORES PALMIRA'!F158</f>
        <v>0</v>
      </c>
      <c r="G158" s="9"/>
      <c r="H158" s="240"/>
      <c r="I158" s="77">
        <f>CALI!I158+HUNGRIA!I158+YUMBO!I158+'ADULTO MAYOR'!I158+BUGA!I158+'COMEDORES CALI'!I158+'CTAS EN PPACION'!I158+'COMEDORES PALMIRA'!I158</f>
        <v>725527320</v>
      </c>
      <c r="J158" s="9"/>
      <c r="K158" s="240"/>
      <c r="L158" s="77">
        <f>CALI!L158+HUNGRIA!L158+YUMBO!L158+'ADULTO MAYOR'!L158+BUGA!L158+'COMEDORES CALI'!L158+'CTAS EN PPACION'!L158+'COMEDORES PALMIRA'!L158</f>
        <v>241842440</v>
      </c>
      <c r="M158" s="9"/>
      <c r="N158" s="240"/>
      <c r="O158" s="77">
        <f>CALI!O158+HUNGRIA!O158+YUMBO!O158+'ADULTO MAYOR'!O158+BUGA!O158+'COMEDORES CALI'!O158+'CTAS EN PPACION'!O158+'COMEDORES PALMIRA'!O158+'COMEDORES VALLE'!O158</f>
        <v>0</v>
      </c>
      <c r="P158" s="9"/>
      <c r="Q158" s="240"/>
      <c r="R158" s="75">
        <f>CALI!R158+HUNGRIA!R158+YUMBO!R158+'ADULTO MAYOR'!R158+BUGA!R158+'COMEDORES CALI'!R158+'CTAS EN PPACION'!R158+'COMEDORES PALMIRA'!R158+'COMEDORES VALLE'!R158</f>
        <v>0</v>
      </c>
      <c r="S158" s="9"/>
      <c r="T158" s="240"/>
      <c r="U158" s="77">
        <f>CALI!U158+HUNGRIA!U158+YUMBO!U158+'ADULTO MAYOR'!U158+BUGA!U158+'COMEDORES CALI'!U158+'CTAS EN PPACION'!U158+'COMEDORES PALMIRA'!U158+'COMEDORES VALLE'!U158</f>
        <v>0</v>
      </c>
      <c r="V158" s="9"/>
      <c r="W158" s="240"/>
      <c r="X158" s="77">
        <f>CALI!X158+HUNGRIA!X158+YUMBO!X158+'ADULTO MAYOR'!X158+BUGA!X158+'COMEDORES CALI'!X158+'CTAS EN PPACION'!X158+'COMEDORES PALMIRA'!X158+'COMEDORES VALLE'!X158</f>
        <v>0</v>
      </c>
      <c r="Y158" s="9"/>
      <c r="Z158" s="240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0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0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0"/>
      <c r="AJ158" s="888">
        <f>CALI!AJ158+HUNGRIA!AJ158+YUMBO!AJ158+'ADULTO MAYOR'!AJ158+BUGA!AJ158+'COMEDORES CALI'!AJ158+'CTAS EN PPACION'!AJ158+'COMEDORES PALMIRA'!AJ158+'COMEDORES VALLE'!AJ158</f>
        <v>0</v>
      </c>
      <c r="AK158" s="9"/>
      <c r="AL158" s="240"/>
      <c r="AM158" s="248">
        <f t="shared" si="4"/>
        <v>967369760</v>
      </c>
      <c r="AN158" s="297"/>
      <c r="AO158" s="295"/>
    </row>
    <row r="159" spans="2:41" ht="15" customHeight="1" x14ac:dyDescent="0.2">
      <c r="B159" s="564" t="s">
        <v>478</v>
      </c>
      <c r="C159" s="77">
        <f>CALI!C159+HUNGRIA!C159+YUMBO!C159+'ADULTO MAYOR'!C159+BUGA!C159+'COMEDORES CALI'!C159+'CTAS EN PPACION'!C159+'COMEDORES PALMIRA'!C159</f>
        <v>0</v>
      </c>
      <c r="D159" s="9"/>
      <c r="E159" s="240"/>
      <c r="F159" s="77">
        <f>CALI!F159+HUNGRIA!F159+YUMBO!F159+'ADULTO MAYOR'!F159+BUGA!F159+'COMEDORES CALI'!F159+'CTAS EN PPACION'!F159+'COMEDORES PALMIRA'!F159</f>
        <v>0</v>
      </c>
      <c r="G159" s="9"/>
      <c r="H159" s="240"/>
      <c r="I159" s="77">
        <f>CALI!I159+HUNGRIA!I159+YUMBO!I159+'ADULTO MAYOR'!I159+BUGA!I159+'COMEDORES CALI'!I159+'CTAS EN PPACION'!I159+'COMEDORES PALMIRA'!I159</f>
        <v>725527320</v>
      </c>
      <c r="J159" s="9"/>
      <c r="K159" s="240"/>
      <c r="L159" s="77">
        <f>CALI!L159+HUNGRIA!L159+YUMBO!L159+'ADULTO MAYOR'!L159+BUGA!L159+'COMEDORES CALI'!L159+'CTAS EN PPACION'!L159+'COMEDORES PALMIRA'!L159</f>
        <v>241842440</v>
      </c>
      <c r="M159" s="9"/>
      <c r="N159" s="240"/>
      <c r="O159" s="77">
        <f>CALI!O159+HUNGRIA!O159+YUMBO!O159+'ADULTO MAYOR'!O159+BUGA!O159+'COMEDORES CALI'!O159+'CTAS EN PPACION'!O159+'COMEDORES PALMIRA'!O159+'COMEDORES VALLE'!O159</f>
        <v>0</v>
      </c>
      <c r="P159" s="9"/>
      <c r="Q159" s="240"/>
      <c r="R159" s="75">
        <f>CALI!R159+HUNGRIA!R159+YUMBO!R159+'ADULTO MAYOR'!R159+BUGA!R159+'COMEDORES CALI'!R159+'CTAS EN PPACION'!R159+'COMEDORES PALMIRA'!R159+'COMEDORES VALLE'!R159</f>
        <v>0</v>
      </c>
      <c r="S159" s="9"/>
      <c r="T159" s="240"/>
      <c r="U159" s="77">
        <f>CALI!U159+HUNGRIA!U159+YUMBO!U159+'ADULTO MAYOR'!U159+BUGA!U159+'COMEDORES CALI'!U159+'CTAS EN PPACION'!U159+'COMEDORES PALMIRA'!U159+'COMEDORES VALLE'!U159</f>
        <v>0</v>
      </c>
      <c r="V159" s="9"/>
      <c r="W159" s="240"/>
      <c r="X159" s="77">
        <f>CALI!X159+HUNGRIA!X159+YUMBO!X159+'ADULTO MAYOR'!X159+BUGA!X159+'COMEDORES CALI'!X159+'CTAS EN PPACION'!X159+'COMEDORES PALMIRA'!X159+'COMEDORES VALLE'!X159</f>
        <v>0</v>
      </c>
      <c r="Y159" s="9"/>
      <c r="Z159" s="240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0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0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0"/>
      <c r="AJ159" s="888">
        <f>CALI!AJ159+HUNGRIA!AJ159+YUMBO!AJ159+'ADULTO MAYOR'!AJ159+BUGA!AJ159+'COMEDORES CALI'!AJ159+'CTAS EN PPACION'!AJ159+'COMEDORES PALMIRA'!AJ159+'COMEDORES VALLE'!AJ159</f>
        <v>0</v>
      </c>
      <c r="AK159" s="9"/>
      <c r="AL159" s="240"/>
      <c r="AM159" s="248">
        <f t="shared" si="4"/>
        <v>967369760</v>
      </c>
      <c r="AN159" s="297"/>
      <c r="AO159" s="295"/>
    </row>
    <row r="160" spans="2:41" ht="15" customHeight="1" thickBot="1" x14ac:dyDescent="0.25">
      <c r="B160" s="291" t="s">
        <v>478</v>
      </c>
      <c r="C160" s="241">
        <f>CALI!C160+HUNGRIA!C160+YUMBO!C160+'ADULTO MAYOR'!C160+BUGA!C160+'COMEDORES CALI'!C160+'CTAS EN PPACION'!C160+'COMEDORES PALMIRA'!C160</f>
        <v>0</v>
      </c>
      <c r="D160" s="242"/>
      <c r="E160" s="243"/>
      <c r="F160" s="241">
        <f>CALI!F160+HUNGRIA!F160+YUMBO!F160+'ADULTO MAYOR'!F160+BUGA!F160+'COMEDORES CALI'!F160+'CTAS EN PPACION'!F160+'COMEDORES PALMIRA'!F160</f>
        <v>0</v>
      </c>
      <c r="G160" s="242"/>
      <c r="H160" s="243"/>
      <c r="I160" s="241">
        <f>CALI!I160+HUNGRIA!I160+YUMBO!I160+'ADULTO MAYOR'!I160+BUGA!I160+'COMEDORES CALI'!I160+'CTAS EN PPACION'!I160+'COMEDORES PALMIRA'!I160</f>
        <v>725527320</v>
      </c>
      <c r="J160" s="242"/>
      <c r="K160" s="243"/>
      <c r="L160" s="241">
        <f>CALI!L160+HUNGRIA!L160+YUMBO!L160+'ADULTO MAYOR'!L160+BUGA!L160+'COMEDORES CALI'!L160+'CTAS EN PPACION'!L160+'COMEDORES PALMIRA'!L160</f>
        <v>241842440</v>
      </c>
      <c r="M160" s="242"/>
      <c r="N160" s="243"/>
      <c r="O160" s="241">
        <f>CALI!O160+HUNGRIA!O160+YUMBO!O160+'ADULTO MAYOR'!O160+BUGA!O160+'COMEDORES CALI'!O160+'CTAS EN PPACION'!O160+'COMEDORES PALMIRA'!O160+'COMEDORES VALLE'!O160</f>
        <v>0</v>
      </c>
      <c r="P160" s="242"/>
      <c r="Q160" s="243"/>
      <c r="R160" s="234">
        <f>CALI!R160+HUNGRIA!R160+YUMBO!R160+'ADULTO MAYOR'!R160+BUGA!R160+'COMEDORES CALI'!R160+'CTAS EN PPACION'!R160+'COMEDORES PALMIRA'!R160+'COMEDORES VALLE'!R160</f>
        <v>0</v>
      </c>
      <c r="S160" s="242"/>
      <c r="T160" s="243"/>
      <c r="U160" s="241">
        <f>CALI!U160+HUNGRIA!U160+YUMBO!U160+'ADULTO MAYOR'!U160+BUGA!U160+'COMEDORES CALI'!U160+'CTAS EN PPACION'!U160+'COMEDORES PALMIRA'!U160+'COMEDORES VALLE'!U160</f>
        <v>0</v>
      </c>
      <c r="V160" s="242"/>
      <c r="W160" s="243"/>
      <c r="X160" s="241">
        <f>CALI!X160+HUNGRIA!X160+YUMBO!X160+'ADULTO MAYOR'!X160+BUGA!X160+'COMEDORES CALI'!X160+'CTAS EN PPACION'!X160+'COMEDORES PALMIRA'!X160+'COMEDORES VALLE'!X160</f>
        <v>0</v>
      </c>
      <c r="Y160" s="242"/>
      <c r="Z160" s="243"/>
      <c r="AA160" s="241">
        <f>CALI!AA160+HUNGRIA!AA160+YUMBO!AA160+'ADULTO MAYOR'!AA160+BUGA!AA160+'COMEDORES CALI'!AA160+'CTAS EN PPACION'!AA160+'COMEDORES PALMIRA'!AA160+'COMEDORES VALLE'!AA160</f>
        <v>0</v>
      </c>
      <c r="AB160" s="242"/>
      <c r="AC160" s="243"/>
      <c r="AD160" s="241">
        <f>CALI!AD160+HUNGRIA!AD160+YUMBO!AD160+'ADULTO MAYOR'!AD160+BUGA!AD160+'COMEDORES CALI'!AD160+'CTAS EN PPACION'!AD160+'COMEDORES PALMIRA'!AD160+'COMEDORES VALLE'!AD160</f>
        <v>0</v>
      </c>
      <c r="AE160" s="242"/>
      <c r="AF160" s="243"/>
      <c r="AG160" s="241">
        <f>CALI!AG160+HUNGRIA!AG160+YUMBO!AG160+'ADULTO MAYOR'!AG160+BUGA!AG160+'COMEDORES CALI'!AG160+'CTAS EN PPACION'!AG160+'COMEDORES PALMIRA'!AG160+'COMEDORES VALLE'!AG160</f>
        <v>0</v>
      </c>
      <c r="AH160" s="242"/>
      <c r="AI160" s="243"/>
      <c r="AJ160" s="889">
        <f>CALI!AJ160+HUNGRIA!AJ160+YUMBO!AJ160+'ADULTO MAYOR'!AJ160+BUGA!AJ160+'COMEDORES CALI'!AJ160+'CTAS EN PPACION'!AJ160+'COMEDORES PALMIRA'!AJ160+'COMEDORES VALLE'!AJ160</f>
        <v>0</v>
      </c>
      <c r="AK160" s="242"/>
      <c r="AL160" s="243"/>
      <c r="AM160" s="249">
        <f t="shared" si="4"/>
        <v>967369760</v>
      </c>
      <c r="AN160" s="250"/>
      <c r="AO160" s="293"/>
    </row>
    <row r="161" spans="1:65" ht="15" customHeight="1" thickTop="1" thickBot="1" x14ac:dyDescent="0.25">
      <c r="B161" s="524" t="s">
        <v>163</v>
      </c>
      <c r="C161" s="497">
        <f>C144-C147-C153</f>
        <v>-5646734218.2399988</v>
      </c>
      <c r="D161" s="498"/>
      <c r="E161" s="511"/>
      <c r="F161" s="497">
        <f>F144-F147-F153</f>
        <v>-9556249663.0399952</v>
      </c>
      <c r="G161" s="498"/>
      <c r="H161" s="511"/>
      <c r="I161" s="497">
        <f>I144-I147-I153</f>
        <v>-71903923395.768799</v>
      </c>
      <c r="J161" s="498"/>
      <c r="K161" s="511"/>
      <c r="L161" s="497">
        <f>L144-L147-L153</f>
        <v>-20680720940.208</v>
      </c>
      <c r="M161" s="498"/>
      <c r="N161" s="511"/>
      <c r="O161" s="497" t="e">
        <f>O144-O147-O153</f>
        <v>#DIV/0!</v>
      </c>
      <c r="P161" s="498"/>
      <c r="Q161" s="511"/>
      <c r="R161" s="497" t="e">
        <f>R144-R147-R153</f>
        <v>#DIV/0!</v>
      </c>
      <c r="S161" s="498"/>
      <c r="T161" s="511"/>
      <c r="U161" s="497" t="e">
        <f>U144-U147-U153</f>
        <v>#DIV/0!</v>
      </c>
      <c r="V161" s="498"/>
      <c r="W161" s="511"/>
      <c r="X161" s="497" t="e">
        <f>X144-X147-X153</f>
        <v>#DIV/0!</v>
      </c>
      <c r="Y161" s="498"/>
      <c r="Z161" s="511"/>
      <c r="AA161" s="497" t="e">
        <f>AA144-AA147-AA153</f>
        <v>#DIV/0!</v>
      </c>
      <c r="AB161" s="498"/>
      <c r="AC161" s="511"/>
      <c r="AD161" s="497" t="e">
        <f>AD144-AD147-AD153</f>
        <v>#DIV/0!</v>
      </c>
      <c r="AE161" s="498"/>
      <c r="AF161" s="511"/>
      <c r="AG161" s="497" t="e">
        <f>AG144-AG147-AG153</f>
        <v>#DIV/0!</v>
      </c>
      <c r="AH161" s="498"/>
      <c r="AI161" s="511"/>
      <c r="AJ161" s="497" t="e">
        <f>AJ144-AJ147-AJ153</f>
        <v>#DIV/0!</v>
      </c>
      <c r="AK161" s="498"/>
      <c r="AL161" s="511"/>
      <c r="AM161" s="606" t="e">
        <f t="shared" si="4"/>
        <v>#DIV/0!</v>
      </c>
      <c r="AN161" s="607"/>
      <c r="AO161" s="512" t="e">
        <f>AM161/AM13</f>
        <v>#DIV/0!</v>
      </c>
    </row>
    <row r="162" spans="1:65" ht="15" hidden="1" customHeight="1" thickTop="1" thickBot="1" x14ac:dyDescent="0.25">
      <c r="A162" s="153" t="s">
        <v>528</v>
      </c>
      <c r="B162" s="528" t="s">
        <v>529</v>
      </c>
      <c r="C162" s="497"/>
      <c r="D162" s="498"/>
      <c r="E162" s="511"/>
      <c r="F162" s="497"/>
      <c r="G162" s="498"/>
      <c r="H162" s="511"/>
      <c r="I162" s="497"/>
      <c r="J162" s="498"/>
      <c r="K162" s="511"/>
      <c r="L162" s="497"/>
      <c r="M162" s="498"/>
      <c r="N162" s="511"/>
      <c r="O162" s="497"/>
      <c r="P162" s="498"/>
      <c r="Q162" s="511"/>
      <c r="R162" s="497"/>
      <c r="S162" s="498"/>
      <c r="T162" s="511"/>
      <c r="U162" s="497"/>
      <c r="V162" s="498"/>
      <c r="W162" s="511"/>
      <c r="X162" s="497"/>
      <c r="Y162" s="498"/>
      <c r="Z162" s="511"/>
      <c r="AA162" s="497"/>
      <c r="AB162" s="498"/>
      <c r="AC162" s="511"/>
      <c r="AD162" s="497"/>
      <c r="AE162" s="498"/>
      <c r="AF162" s="511"/>
      <c r="AG162" s="497"/>
      <c r="AH162" s="498"/>
      <c r="AI162" s="511"/>
      <c r="AJ162" s="497"/>
      <c r="AK162" s="498"/>
      <c r="AL162" s="511"/>
      <c r="AM162" s="606">
        <f t="shared" si="4"/>
        <v>0</v>
      </c>
      <c r="AN162" s="607"/>
      <c r="AO162" s="512"/>
    </row>
    <row r="163" spans="1:65" ht="15" hidden="1" customHeight="1" thickTop="1" thickBot="1" x14ac:dyDescent="0.25">
      <c r="A163" s="153" t="s">
        <v>530</v>
      </c>
      <c r="B163" s="528" t="s">
        <v>531</v>
      </c>
      <c r="C163" s="497"/>
      <c r="D163" s="498"/>
      <c r="E163" s="511"/>
      <c r="F163" s="497"/>
      <c r="G163" s="498"/>
      <c r="H163" s="511"/>
      <c r="I163" s="497"/>
      <c r="J163" s="498"/>
      <c r="K163" s="511"/>
      <c r="L163" s="497"/>
      <c r="M163" s="498"/>
      <c r="N163" s="511"/>
      <c r="O163" s="497"/>
      <c r="P163" s="498"/>
      <c r="Q163" s="511"/>
      <c r="R163" s="497"/>
      <c r="S163" s="498"/>
      <c r="T163" s="511"/>
      <c r="U163" s="497"/>
      <c r="V163" s="498"/>
      <c r="W163" s="511"/>
      <c r="X163" s="497"/>
      <c r="Y163" s="498"/>
      <c r="Z163" s="511"/>
      <c r="AA163" s="497"/>
      <c r="AB163" s="498"/>
      <c r="AC163" s="511"/>
      <c r="AD163" s="497"/>
      <c r="AE163" s="498"/>
      <c r="AF163" s="511"/>
      <c r="AG163" s="497"/>
      <c r="AH163" s="498"/>
      <c r="AI163" s="511"/>
      <c r="AJ163" s="497"/>
      <c r="AK163" s="498"/>
      <c r="AL163" s="511"/>
      <c r="AM163" s="606">
        <f t="shared" si="4"/>
        <v>0</v>
      </c>
      <c r="AN163" s="607"/>
      <c r="AO163" s="512"/>
    </row>
    <row r="164" spans="1:65" ht="15" hidden="1" customHeight="1" thickTop="1" thickBot="1" x14ac:dyDescent="0.25">
      <c r="A164" s="153" t="s">
        <v>532</v>
      </c>
      <c r="B164" s="528" t="s">
        <v>533</v>
      </c>
      <c r="C164" s="497"/>
      <c r="D164" s="498"/>
      <c r="E164" s="511"/>
      <c r="F164" s="497"/>
      <c r="G164" s="498"/>
      <c r="H164" s="511"/>
      <c r="I164" s="497"/>
      <c r="J164" s="498"/>
      <c r="K164" s="511"/>
      <c r="L164" s="497"/>
      <c r="M164" s="498"/>
      <c r="N164" s="511"/>
      <c r="O164" s="497"/>
      <c r="P164" s="498"/>
      <c r="Q164" s="511"/>
      <c r="R164" s="497"/>
      <c r="S164" s="498"/>
      <c r="T164" s="511"/>
      <c r="U164" s="497"/>
      <c r="V164" s="498"/>
      <c r="W164" s="511"/>
      <c r="X164" s="497"/>
      <c r="Y164" s="498"/>
      <c r="Z164" s="511"/>
      <c r="AA164" s="497"/>
      <c r="AB164" s="498"/>
      <c r="AC164" s="511"/>
      <c r="AD164" s="497"/>
      <c r="AE164" s="498"/>
      <c r="AF164" s="511"/>
      <c r="AG164" s="497"/>
      <c r="AH164" s="498"/>
      <c r="AI164" s="511"/>
      <c r="AJ164" s="497"/>
      <c r="AK164" s="498"/>
      <c r="AL164" s="511"/>
      <c r="AM164" s="606">
        <f t="shared" si="4"/>
        <v>0</v>
      </c>
      <c r="AN164" s="607"/>
      <c r="AO164" s="512"/>
    </row>
    <row r="165" spans="1:65" ht="15" hidden="1" customHeight="1" thickTop="1" thickBot="1" x14ac:dyDescent="0.25">
      <c r="B165" s="528" t="s">
        <v>534</v>
      </c>
      <c r="C165" s="497"/>
      <c r="D165" s="498"/>
      <c r="E165" s="511"/>
      <c r="F165" s="497"/>
      <c r="G165" s="498"/>
      <c r="H165" s="511"/>
      <c r="I165" s="497"/>
      <c r="J165" s="498"/>
      <c r="K165" s="511"/>
      <c r="L165" s="497"/>
      <c r="M165" s="498"/>
      <c r="N165" s="511"/>
      <c r="O165" s="497"/>
      <c r="P165" s="498"/>
      <c r="Q165" s="511"/>
      <c r="R165" s="497"/>
      <c r="S165" s="498"/>
      <c r="T165" s="511"/>
      <c r="U165" s="497"/>
      <c r="V165" s="498"/>
      <c r="W165" s="511"/>
      <c r="X165" s="497"/>
      <c r="Y165" s="498"/>
      <c r="Z165" s="511"/>
      <c r="AA165" s="497"/>
      <c r="AB165" s="498"/>
      <c r="AC165" s="511"/>
      <c r="AD165" s="497"/>
      <c r="AE165" s="498"/>
      <c r="AF165" s="511"/>
      <c r="AG165" s="497"/>
      <c r="AH165" s="498"/>
      <c r="AI165" s="511"/>
      <c r="AJ165" s="497"/>
      <c r="AK165" s="498"/>
      <c r="AL165" s="511"/>
      <c r="AM165" s="606">
        <f t="shared" si="4"/>
        <v>0</v>
      </c>
      <c r="AN165" s="607"/>
      <c r="AO165" s="512"/>
    </row>
    <row r="166" spans="1:65" ht="15" hidden="1" customHeight="1" thickTop="1" thickBot="1" x14ac:dyDescent="0.25">
      <c r="A166" s="153" t="s">
        <v>535</v>
      </c>
      <c r="B166" s="528" t="s">
        <v>536</v>
      </c>
      <c r="C166" s="497"/>
      <c r="D166" s="498"/>
      <c r="E166" s="511"/>
      <c r="F166" s="497"/>
      <c r="G166" s="498"/>
      <c r="H166" s="511"/>
      <c r="I166" s="511"/>
      <c r="J166" s="511"/>
      <c r="K166" s="511"/>
      <c r="L166" s="511"/>
      <c r="M166" s="511"/>
      <c r="N166" s="511"/>
      <c r="O166" s="511"/>
      <c r="P166" s="511"/>
      <c r="Q166" s="511"/>
      <c r="R166" s="511"/>
      <c r="S166" s="511"/>
      <c r="T166" s="511"/>
      <c r="U166" s="511"/>
      <c r="V166" s="511"/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511"/>
      <c r="AH166" s="511"/>
      <c r="AI166" s="511"/>
      <c r="AJ166" s="511"/>
      <c r="AK166" s="511"/>
      <c r="AL166" s="511"/>
      <c r="AM166" s="606">
        <f t="shared" si="4"/>
        <v>0</v>
      </c>
      <c r="AN166" s="607"/>
      <c r="AO166" s="512"/>
    </row>
    <row r="167" spans="1:65" ht="15" hidden="1" customHeight="1" thickTop="1" thickBot="1" x14ac:dyDescent="0.25">
      <c r="B167" s="528" t="s">
        <v>537</v>
      </c>
      <c r="C167" s="497"/>
      <c r="D167" s="498"/>
      <c r="E167" s="511"/>
      <c r="F167" s="497"/>
      <c r="G167" s="498"/>
      <c r="H167" s="511"/>
      <c r="I167" s="497"/>
      <c r="J167" s="498"/>
      <c r="K167" s="511"/>
      <c r="L167" s="497"/>
      <c r="M167" s="498"/>
      <c r="N167" s="511"/>
      <c r="O167" s="497"/>
      <c r="P167" s="498"/>
      <c r="Q167" s="511"/>
      <c r="R167" s="497"/>
      <c r="S167" s="498"/>
      <c r="T167" s="511"/>
      <c r="U167" s="497"/>
      <c r="V167" s="498"/>
      <c r="W167" s="511"/>
      <c r="X167" s="497"/>
      <c r="Y167" s="498"/>
      <c r="Z167" s="511"/>
      <c r="AA167" s="497"/>
      <c r="AB167" s="498"/>
      <c r="AC167" s="511"/>
      <c r="AD167" s="497"/>
      <c r="AE167" s="498"/>
      <c r="AF167" s="511"/>
      <c r="AG167" s="497"/>
      <c r="AH167" s="498"/>
      <c r="AI167" s="511"/>
      <c r="AJ167" s="497"/>
      <c r="AK167" s="498"/>
      <c r="AL167" s="511"/>
      <c r="AM167" s="585">
        <f t="shared" si="4"/>
        <v>0</v>
      </c>
      <c r="AN167" s="606"/>
      <c r="AO167" s="709"/>
    </row>
    <row r="168" spans="1:65" ht="15" customHeight="1" thickTop="1" thickBot="1" x14ac:dyDescent="0.3">
      <c r="B168" s="529" t="s">
        <v>538</v>
      </c>
      <c r="C168" s="497">
        <f>C161+C162+C163+C164-C165-C166-C167</f>
        <v>-5646734218.2399988</v>
      </c>
      <c r="D168" s="498"/>
      <c r="E168" s="511"/>
      <c r="F168" s="497">
        <f>F161+F162+F163+F164-F165-F166-F167</f>
        <v>-9556249663.0399952</v>
      </c>
      <c r="G168" s="498"/>
      <c r="H168" s="511"/>
      <c r="I168" s="497">
        <f>I161+I162+I163+I164-I165-I166-I167</f>
        <v>-71903923395.768799</v>
      </c>
      <c r="J168" s="498"/>
      <c r="K168" s="511"/>
      <c r="L168" s="497">
        <f>L161+L162+L163+L164-L165-L166-L167</f>
        <v>-20680720940.208</v>
      </c>
      <c r="M168" s="498"/>
      <c r="N168" s="511"/>
      <c r="O168" s="497" t="e">
        <f>O161+O162+O163+O164-O165-O166-O167</f>
        <v>#DIV/0!</v>
      </c>
      <c r="P168" s="498"/>
      <c r="Q168" s="511"/>
      <c r="R168" s="497" t="e">
        <f>R161+R162+R163+R164-R165-R166-R167</f>
        <v>#DIV/0!</v>
      </c>
      <c r="S168" s="498"/>
      <c r="T168" s="511"/>
      <c r="U168" s="497" t="e">
        <f>U161+U162+U163+U164-U165-U166-U167</f>
        <v>#DIV/0!</v>
      </c>
      <c r="V168" s="498"/>
      <c r="W168" s="511"/>
      <c r="X168" s="497" t="e">
        <f>X161+X162+X163+X164-X165-X166-X167</f>
        <v>#DIV/0!</v>
      </c>
      <c r="Y168" s="498"/>
      <c r="Z168" s="511"/>
      <c r="AA168" s="497" t="e">
        <f>AA161+AA162+AA163+AA164-AA165-AA166-AA167</f>
        <v>#DIV/0!</v>
      </c>
      <c r="AB168" s="498"/>
      <c r="AC168" s="511"/>
      <c r="AD168" s="497" t="e">
        <f>AD161+AD162+AD163+AD164-AD165-AD166-AD167</f>
        <v>#DIV/0!</v>
      </c>
      <c r="AE168" s="498"/>
      <c r="AF168" s="511"/>
      <c r="AG168" s="497" t="e">
        <f>AG161+AG162+AG163+AG164-AG165-AG166-AG167</f>
        <v>#DIV/0!</v>
      </c>
      <c r="AH168" s="498"/>
      <c r="AI168" s="511"/>
      <c r="AJ168" s="497" t="e">
        <f>AJ161+AJ162+AJ163+AJ164-AJ165-AJ166-AJ167</f>
        <v>#DIV/0!</v>
      </c>
      <c r="AK168" s="498"/>
      <c r="AL168" s="511"/>
      <c r="AM168" s="752" t="e">
        <f>AM161+AM162+AM163+AM164-AM165-AM166-AM167</f>
        <v>#DIV/0!</v>
      </c>
      <c r="AN168" s="606"/>
      <c r="AO168" s="709"/>
    </row>
    <row r="169" spans="1:65" ht="17.100000000000001" customHeight="1" thickTop="1" thickBot="1" x14ac:dyDescent="0.25">
      <c r="B169" s="524"/>
      <c r="C169" s="500" t="str">
        <f>IFERROR(C168/C13, " ")</f>
        <v xml:space="preserve"> </v>
      </c>
      <c r="D169" s="501"/>
      <c r="E169" s="512"/>
      <c r="F169" s="500" t="str">
        <f>IFERROR(F168/F13, " ")</f>
        <v xml:space="preserve"> </v>
      </c>
      <c r="G169" s="501"/>
      <c r="H169" s="512"/>
      <c r="I169" s="500">
        <f>IFERROR(I168/I13, " ")</f>
        <v>-18.582326626524072</v>
      </c>
      <c r="J169" s="501"/>
      <c r="K169" s="512"/>
      <c r="L169" s="500">
        <f>IFERROR(L168/L13, " ")</f>
        <v>-10.68915</v>
      </c>
      <c r="M169" s="501"/>
      <c r="N169" s="512"/>
      <c r="O169" s="541" t="str">
        <f>IFERROR(O168/O13, " ")</f>
        <v xml:space="preserve"> </v>
      </c>
      <c r="P169" s="501"/>
      <c r="Q169" s="512"/>
      <c r="R169" s="538" t="str">
        <f>IFERROR(R168/R13, " ")</f>
        <v xml:space="preserve"> </v>
      </c>
      <c r="S169" s="498"/>
      <c r="T169" s="537"/>
      <c r="U169" s="538" t="str">
        <f>IFERROR(U168/U13, " ")</f>
        <v xml:space="preserve"> </v>
      </c>
      <c r="V169" s="498"/>
      <c r="W169" s="537"/>
      <c r="X169" s="538" t="str">
        <f>IFERROR(X168/X13, " ")</f>
        <v xml:space="preserve"> </v>
      </c>
      <c r="Y169" s="498"/>
      <c r="Z169" s="537"/>
      <c r="AA169" s="538" t="str">
        <f>IFERROR(AA168/AA13, " ")</f>
        <v xml:space="preserve"> </v>
      </c>
      <c r="AB169" s="498"/>
      <c r="AC169" s="537"/>
      <c r="AD169" s="500" t="str">
        <f>IFERROR(AD168/AD13, " ")</f>
        <v xml:space="preserve"> </v>
      </c>
      <c r="AE169" s="498"/>
      <c r="AF169" s="537"/>
      <c r="AG169" s="500" t="str">
        <f>IFERROR(AG168/AG13, " ")</f>
        <v xml:space="preserve"> </v>
      </c>
      <c r="AH169" s="498"/>
      <c r="AI169" s="537"/>
      <c r="AJ169" s="500" t="str">
        <f>IFERROR(AJ168/AJ13, " ")</f>
        <v xml:space="preserve"> </v>
      </c>
      <c r="AK169" s="498"/>
      <c r="AL169" s="537"/>
      <c r="AM169" s="587" t="str">
        <f>IFERROR(AM168/AM13, " ")</f>
        <v xml:space="preserve"> </v>
      </c>
      <c r="AN169" s="710"/>
      <c r="AO169" s="709"/>
    </row>
    <row r="170" spans="1:65" ht="17.100000000000001" hidden="1" customHeight="1" thickTop="1" thickBot="1" x14ac:dyDescent="0.25">
      <c r="B170" s="528" t="s">
        <v>539</v>
      </c>
      <c r="C170" s="497"/>
      <c r="D170" s="498"/>
      <c r="E170" s="511"/>
      <c r="F170" s="497"/>
      <c r="G170" s="498"/>
      <c r="H170" s="511"/>
      <c r="I170" s="493"/>
      <c r="J170" s="498"/>
      <c r="K170" s="511"/>
      <c r="L170" s="497"/>
      <c r="M170" s="498"/>
      <c r="N170" s="511"/>
      <c r="O170" s="497"/>
      <c r="P170" s="498"/>
      <c r="Q170" s="511"/>
      <c r="R170" s="497"/>
      <c r="S170" s="498"/>
      <c r="T170" s="511"/>
      <c r="U170" s="497"/>
      <c r="V170" s="498"/>
      <c r="W170" s="511"/>
      <c r="X170" s="497"/>
      <c r="Y170" s="498"/>
      <c r="Z170" s="511"/>
      <c r="AA170" s="497"/>
      <c r="AB170" s="498"/>
      <c r="AC170" s="511"/>
      <c r="AD170" s="497"/>
      <c r="AE170" s="498"/>
      <c r="AF170" s="511"/>
      <c r="AG170" s="497"/>
      <c r="AH170" s="498"/>
      <c r="AI170" s="511"/>
      <c r="AJ170" s="497"/>
      <c r="AK170" s="498"/>
      <c r="AL170" s="511"/>
      <c r="AM170" s="585"/>
      <c r="AN170" s="606"/>
      <c r="AO170" s="709"/>
    </row>
    <row r="171" spans="1:65" ht="17.100000000000001" hidden="1" customHeight="1" thickTop="1" x14ac:dyDescent="0.25">
      <c r="B171" s="852" t="s">
        <v>538</v>
      </c>
      <c r="C171" s="493"/>
      <c r="D171" s="494"/>
      <c r="E171" s="508"/>
      <c r="F171" s="493"/>
      <c r="G171" s="494"/>
      <c r="H171" s="508"/>
      <c r="I171" s="493"/>
      <c r="J171" s="494"/>
      <c r="K171" s="508"/>
      <c r="L171" s="493"/>
      <c r="M171" s="494"/>
      <c r="N171" s="508"/>
      <c r="O171" s="493"/>
      <c r="P171" s="494"/>
      <c r="Q171" s="508"/>
      <c r="R171" s="493"/>
      <c r="S171" s="494"/>
      <c r="T171" s="508"/>
      <c r="U171" s="493"/>
      <c r="V171" s="494"/>
      <c r="W171" s="508"/>
      <c r="X171" s="493"/>
      <c r="Y171" s="494"/>
      <c r="Z171" s="508"/>
      <c r="AA171" s="493"/>
      <c r="AB171" s="494"/>
      <c r="AC171" s="508"/>
      <c r="AD171" s="493"/>
      <c r="AE171" s="494"/>
      <c r="AF171" s="508"/>
      <c r="AG171" s="493"/>
      <c r="AH171" s="494"/>
      <c r="AI171" s="508"/>
      <c r="AJ171" s="493"/>
      <c r="AK171" s="494"/>
      <c r="AL171" s="508"/>
      <c r="AM171" s="853" t="e">
        <f>AM168-AM170</f>
        <v>#DIV/0!</v>
      </c>
      <c r="AN171" s="602"/>
      <c r="AO171" s="854"/>
    </row>
    <row r="172" spans="1:65" ht="17.100000000000001" customHeight="1" thickTop="1" thickBot="1" x14ac:dyDescent="0.3">
      <c r="B172" s="849"/>
      <c r="C172" s="698"/>
      <c r="D172" s="698"/>
      <c r="E172" s="850"/>
      <c r="F172" s="698"/>
      <c r="G172" s="698"/>
      <c r="H172" s="850"/>
      <c r="I172" s="698"/>
      <c r="J172" s="698"/>
      <c r="K172" s="850"/>
      <c r="L172" s="698"/>
      <c r="M172" s="698"/>
      <c r="N172" s="850"/>
      <c r="O172" s="698"/>
      <c r="P172" s="698"/>
      <c r="Q172" s="850"/>
      <c r="R172" s="698"/>
      <c r="S172" s="698"/>
      <c r="T172" s="850"/>
      <c r="U172" s="698"/>
      <c r="V172" s="698"/>
      <c r="W172" s="850"/>
      <c r="X172" s="698"/>
      <c r="Y172" s="698"/>
      <c r="Z172" s="850"/>
      <c r="AA172" s="698"/>
      <c r="AB172" s="698"/>
      <c r="AC172" s="850"/>
      <c r="AD172" s="698"/>
      <c r="AE172" s="698"/>
      <c r="AF172" s="850"/>
      <c r="AG172" s="698"/>
      <c r="AH172" s="698"/>
      <c r="AI172" s="850"/>
      <c r="AJ172" s="698"/>
      <c r="AK172" s="698"/>
      <c r="AL172" s="850"/>
      <c r="AM172" s="851"/>
      <c r="AN172" s="698"/>
      <c r="AO172" s="706"/>
    </row>
    <row r="173" spans="1:65" s="108" customFormat="1" ht="17.100000000000001" customHeight="1" thickTop="1" thickBot="1" x14ac:dyDescent="0.3">
      <c r="A173" s="153"/>
      <c r="B173" s="855" t="s">
        <v>540</v>
      </c>
      <c r="C173" s="856">
        <f>CALI!C161+YUMBO!C161+BUGA!C161+'ADULTO MAYOR'!C161</f>
        <v>-2123836319.365104</v>
      </c>
      <c r="D173" s="857"/>
      <c r="E173" s="858"/>
      <c r="F173" s="856">
        <f>CALI!F161+YUMBO!F161+BUGA!F161+'ADULTO MAYOR'!F161</f>
        <v>-5814935365.0022049</v>
      </c>
      <c r="G173" s="857"/>
      <c r="H173" s="858"/>
      <c r="I173" s="856">
        <f>CALI!I161+YUMBO!I161+BUGA!I161+'ADULTO MAYOR'!I161</f>
        <v>-70636669010.168793</v>
      </c>
      <c r="J173" s="857"/>
      <c r="K173" s="858"/>
      <c r="L173" s="856">
        <f>CALI!L161+YUMBO!L161+BUGA!L161+'ADULTO MAYOR'!L161</f>
        <v>-19846364522.208</v>
      </c>
      <c r="M173" s="857"/>
      <c r="N173" s="858"/>
      <c r="O173" s="856" t="e">
        <f>CALI!O161+YUMBO!O161+BUGA!O161+'ADULTO MAYOR'!O161</f>
        <v>#DIV/0!</v>
      </c>
      <c r="P173" s="857"/>
      <c r="Q173" s="858"/>
      <c r="R173" s="856" t="e">
        <f>CALI!R161+YUMBO!R161+BUGA!R161+'ADULTO MAYOR'!R161</f>
        <v>#DIV/0!</v>
      </c>
      <c r="S173" s="857"/>
      <c r="T173" s="858"/>
      <c r="U173" s="856" t="e">
        <f>CALI!U161+YUMBO!U161+BUGA!U161+'ADULTO MAYOR'!U161</f>
        <v>#DIV/0!</v>
      </c>
      <c r="V173" s="857"/>
      <c r="W173" s="858"/>
      <c r="X173" s="856" t="e">
        <f>CALI!X161+YUMBO!X161+BUGA!X161+'ADULTO MAYOR'!X161</f>
        <v>#DIV/0!</v>
      </c>
      <c r="Y173" s="857"/>
      <c r="Z173" s="858"/>
      <c r="AA173" s="856" t="e">
        <f>CALI!AA161+YUMBO!AA161+BUGA!AA161+'ADULTO MAYOR'!AA161</f>
        <v>#DIV/0!</v>
      </c>
      <c r="AB173" s="857"/>
      <c r="AC173" s="858"/>
      <c r="AD173" s="856" t="e">
        <f>CALI!AD161+YUMBO!AD161+BUGA!AD161+'ADULTO MAYOR'!AD161</f>
        <v>#DIV/0!</v>
      </c>
      <c r="AE173" s="857"/>
      <c r="AF173" s="858"/>
      <c r="AG173" s="856" t="e">
        <f>CALI!AG161+YUMBO!AG161+BUGA!AG161+'ADULTO MAYOR'!AG161</f>
        <v>#DIV/0!</v>
      </c>
      <c r="AH173" s="857"/>
      <c r="AI173" s="858"/>
      <c r="AJ173" s="856" t="e">
        <f>CALI!AJ161+YUMBO!AJ161+BUGA!AJ161+'ADULTO MAYOR'!AJ161</f>
        <v>#DIV/0!</v>
      </c>
      <c r="AK173" s="857"/>
      <c r="AL173" s="858"/>
      <c r="AM173" s="859" t="e">
        <f>CALI!AM161+YUMBO!AM161+BUGA!AM161+'ADULTO MAYOR'!AM161</f>
        <v>#DIV/0!</v>
      </c>
      <c r="AN173" s="860"/>
      <c r="AO173" s="861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849"/>
      <c r="C174" s="862" t="e">
        <f>C173/(CALI!C13+YUMBO!C13+BUGA!C13+'ADULTO MAYOR'!C13)</f>
        <v>#DIV/0!</v>
      </c>
      <c r="D174" s="863"/>
      <c r="E174" s="864"/>
      <c r="F174" s="862" t="e">
        <f>F173/(CALI!F13+YUMBO!F13+BUGA!F13+'ADULTO MAYOR'!F13)</f>
        <v>#DIV/0!</v>
      </c>
      <c r="G174" s="863"/>
      <c r="H174" s="864"/>
      <c r="I174" s="862">
        <f>I173/(CALI!I13+YUMBO!I13+BUGA!I13+'ADULTO MAYOR'!I13)</f>
        <v>-18.254826626524068</v>
      </c>
      <c r="J174" s="863"/>
      <c r="K174" s="864"/>
      <c r="L174" s="862">
        <f>L173/(CALI!L13+YUMBO!L13+BUGA!L13+'ADULTO MAYOR'!L13)</f>
        <v>-10.257899999999999</v>
      </c>
      <c r="M174" s="863"/>
      <c r="N174" s="864"/>
      <c r="O174" s="862" t="e">
        <f>O173/(CALI!O13+YUMBO!O13+BUGA!O13+'ADULTO MAYOR'!O13)</f>
        <v>#DIV/0!</v>
      </c>
      <c r="P174" s="863"/>
      <c r="Q174" s="864"/>
      <c r="R174" s="862" t="e">
        <f>R173/(CALI!R13+YUMBO!R13+BUGA!R13+'ADULTO MAYOR'!R13)</f>
        <v>#DIV/0!</v>
      </c>
      <c r="S174" s="863"/>
      <c r="T174" s="864"/>
      <c r="U174" s="862" t="e">
        <f>U173/(CALI!U13+YUMBO!U13+BUGA!U13+'ADULTO MAYOR'!U13)</f>
        <v>#DIV/0!</v>
      </c>
      <c r="V174" s="863"/>
      <c r="W174" s="864"/>
      <c r="X174" s="862" t="e">
        <f>X173/(CALI!X13+YUMBO!X13+BUGA!X13+'ADULTO MAYOR'!X13)</f>
        <v>#DIV/0!</v>
      </c>
      <c r="Y174" s="863"/>
      <c r="Z174" s="864"/>
      <c r="AA174" s="862" t="e">
        <f>AA173/(CALI!AA13+YUMBO!AA13+BUGA!AA13+'ADULTO MAYOR'!AA13)</f>
        <v>#DIV/0!</v>
      </c>
      <c r="AB174" s="863"/>
      <c r="AC174" s="864"/>
      <c r="AD174" s="862" t="e">
        <f>AD173/(CALI!AD13+YUMBO!AD13+BUGA!AD13+'ADULTO MAYOR'!AD13)</f>
        <v>#DIV/0!</v>
      </c>
      <c r="AE174" s="863"/>
      <c r="AF174" s="864"/>
      <c r="AG174" s="862" t="e">
        <f>AG173/(CALI!AG13+YUMBO!AG13+BUGA!AG13+'ADULTO MAYOR'!AG13)</f>
        <v>#DIV/0!</v>
      </c>
      <c r="AH174" s="863"/>
      <c r="AI174" s="864"/>
      <c r="AJ174" s="862" t="e">
        <f>AJ173/(CALI!AJ13+YUMBO!AJ13+BUGA!AJ13+'ADULTO MAYOR'!AJ13)</f>
        <v>#DIV/0!</v>
      </c>
      <c r="AK174" s="863"/>
      <c r="AL174" s="864"/>
      <c r="AM174" s="862" t="e">
        <f>AM173/(CALI!AM13+YUMBO!AM13+BUGA!AM13+'ADULTO MAYOR'!AM13)</f>
        <v>#DIV/0!</v>
      </c>
      <c r="AN174" s="860"/>
      <c r="AO174" s="861"/>
    </row>
    <row r="175" spans="1:65" ht="17.100000000000001" customHeight="1" thickTop="1" x14ac:dyDescent="0.25">
      <c r="B175" s="849"/>
      <c r="C175" s="698"/>
      <c r="D175" s="698"/>
      <c r="E175" s="850"/>
      <c r="F175" s="698"/>
      <c r="G175" s="698"/>
      <c r="H175" s="850"/>
      <c r="I175" s="698"/>
      <c r="J175" s="698"/>
      <c r="K175" s="850"/>
      <c r="L175" s="698"/>
      <c r="M175" s="698"/>
      <c r="N175" s="850"/>
      <c r="O175" s="698"/>
      <c r="P175" s="698"/>
      <c r="Q175" s="850"/>
      <c r="R175" s="698"/>
      <c r="S175" s="698"/>
      <c r="T175" s="850"/>
      <c r="U175" s="698"/>
      <c r="V175" s="698"/>
      <c r="W175" s="850"/>
      <c r="X175" s="698"/>
      <c r="Y175" s="698"/>
      <c r="Z175" s="850"/>
      <c r="AA175" s="698"/>
      <c r="AB175" s="698"/>
      <c r="AC175" s="850"/>
      <c r="AD175" s="698"/>
      <c r="AE175" s="698"/>
      <c r="AF175" s="850"/>
      <c r="AG175" s="698"/>
      <c r="AH175" s="698"/>
      <c r="AI175" s="850"/>
      <c r="AJ175" s="698"/>
      <c r="AK175" s="698"/>
      <c r="AL175" s="850"/>
      <c r="AM175" s="851"/>
      <c r="AN175" s="698"/>
      <c r="AO175" s="706"/>
    </row>
    <row r="176" spans="1:65" s="108" customFormat="1" ht="17.100000000000001" customHeight="1" x14ac:dyDescent="0.2">
      <c r="A176" s="153"/>
      <c r="B176" s="953" t="s">
        <v>541</v>
      </c>
      <c r="C176" s="957"/>
      <c r="D176" s="957"/>
      <c r="E176" s="957"/>
      <c r="F176" s="957"/>
      <c r="G176" s="957"/>
      <c r="H176" s="957"/>
      <c r="I176" s="957"/>
      <c r="J176" s="957"/>
      <c r="K176" s="957"/>
      <c r="L176" s="957"/>
      <c r="M176" s="957"/>
      <c r="N176" s="957"/>
      <c r="O176" s="957"/>
      <c r="P176" s="957"/>
      <c r="Q176" s="957"/>
      <c r="R176" s="957"/>
      <c r="S176" s="957"/>
      <c r="T176" s="957"/>
      <c r="U176" s="957"/>
      <c r="V176" s="957"/>
      <c r="W176" s="957"/>
      <c r="X176" s="957"/>
      <c r="Y176" s="957"/>
      <c r="Z176" s="957"/>
      <c r="AA176" s="957"/>
      <c r="AB176" s="957"/>
      <c r="AC176" s="957"/>
      <c r="AD176" s="957"/>
      <c r="AE176" s="957"/>
      <c r="AF176" s="957"/>
      <c r="AG176" s="957"/>
      <c r="AH176" s="957"/>
      <c r="AI176" s="957"/>
      <c r="AJ176" s="957"/>
      <c r="AK176" s="957"/>
      <c r="AL176" s="957"/>
      <c r="AM176" s="957"/>
      <c r="AN176" s="706"/>
      <c r="AO176" s="706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51"/>
      <c r="C177" s="958"/>
      <c r="D177" s="958"/>
      <c r="E177" s="958"/>
      <c r="F177" s="958"/>
      <c r="G177" s="958"/>
      <c r="H177" s="958"/>
      <c r="I177" s="958"/>
      <c r="J177" s="958"/>
      <c r="K177" s="958"/>
      <c r="L177" s="958"/>
      <c r="M177" s="958"/>
      <c r="N177" s="958"/>
      <c r="O177" s="958"/>
      <c r="P177" s="958"/>
      <c r="Q177" s="958"/>
      <c r="R177" s="958"/>
      <c r="S177" s="958"/>
      <c r="T177" s="958"/>
      <c r="U177" s="958"/>
      <c r="V177" s="958"/>
      <c r="W177" s="958"/>
      <c r="X177" s="958"/>
      <c r="Y177" s="958"/>
      <c r="Z177" s="958"/>
      <c r="AA177" s="958"/>
      <c r="AB177" s="958"/>
      <c r="AC177" s="958"/>
      <c r="AD177" s="958"/>
      <c r="AE177" s="958"/>
      <c r="AF177" s="958"/>
      <c r="AG177" s="958"/>
      <c r="AH177" s="958"/>
      <c r="AI177" s="958"/>
      <c r="AJ177" s="958"/>
      <c r="AK177" s="958"/>
      <c r="AL177" s="958"/>
      <c r="AM177" s="958"/>
      <c r="AN177" s="706"/>
      <c r="AO177" s="706"/>
    </row>
    <row r="178" spans="1:65" s="108" customFormat="1" ht="11.1" customHeight="1" x14ac:dyDescent="0.2">
      <c r="A178" s="153"/>
      <c r="B178" s="952" t="s">
        <v>542</v>
      </c>
      <c r="C178" s="954">
        <f>CALI!C161+YUMBO!C161+BUGA!C161+'COMEDORES CALI'!C161+'CTAS EN PPACION'!C161+'COMEDORES VALLE'!C161+'COMEDORES PALMIRA'!C161+'ADULTO MAYOR'!C161</f>
        <v>-5646734218.2399998</v>
      </c>
      <c r="D178" s="954"/>
      <c r="E178" s="954"/>
      <c r="F178" s="954">
        <f>CALI!F161+YUMBO!F161+BUGA!F161+'COMEDORES CALI'!F161+'CTAS EN PPACION'!F161+'COMEDORES VALLE'!F161+'COMEDORES PALMIRA'!F161+'ADULTO MAYOR'!F161</f>
        <v>-9556249663.0399933</v>
      </c>
      <c r="G178" s="954"/>
      <c r="H178" s="954"/>
      <c r="I178" s="954">
        <f>CALI!I161+YUMBO!I161+BUGA!I161+'COMEDORES CALI'!I161+'CTAS EN PPACION'!I161+'COMEDORES VALLE'!I161+'COMEDORES PALMIRA'!I161+'ADULTO MAYOR'!I161</f>
        <v>-71178396075.768799</v>
      </c>
      <c r="J178" s="954"/>
      <c r="K178" s="954"/>
      <c r="L178" s="954">
        <f>CALI!L161+YUMBO!L161+BUGA!L161+'COMEDORES CALI'!L161+'CTAS EN PPACION'!L161+'COMEDORES VALLE'!L161+'COMEDORES PALMIRA'!L161+'ADULTO MAYOR'!L161</f>
        <v>-20438878500.208</v>
      </c>
      <c r="M178" s="954"/>
      <c r="N178" s="954">
        <f>CALI!N161+YUMBO!N161+BUGA!N161+'COMEDORES CALI'!N161+'CTAS EN PPACION'!N161+'COMEDORES VALLE'!N161+'COMEDORES PALMIRA'!N161+'ADULTO MAYOR'!N161</f>
        <v>0</v>
      </c>
      <c r="O178" s="954" t="e">
        <f>CALI!O161+YUMBO!O161+BUGA!O161+'COMEDORES CALI'!O161+'CTAS EN PPACION'!O161+'COMEDORES VALLE'!O161+'COMEDORES PALMIRA'!O161+'ADULTO MAYOR'!O161</f>
        <v>#DIV/0!</v>
      </c>
      <c r="P178" s="954"/>
      <c r="Q178" s="954"/>
      <c r="R178" s="954" t="e">
        <f>CALI!R161+YUMBO!R161+BUGA!R161+'COMEDORES CALI'!R161+'CTAS EN PPACION'!R161+'COMEDORES VALLE'!R161+'COMEDORES PALMIRA'!R161+'ADULTO MAYOR'!R161</f>
        <v>#DIV/0!</v>
      </c>
      <c r="S178" s="954"/>
      <c r="T178" s="954"/>
      <c r="U178" s="954" t="e">
        <f>CALI!U161+YUMBO!U161+BUGA!U161+'COMEDORES CALI'!U161+'CTAS EN PPACION'!U161+'COMEDORES VALLE'!U161+'COMEDORES PALMIRA'!U161+'ADULTO MAYOR'!U161</f>
        <v>#DIV/0!</v>
      </c>
      <c r="V178" s="954"/>
      <c r="W178" s="954"/>
      <c r="X178" s="954" t="e">
        <f>CALI!X161+YUMBO!X161+BUGA!X161+'COMEDORES CALI'!X161+'CTAS EN PPACION'!X161+'COMEDORES VALLE'!X161+'COMEDORES PALMIRA'!X161+'ADULTO MAYOR'!X161</f>
        <v>#DIV/0!</v>
      </c>
      <c r="Y178" s="954"/>
      <c r="Z178" s="954"/>
      <c r="AA178" s="954" t="e">
        <f>CALI!AA161+YUMBO!AA161+BUGA!AA161+'COMEDORES CALI'!AA161+'CTAS EN PPACION'!AA161+'COMEDORES VALLE'!AA161+'COMEDORES PALMIRA'!AA161+'ADULTO MAYOR'!AA161</f>
        <v>#DIV/0!</v>
      </c>
      <c r="AB178" s="954"/>
      <c r="AC178" s="954"/>
      <c r="AD178" s="954" t="e">
        <f>CALI!AD161+YUMBO!AD161+BUGA!AD161+'COMEDORES CALI'!AD161+'CTAS EN PPACION'!AD161+'COMEDORES VALLE'!AD161+'COMEDORES PALMIRA'!AD161+'ADULTO MAYOR'!AD161</f>
        <v>#DIV/0!</v>
      </c>
      <c r="AE178" s="954"/>
      <c r="AF178" s="954"/>
      <c r="AG178" s="954" t="e">
        <f>CALI!AG161+YUMBO!AG161+BUGA!AG161+'COMEDORES CALI'!AG161+'CTAS EN PPACION'!AG161+'COMEDORES VALLE'!AG161+'COMEDORES PALMIRA'!AG161+'ADULTO MAYOR'!AG161</f>
        <v>#DIV/0!</v>
      </c>
      <c r="AH178" s="954"/>
      <c r="AI178" s="954"/>
      <c r="AJ178" s="954" t="e">
        <f>CALI!AJ161+YUMBO!AJ161+BUGA!AJ161+'COMEDORES CALI'!AJ161+'CTAS EN PPACION'!AJ161+'COMEDORES VALLE'!AJ161+'COMEDORES PALMIRA'!AJ161+'ADULTO MAYOR'!AJ161</f>
        <v>#DIV/0!</v>
      </c>
      <c r="AK178" s="954"/>
      <c r="AL178" s="954"/>
      <c r="AM178" s="954" t="e">
        <f>CALI!AM161+YUMBO!AM161+BUGA!AM161+'COMEDORES CALI'!AM161+'CTAS EN PPACION'!AM161+'COMEDORES VALLE'!AM161+'COMEDORES PALMIRA'!AM161+'ADULTO MAYOR'!AM161</f>
        <v>#DIV/0!</v>
      </c>
      <c r="AN178" s="394"/>
      <c r="AO178" s="394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108" customFormat="1" ht="11.1" customHeight="1" x14ac:dyDescent="0.2">
      <c r="A179" s="153"/>
      <c r="B179" s="952" t="s">
        <v>543</v>
      </c>
      <c r="C179" s="954">
        <f>C178-C168</f>
        <v>0</v>
      </c>
      <c r="D179" s="954"/>
      <c r="E179" s="954"/>
      <c r="F179" s="954">
        <f>F178-F168</f>
        <v>0</v>
      </c>
      <c r="G179" s="954"/>
      <c r="H179" s="954"/>
      <c r="I179" s="954">
        <f>I178-I168</f>
        <v>725527320</v>
      </c>
      <c r="J179" s="954"/>
      <c r="K179" s="954"/>
      <c r="L179" s="954">
        <f>L178-L168</f>
        <v>241842440</v>
      </c>
      <c r="M179" s="954"/>
      <c r="N179" s="954">
        <f>N178-N168</f>
        <v>0</v>
      </c>
      <c r="O179" s="954" t="e">
        <f>O178-O168</f>
        <v>#DIV/0!</v>
      </c>
      <c r="P179" s="954"/>
      <c r="Q179" s="954"/>
      <c r="R179" s="954" t="e">
        <f>R178-R168</f>
        <v>#DIV/0!</v>
      </c>
      <c r="S179" s="954"/>
      <c r="T179" s="954"/>
      <c r="U179" s="954" t="e">
        <f>U178-U168</f>
        <v>#DIV/0!</v>
      </c>
      <c r="V179" s="954"/>
      <c r="W179" s="954"/>
      <c r="X179" s="954" t="e">
        <f>X178-X168</f>
        <v>#DIV/0!</v>
      </c>
      <c r="Y179" s="954"/>
      <c r="Z179" s="954"/>
      <c r="AA179" s="954" t="e">
        <f>AA178-AA168</f>
        <v>#DIV/0!</v>
      </c>
      <c r="AB179" s="954"/>
      <c r="AC179" s="954"/>
      <c r="AD179" s="954" t="e">
        <f>AD178-AD168</f>
        <v>#DIV/0!</v>
      </c>
      <c r="AE179" s="954"/>
      <c r="AF179" s="954"/>
      <c r="AG179" s="954" t="e">
        <f>AG178-AG168</f>
        <v>#DIV/0!</v>
      </c>
      <c r="AH179" s="954"/>
      <c r="AI179" s="954"/>
      <c r="AJ179" s="954" t="e">
        <f>AJ178-AJ168</f>
        <v>#DIV/0!</v>
      </c>
      <c r="AK179" s="954"/>
      <c r="AL179" s="954"/>
      <c r="AM179" s="954" t="e">
        <f>AM178-AM168</f>
        <v>#DIV/0!</v>
      </c>
      <c r="AN179" s="394"/>
      <c r="AO179" s="394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951" t="s">
        <v>544</v>
      </c>
      <c r="C180" s="955">
        <f>'GASTOS ADMINISTRATIVOS'!C96-'PYG TOTAL'!C148</f>
        <v>0</v>
      </c>
      <c r="D180" s="955"/>
      <c r="E180" s="955"/>
      <c r="F180" s="955">
        <f>'GASTOS ADMINISTRATIVOS'!D96-'PYG TOTAL'!F148</f>
        <v>0</v>
      </c>
      <c r="G180" s="955"/>
      <c r="H180" s="955"/>
      <c r="I180" s="955">
        <f>'GASTOS ADMINISTRATIVOS'!E96-'PYG TOTAL'!I148</f>
        <v>0</v>
      </c>
      <c r="J180" s="955"/>
      <c r="K180" s="955"/>
      <c r="L180" s="955">
        <f>'GASTOS ADMINISTRATIVOS'!F96-'PYG TOTAL'!L148</f>
        <v>0</v>
      </c>
      <c r="M180" s="955"/>
      <c r="N180" s="955"/>
      <c r="O180" s="955" t="e">
        <f>'GASTOS ADMINISTRATIVOS'!G96-'PYG TOTAL'!O148</f>
        <v>#DIV/0!</v>
      </c>
      <c r="P180" s="955"/>
      <c r="Q180" s="955"/>
      <c r="R180" s="955" t="e">
        <f>'GASTOS ADMINISTRATIVOS'!H96-'PYG TOTAL'!R148</f>
        <v>#DIV/0!</v>
      </c>
      <c r="S180" s="955"/>
      <c r="T180" s="955"/>
      <c r="U180" s="955" t="e">
        <f>'GASTOS ADMINISTRATIVOS'!I96-'PYG TOTAL'!U148</f>
        <v>#DIV/0!</v>
      </c>
      <c r="V180" s="955"/>
      <c r="W180" s="955"/>
      <c r="X180" s="956" t="e">
        <f>'GASTOS ADMINISTRATIVOS'!J96-'PYG TOTAL'!X148</f>
        <v>#DIV/0!</v>
      </c>
      <c r="Y180" s="956"/>
      <c r="Z180" s="956"/>
      <c r="AA180" s="956" t="e">
        <f>'GASTOS ADMINISTRATIVOS'!K96-'PYG TOTAL'!AA148</f>
        <v>#DIV/0!</v>
      </c>
      <c r="AB180" s="956"/>
      <c r="AC180" s="956"/>
      <c r="AD180" s="956" t="e">
        <f>'GASTOS ADMINISTRATIVOS'!L96-'PYG TOTAL'!AD148</f>
        <v>#DIV/0!</v>
      </c>
      <c r="AE180" s="956"/>
      <c r="AF180" s="956"/>
      <c r="AG180" s="956" t="e">
        <f>'GASTOS ADMINISTRATIVOS'!M96-'PYG TOTAL'!AG148</f>
        <v>#DIV/0!</v>
      </c>
      <c r="AH180" s="956"/>
      <c r="AI180" s="956"/>
      <c r="AJ180" s="956" t="e">
        <f>'GASTOS ADMINISTRATIVOS'!N96-'PYG TOTAL'!AJ148</f>
        <v>#DIV/0!</v>
      </c>
      <c r="AK180" s="956"/>
      <c r="AL180" s="956"/>
      <c r="AM180" s="956" t="e">
        <f>'GASTOS ADMINISTRATIVOS'!O96-'PYG TOTAL'!AM148</f>
        <v>#DIV/0!</v>
      </c>
      <c r="AN180" s="464"/>
      <c r="AO180" s="464"/>
    </row>
    <row r="181" spans="1:65" ht="11.1" customHeight="1" x14ac:dyDescent="0.2">
      <c r="B181" s="951" t="s">
        <v>545</v>
      </c>
      <c r="C181" s="956">
        <f>'GASTOS OPERATIVOS'!C17+BUGA!C85+'CTAS EN PPACION'!C85+'COMEDORES VALLE'!C85-C85</f>
        <v>0</v>
      </c>
      <c r="D181" s="956"/>
      <c r="E181" s="956"/>
      <c r="F181" s="956">
        <f>'GASTOS OPERATIVOS'!D17+BUGA!F85+'CTAS EN PPACION'!F85+'COMEDORES VALLE'!F85-F85</f>
        <v>0</v>
      </c>
      <c r="G181" s="956"/>
      <c r="H181" s="956"/>
      <c r="I181" s="956">
        <f>'GASTOS OPERATIVOS'!E17+BUGA!I85+'CTAS EN PPACION'!I85+'COMEDORES VALLE'!I85-I85</f>
        <v>0</v>
      </c>
      <c r="J181" s="956"/>
      <c r="K181" s="956"/>
      <c r="L181" s="956">
        <f>'GASTOS OPERATIVOS'!F17+BUGA!L85+'CTAS EN PPACION'!L85+'COMEDORES VALLE'!L85-L85</f>
        <v>0</v>
      </c>
      <c r="M181" s="956"/>
      <c r="N181" s="956"/>
      <c r="O181" s="956" t="e">
        <f>'GASTOS OPERATIVOS'!G17+BUGA!O85+'CTAS EN PPACION'!O85+'COMEDORES VALLE'!O85-O85</f>
        <v>#DIV/0!</v>
      </c>
      <c r="P181" s="956"/>
      <c r="Q181" s="956"/>
      <c r="R181" s="956" t="e">
        <f>'GASTOS OPERATIVOS'!H17+BUGA!R85+'CTAS EN PPACION'!R85+'COMEDORES VALLE'!R85-R85</f>
        <v>#DIV/0!</v>
      </c>
      <c r="S181" s="956"/>
      <c r="T181" s="956"/>
      <c r="U181" s="956" t="e">
        <f>'GASTOS OPERATIVOS'!I17+BUGA!U85+'CTAS EN PPACION'!U85+'COMEDORES VALLE'!U85-U85</f>
        <v>#DIV/0!</v>
      </c>
      <c r="V181" s="956"/>
      <c r="W181" s="956"/>
      <c r="X181" s="956" t="e">
        <f>'GASTOS OPERATIVOS'!J17+BUGA!X85+'CTAS EN PPACION'!X85+'COMEDORES VALLE'!X85-X85</f>
        <v>#DIV/0!</v>
      </c>
      <c r="Y181" s="956"/>
      <c r="Z181" s="956"/>
      <c r="AA181" s="956" t="e">
        <f>'GASTOS OPERATIVOS'!K17+BUGA!AA85+'CTAS EN PPACION'!AA85+'COMEDORES VALLE'!AA85-AA85</f>
        <v>#DIV/0!</v>
      </c>
      <c r="AB181" s="956"/>
      <c r="AC181" s="956"/>
      <c r="AD181" s="956" t="e">
        <f>'GASTOS OPERATIVOS'!L17+BUGA!AD85+'CTAS EN PPACION'!AD85+'COMEDORES VALLE'!AD85-AD85</f>
        <v>#DIV/0!</v>
      </c>
      <c r="AE181" s="956"/>
      <c r="AF181" s="956"/>
      <c r="AG181" s="956" t="e">
        <f>'GASTOS OPERATIVOS'!M17+BUGA!AG85+'CTAS EN PPACION'!AG85+'COMEDORES VALLE'!AG85-AG85</f>
        <v>#DIV/0!</v>
      </c>
      <c r="AH181" s="956"/>
      <c r="AI181" s="956"/>
      <c r="AJ181" s="956" t="e">
        <f>'GASTOS OPERATIVOS'!N17+BUGA!AJ85+'CTAS EN PPACION'!AJ85+'COMEDORES VALLE'!AJ85-AJ85</f>
        <v>#DIV/0!</v>
      </c>
      <c r="AK181" s="956"/>
      <c r="AL181" s="956"/>
      <c r="AM181" s="956" t="e">
        <f>'GASTOS OPERATIVOS'!O17+BUGA!AM85+'CTAS EN PPACION'!AM85+'COMEDORES VALLE'!AM85-AM85</f>
        <v>#DIV/0!</v>
      </c>
      <c r="AN181" s="464"/>
      <c r="AO181" s="464"/>
    </row>
    <row r="182" spans="1:65" ht="11.1" customHeight="1" x14ac:dyDescent="0.2">
      <c r="B182" s="951" t="s">
        <v>546</v>
      </c>
      <c r="C182" s="956">
        <f>'GASTOS VEHICULOS'!C25-'PYG TOTAL'!C73</f>
        <v>0</v>
      </c>
      <c r="D182" s="956"/>
      <c r="E182" s="956"/>
      <c r="F182" s="956">
        <f>'GASTOS VEHICULOS'!D25-'PYG TOTAL'!F73</f>
        <v>0</v>
      </c>
      <c r="G182" s="956"/>
      <c r="H182" s="956"/>
      <c r="I182" s="956">
        <f>'GASTOS VEHICULOS'!E25-'PYG TOTAL'!I73</f>
        <v>0</v>
      </c>
      <c r="J182" s="956"/>
      <c r="K182" s="956"/>
      <c r="L182" s="956">
        <f>'GASTOS VEHICULOS'!F25-'PYG TOTAL'!L73</f>
        <v>0</v>
      </c>
      <c r="M182" s="956"/>
      <c r="N182" s="956"/>
      <c r="O182" s="956">
        <f>'GASTOS VEHICULOS'!G25-'PYG TOTAL'!O73</f>
        <v>0</v>
      </c>
      <c r="P182" s="956"/>
      <c r="Q182" s="956"/>
      <c r="R182" s="956">
        <f>'GASTOS VEHICULOS'!H25-'PYG TOTAL'!R73</f>
        <v>0</v>
      </c>
      <c r="S182" s="956"/>
      <c r="T182" s="956"/>
      <c r="U182" s="956">
        <f>'GASTOS VEHICULOS'!I25-'PYG TOTAL'!U73</f>
        <v>0</v>
      </c>
      <c r="V182" s="956"/>
      <c r="W182" s="956"/>
      <c r="X182" s="956">
        <f>'GASTOS VEHICULOS'!J25-'PYG TOTAL'!X73</f>
        <v>0</v>
      </c>
      <c r="Y182" s="956"/>
      <c r="Z182" s="956"/>
      <c r="AA182" s="956">
        <f>'GASTOS VEHICULOS'!K25-'PYG TOTAL'!AA73</f>
        <v>0</v>
      </c>
      <c r="AB182" s="956"/>
      <c r="AC182" s="956"/>
      <c r="AD182" s="956">
        <f>'GASTOS VEHICULOS'!L25-'PYG TOTAL'!AD73</f>
        <v>0</v>
      </c>
      <c r="AE182" s="956"/>
      <c r="AF182" s="956"/>
      <c r="AG182" s="956">
        <f>'GASTOS VEHICULOS'!M25-'PYG TOTAL'!AG73</f>
        <v>0</v>
      </c>
      <c r="AH182" s="956"/>
      <c r="AI182" s="956"/>
      <c r="AJ182" s="956">
        <f>'GASTOS VEHICULOS'!N25-'PYG TOTAL'!AJ73</f>
        <v>0</v>
      </c>
      <c r="AK182" s="956"/>
      <c r="AL182" s="956"/>
      <c r="AM182" s="956">
        <f>'GASTOS VEHICULOS'!O25-'PYG TOTAL'!AM73</f>
        <v>0</v>
      </c>
      <c r="AN182" s="464"/>
      <c r="AO182" s="464"/>
    </row>
    <row r="183" spans="1:65" x14ac:dyDescent="0.2">
      <c r="B183" s="951" t="s">
        <v>547</v>
      </c>
      <c r="C183" s="956">
        <f>'GASTOS ADMINISTRATIVOS'!C109-'PYG TOTAL'!C149+520117.4+29230.55+40203.2+79552.5+3501.4</f>
        <v>-1.1897554941242561E-8</v>
      </c>
      <c r="D183" s="956"/>
      <c r="E183" s="956"/>
      <c r="F183" s="956">
        <f>'GASTOS ADMINISTRATIVOS'!D109-'PYG TOTAL'!F149+129086.38+6000</f>
        <v>-5.4831616580486298E-8</v>
      </c>
      <c r="G183" s="956"/>
      <c r="H183" s="956"/>
      <c r="I183" s="956">
        <f>'GASTOS ADMINISTRATIVOS'!E109-'PYG TOTAL'!I149</f>
        <v>2176581960</v>
      </c>
      <c r="J183" s="956"/>
      <c r="K183" s="956"/>
      <c r="L183" s="956">
        <f>'GASTOS ADMINISTRATIVOS'!F109-'PYG TOTAL'!L149</f>
        <v>-241842440</v>
      </c>
      <c r="M183" s="956"/>
      <c r="N183" s="956"/>
      <c r="O183" s="956">
        <f>'GASTOS ADMINISTRATIVOS'!G109-'PYG TOTAL'!O149</f>
        <v>0</v>
      </c>
      <c r="P183" s="956"/>
      <c r="Q183" s="956"/>
      <c r="R183" s="956">
        <f>'GASTOS ADMINISTRATIVOS'!H109-'PYG TOTAL'!R149</f>
        <v>0</v>
      </c>
      <c r="S183" s="956"/>
      <c r="T183" s="956"/>
      <c r="U183" s="956">
        <f>'GASTOS ADMINISTRATIVOS'!I109-'PYG TOTAL'!U149</f>
        <v>0</v>
      </c>
      <c r="V183" s="956"/>
      <c r="W183" s="956"/>
      <c r="X183" s="956">
        <f>'GASTOS ADMINISTRATIVOS'!J109-'PYG TOTAL'!X149</f>
        <v>0</v>
      </c>
      <c r="Y183" s="956"/>
      <c r="Z183" s="956"/>
      <c r="AA183" s="956">
        <f>'GASTOS ADMINISTRATIVOS'!K109-'PYG TOTAL'!AA149</f>
        <v>0</v>
      </c>
      <c r="AB183" s="956"/>
      <c r="AC183" s="956"/>
      <c r="AD183" s="956">
        <f>'GASTOS ADMINISTRATIVOS'!L109-'PYG TOTAL'!AD149</f>
        <v>0</v>
      </c>
      <c r="AE183" s="956"/>
      <c r="AF183" s="956"/>
      <c r="AG183" s="956">
        <f>'GASTOS ADMINISTRATIVOS'!M109-'PYG TOTAL'!AG149</f>
        <v>0</v>
      </c>
      <c r="AH183" s="956"/>
      <c r="AI183" s="956"/>
      <c r="AJ183" s="956">
        <f>'GASTOS ADMINISTRATIVOS'!N109-'PYG TOTAL'!AJ149</f>
        <v>0</v>
      </c>
      <c r="AK183" s="956"/>
      <c r="AL183" s="956"/>
      <c r="AM183" s="956">
        <f>'GASTOS ADMINISTRATIVOS'!O109-'PYG TOTAL'!AM149+520117.4+29230.55+40203.2+79552.5+3501.4+129086.38+6000</f>
        <v>4353163919.999999</v>
      </c>
      <c r="AN183" s="1043"/>
      <c r="AO183" s="1037"/>
    </row>
    <row r="184" spans="1:65" x14ac:dyDescent="0.2">
      <c r="B184" s="951" t="s">
        <v>311</v>
      </c>
      <c r="C184" s="956">
        <f>'GASTOS ADMINISTRATIVOS'!C119-'PYG TOTAL'!C151</f>
        <v>0</v>
      </c>
      <c r="D184" s="956"/>
      <c r="E184" s="956"/>
      <c r="F184" s="956">
        <f>'GASTOS ADMINISTRATIVOS'!D119-'PYG TOTAL'!F151</f>
        <v>0</v>
      </c>
      <c r="G184" s="956"/>
      <c r="H184" s="956"/>
      <c r="I184" s="956">
        <f>'GASTOS ADMINISTRATIVOS'!E119-'PYG TOTAL'!I151</f>
        <v>0</v>
      </c>
      <c r="J184" s="956"/>
      <c r="K184" s="956"/>
      <c r="L184" s="956">
        <f>'GASTOS ADMINISTRATIVOS'!F119-'PYG TOTAL'!L151</f>
        <v>0</v>
      </c>
      <c r="M184" s="956"/>
      <c r="N184" s="956"/>
      <c r="O184" s="956" t="e">
        <f>'GASTOS ADMINISTRATIVOS'!G119-'PYG TOTAL'!O151</f>
        <v>#DIV/0!</v>
      </c>
      <c r="P184" s="956"/>
      <c r="Q184" s="956"/>
      <c r="R184" s="956" t="e">
        <f>'GASTOS ADMINISTRATIVOS'!H119-'PYG TOTAL'!R151</f>
        <v>#DIV/0!</v>
      </c>
      <c r="S184" s="956"/>
      <c r="T184" s="956"/>
      <c r="U184" s="956" t="e">
        <f>'GASTOS ADMINISTRATIVOS'!I119-'PYG TOTAL'!U151</f>
        <v>#DIV/0!</v>
      </c>
      <c r="V184" s="956"/>
      <c r="W184" s="956"/>
      <c r="X184" s="956" t="e">
        <f>'GASTOS ADMINISTRATIVOS'!J119-'PYG TOTAL'!X151</f>
        <v>#DIV/0!</v>
      </c>
      <c r="Y184" s="956"/>
      <c r="Z184" s="956"/>
      <c r="AA184" s="956" t="e">
        <f>'GASTOS ADMINISTRATIVOS'!K119-'PYG TOTAL'!AA151</f>
        <v>#DIV/0!</v>
      </c>
      <c r="AB184" s="956"/>
      <c r="AC184" s="956"/>
      <c r="AD184" s="956" t="e">
        <f>'GASTOS ADMINISTRATIVOS'!L119-'PYG TOTAL'!AD151</f>
        <v>#DIV/0!</v>
      </c>
      <c r="AE184" s="956"/>
      <c r="AF184" s="956"/>
      <c r="AG184" s="956" t="e">
        <f>'GASTOS ADMINISTRATIVOS'!M119-'PYG TOTAL'!AG151</f>
        <v>#DIV/0!</v>
      </c>
      <c r="AH184" s="956"/>
      <c r="AI184" s="956"/>
      <c r="AJ184" s="956" t="e">
        <f>'GASTOS ADMINISTRATIVOS'!N119-'PYG TOTAL'!AJ151</f>
        <v>#DIV/0!</v>
      </c>
      <c r="AK184" s="956"/>
      <c r="AL184" s="956"/>
      <c r="AM184" s="956" t="e">
        <f>'GASTOS ADMINISTRATIVOS'!O119-'PYG TOTAL'!AM151</f>
        <v>#DIV/0!</v>
      </c>
      <c r="AN184" s="401"/>
      <c r="AO184" s="399"/>
    </row>
    <row r="185" spans="1:65" x14ac:dyDescent="0.2">
      <c r="X185" s="399"/>
      <c r="Y185" s="865"/>
      <c r="Z185" s="399"/>
      <c r="AA185" s="399"/>
      <c r="AB185" s="399"/>
      <c r="AC185" s="399"/>
      <c r="AE185" s="399"/>
      <c r="AF185" s="399"/>
      <c r="AG185" s="399"/>
      <c r="AH185" s="399"/>
      <c r="AI185" s="399"/>
      <c r="AJ185" s="399"/>
      <c r="AK185" s="399"/>
      <c r="AL185" s="399"/>
      <c r="AM185" s="892"/>
      <c r="AN185" s="399"/>
      <c r="AO185" s="399"/>
    </row>
    <row r="186" spans="1:65" x14ac:dyDescent="0.2">
      <c r="S186" s="540"/>
      <c r="X186" s="399"/>
      <c r="Y186" s="399"/>
      <c r="Z186" s="399"/>
      <c r="AA186" s="399"/>
      <c r="AB186" s="865"/>
      <c r="AC186" s="399"/>
      <c r="AD186" s="399"/>
      <c r="AE186" s="399"/>
      <c r="AF186" s="399"/>
      <c r="AG186" s="399"/>
      <c r="AH186" s="399"/>
      <c r="AI186" s="399"/>
      <c r="AJ186" s="399"/>
      <c r="AK186" s="399"/>
      <c r="AL186" s="399"/>
      <c r="AM186" s="401"/>
      <c r="AN186" s="1044"/>
      <c r="AO186" s="1037"/>
    </row>
    <row r="187" spans="1:65" x14ac:dyDescent="0.2">
      <c r="S187" s="540"/>
      <c r="X187" s="399"/>
      <c r="Y187" s="865"/>
      <c r="Z187" s="399"/>
      <c r="AA187" s="399"/>
      <c r="AB187" s="865"/>
      <c r="AC187" s="399"/>
      <c r="AD187" s="879"/>
      <c r="AE187" s="399"/>
      <c r="AF187" s="399"/>
      <c r="AG187" s="611"/>
      <c r="AH187" s="399"/>
      <c r="AI187" s="399"/>
      <c r="AJ187" s="399"/>
      <c r="AK187" s="399"/>
      <c r="AL187" s="399"/>
      <c r="AM187" s="401"/>
      <c r="AN187" s="399"/>
      <c r="AO187" s="399"/>
    </row>
    <row r="188" spans="1:65" x14ac:dyDescent="0.2">
      <c r="X188" s="399"/>
      <c r="Y188" s="399"/>
      <c r="Z188" s="399"/>
      <c r="AA188" s="399"/>
      <c r="AB188" s="399"/>
      <c r="AC188" s="399"/>
      <c r="AD188" s="399"/>
      <c r="AE188" s="399"/>
      <c r="AF188" s="399"/>
      <c r="AG188" s="399"/>
      <c r="AH188" s="399"/>
      <c r="AI188" s="399"/>
      <c r="AJ188" s="399"/>
      <c r="AK188" s="399"/>
      <c r="AL188" s="399"/>
      <c r="AN188" s="399"/>
      <c r="AO188" s="399"/>
    </row>
    <row r="189" spans="1:65" x14ac:dyDescent="0.2">
      <c r="F189" s="540"/>
      <c r="X189" s="399"/>
      <c r="Y189" s="399"/>
      <c r="Z189" s="399"/>
      <c r="AA189" s="399"/>
      <c r="AB189" s="399"/>
      <c r="AF189" s="611"/>
      <c r="AG189" s="611"/>
      <c r="AH189" s="611"/>
      <c r="AI189" s="611"/>
      <c r="AJ189" s="611"/>
      <c r="AK189" s="611"/>
      <c r="AL189" s="611"/>
      <c r="AM189" s="611"/>
      <c r="AN189" s="399"/>
      <c r="AO189" s="399"/>
    </row>
    <row r="190" spans="1:65" x14ac:dyDescent="0.2">
      <c r="X190" s="399"/>
      <c r="Y190" s="399"/>
      <c r="Z190" s="399"/>
      <c r="AA190" s="399"/>
      <c r="AB190" s="399"/>
      <c r="AC190" s="880"/>
      <c r="AD190" s="611"/>
      <c r="AE190" s="611"/>
      <c r="AF190" s="611"/>
      <c r="AG190" s="401"/>
      <c r="AH190" s="611"/>
      <c r="AI190" s="611"/>
      <c r="AJ190" s="611"/>
      <c r="AK190" s="611"/>
      <c r="AL190" s="611"/>
      <c r="AM190" s="611"/>
      <c r="AN190" s="399"/>
      <c r="AO190" s="399"/>
    </row>
    <row r="191" spans="1:65" x14ac:dyDescent="0.2">
      <c r="X191" s="399"/>
      <c r="Y191" s="399"/>
      <c r="Z191" s="399"/>
      <c r="AA191" s="399"/>
      <c r="AB191" s="399"/>
      <c r="AC191" s="611"/>
      <c r="AD191" s="611"/>
      <c r="AE191" s="611"/>
      <c r="AF191" s="611"/>
      <c r="AG191" s="611"/>
      <c r="AH191" s="611"/>
      <c r="AI191" s="611"/>
      <c r="AJ191" s="611"/>
      <c r="AK191" s="611"/>
      <c r="AL191" s="611"/>
      <c r="AM191" s="611"/>
      <c r="AN191" s="399"/>
      <c r="AO191" s="399"/>
    </row>
    <row r="192" spans="1:65" x14ac:dyDescent="0.2">
      <c r="X192" s="399"/>
      <c r="Y192" s="399"/>
      <c r="Z192" s="399"/>
      <c r="AA192" s="399"/>
      <c r="AB192" s="399"/>
      <c r="AC192" s="611"/>
      <c r="AD192" s="611"/>
      <c r="AE192" s="611"/>
      <c r="AF192" s="611"/>
      <c r="AG192" s="611"/>
      <c r="AH192" s="611"/>
      <c r="AI192" s="611"/>
      <c r="AJ192" s="611"/>
      <c r="AK192" s="611"/>
      <c r="AL192" s="611"/>
      <c r="AM192" s="611"/>
      <c r="AN192" s="399"/>
      <c r="AO192" s="399"/>
    </row>
    <row r="193" spans="9:41" x14ac:dyDescent="0.2">
      <c r="X193" s="399"/>
      <c r="Y193" s="399"/>
      <c r="Z193" s="399"/>
      <c r="AA193" s="399"/>
      <c r="AB193" s="399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399"/>
      <c r="AO193" s="399"/>
    </row>
    <row r="194" spans="9:41" x14ac:dyDescent="0.2">
      <c r="X194" s="399"/>
      <c r="Y194" s="399"/>
      <c r="Z194" s="399"/>
      <c r="AA194" s="399"/>
      <c r="AB194" s="399"/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399"/>
      <c r="AO194" s="399"/>
    </row>
    <row r="195" spans="9:41" x14ac:dyDescent="0.2">
      <c r="X195" s="399"/>
      <c r="Y195" s="399"/>
      <c r="Z195" s="399"/>
      <c r="AA195" s="399"/>
      <c r="AB195" s="399"/>
      <c r="AC195" s="611"/>
      <c r="AD195" s="611"/>
      <c r="AF195" s="611"/>
      <c r="AG195" s="611"/>
      <c r="AH195" s="611"/>
      <c r="AI195" s="611"/>
      <c r="AJ195" s="611"/>
      <c r="AK195" s="611"/>
      <c r="AL195" s="611"/>
      <c r="AM195" s="611"/>
      <c r="AN195" s="399"/>
      <c r="AO195" s="399"/>
    </row>
    <row r="196" spans="9:41" x14ac:dyDescent="0.2">
      <c r="X196" s="399"/>
      <c r="Y196" s="399"/>
      <c r="Z196" s="399"/>
      <c r="AA196" s="399"/>
      <c r="AB196" s="399"/>
      <c r="AC196" s="611"/>
      <c r="AD196" s="401"/>
      <c r="AE196" s="611"/>
      <c r="AF196" s="611"/>
      <c r="AG196" s="611"/>
      <c r="AH196" s="611"/>
      <c r="AI196" s="611"/>
      <c r="AJ196" s="611"/>
      <c r="AK196" s="611"/>
      <c r="AL196" s="611"/>
      <c r="AM196" s="611"/>
      <c r="AN196" s="399"/>
      <c r="AO196" s="399"/>
    </row>
    <row r="197" spans="9:41" x14ac:dyDescent="0.2">
      <c r="X197" s="399"/>
      <c r="Y197" s="399"/>
      <c r="Z197" s="399"/>
      <c r="AA197" s="399"/>
      <c r="AB197" s="399"/>
      <c r="AC197" s="611"/>
      <c r="AD197" s="401"/>
      <c r="AE197" s="611"/>
      <c r="AF197" s="611"/>
      <c r="AG197" s="611"/>
      <c r="AH197" s="611"/>
      <c r="AI197" s="611"/>
      <c r="AJ197" s="611"/>
      <c r="AK197" s="611"/>
      <c r="AL197" s="611"/>
      <c r="AM197" s="611"/>
      <c r="AN197" s="399"/>
      <c r="AO197" s="399"/>
    </row>
    <row r="198" spans="9:41" x14ac:dyDescent="0.2">
      <c r="X198" s="399"/>
      <c r="Y198" s="399"/>
      <c r="Z198" s="399"/>
      <c r="AA198" s="399"/>
      <c r="AB198" s="399"/>
      <c r="AC198" s="611"/>
      <c r="AD198" s="40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399"/>
      <c r="AO198" s="399"/>
    </row>
    <row r="199" spans="9:41" x14ac:dyDescent="0.2">
      <c r="X199" s="399"/>
      <c r="Y199" s="399"/>
      <c r="Z199" s="399"/>
      <c r="AA199" s="399"/>
      <c r="AB199" s="399"/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399"/>
      <c r="AO199" s="399"/>
    </row>
    <row r="200" spans="9:41" x14ac:dyDescent="0.2">
      <c r="X200" s="399"/>
      <c r="Y200" s="399"/>
      <c r="Z200" s="399"/>
      <c r="AA200" s="399"/>
      <c r="AB200" s="399"/>
      <c r="AC200" s="611"/>
      <c r="AD200" s="611"/>
      <c r="AE200" s="611"/>
      <c r="AF200" s="611"/>
      <c r="AG200" s="611"/>
      <c r="AH200" s="611"/>
      <c r="AI200" s="611"/>
      <c r="AJ200" s="611"/>
      <c r="AK200" s="611"/>
      <c r="AL200" s="611"/>
      <c r="AM200" s="611"/>
      <c r="AN200" s="399"/>
      <c r="AO200" s="399"/>
    </row>
    <row r="201" spans="9:41" x14ac:dyDescent="0.2">
      <c r="X201" s="547">
        <f>SUM(X187:X198)</f>
        <v>0</v>
      </c>
      <c r="Y201" s="399"/>
      <c r="Z201" s="399"/>
      <c r="AA201" s="399"/>
      <c r="AB201" s="399"/>
      <c r="AC201" s="399"/>
      <c r="AD201" s="399"/>
      <c r="AE201" s="399"/>
      <c r="AF201" s="399"/>
      <c r="AG201" s="399"/>
      <c r="AH201" s="399"/>
      <c r="AI201" s="399"/>
      <c r="AJ201" s="399"/>
      <c r="AK201" s="399"/>
      <c r="AL201" s="399"/>
      <c r="AM201" s="399"/>
      <c r="AN201" s="399"/>
      <c r="AO201" s="399"/>
    </row>
    <row r="202" spans="9:41" x14ac:dyDescent="0.2">
      <c r="X202" s="399"/>
      <c r="Y202" s="399"/>
      <c r="Z202" s="399"/>
      <c r="AA202" s="399"/>
      <c r="AB202" s="399"/>
      <c r="AC202" s="399"/>
      <c r="AD202" s="399"/>
      <c r="AE202" s="399"/>
      <c r="AF202" s="399"/>
      <c r="AG202" s="399"/>
      <c r="AH202" s="399"/>
      <c r="AI202" s="399"/>
      <c r="AJ202" s="399"/>
      <c r="AK202" s="399"/>
      <c r="AL202" s="399"/>
      <c r="AM202" s="399"/>
      <c r="AN202" s="399"/>
      <c r="AO202" s="399"/>
    </row>
    <row r="203" spans="9:41" hidden="1" x14ac:dyDescent="0.2">
      <c r="I203" s="235">
        <f>I202/15</f>
        <v>0</v>
      </c>
      <c r="X203" s="399"/>
      <c r="Y203" s="399"/>
      <c r="Z203" s="399"/>
      <c r="AA203" s="399"/>
      <c r="AB203" s="399"/>
      <c r="AC203" s="399"/>
      <c r="AD203" s="399"/>
      <c r="AE203" s="399"/>
      <c r="AF203" s="399"/>
      <c r="AG203" s="399"/>
      <c r="AH203" s="399"/>
      <c r="AI203" s="399"/>
      <c r="AJ203" s="399"/>
      <c r="AK203" s="399"/>
      <c r="AL203" s="399"/>
      <c r="AM203" s="399"/>
      <c r="AN203" s="399"/>
      <c r="AO203" s="399"/>
    </row>
    <row r="204" spans="9:41" x14ac:dyDescent="0.2">
      <c r="S204" s="399"/>
      <c r="T204" s="399"/>
      <c r="U204" s="399" t="e">
        <f>U168-#REF!</f>
        <v>#DIV/0!</v>
      </c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  <c r="AG204" s="399"/>
      <c r="AH204" s="399"/>
      <c r="AI204" s="399"/>
      <c r="AJ204" s="399"/>
      <c r="AK204" s="399"/>
      <c r="AL204" s="399"/>
      <c r="AM204" s="399"/>
      <c r="AN204" s="868"/>
      <c r="AO204" s="399"/>
    </row>
    <row r="205" spans="9:41" x14ac:dyDescent="0.2">
      <c r="S205" s="399"/>
      <c r="T205" s="399" t="s">
        <v>509</v>
      </c>
      <c r="U205" s="399" t="e">
        <f>V205*U13</f>
        <v>#REF!</v>
      </c>
      <c r="V205" s="865" t="e">
        <f>#REF!-W43</f>
        <v>#REF!</v>
      </c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  <c r="AG205" s="399"/>
      <c r="AH205" s="399"/>
      <c r="AI205" s="399"/>
      <c r="AJ205" s="399"/>
      <c r="AK205" s="399"/>
      <c r="AL205" s="399"/>
      <c r="AM205" s="401"/>
      <c r="AN205" s="1037"/>
      <c r="AO205" s="1037"/>
    </row>
    <row r="206" spans="9:41" x14ac:dyDescent="0.2">
      <c r="S206" s="399"/>
      <c r="T206" s="399" t="s">
        <v>548</v>
      </c>
      <c r="U206" s="399" t="e">
        <f>#REF!-U148</f>
        <v>#REF!</v>
      </c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  <c r="AG206" s="399"/>
      <c r="AH206" s="399"/>
      <c r="AI206" s="399"/>
      <c r="AJ206" s="399"/>
      <c r="AK206" s="399"/>
      <c r="AL206" s="399"/>
    </row>
    <row r="207" spans="9:41" x14ac:dyDescent="0.2">
      <c r="S207" s="399"/>
      <c r="T207" s="399" t="s">
        <v>549</v>
      </c>
      <c r="U207" s="399" t="e">
        <f>#REF!-U85</f>
        <v>#REF!</v>
      </c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  <c r="AG207" s="399"/>
      <c r="AH207" s="399"/>
      <c r="AI207" s="399"/>
      <c r="AJ207" s="399"/>
      <c r="AK207" s="399"/>
      <c r="AL207" s="399"/>
      <c r="AM207" s="399">
        <f>AM204-'COMEDORES PALMIRA'!AM167</f>
        <v>0</v>
      </c>
    </row>
    <row r="208" spans="9:41" x14ac:dyDescent="0.2">
      <c r="S208" s="399"/>
      <c r="T208" s="399" t="s">
        <v>550</v>
      </c>
      <c r="U208" s="399">
        <v>56000000</v>
      </c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  <c r="AG208" s="399"/>
      <c r="AH208" s="399"/>
      <c r="AI208" s="399"/>
      <c r="AJ208" s="399"/>
      <c r="AK208" s="399"/>
      <c r="AL208" s="399"/>
      <c r="AM208" s="399"/>
    </row>
    <row r="209" spans="19:39" x14ac:dyDescent="0.2">
      <c r="S209" s="399"/>
      <c r="T209" s="399" t="s">
        <v>551</v>
      </c>
      <c r="U209" s="399">
        <v>44000000</v>
      </c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  <c r="AG209" s="399"/>
      <c r="AH209" s="399"/>
      <c r="AI209" s="399"/>
      <c r="AJ209" s="399"/>
      <c r="AK209" s="399"/>
      <c r="AL209" s="399"/>
      <c r="AM209" s="399"/>
    </row>
    <row r="210" spans="19:39" x14ac:dyDescent="0.2">
      <c r="S210" s="399"/>
      <c r="T210" s="399" t="s">
        <v>552</v>
      </c>
      <c r="U210" s="399">
        <v>74000000</v>
      </c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  <c r="AG210" s="399"/>
      <c r="AH210" s="399"/>
      <c r="AI210" s="399"/>
      <c r="AJ210" s="399"/>
      <c r="AK210" s="399"/>
      <c r="AL210" s="399"/>
      <c r="AM210" s="399"/>
    </row>
    <row r="211" spans="19:39" x14ac:dyDescent="0.2">
      <c r="S211" s="399"/>
      <c r="T211" s="399" t="s">
        <v>553</v>
      </c>
      <c r="U211" s="399">
        <v>43000000</v>
      </c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  <c r="AG211" s="399"/>
      <c r="AH211" s="399"/>
      <c r="AI211" s="399"/>
      <c r="AJ211" s="399"/>
      <c r="AK211" s="399"/>
      <c r="AL211" s="399"/>
      <c r="AM211" s="399"/>
    </row>
    <row r="212" spans="19:39" x14ac:dyDescent="0.2"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  <c r="AG212" s="399"/>
      <c r="AH212" s="399"/>
      <c r="AI212" s="399"/>
      <c r="AJ212" s="399"/>
      <c r="AK212" s="399"/>
      <c r="AL212" s="399"/>
      <c r="AM212" s="399"/>
    </row>
    <row r="213" spans="19:39" x14ac:dyDescent="0.2">
      <c r="S213" s="399"/>
      <c r="T213" s="399"/>
      <c r="U213" s="399" t="e">
        <f>SUM(U205:U212)</f>
        <v>#REF!</v>
      </c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  <c r="AG213" s="399"/>
      <c r="AH213" s="399"/>
      <c r="AI213" s="399"/>
      <c r="AJ213" s="399"/>
      <c r="AK213" s="399"/>
      <c r="AL213" s="399"/>
      <c r="AM213" s="399"/>
    </row>
    <row r="214" spans="19:39" x14ac:dyDescent="0.2"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  <c r="AG214" s="399"/>
      <c r="AH214" s="399"/>
      <c r="AI214" s="399"/>
      <c r="AJ214" s="399"/>
      <c r="AK214" s="399"/>
      <c r="AL214" s="399"/>
      <c r="AM214" s="399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scale="4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5"/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64" width="11.44140625" style="2" customWidth="1"/>
    <col min="65" max="16384" width="11.44140625" style="2"/>
  </cols>
  <sheetData>
    <row r="2" spans="1:41" ht="24.9" customHeight="1" thickBot="1" x14ac:dyDescent="0.35">
      <c r="B2" s="236" t="s">
        <v>0</v>
      </c>
      <c r="C2" s="1027" t="s">
        <v>554</v>
      </c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  <c r="W2" s="1028"/>
      <c r="X2" s="1028"/>
      <c r="Y2" s="1028"/>
      <c r="Z2" s="1028"/>
      <c r="AA2" s="1028"/>
      <c r="AB2" s="1028"/>
      <c r="AC2" s="1028"/>
      <c r="AD2" s="1028"/>
      <c r="AE2" s="1028"/>
      <c r="AF2" s="1028"/>
      <c r="AG2" s="1028"/>
      <c r="AH2" s="1028"/>
      <c r="AI2" s="1028"/>
      <c r="AJ2" s="1028"/>
      <c r="AK2" s="1028"/>
      <c r="AL2" s="1028"/>
      <c r="AM2" s="1028"/>
      <c r="AN2" s="236"/>
      <c r="AO2" s="255"/>
    </row>
    <row r="3" spans="1:41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/>
      <c r="M3" s="479"/>
      <c r="N3" s="480"/>
      <c r="O3" s="478"/>
      <c r="P3" s="479"/>
      <c r="Q3" s="480"/>
      <c r="R3" s="478"/>
      <c r="S3" s="479"/>
      <c r="T3" s="480"/>
      <c r="U3" s="478"/>
      <c r="V3" s="479"/>
      <c r="W3" s="480"/>
      <c r="X3" s="478"/>
      <c r="Y3" s="479"/>
      <c r="Z3" s="480"/>
      <c r="AA3" s="478"/>
      <c r="AB3" s="479"/>
      <c r="AC3" s="480"/>
      <c r="AD3" s="478"/>
      <c r="AE3" s="479"/>
      <c r="AF3" s="480"/>
      <c r="AG3" s="478"/>
      <c r="AH3" s="479"/>
      <c r="AI3" s="480"/>
      <c r="AJ3" s="478"/>
      <c r="AK3" s="479"/>
      <c r="AL3" s="480"/>
      <c r="AM3" s="571">
        <f>SUM(F3:AJ3)</f>
        <v>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hidden="1" customHeight="1" thickTop="1" x14ac:dyDescent="0.2">
      <c r="A5" s="228"/>
      <c r="B5" s="258" t="s">
        <v>428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hidden="1" customHeight="1" x14ac:dyDescent="0.2">
      <c r="A6" s="228"/>
      <c r="B6" s="258" t="s">
        <v>555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hidden="1" customHeight="1" x14ac:dyDescent="0.2">
      <c r="A7" s="228"/>
      <c r="B7" s="258" t="s">
        <v>59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hidden="1" customHeight="1" x14ac:dyDescent="0.2">
      <c r="A8" s="228"/>
      <c r="B8" s="258" t="s">
        <v>368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hidden="1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hidden="1" customHeight="1" x14ac:dyDescent="0.2">
      <c r="B13" s="19" t="s">
        <v>23</v>
      </c>
      <c r="C13" s="48">
        <f>C14+C23</f>
        <v>0</v>
      </c>
      <c r="D13" s="10"/>
      <c r="E13" s="337"/>
      <c r="F13" s="48">
        <f>F14+F23</f>
        <v>0</v>
      </c>
      <c r="G13" s="10"/>
      <c r="H13" s="337"/>
      <c r="I13" s="48">
        <f>I14+I23</f>
        <v>0</v>
      </c>
      <c r="J13" s="10"/>
      <c r="K13" s="337"/>
      <c r="L13" s="48">
        <f>L14+L23</f>
        <v>0</v>
      </c>
      <c r="M13" s="10"/>
      <c r="N13" s="337"/>
      <c r="O13" s="48">
        <f>O14+O23</f>
        <v>0</v>
      </c>
      <c r="P13" s="10"/>
      <c r="Q13" s="337"/>
      <c r="R13" s="48">
        <f>R14+R23</f>
        <v>0</v>
      </c>
      <c r="S13" s="10"/>
      <c r="T13" s="337"/>
      <c r="U13" s="48">
        <f>U14+U23</f>
        <v>0</v>
      </c>
      <c r="V13" s="10"/>
      <c r="W13" s="337"/>
      <c r="X13" s="48">
        <f>X14+X23</f>
        <v>0</v>
      </c>
      <c r="Y13" s="10"/>
      <c r="Z13" s="337"/>
      <c r="AA13" s="48">
        <f>AA14+AA23</f>
        <v>0</v>
      </c>
      <c r="AB13" s="10"/>
      <c r="AC13" s="337"/>
      <c r="AD13" s="48">
        <f>AD14+AD23</f>
        <v>0</v>
      </c>
      <c r="AE13" s="10"/>
      <c r="AF13" s="337"/>
      <c r="AG13" s="48">
        <f>AG14+AG23</f>
        <v>0</v>
      </c>
      <c r="AH13" s="10"/>
      <c r="AI13" s="337"/>
      <c r="AJ13" s="48">
        <f>AJ14+AJ23</f>
        <v>0</v>
      </c>
      <c r="AK13" s="10"/>
      <c r="AL13" s="60"/>
      <c r="AM13" s="208">
        <f t="shared" si="0"/>
        <v>0</v>
      </c>
      <c r="AN13" s="10"/>
      <c r="AO13" s="312"/>
    </row>
    <row r="14" spans="1:41" ht="15" hidden="1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hidden="1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hidden="1" customHeight="1" x14ac:dyDescent="0.2">
      <c r="B16" s="262" t="s">
        <v>428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 t="e">
        <f>AM16/AM$13</f>
        <v>#DIV/0!</v>
      </c>
    </row>
    <row r="17" spans="2:41" ht="15" hidden="1" customHeight="1" x14ac:dyDescent="0.2">
      <c r="B17" s="104" t="s">
        <v>555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hidden="1" customHeight="1" x14ac:dyDescent="0.2">
      <c r="B18" s="104" t="s">
        <v>59</v>
      </c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hidden="1" customHeight="1" x14ac:dyDescent="0.2">
      <c r="B19" s="104" t="s">
        <v>368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2:41" ht="15" hidden="1" customHeight="1" x14ac:dyDescent="0.2">
      <c r="B20" s="263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2:41" ht="15" hidden="1" customHeight="1" outlineLevel="1" x14ac:dyDescent="0.2">
      <c r="B23" s="16" t="s">
        <v>30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2:41" ht="15" hidden="1" customHeight="1" outlineLevel="1" x14ac:dyDescent="0.2">
      <c r="B24" s="16" t="s">
        <v>31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2:41" ht="15" hidden="1" customHeight="1" outlineLevel="1" x14ac:dyDescent="0.2">
      <c r="B25" s="32" t="s">
        <v>32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2:41" ht="15" hidden="1" customHeight="1" outlineLevel="1" x14ac:dyDescent="0.2">
      <c r="B26" s="32" t="s">
        <v>33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2:41" ht="15" hidden="1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2:41" ht="15" hidden="1" customHeight="1" collapsed="1" x14ac:dyDescent="0.2">
      <c r="B28" s="16" t="s">
        <v>35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2:41" ht="15" hidden="1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2:41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2:41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hidden="1" customHeight="1" collapsed="1" thickBot="1" x14ac:dyDescent="0.25">
      <c r="B42" s="20" t="s">
        <v>45</v>
      </c>
      <c r="C42" s="54">
        <f>+C14+C23-C28</f>
        <v>0</v>
      </c>
      <c r="D42" s="55"/>
      <c r="E42" s="339"/>
      <c r="F42" s="54">
        <f>+F14+F23-F28</f>
        <v>0</v>
      </c>
      <c r="G42" s="55"/>
      <c r="H42" s="339"/>
      <c r="I42" s="54">
        <f>+I14+I23-I28</f>
        <v>0</v>
      </c>
      <c r="J42" s="55"/>
      <c r="K42" s="339"/>
      <c r="L42" s="54">
        <f>+L14+L23-L28</f>
        <v>0</v>
      </c>
      <c r="M42" s="55"/>
      <c r="N42" s="339"/>
      <c r="O42" s="54">
        <f>+O14+O23-O28</f>
        <v>0</v>
      </c>
      <c r="P42" s="55"/>
      <c r="Q42" s="339"/>
      <c r="R42" s="54">
        <f>+R14+R23-R28</f>
        <v>0</v>
      </c>
      <c r="S42" s="55"/>
      <c r="T42" s="339"/>
      <c r="U42" s="54">
        <f>+U14+U23-U28</f>
        <v>0</v>
      </c>
      <c r="V42" s="55"/>
      <c r="W42" s="339"/>
      <c r="X42" s="54">
        <f>+X14+X23-X28</f>
        <v>0</v>
      </c>
      <c r="Y42" s="55"/>
      <c r="Z42" s="339"/>
      <c r="AA42" s="54">
        <f>+AA14+AA23-AA28</f>
        <v>0</v>
      </c>
      <c r="AB42" s="55"/>
      <c r="AC42" s="339"/>
      <c r="AD42" s="54">
        <f>+AD14+AD23-AD28</f>
        <v>0</v>
      </c>
      <c r="AE42" s="55"/>
      <c r="AF42" s="339"/>
      <c r="AG42" s="54">
        <f>+AG14+AG23-AG28</f>
        <v>0</v>
      </c>
      <c r="AH42" s="55"/>
      <c r="AI42" s="339"/>
      <c r="AJ42" s="54">
        <f>+AJ14+AJ23-AJ28</f>
        <v>0</v>
      </c>
      <c r="AK42" s="55"/>
      <c r="AL42" s="63"/>
      <c r="AM42" s="210">
        <f>C42+F42+I42+L42+O42+R42+U42+X42+AA42+AD42+AG42+AJ42</f>
        <v>0</v>
      </c>
      <c r="AN42" s="55"/>
      <c r="AO42" s="31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556</v>
      </c>
      <c r="C44" s="490">
        <f>+C45+C60+C78</f>
        <v>9157902</v>
      </c>
      <c r="D44" s="491"/>
      <c r="E44" s="492"/>
      <c r="F44" s="490">
        <f>+F45+F60+F78</f>
        <v>-1920121</v>
      </c>
      <c r="G44" s="491"/>
      <c r="H44" s="492"/>
      <c r="I44" s="490">
        <f>+I45+I60+I78</f>
        <v>0</v>
      </c>
      <c r="J44" s="491"/>
      <c r="K44" s="492"/>
      <c r="L44" s="490">
        <f>+L45+L60+L78</f>
        <v>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40">
        <f>+AG45+AG60+AG78</f>
        <v>0</v>
      </c>
      <c r="AH44" s="441"/>
      <c r="AI44" s="442"/>
      <c r="AJ44" s="440">
        <f>+AJ45+AJ60+AJ78</f>
        <v>0</v>
      </c>
      <c r="AK44" s="441"/>
      <c r="AL44" s="455" t="e">
        <f>AJ44/AJ$13</f>
        <v>#DIV/0!</v>
      </c>
      <c r="AM44" s="581">
        <f>C44+F44+I44+L44+O44+R44+U44+X44+AA44+AD44+AG44+AJ44</f>
        <v>7237781</v>
      </c>
      <c r="AN44" s="491"/>
      <c r="AO44" s="580"/>
    </row>
    <row r="45" spans="2:41" ht="15" hidden="1" customHeight="1" x14ac:dyDescent="0.2">
      <c r="B45" s="16" t="s">
        <v>47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>C45+F45+I45+L45+O45+R45+U45+X45+AA45+AD45+AG45+AJ45</f>
        <v>0</v>
      </c>
      <c r="AN45" s="3"/>
      <c r="AO45" s="313"/>
    </row>
    <row r="46" spans="2:41" ht="15" hidden="1" customHeight="1" x14ac:dyDescent="0.2">
      <c r="B46" s="36" t="s">
        <v>370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1">
        <f>C46+F46+I46+L46+O46+R46+U46+X46+AA46+AD46+AG46+AJ46</f>
        <v>0</v>
      </c>
      <c r="AN46" s="67"/>
      <c r="AO46" s="318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 t="e">
        <f>AM47/AM5</f>
        <v>#DIV/0!</v>
      </c>
      <c r="AO47" s="315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/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/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/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/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/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/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/>
      <c r="AN57" s="67"/>
      <c r="AO57" s="318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/>
      <c r="AN58" s="67"/>
      <c r="AO58" s="318"/>
    </row>
    <row r="59" spans="1:41" s="108" customFormat="1" ht="15" hidden="1" customHeight="1" x14ac:dyDescent="0.3">
      <c r="A59" s="229"/>
      <c r="B59" s="36"/>
      <c r="C59" s="37"/>
      <c r="D59" s="45"/>
      <c r="E59" s="117"/>
      <c r="F59" s="37"/>
      <c r="G59" s="45"/>
      <c r="H59" s="117"/>
      <c r="I59" s="37"/>
      <c r="J59" s="364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1"/>
      <c r="AN59" s="42"/>
      <c r="AO59" s="319"/>
    </row>
    <row r="60" spans="1:41" ht="15" hidden="1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0</v>
      </c>
      <c r="AN60" s="3"/>
      <c r="AO60" s="313"/>
    </row>
    <row r="61" spans="1:41" ht="15" hidden="1" customHeight="1" x14ac:dyDescent="0.2">
      <c r="B61" s="36" t="s">
        <v>370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1"/>
        <v>0</v>
      </c>
      <c r="AN61" s="67"/>
      <c r="AO61" s="318"/>
    </row>
    <row r="62" spans="1:41" ht="15" hidden="1" customHeight="1" x14ac:dyDescent="0.2">
      <c r="B62" s="100" t="s">
        <v>557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1"/>
        <v>0</v>
      </c>
      <c r="AN62" s="79" t="e">
        <f>AM62/AM6</f>
        <v>#DIV/0!</v>
      </c>
      <c r="AO62" s="147"/>
    </row>
    <row r="63" spans="1:41" ht="15" hidden="1" customHeight="1" x14ac:dyDescent="0.2">
      <c r="B63" s="101" t="s">
        <v>558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1"/>
        <v>0</v>
      </c>
      <c r="AN63" s="43" t="e">
        <f>AM63/AM7</f>
        <v>#DIV/0!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1"/>
        <v>0</v>
      </c>
      <c r="AN64" s="43"/>
      <c r="AO64" s="309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2:44" ht="15" hidden="1" customHeight="1" x14ac:dyDescent="0.2">
      <c r="B70" s="91" t="s">
        <v>559</v>
      </c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2:44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2:44" ht="15" hidden="1" customHeight="1" x14ac:dyDescent="0.2">
      <c r="B72" s="46" t="s">
        <v>376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2"/>
        <v>0</v>
      </c>
      <c r="AN72" s="67"/>
      <c r="AO72" s="318"/>
    </row>
    <row r="73" spans="2:44" ht="15" hidden="1" customHeight="1" x14ac:dyDescent="0.2">
      <c r="B73" s="36" t="s">
        <v>377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2"/>
        <v>0</v>
      </c>
      <c r="AN73" s="67"/>
      <c r="AO73" s="320"/>
    </row>
    <row r="74" spans="2:44" ht="15" customHeight="1" x14ac:dyDescent="0.3">
      <c r="B74" s="36" t="s">
        <v>560</v>
      </c>
      <c r="C74" s="37">
        <v>0</v>
      </c>
      <c r="D74" s="67"/>
      <c r="E74" s="149"/>
      <c r="F74" s="37">
        <v>0</v>
      </c>
      <c r="G74" s="67"/>
      <c r="H74" s="149"/>
      <c r="I74" s="37"/>
      <c r="J74" s="365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1">
        <f t="shared" si="2"/>
        <v>0</v>
      </c>
      <c r="AN74" s="67"/>
      <c r="AO74" s="320"/>
    </row>
    <row r="75" spans="2:44" ht="15" customHeight="1" x14ac:dyDescent="0.2">
      <c r="B75" s="36" t="s">
        <v>66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/>
      <c r="AO75" s="318"/>
    </row>
    <row r="76" spans="2:44" ht="15" customHeight="1" x14ac:dyDescent="0.2">
      <c r="B76" s="36" t="s">
        <v>68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0</v>
      </c>
      <c r="AN76" s="67"/>
      <c r="AO76" s="320"/>
    </row>
    <row r="77" spans="2:44" ht="15" customHeight="1" x14ac:dyDescent="0.3">
      <c r="B77" s="66" t="s">
        <v>70</v>
      </c>
      <c r="C77" s="28"/>
      <c r="D77" s="45"/>
      <c r="E77" s="340"/>
      <c r="F77" s="366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0"/>
    </row>
    <row r="78" spans="2:44" ht="15" customHeight="1" x14ac:dyDescent="0.2">
      <c r="B78" s="16" t="s">
        <v>181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7237781</v>
      </c>
      <c r="AN78" s="3"/>
      <c r="AO78" s="321"/>
    </row>
    <row r="79" spans="2:44" ht="15" customHeight="1" x14ac:dyDescent="0.2">
      <c r="B79" s="39" t="s">
        <v>561</v>
      </c>
      <c r="C79" s="266">
        <f>'[13]Hoja 1'!$D$42</f>
        <v>8526302</v>
      </c>
      <c r="D79" s="267"/>
      <c r="E79" s="306"/>
      <c r="F79" s="266">
        <f>'[14]Hoja 1'!$H$45</f>
        <v>-2551721</v>
      </c>
      <c r="G79" s="69"/>
      <c r="H79" s="306"/>
      <c r="I79" s="266"/>
      <c r="J79" s="69"/>
      <c r="K79" s="306"/>
      <c r="L79" s="266"/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306"/>
      <c r="AM79" s="268">
        <f t="shared" si="2"/>
        <v>5974581</v>
      </c>
      <c r="AN79" s="4"/>
      <c r="AO79" s="322"/>
      <c r="AP79" s="144"/>
    </row>
    <row r="80" spans="2:44" ht="15" customHeight="1" x14ac:dyDescent="0.2">
      <c r="B80" s="25" t="s">
        <v>562</v>
      </c>
      <c r="C80" s="25">
        <f>'[6]Hoja 1'!$C$736</f>
        <v>631600</v>
      </c>
      <c r="D80" s="272"/>
      <c r="E80" s="118"/>
      <c r="F80" s="25">
        <f>'[4]Hoja 1'!$C$672</f>
        <v>631600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2"/>
        <v>1263200</v>
      </c>
      <c r="AN80" s="43"/>
      <c r="AO80" s="309"/>
      <c r="AQ80" s="758"/>
      <c r="AR80" s="758"/>
    </row>
    <row r="81" spans="1:41" ht="15" customHeight="1" thickBot="1" x14ac:dyDescent="0.25">
      <c r="B81" s="98" t="s">
        <v>563</v>
      </c>
      <c r="C81" s="71"/>
      <c r="D81" s="799"/>
      <c r="E81" s="342"/>
      <c r="F81" s="71"/>
      <c r="G81" s="72"/>
      <c r="H81" s="342"/>
      <c r="I81" s="71"/>
      <c r="J81" s="72"/>
      <c r="K81" s="342"/>
      <c r="L81" s="71"/>
      <c r="M81" s="72"/>
      <c r="N81" s="342"/>
      <c r="O81" s="71"/>
      <c r="P81" s="72"/>
      <c r="Q81" s="342"/>
      <c r="R81" s="71"/>
      <c r="S81" s="72"/>
      <c r="T81" s="342"/>
      <c r="U81" s="71"/>
      <c r="V81" s="72"/>
      <c r="W81" s="342"/>
      <c r="X81" s="71"/>
      <c r="Y81" s="72"/>
      <c r="Z81" s="342"/>
      <c r="AA81" s="71"/>
      <c r="AB81" s="72"/>
      <c r="AC81" s="342"/>
      <c r="AD81" s="71"/>
      <c r="AE81" s="72"/>
      <c r="AF81" s="342"/>
      <c r="AG81" s="71"/>
      <c r="AH81" s="72"/>
      <c r="AI81" s="342"/>
      <c r="AJ81" s="71"/>
      <c r="AK81" s="72"/>
      <c r="AL81" s="73"/>
      <c r="AM81" s="71">
        <f t="shared" si="2"/>
        <v>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51"/>
      <c r="AN82" s="2"/>
      <c r="AO82" s="244"/>
    </row>
    <row r="83" spans="1:41" ht="15" customHeight="1" thickTop="1" x14ac:dyDescent="0.2">
      <c r="B83" s="526" t="s">
        <v>76</v>
      </c>
      <c r="C83" s="490">
        <f>+C84+C88+C91+C95+C98+C108+C113+C119+C122+C126</f>
        <v>6316752</v>
      </c>
      <c r="D83" s="491"/>
      <c r="E83" s="492"/>
      <c r="F83" s="490">
        <f>+F84+F88+F91+F95+F98+F108+F113+F119+F122+F126</f>
        <v>142800</v>
      </c>
      <c r="G83" s="491"/>
      <c r="H83" s="492"/>
      <c r="I83" s="490">
        <f>+I84+I88+I91+I95+I98+I108+I113+I119+I122+I126</f>
        <v>0</v>
      </c>
      <c r="J83" s="491"/>
      <c r="K83" s="492"/>
      <c r="L83" s="490">
        <f>+L84+L88+L91+L95+L98+L108+L113+L119+L122+L126</f>
        <v>0</v>
      </c>
      <c r="M83" s="491"/>
      <c r="N83" s="492"/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/>
      <c r="X83" s="490">
        <f>+X84+X88+X91+X95+X98+X108+X113+X119+X122+X126</f>
        <v>0</v>
      </c>
      <c r="Y83" s="491"/>
      <c r="Z83" s="492"/>
      <c r="AA83" s="490">
        <f>+AA84+AA88+AA91+AA95+AA98+AA108+AA113+AA119+AA122+AA126</f>
        <v>0</v>
      </c>
      <c r="AB83" s="491"/>
      <c r="AC83" s="492"/>
      <c r="AD83" s="440">
        <f>+AD84+AD88+AD91+AD95+AD98+AD108+AD113+AD119+AD122+AD126</f>
        <v>0</v>
      </c>
      <c r="AE83" s="441"/>
      <c r="AF83" s="442"/>
      <c r="AG83" s="440">
        <f>+AG84+AG88+AG91+AG95+AG98+AG108+AG113+AG119+AG122+AG126</f>
        <v>0</v>
      </c>
      <c r="AH83" s="441"/>
      <c r="AI83" s="442"/>
      <c r="AJ83" s="440">
        <f>+AJ84+AJ88+AJ91+AJ95+AJ98+AJ108+AJ113+AJ119+AJ122+AJ126</f>
        <v>0</v>
      </c>
      <c r="AK83" s="441"/>
      <c r="AL83" s="446"/>
      <c r="AM83" s="581">
        <f t="shared" ref="AM83:AM127" si="3">C83+F83+I83+L83+O83+R83+U83+X83+AA83+AD83+AG83+AJ83</f>
        <v>6459552</v>
      </c>
      <c r="AN83" s="491"/>
      <c r="AO83" s="582"/>
    </row>
    <row r="84" spans="1:41" ht="15" customHeight="1" x14ac:dyDescent="0.2">
      <c r="B84" s="16" t="s">
        <v>77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0</v>
      </c>
      <c r="J84" s="3"/>
      <c r="K84" s="150"/>
      <c r="L84" s="49">
        <f>SUM(L85:L87)</f>
        <v>0</v>
      </c>
      <c r="M84" s="3"/>
      <c r="N84" s="150"/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3"/>
        <v>0</v>
      </c>
      <c r="AN84" s="3"/>
      <c r="AO84" s="321"/>
    </row>
    <row r="85" spans="1:41" ht="15" customHeight="1" x14ac:dyDescent="0.3">
      <c r="B85" s="39" t="s">
        <v>78</v>
      </c>
      <c r="C85" s="39"/>
      <c r="D85" s="69"/>
      <c r="E85" s="306"/>
      <c r="F85" s="353"/>
      <c r="G85" s="69"/>
      <c r="H85" s="306"/>
      <c r="I85" s="353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0</v>
      </c>
      <c r="AN85" s="69"/>
      <c r="AO85" s="324"/>
    </row>
    <row r="86" spans="1:41" ht="15" customHeight="1" x14ac:dyDescent="0.2">
      <c r="B86" s="25" t="s">
        <v>79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9">
        <f t="shared" si="3"/>
        <v>0</v>
      </c>
      <c r="AN86" s="43"/>
      <c r="AO86" s="309"/>
    </row>
    <row r="87" spans="1:41" ht="15" customHeight="1" x14ac:dyDescent="0.2">
      <c r="B87" s="97" t="s">
        <v>81</v>
      </c>
      <c r="C87" s="22"/>
      <c r="D87" s="42"/>
      <c r="E87" s="140"/>
      <c r="F87" s="273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9">
        <f t="shared" si="3"/>
        <v>0</v>
      </c>
      <c r="AN87" s="42"/>
      <c r="AO87" s="315"/>
    </row>
    <row r="88" spans="1:41" ht="15" customHeight="1" x14ac:dyDescent="0.2">
      <c r="B88" s="16" t="s">
        <v>84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0</v>
      </c>
      <c r="J88" s="3"/>
      <c r="K88" s="150"/>
      <c r="L88" s="49">
        <f>SUM(L89:L90)</f>
        <v>0</v>
      </c>
      <c r="M88" s="3"/>
      <c r="N88" s="150"/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3"/>
        <v>0</v>
      </c>
      <c r="AN88" s="3"/>
      <c r="AO88" s="321"/>
    </row>
    <row r="89" spans="1:41" ht="15" customHeight="1" outlineLevel="1" x14ac:dyDescent="0.2">
      <c r="B89" s="39" t="s">
        <v>85</v>
      </c>
      <c r="C89" s="39"/>
      <c r="D89" s="69"/>
      <c r="E89" s="306"/>
      <c r="F89" s="39"/>
      <c r="G89" s="69"/>
      <c r="H89" s="306"/>
      <c r="I89" s="39"/>
      <c r="J89" s="69"/>
      <c r="K89" s="306"/>
      <c r="L89" s="39"/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3"/>
        <v>0</v>
      </c>
      <c r="AN89" s="69"/>
      <c r="AO89" s="324"/>
    </row>
    <row r="90" spans="1:41" ht="15" customHeight="1" outlineLevel="1" x14ac:dyDescent="0.2">
      <c r="B90" s="83" t="s">
        <v>189</v>
      </c>
      <c r="C90" s="83"/>
      <c r="D90" s="84"/>
      <c r="E90" s="336"/>
      <c r="F90" s="83"/>
      <c r="G90" s="84"/>
      <c r="H90" s="336"/>
      <c r="I90" s="83"/>
      <c r="J90" s="84"/>
      <c r="K90" s="336"/>
      <c r="L90" s="83"/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3"/>
        <v>0</v>
      </c>
      <c r="AN90" s="84"/>
      <c r="AO90" s="310"/>
    </row>
    <row r="91" spans="1:41" ht="15" customHeight="1" x14ac:dyDescent="0.2">
      <c r="B91" s="16" t="s">
        <v>87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0</v>
      </c>
      <c r="J91" s="3"/>
      <c r="K91" s="150"/>
      <c r="L91" s="49">
        <f>SUM(L92:L94)</f>
        <v>0</v>
      </c>
      <c r="M91" s="3"/>
      <c r="N91" s="150"/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3"/>
        <v>2229102</v>
      </c>
      <c r="AN91" s="3"/>
      <c r="AO91" s="321"/>
    </row>
    <row r="92" spans="1:41" ht="15" customHeight="1" outlineLevel="1" x14ac:dyDescent="0.2">
      <c r="B92" s="39" t="s">
        <v>88</v>
      </c>
      <c r="C92" s="39">
        <f>'[6]Hoja 1'!$C$708</f>
        <v>2229102</v>
      </c>
      <c r="D92" s="69"/>
      <c r="E92" s="306"/>
      <c r="F92" s="39"/>
      <c r="G92" s="69"/>
      <c r="H92" s="306"/>
      <c r="I92" s="39"/>
      <c r="J92" s="69"/>
      <c r="K92" s="306"/>
      <c r="L92" s="39"/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3"/>
        <v>2229102</v>
      </c>
      <c r="AN92" s="69"/>
      <c r="AO92" s="324"/>
    </row>
    <row r="93" spans="1:41" ht="15" customHeight="1" outlineLevel="1" x14ac:dyDescent="0.2">
      <c r="B93" s="25" t="s">
        <v>89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3"/>
        <v>0</v>
      </c>
      <c r="AN93" s="43"/>
      <c r="AO93" s="309"/>
    </row>
    <row r="94" spans="1:41" ht="15" customHeight="1" outlineLevel="1" x14ac:dyDescent="0.2">
      <c r="B94" s="28" t="s">
        <v>90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3"/>
        <v>0</v>
      </c>
      <c r="AN94" s="45"/>
      <c r="AO94" s="325"/>
    </row>
    <row r="95" spans="1:41" ht="15" hidden="1" customHeight="1" x14ac:dyDescent="0.2">
      <c r="B95" s="106" t="s">
        <v>91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0</v>
      </c>
      <c r="J95" s="3"/>
      <c r="K95" s="150"/>
      <c r="L95" s="49">
        <f>SUM(L96:L97)</f>
        <v>0</v>
      </c>
      <c r="M95" s="3"/>
      <c r="N95" s="150"/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3"/>
        <v>0</v>
      </c>
      <c r="AN95" s="3"/>
      <c r="AO95" s="321"/>
    </row>
    <row r="96" spans="1:41" s="108" customFormat="1" ht="15" hidden="1" customHeight="1" outlineLevel="1" x14ac:dyDescent="0.3">
      <c r="A96" s="229" t="s">
        <v>400</v>
      </c>
      <c r="B96" s="39" t="s">
        <v>92</v>
      </c>
      <c r="C96" s="39"/>
      <c r="D96" s="69"/>
      <c r="E96" s="306"/>
      <c r="F96" s="39"/>
      <c r="G96" s="69"/>
      <c r="H96" s="306"/>
      <c r="I96" s="39"/>
      <c r="J96" s="69"/>
      <c r="K96" s="306"/>
      <c r="L96" s="353"/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3"/>
        <v>0</v>
      </c>
      <c r="AN96" s="69"/>
      <c r="AO96" s="324"/>
    </row>
    <row r="97" spans="1:41" s="108" customFormat="1" ht="15" hidden="1" customHeight="1" outlineLevel="1" x14ac:dyDescent="0.2">
      <c r="A97" s="229" t="s">
        <v>401</v>
      </c>
      <c r="B97" s="275" t="s">
        <v>379</v>
      </c>
      <c r="C97" s="275"/>
      <c r="D97" s="276"/>
      <c r="E97" s="341"/>
      <c r="F97" s="275"/>
      <c r="G97" s="276"/>
      <c r="H97" s="341"/>
      <c r="I97" s="275"/>
      <c r="J97" s="276"/>
      <c r="K97" s="341"/>
      <c r="L97" s="275"/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3"/>
        <v>0</v>
      </c>
      <c r="AN97" s="276"/>
      <c r="AO97" s="326"/>
    </row>
    <row r="98" spans="1:41" ht="15" customHeight="1" collapsed="1" x14ac:dyDescent="0.2">
      <c r="B98" s="16" t="s">
        <v>94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0</v>
      </c>
      <c r="J98" s="3"/>
      <c r="K98" s="150"/>
      <c r="L98" s="49">
        <f>SUM(L99:L107)</f>
        <v>0</v>
      </c>
      <c r="M98" s="3"/>
      <c r="N98" s="150"/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3"/>
        <v>0</v>
      </c>
      <c r="AN98" s="3"/>
      <c r="AO98" s="321"/>
    </row>
    <row r="99" spans="1:41" ht="15" customHeight="1" outlineLevel="1" x14ac:dyDescent="0.2">
      <c r="B99" s="39" t="s">
        <v>95</v>
      </c>
      <c r="C99" s="39"/>
      <c r="D99" s="69"/>
      <c r="E99" s="306"/>
      <c r="F99" s="39"/>
      <c r="G99" s="69"/>
      <c r="H99" s="306"/>
      <c r="I99" s="39"/>
      <c r="J99" s="69"/>
      <c r="K99" s="306"/>
      <c r="L99" s="39"/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3"/>
        <v>0</v>
      </c>
      <c r="AN99" s="69"/>
      <c r="AO99" s="324"/>
    </row>
    <row r="100" spans="1:41" ht="15" customHeight="1" outlineLevel="1" x14ac:dyDescent="0.2">
      <c r="B100" s="25" t="s">
        <v>212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3"/>
        <v>0</v>
      </c>
      <c r="AN100" s="43"/>
      <c r="AO100" s="309"/>
    </row>
    <row r="101" spans="1:41" ht="15" customHeight="1" outlineLevel="1" x14ac:dyDescent="0.2">
      <c r="B101" s="25" t="s">
        <v>98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0</v>
      </c>
      <c r="AN101" s="43"/>
      <c r="AO101" s="309"/>
    </row>
    <row r="102" spans="1:41" ht="15" customHeight="1" outlineLevel="1" x14ac:dyDescent="0.2">
      <c r="B102" s="25" t="s">
        <v>100</v>
      </c>
      <c r="C102" s="281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1" ht="15" customHeight="1" outlineLevel="1" x14ac:dyDescent="0.2">
      <c r="B103" s="25" t="s">
        <v>102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3"/>
        <v>0</v>
      </c>
      <c r="AN103" s="43"/>
      <c r="AO103" s="309"/>
    </row>
    <row r="104" spans="1:41" ht="15" customHeight="1" outlineLevel="1" x14ac:dyDescent="0.2">
      <c r="B104" s="25" t="s">
        <v>103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3"/>
        <v>0</v>
      </c>
      <c r="AN104" s="43"/>
      <c r="AO104" s="309"/>
    </row>
    <row r="105" spans="1:41" ht="15" customHeight="1" outlineLevel="1" x14ac:dyDescent="0.2">
      <c r="B105" s="25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4"/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1" ht="15" customHeight="1" outlineLevel="1" x14ac:dyDescent="0.2">
      <c r="A106" s="226" t="s">
        <v>466</v>
      </c>
      <c r="B106" s="205" t="s">
        <v>106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4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1" ht="15" customHeight="1" outlineLevel="1" x14ac:dyDescent="0.2">
      <c r="B107" s="349" t="s">
        <v>560</v>
      </c>
      <c r="C107" s="22"/>
      <c r="D107" s="42"/>
      <c r="E107" s="140"/>
      <c r="F107" s="380"/>
      <c r="G107" s="42"/>
      <c r="H107" s="140"/>
      <c r="I107" s="2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3"/>
        <v>0</v>
      </c>
      <c r="AN107" s="42"/>
      <c r="AO107" s="315"/>
    </row>
    <row r="108" spans="1:41" ht="15" customHeight="1" x14ac:dyDescent="0.2">
      <c r="B108" s="16" t="s">
        <v>107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0</v>
      </c>
      <c r="J108" s="3"/>
      <c r="K108" s="150"/>
      <c r="L108" s="49">
        <f>SUM(L109:L112)</f>
        <v>0</v>
      </c>
      <c r="M108" s="3"/>
      <c r="N108" s="150"/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3"/>
        <v>0</v>
      </c>
      <c r="AN108" s="3"/>
      <c r="AO108" s="321"/>
    </row>
    <row r="109" spans="1:41" ht="15" customHeight="1" outlineLevel="1" x14ac:dyDescent="0.2">
      <c r="A109" s="226" t="s">
        <v>402</v>
      </c>
      <c r="B109" s="39" t="s">
        <v>108</v>
      </c>
      <c r="C109" s="39"/>
      <c r="D109" s="69"/>
      <c r="E109" s="306"/>
      <c r="F109" s="39"/>
      <c r="G109" s="69"/>
      <c r="H109" s="306"/>
      <c r="I109" s="39"/>
      <c r="J109" s="69"/>
      <c r="K109" s="306"/>
      <c r="L109" s="39"/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3"/>
        <v>0</v>
      </c>
      <c r="AN109" s="69"/>
      <c r="AO109" s="324"/>
    </row>
    <row r="110" spans="1:41" ht="15" customHeight="1" outlineLevel="1" x14ac:dyDescent="0.2">
      <c r="A110" s="226" t="s">
        <v>403</v>
      </c>
      <c r="B110" s="25" t="s">
        <v>109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3"/>
        <v>0</v>
      </c>
      <c r="AN110" s="43"/>
      <c r="AO110" s="309"/>
    </row>
    <row r="111" spans="1:41" ht="15" customHeight="1" outlineLevel="1" x14ac:dyDescent="0.2">
      <c r="A111" s="226" t="s">
        <v>404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1" ht="15" customHeight="1" outlineLevel="1" x14ac:dyDescent="0.2">
      <c r="A112" s="226" t="s">
        <v>405</v>
      </c>
      <c r="B112" s="28" t="s">
        <v>111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3"/>
        <v>0</v>
      </c>
      <c r="AN112" s="45"/>
      <c r="AO112" s="325"/>
    </row>
    <row r="113" spans="1:41" ht="15" customHeight="1" x14ac:dyDescent="0.2">
      <c r="B113" s="16" t="s">
        <v>112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0</v>
      </c>
      <c r="J113" s="3"/>
      <c r="K113" s="150"/>
      <c r="L113" s="90">
        <f>SUM(L114:L118)</f>
        <v>0</v>
      </c>
      <c r="M113" s="3"/>
      <c r="N113" s="150"/>
      <c r="O113" s="90">
        <f>SUM(O114:O118)</f>
        <v>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3"/>
        <v>0</v>
      </c>
      <c r="AN113" s="3"/>
      <c r="AO113" s="321"/>
    </row>
    <row r="114" spans="1:41" ht="15" customHeight="1" outlineLevel="1" x14ac:dyDescent="0.2">
      <c r="A114" s="226" t="s">
        <v>406</v>
      </c>
      <c r="B114" s="39" t="s">
        <v>113</v>
      </c>
      <c r="C114" s="39"/>
      <c r="D114" s="69"/>
      <c r="E114" s="306"/>
      <c r="F114" s="39"/>
      <c r="G114" s="69"/>
      <c r="H114" s="306"/>
      <c r="I114" s="39"/>
      <c r="J114" s="69"/>
      <c r="K114" s="306"/>
      <c r="L114" s="39"/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3"/>
        <v>0</v>
      </c>
      <c r="AN114" s="69"/>
      <c r="AO114" s="324"/>
    </row>
    <row r="115" spans="1:41" ht="15" customHeight="1" outlineLevel="1" x14ac:dyDescent="0.2">
      <c r="A115" s="226" t="s">
        <v>407</v>
      </c>
      <c r="B115" s="25" t="s">
        <v>114</v>
      </c>
      <c r="C115" s="25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3"/>
        <v>0</v>
      </c>
      <c r="AN115" s="43"/>
      <c r="AO115" s="309"/>
    </row>
    <row r="116" spans="1:41" ht="15" customHeight="1" outlineLevel="1" x14ac:dyDescent="0.2">
      <c r="A116" s="226" t="s">
        <v>380</v>
      </c>
      <c r="B116" s="205" t="s">
        <v>115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3"/>
        <v>0</v>
      </c>
      <c r="AN116" s="43"/>
      <c r="AO116" s="309"/>
    </row>
    <row r="117" spans="1:41" ht="15" customHeight="1" outlineLevel="1" x14ac:dyDescent="0.2">
      <c r="A117" s="226" t="s">
        <v>408</v>
      </c>
      <c r="B117" s="205" t="s">
        <v>116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3"/>
        <v>0</v>
      </c>
      <c r="AN117" s="43"/>
      <c r="AO117" s="309"/>
    </row>
    <row r="118" spans="1:41" ht="15" customHeight="1" outlineLevel="1" x14ac:dyDescent="0.2">
      <c r="A118" s="226" t="s">
        <v>409</v>
      </c>
      <c r="B118" s="97" t="s">
        <v>381</v>
      </c>
      <c r="C118" s="28"/>
      <c r="D118" s="42"/>
      <c r="E118" s="140"/>
      <c r="F118" s="22"/>
      <c r="G118" s="42"/>
      <c r="H118" s="140"/>
      <c r="I118" s="22"/>
      <c r="J118" s="42"/>
      <c r="K118" s="140"/>
      <c r="L118" s="22"/>
      <c r="M118" s="42"/>
      <c r="N118" s="140"/>
      <c r="O118" s="22"/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3"/>
        <v>0</v>
      </c>
      <c r="AN118" s="42"/>
      <c r="AO118" s="315"/>
    </row>
    <row r="119" spans="1:41" ht="15" customHeight="1" x14ac:dyDescent="0.2">
      <c r="B119" s="16" t="s">
        <v>118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0</v>
      </c>
      <c r="J119" s="3"/>
      <c r="K119" s="150"/>
      <c r="L119" s="49">
        <f>SUM(L120)</f>
        <v>0</v>
      </c>
      <c r="M119" s="3"/>
      <c r="N119" s="150"/>
      <c r="O119" s="49">
        <f>SUM(O120)</f>
        <v>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3"/>
        <v>0</v>
      </c>
      <c r="AN119" s="3"/>
      <c r="AO119" s="321"/>
    </row>
    <row r="120" spans="1:41" ht="15" customHeight="1" x14ac:dyDescent="0.2">
      <c r="A120" s="226" t="s">
        <v>410</v>
      </c>
      <c r="B120" s="39" t="s">
        <v>119</v>
      </c>
      <c r="C120" s="39"/>
      <c r="D120" s="69"/>
      <c r="E120" s="306"/>
      <c r="F120" s="39"/>
      <c r="G120" s="69"/>
      <c r="H120" s="306"/>
      <c r="I120" s="39"/>
      <c r="J120" s="69"/>
      <c r="K120" s="306"/>
      <c r="L120" s="39"/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3"/>
        <v>0</v>
      </c>
      <c r="AN120" s="69"/>
      <c r="AO120" s="324"/>
    </row>
    <row r="121" spans="1:41" ht="15" customHeight="1" thickBot="1" x14ac:dyDescent="0.25">
      <c r="A121" s="226" t="s">
        <v>411</v>
      </c>
      <c r="B121" s="301" t="s">
        <v>120</v>
      </c>
      <c r="C121" s="71"/>
      <c r="D121" s="72"/>
      <c r="E121" s="342"/>
      <c r="F121" s="71"/>
      <c r="G121" s="72"/>
      <c r="H121" s="342"/>
      <c r="I121" s="71"/>
      <c r="J121" s="72"/>
      <c r="K121" s="342"/>
      <c r="L121" s="71"/>
      <c r="M121" s="72"/>
      <c r="N121" s="342"/>
      <c r="O121" s="71"/>
      <c r="P121" s="72"/>
      <c r="Q121" s="342"/>
      <c r="R121" s="71"/>
      <c r="S121" s="72"/>
      <c r="T121" s="342"/>
      <c r="U121" s="71"/>
      <c r="V121" s="72"/>
      <c r="W121" s="342"/>
      <c r="X121" s="71"/>
      <c r="Y121" s="72"/>
      <c r="Z121" s="342"/>
      <c r="AA121" s="71"/>
      <c r="AB121" s="72"/>
      <c r="AC121" s="342"/>
      <c r="AD121" s="71"/>
      <c r="AE121" s="72"/>
      <c r="AF121" s="342"/>
      <c r="AG121" s="71"/>
      <c r="AH121" s="72"/>
      <c r="AI121" s="342"/>
      <c r="AJ121" s="71"/>
      <c r="AK121" s="72"/>
      <c r="AL121" s="73"/>
      <c r="AM121" s="301">
        <f t="shared" si="3"/>
        <v>0</v>
      </c>
      <c r="AN121" s="72"/>
      <c r="AO121" s="331"/>
    </row>
    <row r="122" spans="1:41" ht="15" customHeight="1" thickTop="1" x14ac:dyDescent="0.2">
      <c r="B122" s="381" t="s">
        <v>121</v>
      </c>
      <c r="C122" s="382">
        <f>SUM(C123:C125)</f>
        <v>0</v>
      </c>
      <c r="D122" s="383"/>
      <c r="E122" s="384"/>
      <c r="F122" s="382">
        <f>SUM(F123:F125)</f>
        <v>0</v>
      </c>
      <c r="G122" s="383"/>
      <c r="H122" s="384"/>
      <c r="I122" s="385">
        <f>SUM(I123:I125)</f>
        <v>0</v>
      </c>
      <c r="J122" s="383"/>
      <c r="K122" s="384"/>
      <c r="L122" s="382">
        <f>SUM(L123:L125)</f>
        <v>0</v>
      </c>
      <c r="M122" s="383"/>
      <c r="N122" s="384"/>
      <c r="O122" s="382">
        <f>SUM(O123:O125)</f>
        <v>0</v>
      </c>
      <c r="P122" s="383"/>
      <c r="Q122" s="384"/>
      <c r="R122" s="382">
        <f>SUM(R123:R125)</f>
        <v>0</v>
      </c>
      <c r="S122" s="383"/>
      <c r="T122" s="384"/>
      <c r="U122" s="382">
        <f>SUM(U123:U125)</f>
        <v>0</v>
      </c>
      <c r="V122" s="383"/>
      <c r="W122" s="384"/>
      <c r="X122" s="382">
        <f>SUM(X123:X125)</f>
        <v>0</v>
      </c>
      <c r="Y122" s="383"/>
      <c r="Z122" s="384" t="e">
        <f>X122/(X$13)</f>
        <v>#DIV/0!</v>
      </c>
      <c r="AA122" s="382">
        <f>SUM(AA123:AA125)</f>
        <v>0</v>
      </c>
      <c r="AB122" s="383"/>
      <c r="AC122" s="384" t="e">
        <f>AA122/(AA$13)</f>
        <v>#DIV/0!</v>
      </c>
      <c r="AD122" s="382"/>
      <c r="AE122" s="383"/>
      <c r="AF122" s="384"/>
      <c r="AG122" s="382">
        <f>SUM(AG123:AG125)</f>
        <v>0</v>
      </c>
      <c r="AH122" s="383"/>
      <c r="AI122" s="384"/>
      <c r="AJ122" s="382">
        <f>SUM(AJ123:AJ125)</f>
        <v>0</v>
      </c>
      <c r="AK122" s="383"/>
      <c r="AL122" s="386"/>
      <c r="AM122" s="381">
        <f t="shared" si="3"/>
        <v>0</v>
      </c>
      <c r="AN122" s="383"/>
      <c r="AO122" s="387"/>
    </row>
    <row r="123" spans="1:41" ht="15" customHeight="1" outlineLevel="1" x14ac:dyDescent="0.2">
      <c r="A123" s="226" t="s">
        <v>412</v>
      </c>
      <c r="B123" s="39" t="s">
        <v>122</v>
      </c>
      <c r="C123" s="39"/>
      <c r="D123" s="69"/>
      <c r="E123" s="306"/>
      <c r="F123" s="39"/>
      <c r="G123" s="69"/>
      <c r="H123" s="306"/>
      <c r="I123" s="39"/>
      <c r="J123" s="69"/>
      <c r="K123" s="306"/>
      <c r="L123" s="39"/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3"/>
        <v>0</v>
      </c>
      <c r="AN123" s="69"/>
      <c r="AO123" s="324"/>
    </row>
    <row r="124" spans="1:41" ht="15" customHeight="1" outlineLevel="1" x14ac:dyDescent="0.2">
      <c r="A124" s="226" t="s">
        <v>413</v>
      </c>
      <c r="B124" s="25" t="s">
        <v>123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3"/>
        <v>0</v>
      </c>
      <c r="AN124" s="43"/>
      <c r="AO124" s="309"/>
    </row>
    <row r="125" spans="1:41" ht="15" customHeight="1" outlineLevel="1" x14ac:dyDescent="0.2">
      <c r="A125" s="226" t="s">
        <v>414</v>
      </c>
      <c r="B125" s="28" t="s">
        <v>124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3"/>
        <v>0</v>
      </c>
      <c r="AN125" s="45"/>
      <c r="AO125" s="325"/>
    </row>
    <row r="126" spans="1:41" ht="15" customHeight="1" x14ac:dyDescent="0.2">
      <c r="B126" s="16" t="s">
        <v>125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0</v>
      </c>
      <c r="J126" s="3"/>
      <c r="K126" s="150"/>
      <c r="L126" s="49">
        <f>SUM(L127:L139)</f>
        <v>0</v>
      </c>
      <c r="M126" s="3"/>
      <c r="N126" s="150"/>
      <c r="O126" s="49">
        <f>SUM(O127:O139)</f>
        <v>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3"/>
        <v>4230450</v>
      </c>
      <c r="AN126" s="3"/>
      <c r="AO126" s="321"/>
    </row>
    <row r="127" spans="1:41" ht="15" customHeight="1" outlineLevel="1" x14ac:dyDescent="0.2">
      <c r="A127" s="226" t="s">
        <v>415</v>
      </c>
      <c r="B127" s="39" t="s">
        <v>247</v>
      </c>
      <c r="C127" s="39"/>
      <c r="D127" s="69"/>
      <c r="E127" s="306"/>
      <c r="F127" s="39"/>
      <c r="G127" s="69"/>
      <c r="H127" s="306"/>
      <c r="I127" s="39"/>
      <c r="J127" s="69"/>
      <c r="K127" s="306"/>
      <c r="L127" s="39"/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3"/>
        <v>0</v>
      </c>
      <c r="AN127" s="42"/>
      <c r="AO127" s="328"/>
    </row>
    <row r="128" spans="1:41" ht="15" customHeight="1" outlineLevel="1" x14ac:dyDescent="0.2">
      <c r="A128" s="226" t="s">
        <v>416</v>
      </c>
      <c r="B128" s="25" t="s">
        <v>382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4" ht="15" customHeight="1" outlineLevel="1" x14ac:dyDescent="0.2">
      <c r="A129" s="226" t="s">
        <v>417</v>
      </c>
      <c r="B129" s="25" t="s">
        <v>131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9" si="4">C129+F129+I129+L129+O129+R129+U129+X129+AA129+AD129+AG129+AJ129</f>
        <v>0</v>
      </c>
      <c r="AN129" s="43"/>
      <c r="AO129" s="329"/>
    </row>
    <row r="130" spans="1:44" ht="15" customHeight="1" outlineLevel="1" x14ac:dyDescent="0.2">
      <c r="A130" s="226" t="s">
        <v>132</v>
      </c>
      <c r="B130" s="25" t="s">
        <v>133</v>
      </c>
      <c r="C130" s="25"/>
      <c r="D130" s="43"/>
      <c r="E130" s="118"/>
      <c r="F130" s="25">
        <f>'[4]Hoja 1'!$C$677</f>
        <v>142800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142800</v>
      </c>
      <c r="AN130" s="43"/>
      <c r="AO130" s="329"/>
      <c r="AP130" s="367"/>
    </row>
    <row r="131" spans="1:44" ht="15" customHeight="1" outlineLevel="1" x14ac:dyDescent="0.2">
      <c r="A131" s="226" t="s">
        <v>418</v>
      </c>
      <c r="B131" s="25" t="s">
        <v>134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0</v>
      </c>
      <c r="AN131" s="43"/>
      <c r="AO131" s="309"/>
      <c r="AP131" s="367"/>
    </row>
    <row r="132" spans="1:44" ht="15" customHeight="1" outlineLevel="1" x14ac:dyDescent="0.2">
      <c r="A132" s="226" t="s">
        <v>135</v>
      </c>
      <c r="B132" s="25" t="s">
        <v>136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4" ht="15" customHeight="1" outlineLevel="1" x14ac:dyDescent="0.2">
      <c r="A133" s="226" t="s">
        <v>137</v>
      </c>
      <c r="B133" s="25" t="s">
        <v>138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0</v>
      </c>
      <c r="AN133" s="43"/>
      <c r="AO133" s="309"/>
      <c r="AQ133" s="367"/>
      <c r="AR133" s="367"/>
    </row>
    <row r="134" spans="1:44" ht="15" customHeight="1" outlineLevel="1" x14ac:dyDescent="0.2">
      <c r="A134" s="226" t="s">
        <v>419</v>
      </c>
      <c r="B134" s="25" t="s">
        <v>139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0</v>
      </c>
      <c r="AN134" s="43"/>
      <c r="AO134" s="309"/>
    </row>
    <row r="135" spans="1:44" ht="15" customHeight="1" outlineLevel="1" x14ac:dyDescent="0.2">
      <c r="A135" s="226" t="s">
        <v>420</v>
      </c>
      <c r="B135" s="25" t="s">
        <v>564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0</v>
      </c>
      <c r="AN135" s="43"/>
      <c r="AO135" s="309"/>
    </row>
    <row r="136" spans="1:44" ht="15" customHeight="1" outlineLevel="1" x14ac:dyDescent="0.2">
      <c r="A136" s="226" t="s">
        <v>326</v>
      </c>
      <c r="B136" s="25" t="s">
        <v>142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4" ht="15" customHeight="1" outlineLevel="1" x14ac:dyDescent="0.2">
      <c r="B137" s="25" t="s">
        <v>565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949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4" ht="15" customHeight="1" outlineLevel="1" x14ac:dyDescent="0.2">
      <c r="B138" s="25" t="s">
        <v>566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4" ht="15" customHeight="1" outlineLevel="1" thickBot="1" x14ac:dyDescent="0.25">
      <c r="A139" s="226" t="s">
        <v>421</v>
      </c>
      <c r="B139" s="269" t="s">
        <v>567</v>
      </c>
      <c r="C139" s="269">
        <f>'[6]Hoja 1'!$C$741</f>
        <v>4087650</v>
      </c>
      <c r="D139" s="214"/>
      <c r="E139" s="307"/>
      <c r="F139" s="269"/>
      <c r="G139" s="214"/>
      <c r="H139" s="307"/>
      <c r="I139" s="269"/>
      <c r="J139" s="214"/>
      <c r="K139" s="307"/>
      <c r="L139" s="269"/>
      <c r="M139" s="214"/>
      <c r="N139" s="307"/>
      <c r="O139" s="269"/>
      <c r="P139" s="214"/>
      <c r="Q139" s="307"/>
      <c r="R139" s="269"/>
      <c r="S139" s="214"/>
      <c r="T139" s="307"/>
      <c r="U139" s="269"/>
      <c r="V139" s="214"/>
      <c r="W139" s="307"/>
      <c r="X139" s="269"/>
      <c r="Y139" s="214"/>
      <c r="Z139" s="307"/>
      <c r="AA139" s="269"/>
      <c r="AB139" s="214"/>
      <c r="AC139" s="307"/>
      <c r="AD139" s="269"/>
      <c r="AE139" s="214"/>
      <c r="AF139" s="307"/>
      <c r="AG139" s="269"/>
      <c r="AH139" s="214"/>
      <c r="AI139" s="307"/>
      <c r="AJ139" s="269"/>
      <c r="AK139" s="214"/>
      <c r="AL139" s="271"/>
      <c r="AM139" s="213">
        <f t="shared" si="4"/>
        <v>4087650</v>
      </c>
      <c r="AN139" s="214"/>
      <c r="AO139" s="330"/>
    </row>
    <row r="140" spans="1:44" ht="15" customHeight="1" thickTop="1" thickBot="1" x14ac:dyDescent="0.25">
      <c r="C140" s="2"/>
      <c r="D140" s="2"/>
      <c r="E140" s="244"/>
      <c r="F140" s="2"/>
      <c r="G140" s="2"/>
      <c r="H140" s="244"/>
      <c r="I140" s="2"/>
      <c r="J140" s="2"/>
      <c r="K140" s="244"/>
      <c r="L140" s="2"/>
      <c r="M140" s="2"/>
      <c r="N140" s="244"/>
      <c r="O140" s="2"/>
      <c r="P140" s="2"/>
      <c r="Q140" s="244"/>
      <c r="R140" s="2"/>
      <c r="S140" s="2"/>
      <c r="T140" s="244"/>
      <c r="U140" s="2"/>
      <c r="V140" s="2"/>
      <c r="W140" s="244"/>
      <c r="X140" s="2"/>
      <c r="Y140" s="2"/>
      <c r="Z140" s="244"/>
      <c r="AA140" s="2"/>
      <c r="AB140" s="2"/>
      <c r="AC140" s="244"/>
      <c r="AD140" s="2"/>
      <c r="AE140" s="2"/>
      <c r="AF140" s="244"/>
      <c r="AG140" s="2"/>
      <c r="AH140" s="2"/>
      <c r="AI140" s="244"/>
      <c r="AJ140" s="2"/>
      <c r="AK140" s="2"/>
      <c r="AL140" s="64"/>
      <c r="AM140" s="151"/>
      <c r="AN140" s="2"/>
      <c r="AO140" s="244"/>
    </row>
    <row r="141" spans="1:44" ht="15" customHeight="1" thickTop="1" thickBot="1" x14ac:dyDescent="0.25">
      <c r="B141" s="525" t="s">
        <v>329</v>
      </c>
      <c r="C141" s="493">
        <f>C44+C83</f>
        <v>15474654</v>
      </c>
      <c r="D141" s="494"/>
      <c r="E141" s="495"/>
      <c r="F141" s="493">
        <f>F44+F83</f>
        <v>-1777321</v>
      </c>
      <c r="G141" s="494"/>
      <c r="H141" s="495"/>
      <c r="I141" s="493">
        <f>I44+I83</f>
        <v>0</v>
      </c>
      <c r="J141" s="494"/>
      <c r="K141" s="495"/>
      <c r="L141" s="493">
        <f>L44+L83</f>
        <v>0</v>
      </c>
      <c r="M141" s="494"/>
      <c r="N141" s="495"/>
      <c r="O141" s="493">
        <f>O44+O83</f>
        <v>0</v>
      </c>
      <c r="P141" s="494"/>
      <c r="Q141" s="495"/>
      <c r="R141" s="493">
        <f>R44+R83</f>
        <v>0</v>
      </c>
      <c r="S141" s="494"/>
      <c r="T141" s="495"/>
      <c r="U141" s="493">
        <f>U44+U83</f>
        <v>0</v>
      </c>
      <c r="V141" s="494"/>
      <c r="W141" s="495"/>
      <c r="X141" s="493">
        <f>X44+X83</f>
        <v>0</v>
      </c>
      <c r="Y141" s="494"/>
      <c r="Z141" s="495"/>
      <c r="AA141" s="493">
        <f>AA44+AA83</f>
        <v>0</v>
      </c>
      <c r="AB141" s="494"/>
      <c r="AC141" s="495"/>
      <c r="AD141" s="493">
        <f>AD44+AD83</f>
        <v>0</v>
      </c>
      <c r="AE141" s="494"/>
      <c r="AF141" s="495"/>
      <c r="AG141" s="493">
        <f>AG44+AG83</f>
        <v>0</v>
      </c>
      <c r="AH141" s="494"/>
      <c r="AI141" s="495"/>
      <c r="AJ141" s="493">
        <f>AJ44+AJ83</f>
        <v>0</v>
      </c>
      <c r="AK141" s="494"/>
      <c r="AL141" s="508"/>
      <c r="AM141" s="583">
        <f>C141+F141+I141+L141+O141+R141+U141+X141+AA141+AD141+AG141+AJ141</f>
        <v>13697333</v>
      </c>
      <c r="AN141" s="494"/>
      <c r="AO141" s="584"/>
    </row>
    <row r="142" spans="1:44" ht="15" customHeight="1" thickTop="1" thickBot="1" x14ac:dyDescent="0.25">
      <c r="B142" s="193"/>
      <c r="C142" s="496" t="str">
        <f>IFERROR(C141/C13," ")</f>
        <v xml:space="preserve"> </v>
      </c>
      <c r="D142" s="488"/>
      <c r="E142" s="489"/>
      <c r="F142" s="496" t="str">
        <f>IFERROR(F141/F13," ")</f>
        <v xml:space="preserve"> </v>
      </c>
      <c r="G142" s="488"/>
      <c r="H142" s="489"/>
      <c r="I142" s="496" t="str">
        <f>IFERROR(I141/I13," ")</f>
        <v xml:space="preserve"> </v>
      </c>
      <c r="J142" s="488"/>
      <c r="K142" s="489"/>
      <c r="L142" s="496" t="str">
        <f>IFERROR(L141/L13," ")</f>
        <v xml:space="preserve"> </v>
      </c>
      <c r="M142" s="488"/>
      <c r="N142" s="489"/>
      <c r="O142" s="496" t="str">
        <f>IFERROR(O141/O13," ")</f>
        <v xml:space="preserve"> </v>
      </c>
      <c r="P142" s="488"/>
      <c r="Q142" s="489"/>
      <c r="R142" s="496" t="str">
        <f>IFERROR(R141/R13," ")</f>
        <v xml:space="preserve"> </v>
      </c>
      <c r="S142" s="488"/>
      <c r="T142" s="489"/>
      <c r="U142" s="496" t="str">
        <f>IFERROR(U141/U13," ")</f>
        <v xml:space="preserve"> </v>
      </c>
      <c r="V142" s="488"/>
      <c r="W142" s="489"/>
      <c r="X142" s="496" t="str">
        <f>IFERROR(X141/X13," ")</f>
        <v xml:space="preserve"> </v>
      </c>
      <c r="Y142" s="488"/>
      <c r="Z142" s="489"/>
      <c r="AA142" s="496" t="str">
        <f>IFERROR(AA141/AA13," ")</f>
        <v xml:space="preserve"> </v>
      </c>
      <c r="AB142" s="488"/>
      <c r="AC142" s="489"/>
      <c r="AD142" s="496" t="str">
        <f>IFERROR(AD141/AD13," ")</f>
        <v xml:space="preserve"> </v>
      </c>
      <c r="AE142" s="488"/>
      <c r="AF142" s="489"/>
      <c r="AG142" s="496" t="str">
        <f>IFERROR(AG141/AG13," ")</f>
        <v xml:space="preserve"> </v>
      </c>
      <c r="AH142" s="488"/>
      <c r="AI142" s="489"/>
      <c r="AJ142" s="496" t="str">
        <f>IFERROR(AJ141/AJ13," ")</f>
        <v xml:space="preserve"> </v>
      </c>
      <c r="AK142" s="488"/>
      <c r="AL142" s="509"/>
      <c r="AM142" s="496" t="str">
        <f>IFERROR(AM141/AM13," ")</f>
        <v xml:space="preserve"> </v>
      </c>
      <c r="AN142" s="488"/>
      <c r="AO142" s="577"/>
    </row>
    <row r="143" spans="1:44" ht="10.8" customHeight="1" thickTop="1" x14ac:dyDescent="0.2"/>
    <row r="144" spans="1:44" x14ac:dyDescent="0.2">
      <c r="C144" s="611"/>
      <c r="F144" s="611"/>
      <c r="I144" s="611"/>
      <c r="L144" s="611"/>
      <c r="O144" s="611"/>
      <c r="R144" s="611"/>
      <c r="U144" s="611"/>
      <c r="X144" s="611"/>
      <c r="AA144" s="611"/>
      <c r="AD144" s="611"/>
      <c r="AG144" s="611"/>
      <c r="AJ144" s="611"/>
    </row>
    <row r="145" spans="3:36" x14ac:dyDescent="0.2">
      <c r="C145" s="611">
        <f>C141</f>
        <v>15474654</v>
      </c>
      <c r="F145" s="611">
        <f>F141</f>
        <v>-1777321</v>
      </c>
      <c r="I145" s="611">
        <f>I141</f>
        <v>0</v>
      </c>
      <c r="L145" s="611">
        <f>L141</f>
        <v>0</v>
      </c>
      <c r="O145" s="611">
        <f>O141</f>
        <v>0</v>
      </c>
      <c r="R145" s="611">
        <f>R141</f>
        <v>0</v>
      </c>
      <c r="U145" s="611">
        <f>U141</f>
        <v>0</v>
      </c>
      <c r="X145" s="611">
        <f>X141</f>
        <v>0</v>
      </c>
      <c r="AA145" s="611">
        <f>AA141</f>
        <v>0</v>
      </c>
      <c r="AD145" s="611">
        <f>AD141</f>
        <v>0</v>
      </c>
      <c r="AG145" s="611">
        <f>AG141</f>
        <v>0</v>
      </c>
      <c r="AJ145" s="611">
        <f>AJ141</f>
        <v>0</v>
      </c>
    </row>
    <row r="146" spans="3:36" x14ac:dyDescent="0.2">
      <c r="C146" s="611">
        <f>'[6]Hoja 1'!$C$702-'[6]Hoja 1'!$C$738</f>
        <v>15474654</v>
      </c>
      <c r="F146" s="611">
        <f>'[4]Hoja 1'!$C$642-'[4]Hoja 1'!$C$674</f>
        <v>-1777321</v>
      </c>
      <c r="I146" s="611">
        <v>21290472</v>
      </c>
      <c r="L146" s="611">
        <v>11834112.800000001</v>
      </c>
      <c r="O146" s="611">
        <v>42204201.299999997</v>
      </c>
      <c r="R146" s="611">
        <v>18032082.899999999</v>
      </c>
      <c r="U146" s="611">
        <v>18399775.920000002</v>
      </c>
      <c r="X146" s="611">
        <v>17628868.460000001</v>
      </c>
      <c r="AA146" s="611">
        <v>18247022.890000001</v>
      </c>
      <c r="AD146" s="611">
        <v>17289109.420000002</v>
      </c>
      <c r="AG146" s="611">
        <v>21006738.699999999</v>
      </c>
      <c r="AJ146" s="611">
        <v>26761957</v>
      </c>
    </row>
    <row r="147" spans="3:36" x14ac:dyDescent="0.2">
      <c r="C147" s="235">
        <f>C145-C146</f>
        <v>0</v>
      </c>
      <c r="F147" s="235">
        <f>F145-F146</f>
        <v>0</v>
      </c>
      <c r="I147" s="235">
        <f>I145-I146</f>
        <v>-21290472</v>
      </c>
      <c r="L147" s="235">
        <f>L145-L146</f>
        <v>-11834112.800000001</v>
      </c>
      <c r="O147" s="235">
        <f>O145-O146</f>
        <v>-42204201.299999997</v>
      </c>
      <c r="R147" s="235">
        <f>R145-R146</f>
        <v>-18032082.899999999</v>
      </c>
      <c r="U147" s="235">
        <f>U145-U146</f>
        <v>-18399775.920000002</v>
      </c>
      <c r="X147" s="235">
        <f>X145-X146</f>
        <v>-17628868.460000001</v>
      </c>
      <c r="AA147" s="235">
        <f>AA145-AA146</f>
        <v>-18247022.890000001</v>
      </c>
      <c r="AD147" s="235">
        <f>AD145-AD146</f>
        <v>-17289109.420000002</v>
      </c>
      <c r="AG147" s="235">
        <f>AG145-AG146</f>
        <v>-21006738.699999999</v>
      </c>
      <c r="AJ147" s="235">
        <f>AJ145-AJ146</f>
        <v>-26761957</v>
      </c>
    </row>
  </sheetData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00000000-0004-0000-1000-000000000000}"/>
    <hyperlink ref="AM103" r:id="rId2" location="'PRESUPUESTO CONTRATO CALI  2020'!AL7" display="INFORMACION\PRESUPUESTO TECNICO 2020 - PROYECTADO TOTAL.xlsx - 'PRESUPUESTO CONTRATO CALI  2020'!AL7" xr:uid="{00000000-0004-0000-1000-000001000000}"/>
  </hyperlinks>
  <pageMargins left="0.7" right="0.7" top="0.75" bottom="0.75" header="0.3" footer="0.3"/>
  <pageSetup scale="4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%DIST</vt:lpstr>
      <vt:lpstr>GASTOS ADMINISTRATIVOS</vt:lpstr>
      <vt:lpstr>GASTOS OPERATIVOS</vt:lpstr>
      <vt:lpstr>GASTOS VEHICULOS</vt:lpstr>
      <vt:lpstr>CASINO</vt:lpstr>
      <vt:lpstr>HUNGRIA</vt:lpstr>
      <vt:lpstr>CALI</vt:lpstr>
      <vt:lpstr>YUMBO</vt:lpstr>
      <vt:lpstr>BUGA</vt:lpstr>
      <vt:lpstr>IMDERTY</vt:lpstr>
      <vt:lpstr>COMEDORES CALI</vt:lpstr>
      <vt:lpstr>CTAS EN PPACION</vt:lpstr>
      <vt:lpstr>COMEDORES PALMIRA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2026-03-30T21:29:20Z</dcterms:modified>
</cp:coreProperties>
</file>