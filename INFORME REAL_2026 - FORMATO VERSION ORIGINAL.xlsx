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1" activeTab="4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273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73" fontId="10" fillId="0" borderId="0" pivotButton="0" quotePrefix="0" xfId="2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2026-03-30</t>
      </text>
    </comment>
    <comment ref="I19" authorId="0" shapeId="0">
      <text>
        <t>Archivo: 5105_CHVS_MAR_2026.xls
  Codigos: 99 GENERAL
  Celdas:  J18
  Valor:   $241,842,440
------------------------------
Total: $241,842,440
Generado: 2026-03-30</t>
      </text>
    </comment>
    <comment ref="I45" authorId="0" shapeId="0">
      <text>
        <t>Archivo: 5105_CHVS_MAR_2026.xls
  Codigos: 99 GENERAL
  Celdas:  J18
  Valor:   $241,842,440
------------------------------
Total: $241,842,440
Generado: 2026-03-30</t>
      </text>
    </comment>
    <comment ref="I46" authorId="0" shapeId="0">
      <text>
        <t>Archivo: 5105_CHVS_MAR_2026.xls
  Codigos: 99 GENERAL
  Celdas:  J18
  Valor:   $241,842,440
------------------------------
Total: $241,842,440
Generado: 2026-03-30</t>
      </text>
    </comment>
    <comment ref="I58" authorId="0" shapeId="0">
      <text>
        <t>Archivo: 5105_CHVS_MAR_2026.xls
  Codigos: 99 GENERAL
  Celdas:  J18
  Valor:   $241,842,440
------------------------------
Total: $241,842,440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------------------------------
Total: $241,842,440
Generado: 2026-03-30</t>
      </text>
    </comment>
    <comment ref="I93" authorId="0" shapeId="0">
      <text>
        <t>Archivo: 5105_CHVS_MAR_2026.xls
  Codigos: 99 GENERAL
  Celdas:  J18
  Valor:   $241,842,440
------------------------------
Total: $241,842,440
Generado: 2026-03-30</t>
      </text>
    </comment>
    <comment ref="I94" authorId="0" shapeId="0">
      <text>
        <t>Archivo: 5105_CHVS_MAR_2026.xls
  Codigos: 99 GENERAL
  Celdas:  J18
  Valor:   $241,842,440
------------------------------
Total: $241,842,440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------------------------------
Total: $241,842,440
Generado: 2026-03-30</t>
      </text>
    </comment>
    <comment ref="I115" authorId="0" shapeId="0">
      <text>
        <t>Archivo: 5105_CHVS_MAR_2026.xls
  Codigos: 99 GENERAL
  Celdas:  J18
  Valor:   $241,842,440
------------------------------
Total: $241,842,440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------------------------------
Total: $241,842,440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99 GENERAL
  Celdas:  J18
  Valor:   $241,842,440
------------------------------
Total: $241,842,440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99 GENERAL
  Celdas:  J18
  Valor:   $241,842,440
------------------------------
Total: $241,842,440
Generado: 2026-03-30</t>
      </text>
    </comment>
    <comment ref="I127" authorId="0" shapeId="0">
      <text>
        <t>Archivo: 5105_CHVS_MAR_2026.xls
  Codigos: 99 GENERAL
  Celdas:  J18
  Valor:   $241,842,440
------------------------------
Total: $241,842,440
Generado: 2026-03-30</t>
      </text>
    </comment>
    <comment ref="I128" authorId="0" shapeId="0">
      <text>
        <t>Archivo: 5105_CHVS_MAR_2026.xls
  Codigos: 99 GENERAL
  Celdas:  J18
  Valor:   $241,842,440
------------------------------
Total: $241,842,440
Generado: 2026-03-30</t>
      </text>
    </comment>
    <comment ref="I129" authorId="0" shapeId="0">
      <text>
        <t>Archivo: 5105_CHVS_MAR_2026.xls
  Codigos: 99 GENERAL
  Celdas:  J18
  Valor:   $241,842,440
------------------------------
Total: $241,842,440
Generado: 2026-03-30</t>
      </text>
    </comment>
    <comment ref="I130" authorId="0" shapeId="0">
      <text>
        <t>Archivo: 5105_CHVS_MAR_2026.xls
  Codigos: 99 GENERAL
  Celdas:  J18
  Valor:   $241,842,440
------------------------------
Total: $241,842,440
Generado: 2026-03-30</t>
      </text>
    </comment>
    <comment ref="I131" authorId="0" shapeId="0">
      <text>
        <t>Archivo: 5105_CHVS_MAR_2026.xls
  Codigos: 99 GENERAL
  Celdas:  J18
  Valor:   $241,842,440
------------------------------
Total: $241,842,440
Generado: 2026-03-30</t>
      </text>
    </comment>
    <comment ref="I132" authorId="0" shapeId="0">
      <text>
        <t>Archivo: 5105_CHVS_MAR_2026.xls
  Codigos: 99 GENERAL
  Celdas:  J18
  Valor:   $241,842,440
------------------------------
Total: $241,842,440
Generado: 2026-03-30</t>
      </text>
    </comment>
    <comment ref="I133" authorId="0" shapeId="0">
      <text>
        <t>Archivo: 5105_CHVS_MAR_2026.xls
  Codigos: 99 GENERAL
  Celdas:  J18
  Valor:   $241,842,440
------------------------------
Total: $241,842,440
Generado: 2026-03-30</t>
      </text>
    </comment>
    <comment ref="I134" authorId="0" shapeId="0">
      <text>
        <t>Archivo: 5105_CHVS_MAR_2026.xls
  Codigos: 99 GENERAL
  Celdas:  J18
  Valor:   $241,842,440
------------------------------
Total: $241,842,440
Generado: 2026-03-30</t>
      </text>
    </comment>
    <comment ref="I135" authorId="0" shapeId="0">
      <text>
        <t>Archivo: 5105_CHVS_MAR_2026.xls
  Codigos: 99 GENERAL
  Celdas:  J18
  Valor:   $241,842,440
------------------------------
Total: $241,842,440
Generado: 2026-03-30</t>
      </text>
    </comment>
    <comment ref="I136" authorId="0" shapeId="0">
      <text>
        <t>Archivo: 5105_CHVS_MAR_2026.xls
  Codigos: 99 GENERAL
  Celdas:  J18
  Valor:   $241,842,440
------------------------------
Total: $241,842,440
Generado: 2026-03-30</t>
      </text>
    </comment>
    <comment ref="I137" authorId="0" shapeId="0">
      <text>
        <t>Archivo: 5105_CHVS_MAR_2026.xls
  Codigos: 99 GENERAL
  Celdas:  J18
  Valor:   $241,842,440
------------------------------
Total: $241,842,440
Generado: 2026-03-30</t>
      </text>
    </comment>
    <comment ref="I138" authorId="0" shapeId="0">
      <text>
        <t>Archivo: 5105_CHVS_MAR_2026.xls
  Codigos: 99 GENERAL
  Celdas:  J18
  Valor:   $241,842,440
------------------------------
Total: $241,842,440
Generado: 2026-03-30</t>
      </text>
    </comment>
    <comment ref="I142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ENERO 26
</t>
      </text>
    </comment>
    <comment ref="C90" authorId="0" shapeId="0">
      <text>
        <t>$900,000 dic</t>
      </text>
    </comment>
    <comment ref="C97" authorId="0" shapeId="0">
      <text>
        <t xml:space="preserve">$21,002,713 dic
</t>
      </text>
    </comment>
    <comment ref="F119" authorId="0" shapeId="0">
      <text>
        <t xml:space="preserve">Mtto Basculas
</t>
      </text>
    </comment>
    <comment ref="B126" authorId="0" shapeId="0">
      <text>
        <t xml:space="preserve">Visita a Proveedores
</t>
      </text>
    </comment>
    <comment ref="B142" authorId="0" shapeId="0">
      <text>
        <t xml:space="preserve">Botiquin
</t>
      </text>
    </comment>
  </commentList>
</comments>
</file>

<file path=xl/comments/comment6.xml><?xml version="1.0" encoding="utf-8"?>
<comments xmlns="http://schemas.openxmlformats.org/spreadsheetml/2006/main">
  <authors>
    <author>USER</author>
    <author>ADRIANA</author>
  </authors>
  <commentList>
    <comment ref="C3" authorId="0" shapeId="0">
      <text>
        <t xml:space="preserve">Inicia 27 de enero
</t>
      </text>
    </comment>
    <comment ref="AD52" authorId="1" shapeId="0">
      <text>
        <t xml:space="preserve">$2,934,400 la locura
</t>
      </text>
    </comment>
    <comment ref="C101" authorId="0" shapeId="0">
      <text>
        <t xml:space="preserve">Natalia Ledesma
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Inicia 20 de enero
</t>
      </text>
    </comment>
    <comment ref="C97" authorId="0" shapeId="0">
      <text>
        <t xml:space="preserve">$1,853,955 DIC
</t>
      </text>
    </comment>
    <comment ref="C113" authorId="0" shapeId="0">
      <text>
        <t xml:space="preserve">$167,200 DIC
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9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16" min="1" max="1"/>
    <col width="15.6640625" customWidth="1" style="1016" min="2" max="2"/>
    <col width="7" customWidth="1" style="1016" min="3" max="3"/>
    <col width="15.6640625" customWidth="1" style="1016" min="4" max="4"/>
    <col width="10.5546875" customWidth="1" style="1016" min="5" max="5"/>
    <col width="15.6640625" customWidth="1" style="1016" min="6" max="6"/>
    <col width="9.44140625" customWidth="1" style="1016" min="7" max="7"/>
    <col width="15.6640625" customWidth="1" style="1016" min="8" max="8"/>
    <col width="8.109375" customWidth="1" style="1016" min="9" max="9"/>
    <col width="15.6640625" customWidth="1" style="1016" min="10" max="10"/>
    <col width="8.6640625" customWidth="1" style="1016" min="11" max="11"/>
    <col width="15.6640625" customWidth="1" style="1016" min="12" max="12"/>
    <col width="9.44140625" customWidth="1" style="1016" min="13" max="13"/>
    <col width="15.6640625" customWidth="1" style="1016" min="14" max="14"/>
    <col width="8.6640625" customWidth="1" style="1016" min="15" max="15"/>
    <col width="15.6640625" customWidth="1" style="1016" min="16" max="16"/>
    <col width="8.6640625" customWidth="1" style="1016" min="17" max="17"/>
    <col width="15.6640625" customWidth="1" style="1016" min="18" max="18"/>
    <col width="8.6640625" customWidth="1" style="1016" min="19" max="19"/>
    <col width="15.6640625" customWidth="1" style="1016" min="20" max="20"/>
    <col width="8.6640625" customWidth="1" style="1016" min="21" max="21"/>
    <col width="15.6640625" customWidth="1" style="1016" min="22" max="22"/>
    <col width="8.6640625" customWidth="1" style="1016" min="23" max="23"/>
    <col width="15.6640625" customWidth="1" style="1016" min="24" max="24"/>
    <col width="8.6640625" customWidth="1" style="1016" min="25" max="25"/>
    <col width="17" bestFit="1" customWidth="1" style="1016" min="26" max="26"/>
  </cols>
  <sheetData>
    <row r="1" ht="20.25" customHeight="1" s="1016">
      <c r="A1" s="1015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16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16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16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16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16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16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16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16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16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16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16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16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26" t="n"/>
    </row>
    <row r="17" ht="15.6" customHeight="1" s="1016">
      <c r="A17" s="363" t="inlineStr">
        <is>
          <t>DISTRIBUCION FLETES INTERNOS</t>
        </is>
      </c>
    </row>
    <row r="19" ht="20.1" customHeight="1" s="1016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16">
      <c r="A20" s="358" t="inlineStr">
        <is>
          <t>CALI</t>
        </is>
      </c>
      <c r="B20" s="1027" t="n">
        <v>0.22</v>
      </c>
      <c r="C20" s="121" t="n"/>
      <c r="D20" s="1027" t="n">
        <v>0.6850000000000001</v>
      </c>
      <c r="E20" s="121" t="n"/>
      <c r="F20" s="1027" t="n">
        <v>0.64</v>
      </c>
      <c r="G20" s="123" t="n"/>
      <c r="H20" s="1027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27" t="n">
        <v>0.23</v>
      </c>
      <c r="O20" s="121" t="n"/>
      <c r="P20" s="1027" t="n">
        <v>0.495</v>
      </c>
      <c r="Q20" s="1028" t="n"/>
      <c r="R20" s="1027" t="n">
        <v>0.53</v>
      </c>
      <c r="S20" s="121" t="n"/>
      <c r="T20" s="1027" t="n">
        <v>0.38</v>
      </c>
      <c r="U20" s="121" t="n"/>
      <c r="V20" s="1027" t="n">
        <v>0.52</v>
      </c>
      <c r="W20" s="121" t="n"/>
      <c r="X20" s="361" t="n"/>
      <c r="Y20" s="121" t="n"/>
      <c r="AA20" s="361" t="n">
        <v>0.2</v>
      </c>
    </row>
    <row r="21" ht="20.1" customHeight="1" s="1016">
      <c r="A21" s="358" t="inlineStr">
        <is>
          <t>YUMBO</t>
        </is>
      </c>
      <c r="B21" s="1027" t="n">
        <v>0.075</v>
      </c>
      <c r="C21" s="121" t="n"/>
      <c r="D21" s="1027" t="n">
        <v>0.2</v>
      </c>
      <c r="E21" s="121" t="n"/>
      <c r="F21" s="1027" t="n">
        <v>0.18</v>
      </c>
      <c r="G21" s="123" t="n"/>
      <c r="H21" s="1027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27" t="n">
        <v>0.13</v>
      </c>
      <c r="O21" s="121" t="n"/>
      <c r="P21" s="1027" t="n">
        <v>0.175</v>
      </c>
      <c r="Q21" s="1028" t="n"/>
      <c r="R21" s="1027" t="n">
        <v>0.16</v>
      </c>
      <c r="S21" s="121" t="n"/>
      <c r="T21" s="1027" t="n">
        <v>0.12</v>
      </c>
      <c r="U21" s="121" t="n"/>
      <c r="V21" s="1027" t="n">
        <v>0.2</v>
      </c>
      <c r="W21" s="121" t="n"/>
      <c r="X21" s="361" t="n"/>
      <c r="Y21" s="121" t="n"/>
      <c r="AA21" s="361" t="n"/>
    </row>
    <row r="22" ht="20.1" customHeight="1" s="1016">
      <c r="A22" s="358" t="inlineStr">
        <is>
          <t>GOBERNACION</t>
        </is>
      </c>
      <c r="B22" s="361" t="n"/>
      <c r="C22" s="121" t="n"/>
      <c r="D22" s="1027" t="n"/>
      <c r="E22" s="121" t="n"/>
      <c r="F22" s="1027" t="n"/>
      <c r="G22" s="123" t="n"/>
      <c r="H22" s="1027" t="n"/>
      <c r="I22" s="121" t="n"/>
      <c r="J22" s="1027" t="n"/>
      <c r="K22" s="121" t="n"/>
      <c r="L22" s="1027" t="n"/>
      <c r="M22" s="121" t="n"/>
      <c r="N22" s="361" t="n"/>
      <c r="O22" s="121" t="n"/>
      <c r="P22" s="1027" t="n"/>
      <c r="Q22" s="396" t="n"/>
      <c r="R22" s="1027" t="n"/>
      <c r="S22" s="121" t="n"/>
      <c r="T22" s="1027" t="n"/>
      <c r="U22" s="121" t="n"/>
      <c r="V22" s="1027" t="n"/>
      <c r="W22" s="121" t="n"/>
      <c r="X22" s="361" t="n"/>
      <c r="Y22" s="121" t="n"/>
      <c r="AA22" s="361" t="n"/>
    </row>
    <row r="23" ht="20.1" customHeight="1" s="1016">
      <c r="A23" s="358" t="inlineStr">
        <is>
          <t>BUGA</t>
        </is>
      </c>
      <c r="B23" s="361" t="n">
        <v>0.015</v>
      </c>
      <c r="C23" s="121" t="n"/>
      <c r="D23" s="1027" t="n">
        <v>0.02</v>
      </c>
      <c r="E23" s="121" t="n"/>
      <c r="F23" s="1027" t="n">
        <v>0.02</v>
      </c>
      <c r="G23" s="123" t="n"/>
      <c r="H23" s="1027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27" t="n">
        <v>0.015</v>
      </c>
      <c r="Q23" s="121" t="n"/>
      <c r="R23" s="1027" t="n">
        <v>0.01</v>
      </c>
      <c r="S23" s="121" t="n"/>
      <c r="T23" s="1027" t="n">
        <v>0.02</v>
      </c>
      <c r="U23" s="121" t="n"/>
      <c r="V23" s="1027" t="n">
        <v>0.01</v>
      </c>
      <c r="W23" s="121" t="n"/>
      <c r="X23" s="361" t="n"/>
      <c r="Y23" s="121" t="n"/>
      <c r="AA23" s="361" t="n">
        <v>0.15</v>
      </c>
    </row>
    <row r="24" ht="20.1" customHeight="1" s="1016">
      <c r="A24" s="358" t="inlineStr">
        <is>
          <t>HUNGRIA</t>
        </is>
      </c>
      <c r="B24" s="361" t="n"/>
      <c r="C24" s="121" t="n"/>
      <c r="D24" s="1027" t="n"/>
      <c r="E24" s="121" t="n"/>
      <c r="F24" s="1027" t="n"/>
      <c r="G24" s="123" t="n"/>
      <c r="H24" s="1027" t="n"/>
      <c r="I24" s="121" t="n"/>
      <c r="J24" s="361" t="n"/>
      <c r="K24" s="121" t="n"/>
      <c r="L24" s="361" t="n"/>
      <c r="M24" s="121" t="n"/>
      <c r="N24" s="361" t="n"/>
      <c r="O24" s="121" t="n"/>
      <c r="P24" s="1027" t="n"/>
      <c r="Q24" s="396" t="n"/>
      <c r="R24" s="1027" t="n"/>
      <c r="S24" s="121" t="n"/>
      <c r="T24" s="1027" t="n"/>
      <c r="U24" s="121" t="n"/>
      <c r="V24" s="1027" t="n"/>
      <c r="W24" s="121" t="n"/>
      <c r="X24" s="361" t="n"/>
      <c r="Y24" s="121" t="n"/>
      <c r="AA24" s="361" t="n">
        <v>0.55</v>
      </c>
    </row>
    <row r="25" ht="20.1" customHeight="1" s="1016">
      <c r="A25" s="358" t="inlineStr">
        <is>
          <t>COMEDORES CALI</t>
        </is>
      </c>
      <c r="B25" s="361" t="n">
        <v>0.67</v>
      </c>
      <c r="C25" s="121" t="n"/>
      <c r="D25" s="1027" t="n">
        <v>0.08500000000000001</v>
      </c>
      <c r="E25" s="121" t="n"/>
      <c r="F25" s="1027" t="n">
        <v>0.16</v>
      </c>
      <c r="G25" s="123" t="n"/>
      <c r="H25" s="1027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27" t="n">
        <v>0.115</v>
      </c>
      <c r="Q25" s="1028" t="n"/>
      <c r="R25" s="1027" t="n">
        <v>0.13</v>
      </c>
      <c r="S25" s="121" t="n"/>
      <c r="T25" s="1027" t="n">
        <v>0.21</v>
      </c>
      <c r="U25" s="121" t="n"/>
      <c r="V25" s="1027" t="n">
        <v>0.09</v>
      </c>
      <c r="W25" s="121" t="n"/>
      <c r="X25" s="361" t="n">
        <v>0.89</v>
      </c>
      <c r="Y25" s="121" t="n"/>
      <c r="AA25" s="361" t="n"/>
    </row>
    <row r="26" ht="20.1" customHeight="1" s="1016">
      <c r="A26" s="358" t="inlineStr">
        <is>
          <t>COMEDORES GOB</t>
        </is>
      </c>
      <c r="B26" s="361" t="n"/>
      <c r="C26" s="121" t="n"/>
      <c r="D26" s="1027" t="n"/>
      <c r="E26" s="121" t="n"/>
      <c r="F26" s="1027" t="n"/>
      <c r="G26" s="123" t="n"/>
      <c r="H26" s="1027" t="n"/>
      <c r="I26" s="121" t="n"/>
      <c r="J26" s="1027" t="n">
        <v>0.17</v>
      </c>
      <c r="K26" s="121" t="n"/>
      <c r="L26" s="1027" t="n">
        <v>0.15</v>
      </c>
      <c r="M26" s="121" t="n"/>
      <c r="N26" s="361" t="n">
        <v>0.25</v>
      </c>
      <c r="O26" s="121" t="n"/>
      <c r="P26" s="1027" t="n">
        <v>0.15</v>
      </c>
      <c r="Q26" s="1028" t="n"/>
      <c r="R26" s="1027" t="n">
        <v>0.13</v>
      </c>
      <c r="S26" s="121" t="n"/>
      <c r="T26" s="1027" t="n">
        <v>0.15</v>
      </c>
      <c r="U26" s="121" t="n"/>
      <c r="V26" s="1027" t="n">
        <v>0.15</v>
      </c>
      <c r="W26" s="121" t="n"/>
      <c r="X26" s="361" t="n"/>
      <c r="Y26" s="121" t="n"/>
      <c r="AA26" s="361" t="n">
        <v>0.04</v>
      </c>
    </row>
    <row r="27" ht="20.1" customHeight="1" s="1016">
      <c r="A27" s="358" t="inlineStr">
        <is>
          <t>COMEDORES PALMIRA</t>
        </is>
      </c>
      <c r="B27" s="361" t="n">
        <v>0.02</v>
      </c>
      <c r="C27" s="121" t="n"/>
      <c r="D27" s="1027" t="n">
        <v>0.01</v>
      </c>
      <c r="E27" s="121" t="n"/>
      <c r="F27" s="1027" t="n"/>
      <c r="G27" s="123" t="n"/>
      <c r="H27" s="361" t="n"/>
      <c r="I27" s="121" t="n"/>
      <c r="J27" s="1027" t="n"/>
      <c r="K27" s="121" t="n"/>
      <c r="L27" s="1027" t="n"/>
      <c r="M27" s="121" t="n"/>
      <c r="N27" s="361" t="n">
        <v>0.01</v>
      </c>
      <c r="O27" s="121" t="n"/>
      <c r="P27" s="1027" t="n">
        <v>0.005</v>
      </c>
      <c r="Q27" s="1028" t="n"/>
      <c r="R27" s="1027" t="n">
        <v>0.03</v>
      </c>
      <c r="S27" s="121" t="n"/>
      <c r="T27" s="1027" t="n">
        <v>0.04</v>
      </c>
      <c r="U27" s="121" t="n"/>
      <c r="V27" s="1027" t="n">
        <v>0.03</v>
      </c>
      <c r="W27" s="121" t="n"/>
      <c r="X27" s="361" t="n">
        <v>0.11</v>
      </c>
      <c r="Y27" s="121" t="n"/>
      <c r="AA27" s="361" t="n"/>
    </row>
    <row r="28" ht="20.1" customHeight="1" s="1016">
      <c r="A28" s="358" t="inlineStr">
        <is>
          <t>ADULTO MAYOR</t>
        </is>
      </c>
      <c r="B28" s="361" t="n"/>
      <c r="C28" s="121" t="n"/>
      <c r="D28" s="1027" t="n"/>
      <c r="E28" s="121" t="n"/>
      <c r="F28" s="1027" t="n"/>
      <c r="G28" s="123" t="n"/>
      <c r="H28" s="1027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27" t="n">
        <v>0.045</v>
      </c>
      <c r="Q28" s="1028" t="n"/>
      <c r="R28" s="1027" t="n">
        <v>0.01</v>
      </c>
      <c r="S28" s="121" t="n"/>
      <c r="T28" s="361" t="n">
        <v>0.08</v>
      </c>
      <c r="U28" s="121" t="n"/>
      <c r="V28" s="1027" t="n"/>
      <c r="W28" s="121" t="n"/>
      <c r="X28" s="361" t="n"/>
      <c r="Y28" s="121" t="n"/>
      <c r="AA28" s="361" t="n"/>
    </row>
    <row r="29" ht="20.1" customHeight="1" s="1016">
      <c r="A29" s="358" t="inlineStr">
        <is>
          <t>IMDERTY</t>
        </is>
      </c>
      <c r="B29" s="361" t="n"/>
      <c r="C29" s="121" t="n"/>
      <c r="D29" s="1027" t="n"/>
      <c r="E29" s="121" t="n"/>
      <c r="F29" s="1027" t="n"/>
      <c r="G29" s="123" t="n"/>
      <c r="H29" s="361" t="n"/>
      <c r="I29" s="121" t="n"/>
      <c r="J29" s="361" t="n"/>
      <c r="K29" s="121" t="n"/>
      <c r="L29" s="1027" t="n"/>
      <c r="M29" s="121" t="n"/>
      <c r="N29" s="1027" t="n"/>
      <c r="O29" s="121" t="n"/>
      <c r="P29" s="361" t="n"/>
      <c r="Q29" s="1028" t="n"/>
      <c r="R29" s="1027" t="n"/>
      <c r="S29" s="121" t="n"/>
      <c r="T29" s="1027" t="n"/>
      <c r="U29" s="121" t="n"/>
      <c r="V29" s="361" t="n"/>
      <c r="W29" s="121" t="n"/>
      <c r="X29" s="361" t="n"/>
      <c r="Y29" s="121" t="n"/>
      <c r="AA29" s="361" t="n"/>
    </row>
    <row r="30" ht="20.1" customHeight="1" s="1016">
      <c r="B30" s="362">
        <f>SUM(B20:B29)</f>
        <v/>
      </c>
      <c r="C30" s="360" t="n"/>
      <c r="D30" s="1029">
        <f>SUM(D20:D29)</f>
        <v/>
      </c>
      <c r="E30" s="360" t="n"/>
      <c r="F30" s="362">
        <f>SUM(F20:F29)</f>
        <v/>
      </c>
      <c r="G30" s="360" t="n"/>
      <c r="H30" s="1029">
        <f>SUM(H20:H29)</f>
        <v/>
      </c>
      <c r="I30" s="360" t="n"/>
      <c r="J30" s="1029">
        <f>SUM(J20:J29)</f>
        <v/>
      </c>
      <c r="K30" s="360" t="n"/>
      <c r="L30" s="362">
        <f>SUM(L20:L29)</f>
        <v/>
      </c>
      <c r="M30" s="360" t="n"/>
      <c r="N30" s="1029">
        <f>SUM(N20:N29)</f>
        <v/>
      </c>
      <c r="O30" s="360" t="n"/>
      <c r="P30" s="1029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16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16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16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16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16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16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16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16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16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16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16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16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16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16">
      <c r="A49" s="1015" t="inlineStr">
        <is>
          <t>DISTRIBUCION GASTOS FINANCIEROS</t>
        </is>
      </c>
    </row>
    <row r="51" ht="20.1" customHeight="1" s="1016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16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30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6" t="n"/>
      <c r="AA52" s="1031" t="n"/>
    </row>
    <row r="53" ht="20.1" customHeight="1" s="1016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30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6" t="n"/>
      <c r="AA53" s="1031" t="n"/>
    </row>
    <row r="54" ht="20.1" customHeight="1" s="1016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30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6" t="n"/>
      <c r="AA54" s="1031" t="n"/>
    </row>
    <row r="55" ht="20.1" customHeight="1" s="1016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30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6" t="n"/>
      <c r="AA55" s="1031" t="n"/>
    </row>
    <row r="56" ht="20.1" customHeight="1" s="1016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6" t="n"/>
      <c r="AA56" s="1031" t="n"/>
    </row>
    <row r="57" ht="20.1" customHeight="1" s="1016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6" t="n"/>
      <c r="AA57" s="1031" t="n"/>
    </row>
    <row r="58" ht="20.1" customHeight="1" s="1016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6" t="n"/>
      <c r="AA58" s="1031" t="n"/>
    </row>
    <row r="59" ht="20.1" customHeight="1" s="1016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6" t="n"/>
      <c r="AA59" s="1031" t="n"/>
    </row>
    <row r="60" ht="20.1" customHeight="1" s="1016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6" t="n"/>
      <c r="AA60" s="1031" t="n"/>
    </row>
    <row r="61" ht="20.1" customHeight="1" s="1016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6" t="n"/>
      <c r="AA61" s="1031" t="n"/>
    </row>
    <row r="62" ht="20.1" customHeight="1" s="1016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6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2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4" min="1" max="1"/>
    <col width="50.33203125" customWidth="1" style="1021" min="2" max="2"/>
    <col width="15.33203125" customWidth="1" style="1018" min="3" max="4"/>
    <col width="18" bestFit="1" customWidth="1" style="1018" min="5" max="5"/>
    <col width="15.33203125" customWidth="1" style="1018" min="6" max="7"/>
    <col width="15.33203125" customWidth="1" style="1019" min="8" max="13"/>
    <col width="16.6640625" customWidth="1" style="1019" min="14" max="14"/>
    <col width="17.88671875" customWidth="1" style="1018" min="15" max="15"/>
    <col width="6" customWidth="1" style="766" min="16" max="16"/>
    <col width="11.44140625" customWidth="1" style="1021" min="17" max="30"/>
    <col width="11.44140625" customWidth="1" style="1021" min="31" max="16384"/>
  </cols>
  <sheetData>
    <row r="1" ht="11.4" customHeight="1" s="1016"/>
    <row r="2" ht="14.25" customHeight="1" s="1016">
      <c r="B2" s="1032" t="inlineStr">
        <is>
          <t xml:space="preserve">CORPORACIÓN HACIA UN VALLE SOLIDARIO </t>
        </is>
      </c>
      <c r="C2" s="1017" t="inlineStr">
        <is>
          <t>GASTOS ADMINISTRATIVOS 2026</t>
        </is>
      </c>
    </row>
    <row r="3" ht="24" customHeight="1" s="1016"/>
    <row r="4" ht="24.9" customFormat="1" customHeight="1" s="109">
      <c r="A4" s="775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7" t="n"/>
    </row>
    <row r="5" ht="15" customFormat="1" customHeight="1" s="116">
      <c r="A5" s="776" t="n"/>
      <c r="B5" s="157" t="inlineStr">
        <is>
          <t>GASTOS DE PERSONAL</t>
        </is>
      </c>
      <c r="C5" s="111">
        <f>SUM(C6:C12)</f>
        <v/>
      </c>
      <c r="D5" s="971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8" t="n"/>
    </row>
    <row r="6" ht="12.9" customHeight="1" s="1016">
      <c r="A6" s="777" t="inlineStr">
        <is>
          <t xml:space="preserve">5105                </t>
        </is>
      </c>
      <c r="B6" s="471" t="inlineStr">
        <is>
          <t>Salarios</t>
        </is>
      </c>
      <c r="C6" s="169">
        <f>'[16]Hoja 1'!$I$9-921014+'[17]Hoja 1'!$I$9+'[22]Hoja 1'!$D$8</f>
        <v/>
      </c>
      <c r="D6" s="169">
        <f>'[19]Hoja 1'!$L$8-6457629+'[20]Hoja 1'!$I$9+'[23]Hoja 1'!$D$8+'[24]Hoja 1'!$D$10+'[21]Hoja 1'!$I$9</f>
        <v/>
      </c>
      <c r="E6" s="169" t="n">
        <v>241842440</v>
      </c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9" t="n"/>
    </row>
    <row r="7" ht="12.9" customHeight="1" s="1016">
      <c r="A7" s="777" t="n"/>
      <c r="B7" s="173" t="inlineStr">
        <is>
          <t>Personal Decreto 1860/21</t>
        </is>
      </c>
      <c r="C7" s="171">
        <f>'[16]Hoja 1'!$I$12</f>
        <v/>
      </c>
      <c r="D7" s="171">
        <f>'[19]Hoja 1'!$L$10</f>
        <v/>
      </c>
      <c r="E7" s="171" t="n">
        <v>241842440</v>
      </c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9" t="n"/>
    </row>
    <row r="8" ht="12.9" customHeight="1" s="1016">
      <c r="A8" s="777" t="inlineStr">
        <is>
          <t xml:space="preserve">51055101            </t>
        </is>
      </c>
      <c r="B8" s="173" t="inlineStr">
        <is>
          <t>Dotacion y Suministro</t>
        </is>
      </c>
      <c r="C8" s="171">
        <f>'[1]Hoja 1'!$C$54-225638</f>
        <v/>
      </c>
      <c r="D8" s="171">
        <f>'[8]Hoja 1'!$C$54-59862</f>
        <v/>
      </c>
      <c r="E8" s="171" t="n">
        <v>241842440</v>
      </c>
      <c r="F8" s="171" t="n"/>
      <c r="G8" s="171" t="n"/>
      <c r="H8" s="927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9" t="n"/>
    </row>
    <row r="9" ht="12.9" customHeight="1" s="1016">
      <c r="A9" s="778" t="n"/>
      <c r="B9" s="173" t="inlineStr">
        <is>
          <t>Bonificaciones</t>
        </is>
      </c>
      <c r="C9" s="171" t="n"/>
      <c r="D9" s="171" t="n"/>
      <c r="E9" s="171" t="n">
        <v>241842440</v>
      </c>
      <c r="F9" s="171" t="n"/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9" t="n"/>
    </row>
    <row r="10" ht="12.9" customHeight="1" s="1016">
      <c r="A10" s="778" t="inlineStr">
        <is>
          <t xml:space="preserve">51056301            </t>
        </is>
      </c>
      <c r="B10" s="647" t="inlineStr">
        <is>
          <t>Capacitacion</t>
        </is>
      </c>
      <c r="C10" s="171">
        <f>'[1]Hoja 1'!$C$56</f>
        <v/>
      </c>
      <c r="D10" s="171">
        <f>'[8]Hoja 1'!$C$56</f>
        <v/>
      </c>
      <c r="E10" s="171" t="n">
        <v>241842440</v>
      </c>
      <c r="F10" s="171" t="n"/>
      <c r="G10" s="171" t="n"/>
      <c r="H10" s="171" t="n"/>
      <c r="I10" s="171" t="n"/>
      <c r="J10" s="171" t="n"/>
      <c r="K10" s="171" t="n"/>
      <c r="L10" s="171" t="n"/>
      <c r="M10" s="927" t="n"/>
      <c r="N10" s="171" t="n"/>
      <c r="O10" s="403">
        <f>+SUM(C10:N10)</f>
        <v/>
      </c>
      <c r="P10" s="769" t="n"/>
    </row>
    <row r="11" ht="12.9" customHeight="1" s="1016">
      <c r="A11" s="778" t="inlineStr">
        <is>
          <t xml:space="preserve">51058401            </t>
        </is>
      </c>
      <c r="B11" s="173" t="inlineStr">
        <is>
          <t>Gastos Medicos</t>
        </is>
      </c>
      <c r="C11" s="171">
        <f>'[1]Hoja 1'!$C$70</f>
        <v/>
      </c>
      <c r="D11" s="171">
        <f>'[8]Hoja 1'!$C$70</f>
        <v/>
      </c>
      <c r="E11" s="171" t="n">
        <v>241842440</v>
      </c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9" t="n"/>
    </row>
    <row r="12" ht="12.9" customHeight="1" s="1016">
      <c r="A12" s="778" t="inlineStr">
        <is>
          <t xml:space="preserve">53954002            </t>
        </is>
      </c>
      <c r="B12" s="173" t="inlineStr">
        <is>
          <t>Incapacidades</t>
        </is>
      </c>
      <c r="C12" s="919" t="n"/>
      <c r="D12" s="919">
        <f>'[10]Hoja 1'!$C$27</f>
        <v/>
      </c>
      <c r="E12" s="919" t="n">
        <v>241842440</v>
      </c>
      <c r="F12" s="919" t="n"/>
      <c r="G12" s="919" t="n"/>
      <c r="H12" s="919" t="n"/>
      <c r="I12" s="919" t="n"/>
      <c r="J12" s="919" t="n"/>
      <c r="K12" s="919" t="n"/>
      <c r="L12" s="919" t="n"/>
      <c r="M12" s="919" t="n"/>
      <c r="N12" s="919" t="n"/>
      <c r="O12" s="403">
        <f>+SUM(C12:N12)</f>
        <v/>
      </c>
      <c r="P12" s="769" t="n"/>
    </row>
    <row r="13" ht="15" customFormat="1" customHeight="1" s="116">
      <c r="A13" s="776" t="n"/>
      <c r="B13" s="157" t="inlineStr">
        <is>
          <t>HONORARIOS</t>
        </is>
      </c>
      <c r="C13" s="111">
        <f>SUM(C14:C18)</f>
        <v/>
      </c>
      <c r="D13" s="971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70" t="n"/>
    </row>
    <row r="14" ht="12.9" customFormat="1" customHeight="1" s="116">
      <c r="A14" s="778" t="inlineStr">
        <is>
          <t xml:space="preserve">51101001            </t>
        </is>
      </c>
      <c r="B14" s="173" t="inlineStr">
        <is>
          <t>Revisoria Fiscal</t>
        </is>
      </c>
      <c r="C14" s="404">
        <f>'[1]Hoja 1'!$C$73</f>
        <v/>
      </c>
      <c r="D14" s="404">
        <f>'[8]Hoja 1'!$C$73</f>
        <v/>
      </c>
      <c r="E14" s="404" t="n">
        <v>241842440</v>
      </c>
      <c r="F14" s="404" t="n"/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9" t="n"/>
    </row>
    <row r="15" ht="12.9" customFormat="1" customHeight="1" s="116">
      <c r="A15" s="778" t="n"/>
      <c r="B15" s="173" t="inlineStr">
        <is>
          <t>Avaluos</t>
        </is>
      </c>
      <c r="C15" s="170" t="n"/>
      <c r="D15" s="170" t="n"/>
      <c r="E15" s="170" t="n">
        <v>241842440</v>
      </c>
      <c r="F15" s="170" t="n"/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9" t="n"/>
    </row>
    <row r="16" ht="12.9" customHeight="1" s="1016">
      <c r="A16" s="778" t="inlineStr">
        <is>
          <t xml:space="preserve">51102001            </t>
        </is>
      </c>
      <c r="B16" s="173" t="inlineStr">
        <is>
          <t>Asesoria Juridica</t>
        </is>
      </c>
      <c r="C16" s="170">
        <f>'[1]Hoja 1'!$C$75+'[25]Hoja 1'!$G$13</f>
        <v/>
      </c>
      <c r="D16" s="170">
        <f>'[8]Hoja 1'!$C$75+'[26]Hoja 1'!$G$14</f>
        <v/>
      </c>
      <c r="E16" s="170" t="n">
        <v>241842440</v>
      </c>
      <c r="F16" s="170" t="n"/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9" t="n"/>
    </row>
    <row r="17" ht="12.9" customHeight="1" s="1016">
      <c r="A17" s="778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/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9" t="n"/>
    </row>
    <row r="18" ht="12.9" customHeight="1" s="1016">
      <c r="A18" s="778" t="inlineStr">
        <is>
          <t xml:space="preserve">51103508            </t>
        </is>
      </c>
      <c r="B18" s="173" t="inlineStr">
        <is>
          <t>Asesoría Técnica</t>
        </is>
      </c>
      <c r="C18" s="170">
        <f>'[1]Hoja 1'!$C$77</f>
        <v/>
      </c>
      <c r="D18" s="170">
        <f>'[8]Hoja 1'!$C$76</f>
        <v/>
      </c>
      <c r="E18" s="170" t="n">
        <v>241842440</v>
      </c>
      <c r="F18" s="170" t="n"/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9" t="n"/>
    </row>
    <row r="19" ht="15" customFormat="1" customHeight="1" s="116">
      <c r="A19" s="776" t="n"/>
      <c r="B19" s="157" t="inlineStr">
        <is>
          <t>IMPUESTOS</t>
        </is>
      </c>
      <c r="C19" s="111">
        <f>SUM(C20:C21)</f>
        <v/>
      </c>
      <c r="D19" s="971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9" t="n"/>
    </row>
    <row r="20" ht="12.9" customHeight="1" s="1016">
      <c r="A20" s="778" t="n"/>
      <c r="B20" s="156" t="inlineStr">
        <is>
          <t>Predial</t>
        </is>
      </c>
      <c r="C20" s="920" t="n"/>
      <c r="D20" s="921" t="n"/>
      <c r="E20" s="423" t="n">
        <v>241842440</v>
      </c>
      <c r="F20" s="423" t="n"/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9" t="n"/>
    </row>
    <row r="21" ht="12.9" customHeight="1" s="1016">
      <c r="A21" s="778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/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9" t="n"/>
    </row>
    <row r="22" ht="15" customFormat="1" customHeight="1" s="116">
      <c r="A22" s="776" t="n"/>
      <c r="B22" s="110" t="inlineStr">
        <is>
          <t>ARRENDAMIENTOS</t>
        </is>
      </c>
      <c r="C22" s="111">
        <f>SUM(C23:C27)</f>
        <v/>
      </c>
      <c r="D22" s="971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70" t="n"/>
    </row>
    <row r="23" ht="12.9" customFormat="1" customHeight="1" s="116">
      <c r="A23" s="778" t="inlineStr">
        <is>
          <t>51201001   - 51355001</t>
        </is>
      </c>
      <c r="B23" s="173" t="inlineStr">
        <is>
          <t>Construcciones y Edificaciones</t>
        </is>
      </c>
      <c r="C23" s="404">
        <f>'[1]Hoja 1'!$C$85+'[25]Hoja 1'!$G$15+'[25]Hoja 1'!$G$17</f>
        <v/>
      </c>
      <c r="D23" s="404">
        <f>'[8]Hoja 1'!$C$84+'[26]Hoja 1'!$G$16+'[26]Hoja 1'!$G$18</f>
        <v/>
      </c>
      <c r="E23" s="404" t="n">
        <v>241842440</v>
      </c>
      <c r="F23" s="404" t="n"/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9" t="n"/>
    </row>
    <row r="24" ht="12.9" customHeight="1" s="1016">
      <c r="A24" s="778" t="inlineStr">
        <is>
          <t xml:space="preserve">51201501 - 73201501 </t>
        </is>
      </c>
      <c r="B24" s="173" t="inlineStr">
        <is>
          <t>Maquinaria y Equipo</t>
        </is>
      </c>
      <c r="C24" s="170">
        <f>'[1]Hoja 1'!$C$87</f>
        <v/>
      </c>
      <c r="D24" s="170">
        <f>'[8]Hoja 1'!$C$86</f>
        <v/>
      </c>
      <c r="E24" s="170" t="n">
        <v>241842440</v>
      </c>
      <c r="F24" s="170" t="n"/>
      <c r="G24" s="170" t="n"/>
      <c r="H24" s="170" t="n"/>
      <c r="I24" s="170" t="n"/>
      <c r="J24" s="170" t="n"/>
      <c r="K24" s="170" t="n"/>
      <c r="L24" s="170" t="n"/>
      <c r="M24" s="170" t="n"/>
      <c r="N24" s="927" t="n"/>
      <c r="O24" s="403">
        <f>+SUM(C24:N24)</f>
        <v/>
      </c>
      <c r="P24" s="769" t="n"/>
    </row>
    <row r="25" ht="12.9" customHeight="1" s="1016">
      <c r="A25" s="778" t="inlineStr">
        <is>
          <t xml:space="preserve">51202001            </t>
        </is>
      </c>
      <c r="B25" s="173" t="inlineStr">
        <is>
          <t>Equipo de Oficina</t>
        </is>
      </c>
      <c r="C25" s="170">
        <f>'[1]Hoja 1'!$C$89</f>
        <v/>
      </c>
      <c r="D25" s="170">
        <f>'[8]Hoja 1'!$C$88</f>
        <v/>
      </c>
      <c r="E25" s="170" t="n">
        <v>241842440</v>
      </c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1" t="n"/>
    </row>
    <row r="26" ht="12.9" customHeight="1" s="1016">
      <c r="A26" s="778" t="n"/>
      <c r="B26" s="173" t="inlineStr">
        <is>
          <t>Equipo de Computacion y comunicaciones</t>
        </is>
      </c>
      <c r="C26" s="170" t="n"/>
      <c r="D26" s="170">
        <f>'[8]Hoja 1'!$C$90</f>
        <v/>
      </c>
      <c r="E26" s="170" t="n">
        <v>241842440</v>
      </c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9" t="n"/>
    </row>
    <row r="27" ht="12.9" customHeight="1" s="1016">
      <c r="A27" s="778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/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9" t="n"/>
    </row>
    <row r="28" ht="15" customFormat="1" customHeight="1" s="116">
      <c r="A28" s="776" t="n"/>
      <c r="B28" s="110" t="inlineStr">
        <is>
          <t>SEGUROS</t>
        </is>
      </c>
      <c r="C28" s="111">
        <f>SUM(C29:C31)</f>
        <v/>
      </c>
      <c r="D28" s="971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9" t="n"/>
    </row>
    <row r="29" ht="12.9" customHeight="1" s="1016">
      <c r="A29" s="778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/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9" t="n"/>
    </row>
    <row r="30" ht="12.9" customHeight="1" s="1016">
      <c r="A30" s="778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9" t="n"/>
    </row>
    <row r="31" ht="12.9" customHeight="1" s="1016">
      <c r="A31" s="778" t="n"/>
      <c r="B31" s="174" t="inlineStr">
        <is>
          <t>OTROS - Funerarios</t>
        </is>
      </c>
      <c r="C31" s="405" t="n"/>
      <c r="D31" s="966">
        <f>'[8]Hoja 1'!$C$95</f>
        <v/>
      </c>
      <c r="E31" s="405" t="n">
        <v>241842440</v>
      </c>
      <c r="F31" s="405" t="n"/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9" t="n"/>
    </row>
    <row r="32" ht="15" customFormat="1" customHeight="1" s="116">
      <c r="A32" s="776" t="n"/>
      <c r="B32" s="157" t="inlineStr">
        <is>
          <t>SERVICIOS</t>
        </is>
      </c>
      <c r="C32" s="111">
        <f>SUM(C33:C45)</f>
        <v/>
      </c>
      <c r="D32" s="971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9" t="n"/>
    </row>
    <row r="33" ht="12.9" customFormat="1" customHeight="1" s="116">
      <c r="A33" s="778" t="n"/>
      <c r="B33" s="173" t="inlineStr">
        <is>
          <t>Aseo y Vigilancia</t>
        </is>
      </c>
      <c r="C33" s="404">
        <f>'[25]Hoja 1'!$G$22</f>
        <v/>
      </c>
      <c r="D33" s="404">
        <f>'[26]Hoja 1'!$G$23</f>
        <v/>
      </c>
      <c r="E33" s="404" t="n">
        <v>241842440</v>
      </c>
      <c r="F33" s="404" t="n"/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1" t="n"/>
    </row>
    <row r="34" ht="12.9" customFormat="1" customHeight="1" s="803">
      <c r="A34" s="802" t="inlineStr">
        <is>
          <t xml:space="preserve">51351001   -   51351004        </t>
        </is>
      </c>
      <c r="B34" s="647" t="inlineStr">
        <is>
          <t>Temporales</t>
        </is>
      </c>
      <c r="C34" s="170">
        <f>'[1]Hoja 1'!$C$97</f>
        <v/>
      </c>
      <c r="D34" s="170">
        <f>'[8]Hoja 1'!$C$99</f>
        <v/>
      </c>
      <c r="E34" s="170" t="n">
        <v>241842440</v>
      </c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3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3">
      <c r="A35" s="801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940" t="n"/>
      <c r="O35" s="403">
        <f>+SUM(C35:N35)</f>
        <v/>
      </c>
      <c r="P35" s="773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16">
      <c r="A36" s="778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'[8]Hoja 1'!C103</f>
        <v/>
      </c>
      <c r="E36" s="170" t="n">
        <v>241842440</v>
      </c>
      <c r="F36" s="170" t="n"/>
      <c r="G36" s="170" t="n"/>
      <c r="H36" s="170" t="n"/>
      <c r="I36" s="170" t="n"/>
      <c r="J36" s="170" t="n"/>
      <c r="K36" s="170" t="n"/>
      <c r="L36" s="170" t="n"/>
      <c r="M36" s="403" t="n"/>
      <c r="N36" s="927" t="n"/>
      <c r="O36" s="403">
        <f>+SUM(C36:N36)</f>
        <v/>
      </c>
      <c r="P36" s="769" t="n"/>
    </row>
    <row r="37" ht="12.9" customHeight="1" s="1016">
      <c r="A37" s="778" t="inlineStr">
        <is>
          <t xml:space="preserve">51351503            </t>
        </is>
      </c>
      <c r="B37" s="173" t="inlineStr">
        <is>
          <t>Fumigacion</t>
        </is>
      </c>
      <c r="C37" s="170">
        <f>'[1]Hoja 1'!$C$99</f>
        <v/>
      </c>
      <c r="D37" s="170">
        <f>'[8]Hoja 1'!C104</f>
        <v/>
      </c>
      <c r="E37" s="170" t="n">
        <v>241842440</v>
      </c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927" t="n"/>
      <c r="O37" s="403">
        <f>+SUM(C37:N37)</f>
        <v/>
      </c>
      <c r="P37" s="769" t="n"/>
    </row>
    <row r="38" ht="12.9" customHeight="1" s="1016">
      <c r="A38" s="778" t="inlineStr">
        <is>
          <t xml:space="preserve">51352501            </t>
        </is>
      </c>
      <c r="B38" s="173" t="inlineStr">
        <is>
          <t>Acueducto y Alcantarillado</t>
        </is>
      </c>
      <c r="C38" s="170">
        <f>'[1]Hoja 1'!$C$101</f>
        <v/>
      </c>
      <c r="D38" s="170">
        <f>'[8]Hoja 1'!$C$106</f>
        <v/>
      </c>
      <c r="E38" s="170" t="n">
        <v>241842440</v>
      </c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9" t="n"/>
    </row>
    <row r="39" ht="12.9" customHeight="1" s="1016">
      <c r="A39" s="778" t="inlineStr">
        <is>
          <t xml:space="preserve">51353001            </t>
        </is>
      </c>
      <c r="B39" s="647" t="inlineStr">
        <is>
          <t>Energía Electrica</t>
        </is>
      </c>
      <c r="C39" s="170">
        <f>'[1]Hoja 1'!$C$103</f>
        <v/>
      </c>
      <c r="D39" s="170">
        <f>'[8]Hoja 1'!$C$108</f>
        <v/>
      </c>
      <c r="E39" s="170" t="n">
        <v>241842440</v>
      </c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9" t="n"/>
    </row>
    <row r="40" ht="12.9" customHeight="1" s="1016">
      <c r="A40" s="778" t="inlineStr">
        <is>
          <t xml:space="preserve">51353501            </t>
        </is>
      </c>
      <c r="B40" s="647" t="inlineStr">
        <is>
          <t>Telefono</t>
        </is>
      </c>
      <c r="C40" s="170">
        <f>'[1]Hoja 1'!C105</f>
        <v/>
      </c>
      <c r="D40" s="170">
        <f>'[8]Hoja 1'!C110-98250</f>
        <v/>
      </c>
      <c r="E40" s="170" t="n">
        <v>241842440</v>
      </c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9" t="n"/>
    </row>
    <row r="41" ht="12.9" customHeight="1" s="1016">
      <c r="A41" s="778" t="inlineStr">
        <is>
          <t xml:space="preserve">51353502            </t>
        </is>
      </c>
      <c r="B41" s="173" t="inlineStr">
        <is>
          <t>Internet</t>
        </is>
      </c>
      <c r="C41" s="170">
        <f>'[1]Hoja 1'!C106</f>
        <v/>
      </c>
      <c r="D41" s="170">
        <f>'[8]Hoja 1'!C111</f>
        <v/>
      </c>
      <c r="E41" s="170" t="n">
        <v>241842440</v>
      </c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9" t="n"/>
    </row>
    <row r="42" ht="12.9" customHeight="1" s="1016">
      <c r="A42" s="778" t="inlineStr">
        <is>
          <t xml:space="preserve">51354001            </t>
        </is>
      </c>
      <c r="B42" s="173" t="inlineStr">
        <is>
          <t>Correo, Portes, telegramas</t>
        </is>
      </c>
      <c r="C42" s="170">
        <f>'[1]Hoja 1'!$C$108</f>
        <v/>
      </c>
      <c r="D42" s="170">
        <f>'[8]Hoja 1'!$C$113</f>
        <v/>
      </c>
      <c r="E42" s="170" t="n">
        <v>241842440</v>
      </c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9" t="n"/>
    </row>
    <row r="43" ht="12.9" customHeight="1" s="1016">
      <c r="A43" s="778" t="inlineStr">
        <is>
          <t>51355001</t>
        </is>
      </c>
      <c r="B43" s="647" t="inlineStr">
        <is>
          <t>Transporte, fletes y acarreos</t>
        </is>
      </c>
      <c r="C43" s="170">
        <f>'[25]Hoja 1'!$G$11</f>
        <v/>
      </c>
      <c r="D43" s="170">
        <f>'[26]Hoja 1'!$G$11</f>
        <v/>
      </c>
      <c r="E43" s="170" t="n">
        <v>241842440</v>
      </c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9" t="n"/>
    </row>
    <row r="44" ht="12.9" customHeight="1" s="1016">
      <c r="A44" s="778" t="n"/>
      <c r="B44" s="647" t="inlineStr">
        <is>
          <t>Gas</t>
        </is>
      </c>
      <c r="C44" s="170" t="n"/>
      <c r="D44" s="170" t="n"/>
      <c r="E44" s="170" t="n">
        <v>241842440</v>
      </c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9" t="n"/>
    </row>
    <row r="45" ht="12.9" customHeight="1" s="1016">
      <c r="A45" s="778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'[1]Hoja 1'!$C$112+'[27]Hoja 1'!$C$70+'[28]Hoja 1'!$C$109+'[6]Hoja 1'!$D$133+'[7]Hoja 1'!$C$101</f>
        <v/>
      </c>
      <c r="D45" s="405">
        <f>'[8]Hoja 1'!$C$117+'[8]Hoja 1'!$C$312+'[9]Hoja 1'!$C$92+'[12]Hoja 1'!$C$89+'[15]Hoja 1'!$C$97</f>
        <v/>
      </c>
      <c r="E45" s="405" t="n">
        <v>241842440</v>
      </c>
      <c r="F45" s="405" t="n"/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9" t="n"/>
    </row>
    <row r="46" ht="15" customFormat="1" customHeight="1" s="116">
      <c r="A46" s="776" t="n"/>
      <c r="B46" s="110" t="inlineStr">
        <is>
          <t>GASTOS LEGALES</t>
        </is>
      </c>
      <c r="C46" s="406">
        <f>SUM(C47:C51)</f>
        <v/>
      </c>
      <c r="D46" s="972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9" t="n"/>
    </row>
    <row r="47" ht="12.9" customHeight="1" s="1016">
      <c r="A47" s="778" t="n"/>
      <c r="B47" s="172" t="inlineStr">
        <is>
          <t>Notariales</t>
        </is>
      </c>
      <c r="C47" s="404">
        <f>'[1]Hoja 1'!$C$115</f>
        <v/>
      </c>
      <c r="D47" s="404" t="n"/>
      <c r="E47" s="404" t="n">
        <v>241842440</v>
      </c>
      <c r="F47" s="404" t="n"/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9" t="n"/>
    </row>
    <row r="48" ht="12.9" customHeight="1" s="1016">
      <c r="A48" s="778" t="n"/>
      <c r="B48" s="178" t="inlineStr">
        <is>
          <t>Registro Mercantil y proponentes</t>
        </is>
      </c>
      <c r="C48" s="170" t="n"/>
      <c r="D48" s="170">
        <f>'[8]Hoja 1'!$C$120</f>
        <v/>
      </c>
      <c r="E48" s="170" t="n">
        <v>241842440</v>
      </c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9" t="n"/>
    </row>
    <row r="49" ht="12.9" customHeight="1" s="1016">
      <c r="A49" s="778" t="n"/>
      <c r="B49" s="178" t="inlineStr">
        <is>
          <t>Tramites y Licencias</t>
        </is>
      </c>
      <c r="C49" s="170">
        <f>'[1]Hoja 1'!$C$117</f>
        <v/>
      </c>
      <c r="D49" s="170" t="n"/>
      <c r="E49" s="170" t="n">
        <v>241842440</v>
      </c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9" t="n"/>
    </row>
    <row r="50" ht="12.9" customHeight="1" s="1016">
      <c r="A50" s="778" t="n"/>
      <c r="B50" s="173" t="inlineStr">
        <is>
          <t>Servicio de Registro BMC</t>
        </is>
      </c>
      <c r="C50" s="922" t="n"/>
      <c r="D50" s="922" t="n"/>
      <c r="E50" s="922" t="n">
        <v>241842440</v>
      </c>
      <c r="F50" s="922" t="n"/>
      <c r="G50" s="922" t="n"/>
      <c r="H50" s="922" t="n"/>
      <c r="I50" s="922" t="n"/>
      <c r="J50" s="922" t="n"/>
      <c r="K50" s="922" t="n"/>
      <c r="L50" s="922" t="n"/>
      <c r="M50" s="922" t="n"/>
      <c r="N50" s="922" t="n"/>
      <c r="O50" s="170">
        <f>+SUM(C50:N50)</f>
        <v/>
      </c>
      <c r="P50" s="769" t="n"/>
    </row>
    <row r="51" ht="12.9" customHeight="1" s="1016">
      <c r="A51" s="778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5">
        <f>'[1]Hoja 1'!$C$118</f>
        <v/>
      </c>
      <c r="D51" s="905">
        <f>'[8]Hoja 1'!$C$121</f>
        <v/>
      </c>
      <c r="E51" s="905" t="n">
        <v>241842440</v>
      </c>
      <c r="F51" s="905" t="n"/>
      <c r="G51" s="905" t="n"/>
      <c r="H51" s="905" t="n"/>
      <c r="I51" s="905" t="n"/>
      <c r="J51" s="905" t="n"/>
      <c r="K51" s="905" t="n"/>
      <c r="L51" s="905" t="n"/>
      <c r="M51" s="905" t="n"/>
      <c r="N51" s="905" t="n"/>
      <c r="O51" s="435">
        <f>+SUM(C51:N51)</f>
        <v/>
      </c>
      <c r="P51" s="769" t="n"/>
    </row>
    <row r="52" ht="15" customFormat="1" customHeight="1" s="116">
      <c r="A52" s="776" t="n"/>
      <c r="B52" s="157" t="inlineStr">
        <is>
          <t>MANTENIMIENTO Y REPARACIONES</t>
        </is>
      </c>
      <c r="C52" s="111">
        <f>SUM(C53:C58)</f>
        <v/>
      </c>
      <c r="D52" s="971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9" t="n"/>
    </row>
    <row r="53" ht="12.9" customHeight="1" s="1016">
      <c r="A53" s="778" t="inlineStr">
        <is>
          <t xml:space="preserve">51451001            </t>
        </is>
      </c>
      <c r="B53" s="173" t="inlineStr">
        <is>
          <t>Construcciones y Edificaciones</t>
        </is>
      </c>
      <c r="C53" s="404">
        <f>'[1]Hoja 1'!$C$123</f>
        <v/>
      </c>
      <c r="D53" s="404">
        <f>'[8]Hoja 1'!$C$126</f>
        <v/>
      </c>
      <c r="E53" s="404" t="n">
        <v>241842440</v>
      </c>
      <c r="F53" s="404" t="n"/>
      <c r="G53" s="404" t="n"/>
      <c r="H53" s="404" t="n"/>
      <c r="I53" s="404" t="n"/>
      <c r="J53" s="404" t="n"/>
      <c r="K53" s="404" t="n"/>
      <c r="L53" s="404" t="n"/>
      <c r="M53" s="404" t="n"/>
      <c r="N53" s="928" t="n"/>
      <c r="O53" s="170">
        <f>+SUM(C53:N53)</f>
        <v/>
      </c>
      <c r="P53" s="769" t="n"/>
    </row>
    <row r="54" ht="12.9" customHeight="1" s="1016">
      <c r="A54" s="778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'[8]Hoja 1'!$C$128-318000+'[8]Hoja 1'!$C$129</f>
        <v/>
      </c>
      <c r="E54" s="979" t="n">
        <v>241842440</v>
      </c>
      <c r="F54" s="170" t="n"/>
      <c r="G54" s="170" t="n"/>
      <c r="H54" s="170" t="n"/>
      <c r="I54" s="170" t="n"/>
      <c r="J54" s="170" t="n"/>
      <c r="K54" s="170" t="n"/>
      <c r="L54" s="170" t="n"/>
      <c r="M54" s="170" t="n"/>
      <c r="N54" s="927" t="n"/>
      <c r="O54" s="170">
        <f>+SUM(C54:N54)</f>
        <v/>
      </c>
      <c r="P54" s="769" t="n"/>
    </row>
    <row r="55" ht="12.9" customHeight="1" s="1016">
      <c r="A55" s="778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/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9" t="n"/>
    </row>
    <row r="56" ht="12.9" customHeight="1" s="1016">
      <c r="A56" s="778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'[1]Hoja 1'!$C$158</f>
        <v/>
      </c>
      <c r="D56" s="170" t="n">
        <v>318000</v>
      </c>
      <c r="E56" s="170" t="n">
        <v>241842440</v>
      </c>
      <c r="F56" s="170" t="n"/>
      <c r="G56" s="170" t="n"/>
      <c r="H56" s="170" t="n"/>
      <c r="I56" s="170" t="n"/>
      <c r="J56" s="170" t="n"/>
      <c r="K56" s="170" t="n"/>
      <c r="L56" s="170" t="n"/>
      <c r="M56" s="170" t="n"/>
      <c r="N56" s="927" t="n"/>
      <c r="O56" s="170">
        <f>+SUM(C56:N56)</f>
        <v/>
      </c>
      <c r="P56" s="769" t="n"/>
    </row>
    <row r="57" ht="12.9" customHeight="1" s="1016">
      <c r="A57" s="778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'[1]Hoja 1'!$C$127</f>
        <v/>
      </c>
      <c r="D57" s="435" t="n"/>
      <c r="E57" s="435" t="n">
        <v>241842440</v>
      </c>
      <c r="F57" s="435" t="n"/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2" t="n"/>
    </row>
    <row r="58" ht="12.9" customHeight="1" s="1016">
      <c r="A58" s="778" t="inlineStr">
        <is>
          <t xml:space="preserve">51451501            </t>
        </is>
      </c>
      <c r="B58" s="173" t="inlineStr">
        <is>
          <t>Plan SST</t>
        </is>
      </c>
      <c r="C58" s="405">
        <f>'[1]Hoja 1'!$C$125</f>
        <v/>
      </c>
      <c r="D58" s="405" t="n"/>
      <c r="E58" s="980" t="n">
        <v>241842440</v>
      </c>
      <c r="F58" s="405" t="n"/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9" t="n"/>
    </row>
    <row r="59" ht="15" customHeight="1" s="1016">
      <c r="A59" s="776" t="n"/>
      <c r="B59" s="923" t="inlineStr">
        <is>
          <t>ADECUACIONES E INSTALACIONES</t>
        </is>
      </c>
      <c r="C59" s="407">
        <f>SUM(C60:C61)</f>
        <v/>
      </c>
      <c r="D59" s="973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9" t="n"/>
    </row>
    <row r="60" ht="12.9" customFormat="1" customHeight="1" s="143">
      <c r="A60" s="801" t="n"/>
      <c r="B60" s="941" t="inlineStr">
        <is>
          <t>Inversion infraestructura</t>
        </is>
      </c>
      <c r="C60" s="169" t="n"/>
      <c r="D60" s="169" t="n"/>
      <c r="E60" s="169" t="n">
        <v>241842440</v>
      </c>
      <c r="F60" s="169" t="n"/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3" t="n"/>
      <c r="Q60" s="1021" t="n"/>
      <c r="R60" s="1021" t="n"/>
      <c r="S60" s="1021" t="n"/>
      <c r="T60" s="1021" t="n"/>
      <c r="U60" s="1021" t="n"/>
      <c r="V60" s="1021" t="n"/>
      <c r="W60" s="1021" t="n"/>
      <c r="X60" s="1021" t="n"/>
      <c r="Y60" s="1021" t="n"/>
    </row>
    <row r="61" ht="12.9" customFormat="1" customHeight="1" s="143">
      <c r="A61" s="801" t="n"/>
      <c r="B61" s="177" t="inlineStr">
        <is>
          <t>Reparaciones Locativas</t>
        </is>
      </c>
      <c r="C61" s="919" t="n"/>
      <c r="D61" s="919" t="n"/>
      <c r="E61" s="919" t="n">
        <v>241842440</v>
      </c>
      <c r="F61" s="919" t="n"/>
      <c r="G61" s="919" t="n"/>
      <c r="H61" s="919" t="n"/>
      <c r="I61" s="919" t="n"/>
      <c r="J61" s="919" t="n"/>
      <c r="K61" s="919" t="n"/>
      <c r="L61" s="919" t="n"/>
      <c r="M61" s="919" t="n"/>
      <c r="N61" s="919" t="n"/>
      <c r="O61" s="170">
        <f>+SUM(C61:N61)</f>
        <v/>
      </c>
      <c r="P61" s="773" t="n"/>
      <c r="Q61" s="1021" t="n"/>
      <c r="R61" s="1021" t="n"/>
      <c r="S61" s="1021" t="n"/>
      <c r="T61" s="1021" t="n"/>
      <c r="U61" s="1021" t="n"/>
      <c r="V61" s="1021" t="n"/>
      <c r="W61" s="1021" t="n"/>
      <c r="X61" s="1021" t="n"/>
      <c r="Y61" s="1021" t="n"/>
    </row>
    <row r="62" ht="15" customFormat="1" customHeight="1" s="116">
      <c r="A62" s="776" t="n"/>
      <c r="B62" s="110" t="inlineStr">
        <is>
          <t>GASTOS DE VIAJE</t>
        </is>
      </c>
      <c r="C62" s="111">
        <f>SUM(C63:C65)</f>
        <v/>
      </c>
      <c r="D62" s="971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9" t="n"/>
    </row>
    <row r="63" ht="12.9" customHeight="1" s="1016">
      <c r="A63" s="778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/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9" t="n"/>
    </row>
    <row r="64" ht="12.9" customHeight="1" s="1016">
      <c r="A64" s="778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4" t="n">
        <v>241842440</v>
      </c>
      <c r="F64" s="170" t="n"/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9" t="n"/>
    </row>
    <row r="65" ht="12.9" customHeight="1" s="1016">
      <c r="A65" s="778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/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9" t="n"/>
    </row>
    <row r="66" ht="15" customFormat="1" customHeight="1" s="116">
      <c r="A66" s="776" t="n"/>
      <c r="B66" s="740" t="inlineStr">
        <is>
          <t>DIVERSOS</t>
        </is>
      </c>
      <c r="C66" s="111">
        <f>SUM(C67:C88)</f>
        <v/>
      </c>
      <c r="D66" s="971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9" t="n"/>
    </row>
    <row r="67" ht="12.9" customFormat="1" customHeight="1" s="116">
      <c r="A67" s="778" t="inlineStr">
        <is>
          <t xml:space="preserve">51951001            </t>
        </is>
      </c>
      <c r="B67" s="172" t="inlineStr">
        <is>
          <t>Libros, suscripciones, period</t>
        </is>
      </c>
      <c r="C67" s="404">
        <f>'[1]Hoja 1'!$C$133</f>
        <v/>
      </c>
      <c r="D67" s="404">
        <f>'[8]Hoja 1'!$C$135</f>
        <v/>
      </c>
      <c r="E67" s="404" t="n">
        <v>241842440</v>
      </c>
      <c r="F67" s="404" t="n"/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9" t="n"/>
    </row>
    <row r="68" ht="12.9" customFormat="1" customHeight="1" s="116">
      <c r="A68" s="778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/>
      <c r="G68" s="925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9" t="n"/>
    </row>
    <row r="69" ht="12.9" customHeight="1" s="1016">
      <c r="A69" s="778" t="inlineStr">
        <is>
          <t xml:space="preserve">51952501            </t>
        </is>
      </c>
      <c r="B69" s="178" t="inlineStr">
        <is>
          <t>Elementos de Aseo y Cafeteria</t>
        </is>
      </c>
      <c r="C69" s="171">
        <f>'[1]Hoja 1'!$C$135</f>
        <v/>
      </c>
      <c r="D69" s="171">
        <f>'[8]Hoja 1'!$C$137</f>
        <v/>
      </c>
      <c r="E69" s="171" t="n">
        <v>241842440</v>
      </c>
      <c r="F69" s="171" t="n"/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2" t="n"/>
    </row>
    <row r="70" ht="12.9" customFormat="1" customHeight="1" s="143">
      <c r="A70" s="778" t="inlineStr">
        <is>
          <t xml:space="preserve">51953001            </t>
        </is>
      </c>
      <c r="B70" s="178" t="inlineStr">
        <is>
          <t>Papeleria</t>
        </is>
      </c>
      <c r="C70" s="171">
        <f>'[1]Hoja 1'!$C$137+'[1]Hoja 1'!$C$402</f>
        <v/>
      </c>
      <c r="D70" s="171">
        <f>'[8]Hoja 1'!$C$139</f>
        <v/>
      </c>
      <c r="E70" s="171" t="n">
        <v>241842440</v>
      </c>
      <c r="F70" s="171" t="n"/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9" t="n"/>
      <c r="Q70" s="1021" t="n"/>
      <c r="R70" s="1021" t="n"/>
      <c r="S70" s="1021" t="n"/>
      <c r="T70" s="1021" t="n"/>
      <c r="U70" s="1021" t="n"/>
      <c r="V70" s="1021" t="n"/>
      <c r="W70" s="1021" t="n"/>
      <c r="X70" s="1021" t="n"/>
      <c r="Y70" s="1021" t="n"/>
      <c r="Z70" s="1021" t="n"/>
      <c r="AA70" s="1021" t="n"/>
      <c r="AB70" s="1021" t="n"/>
      <c r="AC70" s="1021" t="n"/>
      <c r="AD70" s="1021" t="n"/>
      <c r="AE70" s="1021" t="n"/>
      <c r="AF70" s="1021" t="n"/>
      <c r="AG70" s="1021" t="n"/>
      <c r="AH70" s="1021" t="n"/>
      <c r="AI70" s="1021" t="n"/>
      <c r="AJ70" s="1021" t="n"/>
      <c r="AK70" s="1021" t="n"/>
      <c r="AL70" s="1021" t="n"/>
      <c r="AM70" s="1021" t="n"/>
      <c r="AN70" s="1021" t="n"/>
      <c r="AO70" s="1021" t="n"/>
      <c r="AP70" s="1021" t="n"/>
      <c r="AQ70" s="1021" t="n"/>
      <c r="AR70" s="1021" t="n"/>
      <c r="AS70" s="1021" t="n"/>
      <c r="AT70" s="1021" t="n"/>
      <c r="AU70" s="1021" t="n"/>
      <c r="AV70" s="1021" t="n"/>
      <c r="AW70" s="1021" t="n"/>
      <c r="AX70" s="1021" t="n"/>
      <c r="AY70" s="1021" t="n"/>
      <c r="AZ70" s="1021" t="n"/>
      <c r="BA70" s="1021" t="n"/>
      <c r="BB70" s="1021" t="n"/>
      <c r="BC70" s="1021" t="n"/>
      <c r="BD70" s="1021" t="n"/>
      <c r="BE70" s="1021" t="n"/>
      <c r="BF70" s="1021" t="n"/>
      <c r="BG70" s="1021" t="n"/>
      <c r="BH70" s="1021" t="n"/>
      <c r="BI70" s="1021" t="n"/>
      <c r="BJ70" s="1021" t="n"/>
      <c r="BK70" s="1021" t="n"/>
      <c r="BL70" s="1021" t="n"/>
      <c r="BM70" s="1021" t="n"/>
      <c r="BN70" s="1021" t="n"/>
      <c r="BO70" s="1021" t="n"/>
      <c r="BP70" s="1021" t="n"/>
      <c r="BQ70" s="1021" t="n"/>
      <c r="BR70" s="1021" t="n"/>
      <c r="BS70" s="1021" t="n"/>
      <c r="BT70" s="1021" t="n"/>
      <c r="BU70" s="1021" t="n"/>
      <c r="BV70" s="1021" t="n"/>
      <c r="BW70" s="1021" t="n"/>
      <c r="BX70" s="1021" t="n"/>
      <c r="BY70" s="1021" t="n"/>
      <c r="BZ70" s="1021" t="n"/>
      <c r="CA70" s="1021" t="n"/>
      <c r="CB70" s="1021" t="n"/>
      <c r="CC70" s="1021" t="n"/>
      <c r="CD70" s="1021" t="n"/>
    </row>
    <row r="71" ht="12.9" customFormat="1" customHeight="1" s="143">
      <c r="A71" s="778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/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9" t="n"/>
      <c r="Q71" s="1021" t="n"/>
      <c r="R71" s="1021" t="n"/>
      <c r="S71" s="1021" t="n"/>
      <c r="T71" s="1021" t="n"/>
      <c r="U71" s="1021" t="n"/>
      <c r="V71" s="1021" t="n"/>
      <c r="W71" s="1021" t="n"/>
      <c r="X71" s="1021" t="n"/>
      <c r="Y71" s="1021" t="n"/>
      <c r="Z71" s="1021" t="n"/>
      <c r="AA71" s="1021" t="n"/>
      <c r="AB71" s="1021" t="n"/>
      <c r="AC71" s="1021" t="n"/>
      <c r="AD71" s="1021" t="n"/>
      <c r="AE71" s="1021" t="n"/>
      <c r="AF71" s="1021" t="n"/>
      <c r="AG71" s="1021" t="n"/>
      <c r="AH71" s="1021" t="n"/>
      <c r="AI71" s="1021" t="n"/>
      <c r="AJ71" s="1021" t="n"/>
      <c r="AK71" s="1021" t="n"/>
      <c r="AL71" s="1021" t="n"/>
      <c r="AM71" s="1021" t="n"/>
      <c r="AN71" s="1021" t="n"/>
      <c r="AO71" s="1021" t="n"/>
      <c r="AP71" s="1021" t="n"/>
      <c r="AQ71" s="1021" t="n"/>
      <c r="AR71" s="1021" t="n"/>
      <c r="AS71" s="1021" t="n"/>
      <c r="AT71" s="1021" t="n"/>
      <c r="AU71" s="1021" t="n"/>
      <c r="AV71" s="1021" t="n"/>
      <c r="AW71" s="1021" t="n"/>
      <c r="AX71" s="1021" t="n"/>
      <c r="AY71" s="1021" t="n"/>
      <c r="AZ71" s="1021" t="n"/>
      <c r="BA71" s="1021" t="n"/>
      <c r="BB71" s="1021" t="n"/>
      <c r="BC71" s="1021" t="n"/>
      <c r="BD71" s="1021" t="n"/>
      <c r="BE71" s="1021" t="n"/>
      <c r="BF71" s="1021" t="n"/>
      <c r="BG71" s="1021" t="n"/>
      <c r="BH71" s="1021" t="n"/>
      <c r="BI71" s="1021" t="n"/>
      <c r="BJ71" s="1021" t="n"/>
      <c r="BK71" s="1021" t="n"/>
      <c r="BL71" s="1021" t="n"/>
      <c r="BM71" s="1021" t="n"/>
      <c r="BN71" s="1021" t="n"/>
      <c r="BO71" s="1021" t="n"/>
      <c r="BP71" s="1021" t="n"/>
      <c r="BQ71" s="1021" t="n"/>
      <c r="BR71" s="1021" t="n"/>
      <c r="BS71" s="1021" t="n"/>
      <c r="BT71" s="1021" t="n"/>
      <c r="BU71" s="1021" t="n"/>
      <c r="BV71" s="1021" t="n"/>
      <c r="BW71" s="1021" t="n"/>
      <c r="BX71" s="1021" t="n"/>
      <c r="BY71" s="1021" t="n"/>
      <c r="BZ71" s="1021" t="n"/>
      <c r="CA71" s="1021" t="n"/>
      <c r="CB71" s="1021" t="n"/>
      <c r="CC71" s="1021" t="n"/>
      <c r="CD71" s="1021" t="n"/>
    </row>
    <row r="72" ht="12.9" customHeight="1" s="1016">
      <c r="A72" s="778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/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9" t="n"/>
    </row>
    <row r="73" ht="12.9" customHeight="1" s="1016">
      <c r="A73" s="778" t="inlineStr">
        <is>
          <t>51954001   - '71100501</t>
        </is>
      </c>
      <c r="B73" s="178" t="inlineStr">
        <is>
          <t>Envases y Empaques</t>
        </is>
      </c>
      <c r="C73" s="171">
        <f>'[1]Hoja 1'!$C$141</f>
        <v/>
      </c>
      <c r="D73" s="171">
        <f>'[8]Hoja 1'!$C$143</f>
        <v/>
      </c>
      <c r="E73" s="171" t="n">
        <v>241842440</v>
      </c>
      <c r="F73" s="171" t="n"/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9" t="n"/>
    </row>
    <row r="74" ht="12.9" customHeight="1" s="1016">
      <c r="A74" s="778" t="inlineStr">
        <is>
          <t xml:space="preserve">51954501            </t>
        </is>
      </c>
      <c r="B74" s="178" t="inlineStr">
        <is>
          <t>Taxis y Buses</t>
        </is>
      </c>
      <c r="C74" s="171">
        <f>'[1]Hoja 1'!$C$143</f>
        <v/>
      </c>
      <c r="D74" s="171">
        <f>'[8]Hoja 1'!$C$145</f>
        <v/>
      </c>
      <c r="E74" s="171" t="n">
        <v>241842440</v>
      </c>
      <c r="F74" s="171" t="n"/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9" t="n"/>
    </row>
    <row r="75" ht="12.9" customHeight="1" s="1016">
      <c r="A75" s="778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'[1]Hoja 1'!$C$145</f>
        <v/>
      </c>
      <c r="D75" s="171">
        <f>'[8]Hoja 1'!$C$147</f>
        <v/>
      </c>
      <c r="E75" s="171" t="n">
        <v>241842440</v>
      </c>
      <c r="F75" s="171" t="n"/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9" t="n"/>
    </row>
    <row r="76" ht="12.9" customHeight="1" s="1016">
      <c r="A76" s="778" t="inlineStr">
        <is>
          <t xml:space="preserve">51956501            </t>
        </is>
      </c>
      <c r="B76" s="178" t="inlineStr">
        <is>
          <t>Parqueaderos</t>
        </is>
      </c>
      <c r="C76" s="171">
        <f>'[1]Hoja 1'!$C$148</f>
        <v/>
      </c>
      <c r="D76" s="171">
        <f>'[8]Hoja 1'!$C$150</f>
        <v/>
      </c>
      <c r="E76" s="171" t="n">
        <v>241842440</v>
      </c>
      <c r="F76" s="171" t="n"/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9" t="n"/>
    </row>
    <row r="77" ht="12.9" customHeight="1" s="1016">
      <c r="A77" s="778" t="inlineStr">
        <is>
          <t xml:space="preserve">51956601            </t>
        </is>
      </c>
      <c r="B77" s="178" t="inlineStr">
        <is>
          <t>Peajes</t>
        </is>
      </c>
      <c r="C77" s="171">
        <f>'[1]Hoja 1'!$C$150</f>
        <v/>
      </c>
      <c r="D77" s="171">
        <f>'[8]Hoja 1'!$C$152</f>
        <v/>
      </c>
      <c r="E77" s="171" t="n">
        <v>241842440</v>
      </c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9" t="n"/>
    </row>
    <row r="78" ht="12.9" customFormat="1" customHeight="1" s="143">
      <c r="A78" s="778" t="inlineStr">
        <is>
          <t xml:space="preserve">51959501            </t>
        </is>
      </c>
      <c r="B78" s="176" t="inlineStr">
        <is>
          <t>Otros</t>
        </is>
      </c>
      <c r="C78" s="926">
        <f>'[1]Hoja 1'!$C$152</f>
        <v/>
      </c>
      <c r="D78" s="170">
        <f>'[8]Hoja 1'!$C$154</f>
        <v/>
      </c>
      <c r="E78" s="170" t="n">
        <v>241842440</v>
      </c>
      <c r="F78" s="170" t="n"/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9" t="n"/>
      <c r="Q78" s="1021" t="n"/>
      <c r="R78" s="1021" t="n"/>
      <c r="S78" s="1021" t="n"/>
      <c r="T78" s="1021" t="n"/>
      <c r="U78" s="1021" t="n"/>
      <c r="V78" s="1021" t="n"/>
      <c r="W78" s="1021" t="n"/>
      <c r="X78" s="1021" t="n"/>
      <c r="Y78" s="1021" t="n"/>
      <c r="Z78" s="1021" t="n"/>
      <c r="AA78" s="1021" t="n"/>
      <c r="AB78" s="1021" t="n"/>
      <c r="AC78" s="1021" t="n"/>
      <c r="AD78" s="1021" t="n"/>
      <c r="AE78" s="1021" t="n"/>
      <c r="AF78" s="1021" t="n"/>
      <c r="AG78" s="1021" t="n"/>
      <c r="AH78" s="1021" t="n"/>
      <c r="AI78" s="1021" t="n"/>
      <c r="AJ78" s="1021" t="n"/>
      <c r="AK78" s="1021" t="n"/>
      <c r="AL78" s="1021" t="n"/>
      <c r="AM78" s="1021" t="n"/>
      <c r="AN78" s="1021" t="n"/>
      <c r="AO78" s="1021" t="n"/>
      <c r="AP78" s="1021" t="n"/>
      <c r="AQ78" s="1021" t="n"/>
      <c r="AR78" s="1021" t="n"/>
      <c r="AS78" s="1021" t="n"/>
      <c r="AT78" s="1021" t="n"/>
      <c r="AU78" s="1021" t="n"/>
      <c r="AV78" s="1021" t="n"/>
      <c r="AW78" s="1021" t="n"/>
      <c r="AX78" s="1021" t="n"/>
      <c r="AY78" s="1021" t="n"/>
      <c r="AZ78" s="1021" t="n"/>
      <c r="BA78" s="1021" t="n"/>
      <c r="BB78" s="1021" t="n"/>
      <c r="BC78" s="1021" t="n"/>
      <c r="BD78" s="1021" t="n"/>
      <c r="BE78" s="1021" t="n"/>
      <c r="BF78" s="1021" t="n"/>
      <c r="BG78" s="1021" t="n"/>
      <c r="BH78" s="1021" t="n"/>
      <c r="BI78" s="1021" t="n"/>
      <c r="BJ78" s="1021" t="n"/>
      <c r="BK78" s="1021" t="n"/>
      <c r="BL78" s="1021" t="n"/>
      <c r="BM78" s="1021" t="n"/>
      <c r="BN78" s="1021" t="n"/>
      <c r="BO78" s="1021" t="n"/>
      <c r="BP78" s="1021" t="n"/>
      <c r="BQ78" s="1021" t="n"/>
      <c r="BR78" s="1021" t="n"/>
      <c r="BS78" s="1021" t="n"/>
      <c r="BT78" s="1021" t="n"/>
      <c r="BU78" s="1021" t="n"/>
      <c r="BV78" s="1021" t="n"/>
      <c r="BW78" s="1021" t="n"/>
      <c r="BX78" s="1021" t="n"/>
      <c r="BY78" s="1021" t="n"/>
      <c r="BZ78" s="1021" t="n"/>
      <c r="CA78" s="1021" t="n"/>
      <c r="CB78" s="1021" t="n"/>
      <c r="CC78" s="1021" t="n"/>
      <c r="CD78" s="1021" t="n"/>
    </row>
    <row r="79" ht="13.5" customHeight="1" s="1016">
      <c r="A79" s="778" t="inlineStr">
        <is>
          <t xml:space="preserve">51959502            </t>
        </is>
      </c>
      <c r="B79" s="176" t="inlineStr">
        <is>
          <t>Compra Equipos de Oficina</t>
        </is>
      </c>
      <c r="C79" s="170">
        <f>'[1]Hoja 1'!$C$153</f>
        <v/>
      </c>
      <c r="D79" s="170">
        <f>'[8]Hoja 1'!$C$155</f>
        <v/>
      </c>
      <c r="E79" s="170" t="n">
        <v>241842440</v>
      </c>
      <c r="F79" s="170" t="n"/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9" t="n"/>
    </row>
    <row r="80" ht="12.9" customHeight="1" s="1016">
      <c r="A80" s="778" t="inlineStr">
        <is>
          <t xml:space="preserve">51959503            </t>
        </is>
      </c>
      <c r="B80" s="178" t="inlineStr">
        <is>
          <t>Compra Suministros</t>
        </is>
      </c>
      <c r="C80" s="170">
        <f>'[1]Hoja 1'!$C$154</f>
        <v/>
      </c>
      <c r="D80" s="170">
        <f>'[8]Hoja 1'!$C$156</f>
        <v/>
      </c>
      <c r="E80" s="170" t="n">
        <v>241842440</v>
      </c>
      <c r="F80" s="170" t="n"/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9" t="n"/>
    </row>
    <row r="81" ht="12.9" customHeight="1" s="1016">
      <c r="A81" s="778" t="n">
        <v>51959510</v>
      </c>
      <c r="B81" s="178" t="inlineStr">
        <is>
          <t>Herramientas y articulos ferreteria</t>
        </is>
      </c>
      <c r="C81" s="170">
        <f>'[1]Hoja 1'!$C$156</f>
        <v/>
      </c>
      <c r="D81" s="170">
        <f>'[8]Hoja 1'!$C$159</f>
        <v/>
      </c>
      <c r="E81" s="170" t="n">
        <v>241842440</v>
      </c>
      <c r="F81" s="170" t="n"/>
      <c r="G81" s="170" t="n"/>
      <c r="H81" s="170" t="n"/>
      <c r="I81" s="170" t="n"/>
      <c r="J81" s="170" t="n"/>
      <c r="K81" s="170" t="n"/>
      <c r="L81" s="170" t="n"/>
      <c r="M81" s="170" t="n"/>
      <c r="N81" s="929" t="n"/>
      <c r="O81" s="170">
        <f>+SUM(C81:N81)</f>
        <v/>
      </c>
      <c r="P81" s="769" t="n"/>
    </row>
    <row r="82" ht="12.9" customFormat="1" customHeight="1" s="143">
      <c r="A82" s="801" t="inlineStr">
        <is>
          <t xml:space="preserve">51959512            </t>
        </is>
      </c>
      <c r="B82" s="176" t="inlineStr">
        <is>
          <t>Reuniones Fiestas y Detalles</t>
        </is>
      </c>
      <c r="C82" s="170">
        <f>'[1]Hoja 1'!$C$157</f>
        <v/>
      </c>
      <c r="D82" s="170">
        <f>'[8]Hoja 1'!$C$160</f>
        <v/>
      </c>
      <c r="E82" s="170" t="n">
        <v>241842440</v>
      </c>
      <c r="F82" s="170" t="n"/>
      <c r="G82" s="170" t="n"/>
      <c r="H82" s="170" t="n"/>
      <c r="I82" s="170" t="n"/>
      <c r="J82" s="170" t="n"/>
      <c r="K82" s="170" t="n"/>
      <c r="L82" s="170" t="n"/>
      <c r="M82" s="436" t="n"/>
      <c r="N82" s="908" t="n"/>
      <c r="O82" s="170">
        <f>+SUM(C82:N82)</f>
        <v/>
      </c>
      <c r="P82" s="773" t="n"/>
      <c r="Q82" s="1021" t="n"/>
      <c r="R82" s="1021" t="n"/>
      <c r="S82" s="1021" t="n"/>
      <c r="T82" s="1021" t="n"/>
      <c r="U82" s="1021" t="n"/>
      <c r="V82" s="1021" t="n"/>
      <c r="W82" s="1021" t="n"/>
      <c r="X82" s="1021" t="n"/>
      <c r="Y82" s="1021" t="n"/>
      <c r="Z82" s="1021" t="n"/>
      <c r="AA82" s="1021" t="n"/>
      <c r="AB82" s="1021" t="n"/>
      <c r="AC82" s="1021" t="n"/>
      <c r="AD82" s="1021" t="n"/>
      <c r="AE82" s="1021" t="n"/>
      <c r="AF82" s="1021" t="n"/>
      <c r="AG82" s="1021" t="n"/>
      <c r="AH82" s="1021" t="n"/>
      <c r="AI82" s="1021" t="n"/>
      <c r="AJ82" s="1021" t="n"/>
      <c r="AK82" s="1021" t="n"/>
      <c r="AL82" s="1021" t="n"/>
      <c r="AM82" s="1021" t="n"/>
      <c r="AN82" s="1021" t="n"/>
      <c r="AO82" s="1021" t="n"/>
      <c r="AP82" s="1021" t="n"/>
      <c r="AQ82" s="1021" t="n"/>
      <c r="AR82" s="1021" t="n"/>
      <c r="AS82" s="1021" t="n"/>
      <c r="AT82" s="1021" t="n"/>
      <c r="AU82" s="1021" t="n"/>
      <c r="AV82" s="1021" t="n"/>
      <c r="AW82" s="1021" t="n"/>
      <c r="AX82" s="1021" t="n"/>
      <c r="AY82" s="1021" t="n"/>
      <c r="AZ82" s="1021" t="n"/>
      <c r="BA82" s="1021" t="n"/>
      <c r="BB82" s="1021" t="n"/>
      <c r="BC82" s="1021" t="n"/>
      <c r="BD82" s="1021" t="n"/>
      <c r="BE82" s="1021" t="n"/>
      <c r="BF82" s="1021" t="n"/>
      <c r="BG82" s="1021" t="n"/>
      <c r="BH82" s="1021" t="n"/>
      <c r="BI82" s="1021" t="n"/>
      <c r="BJ82" s="1021" t="n"/>
      <c r="BK82" s="1021" t="n"/>
      <c r="BL82" s="1021" t="n"/>
      <c r="BM82" s="1021" t="n"/>
      <c r="BN82" s="1021" t="n"/>
      <c r="BO82" s="1021" t="n"/>
      <c r="BP82" s="1021" t="n"/>
      <c r="BQ82" s="1021" t="n"/>
      <c r="BR82" s="1021" t="n"/>
      <c r="BS82" s="1021" t="n"/>
      <c r="BT82" s="1021" t="n"/>
      <c r="BU82" s="1021" t="n"/>
      <c r="BV82" s="1021" t="n"/>
      <c r="BW82" s="1021" t="n"/>
      <c r="BX82" s="1021" t="n"/>
      <c r="BY82" s="1021" t="n"/>
      <c r="BZ82" s="1021" t="n"/>
      <c r="CA82" s="1021" t="n"/>
      <c r="CB82" s="1021" t="n"/>
    </row>
    <row r="83" ht="12.9" customHeight="1" s="1016">
      <c r="A83" s="778" t="inlineStr">
        <is>
          <t xml:space="preserve">51959514            </t>
        </is>
      </c>
      <c r="B83" s="178" t="inlineStr">
        <is>
          <t>Equipos de Bodega</t>
        </is>
      </c>
      <c r="C83" s="392">
        <f>'[1]Hoja 1'!$C$159</f>
        <v/>
      </c>
      <c r="D83" s="392">
        <f>'[8]Hoja 1'!$C$161</f>
        <v/>
      </c>
      <c r="E83" s="392" t="n">
        <v>241842440</v>
      </c>
      <c r="F83" s="392" t="n"/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9" t="n"/>
    </row>
    <row r="84" ht="12.9" customHeight="1" s="1016">
      <c r="A84" s="778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'[1]Hoja 1'!$C$160</f>
        <v/>
      </c>
      <c r="D84" s="170">
        <f>'[8]Hoja 1'!$C$162</f>
        <v/>
      </c>
      <c r="E84" s="170" t="n">
        <v>241842440</v>
      </c>
      <c r="F84" s="170" t="n"/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9" t="n"/>
    </row>
    <row r="85" ht="12.9" customHeight="1" s="1016">
      <c r="A85" s="778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'[1]Hoja 1'!$C$155</f>
        <v/>
      </c>
      <c r="D85" s="171">
        <f>'[8]Hoja 1'!$C$157</f>
        <v/>
      </c>
      <c r="E85" s="171" t="n">
        <v>241842440</v>
      </c>
      <c r="F85" s="171" t="n"/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9" t="n"/>
    </row>
    <row r="86" ht="12.9" customHeight="1" s="1016">
      <c r="A86" s="778" t="n"/>
      <c r="B86" s="711" t="inlineStr">
        <is>
          <t>Menaje - Basculas-Canastillas-Estibas</t>
        </is>
      </c>
      <c r="C86" s="926" t="n"/>
      <c r="D86" s="926" t="n"/>
      <c r="E86" s="926" t="n">
        <v>241842440</v>
      </c>
      <c r="F86" s="926" t="n"/>
      <c r="G86" s="926" t="n"/>
      <c r="H86" s="926" t="n"/>
      <c r="I86" s="926" t="n"/>
      <c r="J86" s="908" t="n"/>
      <c r="K86" s="926" t="n"/>
      <c r="L86" s="926" t="n"/>
      <c r="M86" s="926" t="n"/>
      <c r="N86" s="926" t="n"/>
      <c r="O86" s="436">
        <f>+SUM(C86:N86)</f>
        <v/>
      </c>
      <c r="P86" s="769" t="n"/>
    </row>
    <row r="87" ht="12.9" customHeight="1" s="1016">
      <c r="A87" s="779" t="inlineStr">
        <is>
          <t xml:space="preserve">51959518            </t>
        </is>
      </c>
      <c r="B87" s="711" t="inlineStr">
        <is>
          <t>Compra Mercado IVH</t>
        </is>
      </c>
      <c r="C87" s="926" t="n"/>
      <c r="D87" s="926">
        <f>'[8]Hoja 1'!$C$164</f>
        <v/>
      </c>
      <c r="E87" s="926" t="n">
        <v>241842440</v>
      </c>
      <c r="F87" s="926" t="n"/>
      <c r="G87" s="926" t="n"/>
      <c r="H87" s="926" t="n"/>
      <c r="I87" s="926" t="n"/>
      <c r="J87" s="926" t="n"/>
      <c r="K87" s="926" t="n"/>
      <c r="L87" s="926" t="n"/>
      <c r="M87" s="926" t="n"/>
      <c r="N87" s="926" t="n"/>
      <c r="O87" s="436">
        <f>+SUM(C87:N87)</f>
        <v/>
      </c>
      <c r="P87" s="769" t="n"/>
    </row>
    <row r="88" ht="12.9" customHeight="1" s="1016">
      <c r="A88" s="774" t="inlineStr">
        <is>
          <t xml:space="preserve">51959517            </t>
        </is>
      </c>
      <c r="B88" s="177" t="inlineStr">
        <is>
          <t>Convenios medicos - EMI</t>
        </is>
      </c>
      <c r="C88" s="919">
        <f>'[1]Hoja 1'!$C$161</f>
        <v/>
      </c>
      <c r="D88" s="919">
        <f>'[8]Hoja 1'!$C$163</f>
        <v/>
      </c>
      <c r="E88" s="919" t="n">
        <v>241842440</v>
      </c>
      <c r="F88" s="919" t="n"/>
      <c r="G88" s="919" t="n"/>
      <c r="H88" s="919" t="n"/>
      <c r="I88" s="919" t="n"/>
      <c r="J88" s="919" t="n"/>
      <c r="K88" s="919" t="n"/>
      <c r="L88" s="919" t="n"/>
      <c r="M88" s="919" t="n"/>
      <c r="N88" s="919" t="n"/>
      <c r="O88" s="405">
        <f>+SUM(C88:N88)</f>
        <v/>
      </c>
      <c r="P88" s="771" t="n"/>
    </row>
    <row r="89" ht="12.9" customHeight="1" s="1016">
      <c r="A89" s="778" t="n"/>
      <c r="B89" s="740" t="inlineStr">
        <is>
          <t>CASINO</t>
        </is>
      </c>
      <c r="C89" s="111">
        <f>CASINO!$C$144</f>
        <v/>
      </c>
      <c r="D89" s="971">
        <f>CASINO!$F$144</f>
        <v/>
      </c>
      <c r="E89" s="978" t="n"/>
      <c r="F89" s="901" t="n"/>
      <c r="G89" s="901" t="n"/>
      <c r="H89" s="901" t="n"/>
      <c r="I89" s="901" t="n"/>
      <c r="J89" s="901" t="n"/>
      <c r="K89" s="901" t="n"/>
      <c r="L89" s="901" t="n"/>
      <c r="M89" s="901" t="n"/>
      <c r="N89" s="951" t="n"/>
      <c r="O89" s="405">
        <f>+SUM(C89:N89)</f>
        <v/>
      </c>
      <c r="P89" s="769" t="n"/>
    </row>
    <row r="90" ht="12.9" customHeight="1" s="1016">
      <c r="A90" s="778" t="n"/>
      <c r="B90" s="110" t="inlineStr">
        <is>
          <t>OTROS GASTOS DIVERSOS</t>
        </is>
      </c>
      <c r="C90" s="111">
        <f>SUM(C91:C95)</f>
        <v/>
      </c>
      <c r="D90" s="971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9" t="n"/>
    </row>
    <row r="91" ht="12.9" customFormat="1" customHeight="1" s="143">
      <c r="A91" s="778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/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3" t="n"/>
      <c r="Q91" s="1021" t="n"/>
      <c r="R91" s="1021" t="n"/>
      <c r="S91" s="1021" t="n"/>
      <c r="T91" s="1021" t="n"/>
      <c r="U91" s="1021" t="n"/>
      <c r="V91" s="1021" t="n"/>
      <c r="W91" s="1021" t="n"/>
      <c r="X91" s="1021" t="n"/>
      <c r="Y91" s="1021" t="n"/>
      <c r="Z91" s="1021" t="n"/>
      <c r="AA91" s="1021" t="n"/>
      <c r="AB91" s="1021" t="n"/>
      <c r="AC91" s="1021" t="n"/>
      <c r="AD91" s="1021" t="n"/>
      <c r="AE91" s="1021" t="n"/>
      <c r="AF91" s="1021" t="n"/>
      <c r="AG91" s="1021" t="n"/>
      <c r="AH91" s="1021" t="n"/>
      <c r="AI91" s="1021" t="n"/>
      <c r="AJ91" s="1021" t="n"/>
      <c r="AK91" s="1021" t="n"/>
      <c r="AL91" s="1021" t="n"/>
      <c r="AM91" s="1021" t="n"/>
      <c r="AN91" s="1021" t="n"/>
      <c r="AO91" s="1021" t="n"/>
      <c r="AP91" s="1021" t="n"/>
      <c r="AQ91" s="1021" t="n"/>
      <c r="AR91" s="1021" t="n"/>
      <c r="AS91" s="1021" t="n"/>
      <c r="AT91" s="1021" t="n"/>
      <c r="AU91" s="1021" t="n"/>
      <c r="AV91" s="1021" t="n"/>
      <c r="AW91" s="1021" t="n"/>
      <c r="AX91" s="1021" t="n"/>
      <c r="AY91" s="1021" t="n"/>
      <c r="AZ91" s="1021" t="n"/>
      <c r="BA91" s="1021" t="n"/>
      <c r="BB91" s="1021" t="n"/>
      <c r="BC91" s="1021" t="n"/>
      <c r="BD91" s="1021" t="n"/>
      <c r="BE91" s="1021" t="n"/>
      <c r="BF91" s="1021" t="n"/>
      <c r="BG91" s="1021" t="n"/>
      <c r="BH91" s="1021" t="n"/>
      <c r="BI91" s="1021" t="n"/>
      <c r="BJ91" s="1021" t="n"/>
      <c r="BK91" s="1021" t="n"/>
      <c r="BL91" s="1021" t="n"/>
      <c r="BM91" s="1021" t="n"/>
      <c r="BN91" s="1021" t="n"/>
      <c r="BO91" s="1021" t="n"/>
      <c r="BP91" s="1021" t="n"/>
      <c r="BQ91" s="1021" t="n"/>
      <c r="BR91" s="1021" t="n"/>
      <c r="BS91" s="1021" t="n"/>
      <c r="BT91" s="1021" t="n"/>
      <c r="BU91" s="1021" t="n"/>
      <c r="BV91" s="1021" t="n"/>
      <c r="BW91" s="1021" t="n"/>
      <c r="BX91" s="1021" t="n"/>
      <c r="BY91" s="1021" t="n"/>
      <c r="BZ91" s="1021" t="n"/>
      <c r="CA91" s="1021" t="n"/>
      <c r="CB91" s="1021" t="n"/>
    </row>
    <row r="92" ht="12.9" customFormat="1" customHeight="1" s="143">
      <c r="A92" s="778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/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3" t="n"/>
      <c r="Q92" s="1021" t="n"/>
      <c r="R92" s="1021" t="n"/>
      <c r="S92" s="1021" t="n"/>
      <c r="T92" s="1021" t="n"/>
      <c r="U92" s="1021" t="n"/>
      <c r="V92" s="1021" t="n"/>
      <c r="W92" s="1021" t="n"/>
      <c r="X92" s="1021" t="n"/>
      <c r="Y92" s="1021" t="n"/>
      <c r="Z92" s="1021" t="n"/>
      <c r="AA92" s="1021" t="n"/>
      <c r="AB92" s="1021" t="n"/>
      <c r="AC92" s="1021" t="n"/>
      <c r="AD92" s="1021" t="n"/>
      <c r="AE92" s="1021" t="n"/>
      <c r="AF92" s="1021" t="n"/>
      <c r="AG92" s="1021" t="n"/>
      <c r="AH92" s="1021" t="n"/>
      <c r="AI92" s="1021" t="n"/>
      <c r="AJ92" s="1021" t="n"/>
      <c r="AK92" s="1021" t="n"/>
      <c r="AL92" s="1021" t="n"/>
      <c r="AM92" s="1021" t="n"/>
      <c r="AN92" s="1021" t="n"/>
      <c r="AO92" s="1021" t="n"/>
      <c r="AP92" s="1021" t="n"/>
      <c r="AQ92" s="1021" t="n"/>
      <c r="AR92" s="1021" t="n"/>
      <c r="AS92" s="1021" t="n"/>
      <c r="AT92" s="1021" t="n"/>
      <c r="AU92" s="1021" t="n"/>
      <c r="AV92" s="1021" t="n"/>
      <c r="AW92" s="1021" t="n"/>
      <c r="AX92" s="1021" t="n"/>
      <c r="AY92" s="1021" t="n"/>
      <c r="AZ92" s="1021" t="n"/>
      <c r="BA92" s="1021" t="n"/>
      <c r="BB92" s="1021" t="n"/>
      <c r="BC92" s="1021" t="n"/>
      <c r="BD92" s="1021" t="n"/>
      <c r="BE92" s="1021" t="n"/>
      <c r="BF92" s="1021" t="n"/>
      <c r="BG92" s="1021" t="n"/>
      <c r="BH92" s="1021" t="n"/>
      <c r="BI92" s="1021" t="n"/>
      <c r="BJ92" s="1021" t="n"/>
      <c r="BK92" s="1021" t="n"/>
      <c r="BL92" s="1021" t="n"/>
      <c r="BM92" s="1021" t="n"/>
      <c r="BN92" s="1021" t="n"/>
      <c r="BO92" s="1021" t="n"/>
      <c r="BP92" s="1021" t="n"/>
      <c r="BQ92" s="1021" t="n"/>
      <c r="BR92" s="1021" t="n"/>
      <c r="BS92" s="1021" t="n"/>
      <c r="BT92" s="1021" t="n"/>
      <c r="BU92" s="1021" t="n"/>
      <c r="BV92" s="1021" t="n"/>
      <c r="BW92" s="1021" t="n"/>
      <c r="BX92" s="1021" t="n"/>
      <c r="BY92" s="1021" t="n"/>
      <c r="BZ92" s="1021" t="n"/>
      <c r="CA92" s="1021" t="n"/>
      <c r="CB92" s="1021" t="n"/>
    </row>
    <row r="93" ht="12.9" customHeight="1" s="1016">
      <c r="A93" s="778" t="n"/>
      <c r="B93" s="176" t="inlineStr">
        <is>
          <t>Multas, Sanciones y Litigios</t>
        </is>
      </c>
      <c r="C93" s="170">
        <f>'[1]Hoja 1'!$C$180</f>
        <v/>
      </c>
      <c r="D93" s="170">
        <f>'[8]Hoja 1'!$C$183</f>
        <v/>
      </c>
      <c r="E93" s="170" t="n">
        <v>241842440</v>
      </c>
      <c r="F93" s="170" t="n"/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9" t="n"/>
    </row>
    <row r="94" ht="12.9" customHeight="1" s="1016">
      <c r="A94" s="778" t="inlineStr">
        <is>
          <t xml:space="preserve">51956002            </t>
        </is>
      </c>
      <c r="B94" s="178" t="inlineStr">
        <is>
          <t>Donaciones</t>
        </is>
      </c>
      <c r="C94" s="170">
        <f>'[1]Hoja 1'!$C$146</f>
        <v/>
      </c>
      <c r="D94" s="170">
        <f>'[8]Hoja 1'!$C$148</f>
        <v/>
      </c>
      <c r="E94" s="170" t="n">
        <v>241842440</v>
      </c>
      <c r="F94" s="170" t="n"/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9" t="n"/>
    </row>
    <row r="95" ht="12.9" customHeight="1" s="1016">
      <c r="A95" s="778" t="inlineStr">
        <is>
          <t xml:space="preserve">53954001            </t>
        </is>
      </c>
      <c r="B95" s="174" t="inlineStr">
        <is>
          <t>Ajuste al peso</t>
        </is>
      </c>
      <c r="C95" s="405">
        <f>'[1]Hoja 1'!$C$182</f>
        <v/>
      </c>
      <c r="D95" s="405">
        <f>'[8]Hoja 1'!$C$186</f>
        <v/>
      </c>
      <c r="E95" s="405" t="n">
        <v>241842440</v>
      </c>
      <c r="F95" s="405" t="n"/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9" t="n"/>
    </row>
    <row r="96" ht="15" customHeight="1" s="1016">
      <c r="A96" s="776" t="n"/>
      <c r="B96" s="516" t="inlineStr">
        <is>
          <t>TOTAL ADMINISTRATIVOS</t>
        </is>
      </c>
      <c r="C96" s="503">
        <f>C5+C13+C19+C22+C28+C32+C46+C52+C59+C62+C66+C89+C90</f>
        <v/>
      </c>
      <c r="D96" s="974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9" t="n"/>
    </row>
    <row r="97" ht="15" customHeight="1" s="1016">
      <c r="A97" s="775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9" t="n"/>
    </row>
    <row r="98" ht="15" customFormat="1" customHeight="1" s="116">
      <c r="A98" s="780" t="n"/>
      <c r="B98" s="517" t="inlineStr">
        <is>
          <t>FINANCIEROS</t>
        </is>
      </c>
      <c r="C98" s="502">
        <f>SUM(C99:C107)</f>
        <v/>
      </c>
      <c r="D98" s="971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9" t="n"/>
    </row>
    <row r="99" ht="12.9" customHeight="1" s="1016">
      <c r="A99" s="775" t="inlineStr">
        <is>
          <t xml:space="preserve">530505              </t>
        </is>
      </c>
      <c r="B99" s="179" t="inlineStr">
        <is>
          <t>Gastos Bancarios</t>
        </is>
      </c>
      <c r="C99" s="169">
        <f>'[1]Hoja 1'!$C$164</f>
        <v/>
      </c>
      <c r="D99" s="169">
        <f>'[8]Hoja 1'!$C$167</f>
        <v/>
      </c>
      <c r="E99" s="169" t="n">
        <v>241842440</v>
      </c>
      <c r="F99" s="404" t="n"/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9" t="n"/>
    </row>
    <row r="100" ht="12.9" customHeight="1" s="1016">
      <c r="A100" s="775" t="inlineStr">
        <is>
          <t xml:space="preserve">530515              </t>
        </is>
      </c>
      <c r="B100" s="176" t="inlineStr">
        <is>
          <t>Comisiones</t>
        </is>
      </c>
      <c r="C100" s="171">
        <f>'[1]Hoja 1'!$C$167</f>
        <v/>
      </c>
      <c r="D100" s="171">
        <f>'[8]Hoja 1'!$C$170</f>
        <v/>
      </c>
      <c r="E100" s="171" t="n">
        <v>241842440</v>
      </c>
      <c r="F100" s="170" t="n"/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9" t="n"/>
    </row>
    <row r="101" ht="12.9" customHeight="1" s="1016">
      <c r="A101" s="775" t="inlineStr">
        <is>
          <t xml:space="preserve">53052001            </t>
        </is>
      </c>
      <c r="B101" s="944" t="inlineStr">
        <is>
          <t>Intereses Corrientes Obligaciones</t>
        </is>
      </c>
      <c r="C101" s="171">
        <f>'[1]Hoja 1'!$C$172</f>
        <v/>
      </c>
      <c r="D101" s="171">
        <f>'[8]Hoja 1'!$C$175</f>
        <v/>
      </c>
      <c r="E101" s="171" t="n">
        <v>241842440</v>
      </c>
      <c r="F101" s="171" t="n"/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9" t="n"/>
    </row>
    <row r="102" ht="12.9" customHeight="1" s="1016">
      <c r="A102" s="775" t="inlineStr">
        <is>
          <t xml:space="preserve">53052002            </t>
        </is>
      </c>
      <c r="B102" s="944" t="inlineStr">
        <is>
          <t>Intereses  Moratorios</t>
        </is>
      </c>
      <c r="C102" s="171">
        <f>'[1]Hoja 1'!$C$173</f>
        <v/>
      </c>
      <c r="D102" s="171" t="n"/>
      <c r="E102" s="171" t="n">
        <v>241842440</v>
      </c>
      <c r="F102" s="171" t="n"/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9" t="n"/>
    </row>
    <row r="103" ht="12.9" customHeight="1" s="1016">
      <c r="A103" s="775" t="n"/>
      <c r="B103" s="944" t="inlineStr">
        <is>
          <t>Intereses Sobregiro</t>
        </is>
      </c>
      <c r="C103" s="171" t="n"/>
      <c r="D103" s="171" t="n"/>
      <c r="E103" s="171" t="n">
        <v>241842440</v>
      </c>
      <c r="F103" s="171" t="n"/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9" t="n"/>
    </row>
    <row r="104" ht="12.9" customHeight="1" s="1016">
      <c r="A104" s="775" t="inlineStr">
        <is>
          <t xml:space="preserve">53052004            </t>
        </is>
      </c>
      <c r="B104" s="944" t="inlineStr">
        <is>
          <t>Intereses corrientes Leasing</t>
        </is>
      </c>
      <c r="C104" s="171" t="n"/>
      <c r="D104" s="171">
        <f>'[8]Hoja 1'!$C$176</f>
        <v/>
      </c>
      <c r="E104" s="171" t="n">
        <v>241842440</v>
      </c>
      <c r="F104" s="171" t="n"/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9" t="n"/>
    </row>
    <row r="105" ht="12.9" customHeight="1" s="1016">
      <c r="A105" s="775" t="inlineStr">
        <is>
          <t xml:space="preserve">53059502            </t>
        </is>
      </c>
      <c r="B105" s="944" t="inlineStr">
        <is>
          <t>Seguro Credito Leasing</t>
        </is>
      </c>
      <c r="C105" s="171" t="n"/>
      <c r="D105" s="171" t="n"/>
      <c r="E105" s="171" t="n">
        <v>241842440</v>
      </c>
      <c r="F105" s="171" t="n"/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9" t="n"/>
    </row>
    <row r="106" ht="12.9" customHeight="1" s="1016">
      <c r="A106" s="775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'[1]Hoja 1'!$C$82+'[1]Hoja 1'!$C$175</f>
        <v/>
      </c>
      <c r="D106" s="171">
        <f>'[8]Hoja 1'!$C$81+'[8]Hoja 1'!$C$180</f>
        <v/>
      </c>
      <c r="E106" s="171" t="n">
        <v>241842440</v>
      </c>
      <c r="F106" s="171" t="n"/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9" t="n"/>
    </row>
    <row r="107" ht="12.9" customHeight="1" s="1016">
      <c r="A107" s="775" t="inlineStr">
        <is>
          <t xml:space="preserve">530595              </t>
        </is>
      </c>
      <c r="B107" s="177" t="inlineStr">
        <is>
          <t xml:space="preserve">Otros </t>
        </is>
      </c>
      <c r="C107" s="919">
        <f>'[1]Hoja 1'!$C$177</f>
        <v/>
      </c>
      <c r="D107" s="919" t="n"/>
      <c r="E107" s="919" t="n">
        <v>241842440</v>
      </c>
      <c r="F107" s="405" t="n"/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9" t="n"/>
    </row>
    <row r="108" ht="12.9" customHeight="1" s="1016">
      <c r="A108" s="775" t="n"/>
      <c r="B108" s="923" t="inlineStr">
        <is>
          <t>INTERESES SOCIOS</t>
        </is>
      </c>
      <c r="C108" s="111">
        <f>96313193+10045491</f>
        <v/>
      </c>
      <c r="D108" s="971">
        <f>99151187+9611660</f>
        <v/>
      </c>
      <c r="E108" s="971" t="n">
        <v>241842440</v>
      </c>
      <c r="F108" s="111" t="n"/>
      <c r="G108" s="111" t="n"/>
      <c r="H108" s="111" t="n"/>
      <c r="I108" s="111" t="n"/>
      <c r="J108" s="111" t="n"/>
      <c r="K108" s="111" t="n"/>
      <c r="L108" s="111" t="n"/>
      <c r="M108" s="945" t="n"/>
      <c r="N108" s="111" t="n"/>
      <c r="O108" s="409">
        <f>+SUM(C108:N108)</f>
        <v/>
      </c>
      <c r="P108" s="769" t="n"/>
    </row>
    <row r="109" ht="15" customFormat="1" customHeight="1" s="116">
      <c r="A109" s="775" t="n"/>
      <c r="B109" s="517" t="inlineStr">
        <is>
          <t>TOTAL FINANCIEROS</t>
        </is>
      </c>
      <c r="C109" s="502">
        <f>C98+C108</f>
        <v/>
      </c>
      <c r="D109" s="971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9" t="n"/>
    </row>
    <row r="110" ht="15" customHeight="1" s="1016">
      <c r="A110" s="775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5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/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8" t="n"/>
    </row>
    <row r="112" ht="15" customHeight="1" s="1016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/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16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/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16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7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16">
      <c r="B115" s="944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/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16">
      <c r="B116" s="944" t="inlineStr">
        <is>
          <t>(-) DESCUENTOS COMERCIALES</t>
        </is>
      </c>
      <c r="C116" s="171" t="n"/>
      <c r="D116" s="171">
        <f>'[8]Hoja 1'!$E$23</f>
        <v/>
      </c>
      <c r="E116" s="171" t="n">
        <v>241842440</v>
      </c>
      <c r="F116" s="171" t="n"/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16">
      <c r="B117" s="944" t="inlineStr">
        <is>
          <t>(-) INGRESOS NO OPERACIONALES</t>
        </is>
      </c>
      <c r="C117" s="171" t="n"/>
      <c r="D117" s="171">
        <f>'[8]Hoja 1'!$E$28</f>
        <v/>
      </c>
      <c r="E117" s="171" t="n">
        <v>241842440</v>
      </c>
      <c r="F117" s="171" t="n"/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16">
      <c r="B118" s="944" t="inlineStr">
        <is>
          <t>(-) INGRESOS INCAPACIDADES</t>
        </is>
      </c>
      <c r="C118" s="171" t="n"/>
      <c r="D118" s="171" t="n"/>
      <c r="E118" s="171" t="n">
        <v>241842440</v>
      </c>
      <c r="F118" s="171" t="n"/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16">
      <c r="B119" s="517" t="inlineStr">
        <is>
          <t>TOTAL GASTOS NO OPERACIONALES</t>
        </is>
      </c>
      <c r="C119" s="502">
        <f>SUM(C113:C115)-SUM(C116:C118)</f>
        <v/>
      </c>
      <c r="D119" s="971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16">
      <c r="D120" s="812" t="n"/>
      <c r="L120" s="617" t="n"/>
      <c r="M120" s="617" t="n"/>
      <c r="N120" s="617" t="n"/>
      <c r="O120" s="751" t="n"/>
    </row>
    <row r="121" ht="15" customHeight="1" s="1016">
      <c r="C121" s="812" t="n"/>
      <c r="D121" s="812">
        <f>D96+D109+'GASTOS OPERATIVOS'!D17+'GASTOS VEHICULOS'!D25</f>
        <v/>
      </c>
      <c r="J121" s="617" t="n"/>
      <c r="M121" s="617" t="n"/>
      <c r="O121" s="826" t="n"/>
    </row>
    <row r="122" ht="15" customHeight="1" s="1016">
      <c r="C122" s="812" t="n"/>
      <c r="D122" s="812">
        <f>'[8]Hoja 1'!$C$30+'[8]Hoja 1'!$C$199+'[8]Hoja 1'!$C$204+'[8]Hoja 1'!$C$240</f>
        <v/>
      </c>
    </row>
    <row r="123" ht="15" customHeight="1" s="1016">
      <c r="C123" s="812" t="n"/>
      <c r="D123" s="1018">
        <f>D121-D122</f>
        <v/>
      </c>
      <c r="O123" s="1033" t="n"/>
    </row>
    <row r="124" ht="11.4" customHeight="1" s="1016"/>
    <row r="125" ht="15" customHeight="1" s="1016">
      <c r="E125" s="812" t="n"/>
      <c r="F125" s="812" t="n"/>
      <c r="G125" s="812" t="n"/>
      <c r="I125" s="617" t="n"/>
      <c r="J125" s="617" t="n"/>
      <c r="L125" s="617" t="n"/>
      <c r="M125" s="617" t="n"/>
      <c r="O125" s="826" t="n"/>
    </row>
    <row r="126" ht="15" customHeight="1" s="1016">
      <c r="D126" s="812" t="n">
        <v>-55134543</v>
      </c>
      <c r="E126" s="812" t="n"/>
      <c r="F126" s="812" t="n"/>
      <c r="G126" s="812" t="n"/>
      <c r="J126" s="1021" t="n"/>
      <c r="K126" s="617" t="n"/>
      <c r="L126" s="617" t="n"/>
      <c r="M126" s="617" t="n"/>
      <c r="O126" s="826" t="inlineStr">
        <is>
          <t>JUNTA</t>
        </is>
      </c>
    </row>
    <row r="127" ht="15" customHeight="1" s="1016">
      <c r="D127" s="812" t="n">
        <v>-4115810</v>
      </c>
      <c r="F127" s="812" t="n"/>
      <c r="G127" s="812" t="n"/>
      <c r="J127" s="1021" t="n"/>
      <c r="K127" s="617" t="n"/>
      <c r="L127" s="617" t="n"/>
      <c r="M127" s="617" t="n"/>
      <c r="O127" s="826" t="inlineStr">
        <is>
          <t>CASINO</t>
        </is>
      </c>
    </row>
    <row r="128" ht="15" customHeight="1" s="1016">
      <c r="D128" s="1018">
        <f>SUM(D126:D127)</f>
        <v/>
      </c>
      <c r="F128" s="812" t="n"/>
      <c r="G128" s="812" t="n"/>
      <c r="J128" s="1021" t="n"/>
      <c r="K128" s="617" t="n"/>
      <c r="L128" s="617" t="n"/>
      <c r="M128" s="617" t="n"/>
      <c r="O128" s="826" t="n"/>
    </row>
    <row r="129" ht="15" customHeight="1" s="1016">
      <c r="F129" s="812" t="n"/>
      <c r="G129" s="812" t="n"/>
      <c r="J129" s="1021" t="n"/>
      <c r="K129" s="617" t="n"/>
      <c r="L129" s="617" t="n"/>
      <c r="M129" s="617" t="n"/>
      <c r="O129" s="826" t="n"/>
    </row>
    <row r="130" ht="15" customHeight="1" s="1016">
      <c r="D130" s="1018">
        <f>D128-D123</f>
        <v/>
      </c>
      <c r="F130" s="812" t="n"/>
      <c r="G130" s="812" t="n"/>
      <c r="J130" s="1021" t="n"/>
      <c r="K130" s="617" t="n"/>
      <c r="L130" s="617" t="n"/>
      <c r="M130" s="617" t="n"/>
      <c r="O130" s="826" t="n"/>
    </row>
    <row r="131" ht="15" customHeight="1" s="1016">
      <c r="F131" s="812" t="n"/>
      <c r="G131" s="812" t="n"/>
      <c r="J131" s="1021" t="n"/>
      <c r="K131" s="617" t="n"/>
      <c r="L131" s="617" t="n"/>
      <c r="O131" s="812" t="n"/>
    </row>
    <row r="132" ht="15" customHeight="1" s="1016">
      <c r="G132" s="812" t="n"/>
      <c r="J132" s="617" t="n"/>
      <c r="K132" s="617" t="n"/>
      <c r="L132" s="617" t="n"/>
      <c r="O132" s="879" t="n"/>
    </row>
    <row r="133" ht="15" customHeight="1" s="1016">
      <c r="J133" s="617" t="n"/>
      <c r="K133" s="1021" t="n"/>
      <c r="L133" s="617" t="n"/>
      <c r="M133" s="617" t="n"/>
      <c r="O133" s="826" t="n"/>
    </row>
    <row r="134" ht="15" customHeight="1" s="1016">
      <c r="J134" s="617" t="n"/>
      <c r="M134" s="617" t="n"/>
      <c r="O134" s="826" t="n"/>
    </row>
    <row r="135" ht="15" customHeight="1" s="1016">
      <c r="J135" s="617" t="n"/>
      <c r="M135" s="617" t="n"/>
      <c r="O135" s="826" t="n"/>
    </row>
    <row r="136" ht="15" customHeight="1" s="1016">
      <c r="J136" s="617" t="n"/>
      <c r="M136" s="617" t="n"/>
      <c r="O136" s="826" t="n"/>
    </row>
    <row r="137" ht="15" customHeight="1" s="1016">
      <c r="J137" s="617" t="n"/>
      <c r="M137" s="617" t="n"/>
    </row>
    <row r="138" ht="15" customHeight="1" s="1016">
      <c r="M138" s="617" t="n"/>
    </row>
    <row r="139" ht="15" customHeight="1" s="1016">
      <c r="M139" s="617" t="n"/>
    </row>
    <row r="140" ht="15" customHeight="1" s="1016">
      <c r="M140" s="617" t="n"/>
    </row>
    <row r="141" ht="15" customHeight="1" s="1016">
      <c r="M141" s="617" t="n"/>
    </row>
    <row r="142" ht="15" customHeight="1" s="1016">
      <c r="M142" s="617" t="n"/>
    </row>
    <row r="143" ht="15" customHeight="1" s="1016">
      <c r="M143" s="617" t="n"/>
    </row>
    <row r="144" ht="15" customHeight="1" s="1016">
      <c r="M144" s="617" t="n"/>
    </row>
    <row r="145" ht="15" customHeight="1" s="1016">
      <c r="M145" s="617" t="n"/>
    </row>
    <row r="146" ht="15" customHeight="1" s="1016">
      <c r="M146" s="617" t="n"/>
    </row>
    <row r="147" ht="15" customHeight="1" s="1016">
      <c r="M147" s="617" t="n"/>
    </row>
    <row r="148" ht="15" customHeight="1" s="1016">
      <c r="M148" s="617" t="n"/>
    </row>
    <row r="149" ht="15" customHeight="1" s="1016">
      <c r="M149" s="617" t="n"/>
    </row>
    <row r="150" ht="15" customHeight="1" s="1016">
      <c r="M150" s="617" t="n"/>
    </row>
    <row r="151" ht="15" customHeight="1" s="1016">
      <c r="M151" s="617" t="n"/>
    </row>
    <row r="152" ht="15" customHeight="1" s="1016">
      <c r="M152" s="617" t="n"/>
    </row>
    <row r="153" ht="15" customHeight="1" s="1016">
      <c r="M153" s="617" t="n"/>
    </row>
    <row r="154" ht="15" customHeight="1" s="1016">
      <c r="M154" s="617" t="n"/>
    </row>
    <row r="155" ht="15" customHeight="1" s="1016">
      <c r="M155" s="617" t="n"/>
    </row>
    <row r="156" ht="15" customHeight="1" s="1016">
      <c r="M156" s="617" t="n"/>
    </row>
    <row r="157" ht="15" customHeight="1" s="1016">
      <c r="M157" s="617" t="n"/>
    </row>
    <row r="158" ht="15" customHeight="1" s="1016">
      <c r="M158" s="617" t="n"/>
    </row>
    <row r="159" ht="15" customHeight="1" s="1016">
      <c r="M159" s="617" t="n"/>
    </row>
    <row r="160" ht="15" customHeight="1" s="1016">
      <c r="M160" s="617" t="n"/>
    </row>
    <row r="161" ht="15" customHeight="1" s="1016">
      <c r="M161" s="617" t="n"/>
    </row>
    <row r="162" ht="15" customHeight="1" s="1016">
      <c r="M162" s="617" t="n"/>
    </row>
    <row r="163" ht="15" customHeight="1" s="1016">
      <c r="M163" s="617" t="n"/>
    </row>
    <row r="164" ht="15" customHeight="1" s="1016">
      <c r="M164" s="617" t="n"/>
    </row>
    <row r="165" ht="15" customHeight="1" s="1016">
      <c r="M165" s="617" t="n"/>
    </row>
    <row r="166" ht="15" customHeight="1" s="1016">
      <c r="M166" s="617" t="n"/>
    </row>
    <row r="167" ht="15" customHeight="1" s="1016">
      <c r="M167" s="617" t="n"/>
    </row>
    <row r="168" ht="15" customHeight="1" s="1016">
      <c r="M168" s="617" t="n"/>
    </row>
    <row r="169" ht="15" customHeight="1" s="1016">
      <c r="M169" s="617" t="n"/>
    </row>
    <row r="170" ht="15" customHeight="1" s="1016">
      <c r="M170" s="617" t="n"/>
    </row>
    <row r="171" ht="15" customHeight="1" s="1016">
      <c r="M171" s="617" t="n"/>
    </row>
    <row r="172" ht="15" customHeight="1" s="1016">
      <c r="M172" s="617" t="n"/>
    </row>
    <row r="173" ht="15" customHeight="1" s="1016">
      <c r="M173" s="617" t="n"/>
    </row>
    <row r="174" ht="15" customHeight="1" s="1016">
      <c r="M174" s="617" t="n"/>
    </row>
    <row r="175" ht="15" customHeight="1" s="1016">
      <c r="M175" s="617" t="n"/>
    </row>
    <row r="176" ht="15" customHeight="1" s="1016">
      <c r="M176" s="617" t="n"/>
    </row>
    <row r="177" ht="15" customHeight="1" s="1016">
      <c r="M177" s="617" t="n"/>
    </row>
    <row r="178" ht="15" customHeight="1" s="1016">
      <c r="M178" s="617" t="n"/>
    </row>
    <row r="179" ht="15" customHeight="1" s="1016">
      <c r="M179" s="617" t="n"/>
    </row>
    <row r="180" ht="15" customHeight="1" s="1016">
      <c r="M180" s="617" t="n"/>
    </row>
    <row r="181" ht="15" customHeight="1" s="1016">
      <c r="M181" s="617" t="n"/>
    </row>
    <row r="182" ht="15" customHeight="1" s="1016">
      <c r="M182" s="617" t="n"/>
    </row>
    <row r="183" ht="15" customHeight="1" s="1016">
      <c r="M183" s="617" t="n"/>
    </row>
    <row r="184" ht="15" customHeight="1" s="1016">
      <c r="M184" s="617" t="n"/>
    </row>
    <row r="185" ht="15" customHeight="1" s="1016">
      <c r="M185" s="617" t="n"/>
    </row>
    <row r="186" ht="15" customHeight="1" s="1016">
      <c r="M186" s="617" t="n"/>
    </row>
    <row r="187" ht="15" customHeight="1" s="1016">
      <c r="M187" s="617" t="n"/>
    </row>
    <row r="188" ht="15" customHeight="1" s="1016">
      <c r="M188" s="617" t="n"/>
    </row>
    <row r="189" ht="15" customHeight="1" s="1016">
      <c r="M189" s="617" t="n"/>
    </row>
    <row r="190" ht="15" customHeight="1" s="1016">
      <c r="M190" s="617" t="n"/>
    </row>
    <row r="191" ht="15" customHeight="1" s="1016">
      <c r="M191" s="617" t="n"/>
    </row>
    <row r="192" ht="15" customHeight="1" s="1016">
      <c r="M192" s="617" t="n"/>
    </row>
    <row r="193" ht="15" customHeight="1" s="1016">
      <c r="M193" s="617" t="n"/>
    </row>
    <row r="194" ht="15" customHeight="1" s="1016">
      <c r="M194" s="617" t="n"/>
    </row>
    <row r="195" ht="15" customHeight="1" s="1016">
      <c r="M195" s="617" t="n"/>
    </row>
    <row r="196" ht="15" customHeight="1" s="1016">
      <c r="M196" s="617" t="n"/>
    </row>
    <row r="197" ht="15" customHeight="1" s="1016">
      <c r="M197" s="617" t="n"/>
    </row>
    <row r="198" ht="15" customHeight="1" s="1016">
      <c r="M198" s="617" t="n"/>
    </row>
    <row r="199" ht="15" customHeight="1" s="1016">
      <c r="M199" s="617" t="n"/>
    </row>
    <row r="200" ht="15" customHeight="1" s="1016">
      <c r="M200" s="617" t="n"/>
    </row>
    <row r="201" ht="15" customHeight="1" s="1016">
      <c r="M201" s="617" t="n"/>
    </row>
    <row r="202" ht="15" customHeight="1" s="1016">
      <c r="M202" s="617" t="n"/>
    </row>
    <row r="203" ht="15" customHeight="1" s="1016">
      <c r="M203" s="617" t="n"/>
    </row>
    <row r="204" ht="15" customHeight="1" s="1016">
      <c r="M204" s="617" t="n"/>
    </row>
    <row r="205" ht="15" customHeight="1" s="1016">
      <c r="M205" s="617" t="n"/>
    </row>
    <row r="206" ht="15" customHeight="1" s="1016">
      <c r="M206" s="617" t="n"/>
    </row>
    <row r="207" ht="15" customHeight="1" s="1016">
      <c r="M207" s="617" t="n"/>
    </row>
    <row r="208" ht="15" customHeight="1" s="1016">
      <c r="M208" s="617" t="n"/>
    </row>
    <row r="209" ht="15" customHeight="1" s="1016">
      <c r="M209" s="617" t="n"/>
    </row>
    <row r="210" ht="15" customHeight="1" s="1016">
      <c r="M210" s="617" t="n"/>
    </row>
    <row r="211" ht="15" customHeight="1" s="1016">
      <c r="M211" s="617" t="n"/>
    </row>
    <row r="212" ht="15" customHeight="1" s="1016">
      <c r="M212" s="617" t="n"/>
    </row>
    <row r="213" ht="15" customHeight="1" s="1016">
      <c r="M213" s="617" t="n"/>
    </row>
    <row r="214" ht="15" customHeight="1" s="1016">
      <c r="M214" s="617" t="n"/>
    </row>
    <row r="215" ht="15" customHeight="1" s="1016">
      <c r="M215" s="617" t="n"/>
    </row>
    <row r="216" ht="15" customHeight="1" s="1016">
      <c r="M216" s="617" t="n"/>
    </row>
    <row r="217" ht="15" customHeight="1" s="1016">
      <c r="M217" s="617" t="n"/>
    </row>
    <row r="218" ht="15" customHeight="1" s="1016">
      <c r="M218" s="617" t="n"/>
    </row>
    <row r="219" ht="15" customHeight="1" s="1016">
      <c r="M219" s="617" t="n"/>
    </row>
    <row r="220" ht="15" customHeight="1" s="1016">
      <c r="M220" s="617" t="n"/>
    </row>
    <row r="221" ht="15" customHeight="1" s="1016">
      <c r="M221" s="617" t="n"/>
    </row>
    <row r="222" ht="15" customHeight="1" s="1016">
      <c r="M222" s="617" t="n"/>
    </row>
    <row r="223" ht="15" customHeight="1" s="1016">
      <c r="M223" s="617" t="n"/>
    </row>
    <row r="224" ht="15" customHeight="1" s="1016">
      <c r="M224" s="617" t="n"/>
    </row>
    <row r="225" ht="15" customHeight="1" s="1016">
      <c r="M225" s="617" t="n"/>
    </row>
    <row r="226" ht="15" customHeight="1" s="1016">
      <c r="M226" s="617" t="n"/>
    </row>
    <row r="227" ht="15" customHeight="1" s="1016">
      <c r="M227" s="617" t="n"/>
    </row>
    <row r="228" ht="15" customHeight="1" s="1016">
      <c r="M228" s="617" t="n"/>
    </row>
    <row r="229" ht="15" customHeight="1" s="1016">
      <c r="M229" s="617" t="n"/>
    </row>
    <row r="230" ht="15" customHeight="1" s="1016">
      <c r="M230" s="617" t="n"/>
    </row>
    <row r="231" ht="15" customHeight="1" s="1016">
      <c r="M231" s="617" t="n"/>
    </row>
    <row r="232" ht="15" customHeight="1" s="1016">
      <c r="M232" s="617" t="n"/>
    </row>
    <row r="233" ht="15" customHeight="1" s="1016">
      <c r="M233" s="617" t="n"/>
    </row>
    <row r="234" ht="15" customHeight="1" s="1016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34" min="2" max="2"/>
    <col width="14.44140625" customWidth="1" style="1022" min="3" max="4"/>
    <col width="15.33203125" bestFit="1" customWidth="1" style="1022" min="5" max="5"/>
    <col width="14.44140625" customWidth="1" style="1022" min="6" max="14"/>
    <col width="16.33203125" bestFit="1" customWidth="1" style="1022" min="15" max="15"/>
    <col width="5.33203125" customWidth="1" style="1021" min="16" max="16"/>
    <col width="11.44140625" customWidth="1" style="1021" min="17" max="30"/>
    <col width="11.44140625" customWidth="1" style="1021" min="31" max="16384"/>
  </cols>
  <sheetData>
    <row r="2" ht="33" customHeight="1" s="1016">
      <c r="B2" s="1032" t="inlineStr">
        <is>
          <t xml:space="preserve">CORPORACIÓN HACIA UN VALLE SOLIDARIO </t>
        </is>
      </c>
      <c r="C2" s="1017" t="n">
        <v>242070540</v>
      </c>
    </row>
    <row r="3">
      <c r="B3" s="1032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16">
      <c r="B4" s="103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16">
      <c r="B5" s="1036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16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'[29]Hoja 1'!$I$8-C9+'[30]Hoja 1'!$I$9+'[31]Hoja 1'!$D$9+'[32]Hoja 1'!$D$9+'[4]Hoja 1'!$C$91+'[33]Hoja 1'!$D$9+'[34]Hoja 1'!$E$9+'[35]Hoja 1'!$E$10</f>
        <v/>
      </c>
      <c r="D6" s="459">
        <f>'[36]Hoja 1'!$I$8+'[37]Hoja 1'!$I$8-D9+'[38]Hoja 1'!$I$9+'[39]Hoja 1'!$D$9+'[40]Hoja 1'!$D$9+'[41]Hoja 1'!$D$9+'[42]Hoja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16">
      <c r="A7" s="189" t="n"/>
      <c r="B7" s="176" t="inlineStr">
        <is>
          <t>Casos Especiales</t>
        </is>
      </c>
      <c r="C7" s="460">
        <f>'[29]Hoja 1'!$I$9+'[31]Hoja 1'!$D$10</f>
        <v/>
      </c>
      <c r="D7" s="460">
        <f>'[36]Hoja 1'!$I$9+'[36]Hoja 1'!$D$32+'[39]Hoja 1'!$D$10+'[43]Hoja 1'!$D$10</f>
        <v/>
      </c>
      <c r="E7" s="460" t="n">
        <v>241842440</v>
      </c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16">
      <c r="A8" s="189" t="n"/>
      <c r="B8" s="176" t="inlineStr">
        <is>
          <t>Incapacidades Especiales</t>
        </is>
      </c>
      <c r="C8" s="460" t="n"/>
      <c r="D8" s="917" t="n"/>
      <c r="E8" s="460" t="n">
        <v>241842440</v>
      </c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16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'[1]Hoja 1'!$C$218</f>
        <v/>
      </c>
      <c r="D9" s="460">
        <f>'[9]Hoja 1'!$C$76+'[15]Hoja 1'!$C$81-152082</f>
        <v/>
      </c>
      <c r="E9" s="460" t="n">
        <v>241842440</v>
      </c>
      <c r="F9" s="460" t="n">
        <v>241842440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16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'[8]Hoja 1'!$C$239</f>
        <v/>
      </c>
      <c r="E10" s="392" t="n">
        <v>241842440</v>
      </c>
      <c r="F10" s="392" t="n">
        <v>241842440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16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16">
      <c r="A12" s="189" t="n"/>
      <c r="B12" s="168" t="inlineStr">
        <is>
          <t>DIVERSOS</t>
        </is>
      </c>
      <c r="C12" s="903">
        <f>SUM(C13:C16)</f>
        <v/>
      </c>
      <c r="D12" s="903">
        <f>SUM(D13:D16)</f>
        <v/>
      </c>
      <c r="E12" s="903">
        <f>SUM(E13:E16)</f>
        <v/>
      </c>
      <c r="F12" s="903">
        <f>SUM(F13:F16)</f>
        <v/>
      </c>
      <c r="G12" s="903">
        <f>SUM(G13:G16)</f>
        <v/>
      </c>
      <c r="H12" s="903">
        <f>SUM(H13:H16)</f>
        <v/>
      </c>
      <c r="I12" s="903">
        <f>SUM(I13:I16)</f>
        <v/>
      </c>
      <c r="J12" s="903">
        <f>SUM(J13:J16)</f>
        <v/>
      </c>
      <c r="K12" s="903">
        <f>SUM(K13:K16)</f>
        <v/>
      </c>
      <c r="L12" s="903">
        <f>SUM(L13:L16)</f>
        <v/>
      </c>
      <c r="M12" s="903">
        <f>SUM(M13:M16)</f>
        <v/>
      </c>
      <c r="N12" s="903">
        <f>SUM(N13:N16)</f>
        <v/>
      </c>
      <c r="O12" s="180">
        <f>SUM(O13:O16)</f>
        <v/>
      </c>
    </row>
    <row r="13" ht="12.9" customHeight="1" s="1016">
      <c r="A13" s="189" t="inlineStr">
        <is>
          <t xml:space="preserve">71101001  - 73952501 </t>
        </is>
      </c>
      <c r="B13" s="178" t="inlineStr">
        <is>
          <t>Aseo</t>
        </is>
      </c>
      <c r="C13" s="918">
        <f>'[1]Hoja 1'!$C$196+'[1]Hoja 1'!$C$234</f>
        <v/>
      </c>
      <c r="D13" s="918">
        <f>'[8]Hoja 1'!$C$201+'[8]Hoja 1'!$C$243</f>
        <v/>
      </c>
      <c r="E13" s="918" t="n">
        <v>241842440</v>
      </c>
      <c r="F13" s="918" t="n">
        <v>241842440</v>
      </c>
      <c r="G13" s="918" t="n"/>
      <c r="H13" s="918" t="n"/>
      <c r="I13" s="918" t="n"/>
      <c r="J13" s="918" t="n"/>
      <c r="K13" s="918" t="n"/>
      <c r="L13" s="918" t="n"/>
      <c r="M13" s="918" t="n"/>
      <c r="N13" s="918" t="n"/>
      <c r="O13" s="424">
        <f>SUM(C13:N13)</f>
        <v/>
      </c>
    </row>
    <row r="14" ht="12.9" customHeight="1" s="1016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'[1]Hoja 1'!$C$236</f>
        <v/>
      </c>
      <c r="D14" s="424">
        <f>'[8]Hoja 1'!$C$245</f>
        <v/>
      </c>
      <c r="E14" s="424" t="n">
        <v>241842440</v>
      </c>
      <c r="F14" s="424" t="n">
        <v>241842440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16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16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'[1]Hoja 1'!$C$198</f>
        <v/>
      </c>
      <c r="D16" s="425">
        <f>'[8]Hoja 1'!$C$158+'[8]Hoja 1'!$C$203</f>
        <v/>
      </c>
      <c r="E16" s="425" t="n">
        <v>241842440</v>
      </c>
      <c r="F16" s="425" t="n">
        <v>241842440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16">
      <c r="A17" s="189" t="n"/>
      <c r="B17" s="1037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20" hidden="1" s="1016">
      <c r="C20" s="1022" t="n">
        <v>83159889</v>
      </c>
      <c r="D20" s="1022" t="n">
        <v>148056842</v>
      </c>
      <c r="E20" s="1022" t="n">
        <v>166932975</v>
      </c>
      <c r="F20" s="1022" t="n">
        <v>194850261</v>
      </c>
      <c r="G20" s="1022" t="n">
        <v>219335066</v>
      </c>
      <c r="I20" s="1022" t="n">
        <v>177744901</v>
      </c>
      <c r="J20" s="1022" t="n">
        <v>217896905</v>
      </c>
      <c r="K20" s="1022" t="n">
        <v>262294276</v>
      </c>
      <c r="L20" s="1022" t="n">
        <v>262819240</v>
      </c>
      <c r="M20" s="1022" t="n">
        <v>251102591</v>
      </c>
      <c r="N20" s="1022" t="n">
        <v>223519101</v>
      </c>
      <c r="O20" s="1022">
        <f>SUM(C20:N20)</f>
        <v/>
      </c>
    </row>
    <row r="21" hidden="1" s="1016">
      <c r="C21" s="1022">
        <f>C6-C20</f>
        <v/>
      </c>
      <c r="D21" s="1022">
        <f>D6-D20</f>
        <v/>
      </c>
      <c r="E21" s="1022">
        <f>E6-E20</f>
        <v/>
      </c>
      <c r="F21" s="1022">
        <f>F6-F20</f>
        <v/>
      </c>
      <c r="G21" s="1022">
        <f>G6-G20</f>
        <v/>
      </c>
      <c r="I21" s="1022">
        <f>I6-I20</f>
        <v/>
      </c>
      <c r="J21" s="1022">
        <f>J6-J20</f>
        <v/>
      </c>
      <c r="K21" s="1022">
        <f>K6-K20</f>
        <v/>
      </c>
      <c r="L21" s="1022">
        <f>L6-L20</f>
        <v/>
      </c>
      <c r="M21" s="1022">
        <f>M6-M20</f>
        <v/>
      </c>
      <c r="N21" s="1022">
        <f>N6-N20</f>
        <v/>
      </c>
      <c r="O21" s="1022">
        <f>SUM(C21:N21)</f>
        <v/>
      </c>
    </row>
    <row r="22" hidden="1" s="1016">
      <c r="C22" s="788">
        <f>C21/C20</f>
        <v/>
      </c>
      <c r="D22" s="788">
        <f>D21/D20</f>
        <v/>
      </c>
      <c r="E22" s="788">
        <f>E21/E20</f>
        <v/>
      </c>
      <c r="F22" s="788">
        <f>F21/F20</f>
        <v/>
      </c>
      <c r="G22" s="788">
        <f>G21/G20</f>
        <v/>
      </c>
      <c r="H22" s="788" t="n"/>
      <c r="I22" s="788">
        <f>I21/I20</f>
        <v/>
      </c>
      <c r="J22" s="788">
        <f>J21/J20</f>
        <v/>
      </c>
      <c r="K22" s="788">
        <f>K21/K20</f>
        <v/>
      </c>
      <c r="L22" s="788">
        <f>L21/L20</f>
        <v/>
      </c>
      <c r="M22" s="788">
        <f>M21/M20</f>
        <v/>
      </c>
      <c r="N22" s="788">
        <f>N21/N20</f>
        <v/>
      </c>
      <c r="O22" s="788">
        <f>O21/O20</f>
        <v/>
      </c>
    </row>
    <row r="23" hidden="1" s="1016"/>
    <row r="24" hidden="1" s="1016"/>
    <row r="25" hidden="1" s="1016">
      <c r="K25" s="1022">
        <f>K20-J20</f>
        <v/>
      </c>
      <c r="L25" s="1022" t="inlineStr">
        <is>
          <t>dif ago y sep 2024</t>
        </is>
      </c>
    </row>
    <row r="26" hidden="1" s="1016"/>
    <row r="27" hidden="1" s="1016">
      <c r="K27" s="1022">
        <f>K25*8</f>
        <v/>
      </c>
      <c r="L27" s="1022" t="inlineStr">
        <is>
          <t>dif * 8 meses</t>
        </is>
      </c>
    </row>
    <row r="28" hidden="1" s="1016">
      <c r="K28" s="1022">
        <f>K27+O20</f>
        <v/>
      </c>
      <c r="L28" s="1022" t="inlineStr">
        <is>
          <t>2024+dif</t>
        </is>
      </c>
    </row>
    <row r="29" hidden="1" s="1016">
      <c r="K29" s="1022">
        <f>K28*11%</f>
        <v/>
      </c>
      <c r="L29" s="1022" t="inlineStr">
        <is>
          <t>incremento 11%</t>
        </is>
      </c>
    </row>
    <row r="30" hidden="1" s="1016">
      <c r="K30" s="1022">
        <f>K28+K29</f>
        <v/>
      </c>
      <c r="L30" s="1022" t="inlineStr">
        <is>
          <t>incr + 2024</t>
        </is>
      </c>
    </row>
    <row r="31" hidden="1" s="1016">
      <c r="K31" s="1022" t="n">
        <v>535655289</v>
      </c>
      <c r="L31" s="1022" t="inlineStr">
        <is>
          <t>17 personas</t>
        </is>
      </c>
    </row>
    <row r="32" hidden="1" s="1016">
      <c r="K32" s="789">
        <f>K30+K31</f>
        <v/>
      </c>
      <c r="L32" s="1022" t="inlineStr">
        <is>
          <t>17 p +inc +2024</t>
        </is>
      </c>
    </row>
    <row r="33" hidden="1" s="1016">
      <c r="K33" s="1022">
        <f>O6-K32</f>
        <v/>
      </c>
      <c r="L33" s="1022" t="inlineStr">
        <is>
          <t>dif 2024 vs ppto</t>
        </is>
      </c>
    </row>
    <row r="34" hidden="1" s="1016">
      <c r="K34" s="1022">
        <f>8%*K6*12</f>
        <v/>
      </c>
      <c r="L34" s="788" t="inlineStr">
        <is>
          <t>bonificacion 2025</t>
        </is>
      </c>
    </row>
    <row r="35" hidden="1" s="1016">
      <c r="K35" s="1022">
        <f>K33-K34</f>
        <v/>
      </c>
      <c r="L35" s="1022" t="inlineStr">
        <is>
          <t>dif + bonificacion</t>
        </is>
      </c>
    </row>
    <row r="54">
      <c r="H54" s="1022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21" min="2" max="2"/>
    <col width="15.5546875" customWidth="1" style="1019" min="3" max="3"/>
    <col width="14.109375" customWidth="1" style="1019" min="4" max="4"/>
    <col width="15.33203125" bestFit="1" customWidth="1" style="1019" min="5" max="5"/>
    <col width="13.88671875" customWidth="1" style="1019" min="6" max="10"/>
    <col width="14.33203125" customWidth="1" style="1019" min="11" max="11"/>
    <col width="13.88671875" customWidth="1" style="1019" min="12" max="12"/>
    <col width="13.6640625" customWidth="1" style="1019" min="13" max="13"/>
    <col width="13.88671875" customWidth="1" style="1019" min="14" max="14"/>
    <col width="16.109375" customWidth="1" style="1019" min="15" max="15"/>
    <col width="7.5546875" customWidth="1" style="1021" min="16" max="16"/>
    <col width="11.44140625" customWidth="1" style="1021" min="17" max="30"/>
    <col width="11.44140625" customWidth="1" style="1021" min="31" max="16384"/>
  </cols>
  <sheetData>
    <row r="1">
      <c r="B1" s="1034" t="n"/>
      <c r="C1" s="1022" t="n"/>
      <c r="D1" s="1022" t="n"/>
      <c r="E1" s="1022" t="n"/>
      <c r="F1" s="1022" t="n"/>
      <c r="G1" s="1022" t="n"/>
      <c r="H1" s="1022" t="n"/>
      <c r="I1" s="1022" t="n"/>
      <c r="J1" s="1022" t="n"/>
      <c r="K1" s="1022" t="n"/>
      <c r="L1" s="1022" t="n"/>
      <c r="M1" s="1022" t="n"/>
      <c r="N1" s="1022" t="n"/>
      <c r="O1" s="1022" t="n"/>
    </row>
    <row r="2" ht="30" customHeight="1" s="1016">
      <c r="B2" s="1032" t="inlineStr">
        <is>
          <t xml:space="preserve">CORPORACIÓN HACIA UN VALLE SOLIDARIO </t>
        </is>
      </c>
      <c r="C2" s="1017" t="inlineStr">
        <is>
          <t>PRESUPUESTO GASTOS VEHICULOS 2026</t>
        </is>
      </c>
    </row>
    <row r="3">
      <c r="B3" s="1032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16">
      <c r="B4" s="1038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16">
      <c r="A5" s="188" t="n"/>
      <c r="B5" s="1036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16">
      <c r="A6" s="189" t="inlineStr">
        <is>
          <t>7205</t>
        </is>
      </c>
      <c r="B6" s="1039" t="inlineStr">
        <is>
          <t>Salarios</t>
        </is>
      </c>
      <c r="C6" s="423">
        <f>'[30]Hoja 1'!$I$10+'[34]Hoja 1'!$E$10</f>
        <v/>
      </c>
      <c r="D6" s="423">
        <f>'[37]Hoja 1'!$I$9+'[38]Hoja 1'!$I$10+'[42]Hoja 1'!$I$10-D7</f>
        <v/>
      </c>
      <c r="E6" s="423" t="n">
        <v>241842440</v>
      </c>
      <c r="F6" s="434" t="n"/>
      <c r="G6" s="434" t="n"/>
      <c r="H6" s="434" t="n"/>
      <c r="I6" s="434" t="n"/>
      <c r="J6" s="434" t="n"/>
      <c r="K6" s="434" t="n"/>
      <c r="L6" s="434" t="n"/>
      <c r="M6" s="434" t="n"/>
      <c r="N6" s="907" t="n"/>
      <c r="O6" s="459">
        <f>SUM(C6:N6)</f>
        <v/>
      </c>
    </row>
    <row r="7" ht="12.9" customHeight="1" s="1016">
      <c r="A7" s="189" t="n">
        <v>72055101</v>
      </c>
      <c r="B7" s="1040" t="inlineStr">
        <is>
          <t>Dotacion</t>
        </is>
      </c>
      <c r="C7" s="436" t="n"/>
      <c r="D7" s="436" t="n">
        <v>152082</v>
      </c>
      <c r="E7" s="436" t="n">
        <v>241842440</v>
      </c>
      <c r="F7" s="436" t="n"/>
      <c r="G7" s="436" t="n"/>
      <c r="H7" s="436" t="n"/>
      <c r="I7" s="436" t="n"/>
      <c r="J7" s="908" t="n"/>
      <c r="K7" s="436" t="n"/>
      <c r="L7" s="436" t="n"/>
      <c r="M7" s="436" t="n"/>
      <c r="N7" s="436" t="n"/>
      <c r="O7" s="392">
        <f>SUM(C7:N7)</f>
        <v/>
      </c>
    </row>
    <row r="8" ht="12.9" customHeight="1" s="1016">
      <c r="A8" s="189" t="n"/>
      <c r="B8" s="1041" t="inlineStr">
        <is>
          <t>Gastos Medicos</t>
        </is>
      </c>
      <c r="C8" s="405" t="n"/>
      <c r="D8" s="405" t="n"/>
      <c r="E8" s="405" t="n">
        <v>241842440</v>
      </c>
      <c r="F8" s="405" t="n"/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42">
      <c r="A9" s="1043" t="n"/>
      <c r="B9" s="1044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42">
      <c r="A10" s="1043" t="n"/>
      <c r="B10" s="1045" t="inlineStr">
        <is>
          <t>Impuestos Vehiculo</t>
        </is>
      </c>
      <c r="C10" s="901">
        <f>'[1]Hoja 1'!$C$80-2676712</f>
        <v/>
      </c>
      <c r="D10" s="901" t="n"/>
      <c r="E10" s="901" t="n">
        <v>241842440</v>
      </c>
      <c r="F10" s="901" t="n"/>
      <c r="G10" s="901" t="n"/>
      <c r="H10" s="901" t="n"/>
      <c r="I10" s="901" t="n"/>
      <c r="J10" s="901" t="n"/>
      <c r="K10" s="901" t="n"/>
      <c r="L10" s="901" t="n"/>
      <c r="M10" s="901" t="n"/>
      <c r="N10" s="901" t="n"/>
      <c r="O10" s="352">
        <f>SUM(C10:N10)</f>
        <v/>
      </c>
    </row>
    <row r="11" ht="15" customFormat="1" customHeight="1" s="1034">
      <c r="A11" s="1043" t="n"/>
      <c r="B11" s="1044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16">
      <c r="A12" s="187" t="inlineStr">
        <is>
          <t xml:space="preserve">51303501            </t>
        </is>
      </c>
      <c r="B12" s="1039" t="inlineStr">
        <is>
          <t>Sustraccion y Hurto</t>
        </is>
      </c>
      <c r="C12" s="902" t="n"/>
      <c r="D12" s="902" t="n"/>
      <c r="E12" s="902" t="n">
        <v>241842440</v>
      </c>
      <c r="F12" s="902" t="n"/>
      <c r="G12" s="902" t="n"/>
      <c r="H12" s="902" t="n"/>
      <c r="I12" s="902" t="n"/>
      <c r="J12" s="902" t="n"/>
      <c r="K12" s="902" t="n"/>
      <c r="L12" s="902" t="n"/>
      <c r="M12" s="902" t="n"/>
      <c r="N12" s="902" t="n"/>
      <c r="O12" s="459">
        <f>SUM(C12:N12)</f>
        <v/>
      </c>
    </row>
    <row r="13" ht="12.9" customHeight="1" s="1016">
      <c r="A13" s="187" t="inlineStr">
        <is>
          <t xml:space="preserve">51304001            </t>
        </is>
      </c>
      <c r="B13" s="1039" t="inlineStr">
        <is>
          <t>Flota y Equipo de Transporte</t>
        </is>
      </c>
      <c r="C13" s="403" t="n"/>
      <c r="D13" s="403">
        <f>'[8]Hoja 1'!$C$93</f>
        <v/>
      </c>
      <c r="E13" s="403" t="n">
        <v>241842440</v>
      </c>
      <c r="F13" s="403" t="n"/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42">
      <c r="A14" s="1043" t="n"/>
      <c r="B14" s="1041" t="inlineStr">
        <is>
          <t>Obligatorio Accidente de transito</t>
        </is>
      </c>
      <c r="C14" s="405">
        <f>'[1]Hoja 1'!$C$92</f>
        <v/>
      </c>
      <c r="D14" s="405" t="n"/>
      <c r="E14" s="405" t="n">
        <v>241842440</v>
      </c>
      <c r="F14" s="405" t="n"/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42">
      <c r="A15" s="1043" t="n"/>
      <c r="B15" s="1046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42">
      <c r="A16" s="1043" t="inlineStr">
        <is>
          <t xml:space="preserve">51350502            </t>
        </is>
      </c>
      <c r="B16" s="1047" t="inlineStr">
        <is>
          <t>Monitoreo</t>
        </is>
      </c>
      <c r="C16" s="423">
        <f>'[1]Hoja 1'!$C$95</f>
        <v/>
      </c>
      <c r="D16" s="423">
        <f>'[8]Hoja 1'!$C$98</f>
        <v/>
      </c>
      <c r="E16" s="423" t="n">
        <v>241842440</v>
      </c>
      <c r="F16" s="423" t="n"/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48" t="n"/>
    </row>
    <row r="17" ht="12.9" customFormat="1" customHeight="1" s="1042">
      <c r="A17" s="1043" t="n"/>
      <c r="B17" s="1049" t="inlineStr">
        <is>
          <t>Seguridad</t>
        </is>
      </c>
      <c r="C17" s="423">
        <f>'[25]Hoja 1'!$G$26</f>
        <v/>
      </c>
      <c r="D17" s="423">
        <f>'[26]Hoja 1'!$G$26</f>
        <v/>
      </c>
      <c r="E17" s="423" t="n">
        <v>241842440</v>
      </c>
      <c r="F17" s="423" t="n"/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48" t="n"/>
    </row>
    <row r="18" ht="12.9" customFormat="1" customHeight="1" s="1042">
      <c r="A18" s="804" t="n">
        <v>51355001</v>
      </c>
      <c r="B18" s="1041" t="inlineStr">
        <is>
          <t>Transporte, fletes y acarreos</t>
        </is>
      </c>
      <c r="C18" s="405">
        <f>'[25]Hoja 1'!$G$29</f>
        <v/>
      </c>
      <c r="D18" s="405">
        <f>'[26]Hoja 1'!$G$29</f>
        <v/>
      </c>
      <c r="E18" s="405" t="n">
        <v>241842440</v>
      </c>
      <c r="F18" s="405" t="n"/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50" t="n"/>
    </row>
    <row r="19" ht="12.9" customFormat="1" customHeight="1" s="1042">
      <c r="A19" s="1051" t="n"/>
      <c r="B19" s="1046" t="inlineStr">
        <is>
          <t>MANTENIMIENTO Y REPARACIONES</t>
        </is>
      </c>
      <c r="C19" s="903">
        <f>SUM(C20:C21)</f>
        <v/>
      </c>
      <c r="D19" s="903">
        <f>SUM(D20:D21)</f>
        <v/>
      </c>
      <c r="E19" s="903">
        <f>SUM(E20:E21)</f>
        <v/>
      </c>
      <c r="F19" s="903">
        <f>SUM(F20:F21)</f>
        <v/>
      </c>
      <c r="G19" s="903">
        <f>SUM(G20:G21)</f>
        <v/>
      </c>
      <c r="H19" s="903">
        <f>SUM(H20:H21)</f>
        <v/>
      </c>
      <c r="I19" s="903">
        <f>SUM(I20:I21)</f>
        <v/>
      </c>
      <c r="J19" s="903">
        <f>SUM(J20:J21)</f>
        <v/>
      </c>
      <c r="K19" s="903">
        <f>SUM(K20:K21)</f>
        <v/>
      </c>
      <c r="L19" s="903">
        <f>SUM(L20:L21)</f>
        <v/>
      </c>
      <c r="M19" s="903">
        <f>SUM(M20:M21)</f>
        <v/>
      </c>
      <c r="N19" s="903">
        <f>SUM(N20:N21)</f>
        <v/>
      </c>
      <c r="O19" s="167">
        <f>SUM(O20:O21)</f>
        <v/>
      </c>
    </row>
    <row r="20" ht="12.9" customFormat="1" customHeight="1" s="1034">
      <c r="A20" s="1052" t="inlineStr">
        <is>
          <t xml:space="preserve">51454001            </t>
        </is>
      </c>
      <c r="B20" s="1039" t="inlineStr">
        <is>
          <t>Mtto Preventivo</t>
        </is>
      </c>
      <c r="C20" s="904" t="n">
        <v>3549011</v>
      </c>
      <c r="D20" s="904">
        <f>'[8]Hoja 1'!C131</f>
        <v/>
      </c>
      <c r="E20" s="904" t="n">
        <v>241842440</v>
      </c>
      <c r="F20" s="904" t="n"/>
      <c r="G20" s="904" t="n"/>
      <c r="H20" s="904" t="n"/>
      <c r="I20" s="904" t="n"/>
      <c r="J20" s="904" t="n"/>
      <c r="K20" s="904" t="n"/>
      <c r="L20" s="904" t="n"/>
      <c r="M20" s="904" t="n"/>
      <c r="N20" s="904" t="n"/>
      <c r="O20" s="402">
        <f>SUM(C20:N20)</f>
        <v/>
      </c>
    </row>
    <row r="21" ht="12.9" customFormat="1" customHeight="1" s="1034">
      <c r="A21" s="1052" t="inlineStr">
        <is>
          <t xml:space="preserve">51454002            </t>
        </is>
      </c>
      <c r="B21" s="1041" t="inlineStr">
        <is>
          <t>Mtto Correctivo</t>
        </is>
      </c>
      <c r="C21" s="905" t="n">
        <v>2232440</v>
      </c>
      <c r="D21" s="905">
        <f>'[8]Hoja 1'!C132</f>
        <v/>
      </c>
      <c r="E21" s="905" t="n">
        <v>241842440</v>
      </c>
      <c r="F21" s="905" t="n"/>
      <c r="G21" s="905" t="n"/>
      <c r="H21" s="905" t="n"/>
      <c r="I21" s="905" t="n"/>
      <c r="J21" s="905" t="n"/>
      <c r="K21" s="905" t="n"/>
      <c r="L21" s="905" t="n"/>
      <c r="M21" s="905" t="n"/>
      <c r="N21" s="905" t="n"/>
      <c r="O21" s="461">
        <f>SUM(C21:N21)</f>
        <v/>
      </c>
    </row>
    <row r="22" ht="12.9" customFormat="1" customHeight="1" s="1034">
      <c r="A22" s="1052" t="n"/>
      <c r="B22" s="1046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53">
      <c r="A23" s="1054" t="inlineStr">
        <is>
          <t xml:space="preserve">51953501            </t>
        </is>
      </c>
      <c r="B23" s="1055" t="inlineStr">
        <is>
          <t xml:space="preserve">Combustible </t>
        </is>
      </c>
      <c r="C23" s="171">
        <f>'[1]Hoja 1'!$C$139-964175</f>
        <v/>
      </c>
      <c r="D23" s="423">
        <f>'[8]Hoja 1'!$C$141-1186883</f>
        <v/>
      </c>
      <c r="E23" s="171" t="n">
        <v>241842440</v>
      </c>
      <c r="F23" s="423" t="n"/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34" t="n"/>
      <c r="R23" s="1034" t="n"/>
      <c r="S23" s="1034" t="n"/>
      <c r="T23" s="1034" t="n"/>
      <c r="U23" s="1034" t="n"/>
      <c r="V23" s="1034" t="n"/>
      <c r="W23" s="1034" t="n"/>
      <c r="X23" s="1034" t="n"/>
      <c r="Y23" s="1034" t="n"/>
    </row>
    <row r="24" ht="12.9" customFormat="1" customHeight="1" s="1034">
      <c r="A24" s="1052" t="n"/>
      <c r="B24" s="1056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/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16">
      <c r="B25" s="1057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7">
      <c r="K27" s="458" t="n"/>
      <c r="O27" s="182" t="n"/>
    </row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5">
      <c r="K35" s="1019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2:AU200"/>
  <sheetViews>
    <sheetView tabSelected="1"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64" sqref="I64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81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7.88671875" customWidth="1" style="1010" min="39" max="39"/>
    <col width="11.33203125" customWidth="1" style="1010" min="40" max="40"/>
    <col width="8.6640625" customWidth="1" style="1058" min="41" max="41"/>
    <col width="6.6640625" customWidth="1" style="2" min="42" max="42"/>
    <col width="17.5546875" customWidth="1" style="2" min="43" max="43"/>
    <col width="11.44140625" customWidth="1" style="2" min="44" max="57"/>
    <col width="11.44140625" customWidth="1" style="2" min="58" max="16384"/>
  </cols>
  <sheetData>
    <row r="2" ht="14.4" customHeight="1" s="1016" thickBot="1">
      <c r="B2" s="982" t="inlineStr">
        <is>
          <t xml:space="preserve">CORPORACIÓN HACIA UN VALLE SOLIDARIO </t>
        </is>
      </c>
      <c r="C2" s="1008" t="inlineStr">
        <is>
          <t>PYG CASINO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6" customHeight="1" s="1016" thickBot="1" thickTop="1">
      <c r="B3" s="983" t="inlineStr">
        <is>
          <t xml:space="preserve">DIAS DE ATENCIÓN </t>
        </is>
      </c>
      <c r="C3" s="478" t="n"/>
      <c r="D3" s="479" t="n"/>
      <c r="E3" s="1060" t="n"/>
      <c r="F3" s="478" t="n">
        <v>20</v>
      </c>
      <c r="G3" s="479" t="n"/>
      <c r="H3" s="1060" t="n"/>
      <c r="I3" s="478" t="n">
        <v>20</v>
      </c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1" t="n"/>
      <c r="B4" s="984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217" t="n"/>
      <c r="AR4" s="1064" t="n"/>
      <c r="AS4" s="1065" t="n"/>
      <c r="AT4" s="220" t="n"/>
      <c r="AU4" s="224" t="n"/>
    </row>
    <row r="5" ht="15" customFormat="1" customHeight="1" s="223" thickTop="1">
      <c r="A5" s="742" t="n"/>
      <c r="B5" s="430" t="inlineStr">
        <is>
          <t>Cupos</t>
        </is>
      </c>
      <c r="C5" s="259">
        <f>C$3*$AR$7*$AT$4</f>
        <v/>
      </c>
      <c r="D5" s="89" t="n"/>
      <c r="E5" s="1066" t="n"/>
      <c r="F5" s="259" t="n"/>
      <c r="G5" s="89" t="n"/>
      <c r="H5" s="1066" t="n"/>
      <c r="I5" s="259">
        <f>I$3*$AR$7*$AT$4</f>
        <v/>
      </c>
      <c r="J5" s="89" t="n"/>
      <c r="K5" s="1066" t="n"/>
      <c r="L5" s="259">
        <f>L$3*$AR$7*$AT$4</f>
        <v/>
      </c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 t="n"/>
      <c r="AQ5" s="466" t="inlineStr">
        <is>
          <t>ALMUERZO</t>
        </is>
      </c>
      <c r="AR5" s="1068" t="n"/>
      <c r="AS5" s="1069" t="n"/>
      <c r="AT5" s="221" t="n"/>
      <c r="AU5" s="224" t="n"/>
    </row>
    <row r="6" ht="15" customFormat="1" customHeight="1" s="223">
      <c r="A6" s="742" t="n"/>
      <c r="B6" s="430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 t="n"/>
      <c r="AQ6" s="467" t="inlineStr">
        <is>
          <t>DESAYUNO</t>
        </is>
      </c>
      <c r="AR6" s="1013" t="n"/>
      <c r="AS6" s="1013" t="n"/>
      <c r="AT6" s="222" t="n"/>
      <c r="AU6" s="224" t="n"/>
    </row>
    <row r="7" ht="15" customFormat="1" customHeight="1" s="223">
      <c r="A7" s="742" t="n"/>
      <c r="B7" s="430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2" t="n"/>
      <c r="B8" s="430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  <c r="AQ8" s="238" t="n"/>
      <c r="AR8" s="254" t="n"/>
    </row>
    <row r="9" ht="15" customFormat="1" customHeight="1" s="223">
      <c r="A9" s="742" t="n"/>
      <c r="B9" s="100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  <c r="AQ9" s="238" t="n"/>
      <c r="AR9" s="239" t="n"/>
      <c r="AS9" s="239" t="n"/>
    </row>
    <row r="10" ht="15" customFormat="1" customHeight="1" s="223">
      <c r="A10" s="742" t="n"/>
      <c r="B10" s="100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742" t="n"/>
      <c r="B11" s="100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742" t="n"/>
      <c r="B12" s="98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A13" s="742" t="n"/>
      <c r="B13" s="986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A14" s="742" t="n"/>
      <c r="B14" s="987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A15" s="742" t="n"/>
      <c r="B15" s="987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 t="n"/>
      <c r="AA15" s="49">
        <f>SUM(AA16:AA22)</f>
        <v/>
      </c>
      <c r="AB15" s="398" t="n"/>
      <c r="AC15" s="1079" t="n"/>
      <c r="AD15" s="49">
        <f>SUM(AD16:AD22)</f>
        <v/>
      </c>
      <c r="AE15" s="398" t="n"/>
      <c r="AF15" s="1079" t="n"/>
      <c r="AG15" s="49">
        <f>SUM(AG16:AG22)</f>
        <v/>
      </c>
      <c r="AH15" s="3" t="n"/>
      <c r="AI15" s="1078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 t="n"/>
    </row>
    <row r="16" ht="15" customHeight="1" s="1016">
      <c r="A16" s="742" t="inlineStr">
        <is>
          <t xml:space="preserve">42959502            </t>
        </is>
      </c>
      <c r="B16" s="262" t="n"/>
      <c r="C16" s="103">
        <f>'[1]Hoja 1'!$E$24+'[1]Hoja 1'!$E$327+'[1]Hoja 1'!$E$540+'[1]Hoja 1'!$E$604+'[1]Hoja 1'!$E$643+'[2]Hoja 1'!$E$21+'[2]Hoja 1'!$E$107+'[2]Hoja 1'!$E$144+'[2]Hoja 1'!$E$181+'[2]Hoja 1'!$E$253+'[3]Hoja 1'!$E$21+'[4]Hoja 1'!$E$23+'[5]Hoja 1'!$E$23+'[6]Hoja 1'!$F$23+'[7]Hoja 1'!$E$24</f>
        <v/>
      </c>
      <c r="D16" s="79" t="n"/>
      <c r="E16" s="1080" t="n"/>
      <c r="F16" s="103">
        <f>'[8]Hoja 1'!$E$26+'[8]Hoja 1'!$E$321+'[8]Hoja 1'!$E$503+'[8]Hoja 1'!$E$575+'[9]Hoja 1'!$E$20+'[9]Hoja 1'!$E$101+'[9]Hoja 1'!$E$142+'[10]Hoja 1'!$E$21+'[11]Hoja 1'!$E$21+'[12]Hoja 1'!$E$19+'[12]Hoja 1'!$E$98+'[13]Hoja 1'!$E$23+'[14]Hoja 1'!$E$27+'[15]Hoja 1'!$E$23+'[15]Hoja 1'!$E$106+'[15]Hoja 1'!$E$147</f>
        <v/>
      </c>
      <c r="G16" s="79" t="n"/>
      <c r="H16" s="1080" t="n"/>
      <c r="I16" s="103" t="n">
        <v>241842440</v>
      </c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81" t="n"/>
    </row>
    <row r="17" ht="15" customHeight="1" s="1016">
      <c r="A17" s="742" t="n"/>
      <c r="B17" s="104" t="n"/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71" t="n"/>
    </row>
    <row r="18" ht="15" customHeight="1" s="1016">
      <c r="A18" s="742" t="n"/>
      <c r="B18" s="104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>
        <f>O7*$AR$6</f>
        <v/>
      </c>
      <c r="P18" s="43" t="n"/>
      <c r="Q18" s="1070" t="n"/>
      <c r="R18" s="25">
        <f>R7*$AR$6</f>
        <v/>
      </c>
      <c r="S18" s="43" t="n"/>
      <c r="T18" s="1070" t="n"/>
      <c r="U18" s="25">
        <f>U7*$AR$6</f>
        <v/>
      </c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71" t="n"/>
    </row>
    <row r="19" ht="15" customHeight="1" s="1016">
      <c r="A19" s="742" t="n"/>
      <c r="B19" s="104" t="inlineStr">
        <is>
          <t>NOVEDADES</t>
        </is>
      </c>
      <c r="C19" s="25" t="n"/>
      <c r="D19" s="43" t="n"/>
      <c r="E19" s="1070" t="n"/>
      <c r="F19" s="25" t="n"/>
      <c r="G19" s="43" t="n"/>
      <c r="H19" s="1070" t="n"/>
      <c r="I19" s="25" t="n">
        <v>241842440</v>
      </c>
      <c r="J19" s="43" t="n"/>
      <c r="K19" s="1070" t="n"/>
      <c r="L19" s="12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t="15" customHeight="1" s="1016">
      <c r="A20" s="742" t="n"/>
      <c r="B20" s="263" t="n"/>
      <c r="C20" s="75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A21" s="742" t="n"/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t="15" customHeight="1" s="1016">
      <c r="A22" s="742" t="n"/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outlineLevel="1" ht="15" customHeight="1" s="1016">
      <c r="A23" s="742" t="n"/>
      <c r="B23" s="987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outlineLevel="1" ht="15" customHeight="1" s="1016">
      <c r="A24" s="742" t="n"/>
      <c r="B24" s="987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outlineLevel="1" ht="15" customHeight="1" s="1016">
      <c r="A25" s="742" t="n"/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outlineLevel="1" ht="15" customHeight="1" s="1016">
      <c r="A26" s="742" t="n"/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outlineLevel="1" ht="15" customHeight="1" s="1016">
      <c r="A27" s="742" t="n"/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ht="15" customHeight="1" s="1016">
      <c r="A28" s="742" t="n"/>
      <c r="B28" s="987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A29" s="742" t="n"/>
      <c r="B29" s="987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 t="n"/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Height="1" s="1016">
      <c r="A30" s="742" t="n"/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</row>
    <row r="31" outlineLevel="1" ht="15" customHeight="1" s="1016">
      <c r="A31" s="742" t="n"/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outlineLevel="1" ht="15" customHeight="1" s="1016">
      <c r="A32" s="742" t="n"/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outlineLevel="1" ht="15" customHeight="1" s="1016">
      <c r="A33" s="742" t="n"/>
      <c r="B33" s="105" t="n"/>
      <c r="C33" s="2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outlineLevel="1" ht="15" customHeight="1" s="1016">
      <c r="A34" s="742" t="n"/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outlineLevel="1" ht="15" customHeight="1" s="1016">
      <c r="A35" s="742" t="n"/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outlineLevel="1" ht="15" customHeight="1" s="1016">
      <c r="A36" s="742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</row>
    <row r="37" outlineLevel="1" ht="15" customHeight="1" s="1016">
      <c r="A37" s="742" t="n"/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outlineLevel="1" ht="15" customHeight="1" s="1016">
      <c r="A38" s="742" t="n"/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outlineLevel="1" ht="15" customHeight="1" s="1016">
      <c r="A39" s="742" t="n"/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outlineLevel="1" ht="15" customHeight="1" s="1016">
      <c r="A40" s="742" t="n"/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outlineLevel="1" ht="15" customHeight="1" s="1016">
      <c r="A41" s="742" t="n"/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t="15" customHeight="1" s="1016" thickBot="1">
      <c r="A42" s="742" t="n"/>
      <c r="B42" s="988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A43" s="742" t="n"/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3" t="n"/>
      <c r="AA43" s="2" t="n"/>
      <c r="AB43" s="2" t="n"/>
      <c r="AC43" s="1093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A44" s="742" t="n"/>
      <c r="B44" s="989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 t="n"/>
      <c r="I44" s="490">
        <f>+I45+I60+I78</f>
        <v/>
      </c>
      <c r="J44" s="491" t="n"/>
      <c r="K44" s="1094" t="n"/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 t="n"/>
      <c r="U44" s="490">
        <f>+U45+U60+U78</f>
        <v/>
      </c>
      <c r="V44" s="491" t="n"/>
      <c r="W44" s="1094" t="n"/>
      <c r="X44" s="490">
        <f>+X45+X60+X78</f>
        <v/>
      </c>
      <c r="Y44" s="491" t="n"/>
      <c r="Z44" s="1094" t="n"/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90">
        <f>+AG45+AG60+AG78</f>
        <v/>
      </c>
      <c r="AH44" s="491" t="n"/>
      <c r="AI44" s="1094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095" t="n"/>
    </row>
    <row r="45" ht="15" customHeight="1" s="1016">
      <c r="A45" s="742" t="n"/>
      <c r="B45" s="987" t="inlineStr">
        <is>
          <t>COSTOS INDUSTRIALIZADOS</t>
        </is>
      </c>
      <c r="C45" s="49" t="n"/>
      <c r="D45" s="3" t="n"/>
      <c r="E45" s="1078" t="n"/>
      <c r="F45" s="49" t="n"/>
      <c r="G45" s="3" t="n"/>
      <c r="H45" s="1078" t="n"/>
      <c r="I45" s="49" t="n">
        <v>241842440</v>
      </c>
      <c r="J45" s="3" t="n"/>
      <c r="K45" s="1078" t="n"/>
      <c r="L45" s="49" t="n"/>
      <c r="M45" s="3" t="n"/>
      <c r="N45" s="1078" t="n"/>
      <c r="O45" s="49" t="n"/>
      <c r="P45" s="3" t="n"/>
      <c r="Q45" s="1078" t="n"/>
      <c r="R45" s="49" t="n"/>
      <c r="S45" s="3" t="n"/>
      <c r="T45" s="1078" t="n"/>
      <c r="U45" s="49" t="n"/>
      <c r="V45" s="3" t="n"/>
      <c r="W45" s="1078" t="n"/>
      <c r="X45" s="49" t="n"/>
      <c r="Y45" s="3" t="n"/>
      <c r="Z45" s="1078" t="n"/>
      <c r="AA45" s="49" t="n"/>
      <c r="AB45" s="3" t="n"/>
      <c r="AC45" s="1078" t="n"/>
      <c r="AD45" s="49" t="n"/>
      <c r="AE45" s="3" t="n"/>
      <c r="AF45" s="1078" t="n"/>
      <c r="AG45" s="49" t="n"/>
      <c r="AH45" s="3" t="n"/>
      <c r="AI45" s="1078" t="n"/>
      <c r="AJ45" s="49" t="n"/>
      <c r="AK45" s="3" t="n"/>
      <c r="AL45" s="61" t="n"/>
      <c r="AM45" s="16">
        <f>C45+F45+I45+L45+O45+R45+U45+X45+AA45+AD45+AG45+AJ45</f>
        <v/>
      </c>
      <c r="AN45" s="3" t="n"/>
      <c r="AO45" s="1079">
        <f>AM45/AM$13</f>
        <v/>
      </c>
    </row>
    <row r="46" ht="15" customHeight="1" s="1016">
      <c r="A46" s="742" t="n"/>
      <c r="B46" s="36" t="inlineStr">
        <is>
          <t>INSUMOS</t>
        </is>
      </c>
      <c r="C46" s="37" t="n"/>
      <c r="D46" s="67" t="n"/>
      <c r="E46" s="1096" t="n"/>
      <c r="F46" s="37" t="n"/>
      <c r="G46" s="67" t="n"/>
      <c r="H46" s="1096" t="n"/>
      <c r="I46" s="37" t="n">
        <v>241842440</v>
      </c>
      <c r="J46" s="67" t="n"/>
      <c r="K46" s="1096" t="n"/>
      <c r="L46" s="37" t="n"/>
      <c r="M46" s="67" t="n"/>
      <c r="N46" s="1096" t="n"/>
      <c r="O46" s="37" t="n"/>
      <c r="P46" s="67" t="n"/>
      <c r="Q46" s="1096" t="n"/>
      <c r="R46" s="37" t="n"/>
      <c r="S46" s="67" t="n"/>
      <c r="T46" s="1096" t="n"/>
      <c r="U46" s="37" t="n"/>
      <c r="V46" s="67" t="n"/>
      <c r="W46" s="1096" t="n"/>
      <c r="X46" s="37" t="n"/>
      <c r="Y46" s="67" t="n"/>
      <c r="Z46" s="1096" t="n"/>
      <c r="AA46" s="37" t="n"/>
      <c r="AB46" s="67" t="n"/>
      <c r="AC46" s="1096" t="n"/>
      <c r="AD46" s="37" t="n"/>
      <c r="AE46" s="67" t="n"/>
      <c r="AF46" s="1096" t="n"/>
      <c r="AG46" s="37" t="n"/>
      <c r="AH46" s="67" t="n"/>
      <c r="AI46" s="1096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t="15" customHeight="1" s="1016">
      <c r="A47" s="742" t="n"/>
      <c r="B47" s="990" t="n"/>
      <c r="C47" s="76" t="n"/>
      <c r="D47" s="42" t="n"/>
      <c r="E47" s="1082" t="n"/>
      <c r="F47" s="76" t="n"/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083">
        <f>AM47/AM$16</f>
        <v/>
      </c>
    </row>
    <row r="48" ht="15" customHeight="1" s="1016">
      <c r="A48" s="742" t="n"/>
      <c r="B48" s="431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71" t="n"/>
    </row>
    <row r="49" ht="15" customHeight="1" s="1016">
      <c r="A49" s="742" t="n"/>
      <c r="B49" s="431" t="n"/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t="15" customHeight="1" s="1016">
      <c r="A50" s="742" t="n"/>
      <c r="B50" s="431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t="15" customHeight="1" s="1016">
      <c r="A51" s="742" t="n"/>
      <c r="B51" s="431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t="15" customHeight="1" s="1016">
      <c r="A52" s="742" t="n"/>
      <c r="B52" s="431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t="15" customHeight="1" s="1016">
      <c r="A53" s="742" t="n"/>
      <c r="B53" s="431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t="15" customHeight="1" s="1016">
      <c r="A54" s="742" t="n"/>
      <c r="B54" s="431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t="15" customHeight="1" s="1016">
      <c r="A55" s="742" t="n"/>
      <c r="B55" s="431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t="15" customHeight="1" s="1016">
      <c r="A56" s="742" t="n"/>
      <c r="B56" s="991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t="15" customHeight="1" s="1016">
      <c r="A57" s="742" t="n"/>
      <c r="B57" s="36" t="n"/>
      <c r="C57" s="37" t="n"/>
      <c r="D57" s="67" t="n"/>
      <c r="E57" s="1096" t="n"/>
      <c r="F57" s="37" t="n"/>
      <c r="G57" s="67" t="n"/>
      <c r="H57" s="1096" t="n"/>
      <c r="I57" s="37" t="n"/>
      <c r="J57" s="67" t="n"/>
      <c r="K57" s="1096" t="n"/>
      <c r="L57" s="37" t="n"/>
      <c r="M57" s="67" t="n"/>
      <c r="N57" s="1096" t="n"/>
      <c r="O57" s="37" t="n"/>
      <c r="P57" s="67" t="n"/>
      <c r="Q57" s="1096" t="n"/>
      <c r="R57" s="37" t="n"/>
      <c r="S57" s="67" t="n"/>
      <c r="T57" s="1096" t="n"/>
      <c r="U57" s="37" t="n"/>
      <c r="V57" s="67" t="n"/>
      <c r="W57" s="1096" t="n"/>
      <c r="X57" s="37" t="n"/>
      <c r="Y57" s="67" t="n"/>
      <c r="Z57" s="1096" t="n"/>
      <c r="AA57" s="37" t="n"/>
      <c r="AB57" s="67" t="n"/>
      <c r="AC57" s="1096" t="n"/>
      <c r="AD57" s="37" t="n"/>
      <c r="AE57" s="67" t="n"/>
      <c r="AF57" s="1096" t="n"/>
      <c r="AG57" s="37" t="n"/>
      <c r="AH57" s="67" t="n"/>
      <c r="AI57" s="1096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097" t="n"/>
    </row>
    <row r="58" ht="15" customHeight="1" s="1016">
      <c r="A58" s="742" t="n"/>
      <c r="B58" s="36" t="inlineStr">
        <is>
          <t>Flete Industrializados PROPIOS</t>
        </is>
      </c>
      <c r="C58" s="37" t="n"/>
      <c r="D58" s="67" t="n"/>
      <c r="E58" s="1096" t="n"/>
      <c r="F58" s="37" t="n"/>
      <c r="G58" s="67" t="n"/>
      <c r="H58" s="1096" t="n"/>
      <c r="I58" s="37" t="n">
        <v>241842440</v>
      </c>
      <c r="J58" s="67" t="n"/>
      <c r="K58" s="1096" t="n"/>
      <c r="L58" s="37" t="n"/>
      <c r="M58" s="67" t="n"/>
      <c r="N58" s="1096" t="n"/>
      <c r="O58" s="37" t="n"/>
      <c r="P58" s="67" t="n"/>
      <c r="Q58" s="1096" t="n"/>
      <c r="R58" s="37" t="n"/>
      <c r="S58" s="67" t="n"/>
      <c r="T58" s="1096" t="n"/>
      <c r="U58" s="37" t="n"/>
      <c r="V58" s="67" t="n"/>
      <c r="W58" s="1096" t="n"/>
      <c r="X58" s="37" t="n"/>
      <c r="Y58" s="67" t="n"/>
      <c r="Z58" s="1096" t="n"/>
      <c r="AA58" s="37" t="n"/>
      <c r="AB58" s="67" t="n"/>
      <c r="AC58" s="1096" t="n"/>
      <c r="AD58" s="37" t="n"/>
      <c r="AE58" s="67" t="n"/>
      <c r="AF58" s="1096" t="n"/>
      <c r="AG58" s="37" t="n"/>
      <c r="AH58" s="67" t="n"/>
      <c r="AI58" s="1096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097">
        <f>AM58/AM$16</f>
        <v/>
      </c>
    </row>
    <row r="59" ht="15" customFormat="1" customHeight="1" s="108">
      <c r="A59" s="742" t="n"/>
      <c r="B59" s="36" t="inlineStr">
        <is>
          <t>Flete Industrializados TERCEROS</t>
        </is>
      </c>
      <c r="C59" s="37" t="n"/>
      <c r="D59" s="45" t="n"/>
      <c r="E59" s="1098" t="n"/>
      <c r="F59" s="37" t="n"/>
      <c r="G59" s="45" t="n"/>
      <c r="H59" s="1098" t="n"/>
      <c r="I59" s="37" t="n"/>
      <c r="J59" s="45" t="n"/>
      <c r="K59" s="1098" t="n"/>
      <c r="L59" s="37" t="n"/>
      <c r="M59" s="45" t="n"/>
      <c r="N59" s="1098" t="n"/>
      <c r="O59" s="37" t="n"/>
      <c r="P59" s="45" t="n"/>
      <c r="Q59" s="1098" t="n"/>
      <c r="R59" s="37" t="n"/>
      <c r="S59" s="45" t="n"/>
      <c r="T59" s="1098" t="n"/>
      <c r="U59" s="37" t="n"/>
      <c r="V59" s="45" t="n"/>
      <c r="W59" s="1098" t="n"/>
      <c r="X59" s="37" t="n"/>
      <c r="Y59" s="45" t="n"/>
      <c r="Z59" s="1098" t="n"/>
      <c r="AA59" s="37" t="n"/>
      <c r="AB59" s="45" t="n"/>
      <c r="AC59" s="1098" t="n"/>
      <c r="AD59" s="37" t="n"/>
      <c r="AE59" s="45" t="n"/>
      <c r="AF59" s="1098" t="n"/>
      <c r="AG59" s="37" t="n"/>
      <c r="AH59" s="45" t="n"/>
      <c r="AI59" s="1098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099">
        <f>AM59/(AM16)</f>
        <v/>
      </c>
    </row>
    <row r="60" ht="15" customHeight="1" s="1016">
      <c r="A60" s="742" t="n"/>
      <c r="B60" s="987" t="inlineStr">
        <is>
          <t>COSTOS ALMUERZO</t>
        </is>
      </c>
      <c r="C60" s="49">
        <f>+C61+C73+C74+C75+C76+C77</f>
        <v/>
      </c>
      <c r="D60" s="3" t="n"/>
      <c r="E60" s="1078" t="n"/>
      <c r="F60" s="49">
        <f>+F61+F73+F74+F75+F76+F77</f>
        <v/>
      </c>
      <c r="G60" s="3" t="n"/>
      <c r="H60" s="1078" t="n"/>
      <c r="I60" s="49">
        <f>+I61+I73+I74+I75+I76+I77</f>
        <v/>
      </c>
      <c r="J60" s="3" t="n"/>
      <c r="K60" s="1078" t="n"/>
      <c r="L60" s="49">
        <f>+L61+L73+L74+L75+L76+L77</f>
        <v/>
      </c>
      <c r="M60" s="3" t="n"/>
      <c r="N60" s="1078" t="n"/>
      <c r="O60" s="49">
        <f>+O61+O73+O74+O75+O76+O77</f>
        <v/>
      </c>
      <c r="P60" s="3" t="n"/>
      <c r="Q60" s="1078" t="n"/>
      <c r="R60" s="49">
        <f>+R61+R73+R74+R75+R76+R77</f>
        <v/>
      </c>
      <c r="S60" s="3" t="n"/>
      <c r="T60" s="1078" t="n"/>
      <c r="U60" s="49">
        <f>+U61+U73+U74+U75+U76+U77</f>
        <v/>
      </c>
      <c r="V60" s="3" t="n"/>
      <c r="W60" s="1078" t="n"/>
      <c r="X60" s="49">
        <f>+X61+X73+X74+X75+X76+X77</f>
        <v/>
      </c>
      <c r="Y60" s="3" t="n"/>
      <c r="Z60" s="1078" t="n"/>
      <c r="AA60" s="49">
        <f>+AA61+AA73+AA74+AA75+AA76+AA77</f>
        <v/>
      </c>
      <c r="AB60" s="3" t="n"/>
      <c r="AC60" s="1078" t="n"/>
      <c r="AD60" s="49">
        <f>+AD61+AD73+AD74+AD75+AD76+AD77</f>
        <v/>
      </c>
      <c r="AE60" s="3" t="n"/>
      <c r="AF60" s="1078" t="n"/>
      <c r="AG60" s="49">
        <f>+AG61+AG73+AG74+AG75+AG76+AG77</f>
        <v/>
      </c>
      <c r="AH60" s="3" t="n"/>
      <c r="AI60" s="1078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1016">
      <c r="A61" s="742" t="n"/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SUM(F62:F71)+F72</f>
        <v/>
      </c>
      <c r="G61" s="67" t="n"/>
      <c r="H61" s="1096" t="n"/>
      <c r="I61" s="37">
        <f>SUM(I62:I71)+I72</f>
        <v/>
      </c>
      <c r="J61" s="67" t="n"/>
      <c r="K61" s="1096" t="n"/>
      <c r="L61" s="37">
        <f>SUM(L62:L71)+L72</f>
        <v/>
      </c>
      <c r="M61" s="67" t="n"/>
      <c r="N61" s="1096" t="n"/>
      <c r="O61" s="37">
        <f>SUM(O62:O71)+O72</f>
        <v/>
      </c>
      <c r="P61" s="67" t="n"/>
      <c r="Q61" s="1096" t="n"/>
      <c r="R61" s="37">
        <f>SUM(R62:R71)+R72</f>
        <v/>
      </c>
      <c r="S61" s="67" t="n"/>
      <c r="T61" s="1096" t="n"/>
      <c r="U61" s="37">
        <f>SUM(U62:U71)+U72</f>
        <v/>
      </c>
      <c r="V61" s="67" t="n"/>
      <c r="W61" s="1096" t="n"/>
      <c r="X61" s="37">
        <f>SUM(X62:X71)+X72</f>
        <v/>
      </c>
      <c r="Y61" s="67" t="n"/>
      <c r="Z61" s="1096" t="n"/>
      <c r="AA61" s="37">
        <f>SUM(AA62:AA71)+AA72</f>
        <v/>
      </c>
      <c r="AB61" s="67" t="n"/>
      <c r="AC61" s="1096" t="n"/>
      <c r="AD61" s="37">
        <f>SUM(AD62:AD71)+AD72</f>
        <v/>
      </c>
      <c r="AE61" s="67" t="n"/>
      <c r="AF61" s="1096" t="n"/>
      <c r="AG61" s="37">
        <f>SUM(AG62:AG71)+AG72</f>
        <v/>
      </c>
      <c r="AH61" s="67" t="n"/>
      <c r="AI61" s="1096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97" t="n"/>
    </row>
    <row r="62" ht="15" customHeight="1" s="1016">
      <c r="A62" s="747" t="n">
        <v>51956001</v>
      </c>
      <c r="B62" s="100" t="inlineStr">
        <is>
          <t>Desayuno y Almuerzo</t>
        </is>
      </c>
      <c r="C62" s="304">
        <f>'[1]Hoja 1'!$C$245</f>
        <v/>
      </c>
      <c r="D62" s="79" t="n"/>
      <c r="E62" s="1080" t="n"/>
      <c r="F62" s="266">
        <f>'[8]Hoja 1'!$C$254</f>
        <v/>
      </c>
      <c r="G62" s="79" t="n"/>
      <c r="H62" s="1080" t="n"/>
      <c r="I62" s="78" t="n">
        <v>241842440</v>
      </c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81" t="n"/>
    </row>
    <row r="63" ht="15" customHeight="1" s="1016">
      <c r="A63" s="747" t="inlineStr">
        <is>
          <t>7105</t>
        </is>
      </c>
      <c r="B63" s="101" t="n"/>
      <c r="C63" s="25">
        <f>'[1]Hoja 1'!$C$251</f>
        <v/>
      </c>
      <c r="D63" s="43" t="n"/>
      <c r="E63" s="1070" t="n"/>
      <c r="F63" s="25">
        <f>'[8]Hoja 1'!$C$260</f>
        <v/>
      </c>
      <c r="G63" s="43" t="n"/>
      <c r="H63" s="1070" t="n"/>
      <c r="I63" s="25" t="n">
        <v>241842440</v>
      </c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71" t="n"/>
    </row>
    <row r="64" ht="15" customHeight="1" s="1016">
      <c r="A64" s="742" t="n"/>
      <c r="B64" s="992" t="n"/>
      <c r="C64" s="465" t="n"/>
      <c r="D64" s="43" t="n"/>
      <c r="E64" s="1070" t="n"/>
      <c r="F64" s="465" t="n"/>
      <c r="G64" s="43" t="n"/>
      <c r="H64" s="1070" t="n"/>
      <c r="I64" s="388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71" t="n"/>
    </row>
    <row r="65" ht="15" customHeight="1" s="1016">
      <c r="A65" s="742" t="n"/>
      <c r="B65" s="431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t="15" customHeight="1" s="1016">
      <c r="A66" s="742" t="n"/>
      <c r="B66" s="431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t="15" customHeight="1" s="1016">
      <c r="A67" s="742" t="n"/>
      <c r="B67" s="431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 t="n"/>
      <c r="AO67" s="1071" t="n"/>
    </row>
    <row r="68" ht="15" customHeight="1" s="1016">
      <c r="A68" s="742" t="n"/>
      <c r="B68" s="431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 t="n"/>
      <c r="AO68" s="1071" t="n"/>
    </row>
    <row r="69" ht="15" customHeight="1" s="1016">
      <c r="A69" s="742" t="n"/>
      <c r="B69" s="431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 t="n"/>
      <c r="AO69" s="1071" t="n"/>
    </row>
    <row r="70" ht="15" customHeight="1" s="1016">
      <c r="A70" s="742" t="n"/>
      <c r="B70" s="993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 t="n"/>
      <c r="AO70" s="1071" t="n"/>
    </row>
    <row r="71" ht="15" customHeight="1" s="1016">
      <c r="A71" s="742" t="n"/>
      <c r="B71" s="415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t="15" customHeight="1" s="1016">
      <c r="A72" s="742" t="n"/>
      <c r="B72" s="36" t="inlineStr">
        <is>
          <t>Transporte Materia Prima - Cavasa</t>
        </is>
      </c>
      <c r="C72" s="37" t="n"/>
      <c r="D72" s="67" t="n"/>
      <c r="E72" s="1096" t="n"/>
      <c r="F72" s="37" t="n"/>
      <c r="G72" s="67" t="n"/>
      <c r="H72" s="1096" t="n"/>
      <c r="I72" s="37" t="n"/>
      <c r="J72" s="67" t="n"/>
      <c r="K72" s="1096" t="n"/>
      <c r="L72" s="37" t="n"/>
      <c r="M72" s="67" t="n"/>
      <c r="N72" s="1096" t="n"/>
      <c r="O72" s="37" t="n"/>
      <c r="P72" s="67" t="n"/>
      <c r="Q72" s="1096" t="n"/>
      <c r="R72" s="37" t="n"/>
      <c r="S72" s="67" t="n"/>
      <c r="T72" s="1096" t="n"/>
      <c r="U72" s="37" t="n"/>
      <c r="V72" s="67" t="n"/>
      <c r="W72" s="1096" t="n"/>
      <c r="X72" s="37" t="n"/>
      <c r="Y72" s="67" t="n"/>
      <c r="Z72" s="1096" t="n"/>
      <c r="AA72" s="37" t="n"/>
      <c r="AB72" s="67" t="n"/>
      <c r="AC72" s="1096" t="n"/>
      <c r="AD72" s="37" t="n"/>
      <c r="AE72" s="67" t="n"/>
      <c r="AF72" s="1096" t="n"/>
      <c r="AG72" s="37" t="n"/>
      <c r="AH72" s="67" t="n"/>
      <c r="AI72" s="1096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97">
        <f>AM72/(AM17+AM18)</f>
        <v/>
      </c>
    </row>
    <row r="73" ht="15" customHeight="1" s="1016">
      <c r="A73" s="742" t="n"/>
      <c r="B73" s="36" t="inlineStr">
        <is>
          <t>Flete Preparados PROPIOS</t>
        </is>
      </c>
      <c r="C73" s="37" t="n"/>
      <c r="D73" s="67" t="n"/>
      <c r="E73" s="1096" t="n"/>
      <c r="F73" s="37" t="n"/>
      <c r="G73" s="67" t="n"/>
      <c r="H73" s="1096" t="n"/>
      <c r="I73" s="37" t="n"/>
      <c r="J73" s="67" t="n"/>
      <c r="K73" s="1096" t="n"/>
      <c r="L73" s="37" t="n"/>
      <c r="M73" s="67" t="n"/>
      <c r="N73" s="1096" t="n"/>
      <c r="O73" s="37" t="n"/>
      <c r="P73" s="67" t="n"/>
      <c r="Q73" s="1096" t="n"/>
      <c r="R73" s="37" t="n"/>
      <c r="S73" s="67" t="n"/>
      <c r="T73" s="1096" t="n"/>
      <c r="U73" s="37" t="n"/>
      <c r="V73" s="67" t="n"/>
      <c r="W73" s="1096" t="n"/>
      <c r="X73" s="37" t="n"/>
      <c r="Y73" s="67" t="n"/>
      <c r="Z73" s="1096" t="n"/>
      <c r="AA73" s="37" t="n"/>
      <c r="AB73" s="67" t="n"/>
      <c r="AC73" s="1096" t="n"/>
      <c r="AD73" s="37" t="n"/>
      <c r="AE73" s="67" t="n"/>
      <c r="AF73" s="1096" t="n"/>
      <c r="AG73" s="37" t="n"/>
      <c r="AH73" s="67" t="n"/>
      <c r="AI73" s="1096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00">
        <f>AM73/(AM17+AM18)</f>
        <v/>
      </c>
    </row>
    <row r="74" ht="15" customHeight="1" s="1016">
      <c r="A74" s="742" t="n"/>
      <c r="B74" s="36" t="inlineStr">
        <is>
          <t>Flete Preparados TERCEROS</t>
        </is>
      </c>
      <c r="C74" s="37" t="n"/>
      <c r="D74" s="67" t="n"/>
      <c r="E74" s="1096" t="n"/>
      <c r="F74" s="37" t="n"/>
      <c r="G74" s="67" t="n"/>
      <c r="H74" s="1096" t="n"/>
      <c r="I74" s="37" t="n"/>
      <c r="J74" s="67" t="n"/>
      <c r="K74" s="1096" t="n"/>
      <c r="L74" s="37" t="n"/>
      <c r="M74" s="67" t="n"/>
      <c r="N74" s="1096" t="n"/>
      <c r="O74" s="37" t="n"/>
      <c r="P74" s="67" t="n"/>
      <c r="Q74" s="1096" t="n"/>
      <c r="R74" s="37" t="n"/>
      <c r="S74" s="67" t="n"/>
      <c r="T74" s="1096" t="n"/>
      <c r="U74" s="37" t="n"/>
      <c r="V74" s="67" t="n"/>
      <c r="W74" s="1096" t="n"/>
      <c r="X74" s="37" t="n"/>
      <c r="Y74" s="67" t="n"/>
      <c r="Z74" s="1096" t="n"/>
      <c r="AA74" s="37" t="n"/>
      <c r="AB74" s="67" t="n"/>
      <c r="AC74" s="1096" t="n"/>
      <c r="AD74" s="37" t="n"/>
      <c r="AE74" s="67" t="n"/>
      <c r="AF74" s="1096" t="n"/>
      <c r="AG74" s="37" t="n"/>
      <c r="AH74" s="67" t="n"/>
      <c r="AI74" s="1096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00">
        <f>AM74/(AM17+AM18)</f>
        <v/>
      </c>
    </row>
    <row r="75" ht="15" customHeight="1" s="1016">
      <c r="A75" s="742" t="n"/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 t="n"/>
    </row>
    <row r="76" ht="15" customHeight="1" s="1016">
      <c r="A76" s="742" t="n"/>
      <c r="B76" s="36" t="inlineStr">
        <is>
          <t>Menaje</t>
        </is>
      </c>
      <c r="C76" s="211">
        <f>'[1]Hoja 1'!$C$256</f>
        <v/>
      </c>
      <c r="D76" s="67" t="n"/>
      <c r="E76" s="1096" t="n"/>
      <c r="F76" s="211">
        <f>'[8]Hoja 1'!$C$265</f>
        <v/>
      </c>
      <c r="G76" s="67" t="n"/>
      <c r="H76" s="1096" t="n"/>
      <c r="I76" s="211" t="n">
        <v>241842440</v>
      </c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</row>
    <row r="77" ht="15" customHeight="1" s="1016">
      <c r="A77" s="742" t="inlineStr">
        <is>
          <t xml:space="preserve">73355501            </t>
        </is>
      </c>
      <c r="B77" s="994" t="inlineStr">
        <is>
          <t>Servicio de Gas</t>
        </is>
      </c>
      <c r="C77" s="28">
        <f>'[1]Hoja 1'!$C$260</f>
        <v/>
      </c>
      <c r="D77" s="45" t="n"/>
      <c r="E77" s="1096" t="n"/>
      <c r="F77" s="28">
        <f>'[8]Hoja 1'!$C$269</f>
        <v/>
      </c>
      <c r="G77" s="45" t="n"/>
      <c r="H77" s="1096" t="n"/>
      <c r="I77" s="28" t="n">
        <v>241842440</v>
      </c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1016">
      <c r="A78" s="742" t="n"/>
      <c r="B78" s="987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 t="n"/>
      <c r="I78" s="49">
        <f>SUM(I79:I81)</f>
        <v/>
      </c>
      <c r="J78" s="3" t="n"/>
      <c r="K78" s="1078" t="n"/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 t="n"/>
      <c r="U78" s="49">
        <f>SUM(U79:U81)</f>
        <v/>
      </c>
      <c r="V78" s="3" t="n"/>
      <c r="W78" s="1078" t="n"/>
      <c r="X78" s="93">
        <f>SUM(X79:X81)</f>
        <v/>
      </c>
      <c r="Y78" s="3" t="n"/>
      <c r="Z78" s="1078" t="n"/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1016">
      <c r="A79" s="742" t="n"/>
      <c r="B79" s="995" t="inlineStr">
        <is>
          <t>Manipuladoras</t>
        </is>
      </c>
      <c r="C79" s="266">
        <f>'[16]Hoja 1'!$I$11-C86+'[17]Hoja 1'!$I$10+'[18]Hoja 1'!$D$9</f>
        <v/>
      </c>
      <c r="D79" s="69" t="n"/>
      <c r="E79" s="1102" t="n"/>
      <c r="F79" s="266">
        <f>'[19]Hoja 1'!$I$10-F86+'[20]Hoja 1'!$I$10+'[21]Hoja 1'!$I$10</f>
        <v/>
      </c>
      <c r="G79" s="69" t="n"/>
      <c r="H79" s="1102" t="n"/>
      <c r="I79" s="266" t="n">
        <v>241842440</v>
      </c>
      <c r="J79" s="69" t="n"/>
      <c r="K79" s="1102" t="n"/>
      <c r="L79" s="266" t="n"/>
      <c r="M79" s="69" t="n"/>
      <c r="N79" s="1102" t="n"/>
      <c r="O79" s="266" t="n"/>
      <c r="P79" s="69" t="n"/>
      <c r="Q79" s="1102" t="n"/>
      <c r="R79" s="266" t="n"/>
      <c r="S79" s="69" t="n"/>
      <c r="T79" s="1102" t="n"/>
      <c r="U79" s="266" t="n"/>
      <c r="V79" s="69" t="n"/>
      <c r="W79" s="1102" t="n"/>
      <c r="X79" s="266" t="n"/>
      <c r="Y79" s="69" t="n"/>
      <c r="Z79" s="1102" t="n"/>
      <c r="AA79" s="266" t="n"/>
      <c r="AB79" s="69" t="n"/>
      <c r="AC79" s="1102" t="n"/>
      <c r="AD79" s="266" t="n"/>
      <c r="AE79" s="69" t="n"/>
      <c r="AF79" s="1102" t="n"/>
      <c r="AG79" s="266" t="n"/>
      <c r="AH79" s="69" t="n"/>
      <c r="AI79" s="1102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03">
        <f>AM79/(AM$13)</f>
        <v/>
      </c>
      <c r="AP79" s="1093" t="n"/>
    </row>
    <row r="80" ht="15" customHeight="1" s="1016">
      <c r="A80" s="742" t="n"/>
      <c r="B80" s="431" t="n"/>
      <c r="C80" s="25" t="n"/>
      <c r="D80" s="43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</row>
    <row r="81" ht="15" customHeight="1" s="1016" thickBot="1">
      <c r="A81" s="742" t="n"/>
      <c r="B81" s="996" t="n"/>
      <c r="C81" s="269" t="n"/>
      <c r="D81" s="214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A82" s="742" t="n"/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347" t="n"/>
      <c r="AN82" s="2" t="n"/>
      <c r="AO82" s="1092" t="n"/>
    </row>
    <row r="83" ht="15" customHeight="1" s="1016" thickTop="1">
      <c r="A83" s="742" t="n"/>
      <c r="B83" s="989" t="inlineStr">
        <is>
          <t>OTROS COSTOS Y GASTOS INDIRECTOS</t>
        </is>
      </c>
      <c r="C83" s="490">
        <f>+C84+C88+C91+C95+C98+C108+C113+C119+C122+C126</f>
        <v/>
      </c>
      <c r="D83" s="491" t="n"/>
      <c r="E83" s="1094" t="n"/>
      <c r="F83" s="490">
        <f>+F84+F88+F91+F95+F98+F108+F113+F119+F122+F126</f>
        <v/>
      </c>
      <c r="G83" s="491" t="n"/>
      <c r="H83" s="1094">
        <f>F83/(F$13)</f>
        <v/>
      </c>
      <c r="I83" s="490">
        <f>+I84+I88+I91+I95+I98+I108+I113+I119+I122+I126</f>
        <v/>
      </c>
      <c r="J83" s="491" t="n"/>
      <c r="K83" s="1094" t="n"/>
      <c r="L83" s="490">
        <f>+L84+L88+L91+L95+L98+L108+L113+L119+L122+L126</f>
        <v/>
      </c>
      <c r="M83" s="491" t="n"/>
      <c r="N83" s="1094">
        <f>L83/(L$13)</f>
        <v/>
      </c>
      <c r="O83" s="490">
        <f>+O84+O88+O91+O95+O98+O108+O113+O119+O122+O126</f>
        <v/>
      </c>
      <c r="P83" s="491" t="n"/>
      <c r="Q83" s="1094" t="n"/>
      <c r="R83" s="490">
        <f>+R84+R88+R91+R95+R98+R108+R113+R119+R122+R126</f>
        <v/>
      </c>
      <c r="S83" s="491" t="n"/>
      <c r="T83" s="1094" t="n"/>
      <c r="U83" s="490">
        <f>+U84+U88+U91+U95+U98+U108+U113+U119+U122+U126</f>
        <v/>
      </c>
      <c r="V83" s="491" t="n"/>
      <c r="W83" s="1094">
        <f>U83/(U$13)</f>
        <v/>
      </c>
      <c r="X83" s="490">
        <f>+X84+X88+X91+X95+X98+X108+X113+X119+X122+X126</f>
        <v/>
      </c>
      <c r="Y83" s="491" t="n"/>
      <c r="Z83" s="1094">
        <f>X83/(X$13)</f>
        <v/>
      </c>
      <c r="AA83" s="490">
        <f>+AA84+AA88+AA91+AA95+AA98+AA108+AA113+AA119+AA122+AA126</f>
        <v/>
      </c>
      <c r="AB83" s="491" t="n"/>
      <c r="AC83" s="1094">
        <f>AA83/(AA$13)</f>
        <v/>
      </c>
      <c r="AD83" s="490">
        <f>+AD84+AD88+AD91+AD95+AD98+AD108+AD113+AD119+AD122+AD126</f>
        <v/>
      </c>
      <c r="AE83" s="491" t="n"/>
      <c r="AF83" s="1094">
        <f>AD83/(AD$13)</f>
        <v/>
      </c>
      <c r="AG83" s="490">
        <f>+AG84+AG88+AG91+AG95+AG98+AG108+AG113+AG119+AG122+AG126</f>
        <v/>
      </c>
      <c r="AH83" s="491" t="n"/>
      <c r="AI83" s="1094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A84" s="742" t="n"/>
      <c r="B84" s="987" t="inlineStr">
        <is>
          <t>COSTOS DE PERSONAL</t>
        </is>
      </c>
      <c r="C84" s="49">
        <f>SUM(C85:C87)</f>
        <v/>
      </c>
      <c r="D84" s="3" t="n"/>
      <c r="E84" s="1078" t="n"/>
      <c r="F84" s="49">
        <f>SUM(F85:F87)</f>
        <v/>
      </c>
      <c r="G84" s="3" t="n"/>
      <c r="H84" s="1078">
        <f>F84/(F$13)</f>
        <v/>
      </c>
      <c r="I84" s="49">
        <f>SUM(I85:I87)</f>
        <v/>
      </c>
      <c r="J84" s="3" t="n"/>
      <c r="K84" s="1078" t="n"/>
      <c r="L84" s="49">
        <f>SUM(L85:L87)</f>
        <v/>
      </c>
      <c r="M84" s="3" t="n"/>
      <c r="N84" s="1078">
        <f>L84/(L$13)</f>
        <v/>
      </c>
      <c r="O84" s="49">
        <f>SUM(O85:O87)</f>
        <v/>
      </c>
      <c r="P84" s="3" t="n"/>
      <c r="Q84" s="1078" t="n"/>
      <c r="R84" s="49">
        <f>SUM(R85:R87)</f>
        <v/>
      </c>
      <c r="S84" s="3" t="n"/>
      <c r="T84" s="1078" t="n"/>
      <c r="U84" s="49">
        <f>SUM(U85:U87)</f>
        <v/>
      </c>
      <c r="V84" s="3" t="n"/>
      <c r="W84" s="1078">
        <f>U84/(U$13)</f>
        <v/>
      </c>
      <c r="X84" s="49">
        <f>SUM(X85:X87)</f>
        <v/>
      </c>
      <c r="Y84" s="3" t="n"/>
      <c r="Z84" s="1078">
        <f>X84/(X$13)</f>
        <v/>
      </c>
      <c r="AA84" s="49">
        <f>SUM(AA85:AA87)</f>
        <v/>
      </c>
      <c r="AB84" s="3" t="n"/>
      <c r="AC84" s="1078">
        <f>AA84/(AA$13)</f>
        <v/>
      </c>
      <c r="AD84" s="49">
        <f>SUM(AD85:AD87)</f>
        <v/>
      </c>
      <c r="AE84" s="3" t="n"/>
      <c r="AF84" s="1078">
        <f>AD84/(AD$13)</f>
        <v/>
      </c>
      <c r="AG84" s="49">
        <f>SUM(AG85:AG87)</f>
        <v/>
      </c>
      <c r="AH84" s="3" t="n"/>
      <c r="AI84" s="1078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A85" s="742" t="n"/>
      <c r="B85" s="997" t="inlineStr">
        <is>
          <t>Costos Indirectos de Personal</t>
        </is>
      </c>
      <c r="C85" s="39" t="n"/>
      <c r="D85" s="69" t="n"/>
      <c r="E85" s="1102" t="n"/>
      <c r="F85" s="39" t="n"/>
      <c r="G85" s="69" t="n"/>
      <c r="H85" s="1102" t="n"/>
      <c r="I85" s="39" t="n">
        <v>241842440</v>
      </c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</row>
    <row r="86" ht="15" customHeight="1" s="1016">
      <c r="A86" s="742" t="n"/>
      <c r="B86" s="431" t="inlineStr">
        <is>
          <t>Dotación y Suministros</t>
        </is>
      </c>
      <c r="C86" s="25" t="n">
        <v>225638</v>
      </c>
      <c r="D86" s="43" t="n"/>
      <c r="E86" s="1070" t="n"/>
      <c r="F86" s="25" t="n">
        <v>59862</v>
      </c>
      <c r="G86" s="43" t="n"/>
      <c r="H86" s="1070" t="n"/>
      <c r="I86" s="25" t="n">
        <v>241842440</v>
      </c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71" t="n"/>
    </row>
    <row r="87" ht="15" customHeight="1" s="1016">
      <c r="A87" s="742" t="n"/>
      <c r="B87" s="990" t="inlineStr">
        <is>
          <t>Gastos Medicos</t>
        </is>
      </c>
      <c r="C87" s="22" t="n"/>
      <c r="D87" s="42" t="n"/>
      <c r="E87" s="1082" t="n"/>
      <c r="F87" s="22" t="n"/>
      <c r="G87" s="42" t="n"/>
      <c r="H87" s="1082" t="n"/>
      <c r="I87" s="22" t="n">
        <v>241842440</v>
      </c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083" t="n"/>
    </row>
    <row r="88" ht="15" customHeight="1" s="1016">
      <c r="A88" s="742" t="n"/>
      <c r="B88" s="987" t="inlineStr">
        <is>
          <t>HONORARIOS</t>
        </is>
      </c>
      <c r="C88" s="90">
        <f>SUM(C89:C90)</f>
        <v/>
      </c>
      <c r="D88" s="3" t="n"/>
      <c r="E88" s="1078" t="n"/>
      <c r="F88" s="90">
        <f>SUM(F89:F90)</f>
        <v/>
      </c>
      <c r="G88" s="3" t="n"/>
      <c r="H88" s="1078">
        <f>F88/(F$13)</f>
        <v/>
      </c>
      <c r="I88" s="90">
        <f>SUM(I89:I90)</f>
        <v/>
      </c>
      <c r="J88" s="3" t="n"/>
      <c r="K88" s="1078" t="n"/>
      <c r="L88" s="49">
        <f>SUM(L89:L90)</f>
        <v/>
      </c>
      <c r="M88" s="3" t="n"/>
      <c r="N88" s="1078">
        <f>L88/(L$13)</f>
        <v/>
      </c>
      <c r="O88" s="49">
        <f>SUM(O89:O90)</f>
        <v/>
      </c>
      <c r="P88" s="3" t="n"/>
      <c r="Q88" s="1078" t="n"/>
      <c r="R88" s="49">
        <f>SUM(R89:R90)</f>
        <v/>
      </c>
      <c r="S88" s="3" t="n"/>
      <c r="T88" s="1078" t="n"/>
      <c r="U88" s="49">
        <f>SUM(U89:U90)</f>
        <v/>
      </c>
      <c r="V88" s="3" t="n"/>
      <c r="W88" s="1078">
        <f>U88/(U$13)</f>
        <v/>
      </c>
      <c r="X88" s="49">
        <f>SUM(X89:X90)</f>
        <v/>
      </c>
      <c r="Y88" s="3" t="n"/>
      <c r="Z88" s="1078">
        <f>X88/(X$13)</f>
        <v/>
      </c>
      <c r="AA88" s="49">
        <f>SUM(AA89:AA90)</f>
        <v/>
      </c>
      <c r="AB88" s="3" t="n"/>
      <c r="AC88" s="1078">
        <f>AA88/(AA$13)</f>
        <v/>
      </c>
      <c r="AD88" s="49">
        <f>SUM(AD89:AD90)</f>
        <v/>
      </c>
      <c r="AE88" s="3" t="n"/>
      <c r="AF88" s="1078">
        <f>AD88/(AD$13)</f>
        <v/>
      </c>
      <c r="AG88" s="49">
        <f>SUM(AG89:AG90)</f>
        <v/>
      </c>
      <c r="AH88" s="3" t="n"/>
      <c r="AI88" s="1078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01">
        <f>AM88/(AM$13)</f>
        <v/>
      </c>
    </row>
    <row r="89" outlineLevel="1" ht="15" customHeight="1" s="1016">
      <c r="A89" s="742" t="n"/>
      <c r="B89" s="997" t="inlineStr">
        <is>
          <t>Asesoría Juridica</t>
        </is>
      </c>
      <c r="C89" s="39" t="n"/>
      <c r="D89" s="69" t="n"/>
      <c r="E89" s="1102" t="n"/>
      <c r="F89" s="39" t="n"/>
      <c r="G89" s="69" t="n"/>
      <c r="H89" s="1102" t="n"/>
      <c r="I89" s="39" t="n">
        <v>241842440</v>
      </c>
      <c r="J89" s="69" t="n"/>
      <c r="K89" s="1102" t="n"/>
      <c r="L89" s="39" t="n"/>
      <c r="M89" s="69" t="n"/>
      <c r="N89" s="1102" t="n"/>
      <c r="O89" s="39" t="n"/>
      <c r="P89" s="69" t="n"/>
      <c r="Q89" s="1102" t="n"/>
      <c r="R89" s="39" t="n"/>
      <c r="S89" s="69" t="n"/>
      <c r="T89" s="1102" t="n"/>
      <c r="U89" s="39" t="n"/>
      <c r="V89" s="69" t="n"/>
      <c r="W89" s="1102" t="n"/>
      <c r="X89" s="39" t="n"/>
      <c r="Y89" s="69" t="n"/>
      <c r="Z89" s="1102" t="n"/>
      <c r="AA89" s="39" t="n"/>
      <c r="AB89" s="69" t="n"/>
      <c r="AC89" s="1102" t="n"/>
      <c r="AD89" s="39" t="n"/>
      <c r="AE89" s="69" t="n"/>
      <c r="AF89" s="1102" t="n"/>
      <c r="AG89" s="39" t="n"/>
      <c r="AH89" s="69" t="n"/>
      <c r="AI89" s="1102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07" t="n"/>
    </row>
    <row r="90" outlineLevel="1" ht="15" customHeight="1" s="1016">
      <c r="A90" s="742" t="n"/>
      <c r="B90" s="415" t="inlineStr">
        <is>
          <t>Asesoría Tecnica</t>
        </is>
      </c>
      <c r="C90" s="83" t="n"/>
      <c r="D90" s="84" t="n"/>
      <c r="E90" s="1072" t="n"/>
      <c r="F90" s="83" t="n"/>
      <c r="G90" s="84" t="n"/>
      <c r="H90" s="1072" t="n"/>
      <c r="I90" s="83" t="n">
        <v>241842440</v>
      </c>
      <c r="J90" s="84" t="n"/>
      <c r="K90" s="1072" t="n"/>
      <c r="L90" s="83" t="n"/>
      <c r="M90" s="84" t="n"/>
      <c r="N90" s="1072" t="n"/>
      <c r="O90" s="83" t="n"/>
      <c r="P90" s="84" t="n"/>
      <c r="Q90" s="1072" t="n"/>
      <c r="R90" s="83" t="n"/>
      <c r="S90" s="84" t="n"/>
      <c r="T90" s="1072" t="n"/>
      <c r="U90" s="83" t="n"/>
      <c r="V90" s="84" t="n"/>
      <c r="W90" s="1072" t="n"/>
      <c r="X90" s="83" t="n"/>
      <c r="Y90" s="84" t="n"/>
      <c r="Z90" s="1072" t="n"/>
      <c r="AA90" s="83" t="n"/>
      <c r="AB90" s="84" t="n"/>
      <c r="AC90" s="1072" t="n"/>
      <c r="AD90" s="83" t="n"/>
      <c r="AE90" s="84" t="n"/>
      <c r="AF90" s="1072" t="n"/>
      <c r="AG90" s="83" t="n"/>
      <c r="AH90" s="84" t="n"/>
      <c r="AI90" s="1072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73" t="n"/>
    </row>
    <row r="91" ht="15" customHeight="1" s="1016">
      <c r="A91" s="742" t="n"/>
      <c r="B91" s="987" t="inlineStr">
        <is>
          <t>ARRENDAMIENTOS</t>
        </is>
      </c>
      <c r="C91" s="90">
        <f>SUM(C92:C94)</f>
        <v/>
      </c>
      <c r="D91" s="3" t="n"/>
      <c r="E91" s="1078" t="n"/>
      <c r="F91" s="90">
        <f>SUM(F92:F94)</f>
        <v/>
      </c>
      <c r="G91" s="3" t="n"/>
      <c r="H91" s="1078">
        <f>F91/(F$13)</f>
        <v/>
      </c>
      <c r="I91" s="90">
        <f>SUM(I92:I94)</f>
        <v/>
      </c>
      <c r="J91" s="3" t="n"/>
      <c r="K91" s="1078" t="n"/>
      <c r="L91" s="49">
        <f>SUM(L92:L94)</f>
        <v/>
      </c>
      <c r="M91" s="3" t="n"/>
      <c r="N91" s="1078">
        <f>L91/(L$13)</f>
        <v/>
      </c>
      <c r="O91" s="49">
        <f>SUM(O92:O94)</f>
        <v/>
      </c>
      <c r="P91" s="3" t="n"/>
      <c r="Q91" s="1078" t="n"/>
      <c r="R91" s="49">
        <f>SUM(R92:R94)</f>
        <v/>
      </c>
      <c r="S91" s="3" t="n"/>
      <c r="T91" s="1078" t="n"/>
      <c r="U91" s="49">
        <f>SUM(U92:U94)</f>
        <v/>
      </c>
      <c r="V91" s="3" t="n"/>
      <c r="W91" s="1078">
        <f>U91/(U$13)</f>
        <v/>
      </c>
      <c r="X91" s="49">
        <f>SUM(X92:X94)</f>
        <v/>
      </c>
      <c r="Y91" s="3" t="n"/>
      <c r="Z91" s="1078">
        <f>X91/(X$13)</f>
        <v/>
      </c>
      <c r="AA91" s="49">
        <f>SUM(AA92:AA94)</f>
        <v/>
      </c>
      <c r="AB91" s="3" t="n"/>
      <c r="AC91" s="1078">
        <f>AA91/(AA$13)</f>
        <v/>
      </c>
      <c r="AD91" s="49">
        <f>SUM(AD92:AD94)</f>
        <v/>
      </c>
      <c r="AE91" s="3" t="n"/>
      <c r="AF91" s="1078">
        <f>AD91/(AD$13)</f>
        <v/>
      </c>
      <c r="AG91" s="49">
        <f>SUM(AG92:AG94)</f>
        <v/>
      </c>
      <c r="AH91" s="3" t="n"/>
      <c r="AI91" s="1078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01">
        <f>AM91/(AM$13)</f>
        <v/>
      </c>
    </row>
    <row r="92" outlineLevel="1" ht="15" customHeight="1" s="1016">
      <c r="A92" s="742" t="n"/>
      <c r="B92" s="997" t="inlineStr">
        <is>
          <t>Construcciones y Edificaciones</t>
        </is>
      </c>
      <c r="C92" s="39" t="n"/>
      <c r="D92" s="69" t="n"/>
      <c r="E92" s="1102" t="n"/>
      <c r="F92" s="39" t="n"/>
      <c r="G92" s="69" t="n"/>
      <c r="H92" s="1102" t="n"/>
      <c r="I92" s="39" t="n">
        <v>241842440</v>
      </c>
      <c r="J92" s="69" t="n"/>
      <c r="K92" s="1102" t="n"/>
      <c r="L92" s="39" t="n"/>
      <c r="M92" s="69" t="n"/>
      <c r="N92" s="1102" t="n"/>
      <c r="O92" s="39" t="n"/>
      <c r="P92" s="69" t="n"/>
      <c r="Q92" s="1102" t="n"/>
      <c r="R92" s="39" t="n"/>
      <c r="S92" s="69" t="n"/>
      <c r="T92" s="1102" t="n"/>
      <c r="U92" s="39" t="n"/>
      <c r="V92" s="69" t="n"/>
      <c r="W92" s="1102" t="n"/>
      <c r="X92" s="39" t="n"/>
      <c r="Y92" s="69" t="n"/>
      <c r="Z92" s="1102" t="n"/>
      <c r="AA92" s="39" t="n"/>
      <c r="AB92" s="69" t="n"/>
      <c r="AC92" s="1102" t="n"/>
      <c r="AD92" s="39" t="n"/>
      <c r="AE92" s="69" t="n"/>
      <c r="AF92" s="1102" t="n"/>
      <c r="AG92" s="39" t="n"/>
      <c r="AH92" s="69" t="n"/>
      <c r="AI92" s="1102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07" t="n"/>
    </row>
    <row r="93" outlineLevel="1" ht="15" customHeight="1" s="1016">
      <c r="A93" s="742" t="n"/>
      <c r="B93" s="431" t="inlineStr">
        <is>
          <t>Maquinaria y Equipo</t>
        </is>
      </c>
      <c r="C93" s="25" t="n"/>
      <c r="D93" s="43" t="n"/>
      <c r="E93" s="1070" t="n"/>
      <c r="F93" s="25" t="n"/>
      <c r="G93" s="43" t="n"/>
      <c r="H93" s="1070" t="n"/>
      <c r="I93" s="25" t="n">
        <v>241842440</v>
      </c>
      <c r="J93" s="43" t="n"/>
      <c r="K93" s="1070" t="n"/>
      <c r="L93" s="25" t="n"/>
      <c r="M93" s="43" t="n"/>
      <c r="N93" s="1070" t="n"/>
      <c r="O93" s="25" t="n"/>
      <c r="P93" s="43" t="n"/>
      <c r="Q93" s="1070" t="n"/>
      <c r="R93" s="25" t="n"/>
      <c r="S93" s="43" t="n"/>
      <c r="T93" s="1070" t="n"/>
      <c r="U93" s="25" t="n"/>
      <c r="V93" s="43" t="n"/>
      <c r="W93" s="1070" t="n"/>
      <c r="X93" s="25" t="n"/>
      <c r="Y93" s="43" t="n"/>
      <c r="Z93" s="1070" t="n"/>
      <c r="AA93" s="25" t="n"/>
      <c r="AB93" s="43" t="n"/>
      <c r="AC93" s="1070" t="n"/>
      <c r="AD93" s="25" t="n"/>
      <c r="AE93" s="43" t="n"/>
      <c r="AF93" s="1070" t="n"/>
      <c r="AG93" s="25" t="n"/>
      <c r="AH93" s="43" t="n"/>
      <c r="AI93" s="1070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71" t="n"/>
    </row>
    <row r="94" outlineLevel="1" ht="15" customHeight="1" s="1016">
      <c r="A94" s="742" t="n"/>
      <c r="B94" s="998" t="inlineStr">
        <is>
          <t>Equipo de Oficina</t>
        </is>
      </c>
      <c r="C94" s="28" t="n"/>
      <c r="D94" s="45" t="n"/>
      <c r="E94" s="1098" t="n"/>
      <c r="F94" s="28" t="n"/>
      <c r="G94" s="45" t="n"/>
      <c r="H94" s="1098" t="n"/>
      <c r="I94" s="28" t="n">
        <v>241842440</v>
      </c>
      <c r="J94" s="45" t="n"/>
      <c r="K94" s="1098" t="n"/>
      <c r="L94" s="28" t="n"/>
      <c r="M94" s="45" t="n"/>
      <c r="N94" s="1098" t="n"/>
      <c r="O94" s="28" t="n"/>
      <c r="P94" s="45" t="n"/>
      <c r="Q94" s="1098" t="n"/>
      <c r="R94" s="28" t="n"/>
      <c r="S94" s="45" t="n"/>
      <c r="T94" s="1098" t="n"/>
      <c r="U94" s="28" t="n"/>
      <c r="V94" s="45" t="n"/>
      <c r="W94" s="1098" t="n"/>
      <c r="X94" s="28" t="n"/>
      <c r="Y94" s="45" t="n"/>
      <c r="Z94" s="1098" t="n"/>
      <c r="AA94" s="28" t="n"/>
      <c r="AB94" s="45" t="n"/>
      <c r="AC94" s="1098" t="n"/>
      <c r="AD94" s="28" t="n"/>
      <c r="AE94" s="45" t="n"/>
      <c r="AF94" s="1098" t="n"/>
      <c r="AG94" s="28" t="n"/>
      <c r="AH94" s="45" t="n"/>
      <c r="AI94" s="1098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08" t="n"/>
    </row>
    <row r="95" ht="15" customHeight="1" s="1016">
      <c r="A95" s="742" t="n"/>
      <c r="B95" s="999" t="inlineStr">
        <is>
          <t>SEGUROS</t>
        </is>
      </c>
      <c r="C95" s="90">
        <f>SUM(C96:C97)</f>
        <v/>
      </c>
      <c r="D95" s="3" t="n"/>
      <c r="E95" s="1078" t="n"/>
      <c r="F95" s="90">
        <f>SUM(F96:F97)</f>
        <v/>
      </c>
      <c r="G95" s="3" t="n"/>
      <c r="H95" s="1078">
        <f>F95/(F$13)</f>
        <v/>
      </c>
      <c r="I95" s="90">
        <f>SUM(I96:I97)</f>
        <v/>
      </c>
      <c r="J95" s="3" t="n"/>
      <c r="K95" s="1078" t="n"/>
      <c r="L95" s="49">
        <f>SUM(L96:L97)</f>
        <v/>
      </c>
      <c r="M95" s="3" t="n"/>
      <c r="N95" s="1078">
        <f>L95/(L$13)</f>
        <v/>
      </c>
      <c r="O95" s="49">
        <f>SUM(O96:O97)</f>
        <v/>
      </c>
      <c r="P95" s="3" t="n"/>
      <c r="Q95" s="1078" t="n"/>
      <c r="R95" s="49">
        <f>SUM(R96:R97)</f>
        <v/>
      </c>
      <c r="S95" s="3" t="n"/>
      <c r="T95" s="1078" t="n"/>
      <c r="U95" s="49">
        <f>SUM(U96:U97)</f>
        <v/>
      </c>
      <c r="V95" s="3" t="n"/>
      <c r="W95" s="1078">
        <f>U95/(U$13)</f>
        <v/>
      </c>
      <c r="X95" s="49">
        <f>SUM(X96:X97)</f>
        <v/>
      </c>
      <c r="Y95" s="3" t="n"/>
      <c r="Z95" s="1078">
        <f>X95/(X$13)</f>
        <v/>
      </c>
      <c r="AA95" s="49">
        <f>SUM(AA96:AA97)</f>
        <v/>
      </c>
      <c r="AB95" s="3" t="n"/>
      <c r="AC95" s="1078">
        <f>AA95/(AA$13)</f>
        <v/>
      </c>
      <c r="AD95" s="49">
        <f>SUM(AD96:AD97)</f>
        <v/>
      </c>
      <c r="AE95" s="3" t="n"/>
      <c r="AF95" s="1078">
        <f>AD95/(AD$13)</f>
        <v/>
      </c>
      <c r="AG95" s="49">
        <f>SUM(AG96:AG97)</f>
        <v/>
      </c>
      <c r="AH95" s="3" t="n"/>
      <c r="AI95" s="1078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01">
        <f>AM95/(AM$13)</f>
        <v/>
      </c>
    </row>
    <row r="96" outlineLevel="1" ht="15" customFormat="1" customHeight="1" s="108">
      <c r="A96" s="742" t="n"/>
      <c r="B96" s="997" t="inlineStr">
        <is>
          <t xml:space="preserve">Cumplimiento </t>
        </is>
      </c>
      <c r="C96" s="39" t="n"/>
      <c r="D96" s="69" t="n"/>
      <c r="E96" s="1102" t="n"/>
      <c r="F96" s="39" t="n"/>
      <c r="G96" s="69" t="n"/>
      <c r="H96" s="1102" t="n"/>
      <c r="I96" s="39" t="n">
        <v>241842440</v>
      </c>
      <c r="J96" s="69" t="n"/>
      <c r="K96" s="1102" t="n"/>
      <c r="L96" s="39" t="n"/>
      <c r="M96" s="69" t="n"/>
      <c r="N96" s="1102" t="n"/>
      <c r="O96" s="39" t="n"/>
      <c r="P96" s="69" t="n"/>
      <c r="Q96" s="1102" t="n"/>
      <c r="R96" s="39" t="n"/>
      <c r="S96" s="69" t="n"/>
      <c r="T96" s="1102" t="n"/>
      <c r="U96" s="39" t="n"/>
      <c r="V96" s="69" t="n"/>
      <c r="W96" s="1102" t="n"/>
      <c r="X96" s="39" t="n"/>
      <c r="Y96" s="69" t="n"/>
      <c r="Z96" s="1102" t="n"/>
      <c r="AA96" s="39" t="n"/>
      <c r="AB96" s="69" t="n"/>
      <c r="AC96" s="1102" t="n"/>
      <c r="AD96" s="39" t="n"/>
      <c r="AE96" s="69" t="n"/>
      <c r="AF96" s="1102" t="n"/>
      <c r="AG96" s="39" t="n"/>
      <c r="AH96" s="69" t="n"/>
      <c r="AI96" s="1102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07" t="n"/>
    </row>
    <row r="97" outlineLevel="1" ht="15" customFormat="1" customHeight="1" s="108">
      <c r="A97" s="742" t="n"/>
      <c r="B97" s="1000" t="inlineStr">
        <is>
          <t>Respomsabilidad Civil Y Extracontractual</t>
        </is>
      </c>
      <c r="C97" s="275" t="n"/>
      <c r="D97" s="276" t="n"/>
      <c r="E97" s="1109" t="n"/>
      <c r="F97" s="275" t="n"/>
      <c r="G97" s="276" t="n"/>
      <c r="H97" s="1109" t="n"/>
      <c r="I97" s="275" t="n">
        <v>241842440</v>
      </c>
      <c r="J97" s="276" t="n"/>
      <c r="K97" s="1109" t="n"/>
      <c r="L97" s="275" t="n"/>
      <c r="M97" s="276" t="n"/>
      <c r="N97" s="1109" t="n"/>
      <c r="O97" s="275" t="n"/>
      <c r="P97" s="276" t="n"/>
      <c r="Q97" s="1109" t="n"/>
      <c r="R97" s="275" t="n"/>
      <c r="S97" s="276" t="n"/>
      <c r="T97" s="1109" t="n"/>
      <c r="U97" s="275" t="n"/>
      <c r="V97" s="276" t="n"/>
      <c r="W97" s="1109" t="n"/>
      <c r="X97" s="275" t="n"/>
      <c r="Y97" s="276" t="n"/>
      <c r="Z97" s="1109" t="n"/>
      <c r="AA97" s="275" t="n"/>
      <c r="AB97" s="276" t="n"/>
      <c r="AC97" s="1109" t="n"/>
      <c r="AD97" s="275" t="n"/>
      <c r="AE97" s="276" t="n"/>
      <c r="AF97" s="1109" t="n"/>
      <c r="AG97" s="275" t="n"/>
      <c r="AH97" s="276" t="n"/>
      <c r="AI97" s="1109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10" t="n"/>
    </row>
    <row r="98" ht="15" customHeight="1" s="1016">
      <c r="A98" s="742" t="n"/>
      <c r="B98" s="987" t="inlineStr">
        <is>
          <t>SERVICIOS</t>
        </is>
      </c>
      <c r="C98" s="90">
        <f>SUM(C99:C107)</f>
        <v/>
      </c>
      <c r="D98" s="3" t="n"/>
      <c r="E98" s="1078" t="n"/>
      <c r="F98" s="90">
        <f>SUM(F99:F107)</f>
        <v/>
      </c>
      <c r="G98" s="3" t="n"/>
      <c r="H98" s="1078">
        <f>F98/(F$13)</f>
        <v/>
      </c>
      <c r="I98" s="90">
        <f>SUM(I99:I107)</f>
        <v/>
      </c>
      <c r="J98" s="3" t="n"/>
      <c r="K98" s="1078" t="n"/>
      <c r="L98" s="49">
        <f>SUM(L99:L107)</f>
        <v/>
      </c>
      <c r="M98" s="3" t="n"/>
      <c r="N98" s="1078">
        <f>L98/(L$13)</f>
        <v/>
      </c>
      <c r="O98" s="49">
        <f>SUM(O99:O107)</f>
        <v/>
      </c>
      <c r="P98" s="3" t="n"/>
      <c r="Q98" s="1078" t="n"/>
      <c r="R98" s="49">
        <f>SUM(R99:R107)</f>
        <v/>
      </c>
      <c r="S98" s="3" t="n"/>
      <c r="T98" s="1078" t="n"/>
      <c r="U98" s="49">
        <f>SUM(U99:U107)</f>
        <v/>
      </c>
      <c r="V98" s="3" t="n"/>
      <c r="W98" s="1078">
        <f>U98/(U$13)</f>
        <v/>
      </c>
      <c r="X98" s="49">
        <f>SUM(X99:X107)</f>
        <v/>
      </c>
      <c r="Y98" s="3" t="n"/>
      <c r="Z98" s="1078">
        <f>X98/(X$13)</f>
        <v/>
      </c>
      <c r="AA98" s="49">
        <f>SUM(AA99:AA107)</f>
        <v/>
      </c>
      <c r="AB98" s="3" t="n"/>
      <c r="AC98" s="1078">
        <f>AA98/(AA$13)</f>
        <v/>
      </c>
      <c r="AD98" s="49">
        <f>SUM(AD99:AD107)</f>
        <v/>
      </c>
      <c r="AE98" s="3" t="n"/>
      <c r="AF98" s="1078">
        <f>AD98/(AD$13)</f>
        <v/>
      </c>
      <c r="AG98" s="49">
        <f>SUM(AG99:AG107)</f>
        <v/>
      </c>
      <c r="AH98" s="3" t="n"/>
      <c r="AI98" s="1078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01">
        <f>AM98/(AM$13)</f>
        <v/>
      </c>
    </row>
    <row r="99" outlineLevel="1" ht="15" customHeight="1" s="1016">
      <c r="A99" s="742" t="n"/>
      <c r="B99" s="997" t="inlineStr">
        <is>
          <t>Aseo y Vigilancia</t>
        </is>
      </c>
      <c r="C99" s="39" t="n"/>
      <c r="D99" s="69" t="n"/>
      <c r="E99" s="1102" t="n"/>
      <c r="F99" s="39" t="n"/>
      <c r="G99" s="69" t="n"/>
      <c r="H99" s="1102" t="n"/>
      <c r="I99" s="39" t="n">
        <v>241842440</v>
      </c>
      <c r="J99" s="69" t="n"/>
      <c r="K99" s="1102" t="n"/>
      <c r="L99" s="39" t="n"/>
      <c r="M99" s="69" t="n"/>
      <c r="N99" s="1102" t="n"/>
      <c r="O99" s="39" t="n"/>
      <c r="P99" s="69" t="n"/>
      <c r="Q99" s="1102" t="n"/>
      <c r="R99" s="39" t="n"/>
      <c r="S99" s="69" t="n"/>
      <c r="T99" s="1102" t="n"/>
      <c r="U99" s="39" t="n"/>
      <c r="V99" s="69" t="n"/>
      <c r="W99" s="1102" t="n"/>
      <c r="X99" s="39" t="n"/>
      <c r="Y99" s="69" t="n"/>
      <c r="Z99" s="1102" t="n"/>
      <c r="AA99" s="39" t="n"/>
      <c r="AB99" s="69" t="n"/>
      <c r="AC99" s="1102" t="n"/>
      <c r="AD99" s="39" t="n"/>
      <c r="AE99" s="69" t="n"/>
      <c r="AF99" s="1102" t="n"/>
      <c r="AG99" s="39" t="n"/>
      <c r="AH99" s="69" t="n"/>
      <c r="AI99" s="1102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07" t="n"/>
    </row>
    <row r="100" outlineLevel="1" ht="15" customHeight="1" s="1016">
      <c r="A100" s="742" t="n"/>
      <c r="B100" s="431" t="inlineStr">
        <is>
          <t>Temporales</t>
        </is>
      </c>
      <c r="C100" s="25" t="n"/>
      <c r="D100" s="43" t="n"/>
      <c r="E100" s="1070" t="n"/>
      <c r="F100" s="25" t="n"/>
      <c r="G100" s="43" t="n"/>
      <c r="H100" s="1070" t="n"/>
      <c r="I100" s="25" t="n">
        <v>241842440</v>
      </c>
      <c r="J100" s="43" t="n"/>
      <c r="K100" s="1070" t="n"/>
      <c r="L100" s="25" t="n"/>
      <c r="M100" s="43" t="n"/>
      <c r="N100" s="1070" t="n"/>
      <c r="O100" s="25" t="n"/>
      <c r="P100" s="43" t="n"/>
      <c r="Q100" s="1070" t="n"/>
      <c r="R100" s="25" t="n"/>
      <c r="S100" s="43" t="n"/>
      <c r="T100" s="1070" t="n"/>
      <c r="U100" s="25" t="n"/>
      <c r="V100" s="43" t="n"/>
      <c r="W100" s="1070" t="n"/>
      <c r="X100" s="25" t="n"/>
      <c r="Y100" s="43" t="n"/>
      <c r="Z100" s="1070" t="n"/>
      <c r="AA100" s="25" t="n"/>
      <c r="AB100" s="43" t="n"/>
      <c r="AC100" s="1070" t="n"/>
      <c r="AD100" s="25" t="n"/>
      <c r="AE100" s="43" t="n"/>
      <c r="AF100" s="1070" t="n"/>
      <c r="AG100" s="25" t="n"/>
      <c r="AH100" s="43" t="n"/>
      <c r="AI100" s="1070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71" t="n"/>
    </row>
    <row r="101" outlineLevel="1" ht="15" customHeight="1" s="1016">
      <c r="A101" s="742" t="n"/>
      <c r="B101" s="431" t="inlineStr">
        <is>
          <t>Mensajeria</t>
        </is>
      </c>
      <c r="C101" s="25" t="n"/>
      <c r="D101" s="43" t="n"/>
      <c r="E101" s="1070" t="n"/>
      <c r="F101" s="25" t="n"/>
      <c r="G101" s="43" t="n"/>
      <c r="H101" s="1070" t="n"/>
      <c r="I101" s="25" t="n">
        <v>241842440</v>
      </c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A102" s="742" t="n"/>
      <c r="B102" s="431" t="inlineStr">
        <is>
          <t>Laboratorio</t>
        </is>
      </c>
      <c r="C102" s="25" t="n"/>
      <c r="D102" s="43" t="n"/>
      <c r="E102" s="1070" t="n"/>
      <c r="F102" s="25" t="n"/>
      <c r="G102" s="43" t="n"/>
      <c r="H102" s="1070" t="n"/>
      <c r="I102" s="25" t="n">
        <v>241842440</v>
      </c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A103" s="742" t="n"/>
      <c r="B103" s="431" t="inlineStr">
        <is>
          <t>Fumigacion</t>
        </is>
      </c>
      <c r="C103" s="25" t="n"/>
      <c r="D103" s="43" t="n"/>
      <c r="E103" s="1070" t="n"/>
      <c r="F103" s="25" t="n"/>
      <c r="G103" s="43" t="n"/>
      <c r="H103" s="1070" t="n"/>
      <c r="I103" s="25" t="n">
        <v>241842440</v>
      </c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A104" s="742" t="n"/>
      <c r="B104" s="431" t="inlineStr">
        <is>
          <t>Acueducto y Alcantarillado</t>
        </is>
      </c>
      <c r="C104" s="25" t="n"/>
      <c r="D104" s="43" t="n"/>
      <c r="E104" s="1070" t="n"/>
      <c r="F104" s="25" t="n"/>
      <c r="G104" s="43" t="n"/>
      <c r="H104" s="1070" t="n"/>
      <c r="I104" s="25" t="n">
        <v>241842440</v>
      </c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A105" s="742" t="n"/>
      <c r="B105" s="431" t="inlineStr">
        <is>
          <t>Energia</t>
        </is>
      </c>
      <c r="C105" s="25" t="n"/>
      <c r="D105" s="43" t="n"/>
      <c r="E105" s="1070" t="n"/>
      <c r="F105" s="25" t="n"/>
      <c r="G105" s="43" t="n"/>
      <c r="H105" s="1070" t="n"/>
      <c r="I105" s="25" t="n">
        <v>241842440</v>
      </c>
      <c r="J105" s="43" t="n"/>
      <c r="K105" s="1070" t="n"/>
      <c r="L105" s="274" t="n"/>
      <c r="M105" s="43" t="n"/>
      <c r="N105" s="1070" t="n"/>
      <c r="O105" s="274" t="n"/>
      <c r="P105" s="43" t="n"/>
      <c r="Q105" s="1070" t="n"/>
      <c r="R105" s="274" t="n"/>
      <c r="S105" s="43" t="n"/>
      <c r="T105" s="1070" t="n"/>
      <c r="U105" s="274" t="n"/>
      <c r="V105" s="43" t="n"/>
      <c r="W105" s="1070" t="n"/>
      <c r="X105" s="274" t="n"/>
      <c r="Y105" s="43" t="n"/>
      <c r="Z105" s="1070" t="n"/>
      <c r="AA105" s="274" t="n"/>
      <c r="AB105" s="43" t="n"/>
      <c r="AC105" s="1070" t="n"/>
      <c r="AD105" s="282" t="n"/>
      <c r="AE105" s="43" t="n"/>
      <c r="AF105" s="1070" t="n"/>
      <c r="AG105" s="283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A106" s="742" t="n"/>
      <c r="B106" s="1001" t="inlineStr">
        <is>
          <t>Telefono e Internet</t>
        </is>
      </c>
      <c r="C106" s="25" t="n"/>
      <c r="D106" s="43" t="n"/>
      <c r="E106" s="1070" t="n"/>
      <c r="F106" s="25" t="n"/>
      <c r="G106" s="43" t="n"/>
      <c r="H106" s="1070" t="n"/>
      <c r="I106" s="25" t="n">
        <v>241842440</v>
      </c>
      <c r="J106" s="43" t="n"/>
      <c r="K106" s="1070" t="n"/>
      <c r="L106" s="274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A107" s="742" t="n"/>
      <c r="B107" s="990" t="inlineStr">
        <is>
          <t>Correo, porte y telegramas</t>
        </is>
      </c>
      <c r="C107" s="108" t="n"/>
      <c r="D107" s="42" t="n"/>
      <c r="E107" s="1082" t="n"/>
      <c r="F107" s="108" t="n"/>
      <c r="G107" s="42" t="n"/>
      <c r="H107" s="1082" t="n"/>
      <c r="I107" s="108" t="n">
        <v>241842440</v>
      </c>
      <c r="J107" s="42" t="n"/>
      <c r="K107" s="1082" t="n"/>
      <c r="L107" s="2" t="n"/>
      <c r="M107" s="42" t="n"/>
      <c r="N107" s="1082" t="n"/>
      <c r="O107" s="2" t="n"/>
      <c r="P107" s="42" t="n"/>
      <c r="Q107" s="1082" t="n"/>
      <c r="R107" s="2" t="n"/>
      <c r="S107" s="42" t="n"/>
      <c r="T107" s="1082" t="n"/>
      <c r="U107" s="2" t="n"/>
      <c r="V107" s="42" t="n"/>
      <c r="W107" s="1082" t="n"/>
      <c r="X107" s="2" t="n"/>
      <c r="Y107" s="42" t="n"/>
      <c r="Z107" s="1082" t="n"/>
      <c r="AA107" s="2" t="n"/>
      <c r="AB107" s="42" t="n"/>
      <c r="AC107" s="1082" t="n"/>
      <c r="AD107" s="2" t="n"/>
      <c r="AE107" s="42" t="n"/>
      <c r="AF107" s="1082" t="n"/>
      <c r="AG107" s="28" t="n"/>
      <c r="AH107" s="42" t="n"/>
      <c r="AI107" s="1082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083" t="n"/>
    </row>
    <row r="108" ht="15" customHeight="1" s="1016">
      <c r="A108" s="742" t="n"/>
      <c r="B108" s="987" t="inlineStr">
        <is>
          <t>GASTOS LEGALES</t>
        </is>
      </c>
      <c r="C108" s="90">
        <f>SUM(C109:C112)</f>
        <v/>
      </c>
      <c r="D108" s="3" t="n"/>
      <c r="E108" s="1078" t="n"/>
      <c r="F108" s="90">
        <f>SUM(F109:F112)</f>
        <v/>
      </c>
      <c r="G108" s="3" t="n"/>
      <c r="H108" s="1078">
        <f>F108/(F$13)</f>
        <v/>
      </c>
      <c r="I108" s="90">
        <f>SUM(I109:I112)</f>
        <v/>
      </c>
      <c r="J108" s="3" t="n"/>
      <c r="K108" s="1078" t="n"/>
      <c r="L108" s="49">
        <f>SUM(L109:L112)</f>
        <v/>
      </c>
      <c r="M108" s="3" t="n"/>
      <c r="N108" s="1078">
        <f>L108/(L$13)</f>
        <v/>
      </c>
      <c r="O108" s="49">
        <f>SUM(O109:O112)</f>
        <v/>
      </c>
      <c r="P108" s="3" t="n"/>
      <c r="Q108" s="1078" t="n"/>
      <c r="R108" s="49">
        <f>SUM(R109:R112)</f>
        <v/>
      </c>
      <c r="S108" s="3" t="n"/>
      <c r="T108" s="1078" t="n"/>
      <c r="U108" s="49">
        <f>SUM(U109:U112)</f>
        <v/>
      </c>
      <c r="V108" s="3" t="n"/>
      <c r="W108" s="1078">
        <f>U108/(U$13)</f>
        <v/>
      </c>
      <c r="X108" s="49">
        <f>SUM(X109:X112)</f>
        <v/>
      </c>
      <c r="Y108" s="3" t="n"/>
      <c r="Z108" s="1078">
        <f>X108/(X$13)</f>
        <v/>
      </c>
      <c r="AA108" s="49">
        <f>SUM(AA109:AA112)</f>
        <v/>
      </c>
      <c r="AB108" s="3" t="n"/>
      <c r="AC108" s="1078">
        <f>AA108/(AA$13)</f>
        <v/>
      </c>
      <c r="AD108" s="49">
        <f>SUM(AD109:AD112)</f>
        <v/>
      </c>
      <c r="AE108" s="3" t="n"/>
      <c r="AF108" s="1078">
        <f>AD108/(AD$13)</f>
        <v/>
      </c>
      <c r="AG108" s="49">
        <f>SUM(AG109:AG112)</f>
        <v/>
      </c>
      <c r="AH108" s="3" t="n"/>
      <c r="AI108" s="1078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01">
        <f>AM108/(AM$13)</f>
        <v/>
      </c>
    </row>
    <row r="109" outlineLevel="1" ht="15" customHeight="1" s="1016">
      <c r="A109" s="742" t="n"/>
      <c r="B109" s="997" t="inlineStr">
        <is>
          <t>Notariales</t>
        </is>
      </c>
      <c r="C109" s="39" t="n"/>
      <c r="D109" s="69" t="n"/>
      <c r="E109" s="1102" t="n"/>
      <c r="F109" s="39" t="n"/>
      <c r="G109" s="69" t="n"/>
      <c r="H109" s="1102" t="n"/>
      <c r="I109" s="39" t="n">
        <v>241842440</v>
      </c>
      <c r="J109" s="69" t="n"/>
      <c r="K109" s="1102" t="n"/>
      <c r="L109" s="39" t="n"/>
      <c r="M109" s="69" t="n"/>
      <c r="N109" s="1102" t="n"/>
      <c r="O109" s="39" t="n"/>
      <c r="P109" s="69" t="n"/>
      <c r="Q109" s="1102" t="n"/>
      <c r="R109" s="39" t="n"/>
      <c r="S109" s="69" t="n"/>
      <c r="T109" s="1102" t="n"/>
      <c r="U109" s="39" t="n"/>
      <c r="V109" s="69" t="n"/>
      <c r="W109" s="1102" t="n"/>
      <c r="X109" s="39" t="n"/>
      <c r="Y109" s="69" t="n"/>
      <c r="Z109" s="1102" t="n"/>
      <c r="AA109" s="39" t="n"/>
      <c r="AB109" s="69" t="n"/>
      <c r="AC109" s="1102" t="n"/>
      <c r="AD109" s="39" t="n"/>
      <c r="AE109" s="69" t="n"/>
      <c r="AF109" s="1102" t="n"/>
      <c r="AG109" s="39" t="n"/>
      <c r="AH109" s="69" t="n"/>
      <c r="AI109" s="1102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07" t="n"/>
    </row>
    <row r="110" outlineLevel="1" ht="15" customHeight="1" s="1016">
      <c r="A110" s="742" t="n"/>
      <c r="B110" s="431" t="inlineStr">
        <is>
          <t>Registro Mercantil</t>
        </is>
      </c>
      <c r="C110" s="25" t="n"/>
      <c r="D110" s="43" t="n"/>
      <c r="E110" s="1070" t="n"/>
      <c r="F110" s="25" t="n"/>
      <c r="G110" s="43" t="n"/>
      <c r="H110" s="1070" t="n"/>
      <c r="I110" s="25" t="n">
        <v>241842440</v>
      </c>
      <c r="J110" s="43" t="n"/>
      <c r="K110" s="1070" t="n"/>
      <c r="L110" s="25" t="n"/>
      <c r="M110" s="43" t="n"/>
      <c r="N110" s="1070" t="n"/>
      <c r="O110" s="25" t="n"/>
      <c r="P110" s="43" t="n"/>
      <c r="Q110" s="1070" t="n"/>
      <c r="R110" s="25" t="n"/>
      <c r="S110" s="43" t="n"/>
      <c r="T110" s="1070" t="n"/>
      <c r="U110" s="25" t="n"/>
      <c r="V110" s="43" t="n"/>
      <c r="W110" s="1070" t="n"/>
      <c r="X110" s="25" t="n"/>
      <c r="Y110" s="43" t="n"/>
      <c r="Z110" s="1070" t="n"/>
      <c r="AA110" s="25" t="n"/>
      <c r="AB110" s="43" t="n"/>
      <c r="AC110" s="1070" t="n"/>
      <c r="AD110" s="25" t="n"/>
      <c r="AE110" s="43" t="n"/>
      <c r="AF110" s="1070" t="n"/>
      <c r="AG110" s="25" t="n"/>
      <c r="AH110" s="43" t="n"/>
      <c r="AI110" s="1070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71" t="n"/>
    </row>
    <row r="111" outlineLevel="1" ht="15" customHeight="1" s="1016">
      <c r="A111" s="742" t="n"/>
      <c r="B111" s="431" t="inlineStr">
        <is>
          <t>Trámites y Licencias</t>
        </is>
      </c>
      <c r="C111" s="25" t="n"/>
      <c r="D111" s="43" t="n"/>
      <c r="E111" s="1070" t="n"/>
      <c r="F111" s="25" t="n"/>
      <c r="G111" s="43" t="n"/>
      <c r="H111" s="1070" t="n"/>
      <c r="I111" s="25" t="n">
        <v>241842440</v>
      </c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A112" s="742" t="n"/>
      <c r="B112" s="998" t="inlineStr">
        <is>
          <t xml:space="preserve">Certificados Camara Comercio        </t>
        </is>
      </c>
      <c r="C112" s="28" t="n"/>
      <c r="D112" s="45" t="n"/>
      <c r="E112" s="1098" t="n"/>
      <c r="F112" s="28" t="n"/>
      <c r="G112" s="45" t="n"/>
      <c r="H112" s="1098" t="n"/>
      <c r="I112" s="28" t="n">
        <v>241842440</v>
      </c>
      <c r="J112" s="45" t="n"/>
      <c r="K112" s="1098" t="n"/>
      <c r="L112" s="28" t="n"/>
      <c r="M112" s="45" t="n"/>
      <c r="N112" s="1098" t="n"/>
      <c r="O112" s="28" t="n"/>
      <c r="P112" s="45" t="n"/>
      <c r="Q112" s="1098" t="n"/>
      <c r="R112" s="28" t="n"/>
      <c r="S112" s="45" t="n"/>
      <c r="T112" s="1098" t="n"/>
      <c r="U112" s="28" t="n"/>
      <c r="V112" s="45" t="n"/>
      <c r="W112" s="1098" t="n"/>
      <c r="X112" s="28" t="n"/>
      <c r="Y112" s="45" t="n"/>
      <c r="Z112" s="1098" t="n"/>
      <c r="AA112" s="28" t="n"/>
      <c r="AB112" s="45" t="n"/>
      <c r="AC112" s="1098" t="n"/>
      <c r="AD112" s="28" t="n"/>
      <c r="AE112" s="45" t="n"/>
      <c r="AF112" s="1098" t="n"/>
      <c r="AG112" s="28" t="n"/>
      <c r="AH112" s="45" t="n"/>
      <c r="AI112" s="1098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08" t="n"/>
    </row>
    <row r="113" ht="15" customHeight="1" s="1016">
      <c r="A113" s="742" t="n"/>
      <c r="B113" s="987" t="inlineStr">
        <is>
          <t xml:space="preserve">MANTENIMIENTO Y REPARACIONES  </t>
        </is>
      </c>
      <c r="C113" s="90">
        <f>SUM(C114:C118)</f>
        <v/>
      </c>
      <c r="D113" s="3" t="n"/>
      <c r="E113" s="1078" t="n"/>
      <c r="F113" s="90">
        <f>SUM(F114:F118)</f>
        <v/>
      </c>
      <c r="G113" s="3" t="n"/>
      <c r="H113" s="1078">
        <f>F113/(F$13)</f>
        <v/>
      </c>
      <c r="I113" s="90">
        <f>SUM(I114:I118)</f>
        <v/>
      </c>
      <c r="J113" s="3" t="n"/>
      <c r="K113" s="1078" t="n"/>
      <c r="L113" s="49">
        <f>SUM(L114:L118)</f>
        <v/>
      </c>
      <c r="M113" s="3" t="n"/>
      <c r="N113" s="1078">
        <f>L113/(L$13)</f>
        <v/>
      </c>
      <c r="O113" s="49">
        <f>SUM(O114:O115)</f>
        <v/>
      </c>
      <c r="P113" s="3" t="n"/>
      <c r="Q113" s="1078" t="n"/>
      <c r="R113" s="49">
        <f>SUM(R114:R118)</f>
        <v/>
      </c>
      <c r="S113" s="3" t="n"/>
      <c r="T113" s="1078" t="n"/>
      <c r="U113" s="49">
        <f>SUM(U114:U118)</f>
        <v/>
      </c>
      <c r="V113" s="3" t="n"/>
      <c r="W113" s="1078">
        <f>U113/(U$13)</f>
        <v/>
      </c>
      <c r="X113" s="49">
        <f>SUM(X114:X115)</f>
        <v/>
      </c>
      <c r="Y113" s="3" t="n"/>
      <c r="Z113" s="1078">
        <f>X113/(X$13)</f>
        <v/>
      </c>
      <c r="AA113" s="49">
        <f>SUM(AA114:AA118)</f>
        <v/>
      </c>
      <c r="AB113" s="3" t="n"/>
      <c r="AC113" s="1078">
        <f>AA113/(AA$13)</f>
        <v/>
      </c>
      <c r="AD113" s="49">
        <f>SUM(AD114:AD118)</f>
        <v/>
      </c>
      <c r="AE113" s="3" t="n"/>
      <c r="AF113" s="1078">
        <f>AD113/(AD$13)</f>
        <v/>
      </c>
      <c r="AG113" s="49">
        <f>SUM(AG114:AG118)</f>
        <v/>
      </c>
      <c r="AH113" s="3" t="n"/>
      <c r="AI113" s="1078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01">
        <f>AM113/(AM$13)</f>
        <v/>
      </c>
    </row>
    <row r="114" outlineLevel="1" ht="15" customHeight="1" s="1016">
      <c r="A114" s="742" t="n"/>
      <c r="B114" s="997" t="inlineStr">
        <is>
          <t xml:space="preserve">Construcciones y Edificaciones          </t>
        </is>
      </c>
      <c r="C114" s="39" t="n"/>
      <c r="D114" s="69" t="n"/>
      <c r="E114" s="1102" t="n"/>
      <c r="F114" s="39" t="n"/>
      <c r="G114" s="69" t="n"/>
      <c r="H114" s="1102" t="n"/>
      <c r="I114" s="39" t="n">
        <v>241842440</v>
      </c>
      <c r="J114" s="69" t="n"/>
      <c r="K114" s="1102" t="n"/>
      <c r="L114" s="39" t="n"/>
      <c r="M114" s="69" t="n"/>
      <c r="N114" s="1102" t="n"/>
      <c r="O114" s="39" t="n"/>
      <c r="P114" s="69" t="n"/>
      <c r="Q114" s="1102" t="n"/>
      <c r="R114" s="39" t="n"/>
      <c r="S114" s="69" t="n"/>
      <c r="T114" s="1102" t="n"/>
      <c r="U114" s="39" t="n"/>
      <c r="V114" s="69" t="n"/>
      <c r="W114" s="1102" t="n"/>
      <c r="X114" s="39" t="n"/>
      <c r="Y114" s="69" t="n"/>
      <c r="Z114" s="1102" t="n"/>
      <c r="AA114" s="39" t="n"/>
      <c r="AB114" s="69" t="n"/>
      <c r="AC114" s="1102" t="n"/>
      <c r="AD114" s="39" t="n"/>
      <c r="AE114" s="69" t="n"/>
      <c r="AF114" s="1102" t="n"/>
      <c r="AG114" s="39" t="n"/>
      <c r="AH114" s="69" t="n"/>
      <c r="AI114" s="1102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07" t="n"/>
    </row>
    <row r="115" outlineLevel="1" ht="15" customHeight="1" s="1016">
      <c r="A115" s="742" t="n"/>
      <c r="B115" s="431" t="inlineStr">
        <is>
          <t xml:space="preserve">Maquinaria y Equipo                     </t>
        </is>
      </c>
      <c r="C115" s="91" t="n"/>
      <c r="D115" s="43" t="n"/>
      <c r="E115" s="1070" t="n"/>
      <c r="F115" s="25" t="n"/>
      <c r="G115" s="43" t="n"/>
      <c r="H115" s="1070" t="n"/>
      <c r="I115" s="25" t="n">
        <v>241842440</v>
      </c>
      <c r="J115" s="43" t="n"/>
      <c r="K115" s="1070" t="n"/>
      <c r="L115" s="25" t="n"/>
      <c r="M115" s="43" t="n"/>
      <c r="N115" s="1070" t="n"/>
      <c r="O115" s="25" t="n"/>
      <c r="P115" s="43" t="n"/>
      <c r="Q115" s="1070" t="n"/>
      <c r="R115" s="25" t="n"/>
      <c r="S115" s="43" t="n"/>
      <c r="T115" s="1070" t="n"/>
      <c r="U115" s="25" t="n"/>
      <c r="V115" s="43" t="n"/>
      <c r="W115" s="1070" t="n"/>
      <c r="X115" s="25" t="n"/>
      <c r="Y115" s="43" t="n"/>
      <c r="Z115" s="1070" t="n"/>
      <c r="AA115" s="25" t="n"/>
      <c r="AB115" s="43" t="n"/>
      <c r="AC115" s="1070" t="n"/>
      <c r="AD115" s="25" t="n"/>
      <c r="AE115" s="43" t="n"/>
      <c r="AF115" s="1070" t="n"/>
      <c r="AG115" s="25" t="n"/>
      <c r="AH115" s="43" t="n"/>
      <c r="AI115" s="1070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71" t="n"/>
    </row>
    <row r="116" outlineLevel="1" ht="15" customHeight="1" s="1016">
      <c r="A116" s="742" t="inlineStr">
        <is>
          <t xml:space="preserve">73451502            </t>
        </is>
      </c>
      <c r="B116" s="1001" t="inlineStr">
        <is>
          <t>Equipos de Cocina</t>
        </is>
      </c>
      <c r="C116" s="25" t="n"/>
      <c r="D116" s="43" t="n"/>
      <c r="E116" s="1070" t="n"/>
      <c r="F116" s="25" t="n"/>
      <c r="G116" s="43" t="n"/>
      <c r="H116" s="1070" t="n"/>
      <c r="I116" s="205" t="n">
        <v>5705110</v>
      </c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742" t="n"/>
      <c r="B117" s="1001" t="inlineStr">
        <is>
          <t xml:space="preserve">Equipo de Oficina                       </t>
        </is>
      </c>
      <c r="C117" s="25" t="n"/>
      <c r="D117" s="43" t="n"/>
      <c r="E117" s="1070" t="n"/>
      <c r="F117" s="25" t="n"/>
      <c r="G117" s="43" t="n"/>
      <c r="H117" s="1070" t="n"/>
      <c r="I117" s="25" t="n">
        <v>241842440</v>
      </c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 thickBot="1">
      <c r="A118" s="742" t="n"/>
      <c r="B118" s="1002" t="inlineStr">
        <is>
          <t xml:space="preserve">Acueductos, planta y redes              </t>
        </is>
      </c>
      <c r="C118" s="71" t="n"/>
      <c r="D118" s="72" t="n"/>
      <c r="E118" s="1111" t="n"/>
      <c r="F118" s="71" t="n"/>
      <c r="G118" s="72" t="n"/>
      <c r="H118" s="1111" t="n"/>
      <c r="I118" s="71" t="n">
        <v>6422662</v>
      </c>
      <c r="J118" s="72" t="n"/>
      <c r="K118" s="1111" t="n"/>
      <c r="L118" s="71" t="n"/>
      <c r="M118" s="72" t="n"/>
      <c r="N118" s="1111" t="n"/>
      <c r="O118" s="71" t="n"/>
      <c r="P118" s="72" t="n"/>
      <c r="Q118" s="1111" t="n"/>
      <c r="R118" s="71" t="n"/>
      <c r="S118" s="72" t="n"/>
      <c r="T118" s="1111" t="n"/>
      <c r="U118" s="71" t="n"/>
      <c r="V118" s="72" t="n"/>
      <c r="W118" s="1111" t="n"/>
      <c r="X118" s="71" t="n"/>
      <c r="Y118" s="72" t="n"/>
      <c r="Z118" s="1111" t="n"/>
      <c r="AA118" s="71" t="n"/>
      <c r="AB118" s="72" t="n"/>
      <c r="AC118" s="1111" t="n"/>
      <c r="AD118" s="71" t="n"/>
      <c r="AE118" s="72" t="n"/>
      <c r="AF118" s="1111" t="n"/>
      <c r="AG118" s="71" t="n"/>
      <c r="AH118" s="72" t="n"/>
      <c r="AI118" s="1111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12" t="n"/>
    </row>
    <row r="119" ht="15" customHeight="1" s="1016" thickTop="1">
      <c r="A119" s="742" t="n"/>
      <c r="B119" s="1003" t="inlineStr">
        <is>
          <t>ADECUACIONES E INSTALACIONES</t>
        </is>
      </c>
      <c r="C119" s="385">
        <f>SUM(C120:C121)</f>
        <v/>
      </c>
      <c r="D119" s="383" t="n"/>
      <c r="E119" s="1113" t="n"/>
      <c r="F119" s="385">
        <f>SUM(F120)</f>
        <v/>
      </c>
      <c r="G119" s="383" t="n"/>
      <c r="H119" s="1113">
        <f>F119/(F$13)</f>
        <v/>
      </c>
      <c r="I119" s="385">
        <f>SUM(I120:I121)</f>
        <v/>
      </c>
      <c r="J119" s="383" t="n"/>
      <c r="K119" s="1113" t="n"/>
      <c r="L119" s="382">
        <f>SUM(L120:L121)</f>
        <v/>
      </c>
      <c r="M119" s="383" t="n"/>
      <c r="N119" s="1113">
        <f>L119/(L$13)</f>
        <v/>
      </c>
      <c r="O119" s="382">
        <f>SUM(O120)</f>
        <v/>
      </c>
      <c r="P119" s="383" t="n"/>
      <c r="Q119" s="1113" t="n"/>
      <c r="R119" s="382">
        <f>SUM(R120:R121)</f>
        <v/>
      </c>
      <c r="S119" s="383" t="n"/>
      <c r="T119" s="1113" t="n"/>
      <c r="U119" s="382">
        <f>SUM(U120:U121)</f>
        <v/>
      </c>
      <c r="V119" s="383" t="n"/>
      <c r="W119" s="1113">
        <f>U119/(U$13)</f>
        <v/>
      </c>
      <c r="X119" s="382">
        <f>SUM(X120:X121)</f>
        <v/>
      </c>
      <c r="Y119" s="383" t="n"/>
      <c r="Z119" s="1113">
        <f>X119/(X$13)</f>
        <v/>
      </c>
      <c r="AA119" s="382">
        <f>SUM(AA120)</f>
        <v/>
      </c>
      <c r="AB119" s="383" t="n"/>
      <c r="AC119" s="1113">
        <f>AA119/(AA$13)</f>
        <v/>
      </c>
      <c r="AD119" s="382">
        <f>SUM(AD120)</f>
        <v/>
      </c>
      <c r="AE119" s="383" t="n"/>
      <c r="AF119" s="1113">
        <f>AD119/(AD$13)</f>
        <v/>
      </c>
      <c r="AG119" s="382">
        <f>SUM(AG120)</f>
        <v/>
      </c>
      <c r="AH119" s="383" t="n"/>
      <c r="AI119" s="1113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14">
        <f>AM119/(AM$13)</f>
        <v/>
      </c>
    </row>
    <row r="120" ht="15" customHeight="1" s="1016">
      <c r="A120" s="742" t="n"/>
      <c r="B120" s="997" t="inlineStr">
        <is>
          <t>Instalaciones Electricas</t>
        </is>
      </c>
      <c r="C120" s="39" t="n"/>
      <c r="D120" s="69" t="n"/>
      <c r="E120" s="1102" t="n"/>
      <c r="F120" s="39" t="n"/>
      <c r="G120" s="69" t="n"/>
      <c r="H120" s="1102" t="n"/>
      <c r="I120" s="39" t="n">
        <v>6422662</v>
      </c>
      <c r="J120" s="69" t="n"/>
      <c r="K120" s="1102" t="n"/>
      <c r="L120" s="39" t="n"/>
      <c r="M120" s="69" t="n"/>
      <c r="N120" s="1102" t="n"/>
      <c r="O120" s="39" t="n"/>
      <c r="P120" s="69" t="n"/>
      <c r="Q120" s="1102" t="n"/>
      <c r="R120" s="39" t="n"/>
      <c r="S120" s="69" t="n"/>
      <c r="T120" s="1102" t="n"/>
      <c r="U120" s="39" t="n"/>
      <c r="V120" s="69" t="n"/>
      <c r="W120" s="1102" t="n"/>
      <c r="X120" s="39" t="n"/>
      <c r="Y120" s="69" t="n"/>
      <c r="Z120" s="1102" t="n"/>
      <c r="AA120" s="39" t="n"/>
      <c r="AB120" s="69" t="n"/>
      <c r="AC120" s="1102" t="n"/>
      <c r="AD120" s="39" t="n"/>
      <c r="AE120" s="69" t="n"/>
      <c r="AF120" s="1102" t="n"/>
      <c r="AG120" s="39" t="n"/>
      <c r="AH120" s="69" t="n"/>
      <c r="AI120" s="1102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07" t="n"/>
    </row>
    <row r="121" ht="15" customHeight="1" s="1016">
      <c r="A121" s="742" t="n"/>
      <c r="B121" s="992" t="inlineStr">
        <is>
          <t>Reparaciones Locativas</t>
        </is>
      </c>
      <c r="C121" s="91" t="n"/>
      <c r="D121" s="92" t="n"/>
      <c r="E121" s="1088" t="n"/>
      <c r="F121" s="91" t="n"/>
      <c r="G121" s="92" t="n"/>
      <c r="H121" s="1088" t="n"/>
      <c r="I121" s="91" t="n">
        <v>241842440</v>
      </c>
      <c r="J121" s="92" t="n"/>
      <c r="K121" s="1088" t="n"/>
      <c r="L121" s="91" t="n"/>
      <c r="M121" s="92" t="n"/>
      <c r="N121" s="1088" t="n"/>
      <c r="O121" s="91" t="n"/>
      <c r="P121" s="92" t="n"/>
      <c r="Q121" s="1088" t="n"/>
      <c r="R121" s="91" t="n"/>
      <c r="S121" s="92" t="n"/>
      <c r="T121" s="1088" t="n"/>
      <c r="U121" s="91" t="n"/>
      <c r="V121" s="92" t="n"/>
      <c r="W121" s="1088" t="n"/>
      <c r="X121" s="91" t="n"/>
      <c r="Y121" s="92" t="n"/>
      <c r="Z121" s="1088" t="n"/>
      <c r="AA121" s="91" t="n"/>
      <c r="AB121" s="92" t="n"/>
      <c r="AC121" s="1088" t="n"/>
      <c r="AD121" s="91" t="n"/>
      <c r="AE121" s="92" t="n"/>
      <c r="AF121" s="1088" t="n"/>
      <c r="AG121" s="91" t="n"/>
      <c r="AH121" s="92" t="n"/>
      <c r="AI121" s="1088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089" t="n"/>
    </row>
    <row r="122" ht="15" customHeight="1" s="1016">
      <c r="A122" s="742" t="n"/>
      <c r="B122" s="987" t="inlineStr">
        <is>
          <t>GASTOS DE VIAJE</t>
        </is>
      </c>
      <c r="C122" s="90">
        <f>SUM(C123:C125)</f>
        <v/>
      </c>
      <c r="D122" s="3" t="n"/>
      <c r="E122" s="1078" t="n"/>
      <c r="F122" s="90">
        <f>SUM(F123:F125)</f>
        <v/>
      </c>
      <c r="G122" s="3" t="n"/>
      <c r="H122" s="1078">
        <f>F122/(F$13)</f>
        <v/>
      </c>
      <c r="I122" s="90">
        <f>SUM(I123:I125)</f>
        <v/>
      </c>
      <c r="J122" s="3" t="n"/>
      <c r="K122" s="1078" t="n"/>
      <c r="L122" s="49">
        <f>SUM(L123:L125)</f>
        <v/>
      </c>
      <c r="M122" s="3" t="n"/>
      <c r="N122" s="1078">
        <f>L122/(L$13)</f>
        <v/>
      </c>
      <c r="O122" s="49">
        <f>SUM(O123:O125)</f>
        <v/>
      </c>
      <c r="P122" s="3" t="n"/>
      <c r="Q122" s="1078" t="n"/>
      <c r="R122" s="49">
        <f>SUM(R123:R125)</f>
        <v/>
      </c>
      <c r="S122" s="3" t="n"/>
      <c r="T122" s="1078" t="n"/>
      <c r="U122" s="49">
        <f>SUM(U123:U125)</f>
        <v/>
      </c>
      <c r="V122" s="3" t="n"/>
      <c r="W122" s="1078">
        <f>U122/(U$13)</f>
        <v/>
      </c>
      <c r="X122" s="49">
        <f>SUM(X123:X125)</f>
        <v/>
      </c>
      <c r="Y122" s="3" t="n"/>
      <c r="Z122" s="1078">
        <f>X122/(X$13)</f>
        <v/>
      </c>
      <c r="AA122" s="49">
        <f>SUM(AA123:AA125)</f>
        <v/>
      </c>
      <c r="AB122" s="3" t="n"/>
      <c r="AC122" s="1078">
        <f>AA122/(AA$13)</f>
        <v/>
      </c>
      <c r="AD122" s="49" t="n"/>
      <c r="AE122" s="3" t="n"/>
      <c r="AF122" s="1078">
        <f>AD122/(AD$13)</f>
        <v/>
      </c>
      <c r="AG122" s="49">
        <f>SUM(AG123:AG125)</f>
        <v/>
      </c>
      <c r="AH122" s="3" t="n"/>
      <c r="AI122" s="1078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01">
        <f>AM122/(AM$13)</f>
        <v/>
      </c>
    </row>
    <row r="123" outlineLevel="1" ht="15" customHeight="1" s="1016">
      <c r="A123" s="742" t="n"/>
      <c r="B123" s="997" t="inlineStr">
        <is>
          <t>Alojamiento y Manutención</t>
        </is>
      </c>
      <c r="C123" s="39" t="n"/>
      <c r="D123" s="69" t="n"/>
      <c r="E123" s="1102" t="n"/>
      <c r="F123" s="39" t="n"/>
      <c r="G123" s="69" t="n"/>
      <c r="H123" s="1102" t="n"/>
      <c r="I123" s="39" t="n">
        <v>8594020</v>
      </c>
      <c r="J123" s="69" t="n"/>
      <c r="K123" s="1102" t="n"/>
      <c r="L123" s="39" t="n"/>
      <c r="M123" s="69" t="n"/>
      <c r="N123" s="1102" t="n"/>
      <c r="O123" s="39" t="n"/>
      <c r="P123" s="69" t="n"/>
      <c r="Q123" s="1102" t="n"/>
      <c r="R123" s="39" t="n"/>
      <c r="S123" s="69" t="n"/>
      <c r="T123" s="1102" t="n"/>
      <c r="U123" s="39" t="n"/>
      <c r="V123" s="69" t="n"/>
      <c r="W123" s="1102" t="n"/>
      <c r="X123" s="39" t="n"/>
      <c r="Y123" s="69" t="n"/>
      <c r="Z123" s="1102" t="n"/>
      <c r="AA123" s="39" t="n"/>
      <c r="AB123" s="69" t="n"/>
      <c r="AC123" s="1102" t="n"/>
      <c r="AD123" s="39" t="n"/>
      <c r="AE123" s="69" t="n"/>
      <c r="AF123" s="1102" t="n"/>
      <c r="AG123" s="39" t="n"/>
      <c r="AH123" s="69" t="n"/>
      <c r="AI123" s="1102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07" t="n"/>
    </row>
    <row r="124" outlineLevel="1" ht="15" customHeight="1" s="1016">
      <c r="A124" s="742" t="n"/>
      <c r="B124" s="431" t="inlineStr">
        <is>
          <t>Pasajes Aereos</t>
        </is>
      </c>
      <c r="C124" s="25" t="n"/>
      <c r="D124" s="43" t="n"/>
      <c r="E124" s="1070" t="n"/>
      <c r="F124" s="25" t="n"/>
      <c r="G124" s="43" t="n"/>
      <c r="H124" s="1070" t="n"/>
      <c r="I124" s="25" t="n">
        <v>8594020</v>
      </c>
      <c r="J124" s="43" t="n"/>
      <c r="K124" s="1070" t="n"/>
      <c r="L124" s="25" t="n"/>
      <c r="M124" s="43" t="n"/>
      <c r="N124" s="1070" t="n"/>
      <c r="O124" s="25" t="n"/>
      <c r="P124" s="43" t="n"/>
      <c r="Q124" s="1070" t="n"/>
      <c r="R124" s="25" t="n"/>
      <c r="S124" s="43" t="n"/>
      <c r="T124" s="1070" t="n"/>
      <c r="U124" s="25" t="n"/>
      <c r="V124" s="43" t="n"/>
      <c r="W124" s="1070" t="n"/>
      <c r="X124" s="25" t="n"/>
      <c r="Y124" s="43" t="n"/>
      <c r="Z124" s="1070" t="n"/>
      <c r="AA124" s="25" t="n"/>
      <c r="AB124" s="43" t="n"/>
      <c r="AC124" s="1070" t="n"/>
      <c r="AD124" s="25" t="n"/>
      <c r="AE124" s="43" t="n"/>
      <c r="AF124" s="1070" t="n"/>
      <c r="AG124" s="25" t="n"/>
      <c r="AH124" s="43" t="n"/>
      <c r="AI124" s="1070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71" t="n"/>
    </row>
    <row r="125" outlineLevel="1" ht="15" customHeight="1" s="1016">
      <c r="A125" s="742" t="n"/>
      <c r="B125" s="998" t="inlineStr">
        <is>
          <t>Pasajes Terrestres</t>
        </is>
      </c>
      <c r="C125" s="28" t="n"/>
      <c r="D125" s="45" t="n"/>
      <c r="E125" s="1098" t="n"/>
      <c r="F125" s="28" t="n"/>
      <c r="G125" s="45" t="n"/>
      <c r="H125" s="1098" t="n"/>
      <c r="I125" s="28" t="n">
        <v>241842440</v>
      </c>
      <c r="J125" s="45" t="n"/>
      <c r="K125" s="1098" t="n"/>
      <c r="L125" s="28" t="n"/>
      <c r="M125" s="45" t="n"/>
      <c r="N125" s="1098" t="n"/>
      <c r="O125" s="28" t="n"/>
      <c r="P125" s="45" t="n"/>
      <c r="Q125" s="1098" t="n"/>
      <c r="R125" s="28" t="n"/>
      <c r="S125" s="45" t="n"/>
      <c r="T125" s="1098" t="n"/>
      <c r="U125" s="28" t="n"/>
      <c r="V125" s="45" t="n"/>
      <c r="W125" s="1098" t="n"/>
      <c r="X125" s="28" t="n"/>
      <c r="Y125" s="45" t="n"/>
      <c r="Z125" s="1098" t="n"/>
      <c r="AA125" s="28" t="n"/>
      <c r="AB125" s="45" t="n"/>
      <c r="AC125" s="1098" t="n"/>
      <c r="AD125" s="28" t="n"/>
      <c r="AE125" s="45" t="n"/>
      <c r="AF125" s="1098" t="n"/>
      <c r="AG125" s="28" t="n"/>
      <c r="AH125" s="45" t="n"/>
      <c r="AI125" s="1098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08" t="n"/>
    </row>
    <row r="126" ht="15" customHeight="1" s="1016">
      <c r="A126" s="742" t="n"/>
      <c r="B126" s="987" t="inlineStr">
        <is>
          <t>DIVERSOS</t>
        </is>
      </c>
      <c r="C126" s="90">
        <f>SUM(C127:C138)</f>
        <v/>
      </c>
      <c r="D126" s="3" t="n"/>
      <c r="E126" s="1078" t="n"/>
      <c r="F126" s="90">
        <f>SUM(F127:F138)</f>
        <v/>
      </c>
      <c r="G126" s="3" t="n"/>
      <c r="H126" s="1078">
        <f>F126/(F$13)</f>
        <v/>
      </c>
      <c r="I126" s="90">
        <f>SUM(I127:I138)</f>
        <v/>
      </c>
      <c r="J126" s="3" t="n"/>
      <c r="K126" s="1078" t="n"/>
      <c r="L126" s="49">
        <f>SUM(L127:L138)</f>
        <v/>
      </c>
      <c r="M126" s="3" t="n"/>
      <c r="N126" s="1078">
        <f>L126/(L$13)</f>
        <v/>
      </c>
      <c r="O126" s="49">
        <f>SUM(O127:O138)</f>
        <v/>
      </c>
      <c r="P126" s="3" t="n"/>
      <c r="Q126" s="1078" t="n"/>
      <c r="R126" s="49">
        <f>SUM(R127:R138)</f>
        <v/>
      </c>
      <c r="S126" s="3" t="n"/>
      <c r="T126" s="1078" t="n"/>
      <c r="U126" s="49">
        <f>SUM(U127:U138)</f>
        <v/>
      </c>
      <c r="V126" s="3" t="n"/>
      <c r="W126" s="1078">
        <f>U126/(U$13)</f>
        <v/>
      </c>
      <c r="X126" s="49">
        <f>SUM(X127:X138)</f>
        <v/>
      </c>
      <c r="Y126" s="3" t="n"/>
      <c r="Z126" s="1078">
        <f>X126/(X$13)</f>
        <v/>
      </c>
      <c r="AA126" s="49">
        <f>SUM(AA127:AA138)</f>
        <v/>
      </c>
      <c r="AB126" s="3" t="n"/>
      <c r="AC126" s="1078">
        <f>AA126/(AA$13)</f>
        <v/>
      </c>
      <c r="AD126" s="49">
        <f>SUM(AD127:AD138)</f>
        <v/>
      </c>
      <c r="AE126" s="3" t="n"/>
      <c r="AF126" s="1078">
        <f>AD126/(AD$13)</f>
        <v/>
      </c>
      <c r="AG126" s="49">
        <f>SUM(AG127:AG138)</f>
        <v/>
      </c>
      <c r="AH126" s="3" t="n"/>
      <c r="AI126" s="1078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01">
        <f>AM126/(AM$13)</f>
        <v/>
      </c>
    </row>
    <row r="127" outlineLevel="1" ht="15" customHeight="1" s="1016">
      <c r="A127" s="742" t="n"/>
      <c r="B127" s="997" t="inlineStr">
        <is>
          <t>Libros, suscripciones, period</t>
        </is>
      </c>
      <c r="C127" s="39" t="n"/>
      <c r="D127" s="69" t="n"/>
      <c r="E127" s="1102" t="n"/>
      <c r="F127" s="39" t="n"/>
      <c r="G127" s="69" t="n"/>
      <c r="H127" s="1102" t="n"/>
      <c r="I127" s="39" t="n">
        <v>241842440</v>
      </c>
      <c r="J127" s="69" t="n"/>
      <c r="K127" s="1102" t="n"/>
      <c r="L127" s="39" t="n"/>
      <c r="M127" s="69" t="n"/>
      <c r="N127" s="1102" t="n"/>
      <c r="O127" s="39" t="n"/>
      <c r="P127" s="69" t="n"/>
      <c r="Q127" s="1102" t="n"/>
      <c r="R127" s="39" t="n"/>
      <c r="S127" s="69" t="n"/>
      <c r="T127" s="1102" t="n"/>
      <c r="U127" s="39" t="n"/>
      <c r="V127" s="69" t="n"/>
      <c r="W127" s="1102" t="n"/>
      <c r="X127" s="39" t="n"/>
      <c r="Y127" s="69" t="n"/>
      <c r="Z127" s="1102" t="n"/>
      <c r="AA127" s="39" t="n"/>
      <c r="AB127" s="69" t="n"/>
      <c r="AC127" s="1102" t="n"/>
      <c r="AD127" s="39" t="n"/>
      <c r="AE127" s="69" t="n"/>
      <c r="AF127" s="1102" t="n"/>
      <c r="AG127" s="39" t="n"/>
      <c r="AH127" s="69" t="n"/>
      <c r="AI127" s="1102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15" t="n"/>
    </row>
    <row r="128" outlineLevel="1" ht="15" customHeight="1" s="1016">
      <c r="A128" s="742" t="n"/>
      <c r="B128" s="431" t="inlineStr">
        <is>
          <t>Gastos de Representacion y relaciones Pub</t>
        </is>
      </c>
      <c r="C128" s="25" t="n"/>
      <c r="D128" s="43" t="n"/>
      <c r="E128" s="1070" t="n"/>
      <c r="F128" s="25" t="n"/>
      <c r="G128" s="43" t="n"/>
      <c r="H128" s="1070" t="n"/>
      <c r="I128" s="25" t="n">
        <v>241842440</v>
      </c>
      <c r="J128" s="43" t="n"/>
      <c r="K128" s="1070" t="n"/>
      <c r="L128" s="25" t="n"/>
      <c r="M128" s="43" t="n"/>
      <c r="N128" s="1070" t="n"/>
      <c r="O128" s="25" t="n"/>
      <c r="P128" s="43" t="n"/>
      <c r="Q128" s="1070" t="n"/>
      <c r="R128" s="25" t="n"/>
      <c r="S128" s="43" t="n"/>
      <c r="T128" s="1070" t="n"/>
      <c r="U128" s="25" t="n"/>
      <c r="V128" s="43" t="n"/>
      <c r="W128" s="1070" t="n"/>
      <c r="X128" s="25" t="n"/>
      <c r="Y128" s="43" t="n"/>
      <c r="Z128" s="1070" t="n"/>
      <c r="AA128" s="25" t="n"/>
      <c r="AB128" s="43" t="n"/>
      <c r="AC128" s="1070" t="n"/>
      <c r="AD128" s="25" t="n"/>
      <c r="AE128" s="43" t="n"/>
      <c r="AF128" s="1070" t="n"/>
      <c r="AG128" s="25" t="n"/>
      <c r="AH128" s="43" t="n"/>
      <c r="AI128" s="1070" t="n"/>
      <c r="AJ128" s="25" t="n"/>
      <c r="AK128" s="43" t="n"/>
      <c r="AL128" s="57" t="n"/>
      <c r="AM128" s="205" t="n"/>
      <c r="AN128" s="43" t="n"/>
      <c r="AO128" s="1116" t="n"/>
    </row>
    <row r="129" outlineLevel="1" ht="15" customHeight="1" s="1016">
      <c r="A129" s="742" t="n"/>
      <c r="B129" s="431" t="inlineStr">
        <is>
          <t>Elementos de Aseo y Cafetería</t>
        </is>
      </c>
      <c r="C129" s="25">
        <f>'[1]Hoja 1'!$C$254+'[1]Hoja 1'!$C$263</f>
        <v/>
      </c>
      <c r="D129" s="43" t="n"/>
      <c r="E129" s="1070" t="n"/>
      <c r="F129" s="25">
        <f>'[8]Hoja 1'!$C$263+'[8]Hoja 1'!$C$272</f>
        <v/>
      </c>
      <c r="G129" s="43" t="n"/>
      <c r="H129" s="1070" t="n"/>
      <c r="I129" s="25" t="n">
        <v>241842440</v>
      </c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742" t="n"/>
      <c r="B130" s="431" t="inlineStr">
        <is>
          <t>Utiles, papelería y fotocopias</t>
        </is>
      </c>
      <c r="C130" s="25" t="n"/>
      <c r="D130" s="43" t="n"/>
      <c r="E130" s="1070" t="n"/>
      <c r="F130" s="25" t="n"/>
      <c r="G130" s="43" t="n"/>
      <c r="H130" s="1070" t="n"/>
      <c r="I130" s="25" t="n">
        <v>241842440</v>
      </c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</row>
    <row r="131" outlineLevel="1" ht="15" customHeight="1" s="1016">
      <c r="A131" s="742" t="n"/>
      <c r="B131" s="431" t="inlineStr">
        <is>
          <t>Combustibles y Lubricantes</t>
        </is>
      </c>
      <c r="C131" s="25" t="n"/>
      <c r="D131" s="43" t="n"/>
      <c r="E131" s="1070" t="n"/>
      <c r="F131" s="25" t="n"/>
      <c r="G131" s="43" t="n"/>
      <c r="H131" s="1070" t="n"/>
      <c r="I131" s="25" t="n">
        <v>241842440</v>
      </c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71" t="n"/>
    </row>
    <row r="132" outlineLevel="1" ht="15" customHeight="1" s="1016">
      <c r="A132" s="742" t="n"/>
      <c r="B132" s="431" t="inlineStr">
        <is>
          <t>Buses y Taxis</t>
        </is>
      </c>
      <c r="C132" s="25" t="n"/>
      <c r="D132" s="43" t="n"/>
      <c r="E132" s="1070" t="n"/>
      <c r="F132" s="25" t="n"/>
      <c r="G132" s="43" t="n"/>
      <c r="H132" s="1070" t="n"/>
      <c r="I132" s="25" t="n">
        <v>241842440</v>
      </c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742" t="n"/>
      <c r="B133" s="431" t="inlineStr">
        <is>
          <t>Casino y Restaurante</t>
        </is>
      </c>
      <c r="C133" s="25">
        <f>'[1]Hoja 1'!$C$265</f>
        <v/>
      </c>
      <c r="D133" s="43" t="n"/>
      <c r="E133" s="1070" t="n"/>
      <c r="F133" s="25">
        <f>'[8]Hoja 1'!$C$274</f>
        <v/>
      </c>
      <c r="G133" s="43" t="n"/>
      <c r="H133" s="1070" t="n"/>
      <c r="I133" s="25" t="n">
        <v>241842440</v>
      </c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742" t="n"/>
      <c r="B134" s="431" t="inlineStr">
        <is>
          <t xml:space="preserve">Parqueaderos                       </t>
        </is>
      </c>
      <c r="C134" s="25" t="n"/>
      <c r="D134" s="43" t="n"/>
      <c r="E134" s="1070" t="n"/>
      <c r="F134" s="25" t="n"/>
      <c r="G134" s="43" t="n"/>
      <c r="H134" s="1070" t="n"/>
      <c r="I134" s="25" t="n">
        <v>241842440</v>
      </c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742" t="n"/>
      <c r="B135" s="431" t="inlineStr">
        <is>
          <t>Peajes</t>
        </is>
      </c>
      <c r="C135" s="25" t="n"/>
      <c r="D135" s="43" t="n"/>
      <c r="E135" s="1070" t="n"/>
      <c r="F135" s="25" t="n"/>
      <c r="G135" s="43" t="n"/>
      <c r="H135" s="1070" t="n"/>
      <c r="I135" s="25" t="n">
        <v>241842440</v>
      </c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A136" s="742" t="n"/>
      <c r="B136" s="431" t="inlineStr">
        <is>
          <t>Averias</t>
        </is>
      </c>
      <c r="C136" s="25" t="n"/>
      <c r="D136" s="43" t="n"/>
      <c r="E136" s="1070" t="n"/>
      <c r="F136" s="25" t="n"/>
      <c r="G136" s="43" t="n"/>
      <c r="H136" s="1070" t="n"/>
      <c r="I136" s="25" t="n">
        <v>241842440</v>
      </c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A137" s="742" t="n"/>
      <c r="B137" s="431" t="inlineStr">
        <is>
          <t>Compra Equipos de Oficina</t>
        </is>
      </c>
      <c r="C137" s="25" t="n"/>
      <c r="D137" s="43" t="n"/>
      <c r="E137" s="1070" t="n"/>
      <c r="F137" s="25" t="n"/>
      <c r="G137" s="43" t="n"/>
      <c r="H137" s="1070" t="n"/>
      <c r="I137" s="25" t="n">
        <v>241842440</v>
      </c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 thickBot="1">
      <c r="A138" s="742" t="n"/>
      <c r="B138" s="1004" t="inlineStr">
        <is>
          <t>Otros</t>
        </is>
      </c>
      <c r="C138" s="269" t="n"/>
      <c r="D138" s="214" t="n"/>
      <c r="E138" s="1104" t="n"/>
      <c r="F138" s="269" t="n"/>
      <c r="G138" s="214" t="n"/>
      <c r="H138" s="1104" t="n"/>
      <c r="I138" s="269" t="n">
        <v>241842440</v>
      </c>
      <c r="J138" s="214" t="n"/>
      <c r="K138" s="1104" t="n"/>
      <c r="L138" s="269" t="n"/>
      <c r="M138" s="214" t="n"/>
      <c r="N138" s="1104" t="n"/>
      <c r="O138" s="269" t="n"/>
      <c r="P138" s="214" t="n"/>
      <c r="Q138" s="1104" t="n"/>
      <c r="R138" s="269" t="n"/>
      <c r="S138" s="214" t="n"/>
      <c r="T138" s="1104" t="n"/>
      <c r="U138" s="269" t="n"/>
      <c r="V138" s="214" t="n"/>
      <c r="W138" s="1104" t="n"/>
      <c r="X138" s="269" t="n"/>
      <c r="Y138" s="214" t="n"/>
      <c r="Z138" s="1104" t="n"/>
      <c r="AA138" s="269" t="n"/>
      <c r="AB138" s="214" t="n"/>
      <c r="AC138" s="1104" t="n"/>
      <c r="AD138" s="269" t="n"/>
      <c r="AE138" s="214" t="n"/>
      <c r="AF138" s="1104" t="n"/>
      <c r="AG138" s="269" t="n"/>
      <c r="AH138" s="214" t="n"/>
      <c r="AI138" s="1104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17" t="n"/>
    </row>
    <row r="139" ht="15" customHeight="1" s="1016" thickBot="1" thickTop="1">
      <c r="A139" s="742" t="n"/>
      <c r="C139" s="2" t="n"/>
      <c r="D139" s="2" t="n"/>
      <c r="E139" s="1092" t="n"/>
      <c r="F139" s="2" t="n"/>
      <c r="G139" s="2" t="n"/>
      <c r="H139" s="1092" t="n"/>
      <c r="I139" s="2" t="n"/>
      <c r="J139" s="2" t="n"/>
      <c r="K139" s="1092" t="n"/>
      <c r="L139" s="2" t="n"/>
      <c r="M139" s="2" t="n"/>
      <c r="N139" s="1092" t="n"/>
      <c r="O139" s="2" t="n"/>
      <c r="P139" s="2" t="n"/>
      <c r="Q139" s="1092" t="n"/>
      <c r="R139" s="2" t="n"/>
      <c r="S139" s="2" t="n"/>
      <c r="T139" s="1092" t="n"/>
      <c r="U139" s="2" t="n"/>
      <c r="V139" s="2" t="n"/>
      <c r="W139" s="1092" t="n"/>
      <c r="X139" s="2" t="n"/>
      <c r="Y139" s="2" t="n"/>
      <c r="Z139" s="1092" t="n"/>
      <c r="AA139" s="2" t="n"/>
      <c r="AB139" s="2" t="n"/>
      <c r="AC139" s="1092" t="n"/>
      <c r="AD139" s="2" t="n"/>
      <c r="AE139" s="2" t="n"/>
      <c r="AF139" s="1092" t="n"/>
      <c r="AG139" s="2" t="n"/>
      <c r="AH139" s="2" t="n"/>
      <c r="AI139" s="1092" t="n"/>
      <c r="AJ139" s="2" t="n"/>
      <c r="AK139" s="2" t="n"/>
      <c r="AL139" s="64" t="n"/>
      <c r="AM139" s="151" t="n"/>
      <c r="AN139" s="2" t="n"/>
      <c r="AO139" s="1092" t="n"/>
    </row>
    <row r="140" ht="15" customHeight="1" s="1016" thickBot="1" thickTop="1">
      <c r="A140" s="742" t="n"/>
      <c r="B140" s="1005" t="inlineStr">
        <is>
          <t>TOTAL COSTO</t>
        </is>
      </c>
      <c r="C140" s="497">
        <f>C44+C83-C42</f>
        <v/>
      </c>
      <c r="D140" s="498" t="n"/>
      <c r="E140" s="1118" t="n"/>
      <c r="F140" s="497">
        <f>F44+F83-F42</f>
        <v/>
      </c>
      <c r="G140" s="498" t="n"/>
      <c r="H140" s="1118" t="n"/>
      <c r="I140" s="497">
        <f>I44+I83-I42</f>
        <v/>
      </c>
      <c r="J140" s="498" t="n"/>
      <c r="K140" s="1118" t="n"/>
      <c r="L140" s="497">
        <f>L44+L83-L42</f>
        <v/>
      </c>
      <c r="M140" s="498" t="n"/>
      <c r="N140" s="1118" t="n"/>
      <c r="O140" s="497">
        <f>O44+O83-O42</f>
        <v/>
      </c>
      <c r="P140" s="498" t="n"/>
      <c r="Q140" s="1118" t="n"/>
      <c r="R140" s="497">
        <f>R44+R83-R42</f>
        <v/>
      </c>
      <c r="S140" s="498" t="n"/>
      <c r="T140" s="1118" t="n"/>
      <c r="U140" s="497">
        <f>U44+U83-U42</f>
        <v/>
      </c>
      <c r="V140" s="498" t="n"/>
      <c r="W140" s="1118" t="n"/>
      <c r="X140" s="497">
        <f>X44+X83-X42</f>
        <v/>
      </c>
      <c r="Y140" s="498" t="n"/>
      <c r="Z140" s="1118" t="n"/>
      <c r="AA140" s="497">
        <f>AA44+AA83-AA42</f>
        <v/>
      </c>
      <c r="AB140" s="498" t="n"/>
      <c r="AC140" s="1118" t="n"/>
      <c r="AD140" s="497">
        <f>AD44+AD83-AD42</f>
        <v/>
      </c>
      <c r="AE140" s="498" t="n"/>
      <c r="AF140" s="1118" t="n"/>
      <c r="AG140" s="497">
        <f>AG44+AG83-AG42</f>
        <v/>
      </c>
      <c r="AH140" s="498" t="n"/>
      <c r="AI140" s="1118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19" t="n"/>
    </row>
    <row r="141" ht="15" customFormat="1" customHeight="1" s="108" thickBot="1" thickTop="1">
      <c r="A141" s="742" t="n"/>
      <c r="B141" s="1006" t="n"/>
      <c r="C141" s="355" t="n"/>
      <c r="D141" s="355" t="n"/>
      <c r="E141" s="1120" t="n"/>
      <c r="F141" s="355" t="n"/>
      <c r="G141" s="355" t="n"/>
      <c r="H141" s="1120" t="n"/>
      <c r="I141" s="355" t="n"/>
      <c r="J141" s="355" t="n"/>
      <c r="K141" s="1120" t="n"/>
      <c r="L141" s="355" t="n"/>
      <c r="M141" s="355" t="n"/>
      <c r="N141" s="1120" t="n"/>
      <c r="O141" s="355" t="n"/>
      <c r="P141" s="355" t="n"/>
      <c r="Q141" s="1120" t="n"/>
      <c r="R141" s="355" t="n"/>
      <c r="S141" s="355" t="n"/>
      <c r="T141" s="1120" t="n"/>
      <c r="U141" s="355" t="n"/>
      <c r="V141" s="355" t="n"/>
      <c r="W141" s="1120" t="n"/>
      <c r="X141" s="355" t="n"/>
      <c r="Y141" s="355" t="n"/>
      <c r="Z141" s="1120" t="n"/>
      <c r="AA141" s="355" t="n"/>
      <c r="AB141" s="355" t="n"/>
      <c r="AC141" s="1120" t="n"/>
      <c r="AD141" s="355" t="n"/>
      <c r="AE141" s="355" t="n"/>
      <c r="AF141" s="1120" t="n"/>
      <c r="AG141" s="355" t="n"/>
      <c r="AH141" s="355" t="n"/>
      <c r="AI141" s="1120" t="n"/>
      <c r="AJ141" s="355" t="n"/>
      <c r="AK141" s="355" t="n"/>
      <c r="AL141" s="357" t="n"/>
      <c r="AM141" s="355" t="n"/>
      <c r="AN141" s="355" t="n"/>
      <c r="AO141" s="1120" t="n"/>
    </row>
    <row r="142" ht="15" customHeight="1" s="1016" thickBot="1" thickTop="1">
      <c r="A142" s="742" t="inlineStr">
        <is>
          <t xml:space="preserve">73959504            </t>
        </is>
      </c>
      <c r="B142" s="1007" t="inlineStr">
        <is>
          <t>(-) APROVECHAMIENTO</t>
        </is>
      </c>
      <c r="C142" s="530">
        <f>'[1]Hoja 1'!$C$267</f>
        <v/>
      </c>
      <c r="D142" s="531" t="n"/>
      <c r="E142" s="532" t="n"/>
      <c r="F142" s="530">
        <f>'[8]Hoja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/>
      <c r="M142" s="531" t="n"/>
      <c r="N142" s="532" t="n"/>
      <c r="O142" s="530" t="n"/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45" t="n"/>
      <c r="AN143" s="145" t="n"/>
      <c r="AO143" s="1092" t="n"/>
    </row>
    <row r="144" ht="15" customHeight="1" s="1016" thickBot="1" thickTop="1">
      <c r="B144" s="1007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16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10">
        <f>O147-O148</f>
        <v/>
      </c>
      <c r="R149" s="1010">
        <f>R147-R148</f>
        <v/>
      </c>
      <c r="U149" s="1010">
        <f>U147-U148</f>
        <v/>
      </c>
      <c r="X149" s="1010">
        <f>X147-X148</f>
        <v/>
      </c>
      <c r="AA149" s="1010">
        <f>AA147-AA148</f>
        <v/>
      </c>
      <c r="AC149" s="1010" t="n"/>
      <c r="AD149" s="1010">
        <f>AD147-AD148</f>
        <v/>
      </c>
      <c r="AG149" s="1010">
        <f>AG147-AG148</f>
        <v/>
      </c>
      <c r="AJ149" s="1010">
        <f>AJ147-AJ148</f>
        <v/>
      </c>
    </row>
    <row r="150">
      <c r="AD150" s="1010" t="n">
        <v>-3329832</v>
      </c>
      <c r="AE150" s="1010" t="inlineStr">
        <is>
          <t>manip + gas chvs</t>
        </is>
      </c>
    </row>
    <row r="156">
      <c r="C156" s="790">
        <f>C13/C144</f>
        <v/>
      </c>
      <c r="D156" s="790" t="n"/>
      <c r="E156" s="790" t="n"/>
      <c r="F156" s="790">
        <f>F13/F144</f>
        <v/>
      </c>
      <c r="G156" s="790" t="n"/>
      <c r="H156" s="790" t="n"/>
      <c r="I156" s="790" t="n"/>
      <c r="J156" s="790" t="n"/>
      <c r="K156" s="790" t="n"/>
      <c r="L156" s="790" t="n"/>
      <c r="M156" s="790" t="n"/>
      <c r="N156" s="790" t="n"/>
      <c r="O156" s="790" t="n"/>
      <c r="P156" s="790" t="n"/>
      <c r="Q156" s="790" t="n"/>
      <c r="R156" s="790">
        <f>R13/R144</f>
        <v/>
      </c>
      <c r="S156" s="790" t="n"/>
      <c r="T156" s="790" t="n"/>
      <c r="U156" s="790" t="n"/>
      <c r="V156" s="790" t="n"/>
      <c r="W156" s="790" t="n"/>
      <c r="X156" s="790" t="n"/>
      <c r="Y156" s="790" t="n"/>
      <c r="Z156" s="790" t="n"/>
      <c r="AA156" s="790" t="n"/>
      <c r="AB156" s="790" t="n"/>
      <c r="AC156" s="790" t="n"/>
      <c r="AD156" s="790" t="n"/>
      <c r="AE156" s="790" t="n"/>
      <c r="AF156" s="790" t="n"/>
      <c r="AG156" s="790" t="n"/>
      <c r="AH156" s="790" t="n"/>
      <c r="AI156" s="790" t="n"/>
      <c r="AJ156" s="790" t="n"/>
      <c r="AK156" s="790" t="n"/>
      <c r="AL156" s="790" t="n"/>
      <c r="AM156" s="790" t="n"/>
    </row>
    <row r="197">
      <c r="M197" s="1010">
        <f>(32*3)+22+31+17</f>
        <v/>
      </c>
      <c r="N197" s="1058" t="inlineStr">
        <is>
          <t>Bolsos</t>
        </is>
      </c>
    </row>
    <row r="198">
      <c r="M198" s="1010">
        <f>20*3</f>
        <v/>
      </c>
      <c r="N198" s="1058" t="inlineStr">
        <is>
          <t>perrada</t>
        </is>
      </c>
    </row>
    <row r="199">
      <c r="M199" s="1010" t="n">
        <v>8</v>
      </c>
      <c r="N199" s="1058" t="inlineStr">
        <is>
          <t>devuelta</t>
        </is>
      </c>
    </row>
    <row r="200">
      <c r="M200" s="1010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7"/>
    <col width="8.6640625" customWidth="1" style="1058" min="38" max="38"/>
    <col width="15.6640625" customWidth="1" style="1010" min="39" max="39"/>
    <col width="8.6640625" customWidth="1" style="1010" min="40" max="40"/>
    <col width="8.6640625" customWidth="1" style="1058" min="41" max="41"/>
    <col width="7.44140625" customWidth="1" style="2" min="42" max="42"/>
    <col width="15.33203125" customWidth="1" style="1010" min="43" max="43"/>
    <col width="7.33203125" customWidth="1" style="1010" min="44" max="44"/>
    <col width="7.33203125" customWidth="1" style="2" min="45" max="45"/>
    <col width="11.44140625" customWidth="1" style="2" min="46" max="59"/>
    <col width="11.44140625" customWidth="1" style="2" min="60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PRESUPUESTO  SANTA ISABEL DE HUNGRIA 2024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21" t="n"/>
      <c r="AQ2" s="2" t="n"/>
      <c r="AR2" s="2" t="n"/>
    </row>
    <row r="3" ht="21.75" customHeight="1" s="1016" thickBot="1" thickTop="1">
      <c r="B3" s="522" t="inlineStr">
        <is>
          <t xml:space="preserve">DIAS DE ATENCIÓN </t>
        </is>
      </c>
      <c r="C3" s="478" t="n"/>
      <c r="D3" s="479" t="n"/>
      <c r="E3" s="1060" t="n"/>
      <c r="F3" s="478" t="n"/>
      <c r="G3" s="479" t="n"/>
      <c r="H3" s="1060" t="n"/>
      <c r="I3" s="478" t="n">
        <v>18</v>
      </c>
      <c r="J3" s="479" t="n"/>
      <c r="K3" s="1060" t="n"/>
      <c r="L3" s="478" t="n">
        <v>15</v>
      </c>
      <c r="M3" s="479" t="n"/>
      <c r="N3" s="1060" t="n"/>
      <c r="O3" s="478" t="n">
        <v>21</v>
      </c>
      <c r="P3" s="479" t="n"/>
      <c r="Q3" s="1060" t="n"/>
      <c r="R3" s="478" t="n">
        <v>20</v>
      </c>
      <c r="S3" s="479" t="n"/>
      <c r="T3" s="1060" t="n"/>
      <c r="U3" s="478" t="n">
        <v>6</v>
      </c>
      <c r="V3" s="479" t="n"/>
      <c r="W3" s="1060" t="n"/>
      <c r="X3" s="478" t="n">
        <v>21</v>
      </c>
      <c r="Y3" s="479" t="n"/>
      <c r="Z3" s="1060" t="n"/>
      <c r="AA3" s="478" t="n">
        <v>21</v>
      </c>
      <c r="AB3" s="479" t="n"/>
      <c r="AC3" s="1060" t="n"/>
      <c r="AD3" s="478" t="n">
        <v>16</v>
      </c>
      <c r="AE3" s="479" t="n"/>
      <c r="AF3" s="1060" t="n"/>
      <c r="AG3" s="478" t="n">
        <v>20</v>
      </c>
      <c r="AH3" s="479" t="n"/>
      <c r="AI3" s="1060" t="n"/>
      <c r="AJ3" s="478" t="n"/>
      <c r="AK3" s="479" t="n"/>
      <c r="AL3" s="1060" t="n"/>
      <c r="AM3" s="571">
        <f>SUM(I3:AL3)</f>
        <v/>
      </c>
      <c r="AN3" s="572" t="n"/>
      <c r="AO3" s="1061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746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66" t="n"/>
      <c r="F5" s="257" t="n"/>
      <c r="G5" s="89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1066" t="n"/>
      <c r="AM5" s="261">
        <f>C5+F5+I5+L5+O5+R5+U5+X5+AA5+AD5+AG5+AJ5</f>
        <v/>
      </c>
      <c r="AN5" s="89" t="n"/>
      <c r="AO5" s="1067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5">
        <f>C6+F6+I6+L6+O6+R6+U6+X6+AA6+AD6+AG6+AJ6</f>
        <v/>
      </c>
      <c r="AN6" s="43" t="n"/>
      <c r="AO6" s="1071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5">
        <f>C7+F7+I7+L7+O7+R7+U7+X7+AA7+AD7+AG7+AJ7</f>
        <v/>
      </c>
      <c r="AN7" s="43" t="n"/>
      <c r="AO7" s="1071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5">
        <f>C8+F8+I8+L8+O8+R8+U8+X8+AA8+AD8+AG8+AJ8</f>
        <v/>
      </c>
      <c r="AN8" s="43" t="n"/>
      <c r="AO8" s="1071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5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5" t="n"/>
      <c r="AN10" s="43" t="n"/>
      <c r="AO10" s="1071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6" t="n"/>
      <c r="AN11" s="84" t="n"/>
      <c r="AO11" s="1073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7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 t="n"/>
      <c r="AK13" s="485" t="n"/>
      <c r="AL13" s="1076" t="n"/>
      <c r="AM13" s="578">
        <f>C13+F13+I13+L13+O13+R13+U13+X13+AA13+AD13+AG13+AJ13</f>
        <v/>
      </c>
      <c r="AN13" s="485" t="n"/>
      <c r="AO13" s="1077" t="n"/>
      <c r="AQ13" s="623">
        <f>AQ14+AQ23</f>
        <v/>
      </c>
      <c r="AR13" s="623" t="n"/>
      <c r="AS13" s="623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 t="n"/>
      <c r="AK14" s="3" t="n"/>
      <c r="AL14" s="1078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1016">
      <c r="B15" s="16" t="inlineStr">
        <is>
          <t>INDUSTRIAS MANUFACTURERAS</t>
        </is>
      </c>
      <c r="C15" s="49">
        <f>C16+C17+C18+C19+C20</f>
        <v/>
      </c>
      <c r="D15" s="3" t="n"/>
      <c r="E15" s="1078" t="n"/>
      <c r="F15" s="49">
        <f>F16+F17+F18+F19+F20</f>
        <v/>
      </c>
      <c r="G15" s="3" t="n"/>
      <c r="H15" s="1078">
        <f>F15/F15</f>
        <v/>
      </c>
      <c r="I15" s="49">
        <f>I16+I17+I18+I19+I20</f>
        <v/>
      </c>
      <c r="J15" s="3" t="n"/>
      <c r="K15" s="1078">
        <f>I15/I15</f>
        <v/>
      </c>
      <c r="L15" s="49">
        <f>L16+L17+L18+L19+L20</f>
        <v/>
      </c>
      <c r="M15" s="3" t="n"/>
      <c r="N15" s="1078">
        <f>L15/L15</f>
        <v/>
      </c>
      <c r="O15" s="49">
        <f>O16+O17+O18+O19+O20</f>
        <v/>
      </c>
      <c r="P15" s="3" t="n"/>
      <c r="Q15" s="1078">
        <f>O15/O15</f>
        <v/>
      </c>
      <c r="R15" s="49">
        <f>R16+R17+R18+R19+R20</f>
        <v/>
      </c>
      <c r="S15" s="3" t="n"/>
      <c r="T15" s="1078">
        <f>R15/R15</f>
        <v/>
      </c>
      <c r="U15" s="49">
        <f>U16+U17+U18+U19+U20</f>
        <v/>
      </c>
      <c r="V15" s="3" t="n"/>
      <c r="W15" s="1078" t="n"/>
      <c r="X15" s="49">
        <f>X16+X17+X18+X19+X20</f>
        <v/>
      </c>
      <c r="Y15" s="3" t="n"/>
      <c r="Z15" s="1078">
        <f>X15/X15</f>
        <v/>
      </c>
      <c r="AA15" s="49">
        <f>AA16+AA17+AA18+AA19+AA20</f>
        <v/>
      </c>
      <c r="AB15" s="3" t="n"/>
      <c r="AC15" s="1078" t="n"/>
      <c r="AD15" s="49">
        <f>AD16+AD17+AD18+AD19+AD20</f>
        <v/>
      </c>
      <c r="AE15" s="96" t="n"/>
      <c r="AF15" s="1078" t="n"/>
      <c r="AG15" s="49">
        <f>AG16+AG17+AG18+AG19+AG20</f>
        <v/>
      </c>
      <c r="AH15" s="3" t="n"/>
      <c r="AI15" s="1078" t="n"/>
      <c r="AJ15" s="49" t="n"/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1016">
      <c r="B16" s="258" t="inlineStr">
        <is>
          <t>COMPLEMENTO INDUSTRIALIZADO (Fac)</t>
        </is>
      </c>
      <c r="C16" s="103" t="n"/>
      <c r="D16" s="79" t="n"/>
      <c r="E16" s="1080" t="n"/>
      <c r="F16" s="103" t="n"/>
      <c r="G16" s="79">
        <f>F16/F5</f>
        <v/>
      </c>
      <c r="H16" s="1080" t="n"/>
      <c r="I16" s="103" t="n"/>
      <c r="J16" s="79">
        <f>I16/I5</f>
        <v/>
      </c>
      <c r="K16" s="1080" t="n"/>
      <c r="L16" s="103" t="n"/>
      <c r="M16" s="79">
        <f>L16/L5</f>
        <v/>
      </c>
      <c r="N16" s="1080" t="n"/>
      <c r="O16" s="103" t="n"/>
      <c r="P16" s="79" t="n"/>
      <c r="Q16" s="1080" t="n"/>
      <c r="R16" s="103" t="n"/>
      <c r="S16" s="1122">
        <f>R16/R5</f>
        <v/>
      </c>
      <c r="T16" s="1080" t="n"/>
      <c r="U16" s="103" t="n"/>
      <c r="V16" s="79" t="n"/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 t="n"/>
      <c r="AL16" s="1080" t="n"/>
      <c r="AM16" s="212">
        <f>C16+F16+I16+L16+O16+R16+U16+X16+AA16+AD16+AG16+AJ16</f>
        <v/>
      </c>
      <c r="AN16" s="79" t="n"/>
      <c r="AO16" s="1081">
        <f>AM16/AM$13</f>
        <v/>
      </c>
      <c r="AQ16" s="81" t="n"/>
      <c r="AR16" s="81">
        <f>AQ16/AQ5</f>
        <v/>
      </c>
      <c r="AS16" s="81" t="n"/>
    </row>
    <row r="17" ht="15" customHeight="1" s="1016">
      <c r="B17" s="258" t="n"/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5">
        <f>C17+F17+I17+L17+O17+R17+U17+X17+AA17+AD17+AG17+AJ17</f>
        <v/>
      </c>
      <c r="AN17" s="43" t="n"/>
      <c r="AO17" s="1071" t="n"/>
      <c r="AQ17" s="24" t="n"/>
      <c r="AR17" s="24" t="n"/>
      <c r="AS17" s="24" t="n"/>
    </row>
    <row r="18" ht="15" customHeight="1" s="1016">
      <c r="B18" s="258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1070" t="n"/>
      <c r="AM18" s="205">
        <f>C18+F18+I18+L18+O18+R18+U18+X18+AA18+AD18+AG18+AJ18</f>
        <v/>
      </c>
      <c r="AN18" s="43" t="n"/>
      <c r="AO18" s="1071" t="n"/>
      <c r="AQ18" s="24" t="n"/>
      <c r="AR18" s="24" t="n"/>
      <c r="AS18" s="24" t="n"/>
    </row>
    <row r="19" ht="15" customHeight="1" s="1016">
      <c r="B19" s="258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5">
        <f>C19+F19+I19+L19+O19+R19+U19+X19+AA19+AD19+AG19+AJ19</f>
        <v/>
      </c>
      <c r="AN19" s="43" t="n"/>
      <c r="AO19" s="1071" t="n"/>
      <c r="AQ19" s="24" t="n"/>
      <c r="AR19" s="43" t="n"/>
      <c r="AS19" s="24" t="n"/>
    </row>
    <row r="20" ht="15" customHeight="1" s="1016">
      <c r="B20" s="258" t="inlineStr">
        <is>
          <t>NOVEDADES (Fac)</t>
        </is>
      </c>
      <c r="C20" s="75" t="n"/>
      <c r="D20" s="43" t="n"/>
      <c r="E20" s="1070" t="n"/>
      <c r="F20" s="75" t="n"/>
      <c r="G20" s="43" t="n"/>
      <c r="H20" s="1070" t="n"/>
      <c r="I20" s="75" t="n"/>
      <c r="J20" s="43">
        <f>I20/I9</f>
        <v/>
      </c>
      <c r="K20" s="1070" t="n"/>
      <c r="L20" s="75" t="n"/>
      <c r="M20" s="43">
        <f>L20/L9</f>
        <v/>
      </c>
      <c r="N20" s="1070" t="n"/>
      <c r="O20" s="75" t="n"/>
      <c r="P20" s="43">
        <f>O20/O9</f>
        <v/>
      </c>
      <c r="Q20" s="1070" t="n"/>
      <c r="R20" s="75" t="n"/>
      <c r="S20" s="43">
        <f>R20/R9</f>
        <v/>
      </c>
      <c r="T20" s="1070" t="n"/>
      <c r="U20" s="75" t="n"/>
      <c r="V20" s="43">
        <f>U20/U9</f>
        <v/>
      </c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>
        <f>AG9*2497</f>
        <v/>
      </c>
      <c r="AH20" s="43" t="n"/>
      <c r="AI20" s="1070" t="n"/>
      <c r="AJ20" s="75" t="n"/>
      <c r="AK20" s="43" t="n"/>
      <c r="AL20" s="1070" t="n"/>
      <c r="AM20" s="205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0.2" customHeight="1" s="1016"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5" t="n"/>
      <c r="AN21" s="43" t="n"/>
      <c r="AO21" s="1071" t="n"/>
      <c r="AQ21" s="24" t="n"/>
      <c r="AR21" s="24" t="n"/>
      <c r="AS21" s="24" t="n"/>
    </row>
    <row r="22" hidden="1" ht="10.2" customHeight="1" s="1016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 t="n"/>
      <c r="AN22" s="42" t="n"/>
      <c r="AO22" s="1083" t="n"/>
      <c r="AQ22" s="23" t="n"/>
      <c r="AR22" s="23" t="n"/>
      <c r="AS22" s="23" t="n"/>
    </row>
    <row r="23" hidden="1" outlineLevel="1" ht="10.2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>
        <f>AD24</f>
        <v/>
      </c>
      <c r="AE23" s="3" t="n"/>
      <c r="AF23" s="1078" t="n"/>
      <c r="AG23" s="49">
        <f>AG24</f>
        <v/>
      </c>
      <c r="AH23" s="3" t="n"/>
      <c r="AI23" s="1078" t="n"/>
      <c r="AJ23" s="49" t="n"/>
      <c r="AK23" s="3" t="n"/>
      <c r="AL23" s="1078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0.2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X25+X26+X27</f>
        <v/>
      </c>
      <c r="Y24" s="3" t="n"/>
      <c r="Z24" s="1078" t="n"/>
      <c r="AA24" s="49">
        <f>AA25+AA26+AA27</f>
        <v/>
      </c>
      <c r="AB24" s="3" t="n"/>
      <c r="AC24" s="1078" t="n"/>
      <c r="AD24" s="49">
        <f>AD25+AD26+AD27</f>
        <v/>
      </c>
      <c r="AE24" s="3" t="n"/>
      <c r="AF24" s="1078" t="n"/>
      <c r="AG24" s="49">
        <f>AG25+AG26+AG27</f>
        <v/>
      </c>
      <c r="AH24" s="3" t="n"/>
      <c r="AI24" s="1078" t="n"/>
      <c r="AJ24" s="49" t="n"/>
      <c r="AK24" s="3" t="n"/>
      <c r="AL24" s="1078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0.2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0.2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0.2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 t="n"/>
      <c r="AK28" s="3" t="n"/>
      <c r="AL28" s="1078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 t="n"/>
      <c r="R29" s="49">
        <f>SUM(R30:R35)</f>
        <v/>
      </c>
      <c r="S29" s="3" t="n"/>
      <c r="T29" s="1078" t="n"/>
      <c r="U29" s="49">
        <f>SUM(U30:U35)</f>
        <v/>
      </c>
      <c r="V29" s="3" t="n"/>
      <c r="W29" s="1078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078" t="n"/>
      <c r="AD29" s="49">
        <f>SUM(AD30:AD35)</f>
        <v/>
      </c>
      <c r="AE29" s="3" t="n"/>
      <c r="AF29" s="1078" t="n"/>
      <c r="AG29" s="49">
        <f>SUM(AG30:AG35)</f>
        <v/>
      </c>
      <c r="AH29" s="3" t="n"/>
      <c r="AI29" s="1078" t="n"/>
      <c r="AJ29" s="49" t="n"/>
      <c r="AK29" s="3" t="n"/>
      <c r="AL29" s="1078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SUM(AQ30:AQ35)</f>
        <v/>
      </c>
      <c r="AR29" s="17" t="n"/>
      <c r="AS29" s="17" t="n"/>
    </row>
    <row r="30" outlineLevel="1" ht="15" customHeight="1" s="1016">
      <c r="B30" s="262" t="inlineStr">
        <is>
          <t>ICA (0.77%)</t>
        </is>
      </c>
      <c r="C30" s="1086">
        <f>C15*0.77%</f>
        <v/>
      </c>
      <c r="D30" s="79" t="n"/>
      <c r="E30" s="1080" t="n"/>
      <c r="F30" s="1086">
        <f>F13*0.77%</f>
        <v/>
      </c>
      <c r="G30" s="79" t="n"/>
      <c r="H30" s="1080" t="n"/>
      <c r="I30" s="1086">
        <f>I13*0.77%</f>
        <v/>
      </c>
      <c r="J30" s="79" t="n"/>
      <c r="K30" s="1080" t="n"/>
      <c r="L30" s="1086">
        <f>L13*0.77%</f>
        <v/>
      </c>
      <c r="M30" s="79" t="n"/>
      <c r="N30" s="1080" t="n"/>
      <c r="O30" s="1086">
        <f>O13*0.77%</f>
        <v/>
      </c>
      <c r="P30" s="79" t="n"/>
      <c r="Q30" s="1080" t="n"/>
      <c r="R30" s="1086">
        <f>R13*0.77%</f>
        <v/>
      </c>
      <c r="S30" s="79" t="n"/>
      <c r="T30" s="1080" t="n"/>
      <c r="U30" s="1086">
        <f>U13*0.77%</f>
        <v/>
      </c>
      <c r="V30" s="79" t="n"/>
      <c r="W30" s="1080" t="n"/>
      <c r="X30" s="1086" t="n"/>
      <c r="Y30" s="79" t="n"/>
      <c r="Z30" s="1080" t="n"/>
      <c r="AA30" s="1086">
        <f>AA13*0.77%</f>
        <v/>
      </c>
      <c r="AB30" s="79" t="n"/>
      <c r="AC30" s="1080" t="n"/>
      <c r="AD30" s="1086">
        <f>AD13*0.77%</f>
        <v/>
      </c>
      <c r="AE30" s="79" t="n"/>
      <c r="AF30" s="1080" t="n"/>
      <c r="AG30" s="1086">
        <f>AG13*0.77%</f>
        <v/>
      </c>
      <c r="AH30" s="79" t="n"/>
      <c r="AI30" s="1080" t="n"/>
      <c r="AJ30" s="1086" t="n"/>
      <c r="AK30" s="79" t="n"/>
      <c r="AL30" s="1080" t="n"/>
      <c r="AM30" s="212">
        <f>C30+F30+I30+L30+O30+R30+U30+X30+AA30+AD30+AG30+AJ30</f>
        <v/>
      </c>
      <c r="AN30" s="79" t="n"/>
      <c r="AO30" s="1081" t="n"/>
      <c r="AQ30" s="737" t="n"/>
      <c r="AR30" s="737" t="n"/>
      <c r="AS30" s="737" t="n"/>
    </row>
    <row r="31" outlineLevel="1" ht="15" customHeight="1" s="1016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1070" t="n"/>
      <c r="AM31" s="205">
        <f>C31+F31+I31+L31+O31+R31+U31+X31+AA31+AD31+AG31+AJ31</f>
        <v/>
      </c>
      <c r="AN31" s="43" t="n"/>
      <c r="AO31" s="1071" t="n"/>
      <c r="AQ31" s="738" t="n"/>
      <c r="AR31" s="738" t="n"/>
      <c r="AS31" s="738" t="n"/>
    </row>
    <row r="32" outlineLevel="1" ht="15" customHeight="1" s="1016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1070" t="n"/>
      <c r="AM32" s="205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Height="1" s="1016">
      <c r="B33" s="105" t="n"/>
      <c r="C33" s="1087" t="n"/>
      <c r="D33" s="43" t="n"/>
      <c r="E33" s="1070" t="n"/>
      <c r="F33" s="1087" t="n"/>
      <c r="G33" s="43" t="n"/>
      <c r="H33" s="1070" t="n"/>
      <c r="I33" s="1087" t="n"/>
      <c r="J33" s="43" t="n"/>
      <c r="K33" s="1070" t="n"/>
      <c r="L33" s="1087" t="n"/>
      <c r="M33" s="43" t="n"/>
      <c r="N33" s="1070" t="n"/>
      <c r="O33" s="1087" t="n"/>
      <c r="P33" s="43" t="n"/>
      <c r="Q33" s="1070" t="n"/>
      <c r="R33" s="1087" t="n"/>
      <c r="S33" s="43" t="n"/>
      <c r="T33" s="1070" t="n"/>
      <c r="U33" s="1087" t="n"/>
      <c r="V33" s="43" t="n"/>
      <c r="W33" s="1070" t="n"/>
      <c r="X33" s="1087" t="n"/>
      <c r="Y33" s="43" t="n"/>
      <c r="Z33" s="1070" t="n"/>
      <c r="AA33" s="1087" t="n"/>
      <c r="AB33" s="43" t="n"/>
      <c r="AC33" s="1070" t="n"/>
      <c r="AD33" s="1087" t="n"/>
      <c r="AE33" s="43" t="n"/>
      <c r="AF33" s="1070" t="n"/>
      <c r="AG33" s="1087" t="n"/>
      <c r="AH33" s="43" t="n"/>
      <c r="AI33" s="1070" t="n"/>
      <c r="AJ33" s="1087" t="n"/>
      <c r="AK33" s="43" t="n"/>
      <c r="AL33" s="1070" t="n"/>
      <c r="AM33" s="205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1016" thickBot="1">
      <c r="B34" s="105" t="n"/>
      <c r="C34" s="1087" t="n"/>
      <c r="D34" s="43" t="n"/>
      <c r="E34" s="1070" t="n"/>
      <c r="F34" s="1087" t="n"/>
      <c r="G34" s="43" t="n"/>
      <c r="H34" s="1070" t="n"/>
      <c r="I34" s="1087" t="n"/>
      <c r="J34" s="43" t="n"/>
      <c r="K34" s="1070" t="n"/>
      <c r="L34" s="1087" t="n"/>
      <c r="M34" s="43" t="n"/>
      <c r="N34" s="1070" t="n"/>
      <c r="O34" s="1087" t="n"/>
      <c r="P34" s="43" t="n"/>
      <c r="Q34" s="1070" t="n"/>
      <c r="R34" s="1087" t="n"/>
      <c r="S34" s="43" t="n"/>
      <c r="T34" s="1070" t="n"/>
      <c r="U34" s="1087" t="n"/>
      <c r="V34" s="43" t="n"/>
      <c r="W34" s="1070" t="n"/>
      <c r="X34" s="1087" t="n"/>
      <c r="Y34" s="43" t="n"/>
      <c r="Z34" s="1070" t="n"/>
      <c r="AA34" s="1087" t="n"/>
      <c r="AB34" s="43" t="n"/>
      <c r="AC34" s="1070" t="n"/>
      <c r="AD34" s="1087" t="n"/>
      <c r="AE34" s="43" t="n"/>
      <c r="AF34" s="1070" t="n"/>
      <c r="AG34" s="1087" t="n"/>
      <c r="AH34" s="43" t="n"/>
      <c r="AI34" s="1070" t="n"/>
      <c r="AJ34" s="1087" t="n"/>
      <c r="AK34" s="43" t="n"/>
      <c r="AL34" s="1070" t="n"/>
      <c r="AM34" s="205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Height="1" s="1016" thickBot="1">
      <c r="B35" s="335" t="n"/>
      <c r="C35" s="1087" t="n"/>
      <c r="D35" s="92" t="n"/>
      <c r="E35" s="1088" t="n"/>
      <c r="F35" s="1087" t="n"/>
      <c r="G35" s="92" t="n"/>
      <c r="H35" s="1088" t="n"/>
      <c r="I35" s="1087" t="n"/>
      <c r="J35" s="92" t="n"/>
      <c r="K35" s="1088" t="n"/>
      <c r="L35" s="1087" t="n"/>
      <c r="M35" s="92" t="n"/>
      <c r="N35" s="1088" t="n"/>
      <c r="O35" s="1087" t="n"/>
      <c r="P35" s="92" t="n"/>
      <c r="Q35" s="1088" t="n"/>
      <c r="R35" s="1087" t="n"/>
      <c r="S35" s="92" t="n"/>
      <c r="T35" s="1088" t="n"/>
      <c r="U35" s="1087" t="n"/>
      <c r="V35" s="92" t="n"/>
      <c r="W35" s="1088" t="n"/>
      <c r="X35" s="1087" t="n"/>
      <c r="Y35" s="92" t="n"/>
      <c r="Z35" s="1088" t="n"/>
      <c r="AA35" s="1087" t="n"/>
      <c r="AB35" s="92" t="n"/>
      <c r="AC35" s="1088" t="n"/>
      <c r="AD35" s="1087" t="n"/>
      <c r="AE35" s="92" t="n"/>
      <c r="AF35" s="1088" t="n"/>
      <c r="AG35" s="1087" t="n"/>
      <c r="AH35" s="92" t="n"/>
      <c r="AI35" s="1088" t="n"/>
      <c r="AJ35" s="1087" t="n"/>
      <c r="AK35" s="92" t="n"/>
      <c r="AL35" s="1088" t="n"/>
      <c r="AM35" s="284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123" t="n"/>
      <c r="AA36" s="25" t="n"/>
      <c r="AB36" s="43" t="n"/>
      <c r="AC36" s="1123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1070" t="n"/>
      <c r="AM36" s="25" t="n"/>
      <c r="AN36" s="43" t="n"/>
      <c r="AO36" s="1071" t="n"/>
      <c r="AP36" s="2" t="n"/>
      <c r="AQ36" s="24" t="n"/>
      <c r="AR36" s="24" t="n"/>
      <c r="AS36" s="24" t="n"/>
    </row>
    <row r="37" hidden="1" outlineLevel="1" ht="15" customHeight="1" s="1016" thickBot="1">
      <c r="B37" s="105" t="n"/>
      <c r="C37" s="25" t="n"/>
      <c r="D37" s="43" t="n"/>
      <c r="E37" s="1070" t="n"/>
      <c r="F37" s="25" t="n"/>
      <c r="G37" s="43" t="n"/>
      <c r="H37" s="1070" t="n"/>
      <c r="I37" s="25" t="n"/>
      <c r="J37" s="43" t="n"/>
      <c r="K37" s="1070" t="n"/>
      <c r="L37" s="25" t="n"/>
      <c r="M37" s="43" t="n"/>
      <c r="N37" s="1070" t="n"/>
      <c r="O37" s="25" t="n"/>
      <c r="P37" s="43" t="n"/>
      <c r="Q37" s="1070" t="n"/>
      <c r="R37" s="25" t="n"/>
      <c r="S37" s="43" t="n"/>
      <c r="T37" s="1070" t="n"/>
      <c r="U37" s="25" t="n"/>
      <c r="V37" s="43" t="n"/>
      <c r="W37" s="1070" t="n"/>
      <c r="X37" s="25" t="n"/>
      <c r="Y37" s="43" t="n"/>
      <c r="Z37" s="1070" t="n"/>
      <c r="AA37" s="25" t="n"/>
      <c r="AB37" s="43" t="n"/>
      <c r="AC37" s="1070" t="n"/>
      <c r="AD37" s="25" t="n"/>
      <c r="AE37" s="43" t="n"/>
      <c r="AF37" s="1070" t="n"/>
      <c r="AG37" s="25" t="n"/>
      <c r="AH37" s="43" t="n"/>
      <c r="AI37" s="1070" t="n"/>
      <c r="AJ37" s="25" t="n"/>
      <c r="AK37" s="43" t="n"/>
      <c r="AL37" s="1070" t="n"/>
      <c r="AM37" s="205" t="n"/>
      <c r="AN37" s="43" t="n"/>
      <c r="AO37" s="1071" t="n"/>
      <c r="AQ37" s="23" t="n"/>
      <c r="AR37" s="23" t="n"/>
      <c r="AS37" s="23" t="n"/>
    </row>
    <row r="38" hidden="1" outlineLevel="1" ht="10.2" customHeight="1" s="1016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 t="n"/>
      <c r="AN38" s="42" t="n"/>
      <c r="AO38" s="1083" t="n"/>
      <c r="AQ38" s="23" t="n"/>
      <c r="AR38" s="23" t="n"/>
      <c r="AS38" s="23" t="n"/>
    </row>
    <row r="39" hidden="1" outlineLevel="1" ht="10.2" customHeight="1" s="1016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  <c r="AQ39" s="23" t="n"/>
      <c r="AR39" s="23" t="n"/>
      <c r="AS39" s="23" t="n"/>
    </row>
    <row r="40" hidden="1" outlineLevel="1" ht="10.2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  <c r="AQ40" s="23" t="n"/>
      <c r="AR40" s="23" t="n"/>
      <c r="AS40" s="23" t="n"/>
    </row>
    <row r="41" hidden="1" outlineLevel="1" ht="10.2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  <c r="AQ41" s="23" t="n"/>
      <c r="AR41" s="23" t="n"/>
      <c r="AS41" s="2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 t="n"/>
      <c r="AK42" s="488" t="n"/>
      <c r="AL42" s="1090" t="n"/>
      <c r="AM42" s="576">
        <f>C42+F42+I42+L42+O42+R42+U42+X42+AA42+AD42+AG42+AJ42</f>
        <v/>
      </c>
      <c r="AN42" s="488" t="n"/>
      <c r="AO42" s="1091" t="n"/>
      <c r="AQ42" s="624">
        <f>+AQ14+AQ23-AQ28</f>
        <v/>
      </c>
      <c r="AR42" s="624" t="n"/>
      <c r="AS42" s="624" t="n"/>
    </row>
    <row r="43" ht="15" customHeight="1" s="1016" thickBot="1" thickTop="1">
      <c r="C43" s="1124" t="n"/>
      <c r="D43" s="1124" t="n"/>
      <c r="E43" s="1125" t="n"/>
      <c r="F43" s="1048" t="n"/>
      <c r="G43" s="698" t="n"/>
      <c r="H43" s="1126" t="n"/>
      <c r="I43" s="703" t="n"/>
      <c r="J43" s="703" t="n"/>
      <c r="K43" s="1126" t="n"/>
      <c r="L43" s="703" t="n"/>
      <c r="M43" s="703" t="n"/>
      <c r="N43" s="1126" t="n"/>
      <c r="O43" s="703" t="n"/>
      <c r="P43" s="703" t="n"/>
      <c r="Q43" s="1126" t="n"/>
      <c r="R43" s="703" t="n"/>
      <c r="S43" s="703" t="n"/>
      <c r="T43" s="1126" t="n"/>
      <c r="U43" s="703" t="n"/>
      <c r="V43" s="703" t="n"/>
      <c r="W43" s="1126" t="n"/>
      <c r="X43" s="703" t="n"/>
      <c r="Y43" s="703" t="n"/>
      <c r="Z43" s="1126" t="n"/>
      <c r="AA43" s="703" t="n"/>
      <c r="AB43" s="703" t="n"/>
      <c r="AC43" s="1126" t="n"/>
      <c r="AD43" s="703" t="n"/>
      <c r="AE43" s="703" t="n"/>
      <c r="AF43" s="1126" t="n"/>
      <c r="AG43" s="703" t="n"/>
      <c r="AH43" s="703" t="n"/>
      <c r="AI43" s="1126" t="n"/>
      <c r="AJ43" s="703" t="n"/>
      <c r="AK43" s="703" t="n"/>
      <c r="AL43" s="703" t="n"/>
      <c r="AM43" s="704" t="n"/>
      <c r="AN43" s="703" t="n"/>
      <c r="AO43" s="1126" t="n"/>
      <c r="AP43" s="698" t="n"/>
      <c r="AQ43" s="136" t="n"/>
      <c r="AR43" s="2" t="n"/>
      <c r="AS43" s="1127">
        <f>(AQ46+AQ61)/(AQ13)</f>
        <v/>
      </c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40">
        <f>+I45+I60+I78</f>
        <v/>
      </c>
      <c r="J44" s="441" t="n"/>
      <c r="K44" s="1128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90">
        <f>+AG45+AG60+AG78</f>
        <v/>
      </c>
      <c r="AH44" s="491" t="n"/>
      <c r="AI44" s="1094" t="n"/>
      <c r="AJ44" s="490">
        <f>+AJ45+AJ60+AJ78</f>
        <v/>
      </c>
      <c r="AK44" s="491" t="n"/>
      <c r="AL44" s="1095" t="n"/>
      <c r="AM44" s="581">
        <f>C44+F44+I44+L44+O44+R44+U44+X44+AA44+AD44+AG44+AJ44</f>
        <v/>
      </c>
      <c r="AN44" s="491" t="n"/>
      <c r="AO44" s="1095">
        <f>AM44/AM$13</f>
        <v/>
      </c>
      <c r="AQ44" s="625">
        <f>+AQ45+AQ60+AQ78</f>
        <v/>
      </c>
      <c r="AR44" s="625" t="n"/>
      <c r="AS44" s="1129">
        <f>AQ44/AQ$13</f>
        <v/>
      </c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 t="n"/>
      <c r="I45" s="49">
        <f>+I46+I57</f>
        <v/>
      </c>
      <c r="J45" s="3" t="n"/>
      <c r="K45" s="1078" t="n"/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 t="n"/>
      <c r="U45" s="49">
        <f>+U46+U57</f>
        <v/>
      </c>
      <c r="V45" s="3" t="n"/>
      <c r="W45" s="1078" t="n"/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AM45/AM$13</f>
        <v/>
      </c>
      <c r="AQ45" s="17">
        <f>+AQ46+AQ57</f>
        <v/>
      </c>
      <c r="AR45" s="17" t="n"/>
      <c r="AS45" s="1130" t="n"/>
    </row>
    <row r="46" ht="15" customHeight="1" s="1016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1096" t="n"/>
      <c r="AM46" s="211">
        <f>C46+F46+I46+L46+O46+R46+U46+X46+AA46+AD46+AG46+AJ46</f>
        <v/>
      </c>
      <c r="AN46" s="67" t="n"/>
      <c r="AO46" s="1097">
        <f>AM46/AM13</f>
        <v/>
      </c>
      <c r="AQ46" s="38">
        <f>SUM(AQ47:AQ56)</f>
        <v/>
      </c>
      <c r="AR46" s="38" t="n"/>
      <c r="AS46" s="1131" t="n"/>
    </row>
    <row r="47" ht="15" customHeight="1" s="1016">
      <c r="B47" s="258" t="inlineStr">
        <is>
          <t>COMPLEMENTO INDUSTRIALIZADO (Ins)</t>
        </is>
      </c>
      <c r="C47" s="76" t="n"/>
      <c r="D47" s="42" t="n"/>
      <c r="E47" s="1082" t="n"/>
      <c r="F47" s="76" t="n"/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O47/O12</f>
        <v/>
      </c>
      <c r="Q47" s="1082">
        <f>O47/O15</f>
        <v/>
      </c>
      <c r="R47" s="76" t="n"/>
      <c r="S47" s="42">
        <f>R47/R5</f>
        <v/>
      </c>
      <c r="T47" s="1082">
        <f>R47/R16</f>
        <v/>
      </c>
      <c r="U47" s="76" t="n"/>
      <c r="V47" s="42">
        <f>U47/U12</f>
        <v/>
      </c>
      <c r="W47" s="1082">
        <f>U47/U15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AA47/AA12</f>
        <v/>
      </c>
      <c r="AC47" s="1082">
        <f>AA47/AA15</f>
        <v/>
      </c>
      <c r="AD47" s="76" t="n"/>
      <c r="AE47" s="42">
        <f>AD47/AD12</f>
        <v/>
      </c>
      <c r="AF47" s="1082">
        <f>AD47/AD15</f>
        <v/>
      </c>
      <c r="AG47" s="76" t="n"/>
      <c r="AH47" s="42">
        <f>AG47/AG5</f>
        <v/>
      </c>
      <c r="AI47" s="1082">
        <f>AG47/AG15</f>
        <v/>
      </c>
      <c r="AJ47" s="76" t="n"/>
      <c r="AK47" s="42" t="n"/>
      <c r="AL47" s="1082" t="n"/>
      <c r="AM47" s="97">
        <f>C47+F47+I47+L47+O47+R47+U47+X47+AA47+AD47+AG47+AJ47</f>
        <v/>
      </c>
      <c r="AN47" s="42">
        <f>AM47/AM5</f>
        <v/>
      </c>
      <c r="AO47" s="1082">
        <f>AM47/AM16</f>
        <v/>
      </c>
      <c r="AQ47" s="23" t="n"/>
      <c r="AR47" s="23">
        <f>AQ47/AQ5</f>
        <v/>
      </c>
      <c r="AS47" s="1132">
        <f>AQ47/AQ16</f>
        <v/>
      </c>
    </row>
    <row r="48" ht="15" customHeight="1" s="1016">
      <c r="B48" s="258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0" t="n"/>
      <c r="AQ48" s="24" t="n"/>
      <c r="AR48" s="24" t="n"/>
      <c r="AS48" s="1133" t="n"/>
    </row>
    <row r="49" ht="15" customHeight="1" s="1016">
      <c r="B49" s="258" t="n"/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5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5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4.4" customHeight="1" s="1016">
      <c r="B51" s="258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1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5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0.2" customHeight="1" s="1016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5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0.2" customHeight="1" s="1016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5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0.2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5" t="n"/>
      <c r="AN54" s="43" t="n"/>
      <c r="AO54" s="1071" t="n"/>
      <c r="AQ54" s="24" t="n"/>
      <c r="AR54" s="24" t="n"/>
      <c r="AS54" s="1133" t="n"/>
    </row>
    <row r="55" hidden="1" ht="10.2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5" t="n"/>
      <c r="AN55" s="43" t="n"/>
      <c r="AO55" s="1071" t="n"/>
      <c r="AQ55" s="24" t="n"/>
      <c r="AR55" s="24" t="n"/>
      <c r="AS55" s="1133" t="n"/>
    </row>
    <row r="56" hidden="1" ht="10.2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>
        <f>C56+F56+I56+L56+O56+R56+U56+X56+AA56+AD56+AG56+AJ56</f>
        <v/>
      </c>
      <c r="AN56" s="42" t="n"/>
      <c r="AO56" s="1083" t="n"/>
      <c r="AQ56" s="23" t="n"/>
      <c r="AR56" s="23" t="n"/>
      <c r="AS56" s="1132" t="n"/>
    </row>
    <row r="57" hidden="1" ht="10.2" customHeight="1" s="1016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 t="n"/>
      <c r="H57" s="1074" t="n"/>
      <c r="I57" s="46">
        <f>SUM(I58:I59)</f>
        <v/>
      </c>
      <c r="J57" s="47">
        <f>I57/I12</f>
        <v/>
      </c>
      <c r="K57" s="1074">
        <f>I57/I16</f>
        <v/>
      </c>
      <c r="L57" s="46">
        <f>SUM(L58:L59)</f>
        <v/>
      </c>
      <c r="M57" s="47">
        <f>L57/L5</f>
        <v/>
      </c>
      <c r="N57" s="1074">
        <f>L57/L16</f>
        <v/>
      </c>
      <c r="O57" s="46">
        <f>SUM(O58:O59)</f>
        <v/>
      </c>
      <c r="P57" s="47">
        <f>O57/O5</f>
        <v/>
      </c>
      <c r="Q57" s="1074">
        <f>O57/O16</f>
        <v/>
      </c>
      <c r="R57" s="46">
        <f>SUM(R58:R59)</f>
        <v/>
      </c>
      <c r="S57" s="47">
        <f>R57/R5</f>
        <v/>
      </c>
      <c r="T57" s="1074">
        <f>R57/R16</f>
        <v/>
      </c>
      <c r="U57" s="46">
        <f>SUM(U58:U59)</f>
        <v/>
      </c>
      <c r="V57" s="47">
        <f>U57/U5</f>
        <v/>
      </c>
      <c r="W57" s="1074">
        <f>U57/U16</f>
        <v/>
      </c>
      <c r="X57" s="46">
        <f>SUM(X58:X59)</f>
        <v/>
      </c>
      <c r="Y57" s="47">
        <f>X57/X5</f>
        <v/>
      </c>
      <c r="Z57" s="1074">
        <f>X57/X16</f>
        <v/>
      </c>
      <c r="AA57" s="46">
        <f>SUM(AA58:AA59)</f>
        <v/>
      </c>
      <c r="AB57" s="47">
        <f>AA57/AA5</f>
        <v/>
      </c>
      <c r="AC57" s="1074">
        <f>AA57/AA16</f>
        <v/>
      </c>
      <c r="AD57" s="46">
        <f>SUM(AD58:AD59)</f>
        <v/>
      </c>
      <c r="AE57" s="47">
        <f>AD57/AD5</f>
        <v/>
      </c>
      <c r="AF57" s="1074">
        <f>AD57/AD16</f>
        <v/>
      </c>
      <c r="AG57" s="46">
        <f>SUM(AG58:AG59)</f>
        <v/>
      </c>
      <c r="AH57" s="47">
        <f>AG57/AG5</f>
        <v/>
      </c>
      <c r="AI57" s="1074">
        <f>AG57/AG16</f>
        <v/>
      </c>
      <c r="AJ57" s="46">
        <f>SUM(AJ58:AJ59)</f>
        <v/>
      </c>
      <c r="AK57" s="47" t="n"/>
      <c r="AL57" s="1074" t="n"/>
      <c r="AM57" s="207">
        <f>C57+F57+I57+L57+O57+R57+U57+X57+AA57+AD57+AG57+AJ57</f>
        <v/>
      </c>
      <c r="AN57" s="47">
        <f>AM57/AM12</f>
        <v/>
      </c>
      <c r="AO57" s="1074">
        <f>AM57/AM16</f>
        <v/>
      </c>
      <c r="AQ57" s="29" t="n"/>
      <c r="AR57" s="29" t="n"/>
      <c r="AS57" s="1135" t="n"/>
    </row>
    <row r="58" hidden="1" ht="10.2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>
        <f>'%DIST'!N22*'GASTOS VEHICULOS'!I25</f>
        <v/>
      </c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>
        <f>'%DIST'!X22*'GASTOS VEHICULOS'!N27</f>
        <v/>
      </c>
      <c r="AK58" s="305" t="n"/>
      <c r="AL58" s="1136" t="n"/>
      <c r="AM58" s="413">
        <f>C58+F58+I58+L58+O58+R58+U58+X58+AA58+AD58+AG58+AJ58</f>
        <v/>
      </c>
      <c r="AN58" s="305" t="n"/>
      <c r="AO58" s="1137">
        <f>AM58/AM$13</f>
        <v/>
      </c>
      <c r="AQ58" s="298" t="n"/>
      <c r="AR58" s="298" t="n"/>
      <c r="AS58" s="1138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1072" t="n"/>
      <c r="AM59" s="206">
        <f>C59+F59+I59+L59+O59+R59+U59+X59+AA59+AD59+AG59+AJ59</f>
        <v/>
      </c>
      <c r="AN59" s="84">
        <f>AM59/AM12</f>
        <v/>
      </c>
      <c r="AO59" s="1139">
        <f>AM59/(AM13)</f>
        <v/>
      </c>
      <c r="AP59" s="2" t="n"/>
      <c r="AQ59" s="349" t="n"/>
      <c r="AR59" s="349" t="n"/>
      <c r="AS59" s="1140" t="n"/>
    </row>
    <row r="60" ht="15" customHeight="1" s="1016">
      <c r="B60" s="16" t="inlineStr">
        <is>
          <t>COSTOS PREPARADOS</t>
        </is>
      </c>
      <c r="C60" s="49">
        <f>+C61+C73+C74+C75+C76+C77</f>
        <v/>
      </c>
      <c r="D60" s="3" t="n"/>
      <c r="E60" s="1074" t="n"/>
      <c r="F60" s="49">
        <f>+F61+F72+F75+F76+F77</f>
        <v/>
      </c>
      <c r="G60" s="3" t="n"/>
      <c r="H60" s="1074" t="n"/>
      <c r="I60" s="49">
        <f>+I61+I72+I75+I76+I77</f>
        <v/>
      </c>
      <c r="J60" s="3" t="n"/>
      <c r="K60" s="1074" t="n"/>
      <c r="L60" s="49">
        <f>+L61+L72+L75+L76+L77</f>
        <v/>
      </c>
      <c r="M60" s="3" t="n"/>
      <c r="N60" s="1074" t="n"/>
      <c r="O60" s="49">
        <f>+O61+O72+O75+O76+O77</f>
        <v/>
      </c>
      <c r="P60" s="3" t="n"/>
      <c r="Q60" s="1074" t="n"/>
      <c r="R60" s="49">
        <f>+R61+R72+R75+R76+R77</f>
        <v/>
      </c>
      <c r="S60" s="3" t="n"/>
      <c r="T60" s="1074" t="n"/>
      <c r="U60" s="49">
        <f>+U61+U72+U75+U76+U77</f>
        <v/>
      </c>
      <c r="V60" s="3" t="n"/>
      <c r="W60" s="1074" t="n"/>
      <c r="X60" s="49">
        <f>+X61+X72+X75+X76+X77</f>
        <v/>
      </c>
      <c r="Y60" s="3" t="n"/>
      <c r="Z60" s="1074" t="n"/>
      <c r="AA60" s="49">
        <f>+AA61+AA72+AA75+AA76+AA77</f>
        <v/>
      </c>
      <c r="AB60" s="3" t="n"/>
      <c r="AC60" s="1074" t="n"/>
      <c r="AD60" s="49">
        <f>+AD61+AD72+AD75+AD76+AD77</f>
        <v/>
      </c>
      <c r="AE60" s="3" t="n"/>
      <c r="AF60" s="1074" t="n"/>
      <c r="AG60" s="49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 t="n"/>
      <c r="AO60" s="1074">
        <f>AM60/AM$13</f>
        <v/>
      </c>
      <c r="AQ60" s="17">
        <f>+AQ61+AQ72+AQ75+AQ76+AQ77</f>
        <v/>
      </c>
      <c r="AR60" s="17" t="n"/>
      <c r="AS60" s="1130" t="n"/>
    </row>
    <row r="61" hidden="1" ht="15" customHeight="1" s="1016">
      <c r="B61" s="36" t="inlineStr">
        <is>
          <t>INSUMOS CP</t>
        </is>
      </c>
      <c r="C61" s="37">
        <f>SUM(C62:C66)+C72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 t="n"/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1">
        <f>C61+F61+I61+L61+O61+R61+U61+X61+AA61+AD61+AG61+AJ61</f>
        <v/>
      </c>
      <c r="AN61" s="67" t="n"/>
      <c r="AO61" s="1097" t="n"/>
      <c r="AQ61" s="38">
        <f>SUM(AQ62:AQ71)</f>
        <v/>
      </c>
      <c r="AR61" s="38" t="n"/>
      <c r="AS61" s="1131" t="n"/>
    </row>
    <row r="62" hidden="1" ht="15" customHeight="1" s="1016">
      <c r="B62" s="258" t="inlineStr">
        <is>
          <t>COMPLEMENTO PREPARADO (Ins)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2">
        <f>C62+F62+I62+L62+O62+R62+U62+X62+AA62+AD62+AG62+AJ62</f>
        <v/>
      </c>
      <c r="AN62" s="79" t="n"/>
      <c r="AO62" s="1080" t="n"/>
      <c r="AQ62" s="81" t="n"/>
      <c r="AR62" s="81">
        <f>AQ62/AQ6</f>
        <v/>
      </c>
      <c r="AS62" s="1141">
        <f>AQ62/AQ17</f>
        <v/>
      </c>
    </row>
    <row r="63" hidden="1" ht="15" customHeight="1" s="1016">
      <c r="B63" s="258" t="inlineStr">
        <is>
          <t>ALMUERZO JORNADA UNICA (Ins)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5">
        <f>C63+F63+I63+L63+O63+R63+U63+X63+AA63+AD63+AG63+AJ63</f>
        <v/>
      </c>
      <c r="AN63" s="43" t="n"/>
      <c r="AO63" s="1070" t="n"/>
      <c r="AQ63" s="24" t="n"/>
      <c r="AR63" s="24">
        <f>AQ63/AQ7</f>
        <v/>
      </c>
      <c r="AS63" s="1133">
        <f>AQ63/AQ18</f>
        <v/>
      </c>
    </row>
    <row r="64" hidden="1" ht="15" customHeight="1" s="1016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5">
        <f>C64+F64+I64+L64+O64+R64+U64+X64+AA64+AD64+AG64+AJ64</f>
        <v/>
      </c>
      <c r="AN64" s="43" t="n"/>
      <c r="AO64" s="1071" t="n"/>
      <c r="AQ64" s="24" t="n"/>
      <c r="AR64" s="24">
        <f>AQ64/AQ8</f>
        <v/>
      </c>
      <c r="AS64" s="1133">
        <f>AQ64/AQ19</f>
        <v/>
      </c>
    </row>
    <row r="65" hidden="1" ht="15" customHeight="1" s="1016">
      <c r="B65" s="258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5">
        <f>C65+F65+I65+L65+O65+R65+U65+X65+AA65+AD65+AG65+AJ65</f>
        <v/>
      </c>
      <c r="AN65" s="43" t="n"/>
      <c r="AO65" s="1071" t="n"/>
      <c r="AQ65" s="24" t="n"/>
      <c r="AR65" s="24" t="n"/>
      <c r="AS65" s="1133" t="n"/>
    </row>
    <row r="66" hidden="1" ht="15" customHeight="1" s="1016"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5">
        <f>C66+F66+I66+L66+O66+R66+U66+X66+AA66+AD66+AG66+AJ66</f>
        <v/>
      </c>
      <c r="AN66" s="43" t="n"/>
      <c r="AO66" s="1071" t="n"/>
      <c r="AQ66" s="24" t="n"/>
      <c r="AR66" s="24" t="n"/>
      <c r="AS66" s="1133" t="n"/>
    </row>
    <row r="67" hidden="1" ht="10.2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5" t="n"/>
      <c r="AN67" s="43" t="n"/>
      <c r="AO67" s="1071" t="n"/>
      <c r="AQ67" s="24" t="n"/>
      <c r="AR67" s="24" t="n"/>
      <c r="AS67" s="1133" t="n"/>
    </row>
    <row r="68" hidden="1" ht="10.2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5" t="n"/>
      <c r="AN68" s="43" t="n"/>
      <c r="AO68" s="1071" t="n"/>
      <c r="AQ68" s="24" t="n"/>
      <c r="AR68" s="24" t="n"/>
      <c r="AS68" s="1133" t="n"/>
    </row>
    <row r="69" hidden="1" ht="10.2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5" t="n"/>
      <c r="AN69" s="43" t="n"/>
      <c r="AO69" s="1071" t="n"/>
      <c r="AQ69" s="24" t="n"/>
      <c r="AR69" s="24" t="n"/>
      <c r="AS69" s="1133" t="n"/>
    </row>
    <row r="70" hidden="1" ht="10.2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5" t="n"/>
      <c r="AN70" s="43" t="n"/>
      <c r="AO70" s="1071" t="n"/>
      <c r="AQ70" s="24" t="n"/>
      <c r="AR70" s="24" t="n"/>
      <c r="AS70" s="1133" t="n"/>
    </row>
    <row r="71" hidden="1" ht="10.2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6" t="n"/>
      <c r="AN71" s="84" t="n"/>
      <c r="AO71" s="1073" t="n"/>
      <c r="AQ71" s="349" t="n"/>
      <c r="AR71" s="349" t="n"/>
      <c r="AS71" s="1140" t="n"/>
    </row>
    <row r="72" ht="15" customHeight="1" s="1016">
      <c r="B72" s="36" t="inlineStr">
        <is>
          <t>FLETES CP</t>
        </is>
      </c>
      <c r="C72" s="46" t="n"/>
      <c r="D72" s="47" t="n"/>
      <c r="E72" s="1074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1096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>
        <f>AQ72/(AQ$12-AQ$8)</f>
        <v/>
      </c>
      <c r="AS72" s="1135">
        <f>AQ72/(AQ$13-AQ$19)</f>
        <v/>
      </c>
    </row>
    <row r="73" ht="15" customHeight="1" s="1016">
      <c r="B73" s="411" t="inlineStr">
        <is>
          <t>PREPARADOS PROPIOS</t>
        </is>
      </c>
      <c r="C73" s="78" t="n"/>
      <c r="D73" s="79" t="n"/>
      <c r="E73" s="1080" t="n"/>
      <c r="F73" s="304" t="n"/>
      <c r="G73" s="305" t="n"/>
      <c r="H73" s="1136" t="n"/>
      <c r="I73" s="304" t="n"/>
      <c r="J73" s="305" t="n"/>
      <c r="K73" s="1136" t="n"/>
      <c r="L73" s="304" t="n"/>
      <c r="M73" s="305" t="n"/>
      <c r="N73" s="1136" t="n"/>
      <c r="O73" s="78" t="n"/>
      <c r="P73" s="305" t="n"/>
      <c r="Q73" s="1136" t="n"/>
      <c r="R73" s="304" t="n"/>
      <c r="S73" s="305" t="n"/>
      <c r="T73" s="1136" t="n"/>
      <c r="U73" s="304" t="n"/>
      <c r="V73" s="305" t="n"/>
      <c r="W73" s="1136" t="n"/>
      <c r="X73" s="78" t="n"/>
      <c r="Y73" s="305" t="n"/>
      <c r="Z73" s="1136" t="n"/>
      <c r="AA73" s="304" t="n"/>
      <c r="AB73" s="305" t="n"/>
      <c r="AC73" s="1136" t="n"/>
      <c r="AD73" s="304" t="n"/>
      <c r="AE73" s="305" t="n"/>
      <c r="AF73" s="1136" t="n"/>
      <c r="AG73" s="304" t="n"/>
      <c r="AH73" s="305" t="n"/>
      <c r="AI73" s="1136" t="n"/>
      <c r="AJ73" s="304" t="n"/>
      <c r="AK73" s="305" t="n"/>
      <c r="AL73" s="1136" t="n"/>
      <c r="AM73" s="413">
        <f>C73+F73+I73+L73+O73+R73+U73+X73+AA73+AD73+AG73+AJ73</f>
        <v/>
      </c>
      <c r="AN73" s="305" t="n"/>
      <c r="AO73" s="1142" t="n"/>
      <c r="AQ73" s="298" t="n"/>
      <c r="AR73" s="298" t="n"/>
      <c r="AS73" s="1138" t="n"/>
    </row>
    <row r="74" ht="15" customHeight="1" s="1016">
      <c r="B74" s="415" t="inlineStr">
        <is>
          <t>PREPARADOS TERCEROS</t>
        </is>
      </c>
      <c r="C74" s="273" t="n"/>
      <c r="D74" s="134" t="n"/>
      <c r="E74" s="1143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27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27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6">
        <f>C74+F74+I74+L74+O74+R74+U74+X74+AA74+AD74+AG74+AJ74</f>
        <v/>
      </c>
      <c r="AN74" s="84" t="n"/>
      <c r="AO74" s="1072" t="n"/>
      <c r="AQ74" s="349" t="n"/>
      <c r="AR74" s="349" t="n"/>
      <c r="AS74" s="1140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1">
        <f>C75+F75+I75+L75+O75+R75+U75+X75+AA75+AD75+AG75+AJ75</f>
        <v/>
      </c>
      <c r="AN75" s="67" t="n"/>
      <c r="AO75" s="1097" t="n"/>
      <c r="AQ75" s="38" t="n"/>
      <c r="AR75" s="38" t="n"/>
      <c r="AS75" s="1131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1">
        <f>C76+F76+I76+L76+O76+R76+U76+X76+AA76+AD76+AG76+AJ76</f>
        <v/>
      </c>
      <c r="AN76" s="67" t="n"/>
      <c r="AO76" s="1100" t="n"/>
      <c r="AQ76" s="38" t="n"/>
      <c r="AR76" s="38">
        <f>AQ76/(AQ$12-AQ$8)</f>
        <v/>
      </c>
      <c r="AS76" s="1131">
        <f>AQ76/(AQ$13-AQ$19)</f>
        <v/>
      </c>
    </row>
    <row r="77" ht="15" customHeight="1" s="1016">
      <c r="B77" s="66" t="inlineStr">
        <is>
          <t>Servicio de Gas</t>
        </is>
      </c>
      <c r="C77" s="28" t="n"/>
      <c r="D77" s="45" t="n"/>
      <c r="E77" s="1096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37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 t="n"/>
      <c r="AO77" s="1100" t="n"/>
      <c r="AQ77" s="27" t="n"/>
      <c r="AR77" s="27">
        <f>AQ77/(AQ$12-AQ$8)</f>
        <v/>
      </c>
      <c r="AS77" s="1144">
        <f>AQ77/(AQ$13-AQ$19)</f>
        <v/>
      </c>
    </row>
    <row r="78" ht="15" customHeight="1" s="1016">
      <c r="B78" s="17" t="inlineStr">
        <is>
          <t>MANO DE OBRA DIRECTA</t>
        </is>
      </c>
      <c r="C78" s="49">
        <f>SUM(C79:C81)</f>
        <v/>
      </c>
      <c r="D78" s="3" t="n"/>
      <c r="E78" s="1078" t="n"/>
      <c r="F78" s="93">
        <f>SUM(F79:F81)</f>
        <v/>
      </c>
      <c r="G78" s="3" t="n"/>
      <c r="H78" s="1078">
        <f>F78/F$13</f>
        <v/>
      </c>
      <c r="I78" s="93">
        <f>SUM(I79:I81)</f>
        <v/>
      </c>
      <c r="J78" s="3" t="n"/>
      <c r="K78" s="1078">
        <f>I78/I$13</f>
        <v/>
      </c>
      <c r="L78" s="49">
        <f>SUM(L79:L81)</f>
        <v/>
      </c>
      <c r="M78" s="3" t="n"/>
      <c r="N78" s="1078">
        <f>L78/L$13</f>
        <v/>
      </c>
      <c r="O78" s="49">
        <f>SUM(O79:O81)</f>
        <v/>
      </c>
      <c r="P78" s="3" t="n"/>
      <c r="Q78" s="1078">
        <f>O78/O$13</f>
        <v/>
      </c>
      <c r="R78" s="49">
        <f>SUM(R79:R81)</f>
        <v/>
      </c>
      <c r="S78" s="3" t="n"/>
      <c r="T78" s="1078">
        <f>R78/R$13</f>
        <v/>
      </c>
      <c r="U78" s="49">
        <f>SUM(U79:U81)</f>
        <v/>
      </c>
      <c r="V78" s="3" t="n"/>
      <c r="W78" s="1078" t="n"/>
      <c r="X78" s="49">
        <f>SUM(X79:X81)</f>
        <v/>
      </c>
      <c r="Y78" s="3" t="n"/>
      <c r="Z78" s="1078">
        <f>X78/X$13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 t="n"/>
      <c r="AK78" s="3" t="n"/>
      <c r="AL78" s="1078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AQ78/(AQ$12-AQ$8)</f>
        <v/>
      </c>
      <c r="AS78" s="1130">
        <f>AQ78/(AQ$13-AQ$19)</f>
        <v/>
      </c>
    </row>
    <row r="79" ht="15" customHeight="1" s="1016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02" t="n"/>
      <c r="AM79" s="268">
        <f>C79+F79+I79+L79+O79+R79+U79+X79+AA79+AD79+AG79+AJ79</f>
        <v/>
      </c>
      <c r="AN79" s="4" t="n"/>
      <c r="AO79" s="1103">
        <f>AM79/(AM$13)</f>
        <v/>
      </c>
      <c r="AP79" s="696" t="n"/>
      <c r="AQ79" s="619" t="n"/>
      <c r="AR79" s="619">
        <f>AQ79/(AQ$12-AQ$8)</f>
        <v/>
      </c>
      <c r="AS79" s="1145">
        <f>AQ79/(AQ$13-AQ$19)</f>
        <v/>
      </c>
    </row>
    <row r="80" ht="15" customHeight="1" s="1016">
      <c r="B80" s="474" t="inlineStr">
        <is>
          <t>Personal Supervisor - Coordinadores</t>
        </is>
      </c>
      <c r="C80" s="25" t="n"/>
      <c r="D80" s="43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1070" t="n"/>
      <c r="AM80" s="205">
        <f>C80+F80+I80+L80+O80+R80+U80+X80+AA80+AD80+AG80+AJ80</f>
        <v/>
      </c>
      <c r="AN80" s="43" t="n"/>
      <c r="AO80" s="1071" t="n"/>
      <c r="AQ80" s="24" t="n"/>
      <c r="AR80" s="24">
        <f>AQ80/(AQ$12-AQ$8)</f>
        <v/>
      </c>
      <c r="AS80" s="1133">
        <f>AQ80/(AQ$13-AQ$19)</f>
        <v/>
      </c>
    </row>
    <row r="81" ht="15" customHeight="1" s="1016" thickBot="1">
      <c r="B81" s="300" t="inlineStr">
        <is>
          <t>Temporales MOD</t>
        </is>
      </c>
      <c r="C81" s="269" t="n"/>
      <c r="D81" s="214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1104" t="n"/>
      <c r="AM81" s="213">
        <f>C81+F81+I81+L81+O81+R81+U81+X81+AA81+AD81+AG81+AJ81</f>
        <v/>
      </c>
      <c r="AN81" s="214" t="n"/>
      <c r="AO81" s="1105" t="n"/>
      <c r="AQ81" s="98" t="n"/>
      <c r="AR81" s="98" t="n"/>
      <c r="AS81" s="1146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  <c r="AQ82" s="136" t="n"/>
      <c r="AR82" s="136" t="n"/>
      <c r="AS82" s="1147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F83/F$13</f>
        <v/>
      </c>
      <c r="I83" s="490">
        <f>+I84+I89+I92+I96+I99+I109+I114+I120+I123+I127</f>
        <v/>
      </c>
      <c r="J83" s="491" t="n"/>
      <c r="K83" s="1094">
        <f>I83/I$13</f>
        <v/>
      </c>
      <c r="L83" s="490">
        <f>+L84+L89+L92+L96+L99+L109+L114+L120+L123+L127</f>
        <v/>
      </c>
      <c r="M83" s="491" t="n"/>
      <c r="N83" s="1094">
        <f>L83/L$13</f>
        <v/>
      </c>
      <c r="O83" s="490">
        <f>+O84+O89+O92+O96+O99+O109+O114+O120+O123+O127</f>
        <v/>
      </c>
      <c r="P83" s="491" t="n"/>
      <c r="Q83" s="1094">
        <f>O83/O$13</f>
        <v/>
      </c>
      <c r="R83" s="490">
        <f>+R84+R89+R92+R96+R99+R109+R114+R120+R123+R127</f>
        <v/>
      </c>
      <c r="S83" s="491" t="n"/>
      <c r="T83" s="1094">
        <f>R83/R$13</f>
        <v/>
      </c>
      <c r="U83" s="490">
        <f>+U84+U89+U92+U96+U99+U109+U114+U120+U123+U127</f>
        <v/>
      </c>
      <c r="V83" s="491" t="n"/>
      <c r="W83" s="1094" t="n"/>
      <c r="X83" s="490">
        <f>+X84+X89+X92+X96+X99+X109+X114+X120+X123+X127</f>
        <v/>
      </c>
      <c r="Y83" s="491" t="n"/>
      <c r="Z83" s="1094">
        <f>X83/X$13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1">
        <f>C83+F83+I83+L83+O83+R83+U83+X83+AA83+AD83+AG83+AJ83</f>
        <v/>
      </c>
      <c r="AN83" s="491" t="n"/>
      <c r="AO83" s="1106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29">
        <f>AQ83/(AQ$13-AQ$19)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F84/F$13</f>
        <v/>
      </c>
      <c r="I84" s="49">
        <f>SUM(I85:I88)</f>
        <v/>
      </c>
      <c r="J84" s="3" t="n"/>
      <c r="K84" s="1078">
        <f>I84/I$13</f>
        <v/>
      </c>
      <c r="L84" s="49">
        <f>SUM(L85:L88)</f>
        <v/>
      </c>
      <c r="M84" s="3" t="n"/>
      <c r="N84" s="1078">
        <f>L84/L$13</f>
        <v/>
      </c>
      <c r="O84" s="49">
        <f>SUM(O85:O88)</f>
        <v/>
      </c>
      <c r="P84" s="3" t="n"/>
      <c r="Q84" s="1078">
        <f>O84/O$13</f>
        <v/>
      </c>
      <c r="R84" s="49">
        <f>SUM(R85:R88)</f>
        <v/>
      </c>
      <c r="S84" s="3" t="n"/>
      <c r="T84" s="1078">
        <f>R84/R$13</f>
        <v/>
      </c>
      <c r="U84" s="49">
        <f>SUM(U85:U88)</f>
        <v/>
      </c>
      <c r="V84" s="3" t="n"/>
      <c r="W84" s="1078" t="n"/>
      <c r="X84" s="49">
        <f>SUM(X85:X88)</f>
        <v/>
      </c>
      <c r="Y84" s="3" t="n"/>
      <c r="Z84" s="1078">
        <f>X84/X$13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 t="n"/>
      <c r="AG84" s="49">
        <f>SUM(AG85:AG88)</f>
        <v/>
      </c>
      <c r="AH84" s="3" t="n"/>
      <c r="AI84" s="1078" t="n"/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AQ84/(AQ$12-AQ$8)</f>
        <v/>
      </c>
      <c r="AS84" s="1130">
        <f>AQ84/(AQ$13-AQ$19)</f>
        <v/>
      </c>
    </row>
    <row r="85" ht="15" customHeight="1" s="1016">
      <c r="B85" s="284" t="inlineStr">
        <is>
          <t>Costos Indirectos de Personal</t>
        </is>
      </c>
      <c r="C85" s="91" t="n"/>
      <c r="D85" s="69" t="n"/>
      <c r="E85" s="1102" t="n"/>
      <c r="F85" s="91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02" t="n"/>
      <c r="AM85" s="209">
        <f>C85+F85+I85+L85+O85+R85+U85+X85+AA85+AD85+AG85+AJ85</f>
        <v/>
      </c>
      <c r="AN85" s="69" t="n"/>
      <c r="AO85" s="1102">
        <f>AM85/(AM$13)</f>
        <v/>
      </c>
      <c r="AQ85" s="31" t="n"/>
      <c r="AR85" s="31" t="n"/>
      <c r="AS85" s="1148">
        <f>AQ85/(AQ$13-AQ$19)</f>
        <v/>
      </c>
    </row>
    <row r="86" ht="15" customHeight="1" s="1016">
      <c r="B86" s="24" t="inlineStr">
        <is>
          <t>Dotación y Suministros</t>
        </is>
      </c>
      <c r="C86" s="25" t="n"/>
      <c r="D86" s="43" t="n"/>
      <c r="E86" s="1070" t="n"/>
      <c r="F86" s="25" t="n"/>
      <c r="G86" s="43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 t="n"/>
      <c r="AQ86" s="24" t="n"/>
      <c r="AR86" s="24" t="n"/>
      <c r="AS86" s="1133">
        <f>AQ86/(AQ$13-AQ$19)</f>
        <v/>
      </c>
    </row>
    <row r="87" ht="15" customHeight="1" s="1016">
      <c r="B87" s="24" t="inlineStr">
        <is>
          <t>Gastos Medicos</t>
        </is>
      </c>
      <c r="C87" s="25" t="n"/>
      <c r="D87" s="43" t="n"/>
      <c r="E87" s="1070" t="n"/>
      <c r="F87" s="25" t="n"/>
      <c r="G87" s="43" t="n"/>
      <c r="H87" s="1070" t="n"/>
      <c r="I87" s="25" t="n"/>
      <c r="J87" s="43" t="n"/>
      <c r="K87" s="1070" t="n"/>
      <c r="L87" s="25" t="n"/>
      <c r="M87" s="43" t="n"/>
      <c r="N87" s="1070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 t="n"/>
      <c r="AQ87" s="24" t="n"/>
      <c r="AR87" s="24" t="n"/>
      <c r="AS87" s="1133">
        <f>AQ87/(AQ$13-AQ$19)</f>
        <v/>
      </c>
    </row>
    <row r="88" ht="15" customHeight="1" s="1016">
      <c r="B88" s="429" t="inlineStr">
        <is>
          <t>Incapacidades</t>
        </is>
      </c>
      <c r="C88" s="273" t="n"/>
      <c r="D88" s="134" t="n"/>
      <c r="E88" s="1143" t="n"/>
      <c r="F88" s="273" t="n"/>
      <c r="G88" s="134" t="n"/>
      <c r="H88" s="1143" t="n"/>
      <c r="I88" s="273" t="n"/>
      <c r="J88" s="134" t="n"/>
      <c r="K88" s="1143" t="n"/>
      <c r="L88" s="273" t="n"/>
      <c r="M88" s="134" t="n"/>
      <c r="N88" s="1143" t="n"/>
      <c r="O88" s="273" t="n"/>
      <c r="P88" s="134" t="n"/>
      <c r="Q88" s="1143" t="n"/>
      <c r="R88" s="273" t="n"/>
      <c r="S88" s="134" t="n"/>
      <c r="T88" s="1143" t="n"/>
      <c r="U88" s="273" t="n"/>
      <c r="V88" s="134" t="n"/>
      <c r="W88" s="1143" t="n"/>
      <c r="X88" s="273" t="n"/>
      <c r="Y88" s="134" t="n"/>
      <c r="Z88" s="1143" t="n"/>
      <c r="AA88" s="273" t="n"/>
      <c r="AB88" s="134" t="n"/>
      <c r="AC88" s="1143" t="n"/>
      <c r="AD88" s="273" t="n"/>
      <c r="AE88" s="134" t="n"/>
      <c r="AF88" s="1143" t="n"/>
      <c r="AG88" s="273" t="n"/>
      <c r="AH88" s="134" t="n"/>
      <c r="AI88" s="1143" t="n"/>
      <c r="AJ88" s="273" t="n"/>
      <c r="AK88" s="134" t="n"/>
      <c r="AL88" s="1143" t="n"/>
      <c r="AM88" s="429" t="n"/>
      <c r="AN88" s="134" t="n"/>
      <c r="AO88" s="1073" t="n"/>
      <c r="AQ88" s="349" t="n"/>
      <c r="AR88" s="349" t="n"/>
      <c r="AS88" s="1140" t="n"/>
    </row>
    <row r="89" ht="15" customHeight="1" s="1016">
      <c r="B89" s="16" t="inlineStr">
        <is>
          <t>HONORARIOS</t>
        </is>
      </c>
      <c r="C89" s="90">
        <f>SUM(C90:C91)</f>
        <v/>
      </c>
      <c r="D89" s="3" t="n"/>
      <c r="E89" s="1078" t="n"/>
      <c r="F89" s="90">
        <f>SUM(F90:F91)</f>
        <v/>
      </c>
      <c r="G89" s="3" t="n"/>
      <c r="H89" s="1078">
        <f>F89/F$13</f>
        <v/>
      </c>
      <c r="I89" s="90">
        <f>SUM(I90:I91)</f>
        <v/>
      </c>
      <c r="J89" s="3" t="n"/>
      <c r="K89" s="1078">
        <f>I89/I$13</f>
        <v/>
      </c>
      <c r="L89" s="49">
        <f>SUM(L90:L91)</f>
        <v/>
      </c>
      <c r="M89" s="3" t="n"/>
      <c r="N89" s="1078">
        <f>L89/L$13</f>
        <v/>
      </c>
      <c r="O89" s="49">
        <f>SUM(O90:O91)</f>
        <v/>
      </c>
      <c r="P89" s="3" t="n"/>
      <c r="Q89" s="1078">
        <f>O89/O$13</f>
        <v/>
      </c>
      <c r="R89" s="49">
        <f>SUM(R90:R91)</f>
        <v/>
      </c>
      <c r="S89" s="3" t="n"/>
      <c r="T89" s="1078">
        <f>R89/R$13</f>
        <v/>
      </c>
      <c r="U89" s="49">
        <f>SUM(U90:U91)</f>
        <v/>
      </c>
      <c r="V89" s="3" t="n"/>
      <c r="W89" s="1078" t="n"/>
      <c r="X89" s="49">
        <f>SUM(X90:X91)</f>
        <v/>
      </c>
      <c r="Y89" s="3" t="n"/>
      <c r="Z89" s="1078">
        <f>X89/X$13</f>
        <v/>
      </c>
      <c r="AA89" s="49">
        <f>SUM(AA90:AA91)</f>
        <v/>
      </c>
      <c r="AB89" s="3" t="n"/>
      <c r="AC89" s="1078" t="n"/>
      <c r="AD89" s="49" t="n"/>
      <c r="AE89" s="3" t="n"/>
      <c r="AF89" s="1078" t="n"/>
      <c r="AG89" s="49" t="n"/>
      <c r="AH89" s="3" t="n"/>
      <c r="AI89" s="1078" t="n"/>
      <c r="AJ89" s="49" t="n"/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  <c r="AQ89" s="17" t="n"/>
      <c r="AR89" s="17">
        <f>AQ89/(AQ$12-AQ$8)</f>
        <v/>
      </c>
      <c r="AS89" s="1130">
        <f>AQ89/(AQ$13-AQ$19)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9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6">
        <f>C91+F91+I91+L91+O91+R91+U91+X91+AA91+AD91+AG91+AJ91</f>
        <v/>
      </c>
      <c r="AN91" s="84" t="n"/>
      <c r="AO91" s="1073" t="n"/>
      <c r="AQ91" s="349" t="n"/>
      <c r="AR91" s="349" t="n"/>
      <c r="AS91" s="1140" t="n"/>
    </row>
    <row r="92" ht="15" customHeight="1" s="1016">
      <c r="B92" s="16" t="inlineStr">
        <is>
          <t>ARRENDAMIENTOS</t>
        </is>
      </c>
      <c r="C92" s="90">
        <f>SUM(C93:C95)</f>
        <v/>
      </c>
      <c r="D92" s="3" t="n"/>
      <c r="E92" s="1078" t="n"/>
      <c r="F92" s="90">
        <f>SUM(F93:F95)</f>
        <v/>
      </c>
      <c r="G92" s="3" t="n"/>
      <c r="H92" s="1078">
        <f>F92/F$13</f>
        <v/>
      </c>
      <c r="I92" s="90">
        <f>SUM(I93:I95)</f>
        <v/>
      </c>
      <c r="J92" s="3" t="n"/>
      <c r="K92" s="1078">
        <f>I92/I$13</f>
        <v/>
      </c>
      <c r="L92" s="49">
        <f>SUM(L93:L95)</f>
        <v/>
      </c>
      <c r="M92" s="3" t="n"/>
      <c r="N92" s="1078">
        <f>L92/L$13</f>
        <v/>
      </c>
      <c r="O92" s="49">
        <f>SUM(O93:O95)</f>
        <v/>
      </c>
      <c r="P92" s="3" t="n"/>
      <c r="Q92" s="1078">
        <f>O92/O$13</f>
        <v/>
      </c>
      <c r="R92" s="49">
        <f>SUM(R93:R95)</f>
        <v/>
      </c>
      <c r="S92" s="3" t="n"/>
      <c r="T92" s="1078">
        <f>R92/R$13</f>
        <v/>
      </c>
      <c r="U92" s="49">
        <f>SUM(U93:U95)</f>
        <v/>
      </c>
      <c r="V92" s="3" t="n"/>
      <c r="W92" s="1078" t="n"/>
      <c r="X92" s="49">
        <f>SUM(X93:X95)</f>
        <v/>
      </c>
      <c r="Y92" s="3" t="n"/>
      <c r="Z92" s="1078">
        <f>X92/X$13</f>
        <v/>
      </c>
      <c r="AA92" s="49">
        <f>SUM(AA93:AA95)</f>
        <v/>
      </c>
      <c r="AB92" s="3" t="n"/>
      <c r="AC92" s="1078" t="n"/>
      <c r="AD92" s="49" t="n"/>
      <c r="AE92" s="3" t="n"/>
      <c r="AF92" s="1078" t="n"/>
      <c r="AG92" s="49" t="n"/>
      <c r="AH92" s="3" t="n"/>
      <c r="AI92" s="1078" t="n"/>
      <c r="AJ92" s="49" t="n"/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  <c r="AQ92" s="17" t="n"/>
      <c r="AR92" s="17">
        <f>AQ92/(AQ$12-AQ$8)</f>
        <v/>
      </c>
      <c r="AS92" s="1130">
        <f>AQ92/(AQ$13-AQ$19)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9">
        <f>C93+F93+I93+L93+O93+R93+U93+X93+AA93+AD93+AG93+AJ93</f>
        <v/>
      </c>
      <c r="AN93" s="69" t="n"/>
      <c r="AO93" s="1107" t="n"/>
      <c r="AP93" s="1149" t="n"/>
      <c r="AQ93" s="31" t="n"/>
      <c r="AR93" s="31" t="n"/>
      <c r="AS93" s="1148" t="n"/>
    </row>
    <row r="94" outlineLevel="1" ht="15" customHeight="1" s="1016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5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1016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1016">
      <c r="B96" s="106" t="inlineStr">
        <is>
          <t>SEGUROS</t>
        </is>
      </c>
      <c r="C96" s="90">
        <f>SUM(C97:C98)</f>
        <v/>
      </c>
      <c r="D96" s="3" t="n"/>
      <c r="E96" s="1078" t="n"/>
      <c r="F96" s="90">
        <f>SUM(F97:F98)</f>
        <v/>
      </c>
      <c r="G96" s="3" t="n"/>
      <c r="H96" s="1078">
        <f>F96/F$13</f>
        <v/>
      </c>
      <c r="I96" s="90">
        <f>SUM(I97:I98)</f>
        <v/>
      </c>
      <c r="J96" s="3" t="n"/>
      <c r="K96" s="1078">
        <f>I96/I$13</f>
        <v/>
      </c>
      <c r="L96" s="49">
        <f>SUM(L97:L98)</f>
        <v/>
      </c>
      <c r="M96" s="3" t="n"/>
      <c r="N96" s="1078">
        <f>L96/L$13</f>
        <v/>
      </c>
      <c r="O96" s="49">
        <f>SUM(O97:O98)</f>
        <v/>
      </c>
      <c r="P96" s="3" t="n"/>
      <c r="Q96" s="1078">
        <f>O96/O$13</f>
        <v/>
      </c>
      <c r="R96" s="49">
        <f>SUM(R97:R98)</f>
        <v/>
      </c>
      <c r="S96" s="3" t="n"/>
      <c r="T96" s="1078">
        <f>R96/R$13</f>
        <v/>
      </c>
      <c r="U96" s="49">
        <f>SUM(U97:U98)</f>
        <v/>
      </c>
      <c r="V96" s="3" t="n"/>
      <c r="W96" s="1078" t="n"/>
      <c r="X96" s="49">
        <f>SUM(X97:X98)</f>
        <v/>
      </c>
      <c r="Y96" s="3" t="n"/>
      <c r="Z96" s="1078">
        <f>X96/X$13</f>
        <v/>
      </c>
      <c r="AA96" s="49">
        <f>SUM(AA97:AA98)</f>
        <v/>
      </c>
      <c r="AB96" s="3" t="n"/>
      <c r="AC96" s="1078" t="n"/>
      <c r="AD96" s="49" t="n"/>
      <c r="AE96" s="3" t="n"/>
      <c r="AF96" s="1078" t="n"/>
      <c r="AG96" s="49">
        <f>SUM(AG97:AG98)</f>
        <v/>
      </c>
      <c r="AH96" s="3" t="n"/>
      <c r="AI96" s="1078" t="n"/>
      <c r="AJ96" s="49" t="n"/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AQ96/(AQ$12-AQ$8)</f>
        <v/>
      </c>
      <c r="AS96" s="1130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9">
        <f>C97+F97+I97+L97+O97+R97+U97+X97+AA97+AD97+AG97+AJ97</f>
        <v/>
      </c>
      <c r="AN97" s="69" t="n"/>
      <c r="AO97" s="1107" t="n"/>
      <c r="AP97" s="2" t="n"/>
      <c r="AQ97" s="31" t="n"/>
      <c r="AR97" s="31" t="n"/>
      <c r="AS97" s="1148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09" t="n"/>
      <c r="F98" s="83" t="n"/>
      <c r="G98" s="84" t="n"/>
      <c r="H98" s="1072" t="n"/>
      <c r="I98" s="83" t="n"/>
      <c r="J98" s="84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1109" t="n"/>
      <c r="AM98" s="278">
        <f>C98+F98+I98+L98+O98+R98+U98+X98+AA98+AD98+AG98+AJ98</f>
        <v/>
      </c>
      <c r="AN98" s="276" t="n"/>
      <c r="AO98" s="1110" t="n"/>
      <c r="AP98" s="2" t="n"/>
      <c r="AQ98" s="279" t="n"/>
      <c r="AR98" s="279" t="n"/>
      <c r="AS98" s="115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F99/F$13</f>
        <v/>
      </c>
      <c r="I99" s="49">
        <f>SUM(I100:I106)</f>
        <v/>
      </c>
      <c r="J99" s="3" t="n"/>
      <c r="K99" s="1078">
        <f>I99/I$13</f>
        <v/>
      </c>
      <c r="L99" s="49">
        <f>SUM(L100:L106)</f>
        <v/>
      </c>
      <c r="M99" s="3" t="n"/>
      <c r="N99" s="1078">
        <f>L99/L$13</f>
        <v/>
      </c>
      <c r="O99" s="49">
        <f>SUM(O100:O106)</f>
        <v/>
      </c>
      <c r="P99" s="3" t="n"/>
      <c r="Q99" s="1078">
        <f>O99/O$13</f>
        <v/>
      </c>
      <c r="R99" s="49">
        <f>SUM(R100:R106)</f>
        <v/>
      </c>
      <c r="S99" s="3" t="n"/>
      <c r="T99" s="1078">
        <f>R99/R$13</f>
        <v/>
      </c>
      <c r="U99" s="49">
        <f>SUM(U100:U106)</f>
        <v/>
      </c>
      <c r="V99" s="3" t="n"/>
      <c r="W99" s="1078" t="n"/>
      <c r="X99" s="49">
        <f>SUM(X100:X106)</f>
        <v/>
      </c>
      <c r="Y99" s="3" t="n"/>
      <c r="Z99" s="1078">
        <f>X99/X$13</f>
        <v/>
      </c>
      <c r="AA99" s="49">
        <f>SUM(AA100:AA106)</f>
        <v/>
      </c>
      <c r="AB99" s="3" t="n"/>
      <c r="AC99" s="1078" t="n"/>
      <c r="AD99" s="49" t="n"/>
      <c r="AE99" s="3" t="n"/>
      <c r="AF99" s="1078" t="n"/>
      <c r="AG99" s="49" t="n"/>
      <c r="AH99" s="3" t="n"/>
      <c r="AI99" s="1078" t="n"/>
      <c r="AJ99" s="49" t="n"/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AQ99/(AQ$12-AQ$8)</f>
        <v/>
      </c>
      <c r="AS99" s="1130">
        <f>AQ99/(AQ$13-AQ$19)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9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1016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5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5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1016">
      <c r="B103" s="25" t="inlineStr">
        <is>
          <t>Laboratorio</t>
        </is>
      </c>
      <c r="C103" s="25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5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1016">
      <c r="B104" s="25" t="inlineStr">
        <is>
          <t>Fumigacion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5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1016">
      <c r="B105" s="25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5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1016">
      <c r="B106" s="25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5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1016">
      <c r="B107" s="205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5" t="n"/>
      <c r="AN107" s="43" t="n"/>
      <c r="AO107" s="1071" t="n"/>
      <c r="AQ107" s="24" t="n"/>
      <c r="AR107" s="24" t="n"/>
      <c r="AS107" s="1133" t="n"/>
    </row>
    <row r="108" outlineLevel="1" ht="15" customHeight="1" s="1016">
      <c r="B108" s="349" t="inlineStr">
        <is>
          <t>Correo, porte y telegramas</t>
        </is>
      </c>
      <c r="C108" s="2" t="n"/>
      <c r="D108" s="42" t="n"/>
      <c r="E108" s="1082" t="n"/>
      <c r="F108" s="2" t="n"/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 t="n"/>
      <c r="AN108" s="42" t="n"/>
      <c r="AO108" s="1083" t="n"/>
      <c r="AQ108" s="23" t="n"/>
      <c r="AR108" s="23" t="n"/>
      <c r="AS108" s="1132" t="n"/>
    </row>
    <row r="109" ht="15" customHeight="1" s="1016">
      <c r="B109" s="16" t="inlineStr">
        <is>
          <t>GASTOS LEGALES</t>
        </is>
      </c>
      <c r="C109" s="90">
        <f>SUM(C110:C113)</f>
        <v/>
      </c>
      <c r="D109" s="3" t="n"/>
      <c r="E109" s="1078" t="n"/>
      <c r="F109" s="90">
        <f>SUM(F110:F113)</f>
        <v/>
      </c>
      <c r="G109" s="3" t="n"/>
      <c r="H109" s="1078">
        <f>F109/F$13</f>
        <v/>
      </c>
      <c r="I109" s="90">
        <f>SUM(I110:I113)</f>
        <v/>
      </c>
      <c r="J109" s="3" t="n"/>
      <c r="K109" s="1078">
        <f>I109/I$13</f>
        <v/>
      </c>
      <c r="L109" s="49">
        <f>SUM(L110:L113)</f>
        <v/>
      </c>
      <c r="M109" s="3" t="n"/>
      <c r="N109" s="1078">
        <f>L109/L$13</f>
        <v/>
      </c>
      <c r="O109" s="49">
        <f>SUM(O110:O113)</f>
        <v/>
      </c>
      <c r="P109" s="3" t="n"/>
      <c r="Q109" s="1078">
        <f>O109/O$13</f>
        <v/>
      </c>
      <c r="R109" s="49">
        <f>SUM(R110:R113)</f>
        <v/>
      </c>
      <c r="S109" s="3" t="n"/>
      <c r="T109" s="1078">
        <f>R109/R$13</f>
        <v/>
      </c>
      <c r="U109" s="49">
        <f>SUM(U110:U113)</f>
        <v/>
      </c>
      <c r="V109" s="3" t="n"/>
      <c r="W109" s="1078" t="n"/>
      <c r="X109" s="49">
        <f>SUM(X110:X113)</f>
        <v/>
      </c>
      <c r="Y109" s="3" t="n"/>
      <c r="Z109" s="1078">
        <f>X109/X$13</f>
        <v/>
      </c>
      <c r="AA109" s="49">
        <f>SUM(AA110:AA113)</f>
        <v/>
      </c>
      <c r="AB109" s="3" t="n"/>
      <c r="AC109" s="1078" t="n"/>
      <c r="AD109" s="49" t="n"/>
      <c r="AE109" s="3" t="n"/>
      <c r="AF109" s="1078" t="n"/>
      <c r="AG109" s="49" t="n"/>
      <c r="AH109" s="3" t="n"/>
      <c r="AI109" s="1078" t="n"/>
      <c r="AJ109" s="49" t="n"/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AQ109/(AQ$12-AQ$8)</f>
        <v/>
      </c>
      <c r="AS109" s="1130">
        <f>AQ109/(AQ$13-AQ$19)</f>
        <v/>
      </c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9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5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5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F114/F$13</f>
        <v/>
      </c>
      <c r="I114" s="49">
        <f>SUM(I115:I116)</f>
        <v/>
      </c>
      <c r="J114" s="3" t="n"/>
      <c r="K114" s="1078">
        <f>I114/I$13</f>
        <v/>
      </c>
      <c r="L114" s="49">
        <f>SUM(L115:L116)</f>
        <v/>
      </c>
      <c r="M114" s="3" t="n"/>
      <c r="N114" s="1078">
        <f>L114/L$13</f>
        <v/>
      </c>
      <c r="O114" s="49">
        <f>SUM(O115:O116)</f>
        <v/>
      </c>
      <c r="P114" s="3" t="n"/>
      <c r="Q114" s="1078">
        <f>O114/O$13</f>
        <v/>
      </c>
      <c r="R114" s="49">
        <f>SUM(R115:R116)</f>
        <v/>
      </c>
      <c r="S114" s="3" t="n"/>
      <c r="T114" s="1078">
        <f>R114/R$13</f>
        <v/>
      </c>
      <c r="U114" s="49">
        <f>SUM(U115:U116)</f>
        <v/>
      </c>
      <c r="V114" s="3" t="n"/>
      <c r="W114" s="1078" t="n"/>
      <c r="X114" s="49">
        <f>SUM(X115:X116)</f>
        <v/>
      </c>
      <c r="Y114" s="3" t="n"/>
      <c r="Z114" s="1078">
        <f>X114/X$13</f>
        <v/>
      </c>
      <c r="AA114" s="49">
        <f>SUM(AA115:AA116)</f>
        <v/>
      </c>
      <c r="AB114" s="3" t="n"/>
      <c r="AC114" s="1078" t="n"/>
      <c r="AD114" s="49" t="n"/>
      <c r="AE114" s="3" t="n"/>
      <c r="AF114" s="1078" t="n"/>
      <c r="AG114" s="49" t="n"/>
      <c r="AH114" s="3" t="n"/>
      <c r="AI114" s="1078" t="n"/>
      <c r="AJ114" s="49" t="n"/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AQ114/(AQ$12-AQ$8)</f>
        <v/>
      </c>
      <c r="AS114" s="1130">
        <f>AQ114/(AQ$13-AQ$19)</f>
        <v/>
      </c>
    </row>
    <row r="115" outlineLevel="1" ht="15" customHeight="1" s="1016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8" t="n"/>
      <c r="AK115" s="79" t="n"/>
      <c r="AL115" s="1102" t="n"/>
      <c r="AM115" s="209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1016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5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5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5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1016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3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83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1016">
      <c r="B120" s="16" t="inlineStr">
        <is>
          <t>ADECUACIONES E INSTALACIONES</t>
        </is>
      </c>
      <c r="C120" s="49">
        <f>SUM(C121)</f>
        <v/>
      </c>
      <c r="D120" s="3" t="n"/>
      <c r="E120" s="1078" t="n"/>
      <c r="F120" s="49">
        <f>SUM(F121)</f>
        <v/>
      </c>
      <c r="G120" s="3" t="n"/>
      <c r="H120" s="1078">
        <f>F120/F$13</f>
        <v/>
      </c>
      <c r="I120" s="49">
        <f>SUM(I121)</f>
        <v/>
      </c>
      <c r="J120" s="3" t="n"/>
      <c r="K120" s="1078">
        <f>I120/I$13</f>
        <v/>
      </c>
      <c r="L120" s="49">
        <f>SUM(L121)</f>
        <v/>
      </c>
      <c r="M120" s="3" t="n"/>
      <c r="N120" s="1078">
        <f>L120/L$13</f>
        <v/>
      </c>
      <c r="O120" s="49">
        <f>SUM(O121)</f>
        <v/>
      </c>
      <c r="P120" s="3" t="n"/>
      <c r="Q120" s="1078">
        <f>O120/O$13</f>
        <v/>
      </c>
      <c r="R120" s="49">
        <f>SUM(R121)</f>
        <v/>
      </c>
      <c r="S120" s="3" t="n"/>
      <c r="T120" s="1078">
        <f>R120/R$13</f>
        <v/>
      </c>
      <c r="U120" s="49">
        <f>SUM(U121)</f>
        <v/>
      </c>
      <c r="V120" s="3" t="n"/>
      <c r="W120" s="1078" t="n"/>
      <c r="X120" s="49">
        <f>SUM(X121)</f>
        <v/>
      </c>
      <c r="Y120" s="3" t="n"/>
      <c r="Z120" s="1078">
        <f>X120/X$13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 t="n"/>
      <c r="AG120" s="49">
        <f>SUM(AG121)</f>
        <v/>
      </c>
      <c r="AH120" s="3" t="n"/>
      <c r="AI120" s="1078" t="n"/>
      <c r="AJ120" s="49" t="n"/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AQ120/(AQ$12-AQ$8)</f>
        <v/>
      </c>
      <c r="AS120" s="1130">
        <f>AQ120/(AQ$13-AQ$19)</f>
        <v/>
      </c>
    </row>
    <row r="121" ht="15" customHeight="1" s="1016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9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1016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6" t="n"/>
      <c r="AN122" s="84" t="n"/>
      <c r="AO122" s="1089" t="n"/>
      <c r="AQ122" s="133" t="n"/>
      <c r="AR122" s="133" t="n"/>
      <c r="AS122" s="1151" t="n"/>
    </row>
    <row r="123" ht="15" customHeight="1" s="1016">
      <c r="B123" s="16" t="inlineStr">
        <is>
          <t>GASTOS DE VIAJE</t>
        </is>
      </c>
      <c r="C123" s="90">
        <f>SUM(C124:C126)</f>
        <v/>
      </c>
      <c r="D123" s="3" t="n"/>
      <c r="E123" s="1078" t="n"/>
      <c r="F123" s="90">
        <f>SUM(F124:F126)</f>
        <v/>
      </c>
      <c r="G123" s="3" t="n"/>
      <c r="H123" s="1078" t="n"/>
      <c r="I123" s="90">
        <f>SUM(I124:I126)</f>
        <v/>
      </c>
      <c r="J123" s="3" t="n"/>
      <c r="K123" s="1078" t="n"/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 t="n"/>
      <c r="U123" s="49">
        <f>SUM(U124:U126)</f>
        <v/>
      </c>
      <c r="V123" s="3" t="n"/>
      <c r="W123" s="1078" t="n"/>
      <c r="X123" s="49">
        <f>SUM(X124:X126)</f>
        <v/>
      </c>
      <c r="Y123" s="3" t="n"/>
      <c r="Z123" s="1078" t="n"/>
      <c r="AA123" s="49">
        <f>SUM(AA124:AA126)</f>
        <v/>
      </c>
      <c r="AB123" s="3" t="n"/>
      <c r="AC123" s="1078" t="n"/>
      <c r="AD123" s="49" t="n"/>
      <c r="AE123" s="3" t="n"/>
      <c r="AF123" s="1078" t="n"/>
      <c r="AG123" s="49" t="n"/>
      <c r="AH123" s="3" t="n"/>
      <c r="AI123" s="1078" t="n"/>
      <c r="AJ123" s="49" t="n"/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AQ123/(AQ$12-AQ$8)</f>
        <v/>
      </c>
      <c r="AS123" s="1130">
        <f>AQ123/(AQ$13-AQ$19)</f>
        <v/>
      </c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9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5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1016">
      <c r="B127" s="16" t="inlineStr">
        <is>
          <t>DIVERSOS</t>
        </is>
      </c>
      <c r="C127" s="90">
        <f>SUM(C128:C142)</f>
        <v/>
      </c>
      <c r="D127" s="3" t="n"/>
      <c r="E127" s="1078" t="n"/>
      <c r="F127" s="90">
        <f>SUM(F128:F142)</f>
        <v/>
      </c>
      <c r="G127" s="3" t="n"/>
      <c r="H127" s="1078">
        <f>F127/F$13</f>
        <v/>
      </c>
      <c r="I127" s="90">
        <f>SUM(I128:I142)</f>
        <v/>
      </c>
      <c r="J127" s="3" t="n"/>
      <c r="K127" s="1078">
        <f>I127/I$13</f>
        <v/>
      </c>
      <c r="L127" s="49">
        <f>SUM(L128:L142)</f>
        <v/>
      </c>
      <c r="M127" s="3" t="n"/>
      <c r="N127" s="1078">
        <f>L127/L$13</f>
        <v/>
      </c>
      <c r="O127" s="49">
        <f>SUM(O128:O142)</f>
        <v/>
      </c>
      <c r="P127" s="3" t="n"/>
      <c r="Q127" s="1078">
        <f>O127/O$13</f>
        <v/>
      </c>
      <c r="R127" s="49">
        <f>SUM(R128:R142)</f>
        <v/>
      </c>
      <c r="S127" s="3" t="n"/>
      <c r="T127" s="1078">
        <f>R127/R$13</f>
        <v/>
      </c>
      <c r="U127" s="49">
        <f>SUM(U128:U142)</f>
        <v/>
      </c>
      <c r="V127" s="3" t="n"/>
      <c r="W127" s="1078" t="n"/>
      <c r="X127" s="49">
        <f>SUM(X128:X142)</f>
        <v/>
      </c>
      <c r="Y127" s="3" t="n"/>
      <c r="Z127" s="1078">
        <f>X127/X$13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 t="n"/>
      <c r="AJ127" s="49" t="n"/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AQ127/(AQ$12-AQ$8)</f>
        <v/>
      </c>
      <c r="AS127" s="1130">
        <f>AQ127/(AQ$13-AQ$19)</f>
        <v/>
      </c>
    </row>
    <row r="128" outlineLevel="1" ht="15" customHeight="1" s="1016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02" t="n"/>
      <c r="AJ128" s="39" t="n"/>
      <c r="AK128" s="69" t="n"/>
      <c r="AL128" s="1102" t="n"/>
      <c r="AM128" s="209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70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70" t="n"/>
      <c r="AJ129" s="25" t="n"/>
      <c r="AK129" s="43" t="n"/>
      <c r="AL129" s="1070" t="n"/>
      <c r="AM129" s="205">
        <f>C129+F129+I129+L129+O129+R129+U129+X129+AA129+AD129+AG129+AJ129</f>
        <v/>
      </c>
      <c r="AN129" s="92" t="n"/>
      <c r="AO129" s="1152" t="n"/>
      <c r="AQ129" s="24" t="n"/>
      <c r="AR129" s="24" t="n"/>
      <c r="AS129" s="1133" t="n"/>
    </row>
    <row r="130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5">
        <f>C130+F130+I130+L130+O130+R130+U130+X130+AA130+AD130+AG130+AJ130</f>
        <v/>
      </c>
      <c r="AN130" s="43" t="n"/>
      <c r="AO130" s="1070" t="n"/>
      <c r="AQ130" s="24" t="n"/>
      <c r="AR130" s="24" t="n"/>
      <c r="AS130" s="1133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5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5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5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5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5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 t="n"/>
      <c r="AN136" s="43" t="n"/>
      <c r="AO136" s="1071" t="n"/>
      <c r="AQ136" s="24" t="n"/>
      <c r="AR136" s="24" t="n"/>
      <c r="AS136" s="1133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5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1016">
      <c r="B138" s="25" t="inlineStr">
        <is>
          <t>Compra Equipos de Oficina</t>
        </is>
      </c>
      <c r="C138" s="427" t="n"/>
      <c r="D138" s="89" t="n"/>
      <c r="E138" s="1066" t="n"/>
      <c r="F138" s="427" t="n"/>
      <c r="G138" s="89" t="n"/>
      <c r="H138" s="1066" t="n"/>
      <c r="I138" s="427" t="n"/>
      <c r="J138" s="89" t="n"/>
      <c r="K138" s="1066" t="n"/>
      <c r="L138" s="427" t="n"/>
      <c r="M138" s="89" t="n"/>
      <c r="N138" s="1066" t="n"/>
      <c r="O138" s="427" t="n"/>
      <c r="P138" s="89" t="n"/>
      <c r="Q138" s="1066" t="n"/>
      <c r="R138" s="25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1">
        <f>C138+F138+I138+L138+O138+R138+U138+X138+AA138+AD138+AG138+AJ138</f>
        <v/>
      </c>
      <c r="AN138" s="89" t="n"/>
      <c r="AO138" s="1067" t="n"/>
      <c r="AQ138" s="24" t="n"/>
      <c r="AR138" s="24" t="n"/>
      <c r="AS138" s="1133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1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1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1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</row>
    <row r="142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1104" t="n"/>
      <c r="AM142" s="213">
        <f>C142+F142+I142+L142+O142+R142+U142+X142+AA142+AD142+AG142+AJ142</f>
        <v/>
      </c>
      <c r="AN142" s="214" t="n"/>
      <c r="AO142" s="1117" t="n"/>
      <c r="AQ142" s="98" t="n"/>
      <c r="AR142" s="98" t="n"/>
      <c r="AS142" s="1146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  <c r="AQ143" s="136" t="n"/>
      <c r="AR143" s="136" t="n"/>
      <c r="AS143" s="1147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3">
        <f>C144+F144+I144+L144+O144+R144+U144+X144+AA144+AD144+AG144+AJ144</f>
        <v/>
      </c>
      <c r="AN144" s="494" t="n"/>
      <c r="AO144" s="1154" t="n"/>
      <c r="AQ144" s="626">
        <f>+AQ42-AQ44-AQ83</f>
        <v/>
      </c>
      <c r="AR144" s="626" t="n"/>
      <c r="AS144" s="1155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  <c r="AQ145" s="627">
        <f>IFERROR(AQ144/AQ13," ")</f>
        <v/>
      </c>
      <c r="AR145" s="627" t="n"/>
      <c r="AS145" s="1156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  <c r="AQ146" s="631" t="n"/>
      <c r="AR146" s="631" t="n"/>
      <c r="AS146" s="1157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F147/F$13</f>
        <v/>
      </c>
      <c r="I147" s="490">
        <f>SUM(I148:I151)</f>
        <v/>
      </c>
      <c r="J147" s="491" t="n"/>
      <c r="K147" s="1094">
        <f>I147/I$13</f>
        <v/>
      </c>
      <c r="L147" s="490">
        <f>SUM(L148:L151)</f>
        <v/>
      </c>
      <c r="M147" s="491" t="n"/>
      <c r="N147" s="1094">
        <f>L147/L$13</f>
        <v/>
      </c>
      <c r="O147" s="490">
        <f>SUM(O148:O151)</f>
        <v/>
      </c>
      <c r="P147" s="491" t="n"/>
      <c r="Q147" s="1094">
        <f>O147/O$13</f>
        <v/>
      </c>
      <c r="R147" s="490">
        <f>SUM(R148:R151)</f>
        <v/>
      </c>
      <c r="S147" s="491" t="n"/>
      <c r="T147" s="1094">
        <f>R147/R$13</f>
        <v/>
      </c>
      <c r="U147" s="490">
        <f>SUM(U148:U151)</f>
        <v/>
      </c>
      <c r="V147" s="491" t="n"/>
      <c r="W147" s="1094" t="n"/>
      <c r="X147" s="490">
        <f>SUM(X148:X151)</f>
        <v/>
      </c>
      <c r="Y147" s="491" t="n"/>
      <c r="Z147" s="1094">
        <f>X147/X$13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 t="n"/>
      <c r="AG147" s="490">
        <f>SUM(AG148:AG151)</f>
        <v/>
      </c>
      <c r="AH147" s="491" t="n"/>
      <c r="AI147" s="1094" t="n"/>
      <c r="AJ147" s="490">
        <f>SUM(AJ148:AJ151)</f>
        <v/>
      </c>
      <c r="AK147" s="491" t="n"/>
      <c r="AL147" s="1094" t="n"/>
      <c r="AM147" s="581">
        <f>C147+F147+I147+L147+O147+R147+U147+X147+AA147+AD147+AG147+AJ147</f>
        <v/>
      </c>
      <c r="AN147" s="491" t="n"/>
      <c r="AO147" s="1095">
        <f>AM147/(AM$13)</f>
        <v/>
      </c>
      <c r="AQ147" s="625">
        <f>SUM(AQ148:AQ151)</f>
        <v/>
      </c>
      <c r="AR147" s="625" t="n"/>
      <c r="AS147" s="1129">
        <f>AQ147/(AQ$13-AQ$19)</f>
        <v/>
      </c>
    </row>
    <row r="148" ht="15" customHeight="1" s="1016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1102" t="n"/>
      <c r="AM148" s="209">
        <f>C148+F148+I148+L148+O148+R148+U148+X148+AA148+AD148+AG148+AJ148</f>
        <v/>
      </c>
      <c r="AN148" s="69" t="n"/>
      <c r="AO148" s="1107">
        <f>AM148/(AM$13)</f>
        <v/>
      </c>
      <c r="AQ148" s="31" t="n"/>
      <c r="AR148" s="31" t="n"/>
      <c r="AS148" s="1148">
        <f>AQ148/(AQ$13-AQ$19)</f>
        <v/>
      </c>
    </row>
    <row r="149" ht="15" customHeight="1" s="1016">
      <c r="B149" s="285" t="inlineStr">
        <is>
          <t>Gastos Fijos Directivos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5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1016">
      <c r="B150" s="107" t="inlineStr">
        <is>
          <t>Gastos Financieros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5">
        <f>C150+F150+I150+L150+O150+R150+U150+X150+AA150+AD150+AG150+AJ150</f>
        <v/>
      </c>
      <c r="AN150" s="42" t="n"/>
      <c r="AO150" s="1083">
        <f>AM150/(AM$13)</f>
        <v/>
      </c>
      <c r="AQ150" s="24" t="n"/>
      <c r="AR150" s="24" t="n"/>
      <c r="AS150" s="1133">
        <f>AQ150/(AQ$13-AQ$19)</f>
        <v/>
      </c>
    </row>
    <row r="151" ht="15" customHeight="1" s="1016" thickBot="1">
      <c r="B151" s="300" t="inlineStr">
        <is>
          <t>Donaciones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1111" t="n"/>
      <c r="AM151" s="301">
        <f>C151+F151+I151+L151+O151+R151+U151+X151+AA151+AD151+AG151+AJ151</f>
        <v/>
      </c>
      <c r="AN151" s="72" t="n"/>
      <c r="AO151" s="1112" t="n"/>
      <c r="AQ151" s="300" t="n"/>
      <c r="AR151" s="300" t="n"/>
      <c r="AS151" s="1158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  <c r="AQ152" s="136" t="n"/>
      <c r="AR152" s="136" t="n"/>
      <c r="AS152" s="1147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5">
        <f>C153+F153+I153+L153+O153+R153+U153+X153+AA153+AD153+AG153+AJ153</f>
        <v/>
      </c>
      <c r="AN153" s="498" t="n"/>
      <c r="AO153" s="1119">
        <f>AM153/(AM$13)</f>
        <v/>
      </c>
      <c r="AQ153" s="628">
        <f>SUM(AQ154:AQ160)</f>
        <v/>
      </c>
      <c r="AR153" s="628" t="n"/>
      <c r="AS153" s="1159">
        <f>AQ153/AQ$13</f>
        <v/>
      </c>
    </row>
    <row r="154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514" t="n"/>
      <c r="G154" s="230" t="n"/>
      <c r="H154" s="1161" t="n"/>
      <c r="I154" s="514" t="n"/>
      <c r="J154" s="230" t="n"/>
      <c r="K154" s="1161" t="n"/>
      <c r="L154" s="514" t="n"/>
      <c r="M154" s="230" t="n"/>
      <c r="N154" s="1161" t="n"/>
      <c r="O154" s="514" t="n"/>
      <c r="P154" s="230" t="n"/>
      <c r="Q154" s="1161" t="n"/>
      <c r="R154" s="514" t="n"/>
      <c r="S154" s="230" t="n"/>
      <c r="T154" s="1161" t="n"/>
      <c r="U154" s="514" t="n"/>
      <c r="V154" s="230" t="n"/>
      <c r="W154" s="1161" t="n"/>
      <c r="X154" s="514" t="n"/>
      <c r="Y154" s="230" t="n"/>
      <c r="Z154" s="1161" t="n"/>
      <c r="AA154" s="514" t="n"/>
      <c r="AB154" s="230" t="n"/>
      <c r="AC154" s="1161" t="n"/>
      <c r="AD154" s="514" t="n"/>
      <c r="AE154" s="230" t="n"/>
      <c r="AF154" s="1161" t="n"/>
      <c r="AG154" s="514" t="n"/>
      <c r="AH154" s="230" t="n"/>
      <c r="AI154" s="1161" t="n"/>
      <c r="AJ154" s="514" t="n"/>
      <c r="AK154" s="230" t="n"/>
      <c r="AL154" s="1161" t="n"/>
      <c r="AM154" s="287">
        <f>C154+F154+I154+L154+O154+R154+U154+X154+AA154+AD154+AG154+AJ154</f>
        <v/>
      </c>
      <c r="AN154" s="230" t="n"/>
      <c r="AO154" s="1162" t="n"/>
      <c r="AQ154" s="289" t="n"/>
      <c r="AR154" s="289" t="n"/>
      <c r="AS154" s="1163" t="n"/>
    </row>
    <row r="155" ht="15" customHeight="1" s="1016">
      <c r="B155" s="1164" t="inlineStr">
        <is>
          <t>Donacion 1</t>
        </is>
      </c>
      <c r="C155" s="691" t="n"/>
      <c r="D155" s="9" t="n"/>
      <c r="E155" s="1165" t="n"/>
      <c r="F155" s="694" t="n"/>
      <c r="G155" s="9" t="n"/>
      <c r="H155" s="1165" t="n"/>
      <c r="I155" s="694" t="n"/>
      <c r="J155" s="9" t="n"/>
      <c r="K155" s="1165" t="n"/>
      <c r="L155" s="694" t="n"/>
      <c r="M155" s="9" t="n"/>
      <c r="N155" s="1165" t="n"/>
      <c r="O155" s="694" t="n"/>
      <c r="P155" s="9" t="n"/>
      <c r="Q155" s="1165" t="n"/>
      <c r="R155" s="694" t="n"/>
      <c r="S155" s="9" t="n"/>
      <c r="T155" s="1165" t="n"/>
      <c r="U155" s="694" t="n"/>
      <c r="V155" s="9" t="n"/>
      <c r="W155" s="1165" t="n"/>
      <c r="X155" s="694" t="n"/>
      <c r="Y155" s="9" t="n"/>
      <c r="Z155" s="1165" t="n"/>
      <c r="AA155" s="694" t="n"/>
      <c r="AB155" s="9" t="n"/>
      <c r="AC155" s="1165" t="n"/>
      <c r="AD155" s="694" t="n"/>
      <c r="AE155" s="9" t="n"/>
      <c r="AF155" s="1165" t="n"/>
      <c r="AG155" s="694" t="n"/>
      <c r="AH155" s="9" t="n"/>
      <c r="AI155" s="1165" t="n"/>
      <c r="AJ155" s="694" t="n"/>
      <c r="AK155" s="9" t="n"/>
      <c r="AL155" s="1165" t="n"/>
      <c r="AM155" s="565">
        <f>C155+F155+I155+L155+O155+R155+U155+X155+AA155+AD155+AG155+AJ155</f>
        <v/>
      </c>
      <c r="AN155" s="9" t="n"/>
      <c r="AO155" s="1166" t="n"/>
      <c r="AQ155" s="248" t="n"/>
      <c r="AR155" s="248" t="n"/>
      <c r="AS155" s="1167" t="n"/>
    </row>
    <row r="156" ht="15" customHeight="1" s="1016">
      <c r="B156" s="1168" t="inlineStr">
        <is>
          <t>Donacion 2</t>
        </is>
      </c>
      <c r="C156" s="685" t="n"/>
      <c r="D156" s="675" t="n"/>
      <c r="E156" s="1169" t="n"/>
      <c r="F156" s="687" t="n"/>
      <c r="G156" s="675" t="n"/>
      <c r="H156" s="1169" t="n"/>
      <c r="I156" s="687" t="n"/>
      <c r="J156" s="675" t="n"/>
      <c r="K156" s="1169" t="n"/>
      <c r="L156" s="687" t="n"/>
      <c r="M156" s="675" t="n"/>
      <c r="N156" s="1169" t="n"/>
      <c r="O156" s="687" t="n"/>
      <c r="P156" s="675" t="n"/>
      <c r="Q156" s="1169" t="n"/>
      <c r="R156" s="687" t="n"/>
      <c r="S156" s="675" t="n"/>
      <c r="T156" s="1169" t="n"/>
      <c r="U156" s="687" t="n"/>
      <c r="V156" s="675" t="n"/>
      <c r="W156" s="1169" t="n"/>
      <c r="X156" s="687" t="n"/>
      <c r="Y156" s="675" t="n"/>
      <c r="Z156" s="1169" t="n"/>
      <c r="AA156" s="687" t="n"/>
      <c r="AB156" s="675" t="n"/>
      <c r="AC156" s="1169" t="n"/>
      <c r="AD156" s="687" t="n"/>
      <c r="AE156" s="675" t="n"/>
      <c r="AF156" s="1169" t="n"/>
      <c r="AG156" s="687" t="n"/>
      <c r="AH156" s="675" t="n"/>
      <c r="AI156" s="1169" t="n"/>
      <c r="AJ156" s="687" t="n"/>
      <c r="AK156" s="675" t="n"/>
      <c r="AL156" s="1169" t="n"/>
      <c r="AM156" s="680">
        <f>C156+F156+I156+L156+O156+R156+U156+X156+AA156+AD156+AG156+AJ156</f>
        <v/>
      </c>
      <c r="AN156" s="675" t="n"/>
      <c r="AO156" s="1170" t="n"/>
      <c r="AQ156" s="248" t="n"/>
      <c r="AR156" s="248" t="n"/>
      <c r="AS156" s="1167" t="n"/>
    </row>
    <row r="157" ht="15" customHeight="1" s="1016">
      <c r="B157" s="1171" t="inlineStr">
        <is>
          <t>Otros Ajustes 1</t>
        </is>
      </c>
      <c r="C157" s="561" t="n"/>
      <c r="D157" s="551" t="n"/>
      <c r="E157" s="1172" t="n"/>
      <c r="F157" s="562" t="n"/>
      <c r="G157" s="551" t="n"/>
      <c r="H157" s="1172" t="n"/>
      <c r="I157" s="562" t="n"/>
      <c r="J157" s="551" t="n"/>
      <c r="K157" s="1172" t="n"/>
      <c r="L157" s="562" t="n"/>
      <c r="M157" s="551" t="n"/>
      <c r="N157" s="1172" t="n"/>
      <c r="O157" s="562" t="n"/>
      <c r="P157" s="551" t="n"/>
      <c r="Q157" s="1172" t="n"/>
      <c r="R157" s="562" t="n"/>
      <c r="S157" s="551" t="n"/>
      <c r="T157" s="1172" t="n"/>
      <c r="U157" s="562" t="n"/>
      <c r="V157" s="551" t="n"/>
      <c r="W157" s="1172" t="n"/>
      <c r="X157" s="712" t="n"/>
      <c r="Y157" s="551" t="n"/>
      <c r="Z157" s="1172" t="n"/>
      <c r="AA157" s="712" t="n"/>
      <c r="AB157" s="551" t="n"/>
      <c r="AC157" s="1172" t="n"/>
      <c r="AD157" s="562" t="n"/>
      <c r="AE157" s="551" t="n"/>
      <c r="AF157" s="1172" t="n"/>
      <c r="AG157" s="562" t="n"/>
      <c r="AH157" s="551" t="n"/>
      <c r="AI157" s="1172" t="n"/>
      <c r="AJ157" s="1173" t="n"/>
      <c r="AK157" s="551" t="n"/>
      <c r="AL157" s="1172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174" t="n"/>
    </row>
    <row r="158" ht="15" customHeight="1" s="1016">
      <c r="B158" s="1175" t="inlineStr">
        <is>
          <t>Otros Ajustes 2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1176" t="n"/>
      <c r="AM158" s="205">
        <f>C158+F158+I158+L158+O158+R158+U158+X158+AA158+AD158+AG158+AJ158</f>
        <v/>
      </c>
      <c r="AN158" s="13" t="n"/>
      <c r="AO158" s="1177" t="n"/>
      <c r="AQ158" s="296" t="n"/>
      <c r="AR158" s="296" t="n"/>
      <c r="AS158" s="1178" t="n"/>
    </row>
    <row r="159" ht="15" customHeight="1" s="1016">
      <c r="B159" s="1175" t="inlineStr">
        <is>
          <t>Otros Ajustes 3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1176" t="n"/>
      <c r="AM159" s="205" t="n"/>
      <c r="AN159" s="13" t="n"/>
      <c r="AO159" s="1177" t="n"/>
      <c r="AQ159" s="296" t="n"/>
      <c r="AR159" s="296" t="n"/>
      <c r="AS159" s="1178" t="n"/>
    </row>
    <row r="160" ht="15" customHeight="1" s="1016" thickBot="1">
      <c r="B160" s="1179" t="inlineStr">
        <is>
          <t>Otros Ajustes 4</t>
        </is>
      </c>
      <c r="C160" s="234" t="n"/>
      <c r="D160" s="233" t="n"/>
      <c r="E160" s="1180" t="n"/>
      <c r="F160" s="567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1180" t="n"/>
      <c r="AM160" s="292">
        <f>C160+F160+I160+L160+O160+R160+U160+X160+AA160+AD160+AG160+AJ160</f>
        <v/>
      </c>
      <c r="AN160" s="233" t="n"/>
      <c r="AO160" s="1181" t="n"/>
      <c r="AQ160" s="620" t="n"/>
      <c r="AR160" s="620" t="n"/>
      <c r="AS160" s="1182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5">
        <f>C161+F161+I161+L161+O161+R161+U161+X161+AA161+AD161+AG161+AJ161</f>
        <v/>
      </c>
      <c r="AN161" s="498" t="n"/>
      <c r="AO161" s="1119" t="n"/>
      <c r="AQ161" s="628">
        <f>AQ144-AQ147-AQ153</f>
        <v/>
      </c>
      <c r="AR161" s="628" t="n"/>
      <c r="AS161" s="1159" t="n"/>
    </row>
    <row r="162" ht="15" customHeight="1" s="1016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7">
        <f>IFERROR(AM161/AM13," ")</f>
        <v/>
      </c>
      <c r="AN162" s="501" t="n"/>
      <c r="AO162" s="1119" t="n"/>
      <c r="AQ162" s="629">
        <f>IFERROR(AQ161/AQ13," ")</f>
        <v/>
      </c>
      <c r="AR162" s="629" t="n"/>
      <c r="AS162" s="1159" t="n"/>
    </row>
    <row r="163" ht="10.8" customHeight="1" s="1016" thickTop="1"/>
    <row r="164" hidden="1" s="1016">
      <c r="X164" s="616">
        <f>X44+X83-X73-X85</f>
        <v/>
      </c>
    </row>
    <row r="165" hidden="1" s="1016">
      <c r="X165" s="616" t="n">
        <v>982472.65</v>
      </c>
    </row>
    <row r="166" hidden="1" s="1016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2:AT189"/>
  <sheetViews>
    <sheetView zoomScaleNormal="100" workbookViewId="0">
      <pane xSplit="2" ySplit="13" topLeftCell="C16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15" sqref="C15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554687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CALI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975" t="inlineStr">
        <is>
          <t xml:space="preserve">DIAS DE ATENCIÓN </t>
        </is>
      </c>
      <c r="C3" s="976" t="n">
        <v>5</v>
      </c>
      <c r="D3" s="479" t="n"/>
      <c r="E3" s="1060" t="n"/>
      <c r="F3" s="535" t="n">
        <v>20</v>
      </c>
      <c r="G3" s="479" t="n"/>
      <c r="H3" s="1060" t="n"/>
      <c r="I3" s="535" t="n">
        <v>19</v>
      </c>
      <c r="J3" s="479" t="n"/>
      <c r="K3" s="1060" t="n"/>
      <c r="L3" s="535" t="n">
        <v>19</v>
      </c>
      <c r="M3" s="479" t="n"/>
      <c r="N3" s="1060" t="n"/>
      <c r="O3" s="478" t="n">
        <v>19</v>
      </c>
      <c r="P3" s="479" t="n"/>
      <c r="Q3" s="1060" t="n"/>
      <c r="R3" s="478" t="n">
        <v>18</v>
      </c>
      <c r="S3" s="479" t="n"/>
      <c r="T3" s="1060" t="n"/>
      <c r="U3" s="478" t="n">
        <v>9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19</v>
      </c>
      <c r="AH3" s="479" t="n"/>
      <c r="AI3" s="1060" t="n"/>
      <c r="AJ3" s="478" t="n">
        <v>4</v>
      </c>
      <c r="AK3" s="479" t="n"/>
      <c r="AL3" s="536" t="n"/>
      <c r="AM3" s="571">
        <f>SUM(C3:AJ3)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66" t="n"/>
      <c r="F5" s="257" t="n"/>
      <c r="G5" s="260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5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 t="n"/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398" t="n"/>
      <c r="AF15" s="1079" t="n"/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58" t="inlineStr">
        <is>
          <t xml:space="preserve">COMPLEMENTO INDUSTRIALIZADO </t>
        </is>
      </c>
      <c r="C16" s="103" t="n"/>
      <c r="D16" s="79">
        <f>C16/C5</f>
        <v/>
      </c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81">
        <f>AM16/AM$13</f>
        <v/>
      </c>
    </row>
    <row r="17" ht="15" customHeight="1" s="1016">
      <c r="B17" s="258" t="inlineStr">
        <is>
          <t xml:space="preserve">COMPLEMENTO PREPARADO AM </t>
        </is>
      </c>
      <c r="C17" s="25" t="n"/>
      <c r="D17" s="43">
        <f>C17/C6</f>
        <v/>
      </c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71">
        <f>AM17/AM$13</f>
        <v/>
      </c>
    </row>
    <row r="18" ht="15" customHeight="1" s="1016">
      <c r="B18" s="258" t="inlineStr">
        <is>
          <t xml:space="preserve">COMPLEMENTO PREPARADO PM  </t>
        </is>
      </c>
      <c r="C18" s="25" t="n"/>
      <c r="D18" s="43">
        <f>C18/C7</f>
        <v/>
      </c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71">
        <f>AM18/AM$13</f>
        <v/>
      </c>
    </row>
    <row r="19" ht="15" customHeight="1" s="1016">
      <c r="B19" s="258" t="inlineStr">
        <is>
          <t xml:space="preserve">ALMUERZO JORNADA UNICA  </t>
        </is>
      </c>
      <c r="C19" s="91" t="n"/>
      <c r="D19" s="43">
        <f>C19/C8</f>
        <v/>
      </c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>
        <f>AM19/AM$13</f>
        <v/>
      </c>
    </row>
    <row r="20" ht="15" customHeight="1" s="1016">
      <c r="B20" s="258" t="inlineStr">
        <is>
          <t xml:space="preserve">NOVEDADES   </t>
        </is>
      </c>
      <c r="C20" s="74" t="n"/>
      <c r="D20" s="43" t="n"/>
      <c r="E20" s="1070" t="n"/>
      <c r="F20" s="25" t="n"/>
      <c r="G20" s="43" t="n"/>
      <c r="H20" s="1070" t="n"/>
      <c r="I20" s="74" t="n"/>
      <c r="J20" s="43" t="n"/>
      <c r="K20" s="1070" t="n"/>
      <c r="L20" s="74" t="n"/>
      <c r="M20" s="43" t="n"/>
      <c r="N20" s="1070" t="n"/>
      <c r="O20" s="25" t="n"/>
      <c r="P20" s="43" t="n"/>
      <c r="Q20" s="1070" t="n"/>
      <c r="R20" s="74" t="n"/>
      <c r="S20" s="43" t="n"/>
      <c r="T20" s="1070" t="n"/>
      <c r="U20" s="75" t="n"/>
      <c r="V20" s="43" t="n"/>
      <c r="W20" s="1070" t="n"/>
      <c r="X20" s="74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2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B21" s="104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t="15" customHeight="1" s="1016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>
        <f>AD24</f>
        <v/>
      </c>
      <c r="AE23" s="3" t="n"/>
      <c r="AF23" s="1078" t="n"/>
      <c r="AG23" s="90">
        <f>AG24</f>
        <v/>
      </c>
      <c r="AH23" s="3" t="n"/>
      <c r="AI23" s="1078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79" t="n"/>
    </row>
    <row r="24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outlineLevel="1" ht="15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>
        <f>C29/C13</f>
        <v/>
      </c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1184">
        <f>X29/X13</f>
        <v/>
      </c>
      <c r="AA29" s="90">
        <f>SUM(AA30:AA35)</f>
        <v/>
      </c>
      <c r="AB29" s="3" t="n"/>
      <c r="AC29" s="1185">
        <f>AA29/AA13</f>
        <v/>
      </c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086">
        <f>C$13*2%</f>
        <v/>
      </c>
      <c r="D30" s="79" t="n"/>
      <c r="E30" s="1080" t="n"/>
      <c r="F30" s="1086">
        <f>F$13*2%</f>
        <v/>
      </c>
      <c r="G30" s="79" t="n"/>
      <c r="H30" s="1080" t="n"/>
      <c r="I30" s="1086">
        <f>I$13*2%</f>
        <v/>
      </c>
      <c r="J30" s="79" t="n"/>
      <c r="K30" s="1080" t="n"/>
      <c r="L30" s="1086">
        <f>L$13*2%</f>
        <v/>
      </c>
      <c r="M30" s="79" t="n"/>
      <c r="N30" s="1080" t="n"/>
      <c r="O30" s="1086">
        <f>O$13*2%</f>
        <v/>
      </c>
      <c r="P30" s="79" t="n"/>
      <c r="Q30" s="1080" t="n"/>
      <c r="R30" s="1086">
        <f>R$13*2%</f>
        <v/>
      </c>
      <c r="S30" s="79" t="n"/>
      <c r="T30" s="1080" t="n"/>
      <c r="U30" s="1086">
        <f>U$13*2%</f>
        <v/>
      </c>
      <c r="V30" s="79" t="n"/>
      <c r="W30" s="1080" t="n"/>
      <c r="X30" s="1086">
        <f>X$13*2%</f>
        <v/>
      </c>
      <c r="Y30" s="79" t="n"/>
      <c r="Z30" s="1080" t="n"/>
      <c r="AA30" s="1086">
        <f>AA$13*2%</f>
        <v/>
      </c>
      <c r="AB30" s="79" t="n"/>
      <c r="AC30" s="1080" t="n"/>
      <c r="AD30" s="1086">
        <f>AD$13*2%</f>
        <v/>
      </c>
      <c r="AE30" s="79" t="n"/>
      <c r="AF30" s="1080" t="n"/>
      <c r="AG30" s="1086">
        <f>AG$13*2%</f>
        <v/>
      </c>
      <c r="AH30" s="79" t="n"/>
      <c r="AI30" s="1080" t="n"/>
      <c r="AJ30" s="1086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081" t="n"/>
      <c r="AP30" s="2" t="n"/>
      <c r="AQ30" s="2" t="n"/>
      <c r="AR30" s="2" t="n"/>
      <c r="AS30" s="2" t="n"/>
      <c r="AT30" s="2" t="n"/>
    </row>
    <row r="31" outlineLevel="1" ht="15" customHeight="1" s="1016">
      <c r="B31" s="105" t="inlineStr">
        <is>
          <t>0,88% Rte Ica</t>
        </is>
      </c>
      <c r="C31" s="1087">
        <f>C$13*0.88%</f>
        <v/>
      </c>
      <c r="D31" s="43" t="n"/>
      <c r="E31" s="1070" t="n"/>
      <c r="F31" s="1087">
        <f>F$13*0.88%</f>
        <v/>
      </c>
      <c r="G31" s="43" t="n"/>
      <c r="H31" s="1070" t="n"/>
      <c r="I31" s="1087">
        <f>I$13*0.88%</f>
        <v/>
      </c>
      <c r="J31" s="43" t="n"/>
      <c r="K31" s="1070" t="n"/>
      <c r="L31" s="1087">
        <f>L$13*0.88%</f>
        <v/>
      </c>
      <c r="M31" s="43" t="n"/>
      <c r="N31" s="1070" t="n"/>
      <c r="O31" s="1087">
        <f>O$13*0.88%</f>
        <v/>
      </c>
      <c r="P31" s="43" t="n"/>
      <c r="Q31" s="1070" t="n"/>
      <c r="R31" s="1087">
        <f>R$13*0.88%</f>
        <v/>
      </c>
      <c r="S31" s="43" t="n"/>
      <c r="T31" s="1070" t="n"/>
      <c r="U31" s="1087">
        <f>U$13*0.88%</f>
        <v/>
      </c>
      <c r="V31" s="43" t="n"/>
      <c r="W31" s="1070" t="n"/>
      <c r="X31" s="1087">
        <f>X$13*0.88%</f>
        <v/>
      </c>
      <c r="Y31" s="43" t="n"/>
      <c r="Z31" s="1070" t="n"/>
      <c r="AA31" s="1087">
        <f>AA$13*0.88%</f>
        <v/>
      </c>
      <c r="AB31" s="43" t="n"/>
      <c r="AC31" s="1070" t="n"/>
      <c r="AD31" s="1087">
        <f>AD$13*0.88%</f>
        <v/>
      </c>
      <c r="AE31" s="43" t="n"/>
      <c r="AF31" s="1070" t="n"/>
      <c r="AG31" s="1087">
        <f>AG$13*0.88%</f>
        <v/>
      </c>
      <c r="AH31" s="43" t="n"/>
      <c r="AI31" s="1070" t="n"/>
      <c r="AJ31" s="1087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outlineLevel="1" ht="15" customHeight="1" s="1016">
      <c r="B32" s="105" t="inlineStr">
        <is>
          <t>1% Estampilla Prohospital</t>
        </is>
      </c>
      <c r="C32" s="1087">
        <f>C$13*1%</f>
        <v/>
      </c>
      <c r="D32" s="43" t="n"/>
      <c r="E32" s="1070" t="n"/>
      <c r="F32" s="1087">
        <f>F$13*1%</f>
        <v/>
      </c>
      <c r="G32" s="43" t="n"/>
      <c r="H32" s="1070" t="n"/>
      <c r="I32" s="1087">
        <f>I$13*1%</f>
        <v/>
      </c>
      <c r="J32" s="43" t="n"/>
      <c r="K32" s="1070" t="n"/>
      <c r="L32" s="1087">
        <f>L$13*1%</f>
        <v/>
      </c>
      <c r="M32" s="43" t="n"/>
      <c r="N32" s="1070" t="n"/>
      <c r="O32" s="1087">
        <f>O$13*1%</f>
        <v/>
      </c>
      <c r="P32" s="43" t="n"/>
      <c r="Q32" s="1070" t="n"/>
      <c r="R32" s="1087">
        <f>R$13*1%</f>
        <v/>
      </c>
      <c r="S32" s="43" t="n"/>
      <c r="T32" s="1070" t="n"/>
      <c r="U32" s="1087">
        <f>U$13*1%</f>
        <v/>
      </c>
      <c r="V32" s="43" t="n"/>
      <c r="W32" s="1070" t="n"/>
      <c r="X32" s="1087">
        <f>X$13*1%</f>
        <v/>
      </c>
      <c r="Y32" s="43" t="n"/>
      <c r="Z32" s="1070" t="n"/>
      <c r="AA32" s="1087">
        <f>AA$13*1%</f>
        <v/>
      </c>
      <c r="AB32" s="43" t="n"/>
      <c r="AC32" s="1070" t="n"/>
      <c r="AD32" s="1087">
        <f>AD$13*1%</f>
        <v/>
      </c>
      <c r="AE32" s="43" t="n"/>
      <c r="AF32" s="1070" t="n"/>
      <c r="AG32" s="1087">
        <f>AG$13*1%</f>
        <v/>
      </c>
      <c r="AH32" s="43" t="n"/>
      <c r="AI32" s="1070" t="n"/>
      <c r="AJ32" s="1087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outlineLevel="1" ht="15" customHeight="1" s="1016">
      <c r="B33" s="105" t="inlineStr">
        <is>
          <t>0,5% Propacifico</t>
        </is>
      </c>
      <c r="C33" s="205">
        <f>C$13*0.5%</f>
        <v/>
      </c>
      <c r="D33" s="43" t="n"/>
      <c r="E33" s="1070" t="n"/>
      <c r="F33" s="205">
        <f>F$13*0.5%</f>
        <v/>
      </c>
      <c r="G33" s="43" t="n"/>
      <c r="H33" s="1070" t="n"/>
      <c r="I33" s="205">
        <f>I$13*0.5%</f>
        <v/>
      </c>
      <c r="J33" s="43" t="n"/>
      <c r="K33" s="1070" t="n"/>
      <c r="L33" s="205">
        <f>L$13*0.5%</f>
        <v/>
      </c>
      <c r="M33" s="43" t="n"/>
      <c r="N33" s="1070" t="n"/>
      <c r="O33" s="205">
        <f>O$13*0.5%</f>
        <v/>
      </c>
      <c r="P33" s="43" t="n"/>
      <c r="Q33" s="1070" t="n"/>
      <c r="R33" s="205">
        <f>R$13*0.5%</f>
        <v/>
      </c>
      <c r="S33" s="43" t="n"/>
      <c r="T33" s="1070" t="n"/>
      <c r="U33" s="205">
        <f>U$13*0.5%</f>
        <v/>
      </c>
      <c r="V33" s="43" t="n"/>
      <c r="W33" s="1070" t="n"/>
      <c r="X33" s="205">
        <f>X$13*0.5%</f>
        <v/>
      </c>
      <c r="Y33" s="43" t="n"/>
      <c r="Z33" s="1070" t="n"/>
      <c r="AA33" s="205">
        <f>AA$13*0.5%</f>
        <v/>
      </c>
      <c r="AB33" s="43" t="n"/>
      <c r="AC33" s="1070" t="n"/>
      <c r="AD33" s="205">
        <f>AD$13*0.5%</f>
        <v/>
      </c>
      <c r="AE33" s="43" t="n"/>
      <c r="AF33" s="1070" t="n"/>
      <c r="AG33" s="205">
        <f>AG$13*0.5%</f>
        <v/>
      </c>
      <c r="AH33" s="43" t="n"/>
      <c r="AI33" s="1070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70" t="n"/>
      <c r="F34" s="205">
        <f>(F$13*3.5%)*1%</f>
        <v/>
      </c>
      <c r="G34" s="43" t="n"/>
      <c r="H34" s="1070" t="n"/>
      <c r="I34" s="205">
        <f>(I$13*3.5%)*1%</f>
        <v/>
      </c>
      <c r="J34" s="43" t="n"/>
      <c r="K34" s="1070" t="n"/>
      <c r="L34" s="205">
        <f>(L$13*3.5%)*1%</f>
        <v/>
      </c>
      <c r="M34" s="43" t="n"/>
      <c r="N34" s="1070" t="n"/>
      <c r="O34" s="205">
        <f>(O$13*3.5%)*1%</f>
        <v/>
      </c>
      <c r="P34" s="43" t="n"/>
      <c r="Q34" s="1070" t="n"/>
      <c r="R34" s="205">
        <f>(R$13*3.5%)*1%</f>
        <v/>
      </c>
      <c r="S34" s="43" t="n"/>
      <c r="T34" s="1070" t="n"/>
      <c r="U34" s="205">
        <f>(U$13*3.5%)*1%</f>
        <v/>
      </c>
      <c r="V34" s="43" t="n"/>
      <c r="W34" s="1070" t="n"/>
      <c r="X34" s="205">
        <f>(X$13*3.5%)*1%</f>
        <v/>
      </c>
      <c r="Y34" s="43" t="n"/>
      <c r="Z34" s="1070" t="n"/>
      <c r="AA34" s="205">
        <f>(AA$13*3.5%)*1%</f>
        <v/>
      </c>
      <c r="AB34" s="43" t="n"/>
      <c r="AC34" s="1070" t="n"/>
      <c r="AD34" s="205">
        <f>(AD$13*3.5%)*1%</f>
        <v/>
      </c>
      <c r="AE34" s="43" t="n"/>
      <c r="AF34" s="1070" t="n"/>
      <c r="AG34" s="205">
        <f>(AG$13*3.5%)*1%</f>
        <v/>
      </c>
      <c r="AH34" s="43" t="n"/>
      <c r="AI34" s="1070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outlineLevel="1" ht="15" customHeight="1" s="1016">
      <c r="B35" s="104" t="inlineStr">
        <is>
          <t>2% Juzgado de Familia</t>
        </is>
      </c>
      <c r="C35" s="91">
        <f>C13*2%</f>
        <v/>
      </c>
      <c r="D35" s="92" t="n"/>
      <c r="E35" s="1088" t="n"/>
      <c r="F35" s="91">
        <f>F13*2%</f>
        <v/>
      </c>
      <c r="G35" s="92" t="n"/>
      <c r="H35" s="1088" t="n"/>
      <c r="I35" s="91">
        <f>I13*2%</f>
        <v/>
      </c>
      <c r="J35" s="92" t="n"/>
      <c r="K35" s="1088" t="n"/>
      <c r="L35" s="91">
        <f>L13*2%</f>
        <v/>
      </c>
      <c r="M35" s="92" t="n"/>
      <c r="N35" s="1088" t="n"/>
      <c r="O35" s="91">
        <f>O13*2%</f>
        <v/>
      </c>
      <c r="P35" s="92" t="n"/>
      <c r="Q35" s="1088" t="n"/>
      <c r="R35" s="91">
        <f>R13*2%</f>
        <v/>
      </c>
      <c r="S35" s="92" t="n"/>
      <c r="T35" s="1088" t="n"/>
      <c r="U35" s="91">
        <f>U13*2%</f>
        <v/>
      </c>
      <c r="V35" s="92" t="n"/>
      <c r="W35" s="1088" t="n"/>
      <c r="X35" s="91">
        <f>X13*2%</f>
        <v/>
      </c>
      <c r="Y35" s="92" t="n"/>
      <c r="Z35" s="1088" t="n"/>
      <c r="AA35" s="91">
        <f>AA13*2%</f>
        <v/>
      </c>
      <c r="AB35" s="92" t="n"/>
      <c r="AC35" s="1088" t="n"/>
      <c r="AD35" s="91">
        <f>AD13*2%</f>
        <v/>
      </c>
      <c r="AE35" s="92" t="n"/>
      <c r="AF35" s="1088" t="n"/>
      <c r="AG35" s="91">
        <f>AG13*2%</f>
        <v/>
      </c>
      <c r="AH35" s="92" t="n"/>
      <c r="AI35" s="1088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outlineLevel="1" ht="15" customHeight="1" s="1016">
      <c r="B36" s="30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71" t="n"/>
    </row>
    <row r="37" outlineLevel="1" ht="15" customHeight="1" s="1016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2" t="n"/>
      <c r="D43" s="2" t="n"/>
      <c r="E43" s="1186">
        <f>(C46+C61)/(C13-C20)</f>
        <v/>
      </c>
      <c r="F43" s="732" t="n"/>
      <c r="G43" s="732" t="n"/>
      <c r="H43" s="1186">
        <f>(F46+F61)/(F13-F20)</f>
        <v/>
      </c>
      <c r="I43" s="732" t="n"/>
      <c r="J43" s="732" t="n"/>
      <c r="K43" s="1186">
        <f>(I46+I61)/(I13-I20)</f>
        <v/>
      </c>
      <c r="L43" s="732" t="n"/>
      <c r="M43" s="732" t="n"/>
      <c r="N43" s="1187">
        <f>(L46+L61)/(L13-L20)</f>
        <v/>
      </c>
      <c r="O43" s="732" t="n"/>
      <c r="P43" s="732" t="n"/>
      <c r="Q43" s="1187">
        <f>(O46+O61)/(O13-O20)</f>
        <v/>
      </c>
      <c r="R43" s="732" t="n"/>
      <c r="S43" s="732" t="n"/>
      <c r="T43" s="1187">
        <f>(R46+R61)/(R13-R20)</f>
        <v/>
      </c>
      <c r="U43" s="732" t="n"/>
      <c r="V43" s="732" t="n"/>
      <c r="W43" s="1187">
        <f>(U46+U61)/U13</f>
        <v/>
      </c>
      <c r="X43" s="732" t="n"/>
      <c r="Y43" s="732" t="n"/>
      <c r="Z43" s="1187">
        <f>(X46+X61)/X13</f>
        <v/>
      </c>
      <c r="AA43" s="732" t="n"/>
      <c r="AB43" s="732" t="n"/>
      <c r="AC43" s="1187">
        <f>(AA46+AA61)/AA13</f>
        <v/>
      </c>
      <c r="AD43" s="732" t="n"/>
      <c r="AE43" s="732" t="n"/>
      <c r="AF43" s="1187">
        <f>(AD46+AD61)/AD13</f>
        <v/>
      </c>
      <c r="AG43" s="732" t="n"/>
      <c r="AH43" s="732" t="n"/>
      <c r="AI43" s="1187">
        <f>(AG46+AG61)/(AG13-AG20)</f>
        <v/>
      </c>
      <c r="AJ43" s="732" t="n"/>
      <c r="AK43" s="732" t="n"/>
      <c r="AL43" s="1187">
        <f>(AJ46+AJ61)/(AJ13-AJ20)</f>
        <v/>
      </c>
      <c r="AM43" s="733" t="n"/>
      <c r="AN43" s="732" t="n"/>
      <c r="AO43" s="942">
        <f>(AM46+AM61)/(AM13-AM20)</f>
        <v/>
      </c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4" t="n"/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>
        <f>C45/C13</f>
        <v/>
      </c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>
        <f>O45/O13</f>
        <v/>
      </c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761" t="n"/>
      <c r="AC45" s="1184">
        <f>AA45/AA13</f>
        <v/>
      </c>
      <c r="AD45" s="90">
        <f>+AD46+AD57</f>
        <v/>
      </c>
      <c r="AE45" s="3" t="n"/>
      <c r="AF45" s="1078">
        <f>AD45/AD13</f>
        <v/>
      </c>
      <c r="AG45" s="90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1016">
      <c r="B46" s="36" t="inlineStr">
        <is>
          <t>INSUMOS CI</t>
        </is>
      </c>
      <c r="C46" s="37">
        <f>SUM(C47:C56)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>
        <f>X46/X13</f>
        <v/>
      </c>
      <c r="AA46" s="37">
        <f>SUM(AA47:AA56)</f>
        <v/>
      </c>
      <c r="AB46" s="67" t="n"/>
      <c r="AC46" s="1096">
        <f>AA46/AA13</f>
        <v/>
      </c>
      <c r="AD46" s="37">
        <f>SUM(AD47:AD56)</f>
        <v/>
      </c>
      <c r="AE46" s="67" t="n"/>
      <c r="AF46" s="1096">
        <f>AD46/AD13</f>
        <v/>
      </c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t="15" customHeight="1" s="1016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082">
        <f>C47/C16</f>
        <v/>
      </c>
      <c r="F47" s="76">
        <f>'[45]Hoja 1'!$I$50</f>
        <v/>
      </c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AM47/AM5</f>
        <v/>
      </c>
      <c r="AO47" s="1083">
        <f>AM47/AM16</f>
        <v/>
      </c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>
        <f>AM48/AM6</f>
        <v/>
      </c>
      <c r="AO48" s="1071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71" t="n"/>
    </row>
    <row r="55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71" t="n"/>
    </row>
    <row r="56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083" t="n"/>
    </row>
    <row r="57" ht="15" customHeight="1" s="1016">
      <c r="B57" s="36" t="inlineStr">
        <is>
          <t>FLETES CI</t>
        </is>
      </c>
      <c r="C57" s="37">
        <f>SUM(C58:C59)</f>
        <v/>
      </c>
      <c r="D57" s="67">
        <f>C57/C12</f>
        <v/>
      </c>
      <c r="E57" s="1096">
        <f>C57/C13</f>
        <v/>
      </c>
      <c r="F57" s="46">
        <f>SUM(F58:F59)</f>
        <v/>
      </c>
      <c r="G57" s="47">
        <f>F57/(F5+F6)</f>
        <v/>
      </c>
      <c r="H57" s="1074">
        <f>F57/(F16+F17)</f>
        <v/>
      </c>
      <c r="I57" s="46">
        <f>SUM(I58:I59)</f>
        <v/>
      </c>
      <c r="J57" s="47">
        <f>I57/(I5+I6)</f>
        <v/>
      </c>
      <c r="K57" s="1074">
        <f>I57/I17</f>
        <v/>
      </c>
      <c r="L57" s="46">
        <f>SUM(L58:L59)</f>
        <v/>
      </c>
      <c r="M57" s="67">
        <f>L57/(L5+L6)</f>
        <v/>
      </c>
      <c r="N57" s="1096">
        <f>L57/L17</f>
        <v/>
      </c>
      <c r="O57" s="46">
        <f>SUM(O58:O59)</f>
        <v/>
      </c>
      <c r="P57" s="47">
        <f>O57/(O5+O6)</f>
        <v/>
      </c>
      <c r="Q57" s="1074">
        <f>O57/O17</f>
        <v/>
      </c>
      <c r="R57" s="46">
        <f>SUM(R58:R59)</f>
        <v/>
      </c>
      <c r="S57" s="47">
        <f>R57/(R5+R6)</f>
        <v/>
      </c>
      <c r="T57" s="1074">
        <f>R57/R17</f>
        <v/>
      </c>
      <c r="U57" s="46">
        <f>SUM(U58:U59)</f>
        <v/>
      </c>
      <c r="V57" s="47">
        <f>U57/(U5+U6)</f>
        <v/>
      </c>
      <c r="W57" s="1074">
        <f>U57/U17</f>
        <v/>
      </c>
      <c r="X57" s="46">
        <f>SUM(X58:X59)</f>
        <v/>
      </c>
      <c r="Y57" s="47">
        <f>X57/(X5+X6)</f>
        <v/>
      </c>
      <c r="Z57" s="1074" t="n">
        <v>0.06244567797153729</v>
      </c>
      <c r="AA57" s="46">
        <f>SUM(AA58:AA59)</f>
        <v/>
      </c>
      <c r="AB57" s="47">
        <f>AA57/(AA5+AA6)</f>
        <v/>
      </c>
      <c r="AC57" s="1074" t="n">
        <v>0.06244567797153729</v>
      </c>
      <c r="AD57" s="46">
        <f>SUM(AD58:AD59)</f>
        <v/>
      </c>
      <c r="AE57" s="47">
        <f>AD57/(AD5+AD6)</f>
        <v/>
      </c>
      <c r="AF57" s="1074" t="n">
        <v>0.06244567797153729</v>
      </c>
      <c r="AG57" s="46">
        <f>SUM(AG58:AG59)</f>
        <v/>
      </c>
      <c r="AH57" s="47">
        <f>AG57/(AG5+AG6)</f>
        <v/>
      </c>
      <c r="AI57" s="1074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075" t="n">
        <v>0.06244567797153729</v>
      </c>
    </row>
    <row r="58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 t="n"/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90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90">
        <f>+AA61+AA72+AA75+AA76+AA77</f>
        <v/>
      </c>
      <c r="AB60" s="761" t="n"/>
      <c r="AC60" s="1184" t="n"/>
      <c r="AD60" s="90">
        <f>+AD61+AD72+AD75+AD76+AD77</f>
        <v/>
      </c>
      <c r="AE60" s="3" t="n"/>
      <c r="AF60" s="1078" t="n"/>
      <c r="AG60" s="90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1016">
      <c r="B61" s="36" t="inlineStr">
        <is>
          <t>INSUMOS CP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>
        <f>U61/(U17+U18+U19)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97" t="n"/>
    </row>
    <row r="62" ht="15" customHeight="1" s="1016">
      <c r="A62" s="226" t="inlineStr">
        <is>
          <t xml:space="preserve">7105                </t>
        </is>
      </c>
      <c r="B62" s="100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080">
        <f>C62/C17</f>
        <v/>
      </c>
      <c r="F62" s="78">
        <f>'[45]Hoja 1'!$I$49-'[45]Hoja 1'!$E$45</f>
        <v/>
      </c>
      <c r="G62" s="79">
        <f>F62/F6</f>
        <v/>
      </c>
      <c r="H62" s="1080">
        <f>F62/F17</f>
        <v/>
      </c>
      <c r="I62" s="78" t="n"/>
      <c r="J62" s="79">
        <f>I62/I6</f>
        <v/>
      </c>
      <c r="K62" s="1080">
        <f>I62/I17</f>
        <v/>
      </c>
      <c r="L62" s="78" t="n"/>
      <c r="M62" s="79">
        <f>L62/L6</f>
        <v/>
      </c>
      <c r="N62" s="1080">
        <f>L62/L17</f>
        <v/>
      </c>
      <c r="O62" s="78" t="n"/>
      <c r="P62" s="79">
        <f>O62/O6</f>
        <v/>
      </c>
      <c r="Q62" s="1080">
        <f>O62/O17</f>
        <v/>
      </c>
      <c r="R62" s="78" t="n"/>
      <c r="S62" s="79">
        <f>R62/R6</f>
        <v/>
      </c>
      <c r="T62" s="1080">
        <f>R62/R17</f>
        <v/>
      </c>
      <c r="U62" s="78" t="n"/>
      <c r="V62" s="79">
        <f>U62/U6</f>
        <v/>
      </c>
      <c r="W62" s="1080">
        <f>U62/U17</f>
        <v/>
      </c>
      <c r="X62" s="78" t="n"/>
      <c r="Y62" s="79">
        <f>X62/X6</f>
        <v/>
      </c>
      <c r="Z62" s="1080">
        <f>X62/X17</f>
        <v/>
      </c>
      <c r="AA62" s="78" t="n"/>
      <c r="AB62" s="79">
        <f>AA62/AA6</f>
        <v/>
      </c>
      <c r="AC62" s="1080">
        <f>AA62/AA17</f>
        <v/>
      </c>
      <c r="AD62" s="78" t="n"/>
      <c r="AE62" s="79">
        <f>AD62/AD6</f>
        <v/>
      </c>
      <c r="AF62" s="1080">
        <f>AD62/AD17</f>
        <v/>
      </c>
      <c r="AG62" s="78" t="n"/>
      <c r="AH62" s="79">
        <f>AG62/AG6</f>
        <v/>
      </c>
      <c r="AI62" s="1080">
        <f>AG62/AG17</f>
        <v/>
      </c>
      <c r="AJ62" s="78" t="n"/>
      <c r="AK62" s="79">
        <f>AJ62/AJ6</f>
        <v/>
      </c>
      <c r="AL62" s="1080">
        <f>AJ62/AJ17</f>
        <v/>
      </c>
      <c r="AM62" s="212">
        <f>C62+F62+I62+L62+O62+R62+U62+X62+AA62+AD62+AG62+AJ62</f>
        <v/>
      </c>
      <c r="AN62" s="79">
        <f>AM62/AM6</f>
        <v/>
      </c>
      <c r="AO62" s="1081">
        <f>AM62/AM17</f>
        <v/>
      </c>
    </row>
    <row r="63" ht="15" customHeight="1" s="1016">
      <c r="A63" s="226" t="inlineStr">
        <is>
          <t xml:space="preserve">7105                </t>
        </is>
      </c>
      <c r="B63" s="101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70">
        <f>C63/C18</f>
        <v/>
      </c>
      <c r="F63" s="25">
        <f>'[45]Hoja 1'!$I$51</f>
        <v/>
      </c>
      <c r="G63" s="43">
        <f>F63/F7</f>
        <v/>
      </c>
      <c r="H63" s="1070">
        <f>F63/F18</f>
        <v/>
      </c>
      <c r="I63" s="25" t="n"/>
      <c r="J63" s="43">
        <f>I63/I7</f>
        <v/>
      </c>
      <c r="K63" s="1070">
        <f>I63/I18</f>
        <v/>
      </c>
      <c r="L63" s="25" t="n"/>
      <c r="M63" s="43">
        <f>L63/L7</f>
        <v/>
      </c>
      <c r="N63" s="1070">
        <f>L63/L18</f>
        <v/>
      </c>
      <c r="O63" s="25" t="n"/>
      <c r="P63" s="43">
        <f>O63/O7</f>
        <v/>
      </c>
      <c r="Q63" s="1070">
        <f>O63/O18</f>
        <v/>
      </c>
      <c r="R63" s="25" t="n"/>
      <c r="S63" s="43">
        <f>R63/R7</f>
        <v/>
      </c>
      <c r="T63" s="1070">
        <f>R63/R18</f>
        <v/>
      </c>
      <c r="U63" s="25" t="n"/>
      <c r="V63" s="43">
        <f>U63/U7</f>
        <v/>
      </c>
      <c r="W63" s="1070">
        <f>U63/U18</f>
        <v/>
      </c>
      <c r="X63" s="25" t="n"/>
      <c r="Y63" s="43">
        <f>X63/X7</f>
        <v/>
      </c>
      <c r="Z63" s="1070">
        <f>X63/X18</f>
        <v/>
      </c>
      <c r="AA63" s="25" t="n"/>
      <c r="AB63" s="43">
        <f>AA63/AA7</f>
        <v/>
      </c>
      <c r="AC63" s="1070">
        <f>AA63/AA18</f>
        <v/>
      </c>
      <c r="AD63" s="25" t="n"/>
      <c r="AE63" s="43">
        <f>AD63/AD7</f>
        <v/>
      </c>
      <c r="AF63" s="1070">
        <f>AD63/AD18</f>
        <v/>
      </c>
      <c r="AG63" s="25" t="n"/>
      <c r="AH63" s="43">
        <f>AG63/AG7</f>
        <v/>
      </c>
      <c r="AI63" s="1070">
        <f>AG63/AG18</f>
        <v/>
      </c>
      <c r="AJ63" s="25" t="n"/>
      <c r="AK63" s="43">
        <f>AJ63/AJ7</f>
        <v/>
      </c>
      <c r="AL63" s="1070">
        <f>AJ63/AJ18</f>
        <v/>
      </c>
      <c r="AM63" s="205">
        <f>C63+F63+I63+L63+O63+R63+U63+X63+AA63+AD63+AG63+AJ63</f>
        <v/>
      </c>
      <c r="AN63" s="43">
        <f>AM63/AM7</f>
        <v/>
      </c>
      <c r="AO63" s="1071">
        <f>AM63/AM18</f>
        <v/>
      </c>
    </row>
    <row r="64" ht="15" customHeight="1" s="1016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70">
        <f>C64/C19</f>
        <v/>
      </c>
      <c r="F64" s="25">
        <f>'[45]Hoja 1'!$I$52</f>
        <v/>
      </c>
      <c r="G64" s="43">
        <f>F64/F8</f>
        <v/>
      </c>
      <c r="H64" s="1070">
        <f>F64/F19</f>
        <v/>
      </c>
      <c r="I64" s="25" t="n"/>
      <c r="J64" s="43">
        <f>I64/I8</f>
        <v/>
      </c>
      <c r="K64" s="1070">
        <f>I64/I19</f>
        <v/>
      </c>
      <c r="L64" s="25" t="n"/>
      <c r="M64" s="43">
        <f>L64/L8</f>
        <v/>
      </c>
      <c r="N64" s="1070">
        <f>L64/L19</f>
        <v/>
      </c>
      <c r="O64" s="25" t="n"/>
      <c r="P64" s="43">
        <f>O64/O8</f>
        <v/>
      </c>
      <c r="Q64" s="1070">
        <f>O64/O19</f>
        <v/>
      </c>
      <c r="R64" s="25" t="n"/>
      <c r="S64" s="43">
        <f>R64/R8</f>
        <v/>
      </c>
      <c r="T64" s="1070">
        <f>R64/R19</f>
        <v/>
      </c>
      <c r="U64" s="25" t="n"/>
      <c r="V64" s="43">
        <f>U64/U8</f>
        <v/>
      </c>
      <c r="W64" s="1070">
        <f>U64/U19</f>
        <v/>
      </c>
      <c r="X64" s="25" t="n"/>
      <c r="Y64" s="43">
        <f>X64/X8</f>
        <v/>
      </c>
      <c r="Z64" s="1070">
        <f>X64/X19</f>
        <v/>
      </c>
      <c r="AA64" s="25" t="n"/>
      <c r="AB64" s="43">
        <f>AA64/AA8</f>
        <v/>
      </c>
      <c r="AC64" s="1070">
        <f>AA64/AA19</f>
        <v/>
      </c>
      <c r="AD64" s="25" t="n"/>
      <c r="AE64" s="43">
        <f>AD64/AD8</f>
        <v/>
      </c>
      <c r="AF64" s="1070">
        <f>AD64/AD19</f>
        <v/>
      </c>
      <c r="AG64" s="25" t="n"/>
      <c r="AH64" s="43">
        <f>AG64/AG8</f>
        <v/>
      </c>
      <c r="AI64" s="1070">
        <f>AG64/AG19</f>
        <v/>
      </c>
      <c r="AJ64" s="25" t="n"/>
      <c r="AK64" s="43">
        <f>AJ64/AJ8</f>
        <v/>
      </c>
      <c r="AL64" s="1070">
        <f>AJ64/AJ19</f>
        <v/>
      </c>
      <c r="AM64" s="205">
        <f>C64+F64+I64+L64+O64+R64+U64+X64+AA64+AD64+AG64+AJ64</f>
        <v/>
      </c>
      <c r="AN64" s="43">
        <f>AM64/AM8</f>
        <v/>
      </c>
      <c r="AO64" s="1070">
        <f>AM64/AM19</f>
        <v/>
      </c>
    </row>
    <row r="65" ht="15" customHeight="1" s="1016">
      <c r="B65" s="25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t="15" customHeight="1" s="1016">
      <c r="B66" s="25" t="inlineStr">
        <is>
          <t>MEJORAMIENTO DE MENU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t="15" customHeight="1" s="1016">
      <c r="B67" s="25" t="inlineStr">
        <is>
          <t>REFRIGERIOS</t>
        </is>
      </c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71" t="n"/>
    </row>
    <row r="68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750" t="n"/>
      <c r="AB68" s="806" t="n"/>
      <c r="AC68" s="1188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 t="n"/>
      <c r="AO68" s="1071" t="n"/>
    </row>
    <row r="69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750" t="n"/>
      <c r="AB69" s="806" t="n"/>
      <c r="AC69" s="1188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 t="n"/>
      <c r="AO69" s="1071" t="n"/>
    </row>
    <row r="70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871" t="n"/>
      <c r="AB70" s="875" t="n"/>
      <c r="AC70" s="1189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 t="n"/>
      <c r="AO70" s="1071" t="n"/>
    </row>
    <row r="7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72" t="n"/>
      <c r="AB71" s="873" t="n"/>
      <c r="AC71" s="1190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t="15" customHeight="1" s="1016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96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VEHICULOS'!C25*'%DIST'!B20</f>
        <v/>
      </c>
      <c r="D73" s="79" t="n"/>
      <c r="E73" s="1080" t="n"/>
      <c r="F73" s="78">
        <f>'GASTOS VEHICULOS'!D25*'%DIST'!D20</f>
        <v/>
      </c>
      <c r="G73" s="79" t="n"/>
      <c r="H73" s="1080" t="n"/>
      <c r="I73" s="78">
        <f>'GASTOS VEHICULOS'!E25*'%DIST'!F20</f>
        <v/>
      </c>
      <c r="J73" s="79" t="n"/>
      <c r="K73" s="1080" t="n"/>
      <c r="L73" s="78">
        <f>'GASTOS VEHICULOS'!F25*'%DIST'!H20</f>
        <v/>
      </c>
      <c r="M73" s="79" t="n"/>
      <c r="N73" s="1080" t="n"/>
      <c r="O73" s="78">
        <f>'GASTOS VEHICULOS'!G25*'%DIST'!J20</f>
        <v/>
      </c>
      <c r="P73" s="79" t="n"/>
      <c r="Q73" s="1080" t="n"/>
      <c r="R73" s="78">
        <f>'GASTOS VEHICULOS'!H25*'%DIST'!L20</f>
        <v/>
      </c>
      <c r="S73" s="79" t="n"/>
      <c r="T73" s="1080" t="n"/>
      <c r="U73" s="78">
        <f>'GASTOS VEHICULOS'!I25*'%DIST'!N20</f>
        <v/>
      </c>
      <c r="V73" s="79" t="n"/>
      <c r="W73" s="1080" t="n"/>
      <c r="X73" s="78">
        <f>'GASTOS VEHICULOS'!J25*'%DIST'!P20</f>
        <v/>
      </c>
      <c r="Y73" s="79" t="n"/>
      <c r="Z73" s="1080" t="n"/>
      <c r="AA73" s="78">
        <f>'GASTOS VEHICULOS'!K25*'%DIST'!R20</f>
        <v/>
      </c>
      <c r="AB73" s="79" t="n"/>
      <c r="AC73" s="1080" t="n"/>
      <c r="AD73" s="78">
        <f>'GASTOS VEHICULOS'!L25*'%DIST'!T20</f>
        <v/>
      </c>
      <c r="AE73" s="79" t="n"/>
      <c r="AF73" s="1080" t="n"/>
      <c r="AG73" s="78">
        <f>'GASTOS VEHICULOS'!M25*'%DIST'!V20</f>
        <v/>
      </c>
      <c r="AH73" s="79" t="n"/>
      <c r="AI73" s="1080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42" t="n"/>
    </row>
    <row r="74" ht="15" customHeight="1" s="1016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1'!$C$592+'[6]Hoja 1'!$D$129</f>
        <v/>
      </c>
      <c r="D74" s="134" t="n"/>
      <c r="E74" s="1143" t="n"/>
      <c r="F74" s="273">
        <f>'[15]Hoja 1'!$C$203</f>
        <v/>
      </c>
      <c r="G74" s="134" t="n"/>
      <c r="H74" s="1143" t="n"/>
      <c r="I74" s="273" t="n"/>
      <c r="J74" s="134" t="n"/>
      <c r="K74" s="1143" t="n"/>
      <c r="L74" s="273" t="n"/>
      <c r="M74" s="134" t="n"/>
      <c r="N74" s="1143" t="n"/>
      <c r="O74" s="273" t="n"/>
      <c r="P74" s="134" t="n"/>
      <c r="Q74" s="1143" t="n"/>
      <c r="R74" s="273" t="n"/>
      <c r="S74" s="134" t="n"/>
      <c r="T74" s="1143" t="n"/>
      <c r="U74" s="273" t="n"/>
      <c r="V74" s="134" t="n"/>
      <c r="W74" s="1143" t="n"/>
      <c r="X74" s="273" t="n"/>
      <c r="Y74" s="134" t="n"/>
      <c r="Z74" s="1143" t="n"/>
      <c r="AA74" s="273" t="n"/>
      <c r="AB74" s="134" t="n"/>
      <c r="AC74" s="1143" t="n"/>
      <c r="AD74" s="273" t="n"/>
      <c r="AE74" s="134" t="n"/>
      <c r="AF74" s="1143" t="n"/>
      <c r="AG74" s="273" t="n"/>
      <c r="AH74" s="134" t="n"/>
      <c r="AI74" s="1143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39" t="n"/>
    </row>
    <row r="75" ht="15" customHeight="1" s="1016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097" t="n"/>
    </row>
    <row r="76" ht="15" customHeight="1" s="1016">
      <c r="A76" s="226" t="inlineStr">
        <is>
          <t xml:space="preserve">71101501            </t>
        </is>
      </c>
      <c r="B76" s="36" t="inlineStr">
        <is>
          <t>Menaje</t>
        </is>
      </c>
      <c r="C76" s="37">
        <f>'[1]Hoja 1'!$C$558</f>
        <v/>
      </c>
      <c r="D76" s="67" t="n"/>
      <c r="E76" s="1096" t="n"/>
      <c r="F76" s="37">
        <f>'[8]Hoja 1'!$C$521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00">
        <f>AM76/$AM$13</f>
        <v/>
      </c>
    </row>
    <row r="77" ht="15" customHeight="1" s="101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'[6]Hoja 1'!$D$131</f>
        <v/>
      </c>
      <c r="D77" s="45" t="n"/>
      <c r="E77" s="1191" t="n"/>
      <c r="F77" s="28">
        <f>'[15]Hoja 1'!$C$205</f>
        <v/>
      </c>
      <c r="G77" s="45" t="n"/>
      <c r="H77" s="1191" t="n"/>
      <c r="I77" s="28" t="n"/>
      <c r="J77" s="45" t="n"/>
      <c r="K77" s="1191" t="n"/>
      <c r="L77" s="28" t="n"/>
      <c r="M77" s="45" t="n"/>
      <c r="N77" s="1191" t="n"/>
      <c r="O77" s="28" t="n"/>
      <c r="P77" s="45" t="n"/>
      <c r="Q77" s="1191" t="n"/>
      <c r="R77" s="28" t="n"/>
      <c r="S77" s="45" t="n"/>
      <c r="T77" s="1191" t="n"/>
      <c r="U77" s="28" t="n"/>
      <c r="V77" s="45" t="n"/>
      <c r="W77" s="1191" t="n"/>
      <c r="X77" s="28" t="n"/>
      <c r="Y77" s="45" t="n"/>
      <c r="Z77" s="1191" t="n"/>
      <c r="AA77" s="28" t="n"/>
      <c r="AB77" s="45" t="n"/>
      <c r="AC77" s="1191" t="n"/>
      <c r="AD77" s="28" t="n"/>
      <c r="AE77" s="45" t="n"/>
      <c r="AF77" s="1191" t="n"/>
      <c r="AG77" s="28" t="n"/>
      <c r="AH77" s="45" t="n"/>
      <c r="AI77" s="1191" t="n"/>
      <c r="AJ77" s="28" t="n"/>
      <c r="AK77" s="45" t="n"/>
      <c r="AL77" s="1191" t="n"/>
      <c r="AM77" s="26">
        <f>C77+F77+I77+L77+O77+R77+U77+X77+AA77+AD77+AG77+AJ77</f>
        <v/>
      </c>
      <c r="AN77" s="42">
        <f>AM77/(AM6+AM7)</f>
        <v/>
      </c>
      <c r="AO77" s="1100">
        <f>AM77/$AM$13</f>
        <v/>
      </c>
      <c r="AP77" s="1192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>
        <f>C78/(C$13)</f>
        <v/>
      </c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01">
        <f>AM78/(AM$13)</f>
        <v/>
      </c>
    </row>
    <row r="79" ht="15" customHeight="1" s="1016">
      <c r="B79" s="39" t="inlineStr">
        <is>
          <t>Manipuladoras</t>
        </is>
      </c>
      <c r="C79" s="726">
        <f>'[34]Hoja 1'!$E$13+'[35]Hoja 1'!$E$14</f>
        <v/>
      </c>
      <c r="D79" s="267" t="n"/>
      <c r="E79" s="1102" t="n"/>
      <c r="F79" s="726">
        <f>'[42]Hoja 1'!$I$20-25458943+'[46]Hoja 1'!$C$27</f>
        <v/>
      </c>
      <c r="G79" s="69" t="n"/>
      <c r="H79" s="1102" t="n"/>
      <c r="I79" s="726" t="n"/>
      <c r="J79" s="69" t="n"/>
      <c r="K79" s="1102" t="n"/>
      <c r="L79" s="726" t="n"/>
      <c r="M79" s="69" t="n"/>
      <c r="N79" s="1102" t="n"/>
      <c r="O79" s="726" t="n"/>
      <c r="P79" s="69" t="n"/>
      <c r="Q79" s="1102" t="n"/>
      <c r="R79" s="726" t="n"/>
      <c r="S79" s="69" t="n"/>
      <c r="T79" s="1102" t="n"/>
      <c r="U79" s="726" t="n"/>
      <c r="V79" s="69" t="n"/>
      <c r="W79" s="1102" t="n"/>
      <c r="X79" s="726" t="n"/>
      <c r="Y79" s="69" t="n"/>
      <c r="Z79" s="1102" t="n"/>
      <c r="AA79" s="726" t="n"/>
      <c r="AB79" s="69" t="n"/>
      <c r="AC79" s="1102" t="n"/>
      <c r="AD79" s="726" t="n"/>
      <c r="AE79" s="69" t="n"/>
      <c r="AF79" s="1102" t="n"/>
      <c r="AG79" s="726" t="n"/>
      <c r="AH79" s="69" t="n"/>
      <c r="AI79" s="1102" t="n"/>
      <c r="AJ79" s="895" t="n"/>
      <c r="AK79" s="69" t="n"/>
      <c r="AL79" s="70" t="n"/>
      <c r="AM79" s="268">
        <f>C79+F79+I79+L79+O79+R79+U79+X79+AA79+AD79+AG79+AJ79</f>
        <v/>
      </c>
      <c r="AN79" s="4">
        <f>AM79/AM$12</f>
        <v/>
      </c>
      <c r="AO79" s="1103">
        <f>AM79/AM13</f>
        <v/>
      </c>
      <c r="AP79" s="355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'[29]Hoja 1'!$D$25+'[29]Hoja 1'!$D$28+'[30]Hoja 1'!$D$24</f>
        <v/>
      </c>
      <c r="D80" s="272" t="n"/>
      <c r="E80" s="1070" t="n"/>
      <c r="F80" s="25">
        <f>'[36]Hoja 1'!$D$30+'[36]Hoja 1'!$D$31+'[42]Hoja 1'!$D$19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71">
        <f>AM80/AM13</f>
        <v/>
      </c>
    </row>
    <row r="81" ht="15" customHeight="1" s="1016" thickBot="1">
      <c r="B81" s="98" t="inlineStr">
        <is>
          <t>Temporales MOD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>
        <v>272352504.49</v>
      </c>
      <c r="S82" s="2" t="n"/>
      <c r="T82" s="1092" t="n"/>
      <c r="U82" s="2" t="n">
        <v>250</v>
      </c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C84/C13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02" t="n"/>
      <c r="F85" s="39">
        <f>'GASTOS OPERATIVOS'!D17*'%DIST'!E4</f>
        <v/>
      </c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1193" t="n"/>
      <c r="AO85" s="1107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70" t="n"/>
      <c r="F86" s="25">
        <f>'[15]Hoja 1'!$C$179</f>
        <v/>
      </c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81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0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'[6]Hoja 1'!$D$118</f>
        <v/>
      </c>
      <c r="D87" s="42" t="n"/>
      <c r="E87" s="1082" t="n"/>
      <c r="F87" s="25">
        <f>'[8]Hoja 1'!$C$553</f>
        <v/>
      </c>
      <c r="G87" s="146" t="n"/>
      <c r="H87" s="1082" t="n"/>
      <c r="I87" s="22" t="n"/>
      <c r="J87" s="42" t="n"/>
      <c r="K87" s="1082" t="n"/>
      <c r="L87" s="25" t="n"/>
      <c r="M87" s="42" t="n"/>
      <c r="N87" s="1082" t="n"/>
      <c r="O87" s="25" t="n"/>
      <c r="P87" s="42" t="n"/>
      <c r="Q87" s="1082" t="n"/>
      <c r="R87" s="25" t="n"/>
      <c r="S87" s="42" t="n"/>
      <c r="T87" s="1082" t="n"/>
      <c r="U87" s="22" t="n"/>
      <c r="V87" s="42" t="n"/>
      <c r="W87" s="1082" t="n"/>
      <c r="X87" s="25" t="n"/>
      <c r="Y87" s="42" t="n"/>
      <c r="Z87" s="1082" t="n"/>
      <c r="AA87" s="25" t="n"/>
      <c r="AB87" s="42" t="n"/>
      <c r="AC87" s="1082" t="n"/>
      <c r="AD87" s="25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>
        <f>AM87/(AM$13)</f>
        <v/>
      </c>
    </row>
    <row r="88" ht="15" customHeight="1" s="1016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72" t="n"/>
      <c r="F88" s="83">
        <f>'[15]Hoja 1'!$C$153</f>
        <v/>
      </c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 t="n"/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 t="n"/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962">
        <f>'[47]Hoja 1'!$C$646</f>
        <v/>
      </c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Tecnica/ Capacitaciones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 t="n"/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 t="n"/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>
        <f>C96/(AM$13)</f>
        <v/>
      </c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 t="n"/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 t="n"/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01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2">
        <f>'[47]Hoja 1'!$C$649+'[6]Hoja 1'!$D$122</f>
        <v/>
      </c>
      <c r="D97" s="69" t="n"/>
      <c r="E97" s="1102" t="n"/>
      <c r="F97" s="39">
        <f>'[15]Hoja 1'!$C$195</f>
        <v/>
      </c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'[6]Hoja 1'!$D$124</f>
        <v/>
      </c>
      <c r="D98" s="276" t="n"/>
      <c r="E98" s="1109" t="n"/>
      <c r="F98" s="275">
        <f>'[15]Hoja 1'!$C$197</f>
        <v/>
      </c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90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 t="n"/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01">
        <f>AM99/(AM$13)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'[15]Hoja 1'!C200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81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'[6]Hoja 1'!$D$127</f>
        <v/>
      </c>
      <c r="D104" s="43" t="n"/>
      <c r="E104" s="1070" t="n"/>
      <c r="F104" s="25">
        <f>'[15]Hoja 1'!C201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81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846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846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 t="n"/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B110" s="39" t="inlineStr">
        <is>
          <t>Notariales</t>
        </is>
      </c>
      <c r="C110" s="39">
        <f>'[6]Hoja 1'!$D$136</f>
        <v/>
      </c>
      <c r="D110" s="69" t="n"/>
      <c r="E110" s="1102" t="n"/>
      <c r="F110" s="39">
        <f>'[15]Hoja 1'!$C$208</f>
        <v/>
      </c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>
        <f>F114/(F$13)</f>
        <v/>
      </c>
      <c r="I114" s="90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SUM(X115:X119)</f>
        <v/>
      </c>
      <c r="Y114" s="3" t="n"/>
      <c r="Z114" s="1078">
        <f>X114/(X$13)</f>
        <v/>
      </c>
      <c r="AA114" s="49">
        <f>SUM(AA115:AA119)</f>
        <v/>
      </c>
      <c r="AB114" s="3" t="n"/>
      <c r="AC114" s="1078">
        <f>AA114/(AA$13)</f>
        <v/>
      </c>
      <c r="AD114" s="49">
        <f>SUM(AD115:AD119)</f>
        <v/>
      </c>
      <c r="AE114" s="3" t="n"/>
      <c r="AF114" s="1078" t="n"/>
      <c r="AG114" s="49">
        <f>SUM(AG115:AG119)</f>
        <v/>
      </c>
      <c r="AH114" s="3" t="n"/>
      <c r="AI114" s="1078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'[6]Hoja 1'!$D$139</f>
        <v/>
      </c>
      <c r="D117" s="43" t="n"/>
      <c r="E117" s="1070" t="n"/>
      <c r="F117" s="25">
        <f>'[15]Hoja 1'!$C$212</f>
        <v/>
      </c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897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B119" s="97" t="inlineStr">
        <is>
          <t>Plan Basico de Saneamiento</t>
        </is>
      </c>
      <c r="C119" s="28" t="n"/>
      <c r="D119" s="42" t="n"/>
      <c r="E119" s="1082" t="n"/>
      <c r="F119" s="22">
        <f>'[15]Hoja 1'!$C$211</f>
        <v/>
      </c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786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78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SUM(R121)</f>
        <v/>
      </c>
      <c r="S120" s="3" t="n"/>
      <c r="T120" s="1078">
        <f>R120/(R$13)</f>
        <v/>
      </c>
      <c r="U120" s="49">
        <f>SUM(U121)</f>
        <v/>
      </c>
      <c r="V120" s="3" t="n"/>
      <c r="W120" s="1078">
        <f>U120/(U$13)</f>
        <v/>
      </c>
      <c r="X120" s="49">
        <f>SUM(X121)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SUM(AD121:AD122)</f>
        <v/>
      </c>
      <c r="AE120" s="3" t="n"/>
      <c r="AF120" s="1078" t="n"/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>
        <f>SUM(AD124:AD126)</f>
        <v/>
      </c>
      <c r="AE123" s="3" t="n"/>
      <c r="AF123" s="1078" t="n"/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01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>
        <f>'[8]Hoja 1'!$C$565+'[15]Hoja 1'!$C$217</f>
        <v/>
      </c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783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94" t="n"/>
    </row>
    <row r="129" outlineLevel="1" ht="15" customHeight="1" s="101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>
        <f>'[8]Hoja 1'!$C$566</f>
        <v/>
      </c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897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'[1]Hoja 1'!$C$556</f>
        <v/>
      </c>
      <c r="D130" s="43" t="n"/>
      <c r="E130" s="1070" t="n"/>
      <c r="F130" s="25">
        <f>'[8]Hoja 1'!$C$519+'[8]Hoja 1'!$C$557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95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>
        <f>'[8]Hoja 1'!$C$559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1'!$C$595+'[6]Hoja 1'!$D$142</f>
        <v/>
      </c>
      <c r="D133" s="43" t="n"/>
      <c r="E133" s="1070" t="n"/>
      <c r="F133" s="25">
        <f>'[8]Hoja 1'!$C$561+'[15]Hoja 1'!$C$215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'[6]Hoja 1'!$D$144</f>
        <v/>
      </c>
      <c r="D134" s="43" t="n"/>
      <c r="E134" s="1070" t="n"/>
      <c r="F134" s="25">
        <f>'[8]Hoja 1'!$C$563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>
        <f>'[15]Hoja 1'!$C$218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>
        <f>'[15]Hoja 1'!$C$219</f>
        <v/>
      </c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ADMINISTRATIVOS'!C96*'%DIST'!B36</f>
        <v/>
      </c>
      <c r="D148" s="69" t="n"/>
      <c r="E148" s="1102" t="n"/>
      <c r="F148" s="39">
        <f>'GASTOS ADMINISTRATIVOS'!D96*'%DIST'!D36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AM148/AM13</f>
        <v/>
      </c>
    </row>
    <row r="149" ht="15" customHeight="1" s="1016">
      <c r="B149" s="285" t="inlineStr">
        <is>
          <t>Gastos financieros</t>
        </is>
      </c>
      <c r="C149" s="25">
        <f>'GASTOS ADMINISTRATIVOS'!C109*'%DIST'!C52+520117.4</f>
        <v/>
      </c>
      <c r="D149" s="43" t="n"/>
      <c r="E149" s="1070" t="n"/>
      <c r="F149" s="25">
        <f>'GASTOS ADMINISTRATIVOS'!D109*'%DIST'!E52+129086.38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AM150/AM13</f>
        <v/>
      </c>
    </row>
    <row r="151" ht="15" customHeight="1" s="1016" thickBot="1">
      <c r="B151" s="300" t="inlineStr">
        <is>
          <t>Gastos No Operacionales</t>
        </is>
      </c>
      <c r="C151" s="71">
        <f>'GASTOS ADMINISTRATIVOS'!C119*'%DIST'!C52</f>
        <v/>
      </c>
      <c r="D151" s="72" t="n"/>
      <c r="E151" s="1111" t="n"/>
      <c r="F151" s="71">
        <f>'GASTOS ADMINISTRATIVOS'!D119*'%DIST'!E52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AM153/AM13</f>
        <v/>
      </c>
    </row>
    <row r="154" ht="15" customHeight="1" s="1016" thickTop="1">
      <c r="B154" s="1160" t="inlineStr">
        <is>
          <t>Novedades</t>
        </is>
      </c>
      <c r="C154" s="716" t="n"/>
      <c r="D154" s="548" t="n"/>
      <c r="E154" s="1196" t="n"/>
      <c r="F154" s="716" t="n"/>
      <c r="G154" s="548" t="n"/>
      <c r="H154" s="1196" t="n"/>
      <c r="I154" s="716" t="n"/>
      <c r="J154" s="548" t="n"/>
      <c r="K154" s="1196" t="n"/>
      <c r="L154" s="716" t="n"/>
      <c r="M154" s="548" t="n"/>
      <c r="N154" s="1196" t="n"/>
      <c r="O154" s="716" t="n"/>
      <c r="P154" s="548" t="n"/>
      <c r="Q154" s="1196" t="n"/>
      <c r="R154" s="716" t="n"/>
      <c r="S154" s="548" t="n"/>
      <c r="T154" s="1196" t="n"/>
      <c r="U154" s="716" t="n"/>
      <c r="V154" s="548" t="n"/>
      <c r="W154" s="1196" t="n"/>
      <c r="X154" s="716" t="n"/>
      <c r="Y154" s="548" t="n"/>
      <c r="Z154" s="1196" t="n"/>
      <c r="AA154" s="716" t="n"/>
      <c r="AB154" s="548" t="n"/>
      <c r="AC154" s="1196" t="n"/>
      <c r="AD154" s="716" t="n"/>
      <c r="AE154" s="548" t="n"/>
      <c r="AF154" s="1196" t="n"/>
      <c r="AG154" s="716" t="n"/>
      <c r="AH154" s="548" t="n"/>
      <c r="AI154" s="1196" t="n"/>
      <c r="AJ154" s="1197" t="n"/>
      <c r="AK154" s="548" t="n"/>
      <c r="AL154" s="717" t="n"/>
      <c r="AM154" s="716">
        <f>C154+F154+I154+L154+O154+R154+U154+X154+AA154+AD154+AG154+AJ154</f>
        <v/>
      </c>
      <c r="AN154" s="230" t="n"/>
      <c r="AO154" s="1162" t="n"/>
    </row>
    <row r="155" ht="15" customHeight="1" s="1016">
      <c r="B155" s="1164" t="inlineStr">
        <is>
          <t xml:space="preserve">Otros Ajustes 1 </t>
        </is>
      </c>
      <c r="C155" s="75" t="n"/>
      <c r="D155" s="12" t="n"/>
      <c r="E155" s="1176" t="n"/>
      <c r="F155" s="705" t="n"/>
      <c r="G155" s="13" t="n"/>
      <c r="H155" s="1176" t="n"/>
      <c r="I155" s="705" t="n"/>
      <c r="J155" s="13" t="n"/>
      <c r="K155" s="1176" t="n"/>
      <c r="L155" s="705" t="n"/>
      <c r="M155" s="13" t="n"/>
      <c r="N155" s="1176" t="n"/>
      <c r="O155" s="839" t="n"/>
      <c r="P155" s="845" t="n"/>
      <c r="Q155" s="841" t="n"/>
      <c r="R155" s="839" t="n"/>
      <c r="S155" s="845" t="n"/>
      <c r="T155" s="841" t="n"/>
      <c r="U155" s="705" t="n"/>
      <c r="V155" s="845" t="n"/>
      <c r="W155" s="841" t="n"/>
      <c r="X155" s="705" t="n"/>
      <c r="Y155" s="845" t="n"/>
      <c r="Z155" s="870" t="n"/>
      <c r="AA155" s="705" t="n"/>
      <c r="AB155" s="845" t="n"/>
      <c r="AC155" s="841" t="n"/>
      <c r="AD155" s="705" t="n"/>
      <c r="AE155" s="845" t="n"/>
      <c r="AF155" s="841" t="n"/>
      <c r="AG155" s="705" t="n"/>
      <c r="AH155" s="13" t="n"/>
      <c r="AI155" s="1176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66" t="n"/>
    </row>
    <row r="156" ht="15" customHeight="1" s="1016">
      <c r="B156" s="1168" t="inlineStr">
        <is>
          <t>Otros Ajustes 2</t>
        </is>
      </c>
      <c r="C156" s="77" t="n"/>
      <c r="D156" s="7" t="n"/>
      <c r="E156" s="1198" t="n"/>
      <c r="F156" s="718" t="n"/>
      <c r="G156" s="677" t="n"/>
      <c r="H156" s="1198" t="n"/>
      <c r="I156" s="718" t="n"/>
      <c r="J156" s="677" t="n"/>
      <c r="K156" s="1198" t="n"/>
      <c r="L156" s="718" t="n"/>
      <c r="M156" s="677" t="n"/>
      <c r="N156" s="1198" t="n"/>
      <c r="O156" s="840" t="n"/>
      <c r="P156" s="677" t="n"/>
      <c r="Q156" s="1199" t="n"/>
      <c r="R156" s="718" t="n"/>
      <c r="S156" s="677" t="n"/>
      <c r="T156" s="1198" t="n"/>
      <c r="U156" s="718" t="n"/>
      <c r="V156" s="677" t="n"/>
      <c r="W156" s="1198" t="n"/>
      <c r="X156" s="718" t="n"/>
      <c r="Y156" s="677" t="n"/>
      <c r="Z156" s="1198" t="n"/>
      <c r="AA156" s="718" t="n"/>
      <c r="AB156" s="677" t="n"/>
      <c r="AC156" s="1198" t="n"/>
      <c r="AD156" s="718" t="n"/>
      <c r="AE156" s="677" t="n"/>
      <c r="AF156" s="1198" t="n"/>
      <c r="AG156" s="718" t="n"/>
      <c r="AH156" s="677" t="n"/>
      <c r="AI156" s="1198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70" t="n"/>
    </row>
    <row r="157" ht="15" customHeight="1" s="1016">
      <c r="B157" s="1171" t="inlineStr">
        <is>
          <t>Otros Ajustes 3</t>
        </is>
      </c>
      <c r="C157" s="77" t="n"/>
      <c r="D157" s="820" t="n"/>
      <c r="E157" s="1200" t="n"/>
      <c r="F157" s="705" t="n"/>
      <c r="G157" s="553" t="n"/>
      <c r="H157" s="1200" t="n"/>
      <c r="I157" s="705" t="n"/>
      <c r="J157" s="553" t="n"/>
      <c r="K157" s="1200" t="n"/>
      <c r="L157" s="705" t="n"/>
      <c r="M157" s="553" t="n"/>
      <c r="N157" s="1200" t="n"/>
      <c r="O157" s="705" t="n"/>
      <c r="P157" s="845" t="n"/>
      <c r="Q157" s="1201" t="n"/>
      <c r="R157" s="705" t="n"/>
      <c r="S157" s="635" t="n"/>
      <c r="T157" s="1202" t="n"/>
      <c r="U157" s="705" t="n"/>
      <c r="V157" s="635" t="n"/>
      <c r="W157" s="1202" t="n"/>
      <c r="X157" s="705" t="n"/>
      <c r="Y157" s="553" t="n"/>
      <c r="Z157" s="1200" t="n"/>
      <c r="AA157" s="705" t="n"/>
      <c r="AB157" s="553" t="n"/>
      <c r="AC157" s="1200" t="n"/>
      <c r="AD157" s="705" t="n"/>
      <c r="AE157" s="553" t="n"/>
      <c r="AF157" s="1200" t="n"/>
      <c r="AG157" s="705" t="n"/>
      <c r="AH157" s="553" t="n"/>
      <c r="AI157" s="1200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03">
        <f>AM157/(AM$13)</f>
        <v/>
      </c>
    </row>
    <row r="158" ht="15" customHeight="1" s="1016">
      <c r="B158" s="1175" t="inlineStr">
        <is>
          <t>Otros Ajustes 4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204" t="n"/>
      <c r="P158" s="13" t="n"/>
      <c r="Q158" s="1205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206" t="n"/>
      <c r="AH158" s="13" t="n"/>
      <c r="AI158" s="1176" t="n"/>
      <c r="AJ158" s="1206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AM158/(AM$13)</f>
        <v/>
      </c>
    </row>
    <row r="159" ht="15" customHeight="1" s="1016">
      <c r="B159" s="1175" t="inlineStr">
        <is>
          <t>Otros Ajustes 5</t>
        </is>
      </c>
      <c r="C159" s="705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206" t="n"/>
      <c r="AH159" s="13" t="n"/>
      <c r="AI159" s="1176" t="n"/>
      <c r="AJ159" s="1206" t="n"/>
      <c r="AK159" s="13" t="n"/>
      <c r="AL159" s="246" t="n"/>
      <c r="AM159" s="294">
        <f>C159+F159+I159+L159+O159+R159+U159+X159+AA159+AD159+AG159+AJ159</f>
        <v/>
      </c>
      <c r="AN159" s="13" t="n"/>
      <c r="AO159" s="1177">
        <f>AM159/(AM$13)</f>
        <v/>
      </c>
    </row>
    <row r="160" ht="15" customHeight="1" s="1016" thickBot="1">
      <c r="B160" s="1179" t="inlineStr">
        <is>
          <t>Otros Ajustes 6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81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538">
        <f>IFERROR(C161/C13," ")</f>
        <v/>
      </c>
      <c r="D162" s="501" t="n"/>
      <c r="E162" s="1118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</row>
    <row r="163" ht="10.8" customHeight="1" s="1016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'[1]Hoja 1'!$C$542+'[1]Hoja 1'!$C$513+'[30]Hoja 1'!$D$24+'[6]Hoja 1'!$D$82-'[6]Hoja 1'!$D$133+'[7]Hoja 1'!$C$67-'[7]Hoja 1'!$C$101</f>
        <v/>
      </c>
      <c r="F165" s="616">
        <f>'[8]Hoja 1'!$C$505+'[8]Hoja 1'!$C$488-'[36]Hoja 1'!$D$32+'[15]Hoja 1'!$C$149+'[15]Hoja 1'!$C$155+'[46]Hoja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10" t="n">
        <v>21902713</v>
      </c>
      <c r="D167" s="1010" t="inlineStr">
        <is>
          <t>dic</t>
        </is>
      </c>
    </row>
    <row r="169">
      <c r="R169" s="1207" t="n"/>
    </row>
    <row r="188">
      <c r="AC188" s="1058">
        <f>11287+2223</f>
        <v/>
      </c>
    </row>
    <row r="189">
      <c r="AC189" s="1058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5546875" customWidth="1" style="2" min="42" max="42"/>
    <col width="8.33203125" customWidth="1" style="2" min="43" max="43"/>
    <col width="11.44140625" customWidth="1" style="2" min="44" max="57"/>
    <col width="11.44140625" customWidth="1" style="2" min="58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YUMBO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522" t="inlineStr">
        <is>
          <t xml:space="preserve">DIAS DE ATENCIÓN </t>
        </is>
      </c>
      <c r="C3" s="535" t="n">
        <v>5</v>
      </c>
      <c r="D3" s="479" t="n"/>
      <c r="E3" s="1060" t="n"/>
      <c r="F3" s="535" t="n">
        <v>20</v>
      </c>
      <c r="G3" s="479" t="n"/>
      <c r="H3" s="1060" t="n"/>
      <c r="I3" s="535" t="n">
        <v>19</v>
      </c>
      <c r="J3" s="479" t="n"/>
      <c r="K3" s="1060" t="n"/>
      <c r="L3" s="535" t="n">
        <v>19</v>
      </c>
      <c r="M3" s="479" t="n"/>
      <c r="N3" s="1060" t="n"/>
      <c r="O3" s="478" t="n">
        <v>19</v>
      </c>
      <c r="P3" s="479" t="n"/>
      <c r="Q3" s="1060" t="n"/>
      <c r="R3" s="478" t="n">
        <v>13</v>
      </c>
      <c r="S3" s="479" t="n"/>
      <c r="T3" s="1060" t="n"/>
      <c r="U3" s="478" t="n">
        <v>14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19</v>
      </c>
      <c r="AH3" s="479" t="n"/>
      <c r="AI3" s="1060" t="n"/>
      <c r="AJ3" s="478" t="n">
        <v>4</v>
      </c>
      <c r="AK3" s="479" t="n"/>
      <c r="AL3" s="536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25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 t="n"/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 t="n"/>
      <c r="AG15" s="90">
        <f>SUM(AG16:AG22)</f>
        <v/>
      </c>
      <c r="AH15" s="3" t="n"/>
      <c r="AI15" s="1078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62" t="inlineStr">
        <is>
          <t>COMPLEMENTO AM/PM (Fac)</t>
        </is>
      </c>
      <c r="C16" s="103" t="n"/>
      <c r="D16" s="79">
        <f>C16/C5</f>
        <v/>
      </c>
      <c r="E16" s="1080" t="n"/>
      <c r="F16" s="103" t="n"/>
      <c r="G16" s="79">
        <f>F16/F5</f>
        <v/>
      </c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81" t="n"/>
    </row>
    <row r="17" ht="15" customHeight="1" s="1016">
      <c r="B17" s="104" t="inlineStr">
        <is>
          <t>REFUERZO COMPLEMENTO AM/PM (Fac)</t>
        </is>
      </c>
      <c r="C17" s="91" t="n"/>
      <c r="D17" s="43">
        <f>C17/C6</f>
        <v/>
      </c>
      <c r="E17" s="1070" t="n"/>
      <c r="F17" s="91" t="n"/>
      <c r="G17" s="43">
        <f>F17/F6</f>
        <v/>
      </c>
      <c r="H17" s="1070" t="n"/>
      <c r="I17" s="91" t="n"/>
      <c r="J17" s="43" t="n"/>
      <c r="K17" s="1070" t="n"/>
      <c r="L17" s="91" t="n"/>
      <c r="M17" s="43" t="n"/>
      <c r="N17" s="1070" t="n"/>
      <c r="O17" s="91" t="n"/>
      <c r="P17" s="43" t="n"/>
      <c r="Q17" s="1070" t="n"/>
      <c r="R17" s="91" t="n"/>
      <c r="S17" s="43" t="n"/>
      <c r="T17" s="1070" t="n"/>
      <c r="U17" s="91" t="n"/>
      <c r="V17" s="43" t="n"/>
      <c r="W17" s="1070" t="n"/>
      <c r="X17" s="91" t="n"/>
      <c r="Y17" s="43" t="n"/>
      <c r="Z17" s="1070" t="n"/>
      <c r="AA17" s="91" t="n"/>
      <c r="AB17" s="43" t="n"/>
      <c r="AC17" s="1070" t="n"/>
      <c r="AD17" s="91" t="n"/>
      <c r="AE17" s="43" t="n"/>
      <c r="AF17" s="1070" t="n"/>
      <c r="AG17" s="91" t="n"/>
      <c r="AH17" s="43" t="n"/>
      <c r="AI17" s="1070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71" t="n"/>
    </row>
    <row r="18" ht="15" customHeight="1" s="1016">
      <c r="B18" s="104" t="inlineStr">
        <is>
          <t>ALMUERZO JORNADA UNICA (Fac)</t>
        </is>
      </c>
      <c r="C18" s="75" t="n"/>
      <c r="D18" s="43">
        <f>C18/C7</f>
        <v/>
      </c>
      <c r="E18" s="1070" t="n"/>
      <c r="F18" s="75" t="n"/>
      <c r="G18" s="43">
        <f>F18/F7</f>
        <v/>
      </c>
      <c r="H18" s="1070" t="n"/>
      <c r="I18" s="7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71" t="n"/>
    </row>
    <row r="19" ht="15" customHeight="1" s="1016">
      <c r="B19" s="104" t="n"/>
      <c r="C19" s="25" t="n"/>
      <c r="D19" s="43" t="n"/>
      <c r="E19" s="1070" t="n"/>
      <c r="F19" s="74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74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t="15" customHeight="1" s="1016">
      <c r="B20" s="104" t="inlineStr">
        <is>
          <t>NOVEDADES (Fac)</t>
        </is>
      </c>
      <c r="C20" s="75" t="n"/>
      <c r="D20" s="43" t="n"/>
      <c r="E20" s="1070" t="n"/>
      <c r="F20" s="74" t="n"/>
      <c r="G20" s="43" t="n"/>
      <c r="H20" s="1070" t="n"/>
      <c r="I20" s="74" t="n"/>
      <c r="J20" s="43" t="n"/>
      <c r="K20" s="1070" t="n"/>
      <c r="L20" s="74" t="n"/>
      <c r="M20" s="43" t="n"/>
      <c r="N20" s="1070" t="n"/>
      <c r="O20" s="75" t="n"/>
      <c r="P20" s="43" t="n"/>
      <c r="Q20" s="1070" t="n"/>
      <c r="R20" s="74" t="n"/>
      <c r="S20" s="43" t="n"/>
      <c r="T20" s="1070" t="n"/>
      <c r="U20" s="74" t="n"/>
      <c r="V20" s="43" t="n"/>
      <c r="W20" s="1070" t="n"/>
      <c r="X20" s="75" t="n"/>
      <c r="Y20" s="43" t="n"/>
      <c r="Z20" s="1070" t="n"/>
      <c r="AA20" s="25" t="n"/>
      <c r="AB20" s="43" t="n"/>
      <c r="AC20" s="1070" t="n"/>
      <c r="AD20" s="74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B21" s="104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25" t="n"/>
      <c r="AB21" s="43" t="n"/>
      <c r="AC21" s="1070" t="n"/>
      <c r="AD21" s="74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idden="1" ht="15" customHeight="1" s="1016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SUM(C30:C37)</f>
        <v/>
      </c>
      <c r="D29" s="3" t="n"/>
      <c r="E29" s="1078">
        <f>C29/C13</f>
        <v/>
      </c>
      <c r="F29" s="49">
        <f>SUM(F30:F37)</f>
        <v/>
      </c>
      <c r="G29" s="3" t="n"/>
      <c r="H29" s="1078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078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078">
        <f>U29/U13</f>
        <v/>
      </c>
      <c r="X29" s="90">
        <f>SUM(X30:X38)</f>
        <v/>
      </c>
      <c r="Y29" s="761" t="n"/>
      <c r="Z29" s="1184">
        <f>X29/X13</f>
        <v/>
      </c>
      <c r="AA29" s="90">
        <f>SUM(AA30:AA38)</f>
        <v/>
      </c>
      <c r="AB29" s="3" t="n"/>
      <c r="AC29" s="1185">
        <f>AA29/AA13</f>
        <v/>
      </c>
      <c r="AD29" s="90">
        <f>SUM(AD30:AD38)</f>
        <v/>
      </c>
      <c r="AE29" s="3" t="n"/>
      <c r="AF29" s="1078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086">
        <f>C$13*0.5%</f>
        <v/>
      </c>
      <c r="D30" s="79" t="n"/>
      <c r="E30" s="1080" t="n"/>
      <c r="F30" s="1086">
        <f>F$13*0.5%</f>
        <v/>
      </c>
      <c r="G30" s="79" t="n"/>
      <c r="H30" s="1080" t="n"/>
      <c r="I30" s="1086">
        <f>I$13*0.5%</f>
        <v/>
      </c>
      <c r="J30" s="79" t="n"/>
      <c r="K30" s="1080" t="n"/>
      <c r="L30" s="1086">
        <f>L$13*0.5%</f>
        <v/>
      </c>
      <c r="M30" s="79" t="n"/>
      <c r="N30" s="1080" t="n"/>
      <c r="O30" s="1086">
        <f>O$13*0.5%</f>
        <v/>
      </c>
      <c r="P30" s="79" t="n"/>
      <c r="Q30" s="1080" t="n"/>
      <c r="R30" s="1086">
        <f>R$13*0.5%</f>
        <v/>
      </c>
      <c r="S30" s="79" t="n"/>
      <c r="T30" s="1080" t="n"/>
      <c r="U30" s="1086">
        <f>U$13*0.5%</f>
        <v/>
      </c>
      <c r="V30" s="79" t="n"/>
      <c r="W30" s="1080" t="n"/>
      <c r="X30" s="1086">
        <f>X$13*0.5%</f>
        <v/>
      </c>
      <c r="Y30" s="79" t="n"/>
      <c r="Z30" s="1080" t="n"/>
      <c r="AA30" s="1086">
        <f>AA$13*0.5%</f>
        <v/>
      </c>
      <c r="AB30" s="79" t="n"/>
      <c r="AC30" s="1080" t="n"/>
      <c r="AD30" s="1086">
        <f>AD$13*0.5%</f>
        <v/>
      </c>
      <c r="AE30" s="79" t="n"/>
      <c r="AF30" s="1080" t="n"/>
      <c r="AG30" s="1086">
        <f>AG$13*0.5%</f>
        <v/>
      </c>
      <c r="AH30" s="79" t="n"/>
      <c r="AI30" s="1080" t="n"/>
      <c r="AJ30" s="1086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081" t="n"/>
      <c r="AP30" s="2" t="n"/>
      <c r="AQ30" s="2" t="n"/>
    </row>
    <row r="31" outlineLevel="1" ht="15" customHeight="1" s="1016">
      <c r="B31" s="105" t="inlineStr">
        <is>
          <t>Prohospitales 1%</t>
        </is>
      </c>
      <c r="C31" s="1087">
        <f>C$13*1%</f>
        <v/>
      </c>
      <c r="D31" s="43" t="n"/>
      <c r="E31" s="1070" t="n"/>
      <c r="F31" s="1087">
        <f>F$13*1%</f>
        <v/>
      </c>
      <c r="G31" s="43" t="n"/>
      <c r="H31" s="1070" t="n"/>
      <c r="I31" s="1087">
        <f>I$13*1%</f>
        <v/>
      </c>
      <c r="J31" s="43" t="n"/>
      <c r="K31" s="1070" t="n"/>
      <c r="L31" s="1087">
        <f>L$13*1%</f>
        <v/>
      </c>
      <c r="M31" s="43" t="n"/>
      <c r="N31" s="1070" t="n"/>
      <c r="O31" s="1087">
        <f>O$13*1%</f>
        <v/>
      </c>
      <c r="P31" s="43" t="n"/>
      <c r="Q31" s="1070" t="n"/>
      <c r="R31" s="1087">
        <f>R$13*1%</f>
        <v/>
      </c>
      <c r="S31" s="43" t="n"/>
      <c r="T31" s="1070" t="n"/>
      <c r="U31" s="1087">
        <f>U$13*1%</f>
        <v/>
      </c>
      <c r="V31" s="43" t="n"/>
      <c r="W31" s="1070" t="n"/>
      <c r="X31" s="1087">
        <f>X$13*1%</f>
        <v/>
      </c>
      <c r="Y31" s="43" t="n"/>
      <c r="Z31" s="1070" t="n"/>
      <c r="AA31" s="1087">
        <f>AA$13*1%</f>
        <v/>
      </c>
      <c r="AB31" s="43" t="n"/>
      <c r="AC31" s="1070" t="n"/>
      <c r="AD31" s="1087">
        <f>AD$13*1%</f>
        <v/>
      </c>
      <c r="AE31" s="43" t="n"/>
      <c r="AF31" s="1070" t="n"/>
      <c r="AG31" s="1087">
        <f>AG$13*1%</f>
        <v/>
      </c>
      <c r="AH31" s="43" t="n"/>
      <c r="AI31" s="1070" t="n"/>
      <c r="AJ31" s="1087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outlineLevel="1" ht="15" customHeight="1" s="1016">
      <c r="B32" s="105" t="inlineStr">
        <is>
          <t>Rete Ica 0,6%</t>
        </is>
      </c>
      <c r="C32" s="1208">
        <f>(C13*80%)*0.6%</f>
        <v/>
      </c>
      <c r="D32" s="92" t="n"/>
      <c r="E32" s="1088" t="n"/>
      <c r="F32" s="1208">
        <f>(F13*80%)*0.6%</f>
        <v/>
      </c>
      <c r="G32" s="92" t="n"/>
      <c r="H32" s="1088" t="n"/>
      <c r="I32" s="1208">
        <f>(I13*1%)*0.6%</f>
        <v/>
      </c>
      <c r="J32" s="92" t="n"/>
      <c r="K32" s="1088" t="n"/>
      <c r="L32" s="1208">
        <f>(L13*1%)*0.6%</f>
        <v/>
      </c>
      <c r="M32" s="92" t="n"/>
      <c r="N32" s="1088" t="n"/>
      <c r="O32" s="1208">
        <f>(O13*1%)*0.6%</f>
        <v/>
      </c>
      <c r="P32" s="43" t="n"/>
      <c r="Q32" s="1070" t="n"/>
      <c r="R32" s="1208">
        <f>(R13*1%)*0.6%</f>
        <v/>
      </c>
      <c r="S32" s="43" t="n"/>
      <c r="T32" s="1070" t="n"/>
      <c r="U32" s="1208">
        <f>(U13*1%)*0.6%</f>
        <v/>
      </c>
      <c r="V32" s="43" t="n"/>
      <c r="W32" s="1070" t="n"/>
      <c r="X32" s="1208">
        <f>(X13*1%)*0.6%</f>
        <v/>
      </c>
      <c r="Y32" s="43" t="n"/>
      <c r="Z32" s="1070" t="n"/>
      <c r="AA32" s="1208">
        <f>(AA13*1%)*0.6%</f>
        <v/>
      </c>
      <c r="AB32" s="43" t="n"/>
      <c r="AC32" s="1070" t="n"/>
      <c r="AD32" s="1208">
        <f>(AD13*1%)*0.6%</f>
        <v/>
      </c>
      <c r="AE32" s="43" t="n"/>
      <c r="AF32" s="1070" t="n"/>
      <c r="AG32" s="1208">
        <f>(AG13*1%)*0.6%</f>
        <v/>
      </c>
      <c r="AH32" s="43" t="n"/>
      <c r="AI32" s="1070" t="n"/>
      <c r="AJ32" s="1208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outlineLevel="1" ht="15" customHeight="1" s="1016">
      <c r="B33" s="105" t="inlineStr">
        <is>
          <t>Adulto Mayor 2%</t>
        </is>
      </c>
      <c r="C33" s="1087">
        <f>C13*2%</f>
        <v/>
      </c>
      <c r="D33" s="43" t="n"/>
      <c r="E33" s="1070" t="n"/>
      <c r="F33" s="1087">
        <f>F13*2%</f>
        <v/>
      </c>
      <c r="G33" s="43" t="n"/>
      <c r="H33" s="1070" t="n"/>
      <c r="I33" s="1087">
        <f>I13*2%</f>
        <v/>
      </c>
      <c r="J33" s="43" t="n"/>
      <c r="K33" s="1070" t="n"/>
      <c r="L33" s="1087">
        <f>L13*2%</f>
        <v/>
      </c>
      <c r="M33" s="43" t="n"/>
      <c r="N33" s="1070" t="n"/>
      <c r="O33" s="1087">
        <f>O13*2%</f>
        <v/>
      </c>
      <c r="P33" s="43" t="n"/>
      <c r="Q33" s="1070" t="n"/>
      <c r="R33" s="1087">
        <f>R13*2%</f>
        <v/>
      </c>
      <c r="S33" s="43" t="n"/>
      <c r="T33" s="1070" t="n"/>
      <c r="U33" s="1087">
        <f>U13*2%</f>
        <v/>
      </c>
      <c r="V33" s="43" t="n"/>
      <c r="W33" s="1070" t="n"/>
      <c r="X33" s="1087">
        <f>X13*2%</f>
        <v/>
      </c>
      <c r="Y33" s="43" t="n"/>
      <c r="Z33" s="1070" t="n"/>
      <c r="AA33" s="1087">
        <f>AA13*2%</f>
        <v/>
      </c>
      <c r="AB33" s="43" t="n"/>
      <c r="AC33" s="1070" t="n"/>
      <c r="AD33" s="1087">
        <f>AD13*2%</f>
        <v/>
      </c>
      <c r="AE33" s="43" t="n"/>
      <c r="AF33" s="1070" t="n"/>
      <c r="AG33" s="1087">
        <f>AG13*2%</f>
        <v/>
      </c>
      <c r="AH33" s="43" t="n"/>
      <c r="AI33" s="1070" t="n"/>
      <c r="AJ33" s="1087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outlineLevel="1" ht="15" customHeight="1" s="1016">
      <c r="B34" s="105" t="inlineStr">
        <is>
          <t>Retefuente</t>
        </is>
      </c>
      <c r="C34" s="25" t="n"/>
      <c r="D34" s="43" t="n"/>
      <c r="E34" s="1070" t="n"/>
      <c r="F34" s="25" t="n"/>
      <c r="G34" s="43" t="n"/>
      <c r="H34" s="1070" t="n"/>
      <c r="I34" s="25">
        <f>(I13*1%)*3.5%</f>
        <v/>
      </c>
      <c r="J34" s="43" t="n"/>
      <c r="K34" s="1070" t="n"/>
      <c r="L34" s="25">
        <f>(L13*1%)*3.5%</f>
        <v/>
      </c>
      <c r="M34" s="43" t="n"/>
      <c r="N34" s="1070" t="n"/>
      <c r="O34" s="25">
        <f>(O13*1%)*3.5%</f>
        <v/>
      </c>
      <c r="P34" s="43" t="n"/>
      <c r="Q34" s="1070" t="n"/>
      <c r="R34" s="25">
        <f>(R13*1%)*3.5%</f>
        <v/>
      </c>
      <c r="S34" s="43" t="n"/>
      <c r="T34" s="1070" t="n"/>
      <c r="U34" s="25">
        <f>(U13*1%)*3.5%</f>
        <v/>
      </c>
      <c r="V34" s="43" t="n"/>
      <c r="W34" s="1070" t="n"/>
      <c r="X34" s="25">
        <f>(X13*1%)*3.5%</f>
        <v/>
      </c>
      <c r="Y34" s="43" t="n"/>
      <c r="Z34" s="1070" t="n"/>
      <c r="AA34" s="25">
        <f>(AA13*1%)*3.5%</f>
        <v/>
      </c>
      <c r="AB34" s="43" t="n"/>
      <c r="AC34" s="1070" t="n"/>
      <c r="AD34" s="25">
        <f>(AD13*1%)*3.5%</f>
        <v/>
      </c>
      <c r="AE34" s="43" t="n"/>
      <c r="AF34" s="1070" t="n"/>
      <c r="AG34" s="25">
        <f>(AG13*1%)*3.5%</f>
        <v/>
      </c>
      <c r="AH34" s="43" t="n"/>
      <c r="AI34" s="1070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outlineLevel="1" ht="15" customHeight="1" s="1016">
      <c r="B35" s="335" t="inlineStr">
        <is>
          <t>Prodeporte 2,5%</t>
        </is>
      </c>
      <c r="C35" s="91">
        <f>C$13*2.5%</f>
        <v/>
      </c>
      <c r="D35" s="92" t="n"/>
      <c r="E35" s="1088" t="n"/>
      <c r="F35" s="91">
        <f>F$13*2.5%</f>
        <v/>
      </c>
      <c r="G35" s="92" t="n"/>
      <c r="H35" s="1088" t="n"/>
      <c r="I35" s="91">
        <f>I$13*2.5%</f>
        <v/>
      </c>
      <c r="J35" s="92" t="n"/>
      <c r="K35" s="1088" t="n"/>
      <c r="L35" s="91">
        <f>L$13*2.5%</f>
        <v/>
      </c>
      <c r="M35" s="92" t="n"/>
      <c r="N35" s="1088" t="n"/>
      <c r="O35" s="91">
        <f>O$13*2.5%</f>
        <v/>
      </c>
      <c r="P35" s="92" t="n"/>
      <c r="Q35" s="1088" t="n"/>
      <c r="R35" s="91">
        <f>R$13*2.5%</f>
        <v/>
      </c>
      <c r="S35" s="92" t="n"/>
      <c r="T35" s="1088" t="n"/>
      <c r="U35" s="91">
        <f>U$13*2.5%</f>
        <v/>
      </c>
      <c r="V35" s="92" t="n"/>
      <c r="W35" s="1088" t="n"/>
      <c r="X35" s="91">
        <f>X$13*2.5%</f>
        <v/>
      </c>
      <c r="Y35" s="92" t="n"/>
      <c r="Z35" s="1088" t="n"/>
      <c r="AA35" s="91">
        <f>AA$13*2.5%</f>
        <v/>
      </c>
      <c r="AB35" s="92" t="n"/>
      <c r="AC35" s="1088" t="n"/>
      <c r="AD35" s="91">
        <f>AD$13*2.5%</f>
        <v/>
      </c>
      <c r="AE35" s="92" t="n"/>
      <c r="AF35" s="1088" t="n"/>
      <c r="AG35" s="91">
        <f>AG$13*2.5%</f>
        <v/>
      </c>
      <c r="AH35" s="92" t="n"/>
      <c r="AI35" s="1088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outlineLevel="1" ht="15" customHeight="1" s="1016">
      <c r="B36" s="105" t="inlineStr">
        <is>
          <t>2% Juzgado de Familia</t>
        </is>
      </c>
      <c r="C36" s="25">
        <f>C13*2%</f>
        <v/>
      </c>
      <c r="D36" s="43" t="n"/>
      <c r="E36" s="1070" t="n"/>
      <c r="F36" s="25">
        <f>F13*2%</f>
        <v/>
      </c>
      <c r="G36" s="43" t="n"/>
      <c r="H36" s="1070" t="n"/>
      <c r="I36" s="25">
        <f>I13*2%</f>
        <v/>
      </c>
      <c r="J36" s="43" t="n"/>
      <c r="K36" s="1070" t="n"/>
      <c r="L36" s="25">
        <f>L13*2%</f>
        <v/>
      </c>
      <c r="M36" s="43" t="n"/>
      <c r="N36" s="1070" t="n"/>
      <c r="O36" s="25">
        <f>O13*2%</f>
        <v/>
      </c>
      <c r="P36" s="43" t="n"/>
      <c r="Q36" s="1070" t="n"/>
      <c r="R36" s="25">
        <f>R13*2%</f>
        <v/>
      </c>
      <c r="S36" s="43" t="n"/>
      <c r="T36" s="1070" t="n"/>
      <c r="U36" s="25">
        <f>U13*2%</f>
        <v/>
      </c>
      <c r="V36" s="43" t="n"/>
      <c r="W36" s="1070" t="n"/>
      <c r="X36" s="25">
        <f>X13*2%</f>
        <v/>
      </c>
      <c r="Y36" s="43" t="n"/>
      <c r="Z36" s="1070" t="n"/>
      <c r="AA36" s="25">
        <f>AA13*2%</f>
        <v/>
      </c>
      <c r="AB36" s="43" t="n"/>
      <c r="AC36" s="1070" t="n"/>
      <c r="AD36" s="25">
        <f>AD13*2%</f>
        <v/>
      </c>
      <c r="AE36" s="43" t="n"/>
      <c r="AF36" s="1070" t="n"/>
      <c r="AG36" s="25">
        <f>AG13*2%</f>
        <v/>
      </c>
      <c r="AH36" s="43" t="n"/>
      <c r="AI36" s="1070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71" t="n"/>
    </row>
    <row r="37" outlineLevel="1" ht="15" customHeight="1" s="1016">
      <c r="B37" s="105" t="inlineStr">
        <is>
          <t>0,5% Propacifico</t>
        </is>
      </c>
      <c r="C37" s="25">
        <f>C$13*0.5%</f>
        <v/>
      </c>
      <c r="D37" s="43" t="n"/>
      <c r="E37" s="1070" t="n"/>
      <c r="F37" s="25">
        <f>F$13*0.5%</f>
        <v/>
      </c>
      <c r="G37" s="43" t="n"/>
      <c r="H37" s="1070" t="n"/>
      <c r="I37" s="25">
        <f>I$13*0.5%</f>
        <v/>
      </c>
      <c r="J37" s="43" t="n"/>
      <c r="K37" s="1070" t="n"/>
      <c r="L37" s="25">
        <f>L$13*0.5%</f>
        <v/>
      </c>
      <c r="M37" s="43" t="n"/>
      <c r="N37" s="1070" t="n"/>
      <c r="O37" s="25">
        <f>O$13*0.5%</f>
        <v/>
      </c>
      <c r="P37" s="43" t="n"/>
      <c r="Q37" s="1070" t="n"/>
      <c r="R37" s="25">
        <f>R$13*0.5%</f>
        <v/>
      </c>
      <c r="S37" s="43" t="n"/>
      <c r="T37" s="1070" t="n"/>
      <c r="U37" s="25">
        <f>U$13*0.5%</f>
        <v/>
      </c>
      <c r="V37" s="43" t="n"/>
      <c r="W37" s="1070" t="n"/>
      <c r="X37" s="25">
        <f>X$13*0.5%</f>
        <v/>
      </c>
      <c r="Y37" s="43" t="n"/>
      <c r="Z37" s="1070" t="n"/>
      <c r="AA37" s="25">
        <f>AA$13*0.5%</f>
        <v/>
      </c>
      <c r="AB37" s="43" t="n"/>
      <c r="AC37" s="1070" t="n"/>
      <c r="AD37" s="25">
        <f>AD$13*0.5%</f>
        <v/>
      </c>
      <c r="AE37" s="43" t="n"/>
      <c r="AF37" s="1070" t="n"/>
      <c r="AG37" s="25">
        <f>AG$13*0.5%</f>
        <v/>
      </c>
      <c r="AH37" s="43" t="n"/>
      <c r="AI37" s="1070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71" t="n"/>
    </row>
    <row r="38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083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>
        <f>161491188.56-AG29</f>
        <v/>
      </c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4" t="n"/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 t="n"/>
      <c r="D45" s="3" t="n"/>
      <c r="E45" s="1078" t="n"/>
      <c r="F45" s="49">
        <f>+F46+F57</f>
        <v/>
      </c>
      <c r="G45" s="3" t="n"/>
      <c r="H45" s="1078" t="n"/>
      <c r="I45" s="49">
        <f>+I46+I57</f>
        <v/>
      </c>
      <c r="J45" s="3" t="n"/>
      <c r="K45" s="1078" t="n"/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 t="n"/>
      <c r="U45" s="90">
        <f>+U46+U57</f>
        <v/>
      </c>
      <c r="V45" s="3" t="n"/>
      <c r="W45" s="1078" t="n"/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61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1016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idden="1" ht="15" customHeight="1" s="1016">
      <c r="B47" s="97" t="inlineStr">
        <is>
          <t>RACION PARA PREPARAR EN CASA (Ins)</t>
        </is>
      </c>
      <c r="C47" s="76" t="n"/>
      <c r="D47" s="42" t="n"/>
      <c r="E47" s="1082" t="n"/>
      <c r="F47" s="76" t="n"/>
      <c r="G47" s="42">
        <f>F47/F5</f>
        <v/>
      </c>
      <c r="H47" s="1082">
        <f>F47/F13</f>
        <v/>
      </c>
      <c r="I47" s="76" t="n"/>
      <c r="J47" s="42">
        <f>I47/I5</f>
        <v/>
      </c>
      <c r="K47" s="1082">
        <f>I47/I13</f>
        <v/>
      </c>
      <c r="L47" s="76" t="n"/>
      <c r="M47" s="42">
        <f>L47/L5</f>
        <v/>
      </c>
      <c r="N47" s="1082">
        <f>L47/L13</f>
        <v/>
      </c>
      <c r="O47" s="76" t="n"/>
      <c r="P47" s="42" t="n"/>
      <c r="Q47" s="1082" t="n"/>
      <c r="R47" s="76" t="n"/>
      <c r="S47" s="42">
        <f>R47/R5</f>
        <v/>
      </c>
      <c r="T47" s="1082">
        <f>R47/R13</f>
        <v/>
      </c>
      <c r="U47" s="76" t="n"/>
      <c r="V47" s="42">
        <f>U47/U5</f>
        <v/>
      </c>
      <c r="W47" s="1082">
        <f>U47/U13</f>
        <v/>
      </c>
      <c r="X47" s="76" t="n"/>
      <c r="Y47" s="42">
        <f>X47/X5</f>
        <v/>
      </c>
      <c r="Z47" s="1082">
        <f>X47/X13</f>
        <v/>
      </c>
      <c r="AA47" s="76" t="n"/>
      <c r="AB47" s="42" t="n"/>
      <c r="AC47" s="1082">
        <f>AA47/AA13</f>
        <v/>
      </c>
      <c r="AD47" s="76" t="n"/>
      <c r="AE47" s="42" t="n"/>
      <c r="AF47" s="1082">
        <f>AD47/AD13</f>
        <v/>
      </c>
      <c r="AG47" s="76" t="n"/>
      <c r="AH47" s="42" t="n"/>
      <c r="AI47" s="1082" t="n"/>
      <c r="AJ47" s="76" t="n"/>
      <c r="AK47" s="42" t="n"/>
      <c r="AL47" s="1082" t="n"/>
      <c r="AM47" s="97">
        <f>C47+F47+I47+L47+O47+R47+U47+X47+AA47+AD47+AG47+AJ47</f>
        <v/>
      </c>
      <c r="AN47" s="42">
        <f>AM47/AM5</f>
        <v/>
      </c>
      <c r="AO47" s="1083">
        <f>AM47/AM13</f>
        <v/>
      </c>
    </row>
    <row r="48" hidden="1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>
        <f>AA48/AA6</f>
        <v/>
      </c>
      <c r="AC48" s="1070">
        <f>AA48/AA17</f>
        <v/>
      </c>
      <c r="AD48" s="75" t="n"/>
      <c r="AE48" s="43">
        <f>AD48/AD6</f>
        <v/>
      </c>
      <c r="AF48" s="1070">
        <f>AD48/AD17</f>
        <v/>
      </c>
      <c r="AG48" s="75" t="n"/>
      <c r="AH48" s="43">
        <f>AG48/AG6</f>
        <v/>
      </c>
      <c r="AI48" s="1070">
        <f>AG48/AG17</f>
        <v/>
      </c>
      <c r="AJ48" s="75" t="n"/>
      <c r="AK48" s="43" t="n"/>
      <c r="AL48" s="1070" t="n"/>
      <c r="AM48" s="205">
        <f>C48+F48+I48+L48+O48+R48+U48+X48+AA48+AD48+AG48+AJ48</f>
        <v/>
      </c>
      <c r="AN48" s="43" t="n"/>
      <c r="AO48" s="1071" t="n"/>
    </row>
    <row r="49" hidden="1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>
        <f>AA49/AA7</f>
        <v/>
      </c>
      <c r="AC49" s="1070">
        <f>AA49/AA18</f>
        <v/>
      </c>
      <c r="AD49" s="75" t="n"/>
      <c r="AE49" s="43">
        <f>AD49/AD7</f>
        <v/>
      </c>
      <c r="AF49" s="1070">
        <f>AD49/AD18</f>
        <v/>
      </c>
      <c r="AG49" s="75" t="n"/>
      <c r="AH49" s="43">
        <f>AG49/AG7</f>
        <v/>
      </c>
      <c r="AI49" s="1070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idden="1" ht="15" customHeight="1" s="1016">
      <c r="B52" s="25" t="inlineStr">
        <is>
          <t>REFRIGERIOS (Ins)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1016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>
        <f>L57/L12</f>
        <v/>
      </c>
      <c r="N57" s="1096">
        <f>L57/L13</f>
        <v/>
      </c>
      <c r="O57" s="46">
        <f>SUM(O58:O59)</f>
        <v/>
      </c>
      <c r="P57" s="47" t="n"/>
      <c r="Q57" s="1074" t="n"/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67">
        <f>AG57/AG12</f>
        <v/>
      </c>
      <c r="AI57" s="1096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075" t="n"/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>
        <f>F58/F5</f>
        <v/>
      </c>
      <c r="H58" s="1136">
        <f>F58/F13</f>
        <v/>
      </c>
      <c r="I58" s="304" t="n"/>
      <c r="J58" s="305">
        <f>I58/I5</f>
        <v/>
      </c>
      <c r="K58" s="1136">
        <f>I58/I13</f>
        <v/>
      </c>
      <c r="L58" s="304" t="n"/>
      <c r="M58" s="305">
        <f>L58/L5</f>
        <v/>
      </c>
      <c r="N58" s="1136">
        <f>L58/L13</f>
        <v/>
      </c>
      <c r="O58" s="304" t="n"/>
      <c r="P58" s="305" t="n"/>
      <c r="Q58" s="1136" t="n"/>
      <c r="R58" s="304" t="n"/>
      <c r="S58" s="305">
        <f>R58/R5</f>
        <v/>
      </c>
      <c r="T58" s="1136">
        <f>R58/R13</f>
        <v/>
      </c>
      <c r="U58" s="304" t="n"/>
      <c r="V58" s="305">
        <f>U58/U5</f>
        <v/>
      </c>
      <c r="W58" s="1136">
        <f>U58/U13</f>
        <v/>
      </c>
      <c r="X58" s="304" t="n"/>
      <c r="Y58" s="305">
        <f>X58/X5</f>
        <v/>
      </c>
      <c r="Z58" s="1136">
        <f>X58/X13</f>
        <v/>
      </c>
      <c r="AA58" s="304" t="n"/>
      <c r="AB58" s="305">
        <f>AA58/AA12</f>
        <v/>
      </c>
      <c r="AC58" s="1136">
        <f>AA58/AA13</f>
        <v/>
      </c>
      <c r="AD58" s="304" t="n"/>
      <c r="AE58" s="305">
        <f>AD58/AD12</f>
        <v/>
      </c>
      <c r="AF58" s="1136">
        <f>AD58/AD13</f>
        <v/>
      </c>
      <c r="AG58" s="304" t="n"/>
      <c r="AH58" s="305">
        <f>AG58/AG12</f>
        <v/>
      </c>
      <c r="AI58" s="1136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>
        <f>F59/F5</f>
        <v/>
      </c>
      <c r="H59" s="1072">
        <f>F59/F13</f>
        <v/>
      </c>
      <c r="I59" s="83" t="n"/>
      <c r="J59" s="84">
        <f>I59/I5</f>
        <v/>
      </c>
      <c r="K59" s="1072">
        <f>I59/I13</f>
        <v/>
      </c>
      <c r="L59" s="83" t="n"/>
      <c r="M59" s="84">
        <f>L59/L5</f>
        <v/>
      </c>
      <c r="N59" s="1072">
        <f>L59/L13</f>
        <v/>
      </c>
      <c r="O59" s="83" t="n"/>
      <c r="P59" s="84" t="n"/>
      <c r="Q59" s="1072" t="n"/>
      <c r="R59" s="83" t="n"/>
      <c r="S59" s="84">
        <f>R59/R5</f>
        <v/>
      </c>
      <c r="T59" s="1072">
        <f>R59/R13</f>
        <v/>
      </c>
      <c r="U59" s="83" t="n"/>
      <c r="V59" s="84">
        <f>U59/U5</f>
        <v/>
      </c>
      <c r="W59" s="1072">
        <f>U59/U13</f>
        <v/>
      </c>
      <c r="X59" s="83" t="n"/>
      <c r="Y59" s="84">
        <f>X59/X5</f>
        <v/>
      </c>
      <c r="Z59" s="1072">
        <f>X59/X13</f>
        <v/>
      </c>
      <c r="AA59" s="83" t="n"/>
      <c r="AB59" s="84">
        <f>AA59/AA12</f>
        <v/>
      </c>
      <c r="AC59" s="1072">
        <f>AA59/AA13</f>
        <v/>
      </c>
      <c r="AD59" s="83" t="n"/>
      <c r="AE59" s="84">
        <f>AD59/AD12</f>
        <v/>
      </c>
      <c r="AF59" s="1072">
        <f>AD59/AD13</f>
        <v/>
      </c>
      <c r="AG59" s="83" t="n"/>
      <c r="AH59" s="84">
        <f>AG59/AG12</f>
        <v/>
      </c>
      <c r="AI59" s="1072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AM59/(AM16)</f>
        <v/>
      </c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90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90">
        <f>+AA61+AA72+AA75+AA76+AA77</f>
        <v/>
      </c>
      <c r="AB60" s="3" t="n"/>
      <c r="AC60" s="1078" t="n"/>
      <c r="AD60" s="90">
        <f>+AD61+AD72+AD75+AD76+AD77</f>
        <v/>
      </c>
      <c r="AE60" s="3" t="n"/>
      <c r="AF60" s="1078" t="n"/>
      <c r="AG60" s="90">
        <f>+AG61+AG72+AG75+AG76+AG77</f>
        <v/>
      </c>
      <c r="AH60" s="761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t="15" customHeight="1" s="1016">
      <c r="B61" s="36" t="inlineStr">
        <is>
          <t>INSUMOS CP</t>
        </is>
      </c>
      <c r="C61" s="37">
        <f>SUM(C62:C71)</f>
        <v/>
      </c>
      <c r="D61" s="67" t="n"/>
      <c r="E61" s="1209">
        <f>C61/(C$13-C$19-C$20)</f>
        <v/>
      </c>
      <c r="F61" s="37">
        <f>SUM(F62:F71)</f>
        <v/>
      </c>
      <c r="G61" s="67" t="n"/>
      <c r="H61" s="1209">
        <f>F61/(F$13-F$19-F$20)</f>
        <v/>
      </c>
      <c r="I61" s="37">
        <f>SUM(I62:I71)</f>
        <v/>
      </c>
      <c r="J61" s="67" t="n"/>
      <c r="K61" s="1209">
        <f>I61/(I$13-I$19-I$20)</f>
        <v/>
      </c>
      <c r="L61" s="37">
        <f>SUM(L62:L71)</f>
        <v/>
      </c>
      <c r="M61" s="67" t="n"/>
      <c r="N61" s="1209">
        <f>L61/L13</f>
        <v/>
      </c>
      <c r="O61" s="37">
        <f>SUM(O62:O71)</f>
        <v/>
      </c>
      <c r="P61" s="67" t="n"/>
      <c r="Q61" s="1209">
        <f>O61/(O13-O20)</f>
        <v/>
      </c>
      <c r="R61" s="37">
        <f>SUM(R62:R71)</f>
        <v/>
      </c>
      <c r="S61" s="67" t="n"/>
      <c r="T61" s="1209">
        <f>R61/R13</f>
        <v/>
      </c>
      <c r="U61" s="37">
        <f>SUM(U62:U71)</f>
        <v/>
      </c>
      <c r="V61" s="67" t="n"/>
      <c r="W61" s="1209">
        <f>U61/U13</f>
        <v/>
      </c>
      <c r="X61" s="37">
        <f>SUM(X62:X71)</f>
        <v/>
      </c>
      <c r="Y61" s="67" t="n"/>
      <c r="Z61" s="1209">
        <f>X61/X13</f>
        <v/>
      </c>
      <c r="AA61" s="37">
        <f>SUM(AA62:AA71)</f>
        <v/>
      </c>
      <c r="AB61" s="67" t="n"/>
      <c r="AC61" s="1209">
        <f>AA61/(AA13-AA19-AA20)</f>
        <v/>
      </c>
      <c r="AD61" s="37">
        <f>SUM(AD62:AD71)</f>
        <v/>
      </c>
      <c r="AE61" s="67" t="n"/>
      <c r="AF61" s="1209">
        <f>AD61/(AD13-AD19-AD20)</f>
        <v/>
      </c>
      <c r="AG61" s="37">
        <f>SUM(AG62:AG71)</f>
        <v/>
      </c>
      <c r="AH61" s="67" t="n"/>
      <c r="AI61" s="1074">
        <f>AG61/(AG13-AG19)</f>
        <v/>
      </c>
      <c r="AJ61" s="37">
        <f>SUM(AJ62:AJ71)</f>
        <v/>
      </c>
      <c r="AK61" s="67" t="n"/>
      <c r="AL61" s="1074">
        <f>AJ61/(AJ13-AJ19)</f>
        <v/>
      </c>
      <c r="AM61" s="211">
        <f>C61+F61+I61+L61+O61+R61+U61+X61+AA61+AD61+AG61+AJ61</f>
        <v/>
      </c>
      <c r="AN61" s="67" t="n"/>
      <c r="AO61" s="1210">
        <f>AM61/(AM$13-AM$19-AM$20)</f>
        <v/>
      </c>
    </row>
    <row r="62" ht="15" customHeight="1" s="1016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080">
        <f>C62/C16</f>
        <v/>
      </c>
      <c r="F62" s="78">
        <f>'[45]Hoja 1'!$I$56</f>
        <v/>
      </c>
      <c r="G62" s="79">
        <f>F62/F5</f>
        <v/>
      </c>
      <c r="H62" s="1080">
        <f>F62/F16</f>
        <v/>
      </c>
      <c r="I62" s="78" t="n"/>
      <c r="J62" s="79">
        <f>I62/I5</f>
        <v/>
      </c>
      <c r="K62" s="1080">
        <f>I62/I16</f>
        <v/>
      </c>
      <c r="L62" s="78" t="n"/>
      <c r="M62" s="79">
        <f>L62/L5</f>
        <v/>
      </c>
      <c r="N62" s="1080">
        <f>L62/L16</f>
        <v/>
      </c>
      <c r="O62" s="78" t="n"/>
      <c r="P62" s="79">
        <f>O62/O5</f>
        <v/>
      </c>
      <c r="Q62" s="1080">
        <f>O62/O16</f>
        <v/>
      </c>
      <c r="R62" s="78" t="n"/>
      <c r="S62" s="79">
        <f>R62/R5</f>
        <v/>
      </c>
      <c r="T62" s="1080">
        <f>R62/R16</f>
        <v/>
      </c>
      <c r="U62" s="78" t="n"/>
      <c r="V62" s="79">
        <f>U62/U5</f>
        <v/>
      </c>
      <c r="W62" s="1080">
        <f>U62/U16</f>
        <v/>
      </c>
      <c r="X62" s="78" t="n"/>
      <c r="Y62" s="79">
        <f>X62/X5</f>
        <v/>
      </c>
      <c r="Z62" s="1080">
        <f>X62/X16</f>
        <v/>
      </c>
      <c r="AA62" s="78" t="n"/>
      <c r="AB62" s="79">
        <f>AA62/AA5</f>
        <v/>
      </c>
      <c r="AC62" s="1080">
        <f>AA62/AA16</f>
        <v/>
      </c>
      <c r="AD62" s="78" t="n"/>
      <c r="AE62" s="79">
        <f>AD62/AD5</f>
        <v/>
      </c>
      <c r="AF62" s="1080">
        <f>AD62/AD16</f>
        <v/>
      </c>
      <c r="AG62" s="78" t="n"/>
      <c r="AH62" s="79">
        <f>AG62/AG5</f>
        <v/>
      </c>
      <c r="AI62" s="1080">
        <f>AG62/AG16</f>
        <v/>
      </c>
      <c r="AJ62" s="78" t="n"/>
      <c r="AK62" s="79">
        <f>AJ62/AJ5</f>
        <v/>
      </c>
      <c r="AL62" s="1080">
        <f>AJ62/AJ16</f>
        <v/>
      </c>
      <c r="AM62" s="212">
        <f>C62+F62+I62+L62+O62+R62+U62+X62+AA62+AD62+AG62+AJ62</f>
        <v/>
      </c>
      <c r="AN62" s="79">
        <f>AM62/AM5</f>
        <v/>
      </c>
      <c r="AO62" s="1081">
        <f>AM62/AM16</f>
        <v/>
      </c>
    </row>
    <row r="63" ht="15" customHeight="1" s="1016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70">
        <f>C63/C17</f>
        <v/>
      </c>
      <c r="F63" s="25">
        <f>'[45]Hoja 1'!$I$58</f>
        <v/>
      </c>
      <c r="G63" s="43">
        <f>F63/F6</f>
        <v/>
      </c>
      <c r="H63" s="1070">
        <f>F63/F17</f>
        <v/>
      </c>
      <c r="I63" s="25" t="n"/>
      <c r="J63" s="43">
        <f>I63/I6</f>
        <v/>
      </c>
      <c r="K63" s="1070">
        <f>I63/I17</f>
        <v/>
      </c>
      <c r="L63" s="25" t="n"/>
      <c r="M63" s="43">
        <f>L63/L6</f>
        <v/>
      </c>
      <c r="N63" s="1070">
        <f>L63/L17</f>
        <v/>
      </c>
      <c r="O63" s="25" t="n"/>
      <c r="P63" s="43">
        <f>O63/O6</f>
        <v/>
      </c>
      <c r="Q63" s="1070">
        <f>O63/O17</f>
        <v/>
      </c>
      <c r="R63" s="25" t="n"/>
      <c r="S63" s="43">
        <f>R63/R6</f>
        <v/>
      </c>
      <c r="T63" s="1070">
        <f>R63/R17</f>
        <v/>
      </c>
      <c r="U63" s="25" t="n"/>
      <c r="V63" s="43">
        <f>U63/U6</f>
        <v/>
      </c>
      <c r="W63" s="1070">
        <f>U63/U17</f>
        <v/>
      </c>
      <c r="X63" s="25" t="n"/>
      <c r="Y63" s="43">
        <f>X63/X6</f>
        <v/>
      </c>
      <c r="Z63" s="1070">
        <f>X63/X17</f>
        <v/>
      </c>
      <c r="AA63" s="25" t="n"/>
      <c r="AB63" s="43">
        <f>AA63/AA6</f>
        <v/>
      </c>
      <c r="AC63" s="1070">
        <f>AA63/AA17</f>
        <v/>
      </c>
      <c r="AD63" s="25" t="n"/>
      <c r="AE63" s="43">
        <f>AD63/AD6</f>
        <v/>
      </c>
      <c r="AF63" s="1070">
        <f>AD63/AD17</f>
        <v/>
      </c>
      <c r="AG63" s="25" t="n"/>
      <c r="AH63" s="43">
        <f>AG63/AG6</f>
        <v/>
      </c>
      <c r="AI63" s="1070">
        <f>AG63/AG17</f>
        <v/>
      </c>
      <c r="AJ63" s="25" t="n"/>
      <c r="AK63" s="43">
        <f>AJ63/AJ6</f>
        <v/>
      </c>
      <c r="AL63" s="1070">
        <f>AJ63/AJ17</f>
        <v/>
      </c>
      <c r="AM63" s="205">
        <f>C63+F63+I63+L63+O63+R63+U63+X63+AA63+AD63+AG63+AJ63</f>
        <v/>
      </c>
      <c r="AN63" s="43">
        <f>AM63/AM6</f>
        <v/>
      </c>
      <c r="AO63" s="1071">
        <f>AM63/AM17</f>
        <v/>
      </c>
    </row>
    <row r="64" ht="15" customHeight="1" s="1016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70">
        <f>C64/C18</f>
        <v/>
      </c>
      <c r="F64" s="25">
        <f>'[45]Hoja 1'!$I$60</f>
        <v/>
      </c>
      <c r="G64" s="43">
        <f>F64/F7</f>
        <v/>
      </c>
      <c r="H64" s="1070">
        <f>F64/F18</f>
        <v/>
      </c>
      <c r="I64" s="25" t="n"/>
      <c r="J64" s="43">
        <f>I64/I7</f>
        <v/>
      </c>
      <c r="K64" s="1070">
        <f>I64/I18</f>
        <v/>
      </c>
      <c r="L64" s="25" t="n"/>
      <c r="M64" s="43">
        <f>L64/L7</f>
        <v/>
      </c>
      <c r="N64" s="1070">
        <f>L64/L18</f>
        <v/>
      </c>
      <c r="O64" s="25" t="n"/>
      <c r="P64" s="43">
        <f>O64/O7</f>
        <v/>
      </c>
      <c r="Q64" s="1070">
        <f>O64/O18</f>
        <v/>
      </c>
      <c r="R64" s="25" t="n"/>
      <c r="S64" s="43">
        <f>R64/R7</f>
        <v/>
      </c>
      <c r="T64" s="1070">
        <f>R64/R18</f>
        <v/>
      </c>
      <c r="U64" s="25" t="n"/>
      <c r="V64" s="43">
        <f>U64/U7</f>
        <v/>
      </c>
      <c r="W64" s="1070">
        <f>U64/U18</f>
        <v/>
      </c>
      <c r="X64" s="25" t="n"/>
      <c r="Y64" s="43">
        <f>X64/X7</f>
        <v/>
      </c>
      <c r="Z64" s="1070">
        <f>X64/X18</f>
        <v/>
      </c>
      <c r="AA64" s="25" t="n"/>
      <c r="AB64" s="43">
        <f>AA64/AA7</f>
        <v/>
      </c>
      <c r="AC64" s="1070">
        <f>AA64/AA18</f>
        <v/>
      </c>
      <c r="AD64" s="25" t="n"/>
      <c r="AE64" s="43">
        <f>AD64/AD7</f>
        <v/>
      </c>
      <c r="AF64" s="1070">
        <f>AD64/AD18</f>
        <v/>
      </c>
      <c r="AG64" s="25" t="n"/>
      <c r="AH64" s="43">
        <f>AG64/AG7</f>
        <v/>
      </c>
      <c r="AI64" s="1070">
        <f>AG64/AG18</f>
        <v/>
      </c>
      <c r="AJ64" s="25" t="n"/>
      <c r="AK64" s="43">
        <f>AJ64/AJ7</f>
        <v/>
      </c>
      <c r="AL64" s="1070">
        <f>AJ64/AJ18</f>
        <v/>
      </c>
      <c r="AM64" s="205">
        <f>C64+F64+I64+L64+O64+R64+U64+X64+AA64+AD64+AG64+AJ64</f>
        <v/>
      </c>
      <c r="AN64" s="43">
        <f>AM64/AM7</f>
        <v/>
      </c>
      <c r="AO64" s="1071">
        <f>AM64/AM18</f>
        <v/>
      </c>
    </row>
    <row r="65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t="15" customHeight="1" s="1016">
      <c r="B66" s="25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t="15" customHeight="1" s="1016">
      <c r="B67" s="25" t="inlineStr">
        <is>
          <t>REFRIGERIOS</t>
        </is>
      </c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71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71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71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71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t="15" customHeight="1" s="1016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96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VEHICULOS'!C25*'%DIST'!B21</f>
        <v/>
      </c>
      <c r="D73" s="79" t="n"/>
      <c r="E73" s="1080" t="n"/>
      <c r="F73" s="78">
        <f>'GASTOS VEHICULOS'!D25*'%DIST'!D21</f>
        <v/>
      </c>
      <c r="G73" s="79" t="n"/>
      <c r="H73" s="1080" t="n"/>
      <c r="I73" s="78">
        <f>'GASTOS VEHICULOS'!E25*'%DIST'!F21</f>
        <v/>
      </c>
      <c r="J73" s="79" t="n"/>
      <c r="K73" s="1080" t="n"/>
      <c r="L73" s="78">
        <f>'GASTOS VEHICULOS'!F25*'%DIST'!H21</f>
        <v/>
      </c>
      <c r="M73" s="79" t="n"/>
      <c r="N73" s="1080" t="n"/>
      <c r="O73" s="78">
        <f>'GASTOS VEHICULOS'!G25*'%DIST'!J21</f>
        <v/>
      </c>
      <c r="P73" s="79" t="n"/>
      <c r="Q73" s="1080" t="n"/>
      <c r="R73" s="78">
        <f>'GASTOS VEHICULOS'!H25*'%DIST'!L21</f>
        <v/>
      </c>
      <c r="S73" s="79" t="n"/>
      <c r="T73" s="1080" t="n"/>
      <c r="U73" s="78">
        <f>'GASTOS VEHICULOS'!I25*'%DIST'!N21</f>
        <v/>
      </c>
      <c r="V73" s="79" t="n"/>
      <c r="W73" s="1080" t="n"/>
      <c r="X73" s="78">
        <f>'GASTOS VEHICULOS'!J25*'%DIST'!P21</f>
        <v/>
      </c>
      <c r="Y73" s="79" t="n"/>
      <c r="Z73" s="1080" t="n"/>
      <c r="AA73" s="78">
        <f>'GASTOS VEHICULOS'!K25*'%DIST'!R21</f>
        <v/>
      </c>
      <c r="AB73" s="79" t="n"/>
      <c r="AC73" s="1080" t="n"/>
      <c r="AD73" s="78">
        <f>'GASTOS VEHICULOS'!L25*'%DIST'!T21</f>
        <v/>
      </c>
      <c r="AE73" s="79" t="n"/>
      <c r="AF73" s="1080" t="n"/>
      <c r="AG73" s="78">
        <f>'GASTOS VEHICULOS'!M25*'%DIST'!V21</f>
        <v/>
      </c>
      <c r="AH73" s="79" t="n"/>
      <c r="AI73" s="1080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42" t="n"/>
    </row>
    <row r="74" ht="15" customHeight="1" s="1016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'[27]Hoja 1'!$C$66</f>
        <v/>
      </c>
      <c r="D74" s="134" t="n"/>
      <c r="E74" s="1143" t="n"/>
      <c r="F74" s="273">
        <f>'[8]Hoja 1'!$C$627+'[9]Hoja 1'!$C$193</f>
        <v/>
      </c>
      <c r="G74" s="134" t="n"/>
      <c r="H74" s="1143" t="n"/>
      <c r="I74" s="273" t="n"/>
      <c r="J74" s="134" t="n"/>
      <c r="K74" s="1143" t="n"/>
      <c r="L74" s="273" t="n"/>
      <c r="M74" s="134" t="n"/>
      <c r="N74" s="1143" t="n"/>
      <c r="O74" s="273" t="n"/>
      <c r="P74" s="134" t="n"/>
      <c r="Q74" s="1143" t="n"/>
      <c r="R74" s="273" t="n"/>
      <c r="S74" s="134" t="n"/>
      <c r="T74" s="1143" t="n"/>
      <c r="U74" s="273" t="n"/>
      <c r="V74" s="134" t="n"/>
      <c r="W74" s="1143" t="n"/>
      <c r="X74" s="273" t="n"/>
      <c r="Y74" s="134" t="n"/>
      <c r="Z74" s="1143" t="n"/>
      <c r="AA74" s="273" t="n"/>
      <c r="AB74" s="134" t="n"/>
      <c r="AC74" s="1143" t="n"/>
      <c r="AD74" s="273" t="n"/>
      <c r="AE74" s="134" t="n"/>
      <c r="AF74" s="1143" t="n"/>
      <c r="AG74" s="273" t="n"/>
      <c r="AH74" s="134" t="n"/>
      <c r="AI74" s="1143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39">
        <f>AM74/AM13</f>
        <v/>
      </c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 t="n"/>
    </row>
    <row r="76" ht="15" customHeight="1" s="1016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096" t="n"/>
      <c r="F76" s="37">
        <f>'[8]Hoja 1'!$C$593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>
        <f>AM76/$AM$13</f>
        <v/>
      </c>
    </row>
    <row r="77" ht="15" customHeight="1" s="101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1'!$C$692+'[27]Hoja 1'!$C$68</f>
        <v/>
      </c>
      <c r="D77" s="45" t="n"/>
      <c r="E77" s="1191" t="n"/>
      <c r="F77" s="28">
        <f>'[8]Hoja 1'!$C$629+'[9]Hoja 1'!$C$195</f>
        <v/>
      </c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00">
        <f>AM77/$AM$13</f>
        <v/>
      </c>
    </row>
    <row r="78" ht="15" customHeight="1" s="1016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078">
        <f>C78/C13</f>
        <v/>
      </c>
      <c r="F78" s="49">
        <f>SUM(F79:F81)</f>
        <v/>
      </c>
      <c r="G78" s="3">
        <f>F78/F12</f>
        <v/>
      </c>
      <c r="H78" s="1078">
        <f>F78/F13</f>
        <v/>
      </c>
      <c r="I78" s="49">
        <f>SUM(I79:I81)</f>
        <v/>
      </c>
      <c r="J78" s="3">
        <f>I78/I12</f>
        <v/>
      </c>
      <c r="K78" s="1078">
        <f>I78/I13</f>
        <v/>
      </c>
      <c r="L78" s="49">
        <f>SUM(L79:L81)</f>
        <v/>
      </c>
      <c r="M78" s="3">
        <f>L78/L12</f>
        <v/>
      </c>
      <c r="N78" s="1078">
        <f>L78/L13</f>
        <v/>
      </c>
      <c r="O78" s="49">
        <f>SUM(O79:O81)</f>
        <v/>
      </c>
      <c r="P78" s="3">
        <f>O78/O12</f>
        <v/>
      </c>
      <c r="Q78" s="1078">
        <f>O78/O13</f>
        <v/>
      </c>
      <c r="R78" s="90">
        <f>SUM(R79:R81)</f>
        <v/>
      </c>
      <c r="S78" s="3">
        <f>R78/R12</f>
        <v/>
      </c>
      <c r="T78" s="1078">
        <f>R78/R13</f>
        <v/>
      </c>
      <c r="U78" s="49">
        <f>SUM(U79:U81)</f>
        <v/>
      </c>
      <c r="V78" s="3">
        <f>U78/U12</f>
        <v/>
      </c>
      <c r="W78" s="1078">
        <f>U78/U13</f>
        <v/>
      </c>
      <c r="X78" s="49">
        <f>SUM(X79:X81)</f>
        <v/>
      </c>
      <c r="Y78" s="3">
        <f>X78/X12</f>
        <v/>
      </c>
      <c r="Z78" s="1078">
        <f>X78/X13</f>
        <v/>
      </c>
      <c r="AA78" s="49">
        <f>SUM(AA79:AA81)</f>
        <v/>
      </c>
      <c r="AB78" s="3">
        <f>AA78/AA12</f>
        <v/>
      </c>
      <c r="AC78" s="1078">
        <f>AA78/AA13</f>
        <v/>
      </c>
      <c r="AD78" s="49">
        <f>SUM(AD79:AD81)</f>
        <v/>
      </c>
      <c r="AE78" s="3">
        <f>AD78/AD12</f>
        <v/>
      </c>
      <c r="AF78" s="1078">
        <f>AD78/AD13</f>
        <v/>
      </c>
      <c r="AG78" s="49">
        <f>SUM(AG79:AG81)</f>
        <v/>
      </c>
      <c r="AH78" s="3" t="n"/>
      <c r="AI78" s="1078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01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'[48]Hoja 1'!$D$9+'[30]Hoja 1'!$D$28+'[49]Hoja 1'!$D$9</f>
        <v/>
      </c>
      <c r="D79" s="267" t="n"/>
      <c r="E79" s="1102" t="n"/>
      <c r="F79" s="726">
        <f>'[37]Hoja 1'!$D$19-23031718+'[38]Hoja 1'!$D$33+'[50]Hoja 1'!$D$9</f>
        <v/>
      </c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895" t="n"/>
      <c r="AK79" s="69" t="n"/>
      <c r="AL79" s="1102" t="n"/>
      <c r="AM79" s="729">
        <f>C79+F79+I79+L79+O79+R79+U79+X79+AA79+AD79+AG79+AJ79</f>
        <v/>
      </c>
      <c r="AN79" s="730">
        <f>AM79/$AM$12</f>
        <v/>
      </c>
      <c r="AO79" s="1103">
        <f>AM79/AM13</f>
        <v/>
      </c>
      <c r="AQ79" s="896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'[29]Hoja 1'!$D$34+'[29]Hoja 1'!$D$38+'[30]Hoja 1'!$D$32</f>
        <v/>
      </c>
      <c r="D80" s="272" t="n"/>
      <c r="E80" s="1070" t="n"/>
      <c r="F80" s="25">
        <f>'[36]Hoja 1'!$D$39+'[37]Hoja 1'!$D$18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1" t="n"/>
      <c r="AK80" s="43" t="n"/>
      <c r="AL80" s="1070" t="n"/>
      <c r="AM80" s="205">
        <f>C80+F80+I80+L80+O80+R80+U80+X80+AA80+AD80+AG80+AJ80</f>
        <v/>
      </c>
      <c r="AN80" s="43">
        <f>AM80/$AM$12</f>
        <v/>
      </c>
      <c r="AO80" s="1071">
        <f>AM80/AM13</f>
        <v/>
      </c>
      <c r="AQ80" s="1211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16" thickBot="1">
      <c r="B81" s="98" t="inlineStr">
        <is>
          <t>Temporales MOD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 t="n"/>
      <c r="X84" s="49">
        <f>SUM(X85:X88)</f>
        <v/>
      </c>
      <c r="Y84" s="3" t="n"/>
      <c r="Z84" s="1078" t="n"/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 t="n"/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01">
        <f>AM84/(AM$13)</f>
        <v/>
      </c>
    </row>
    <row r="85" ht="15" customHeight="1" s="1016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02" t="n"/>
      <c r="F85" s="39">
        <f>'GASTOS OPERATIVOS'!D17*'%DIST'!E5</f>
        <v/>
      </c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1102" t="n"/>
      <c r="AO85" s="1102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70" t="n"/>
      <c r="F86" s="25">
        <f>'[9]Hoja 1'!$C$174</f>
        <v/>
      </c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81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0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082" t="n"/>
      <c r="F87" s="22">
        <f>'[8]Hoja 1'!$C$623</f>
        <v/>
      </c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786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16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'[27]Hoja 1'!$C$21+'[2]Hoja 1'!$C$64</f>
        <v/>
      </c>
      <c r="D88" s="84" t="n"/>
      <c r="E88" s="1072" t="n"/>
      <c r="F88" s="83">
        <f>'[9]Hoja 1'!$C$148+'[10]Hoja 1'!$C$70</f>
        <v/>
      </c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>
        <f>C89/(C$13)</f>
        <v/>
      </c>
      <c r="F89" s="49">
        <f>SUM(F90:F91)</f>
        <v/>
      </c>
      <c r="G89" s="3" t="n"/>
      <c r="H89" s="1078" t="n"/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 t="n"/>
      <c r="R89" s="90">
        <f>SUM(R90:R91)</f>
        <v/>
      </c>
      <c r="S89" s="3" t="n"/>
      <c r="T89" s="1078" t="n"/>
      <c r="U89" s="49">
        <f>SUM(U90:U91)</f>
        <v/>
      </c>
      <c r="V89" s="3" t="n"/>
      <c r="W89" s="1078" t="n"/>
      <c r="X89" s="49">
        <f>SUM(X90:X91)</f>
        <v/>
      </c>
      <c r="Y89" s="3" t="n"/>
      <c r="Z89" s="1078" t="n"/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 t="n"/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>
        <f>C92/(C$13)</f>
        <v/>
      </c>
      <c r="F92" s="49">
        <f>SUM(F93:F95)</f>
        <v/>
      </c>
      <c r="G92" s="3" t="n"/>
      <c r="H92" s="1078" t="n"/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 t="n"/>
      <c r="R92" s="90">
        <f>SUM(R93:R95)</f>
        <v/>
      </c>
      <c r="S92" s="3" t="n"/>
      <c r="T92" s="1078" t="n"/>
      <c r="U92" s="49">
        <f>SUM(U93:U95)</f>
        <v/>
      </c>
      <c r="V92" s="3" t="n"/>
      <c r="W92" s="1078" t="n"/>
      <c r="X92" s="49">
        <f>SUM(X93:X95)</f>
        <v/>
      </c>
      <c r="Y92" s="3" t="n"/>
      <c r="Z92" s="1078" t="n"/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 t="n"/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 t="n"/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 t="n"/>
      <c r="U96" s="49">
        <f>SUM(U97:U98)</f>
        <v/>
      </c>
      <c r="V96" s="3" t="n"/>
      <c r="W96" s="1078" t="n"/>
      <c r="X96" s="49">
        <f>SUM(X97:X98)</f>
        <v/>
      </c>
      <c r="Y96" s="3" t="n"/>
      <c r="Z96" s="1078" t="n"/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 t="n"/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01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'[1]Hoja 1'!$C$687+'[27]Hoja 1'!$C$59</f>
        <v/>
      </c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'[27]Hoja 1'!$C$61</f>
        <v/>
      </c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 t="n"/>
      <c r="I99" s="90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 t="n"/>
      <c r="U99" s="49">
        <f>SUM(U100:U108)</f>
        <v/>
      </c>
      <c r="V99" s="3" t="n"/>
      <c r="W99" s="1078" t="n"/>
      <c r="X99" s="49">
        <f>SUM(X100:X108)</f>
        <v/>
      </c>
      <c r="Y99" s="3" t="n"/>
      <c r="Z99" s="1078" t="n"/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 t="n"/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01">
        <f>AM99/(AM$13)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'[1]Hoja 1'!$C$690</f>
        <v/>
      </c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'[9]Hoja 1'!C190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81" t="n"/>
      <c r="AH103" s="43" t="n"/>
      <c r="AI103" s="1070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'[27]Hoja 1'!$C$64</f>
        <v/>
      </c>
      <c r="D104" s="43" t="n"/>
      <c r="E104" s="1070" t="n"/>
      <c r="F104" s="25">
        <f>'[9]Hoja 1'!C191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81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846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846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1078" t="n"/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 t="n"/>
      <c r="U109" s="49">
        <f>SUM(U110:U113)</f>
        <v/>
      </c>
      <c r="V109" s="3" t="n"/>
      <c r="W109" s="1078" t="n"/>
      <c r="X109" s="49">
        <f>SUM(X110:X113)</f>
        <v/>
      </c>
      <c r="Y109" s="3" t="n"/>
      <c r="Z109" s="1078" t="n"/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 t="n"/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B110" s="39" t="inlineStr">
        <is>
          <t>Notariales</t>
        </is>
      </c>
      <c r="C110" s="39">
        <f>'[27]Hoja 1'!$C$73</f>
        <v/>
      </c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 t="n"/>
      <c r="I114" s="90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 t="n"/>
      <c r="U114" s="49">
        <f>SUM(U115:U119)</f>
        <v/>
      </c>
      <c r="V114" s="3" t="n"/>
      <c r="W114" s="1078" t="n"/>
      <c r="X114" s="49">
        <f>SUM(X115:X119)</f>
        <v/>
      </c>
      <c r="Y114" s="3" t="n"/>
      <c r="Z114" s="1078" t="n"/>
      <c r="AA114" s="49">
        <f>SUM(AA115:AA119)</f>
        <v/>
      </c>
      <c r="AB114" s="3" t="n"/>
      <c r="AC114" s="1078" t="n"/>
      <c r="AD114" s="49">
        <f>SUM(AD115:AD119)</f>
        <v/>
      </c>
      <c r="AE114" s="3" t="n"/>
      <c r="AF114" s="1078" t="n"/>
      <c r="AG114" s="49">
        <f>SUM(AG115:AG119)</f>
        <v/>
      </c>
      <c r="AH114" s="3" t="n"/>
      <c r="AI114" s="1078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01">
        <f>AM114/(AM$13)</f>
        <v/>
      </c>
    </row>
    <row r="115" outlineLevel="1" ht="15" customHeight="1" s="1016"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B117" s="205" t="inlineStr">
        <is>
          <t>Equipos de Cocina</t>
        </is>
      </c>
      <c r="C117" s="25">
        <f>'[27]Hoja 1'!$C$76</f>
        <v/>
      </c>
      <c r="D117" s="43" t="n"/>
      <c r="E117" s="1070" t="n"/>
      <c r="F117" s="25">
        <f>'[9]Hoja 1'!$C$198</f>
        <v/>
      </c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786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1078" t="n"/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 t="n"/>
      <c r="U120" s="49">
        <f>SUM(U121:U122)</f>
        <v/>
      </c>
      <c r="V120" s="3" t="n"/>
      <c r="W120" s="1078" t="n"/>
      <c r="X120" s="49">
        <f>SUM(X121:X122)</f>
        <v/>
      </c>
      <c r="Y120" s="3" t="n"/>
      <c r="Z120" s="1078" t="n"/>
      <c r="AA120" s="49">
        <f>SUM(AA121)</f>
        <v/>
      </c>
      <c r="AB120" s="3" t="n"/>
      <c r="AC120" s="1078" t="n"/>
      <c r="AD120" s="49">
        <f>SUM(AD121:AD122)</f>
        <v/>
      </c>
      <c r="AE120" s="3" t="n"/>
      <c r="AF120" s="1078" t="n"/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1078" t="n"/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 t="n"/>
      <c r="U123" s="49">
        <f>SUM(U124:U126)</f>
        <v/>
      </c>
      <c r="V123" s="3" t="n"/>
      <c r="W123" s="1078" t="n"/>
      <c r="X123" s="49">
        <f>SUM(X124:X126)</f>
        <v/>
      </c>
      <c r="Y123" s="3" t="n"/>
      <c r="Z123" s="1078" t="n"/>
      <c r="AA123" s="49">
        <f>SUM(AA124:AA126)</f>
        <v/>
      </c>
      <c r="AB123" s="3" t="n"/>
      <c r="AC123" s="1078" t="n"/>
      <c r="AD123" s="49" t="n"/>
      <c r="AE123" s="3" t="n"/>
      <c r="AF123" s="1078" t="n"/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1078" t="n"/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 t="n"/>
      <c r="U127" s="49">
        <f>SUM(U128:U142)</f>
        <v/>
      </c>
      <c r="V127" s="3" t="n"/>
      <c r="W127" s="1078" t="n"/>
      <c r="X127" s="49">
        <f>SUM(X128:X142)</f>
        <v/>
      </c>
      <c r="Y127" s="3" t="n"/>
      <c r="Z127" s="1078" t="n"/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 t="n"/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01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>
        <f>'[9]Hoja 1'!$C$205</f>
        <v/>
      </c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783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94" t="n"/>
    </row>
    <row r="129" outlineLevel="1" ht="15" customHeight="1" s="101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>
        <f>'[8]Hoja 1'!$C$639+'[9]Hoja 1'!$C$207</f>
        <v/>
      </c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81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>
        <f>'[8]Hoja 1'!$C$591+'[9]Hoja 1'!$C$201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95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>
        <f>'[8]Hoja 1'!$C$632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1'!$C$695</f>
        <v/>
      </c>
      <c r="D133" s="43" t="n"/>
      <c r="E133" s="1070" t="n"/>
      <c r="F133" s="25">
        <f>'[8]Hoja 1'!$C$634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>
        <f>'[8]Hoja 1'!$C$636+'[9]Hoja 1'!$C$203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B135" s="25" t="inlineStr">
        <is>
          <t xml:space="preserve">Parqueaderos                       </t>
        </is>
      </c>
      <c r="C135" s="25">
        <f>'[1]Hoja 1'!$C$697</f>
        <v/>
      </c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outlineLevel="1" ht="15" customHeight="1" s="1016">
      <c r="B139" s="25" t="inlineStr">
        <is>
          <t>Herramientas y articulos ferreteria</t>
        </is>
      </c>
      <c r="C139" s="25">
        <f>'[1]Hoja 1'!$C$699</f>
        <v/>
      </c>
      <c r="D139" s="43" t="n"/>
      <c r="E139" s="1070" t="n"/>
      <c r="F139" s="25">
        <f>'[8]Hoja 1'!$C$638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</row>
    <row r="140" outlineLevel="1" ht="15" customHeight="1" s="1016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70" t="n"/>
      <c r="F140" s="25">
        <f>'[9]Hoja 1'!$C$206</f>
        <v/>
      </c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81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 t="n"/>
      <c r="U147" s="490">
        <f>SUM(U148:U151)</f>
        <v/>
      </c>
      <c r="V147" s="491" t="n"/>
      <c r="W147" s="1094" t="n"/>
      <c r="X147" s="490">
        <f>SUM(X148:X151)</f>
        <v/>
      </c>
      <c r="Y147" s="491" t="n"/>
      <c r="Z147" s="1094" t="n"/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02" t="n"/>
      <c r="F148" s="39">
        <f>'GASTOS ADMINISTRATIVOS'!D96*'%DIST'!D37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</row>
    <row r="149" ht="15" customHeight="1" s="1016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70" t="n"/>
      <c r="F149" s="25">
        <f>'GASTOS ADMINISTRATIVOS'!D109*'%DIST'!E53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</row>
    <row r="151" ht="15" customHeight="1" s="1016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11" t="n"/>
      <c r="F151" s="71">
        <f>'GASTOS ADMINISTRATIVOS'!D119*'%DIST'!E53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 t="n"/>
    </row>
    <row r="154" ht="15" customHeight="1" s="1016" thickTop="1">
      <c r="B154" s="1160" t="inlineStr">
        <is>
          <t>Novedades</t>
        </is>
      </c>
      <c r="C154" s="716" t="n"/>
      <c r="D154" s="548" t="n"/>
      <c r="E154" s="1196" t="n"/>
      <c r="F154" s="705" t="n"/>
      <c r="G154" s="548" t="n"/>
      <c r="H154" s="1196" t="n"/>
      <c r="I154" s="705" t="n"/>
      <c r="J154" s="548" t="n"/>
      <c r="K154" s="1196" t="n"/>
      <c r="L154" s="705" t="n"/>
      <c r="M154" s="548" t="n"/>
      <c r="N154" s="1196" t="n"/>
      <c r="O154" s="705" t="n"/>
      <c r="P154" s="548" t="n"/>
      <c r="Q154" s="1196" t="n"/>
      <c r="R154" s="705" t="n"/>
      <c r="S154" s="548" t="n"/>
      <c r="T154" s="1196" t="n"/>
      <c r="U154" s="705" t="n"/>
      <c r="V154" s="548" t="n"/>
      <c r="W154" s="1196" t="n"/>
      <c r="X154" s="705" t="n"/>
      <c r="Y154" s="548" t="n"/>
      <c r="Z154" s="1196" t="n"/>
      <c r="AA154" s="705" t="n"/>
      <c r="AB154" s="548" t="n"/>
      <c r="AC154" s="1196" t="n"/>
      <c r="AD154" s="705" t="n"/>
      <c r="AE154" s="548" t="n"/>
      <c r="AF154" s="1196" t="n"/>
      <c r="AG154" s="705" t="n"/>
      <c r="AH154" s="548" t="n"/>
      <c r="AI154" s="1196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62" t="n"/>
    </row>
    <row r="155" ht="15" customHeight="1" s="1016">
      <c r="B155" s="1164" t="inlineStr">
        <is>
          <t xml:space="preserve">Otros Ajustes 1 </t>
        </is>
      </c>
      <c r="C155" s="705" t="n"/>
      <c r="D155" s="13" t="n"/>
      <c r="E155" s="1176" t="n"/>
      <c r="F155" s="705" t="n"/>
      <c r="G155" s="13" t="n"/>
      <c r="H155" s="1176" t="n"/>
      <c r="I155" s="705" t="n"/>
      <c r="J155" s="13" t="n"/>
      <c r="K155" s="1176" t="n"/>
      <c r="L155" s="705" t="n"/>
      <c r="M155" s="13" t="n"/>
      <c r="N155" s="1176" t="n"/>
      <c r="O155" s="705" t="n"/>
      <c r="P155" s="13" t="n"/>
      <c r="Q155" s="1176" t="n"/>
      <c r="R155" s="705" t="n"/>
      <c r="S155" s="13" t="n"/>
      <c r="T155" s="1176" t="n"/>
      <c r="U155" s="705" t="n"/>
      <c r="V155" s="13" t="n"/>
      <c r="W155" s="1176" t="n"/>
      <c r="X155" s="718" t="n"/>
      <c r="Y155" s="13" t="n"/>
      <c r="Z155" s="1176" t="n"/>
      <c r="AA155" s="705" t="n"/>
      <c r="AB155" s="13" t="n"/>
      <c r="AC155" s="1176" t="n"/>
      <c r="AD155" s="878" t="n"/>
      <c r="AE155" s="13" t="n"/>
      <c r="AF155" s="1176" t="n"/>
      <c r="AG155" s="705" t="n"/>
      <c r="AH155" s="13" t="n"/>
      <c r="AI155" s="1176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66" t="n"/>
    </row>
    <row r="156" ht="15" customHeight="1" s="1016">
      <c r="B156" s="1168" t="inlineStr">
        <is>
          <t>Otros Ajustes 2</t>
        </is>
      </c>
      <c r="C156" s="705" t="n"/>
      <c r="D156" s="677" t="n"/>
      <c r="E156" s="1198" t="n"/>
      <c r="F156" s="705" t="n"/>
      <c r="G156" s="677" t="n"/>
      <c r="H156" s="1198" t="n"/>
      <c r="I156" s="705" t="n"/>
      <c r="J156" s="677" t="n"/>
      <c r="K156" s="1198" t="n"/>
      <c r="L156" s="705" t="n"/>
      <c r="M156" s="677" t="n"/>
      <c r="N156" s="1198" t="n"/>
      <c r="O156" s="705" t="n"/>
      <c r="P156" s="553" t="n"/>
      <c r="Q156" s="841" t="n"/>
      <c r="R156" s="705" t="n"/>
      <c r="S156" s="677" t="n"/>
      <c r="T156" s="1198" t="n"/>
      <c r="U156" s="705" t="n"/>
      <c r="V156" s="677" t="n"/>
      <c r="W156" s="1198" t="n"/>
      <c r="X156" s="705" t="n"/>
      <c r="Y156" s="677" t="n"/>
      <c r="Z156" s="1198" t="n"/>
      <c r="AA156" s="705" t="n"/>
      <c r="AB156" s="677" t="n"/>
      <c r="AC156" s="1198" t="n"/>
      <c r="AD156" s="705" t="n"/>
      <c r="AE156" s="677" t="n"/>
      <c r="AF156" s="1198" t="n"/>
      <c r="AG156" s="705" t="n"/>
      <c r="AH156" s="677" t="n"/>
      <c r="AI156" s="1198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3">
        <f>AM156/AM42</f>
        <v/>
      </c>
    </row>
    <row r="157" ht="15" customHeight="1" s="1016">
      <c r="B157" s="1171" t="inlineStr">
        <is>
          <t>Otros Ajustes 3</t>
        </is>
      </c>
      <c r="C157" s="705" t="n"/>
      <c r="D157" s="553" t="n"/>
      <c r="E157" s="1200" t="n"/>
      <c r="F157" s="705" t="n"/>
      <c r="G157" s="553" t="n"/>
      <c r="H157" s="1200" t="n"/>
      <c r="I157" s="705" t="n"/>
      <c r="J157" s="553" t="n"/>
      <c r="K157" s="1200" t="n"/>
      <c r="L157" s="705" t="n"/>
      <c r="M157" s="553" t="n"/>
      <c r="N157" s="1200" t="n"/>
      <c r="O157" s="705" t="n"/>
      <c r="P157" s="635" t="n"/>
      <c r="Q157" s="841" t="n"/>
      <c r="R157" s="705" t="n"/>
      <c r="S157" s="635" t="n"/>
      <c r="T157" s="1202" t="n"/>
      <c r="U157" s="705" t="n"/>
      <c r="V157" s="635" t="n"/>
      <c r="W157" s="1202" t="n"/>
      <c r="X157" s="705" t="n"/>
      <c r="Y157" s="553" t="n"/>
      <c r="Z157" s="1200" t="n"/>
      <c r="AA157" s="705" t="n"/>
      <c r="AB157" s="553" t="n"/>
      <c r="AC157" s="1200" t="n"/>
      <c r="AD157" s="705" t="n"/>
      <c r="AE157" s="553" t="n"/>
      <c r="AF157" s="1200" t="n"/>
      <c r="AG157" s="705" t="n"/>
      <c r="AH157" s="553" t="n"/>
      <c r="AI157" s="1200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03" t="n"/>
    </row>
    <row r="158" ht="15" customHeight="1" s="1016">
      <c r="B158" s="1175" t="inlineStr">
        <is>
          <t>Otros Ajustes 4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212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AM158/$AM$42</f>
        <v/>
      </c>
    </row>
    <row r="159" ht="15" customHeight="1" s="1016">
      <c r="B159" s="1175" t="inlineStr">
        <is>
          <t>Otros Ajustes 5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212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 t="n"/>
    </row>
    <row r="160" ht="15" customHeight="1" s="1016" thickBot="1">
      <c r="B160" s="1179" t="inlineStr">
        <is>
          <t>Otros Ajustes 6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949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77">
        <f>AM160/AM42</f>
        <v/>
      </c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538">
        <f>IFERROR(C161/C13," ")</f>
        <v/>
      </c>
      <c r="D162" s="501" t="n"/>
      <c r="E162" s="1118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</row>
    <row r="163" ht="10.8" customHeight="1" s="1016" thickTop="1"/>
    <row r="164" hidden="1" ht="9.75" customFormat="1" customHeight="1" s="153" thickBot="1" thickTop="1">
      <c r="A164" s="226" t="n"/>
      <c r="C164" s="616">
        <f>C44+C83-C73-C85</f>
        <v/>
      </c>
      <c r="D164" s="1025" t="n"/>
      <c r="E164" s="1213" t="n"/>
      <c r="F164" s="616">
        <f>F44+F83-F73-F85</f>
        <v/>
      </c>
      <c r="G164" s="1025" t="n"/>
      <c r="H164" s="1213" t="n"/>
      <c r="I164" s="616">
        <f>I44+I83-I73-I85</f>
        <v/>
      </c>
      <c r="J164" s="1025" t="n"/>
      <c r="K164" s="1213" t="n"/>
      <c r="L164" s="616">
        <f>L44+L83-L73-L85-L58</f>
        <v/>
      </c>
      <c r="M164" s="1025" t="n"/>
      <c r="N164" s="1213" t="n"/>
      <c r="O164" s="472">
        <f>O44+O83-O73-O85-O58</f>
        <v/>
      </c>
      <c r="P164" s="1025" t="n"/>
      <c r="Q164" s="1213" t="n"/>
      <c r="R164" s="472">
        <f>R44+R83-R73-R85-R58</f>
        <v/>
      </c>
      <c r="S164" s="1025" t="n"/>
      <c r="T164" s="1213" t="n"/>
      <c r="U164" s="472">
        <f>U44+U83-U73-U85-U58</f>
        <v/>
      </c>
      <c r="V164" s="1025" t="n"/>
      <c r="W164" s="1213" t="n"/>
      <c r="X164" s="472">
        <f>X44+X83-X73-X85-X58</f>
        <v/>
      </c>
      <c r="Y164" s="1025" t="n"/>
      <c r="Z164" s="1213" t="n"/>
      <c r="AA164" s="475">
        <f>AA44+AA83-AA73-AA85-AA58</f>
        <v/>
      </c>
      <c r="AB164" s="1025" t="n"/>
      <c r="AC164" s="1213" t="n"/>
      <c r="AD164" s="475">
        <f>AD44+AD83-AD73-AD85-AD58</f>
        <v/>
      </c>
      <c r="AE164" s="1025" t="n"/>
      <c r="AF164" s="1213" t="n"/>
      <c r="AG164" s="475">
        <f>AG44+AG83-AG73-AG85-AG58</f>
        <v/>
      </c>
      <c r="AH164" s="1025" t="n"/>
      <c r="AI164" s="1213" t="n"/>
      <c r="AJ164" s="475">
        <f>AJ44+AJ83-AJ73-AJ85-AJ58</f>
        <v/>
      </c>
      <c r="AK164" s="1025" t="n"/>
      <c r="AL164" s="1025" t="n"/>
      <c r="AM164" s="1025" t="n"/>
      <c r="AN164" s="1025" t="n"/>
      <c r="AO164" s="1213" t="n"/>
    </row>
    <row r="165" hidden="1" customFormat="1" s="153">
      <c r="A165" s="226" t="n"/>
      <c r="C165" s="616">
        <f>'[1]Hoja 1'!$C$645+'[1]Hoja 1'!$C$606+'[27]Hoja 1'!$C$15-'[27]Hoja 1'!$C$70+'[2]Hoja 1'!$C$64+'[2]Hoja 1'!$C$214+'[2]Hoja 1'!$C$255+'[51]Hoja 1'!$C$27</f>
        <v/>
      </c>
      <c r="D165" s="1025" t="n"/>
      <c r="E165" s="1213" t="n"/>
      <c r="F165" s="616">
        <f>'[8]Hoja 1'!$C$577+'[9]Hoja 1'!$C$148+'[9]Hoja 1'!$C$150+'[10]Hoja 1'!$C$70+'[10]Hoja 1'!$C$72+'[52]Hoja 1'!$C$18</f>
        <v/>
      </c>
      <c r="G165" s="1025" t="n"/>
      <c r="H165" s="1213" t="n"/>
      <c r="I165" s="616" t="n">
        <v>1430442873.12</v>
      </c>
      <c r="J165" s="1025" t="n"/>
      <c r="K165" s="1213" t="n"/>
      <c r="L165" s="616" t="n">
        <v>1116307669.42</v>
      </c>
      <c r="M165" s="1025" t="n"/>
      <c r="N165" s="1213" t="n"/>
      <c r="O165" s="472" t="n">
        <v>1382223149.7</v>
      </c>
      <c r="P165" s="1025" t="n"/>
      <c r="Q165" s="1213" t="n"/>
      <c r="R165" s="472" t="n">
        <v>655145421.55</v>
      </c>
      <c r="S165" s="1025" t="n"/>
      <c r="T165" s="1213" t="n"/>
      <c r="U165" s="472" t="n">
        <v>830608364.54</v>
      </c>
      <c r="V165" s="1025" t="n"/>
      <c r="W165" s="1213" t="n"/>
      <c r="X165" s="472" t="n">
        <v>1347308483.54</v>
      </c>
      <c r="Y165" s="1025" t="n"/>
      <c r="Z165" s="1213" t="n"/>
      <c r="AA165" s="475" t="n">
        <v>1429380841.35</v>
      </c>
      <c r="AB165" s="1025" t="n"/>
      <c r="AC165" s="1213" t="n"/>
      <c r="AD165" s="475" t="n">
        <v>1064563831.2</v>
      </c>
      <c r="AE165" s="1025" t="n"/>
      <c r="AF165" s="1213" t="n"/>
      <c r="AG165" s="475" t="n">
        <v>903207890.9400001</v>
      </c>
      <c r="AH165" s="1025" t="n"/>
      <c r="AI165" s="1213" t="n"/>
      <c r="AJ165" s="475" t="n">
        <v>307257937.6900001</v>
      </c>
      <c r="AK165" s="1025" t="n"/>
      <c r="AL165" s="1025" t="n"/>
      <c r="AM165" s="401" t="n"/>
      <c r="AN165" s="1025" t="n"/>
      <c r="AO165" s="1213" t="n"/>
    </row>
    <row r="166" hidden="1" customFormat="1" s="153">
      <c r="A166" s="226" t="n"/>
      <c r="C166" s="616">
        <f>C164-C165</f>
        <v/>
      </c>
      <c r="D166" s="1025" t="n"/>
      <c r="E166" s="1213" t="n"/>
      <c r="F166" s="616">
        <f>F164-F165</f>
        <v/>
      </c>
      <c r="G166" s="1024" t="n"/>
      <c r="H166" s="1214" t="n"/>
      <c r="I166" s="616">
        <f>I164-I165</f>
        <v/>
      </c>
      <c r="J166" s="1025" t="n"/>
      <c r="K166" s="1214" t="n"/>
      <c r="L166" s="616">
        <f>L164-L165</f>
        <v/>
      </c>
      <c r="M166" s="1025" t="n"/>
      <c r="N166" s="1213" t="n"/>
      <c r="O166" s="472">
        <f>O164-O165</f>
        <v/>
      </c>
      <c r="P166" s="1025" t="n"/>
      <c r="Q166" s="1213" t="n"/>
      <c r="R166" s="472">
        <f>R164-R165</f>
        <v/>
      </c>
      <c r="S166" s="1024" t="n"/>
      <c r="T166" s="1213" t="n"/>
      <c r="U166" s="472">
        <f>U164-U165</f>
        <v/>
      </c>
      <c r="V166" s="1025" t="n"/>
      <c r="W166" s="1213" t="n"/>
      <c r="X166" s="472">
        <f>X164-X165</f>
        <v/>
      </c>
      <c r="Y166" s="1025" t="n"/>
      <c r="Z166" s="1213" t="n"/>
      <c r="AA166" s="475">
        <f>AA164-AA165</f>
        <v/>
      </c>
      <c r="AB166" s="1025" t="inlineStr">
        <is>
          <t>AMAYOR</t>
        </is>
      </c>
      <c r="AC166" s="1213" t="n"/>
      <c r="AD166" s="475">
        <f>AD164-AD165</f>
        <v/>
      </c>
      <c r="AE166" s="1025" t="n"/>
      <c r="AF166" s="1213" t="n"/>
      <c r="AG166" s="475">
        <f>AG164-AG165</f>
        <v/>
      </c>
      <c r="AH166" s="1025" t="n"/>
      <c r="AI166" s="1213" t="n"/>
      <c r="AJ166" s="475">
        <f>AJ164-AJ165</f>
        <v/>
      </c>
      <c r="AK166" s="401" t="n"/>
      <c r="AL166" s="1025" t="n"/>
      <c r="AM166" s="1024" t="n"/>
      <c r="AN166" s="1025" t="n"/>
      <c r="AO166" s="1213" t="n"/>
    </row>
    <row r="169">
      <c r="R169" s="1207" t="n"/>
    </row>
    <row r="172">
      <c r="AD172" s="1010">
        <f>220415*1.14</f>
        <v/>
      </c>
    </row>
    <row r="173">
      <c r="AD173" s="1010">
        <f>AD172*2000*8</f>
        <v/>
      </c>
    </row>
    <row r="181">
      <c r="X181" s="1010" t="n">
        <v>1423200</v>
      </c>
    </row>
    <row r="182">
      <c r="X182" s="1010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7"/>
    <col width="8.6640625" customWidth="1" style="1058" min="38" max="38"/>
    <col width="15.6640625" customWidth="1" style="1010" min="39" max="39"/>
    <col width="8.6640625" customWidth="1" style="1010" min="40" max="40"/>
    <col width="8.6640625" customWidth="1" style="1058" min="41" max="41"/>
    <col width="7.4414062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BUGA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21" t="n"/>
    </row>
    <row r="3" ht="21.75" customHeight="1" s="1016" thickBot="1" thickTop="1">
      <c r="B3" s="522" t="inlineStr">
        <is>
          <t xml:space="preserve">DIAS DE ATENCIÓN </t>
        </is>
      </c>
      <c r="C3" s="478" t="n">
        <v>10</v>
      </c>
      <c r="D3" s="479" t="n"/>
      <c r="E3" s="1060" t="n"/>
      <c r="F3" s="478" t="n">
        <v>20</v>
      </c>
      <c r="G3" s="479" t="n"/>
      <c r="H3" s="1060" t="n"/>
      <c r="I3" s="478" t="n">
        <v>19</v>
      </c>
      <c r="J3" s="479" t="n"/>
      <c r="K3" s="1060" t="n"/>
      <c r="L3" s="478" t="n">
        <v>19</v>
      </c>
      <c r="M3" s="479" t="n"/>
      <c r="N3" s="1060" t="n"/>
      <c r="O3" s="478" t="n">
        <v>19</v>
      </c>
      <c r="P3" s="479" t="n"/>
      <c r="Q3" s="1060" t="n"/>
      <c r="R3" s="478" t="n">
        <v>18</v>
      </c>
      <c r="S3" s="479" t="n"/>
      <c r="T3" s="1060" t="n"/>
      <c r="U3" s="478" t="n">
        <v>9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16</v>
      </c>
      <c r="AE3" s="479" t="n"/>
      <c r="AF3" s="1060" t="n"/>
      <c r="AG3" s="478" t="n">
        <v>18</v>
      </c>
      <c r="AH3" s="479" t="n"/>
      <c r="AI3" s="1060" t="n"/>
      <c r="AJ3" s="478" t="n"/>
      <c r="AK3" s="479" t="n"/>
      <c r="AL3" s="1060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66" t="n"/>
      <c r="F5" s="257" t="n"/>
      <c r="G5" s="89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1066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258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5">
        <f>C9+F9+I9+L9+O9+R9+U9+X9+AA9+AD9+AG9+AJ9</f>
        <v/>
      </c>
      <c r="AN9" s="43" t="n"/>
      <c r="AO9" s="1071" t="n"/>
    </row>
    <row r="10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1076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1078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 t="n"/>
      <c r="AA15" s="90">
        <f>SUM(AA16:AA22)</f>
        <v/>
      </c>
      <c r="AB15" s="3" t="n"/>
      <c r="AC15" s="1078" t="n"/>
      <c r="AD15" s="90">
        <f>SUM(AD16:AD22)</f>
        <v/>
      </c>
      <c r="AE15" s="96" t="n"/>
      <c r="AF15" s="1078" t="n"/>
      <c r="AG15" s="90">
        <f>SUM(AG16:AG22)</f>
        <v/>
      </c>
      <c r="AH15" s="3" t="n"/>
      <c r="AI15" s="1078" t="n"/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58" t="inlineStr">
        <is>
          <t>COMPLEMENTO INDUSTRIALIZADO (Fac)</t>
        </is>
      </c>
      <c r="C16" s="103" t="n"/>
      <c r="D16" s="79">
        <f>C16/C5</f>
        <v/>
      </c>
      <c r="E16" s="1080" t="n"/>
      <c r="F16" s="103" t="n"/>
      <c r="G16" s="79">
        <f>F16/F5</f>
        <v/>
      </c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1080" t="n"/>
      <c r="AM16" s="212">
        <f>C16+F16+I16+L16+O16+R16+U16+X16+AA16+AD16+AG16+AJ16</f>
        <v/>
      </c>
      <c r="AN16" s="79" t="n"/>
      <c r="AO16" s="1081" t="n"/>
    </row>
    <row r="17" ht="15" customHeight="1" s="1016">
      <c r="B17" s="258" t="inlineStr">
        <is>
          <t>COMPLEMENTO PREPARADO (Fac)</t>
        </is>
      </c>
      <c r="C17" s="25" t="n"/>
      <c r="D17" s="43">
        <f>C17/C6</f>
        <v/>
      </c>
      <c r="E17" s="1070" t="n"/>
      <c r="F17" s="25" t="n"/>
      <c r="G17" s="43">
        <f>F17/F6</f>
        <v/>
      </c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5">
        <f>C17+F17+I17+L17+O17+R17+U17+X17+AA17+AD17+AG17+AJ17</f>
        <v/>
      </c>
      <c r="AN17" s="43">
        <f>AM17/AM6</f>
        <v/>
      </c>
      <c r="AO17" s="1071">
        <f>AM17/AM$13</f>
        <v/>
      </c>
    </row>
    <row r="18" ht="15" customHeight="1" s="1016">
      <c r="B18" s="258" t="inlineStr">
        <is>
          <t>ALMUERZO JORNADA UNICA (Fac)</t>
        </is>
      </c>
      <c r="C18" s="25" t="n"/>
      <c r="D18" s="43">
        <f>C18/C7</f>
        <v/>
      </c>
      <c r="E18" s="1070" t="n"/>
      <c r="F18" s="25" t="n"/>
      <c r="G18" s="43">
        <f>F18/F7</f>
        <v/>
      </c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1070" t="n"/>
      <c r="AM18" s="205">
        <f>C18+F18+I18+L18+O18+R18+U18+X18+AA18+AD18+AG18+AJ18</f>
        <v/>
      </c>
      <c r="AN18" s="43">
        <f>AM18/AM7</f>
        <v/>
      </c>
      <c r="AO18" s="1071">
        <f>AM18/AM$13</f>
        <v/>
      </c>
    </row>
    <row r="19" ht="15" customHeight="1" s="1016">
      <c r="B19" s="258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5">
        <f>C19+F19+I19+L19+O19+R19+U19+X19+AA19+AD19+AG19+AJ19</f>
        <v/>
      </c>
      <c r="AN19" s="43" t="n"/>
      <c r="AO19" s="1071" t="n"/>
    </row>
    <row r="20" ht="15" customHeight="1" s="1016">
      <c r="B20" s="258" t="inlineStr">
        <is>
          <t>NOVEDADES (Fac)</t>
        </is>
      </c>
      <c r="C20" s="75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1070" t="n"/>
      <c r="AM20" s="205">
        <f>C20+F20+I20+L20+O20+R20+U20+X20+AA20+AD20+AG20+AJ20</f>
        <v/>
      </c>
      <c r="AN20" s="43" t="n"/>
      <c r="AO20" s="1071" t="n"/>
    </row>
    <row r="21" hidden="1" ht="10.2" customHeight="1" s="1016">
      <c r="B21" s="30" t="n"/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5">
        <f>C21+F21+I21+L21+O21+R21+U21+X21+AA21+AD21+AG21+AJ21</f>
        <v/>
      </c>
      <c r="AN21" s="43" t="n"/>
      <c r="AO21" s="1071" t="n"/>
    </row>
    <row r="22" hidden="1" ht="10.2" customHeight="1" s="1016">
      <c r="B22" s="30" t="n"/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>
        <f>C22+F22+I22+L22+O22+R22+U22+X22+AA22+AD22+AG22+AJ22</f>
        <v/>
      </c>
      <c r="AN22" s="42" t="n"/>
      <c r="AO22" s="1083" t="n"/>
    </row>
    <row r="23" hidden="1" outlineLevel="1" ht="10.2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1078" t="n"/>
      <c r="AM23" s="16">
        <f>C23+F23+I23+L23+O23+R23+U23+X23+AA23+AD23+AG23+AJ23</f>
        <v/>
      </c>
      <c r="AN23" s="3" t="n"/>
      <c r="AO23" s="1079" t="n"/>
    </row>
    <row r="24" hidden="1" outlineLevel="1" ht="10.2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1078" t="n"/>
      <c r="AM24" s="16">
        <f>C24+F24+I24+L24+O24+R24+U24+X24+AA24+AD24+AG24+AJ24</f>
        <v/>
      </c>
      <c r="AN24" s="3" t="n"/>
      <c r="AO24" s="1079" t="n"/>
    </row>
    <row r="25" hidden="1" outlineLevel="1" ht="10.2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</row>
    <row r="26" hidden="1" outlineLevel="1" ht="10.2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</row>
    <row r="27" hidden="1" outlineLevel="1" ht="10.2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1078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SUM(C30:C41)</f>
        <v/>
      </c>
      <c r="D29" s="3" t="n"/>
      <c r="E29" s="1078">
        <f>C29/C13</f>
        <v/>
      </c>
      <c r="F29" s="49">
        <f>SUM(F30:F37)</f>
        <v/>
      </c>
      <c r="G29" s="3" t="n"/>
      <c r="H29" s="1078">
        <f>F29/F13</f>
        <v/>
      </c>
      <c r="I29" s="49">
        <f>SUM(I30:I37)</f>
        <v/>
      </c>
      <c r="J29" s="3" t="n"/>
      <c r="K29" s="1078">
        <f>I29/I13</f>
        <v/>
      </c>
      <c r="L29" s="49">
        <f>SUM(L30:L37)</f>
        <v/>
      </c>
      <c r="M29" s="3" t="n"/>
      <c r="N29" s="1078">
        <f>L29/L13</f>
        <v/>
      </c>
      <c r="O29" s="49">
        <f>SUM(O30:O37)</f>
        <v/>
      </c>
      <c r="P29" s="3" t="n"/>
      <c r="Q29" s="1078" t="n"/>
      <c r="R29" s="90">
        <f>SUM(R30:R37)</f>
        <v/>
      </c>
      <c r="S29" s="3" t="n"/>
      <c r="T29" s="1078">
        <f>R29/R13</f>
        <v/>
      </c>
      <c r="U29" s="90">
        <f>SUM(U30:U37)</f>
        <v/>
      </c>
      <c r="V29" s="3" t="n"/>
      <c r="W29" s="1078">
        <f>U29/U13</f>
        <v/>
      </c>
      <c r="X29" s="90">
        <f>SUM(X30:X37)</f>
        <v/>
      </c>
      <c r="Y29" s="761" t="n"/>
      <c r="Z29" s="764">
        <f>X29/X13</f>
        <v/>
      </c>
      <c r="AA29" s="90">
        <f>SUM(AA30:AA37)</f>
        <v/>
      </c>
      <c r="AB29" s="3" t="n"/>
      <c r="AC29" s="1078">
        <f>AA29/AA13</f>
        <v/>
      </c>
      <c r="AD29" s="90">
        <f>SUM(AD30:AD37)</f>
        <v/>
      </c>
      <c r="AE29" s="3" t="n"/>
      <c r="AF29" s="1078">
        <f>AD29/AD13</f>
        <v/>
      </c>
      <c r="AG29" s="90">
        <f>SUM(AG30:AG39)</f>
        <v/>
      </c>
      <c r="AH29" s="3" t="n"/>
      <c r="AI29" s="1078">
        <f>AG29/AG13</f>
        <v/>
      </c>
      <c r="AJ29" s="49">
        <f>SUM(AJ30:AJ38)</f>
        <v/>
      </c>
      <c r="AK29" s="3" t="n"/>
      <c r="AL29" s="1078" t="n"/>
      <c r="AM29" s="16">
        <f>C29+F29+I29+L29+O29+R29+U29+X29+AA29+AD29+AG29+AJ29</f>
        <v/>
      </c>
      <c r="AN29" s="3" t="n"/>
      <c r="AO29" s="1079">
        <f>AM29/AM13</f>
        <v/>
      </c>
    </row>
    <row r="30" outlineLevel="1" ht="15" customHeight="1" s="1016">
      <c r="B30" s="262" t="inlineStr">
        <is>
          <t>1% Estampilla Prohospital</t>
        </is>
      </c>
      <c r="C30" s="1086">
        <f>C13*1%</f>
        <v/>
      </c>
      <c r="D30" s="79" t="n"/>
      <c r="E30" s="1080" t="n"/>
      <c r="F30" s="1086">
        <f>F13*1%</f>
        <v/>
      </c>
      <c r="G30" s="79" t="n"/>
      <c r="H30" s="1080" t="n"/>
      <c r="I30" s="1086">
        <f>I13*1%</f>
        <v/>
      </c>
      <c r="J30" s="79" t="n"/>
      <c r="K30" s="1080" t="n"/>
      <c r="L30" s="1086">
        <f>L13*1%</f>
        <v/>
      </c>
      <c r="M30" s="79" t="n"/>
      <c r="N30" s="1080" t="n"/>
      <c r="O30" s="1086">
        <f>O13*1%</f>
        <v/>
      </c>
      <c r="P30" s="79" t="n"/>
      <c r="Q30" s="1080" t="n"/>
      <c r="R30" s="1086">
        <f>R13*1%</f>
        <v/>
      </c>
      <c r="S30" s="79" t="n"/>
      <c r="T30" s="1080" t="n"/>
      <c r="U30" s="1086">
        <f>U13*1%</f>
        <v/>
      </c>
      <c r="V30" s="79" t="n"/>
      <c r="W30" s="1080" t="n"/>
      <c r="X30" s="1086">
        <f>X13*1%</f>
        <v/>
      </c>
      <c r="Y30" s="79" t="n"/>
      <c r="Z30" s="1080" t="n"/>
      <c r="AA30" s="1086">
        <f>AA13*1%</f>
        <v/>
      </c>
      <c r="AB30" s="79" t="n"/>
      <c r="AC30" s="1080" t="n"/>
      <c r="AD30" s="1086">
        <f>AD13*1%</f>
        <v/>
      </c>
      <c r="AE30" s="79" t="n"/>
      <c r="AF30" s="1080" t="n"/>
      <c r="AG30" s="1086">
        <f>AG13*1%</f>
        <v/>
      </c>
      <c r="AH30" s="79" t="n"/>
      <c r="AI30" s="1080" t="n"/>
      <c r="AJ30" s="1086">
        <f>AJ13*1%</f>
        <v/>
      </c>
      <c r="AK30" s="79" t="n"/>
      <c r="AL30" s="1080" t="n"/>
      <c r="AM30" s="212">
        <f>C30+F30+I30+L30+O30+R30+U30+X30+AA30+AD30+AG30+AJ30</f>
        <v/>
      </c>
      <c r="AN30" s="79" t="n"/>
      <c r="AO30" s="1081" t="n"/>
    </row>
    <row r="31" outlineLevel="1" ht="15" customHeight="1" s="1016">
      <c r="B31" s="105" t="inlineStr">
        <is>
          <t>2,5% Estampilla Pro Deporte</t>
        </is>
      </c>
      <c r="C31" s="1087">
        <f>C$13*2.5%</f>
        <v/>
      </c>
      <c r="D31" s="43" t="n"/>
      <c r="E31" s="1070" t="n"/>
      <c r="F31" s="1087">
        <f>F$13*2.5%</f>
        <v/>
      </c>
      <c r="G31" s="43" t="n"/>
      <c r="H31" s="1070" t="n"/>
      <c r="I31" s="1087">
        <f>I$13*2.5%</f>
        <v/>
      </c>
      <c r="J31" s="43" t="n"/>
      <c r="K31" s="1070" t="n"/>
      <c r="L31" s="1087">
        <f>L$13*2.5%</f>
        <v/>
      </c>
      <c r="M31" s="43" t="n"/>
      <c r="N31" s="1070" t="n"/>
      <c r="O31" s="1087">
        <f>O$13*2.5%</f>
        <v/>
      </c>
      <c r="P31" s="43" t="n"/>
      <c r="Q31" s="1070" t="n"/>
      <c r="R31" s="1087">
        <f>R$13*2.5%</f>
        <v/>
      </c>
      <c r="S31" s="43" t="n"/>
      <c r="T31" s="1070" t="n"/>
      <c r="U31" s="1087">
        <f>U$13*2.5%</f>
        <v/>
      </c>
      <c r="V31" s="43" t="n"/>
      <c r="W31" s="1070" t="n"/>
      <c r="X31" s="1087">
        <f>X$13*2.5%</f>
        <v/>
      </c>
      <c r="Y31" s="43" t="n"/>
      <c r="Z31" s="1070" t="n"/>
      <c r="AA31" s="1087">
        <f>AA$13*2.5%</f>
        <v/>
      </c>
      <c r="AB31" s="43" t="n"/>
      <c r="AC31" s="1070" t="n"/>
      <c r="AD31" s="1087">
        <f>AD$13*2.5%</f>
        <v/>
      </c>
      <c r="AE31" s="43" t="n"/>
      <c r="AF31" s="1070" t="n"/>
      <c r="AG31" s="1087">
        <f>AG$13*2.5%</f>
        <v/>
      </c>
      <c r="AH31" s="43" t="n"/>
      <c r="AI31" s="1070" t="n"/>
      <c r="AJ31" s="1087">
        <f>AJ$13*2.5%</f>
        <v/>
      </c>
      <c r="AK31" s="43" t="n"/>
      <c r="AL31" s="1070" t="n"/>
      <c r="AM31" s="205">
        <f>C31+F31+I31+L31+O31+R31+U31+X31+AA31+AD31+AG31+AJ31</f>
        <v/>
      </c>
      <c r="AN31" s="43" t="n"/>
      <c r="AO31" s="1071" t="n"/>
    </row>
    <row r="32" outlineLevel="1" ht="15" customHeight="1" s="1016">
      <c r="B32" s="105" t="inlineStr">
        <is>
          <t>1% Estampilla Pro Univalle</t>
        </is>
      </c>
      <c r="C32" s="1087">
        <f>C$13*1%</f>
        <v/>
      </c>
      <c r="D32" s="43" t="n"/>
      <c r="E32" s="1070" t="n"/>
      <c r="F32" s="1087">
        <f>F$13*1%</f>
        <v/>
      </c>
      <c r="G32" s="43" t="n"/>
      <c r="H32" s="1070" t="n"/>
      <c r="I32" s="1087">
        <f>I$13*1%</f>
        <v/>
      </c>
      <c r="J32" s="43" t="n"/>
      <c r="K32" s="1070" t="n"/>
      <c r="L32" s="1087">
        <f>L$13*1%</f>
        <v/>
      </c>
      <c r="M32" s="43" t="n"/>
      <c r="N32" s="1070" t="n"/>
      <c r="O32" s="1087">
        <f>O$13*1%</f>
        <v/>
      </c>
      <c r="P32" s="43" t="n"/>
      <c r="Q32" s="1070" t="n"/>
      <c r="R32" s="1087">
        <f>R$13*1%</f>
        <v/>
      </c>
      <c r="S32" s="43" t="n"/>
      <c r="T32" s="1070" t="n"/>
      <c r="U32" s="1087">
        <f>U$13*1%</f>
        <v/>
      </c>
      <c r="V32" s="43" t="n"/>
      <c r="W32" s="1070" t="n"/>
      <c r="X32" s="1087">
        <f>X$13*1%</f>
        <v/>
      </c>
      <c r="Y32" s="43" t="n"/>
      <c r="Z32" s="1070" t="n"/>
      <c r="AA32" s="1087">
        <f>AA$13*1%</f>
        <v/>
      </c>
      <c r="AB32" s="43" t="n"/>
      <c r="AC32" s="1070" t="n"/>
      <c r="AD32" s="1087">
        <f>AD$13*1%</f>
        <v/>
      </c>
      <c r="AE32" s="43" t="n"/>
      <c r="AF32" s="1070" t="n"/>
      <c r="AG32" s="1087">
        <f>AG$13*1%</f>
        <v/>
      </c>
      <c r="AH32" s="43" t="n"/>
      <c r="AI32" s="1070" t="n"/>
      <c r="AJ32" s="1087">
        <f>AJ$13*1%</f>
        <v/>
      </c>
      <c r="AK32" s="43" t="n"/>
      <c r="AL32" s="1070" t="n"/>
      <c r="AM32" s="205">
        <f>C32+F32+I32+L32+O32+R32+U32+X32+AA32+AD32+AG32+AJ32</f>
        <v/>
      </c>
      <c r="AN32" s="43" t="n"/>
      <c r="AO32" s="1071" t="n"/>
    </row>
    <row r="33" outlineLevel="1" ht="15" customHeight="1" s="1016">
      <c r="B33" s="105" t="inlineStr">
        <is>
          <t>3% Estampilla Adulto Mayor</t>
        </is>
      </c>
      <c r="C33" s="1087">
        <f>C13*3%</f>
        <v/>
      </c>
      <c r="D33" s="43" t="n"/>
      <c r="E33" s="1070" t="n"/>
      <c r="F33" s="1087">
        <f>F13*3%</f>
        <v/>
      </c>
      <c r="G33" s="43" t="n"/>
      <c r="H33" s="1070" t="n"/>
      <c r="I33" s="1087">
        <f>I13*3%</f>
        <v/>
      </c>
      <c r="J33" s="43" t="n"/>
      <c r="K33" s="1070" t="n"/>
      <c r="L33" s="1087">
        <f>L13*3%</f>
        <v/>
      </c>
      <c r="M33" s="43" t="n"/>
      <c r="N33" s="1070" t="n"/>
      <c r="O33" s="1087">
        <f>O13*3%</f>
        <v/>
      </c>
      <c r="P33" s="43" t="n"/>
      <c r="Q33" s="1070" t="n"/>
      <c r="R33" s="1087">
        <f>R13*3%</f>
        <v/>
      </c>
      <c r="S33" s="43" t="n"/>
      <c r="T33" s="1070" t="n"/>
      <c r="U33" s="1087">
        <f>U13*3%</f>
        <v/>
      </c>
      <c r="V33" s="43" t="n"/>
      <c r="W33" s="1070" t="n"/>
      <c r="X33" s="1087">
        <f>X13*3%</f>
        <v/>
      </c>
      <c r="Y33" s="43" t="n"/>
      <c r="Z33" s="1070" t="n"/>
      <c r="AA33" s="1087">
        <f>AA13*3%</f>
        <v/>
      </c>
      <c r="AB33" s="43" t="n"/>
      <c r="AC33" s="1070" t="n"/>
      <c r="AD33" s="1087">
        <f>AD13*3%</f>
        <v/>
      </c>
      <c r="AE33" s="43" t="n"/>
      <c r="AF33" s="1070" t="n"/>
      <c r="AG33" s="1087">
        <f>AG13*3%</f>
        <v/>
      </c>
      <c r="AH33" s="43" t="n"/>
      <c r="AI33" s="1070" t="n"/>
      <c r="AJ33" s="1087">
        <f>AJ13*3%</f>
        <v/>
      </c>
      <c r="AK33" s="43" t="n"/>
      <c r="AL33" s="1070" t="n"/>
      <c r="AM33" s="205">
        <f>C33+F33+I33+L33+O33+R33+U33+X33+AA33+AD33+AG33+AJ33</f>
        <v/>
      </c>
      <c r="AN33" s="43" t="n"/>
      <c r="AO33" s="1071" t="n"/>
    </row>
    <row r="34" outlineLevel="1" ht="15" customHeight="1" s="1016">
      <c r="B34" s="105" t="inlineStr">
        <is>
          <t>0,5% Estampilla Universidad del Pacifico</t>
        </is>
      </c>
      <c r="C34" s="1087">
        <f>C$13*0.5%</f>
        <v/>
      </c>
      <c r="D34" s="43" t="n"/>
      <c r="E34" s="1070" t="n"/>
      <c r="F34" s="1087">
        <f>F$13*0.5%</f>
        <v/>
      </c>
      <c r="G34" s="43" t="n"/>
      <c r="H34" s="1070" t="n"/>
      <c r="I34" s="1087">
        <f>I$13*0.5%</f>
        <v/>
      </c>
      <c r="J34" s="43" t="n"/>
      <c r="K34" s="1070" t="n"/>
      <c r="L34" s="1087">
        <f>L$13*0.5%</f>
        <v/>
      </c>
      <c r="M34" s="43" t="n"/>
      <c r="N34" s="1070" t="n"/>
      <c r="O34" s="1087">
        <f>O$13*0.5%</f>
        <v/>
      </c>
      <c r="P34" s="43" t="n"/>
      <c r="Q34" s="1070" t="n"/>
      <c r="R34" s="1087">
        <f>R$13*0.5%</f>
        <v/>
      </c>
      <c r="S34" s="43" t="n"/>
      <c r="T34" s="1070" t="n"/>
      <c r="U34" s="1087">
        <f>U$13*0.5%</f>
        <v/>
      </c>
      <c r="V34" s="43" t="n"/>
      <c r="W34" s="1070" t="n"/>
      <c r="X34" s="1087">
        <f>X$13*0.5%</f>
        <v/>
      </c>
      <c r="Y34" s="43" t="n"/>
      <c r="Z34" s="1070" t="n"/>
      <c r="AA34" s="1087">
        <f>AA$13*0.5%</f>
        <v/>
      </c>
      <c r="AB34" s="43" t="n"/>
      <c r="AC34" s="1070" t="n"/>
      <c r="AD34" s="1087">
        <f>AD$13*0.5%</f>
        <v/>
      </c>
      <c r="AE34" s="43" t="n"/>
      <c r="AF34" s="1070" t="n"/>
      <c r="AG34" s="1087">
        <f>AG$13*0.5%</f>
        <v/>
      </c>
      <c r="AH34" s="43" t="n"/>
      <c r="AI34" s="1070" t="n"/>
      <c r="AJ34" s="1087">
        <f>AJ$13*0.5%</f>
        <v/>
      </c>
      <c r="AK34" s="43" t="n"/>
      <c r="AL34" s="1070" t="n"/>
      <c r="AM34" s="205">
        <f>C34+F34+I34+L34+O34+R34+U34+X34+AA34+AD34+AG34+AJ34</f>
        <v/>
      </c>
      <c r="AN34" s="43" t="n"/>
      <c r="AO34" s="1071" t="n"/>
    </row>
    <row r="35" outlineLevel="1" ht="15" customHeight="1" s="1016">
      <c r="B35" s="335" t="inlineStr">
        <is>
          <t>0,66% Rete Ica</t>
        </is>
      </c>
      <c r="C35" s="1087">
        <f>C$13*0.66%</f>
        <v/>
      </c>
      <c r="D35" s="92" t="n"/>
      <c r="E35" s="1088" t="n"/>
      <c r="F35" s="1087">
        <f>F$13*0.66%</f>
        <v/>
      </c>
      <c r="G35" s="92" t="n"/>
      <c r="H35" s="1088" t="n"/>
      <c r="I35" s="1087">
        <f>I$13*0.66%</f>
        <v/>
      </c>
      <c r="J35" s="92" t="n"/>
      <c r="K35" s="1088" t="n"/>
      <c r="L35" s="1087">
        <f>L$13*0.66%</f>
        <v/>
      </c>
      <c r="M35" s="92" t="n"/>
      <c r="N35" s="1088" t="n"/>
      <c r="O35" s="1087">
        <f>O$13*0.66%</f>
        <v/>
      </c>
      <c r="P35" s="92" t="n"/>
      <c r="Q35" s="1088" t="n"/>
      <c r="R35" s="1087">
        <f>R$13*0.66%</f>
        <v/>
      </c>
      <c r="S35" s="92" t="n"/>
      <c r="T35" s="1088" t="n"/>
      <c r="U35" s="1087">
        <f>U$13*0.66%</f>
        <v/>
      </c>
      <c r="V35" s="92" t="n"/>
      <c r="W35" s="1088" t="n"/>
      <c r="X35" s="1087">
        <f>X$13*0.66%</f>
        <v/>
      </c>
      <c r="Y35" s="92" t="n"/>
      <c r="Z35" s="1088" t="n"/>
      <c r="AA35" s="1087">
        <f>AA$13*0.66%</f>
        <v/>
      </c>
      <c r="AB35" s="92" t="n"/>
      <c r="AC35" s="1088" t="n"/>
      <c r="AD35" s="1087">
        <f>AD$13*0.66%</f>
        <v/>
      </c>
      <c r="AE35" s="92" t="n"/>
      <c r="AF35" s="1088" t="n"/>
      <c r="AG35" s="1087">
        <f>AG$13*0.66%</f>
        <v/>
      </c>
      <c r="AH35" s="92" t="n"/>
      <c r="AI35" s="1088" t="n"/>
      <c r="AJ35" s="1087">
        <f>AJ$13*0.66%</f>
        <v/>
      </c>
      <c r="AK35" s="92" t="n"/>
      <c r="AL35" s="1088" t="n"/>
      <c r="AM35" s="284">
        <f>C35+F35+I35+L35+O35+R35+U35+X35+AA35+AD35+AG35+AJ35</f>
        <v/>
      </c>
      <c r="AN35" s="92" t="n"/>
      <c r="AO35" s="1089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70" t="n"/>
      <c r="F36" s="25">
        <f>(F$13*1%)*3.5%</f>
        <v/>
      </c>
      <c r="G36" s="43" t="n"/>
      <c r="H36" s="1070" t="n"/>
      <c r="I36" s="25">
        <f>(I$13*1%)*3.5%</f>
        <v/>
      </c>
      <c r="J36" s="43" t="n"/>
      <c r="K36" s="1070" t="n"/>
      <c r="L36" s="25">
        <f>(L$13*1%)*3.5%</f>
        <v/>
      </c>
      <c r="M36" s="43" t="n"/>
      <c r="N36" s="1070" t="n"/>
      <c r="O36" s="25">
        <f>(O$13*1%)*3.5%</f>
        <v/>
      </c>
      <c r="P36" s="43" t="n"/>
      <c r="Q36" s="1070" t="n"/>
      <c r="R36" s="25">
        <f>(R$13*1%)*3.5%</f>
        <v/>
      </c>
      <c r="S36" s="43" t="n"/>
      <c r="T36" s="1070" t="n"/>
      <c r="U36" s="25">
        <f>(U$13*1%)*3.5%</f>
        <v/>
      </c>
      <c r="V36" s="43" t="n"/>
      <c r="W36" s="1070" t="n"/>
      <c r="X36" s="25">
        <f>(X$13*1%)*3.5%</f>
        <v/>
      </c>
      <c r="Y36" s="43" t="n"/>
      <c r="Z36" s="1123" t="n"/>
      <c r="AA36" s="25">
        <f>(AA$13*1%)*3.5%</f>
        <v/>
      </c>
      <c r="AB36" s="43" t="n"/>
      <c r="AC36" s="1123" t="n"/>
      <c r="AD36" s="25">
        <f>(AD$13*1%)*3.5%</f>
        <v/>
      </c>
      <c r="AE36" s="43" t="n"/>
      <c r="AF36" s="1070" t="n"/>
      <c r="AG36" s="25">
        <f>(AG$13*1%)*3.5%</f>
        <v/>
      </c>
      <c r="AH36" s="43" t="n"/>
      <c r="AI36" s="1070" t="n"/>
      <c r="AJ36" s="25">
        <f>(AJ$13*1%)*3.5%</f>
        <v/>
      </c>
      <c r="AK36" s="43" t="n"/>
      <c r="AL36" s="1070" t="n"/>
      <c r="AM36" s="25">
        <f>C36+F36+I36+L36+O36+R36+U36+X36+AA36+AD36+AG36+AJ36</f>
        <v/>
      </c>
      <c r="AN36" s="43" t="n"/>
      <c r="AO36" s="1071" t="n"/>
    </row>
    <row r="37" outlineLevel="1" ht="15" customHeight="1" s="1016">
      <c r="B37" s="105" t="inlineStr">
        <is>
          <t>2% Juzgado de Familia</t>
        </is>
      </c>
      <c r="C37" s="25">
        <f>C$13*2%</f>
        <v/>
      </c>
      <c r="D37" s="43" t="n"/>
      <c r="E37" s="1070" t="n"/>
      <c r="F37" s="25">
        <f>F$13*2%</f>
        <v/>
      </c>
      <c r="G37" s="43" t="n"/>
      <c r="H37" s="1070" t="n"/>
      <c r="I37" s="25">
        <f>I$13*2%</f>
        <v/>
      </c>
      <c r="J37" s="43" t="n"/>
      <c r="K37" s="1070" t="n"/>
      <c r="L37" s="25">
        <f>L$13*2%</f>
        <v/>
      </c>
      <c r="M37" s="43" t="n"/>
      <c r="N37" s="1070" t="n"/>
      <c r="O37" s="25">
        <f>O$13*2%</f>
        <v/>
      </c>
      <c r="P37" s="43" t="n"/>
      <c r="Q37" s="1070" t="n"/>
      <c r="R37" s="25">
        <f>R$13*2%</f>
        <v/>
      </c>
      <c r="S37" s="43" t="n"/>
      <c r="T37" s="1070" t="n"/>
      <c r="U37" s="25">
        <f>U$13*2%</f>
        <v/>
      </c>
      <c r="V37" s="43" t="n"/>
      <c r="W37" s="1070" t="n"/>
      <c r="X37" s="25">
        <f>X$13*2%</f>
        <v/>
      </c>
      <c r="Y37" s="43" t="n"/>
      <c r="Z37" s="1070" t="n"/>
      <c r="AA37" s="25">
        <f>AA$13*2%</f>
        <v/>
      </c>
      <c r="AB37" s="43" t="n"/>
      <c r="AC37" s="1070" t="n"/>
      <c r="AD37" s="25">
        <f>AD$13*2%</f>
        <v/>
      </c>
      <c r="AE37" s="43" t="n"/>
      <c r="AF37" s="1070" t="n"/>
      <c r="AG37" s="25">
        <f>AG$13*2%</f>
        <v/>
      </c>
      <c r="AH37" s="43" t="n"/>
      <c r="AI37" s="1070" t="n"/>
      <c r="AJ37" s="25">
        <f>AJ$13*2%</f>
        <v/>
      </c>
      <c r="AK37" s="43" t="n"/>
      <c r="AL37" s="1070" t="n"/>
      <c r="AM37" s="205">
        <f>C37+F37+I37+L37+O37+R37+U37+X37+AA37+AD37+AG37+AJ37</f>
        <v/>
      </c>
      <c r="AN37" s="43" t="n"/>
      <c r="AO37" s="1071" t="n"/>
    </row>
    <row r="38" outlineLevel="1" ht="15" customHeight="1" s="1016">
      <c r="B38" s="30" t="inlineStr">
        <is>
          <t>0,5% Impuesto de Timbre</t>
        </is>
      </c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>
        <f>C38+F38+I38+L38+O38+R38+U38+X38+AA38+AD38+AG38+AJ38</f>
        <v/>
      </c>
      <c r="AN38" s="42" t="n"/>
      <c r="AO38" s="1083" t="n"/>
    </row>
    <row r="39" hidden="1" outlineLevel="1" ht="10.2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</row>
    <row r="40" hidden="1" outlineLevel="1" ht="10.2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</row>
    <row r="41" hidden="1" outlineLevel="1" ht="10.2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1090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1124" t="n"/>
      <c r="D43" s="1124" t="n"/>
      <c r="E43" s="1215">
        <f>(C46+C61)/C13</f>
        <v/>
      </c>
      <c r="F43" s="1048" t="n"/>
      <c r="G43" s="698" t="n"/>
      <c r="H43" s="1216">
        <f>(F46+F61)/F13</f>
        <v/>
      </c>
      <c r="I43" s="703" t="n"/>
      <c r="J43" s="703" t="n"/>
      <c r="K43" s="1126">
        <f>(I46+I61)/I13</f>
        <v/>
      </c>
      <c r="L43" s="703" t="n"/>
      <c r="M43" s="703" t="n"/>
      <c r="N43" s="1126">
        <f>(L46+L61)/L13</f>
        <v/>
      </c>
      <c r="O43" s="703" t="n"/>
      <c r="P43" s="703" t="n"/>
      <c r="Q43" s="1126">
        <f>(O46+O61)/O13</f>
        <v/>
      </c>
      <c r="R43" s="703" t="n"/>
      <c r="S43" s="703" t="n"/>
      <c r="T43" s="1126">
        <f>(R46+R61)/R13</f>
        <v/>
      </c>
      <c r="U43" s="703" t="n"/>
      <c r="V43" s="703" t="n"/>
      <c r="W43" s="1126">
        <f>(U46+U61)/U13</f>
        <v/>
      </c>
      <c r="X43" s="703" t="n"/>
      <c r="Y43" s="703" t="n"/>
      <c r="Z43" s="1126">
        <f>(X46+X61)/X13</f>
        <v/>
      </c>
      <c r="AA43" s="703" t="n"/>
      <c r="AB43" s="703" t="n"/>
      <c r="AC43" s="1126">
        <f>(AA46+AA61)/AA13</f>
        <v/>
      </c>
      <c r="AD43" s="703" t="n"/>
      <c r="AE43" s="703" t="n"/>
      <c r="AF43" s="1126">
        <f>(AD46+AD61)/AD13</f>
        <v/>
      </c>
      <c r="AG43" s="703" t="n"/>
      <c r="AH43" s="703" t="n"/>
      <c r="AI43" s="1126">
        <f>(AG46+AG61)/AG13</f>
        <v/>
      </c>
      <c r="AJ43" s="703" t="n"/>
      <c r="AK43" s="703" t="n"/>
      <c r="AL43" s="703" t="n"/>
      <c r="AM43" s="704" t="n"/>
      <c r="AN43" s="703" t="n"/>
      <c r="AO43" s="1216">
        <f>(AM46+AM61)/AM13</f>
        <v/>
      </c>
      <c r="AP43" s="698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40">
        <f>+I45+I60+I78</f>
        <v/>
      </c>
      <c r="J44" s="441" t="n"/>
      <c r="K44" s="1128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5" t="n"/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90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3" t="n"/>
      <c r="AC45" s="1078">
        <f>AA45/AA13</f>
        <v/>
      </c>
      <c r="AD45" s="90">
        <f>+AD46+AD57</f>
        <v/>
      </c>
      <c r="AE45" s="3" t="n"/>
      <c r="AF45" s="1078">
        <f>AD45/AD13</f>
        <v/>
      </c>
      <c r="AG45" s="90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AM45/AM$13</f>
        <v/>
      </c>
    </row>
    <row r="46" ht="15" customHeight="1" s="1016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>
        <f>AA46/AA13</f>
        <v/>
      </c>
      <c r="AD46" s="37">
        <f>SUM(AD47:AD56)</f>
        <v/>
      </c>
      <c r="AE46" s="67" t="n"/>
      <c r="AF46" s="1096">
        <f>AD46/AD13</f>
        <v/>
      </c>
      <c r="AG46" s="37">
        <f>SUM(AG47:AG56)</f>
        <v/>
      </c>
      <c r="AH46" s="67" t="n"/>
      <c r="AI46" s="1096">
        <f>AG46/AG13</f>
        <v/>
      </c>
      <c r="AJ46" s="37">
        <f>SUM(AJ47:AJ56)</f>
        <v/>
      </c>
      <c r="AK46" s="67" t="n"/>
      <c r="AL46" s="1096" t="n"/>
      <c r="AM46" s="211">
        <f>C46+F46+I46+L46+O46+R46+U46+X46+AA46+AD46+AG46+AJ46</f>
        <v/>
      </c>
      <c r="AN46" s="67" t="n"/>
      <c r="AO46" s="1097">
        <f>AM46/AM13</f>
        <v/>
      </c>
    </row>
    <row r="47" ht="15" customHeight="1" s="1016">
      <c r="B47" s="258" t="inlineStr">
        <is>
          <t>COMPLEMENTO INDUSTRIALIZADO (Ins)</t>
        </is>
      </c>
      <c r="C47" s="76">
        <f>'[44]Hoja 1'!$D$35</f>
        <v/>
      </c>
      <c r="D47" s="42" t="n"/>
      <c r="E47" s="1082" t="n"/>
      <c r="F47" s="76">
        <f>'[45]Hoja 1'!$D$40</f>
        <v/>
      </c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1082" t="n"/>
      <c r="AM47" s="97">
        <f>C47+F47+I47+L47+O47+R47+U47+X47+AA47+AD47+AG47+AJ47</f>
        <v/>
      </c>
      <c r="AN47" s="42" t="n"/>
      <c r="AO47" s="1082" t="n"/>
    </row>
    <row r="48" ht="15" customHeight="1" s="1016">
      <c r="B48" s="258" t="n"/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0" t="n"/>
    </row>
    <row r="49" ht="15" customHeight="1" s="1016">
      <c r="B49" s="258" t="inlineStr">
        <is>
          <t>NOVEDADES</t>
        </is>
      </c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5">
        <f>C49+F49+I49+L49+O49+R49+U49+X49+AA49+AD49+AG49+AJ49</f>
        <v/>
      </c>
      <c r="AN49" s="43" t="n"/>
      <c r="AO49" s="1071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5">
        <f>C50+F50+I50+L50+O50+R50+U50+X50+AA50+AD50+AG50+AJ50</f>
        <v/>
      </c>
      <c r="AN50" s="43" t="n"/>
      <c r="AO50" s="1071" t="n"/>
    </row>
    <row r="51" ht="14.4" customHeight="1" s="1016">
      <c r="B51" s="258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1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5">
        <f>C51+F51+I51+L51+O51+R51+U51+X51+AA51+AD51+AG51+AJ51</f>
        <v/>
      </c>
      <c r="AN51" s="43" t="n"/>
      <c r="AO51" s="1071" t="n"/>
    </row>
    <row r="52" hidden="1" ht="10.2" customHeight="1" s="1016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5">
        <f>C52+F52+I52+L52+O52+R52+U52+X52+AA52+AD52+AG52+AJ52</f>
        <v/>
      </c>
      <c r="AN52" s="43" t="n"/>
      <c r="AO52" s="1071" t="n"/>
    </row>
    <row r="53" hidden="1" ht="10.2" customHeight="1" s="1016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5">
        <f>C53+F53+I53+L53+O53+R53+U53+X53+AA53+AD53+AG53+AJ53</f>
        <v/>
      </c>
      <c r="AN53" s="43" t="n"/>
      <c r="AO53" s="1071" t="n"/>
    </row>
    <row r="54" hidden="1" ht="10.2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5">
        <f>C54+F54+I54+L54+O54+R54+U54+X54+AA54+AD54+AG54+AJ54</f>
        <v/>
      </c>
      <c r="AN54" s="43" t="n"/>
      <c r="AO54" s="1071" t="n"/>
    </row>
    <row r="55" hidden="1" ht="10.2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5">
        <f>C55+F55+I55+L55+O55+R55+U55+X55+AA55+AD55+AG55+AJ55</f>
        <v/>
      </c>
      <c r="AN55" s="43" t="n"/>
      <c r="AO55" s="1071" t="n"/>
    </row>
    <row r="56" hidden="1" ht="10.2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 t="n"/>
      <c r="AN56" s="42" t="n"/>
      <c r="AO56" s="1083" t="n"/>
    </row>
    <row r="57" hidden="1" ht="10.2" customHeight="1" s="1016">
      <c r="B57" s="36" t="inlineStr">
        <is>
          <t>FLETES CI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>
        <f>L57/L12</f>
        <v/>
      </c>
      <c r="N57" s="1074">
        <f>L57/L13</f>
        <v/>
      </c>
      <c r="O57" s="46">
        <f>SUM(O58:O59)</f>
        <v/>
      </c>
      <c r="P57" s="47">
        <f>O57/O12</f>
        <v/>
      </c>
      <c r="Q57" s="1074">
        <f>O57/O13</f>
        <v/>
      </c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47">
        <f>AG57/AG12</f>
        <v/>
      </c>
      <c r="AI57" s="1074">
        <f>AG57/AG13</f>
        <v/>
      </c>
      <c r="AJ57" s="46">
        <f>SUM(AJ58:AJ59)</f>
        <v/>
      </c>
      <c r="AK57" s="47" t="n"/>
      <c r="AL57" s="1074" t="n"/>
      <c r="AM57" s="207">
        <f>C57+F57+I57+L57+O57+R57+U57+X57+AA57+AD57+AG57+AJ57</f>
        <v/>
      </c>
      <c r="AN57" s="47">
        <f>AM57/AM12</f>
        <v/>
      </c>
      <c r="AO57" s="1074">
        <f>AM57/AM13</f>
        <v/>
      </c>
    </row>
    <row r="58" hidden="1" ht="10.2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1136" t="n"/>
      <c r="AM58" s="413">
        <f>C58+F58+I58+L58+O58+R58+U58+X58+AA58+AD58+AG58+AJ58</f>
        <v/>
      </c>
      <c r="AN58" s="305" t="n"/>
      <c r="AO58" s="1137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>
        <f>F59/F12</f>
        <v/>
      </c>
      <c r="H59" s="1072">
        <f>F59/F13</f>
        <v/>
      </c>
      <c r="I59" s="83" t="n"/>
      <c r="J59" s="84">
        <f>I59/I12</f>
        <v/>
      </c>
      <c r="K59" s="1072">
        <f>I59/I13</f>
        <v/>
      </c>
      <c r="L59" s="83" t="n"/>
      <c r="M59" s="84">
        <f>L59/L12</f>
        <v/>
      </c>
      <c r="N59" s="1072">
        <f>L59/L13</f>
        <v/>
      </c>
      <c r="O59" s="83" t="n"/>
      <c r="P59" s="84">
        <f>O59/O12</f>
        <v/>
      </c>
      <c r="Q59" s="1072">
        <f>O59/O13</f>
        <v/>
      </c>
      <c r="R59" s="83" t="n"/>
      <c r="S59" s="84">
        <f>R59/R12</f>
        <v/>
      </c>
      <c r="T59" s="1072">
        <f>R59/R13</f>
        <v/>
      </c>
      <c r="U59" s="83" t="n"/>
      <c r="V59" s="84">
        <f>U59/U12</f>
        <v/>
      </c>
      <c r="W59" s="1072">
        <f>U59/U13</f>
        <v/>
      </c>
      <c r="X59" s="83" t="n"/>
      <c r="Y59" s="84">
        <f>X59/X12</f>
        <v/>
      </c>
      <c r="Z59" s="1072">
        <f>X59/X13</f>
        <v/>
      </c>
      <c r="AA59" s="83" t="n"/>
      <c r="AB59" s="84">
        <f>AA59/AA12</f>
        <v/>
      </c>
      <c r="AC59" s="1072">
        <f>AA59/AA13</f>
        <v/>
      </c>
      <c r="AD59" s="83" t="n"/>
      <c r="AE59" s="84">
        <f>AD59/AD12</f>
        <v/>
      </c>
      <c r="AF59" s="1072">
        <f>AD59/AD13</f>
        <v/>
      </c>
      <c r="AG59" s="83" t="n"/>
      <c r="AH59" s="84">
        <f>AG59/AG12</f>
        <v/>
      </c>
      <c r="AI59" s="1072">
        <f>AG59/AG13</f>
        <v/>
      </c>
      <c r="AJ59" s="83" t="n"/>
      <c r="AK59" s="84" t="n"/>
      <c r="AL59" s="1072" t="n"/>
      <c r="AM59" s="206">
        <f>C59+F59+I59+L59+O59+R59+U59+X59+AA59+AD59+AG59+AJ59</f>
        <v/>
      </c>
      <c r="AN59" s="84" t="n"/>
      <c r="AO59" s="1139" t="n"/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3" t="n"/>
      <c r="E60" s="1074" t="n"/>
      <c r="F60" s="49">
        <f>+F61+F72+F75+F76+F77</f>
        <v/>
      </c>
      <c r="G60" s="3" t="n"/>
      <c r="H60" s="1074">
        <f>F60/F13</f>
        <v/>
      </c>
      <c r="I60" s="49">
        <f>+I61+I72+I75+I76+I77</f>
        <v/>
      </c>
      <c r="J60" s="3" t="n"/>
      <c r="K60" s="1074">
        <f>I60/I13</f>
        <v/>
      </c>
      <c r="L60" s="49">
        <f>+L61+L72+L75+L76+L77</f>
        <v/>
      </c>
      <c r="M60" s="3" t="n"/>
      <c r="N60" s="1074">
        <f>L60/L13</f>
        <v/>
      </c>
      <c r="O60" s="49">
        <f>+O61+O72+O75+O76+O77</f>
        <v/>
      </c>
      <c r="P60" s="3" t="n"/>
      <c r="Q60" s="1074">
        <f>O60/O13</f>
        <v/>
      </c>
      <c r="R60" s="90">
        <f>+R61+R72+R75+R76+R77</f>
        <v/>
      </c>
      <c r="S60" s="3" t="n"/>
      <c r="T60" s="1074">
        <f>R60/R13</f>
        <v/>
      </c>
      <c r="U60" s="90">
        <f>+U61+U72+U75+U76+U77</f>
        <v/>
      </c>
      <c r="V60" s="3" t="n"/>
      <c r="W60" s="1074">
        <f>U60/U13</f>
        <v/>
      </c>
      <c r="X60" s="49">
        <f>+X61+X72+X75+X76+X77</f>
        <v/>
      </c>
      <c r="Y60" s="3" t="n"/>
      <c r="Z60" s="1074" t="n"/>
      <c r="AA60" s="90">
        <f>+AA61+AA72+AA75+AA76+AA77</f>
        <v/>
      </c>
      <c r="AB60" s="3" t="n"/>
      <c r="AC60" s="1074">
        <f>AA60/AA13</f>
        <v/>
      </c>
      <c r="AD60" s="90">
        <f>+AD61+AD72+AD75+AD76+AD77</f>
        <v/>
      </c>
      <c r="AE60" s="3" t="n"/>
      <c r="AF60" s="1074">
        <f>AD60/AD13</f>
        <v/>
      </c>
      <c r="AG60" s="90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 t="n"/>
      <c r="AO60" s="1074" t="n"/>
    </row>
    <row r="61" ht="15" customHeight="1" s="1016">
      <c r="B61" s="36" t="inlineStr">
        <is>
          <t>INSUMOS CP</t>
        </is>
      </c>
      <c r="C61" s="37">
        <f>SUM(C62:C71)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 t="n"/>
      <c r="Q61" s="1096" t="n"/>
      <c r="R61" s="37">
        <f>SUM(R62:R71)</f>
        <v/>
      </c>
      <c r="S61" s="67" t="n"/>
      <c r="T61" s="1096" t="n"/>
      <c r="U61" s="37">
        <f>SUM(U62:U71)</f>
        <v/>
      </c>
      <c r="V61" s="67" t="n"/>
      <c r="W61" s="1096" t="n"/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>
        <f>AA61/AA13</f>
        <v/>
      </c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1">
        <f>C61+F61+I61+L61+O61+R61+U61+X61+AA61+AD61+AG61+AJ61</f>
        <v/>
      </c>
      <c r="AN61" s="67" t="n"/>
      <c r="AO61" s="1097" t="n"/>
    </row>
    <row r="62" ht="15" customHeight="1" s="1016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080">
        <f>C62/C17</f>
        <v/>
      </c>
      <c r="F62" s="78">
        <f>'[45]Hoja 1'!$D$39</f>
        <v/>
      </c>
      <c r="G62" s="79">
        <f>F62/F6</f>
        <v/>
      </c>
      <c r="H62" s="1080">
        <f>F62/F17</f>
        <v/>
      </c>
      <c r="I62" s="78" t="n"/>
      <c r="J62" s="79">
        <f>I62/I6</f>
        <v/>
      </c>
      <c r="K62" s="1080">
        <f>I62/I17</f>
        <v/>
      </c>
      <c r="L62" s="78" t="n"/>
      <c r="M62" s="79">
        <f>L62/L6</f>
        <v/>
      </c>
      <c r="N62" s="1080">
        <f>L62/L17</f>
        <v/>
      </c>
      <c r="O62" s="78" t="n"/>
      <c r="P62" s="79">
        <f>O62/O6</f>
        <v/>
      </c>
      <c r="Q62" s="1080">
        <f>O62/O17</f>
        <v/>
      </c>
      <c r="R62" s="78" t="n"/>
      <c r="S62" s="79">
        <f>R62/R6</f>
        <v/>
      </c>
      <c r="T62" s="1080">
        <f>R62/R17</f>
        <v/>
      </c>
      <c r="U62" s="78" t="n"/>
      <c r="V62" s="79">
        <f>U62/U6</f>
        <v/>
      </c>
      <c r="W62" s="1080">
        <f>U62/U17</f>
        <v/>
      </c>
      <c r="X62" s="78" t="n"/>
      <c r="Y62" s="79">
        <f>X62/X6</f>
        <v/>
      </c>
      <c r="Z62" s="1080">
        <f>X62/X17</f>
        <v/>
      </c>
      <c r="AA62" s="78" t="n"/>
      <c r="AB62" s="79">
        <f>AA62/AA6</f>
        <v/>
      </c>
      <c r="AC62" s="1080">
        <f>AA62/AA17</f>
        <v/>
      </c>
      <c r="AD62" s="78" t="n"/>
      <c r="AE62" s="79">
        <f>AD62/AD6</f>
        <v/>
      </c>
      <c r="AF62" s="1080">
        <f>AD62/AD17</f>
        <v/>
      </c>
      <c r="AG62" s="78" t="n"/>
      <c r="AH62" s="79">
        <f>AG62/AG6</f>
        <v/>
      </c>
      <c r="AI62" s="1080">
        <f>AG62/AG17</f>
        <v/>
      </c>
      <c r="AJ62" s="78" t="n"/>
      <c r="AK62" s="79" t="n"/>
      <c r="AL62" s="1080" t="n"/>
      <c r="AM62" s="212">
        <f>C62+F62+I62+L62+O62+R62+U62+X62+AA62+AD62+AG62+AJ62</f>
        <v/>
      </c>
      <c r="AN62" s="79">
        <f>AM62/AM6</f>
        <v/>
      </c>
      <c r="AO62" s="1080">
        <f>AM62/AM17</f>
        <v/>
      </c>
    </row>
    <row r="63" ht="15" customHeight="1" s="1016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70">
        <f>C63/C18</f>
        <v/>
      </c>
      <c r="F63" s="25">
        <f>'[45]Hoja 1'!$D$41</f>
        <v/>
      </c>
      <c r="G63" s="43">
        <f>F63/F7</f>
        <v/>
      </c>
      <c r="H63" s="1070">
        <f>F63/F18</f>
        <v/>
      </c>
      <c r="I63" s="25" t="n"/>
      <c r="J63" s="43">
        <f>I63/I7</f>
        <v/>
      </c>
      <c r="K63" s="1070">
        <f>I63/I18</f>
        <v/>
      </c>
      <c r="L63" s="25" t="n"/>
      <c r="M63" s="43">
        <f>L63/L7</f>
        <v/>
      </c>
      <c r="N63" s="1070">
        <f>L63/L18</f>
        <v/>
      </c>
      <c r="O63" s="25" t="n"/>
      <c r="P63" s="43">
        <f>O63/O7</f>
        <v/>
      </c>
      <c r="Q63" s="1070">
        <f>O63/O18</f>
        <v/>
      </c>
      <c r="R63" s="25" t="n"/>
      <c r="S63" s="43">
        <f>R63/R7</f>
        <v/>
      </c>
      <c r="T63" s="1070">
        <f>R63/R18</f>
        <v/>
      </c>
      <c r="U63" s="25" t="n"/>
      <c r="V63" s="43">
        <f>U63/U7</f>
        <v/>
      </c>
      <c r="W63" s="1070">
        <f>U63/U18</f>
        <v/>
      </c>
      <c r="X63" s="25" t="n"/>
      <c r="Y63" s="43">
        <f>X63/X7</f>
        <v/>
      </c>
      <c r="Z63" s="1070">
        <f>X63/X18</f>
        <v/>
      </c>
      <c r="AA63" s="25" t="n"/>
      <c r="AB63" s="43">
        <f>AA63/AA7</f>
        <v/>
      </c>
      <c r="AC63" s="1070">
        <f>AA63/AA18</f>
        <v/>
      </c>
      <c r="AD63" s="25" t="n"/>
      <c r="AE63" s="43">
        <f>AD63/AD7</f>
        <v/>
      </c>
      <c r="AF63" s="1070">
        <f>AD63/AD18</f>
        <v/>
      </c>
      <c r="AG63" s="25" t="n"/>
      <c r="AH63" s="43">
        <f>AG63/AG7</f>
        <v/>
      </c>
      <c r="AI63" s="1070">
        <f>AG63/AG18</f>
        <v/>
      </c>
      <c r="AJ63" s="25" t="n"/>
      <c r="AK63" s="43" t="n"/>
      <c r="AL63" s="1070" t="n"/>
      <c r="AM63" s="205">
        <f>C63+F63+I63+L63+O63+R63+U63+X63+AA63+AD63+AG63+AJ63</f>
        <v/>
      </c>
      <c r="AN63" s="43">
        <f>AM63/AM7</f>
        <v/>
      </c>
      <c r="AO63" s="1070">
        <f>AM63/AM18</f>
        <v/>
      </c>
    </row>
    <row r="64" ht="15" customHeight="1" s="1016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5">
        <f>C64+F64+I64+L64+O64+R64+U64+X64+AA64+AD64+AG64+AJ64</f>
        <v/>
      </c>
      <c r="AN64" s="43" t="n"/>
      <c r="AO64" s="1071" t="n"/>
    </row>
    <row r="65" ht="15" customHeight="1" s="1016">
      <c r="B65" s="258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5">
        <f>C65+F65+I65+L65+O65+R65+U65+X65+AA65+AD65+AG65+AJ65</f>
        <v/>
      </c>
      <c r="AN65" s="43" t="n"/>
      <c r="AO65" s="1071" t="n"/>
    </row>
    <row r="66" ht="15" customFormat="1" customHeight="1" s="108">
      <c r="A66" s="229" t="n"/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5">
        <f>C66+F66+I66+L66+O66+R66+U66+X66+AA66+AD66+AG66+AJ66</f>
        <v/>
      </c>
      <c r="AN66" s="43" t="n"/>
      <c r="AO66" s="1071" t="n"/>
    </row>
    <row r="67" hidden="1" ht="10.2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5" t="n"/>
      <c r="AN67" s="43" t="n"/>
      <c r="AO67" s="1071" t="n"/>
    </row>
    <row r="68" hidden="1" ht="10.2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5" t="n"/>
      <c r="AN68" s="43" t="n"/>
      <c r="AO68" s="1071" t="n"/>
    </row>
    <row r="69" hidden="1" ht="10.2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5" t="n"/>
      <c r="AN69" s="43" t="n"/>
      <c r="AO69" s="1071" t="n"/>
    </row>
    <row r="70" hidden="1" ht="10.2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5" t="n"/>
      <c r="AN70" s="43" t="n"/>
      <c r="AO70" s="1071" t="n"/>
    </row>
    <row r="71" hidden="1" ht="10.2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6">
        <f>C71+F71+I71+L71+O71+R71+U71+X71+AA71+AD71+AG71+AJ71</f>
        <v/>
      </c>
      <c r="AN71" s="84" t="n"/>
      <c r="AO71" s="1073" t="n"/>
    </row>
    <row r="72" ht="15" customHeight="1" s="1016">
      <c r="B72" s="36" t="inlineStr">
        <is>
          <t>FLETES CP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1096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VEHICULOS'!C25*'%DIST'!B23</f>
        <v/>
      </c>
      <c r="D73" s="79" t="n"/>
      <c r="E73" s="1080" t="n"/>
      <c r="F73" s="304">
        <f>'GASTOS VEHICULOS'!D25*'%DIST'!D23</f>
        <v/>
      </c>
      <c r="G73" s="305" t="n"/>
      <c r="H73" s="1136" t="n"/>
      <c r="I73" s="304">
        <f>'GASTOS VEHICULOS'!E25*'%DIST'!F23</f>
        <v/>
      </c>
      <c r="J73" s="305" t="n"/>
      <c r="K73" s="1136" t="n"/>
      <c r="L73" s="304">
        <f>'GASTOS VEHICULOS'!F25*'%DIST'!H23</f>
        <v/>
      </c>
      <c r="M73" s="305" t="n"/>
      <c r="N73" s="1136" t="n"/>
      <c r="O73" s="78">
        <f>'GASTOS VEHICULOS'!G25*'%DIST'!J23</f>
        <v/>
      </c>
      <c r="P73" s="305" t="n"/>
      <c r="Q73" s="1136" t="n"/>
      <c r="R73" s="304">
        <f>'GASTOS VEHICULOS'!H25*'%DIST'!L23</f>
        <v/>
      </c>
      <c r="S73" s="305" t="n"/>
      <c r="T73" s="1136" t="n"/>
      <c r="U73" s="304">
        <f>'GASTOS VEHICULOS'!I25*'%DIST'!N23</f>
        <v/>
      </c>
      <c r="V73" s="305" t="n"/>
      <c r="W73" s="1136" t="n"/>
      <c r="X73" s="78">
        <f>'GASTOS VEHICULOS'!J25*'%DIST'!P23</f>
        <v/>
      </c>
      <c r="Y73" s="305" t="n"/>
      <c r="Z73" s="1136" t="n"/>
      <c r="AA73" s="304">
        <f>'GASTOS VEHICULOS'!K25*'%DIST'!R23</f>
        <v/>
      </c>
      <c r="AB73" s="305" t="n"/>
      <c r="AC73" s="1136" t="n"/>
      <c r="AD73" s="304">
        <f>'GASTOS VEHICULOS'!L25*'%DIST'!T23</f>
        <v/>
      </c>
      <c r="AE73" s="305" t="n"/>
      <c r="AF73" s="1136" t="n"/>
      <c r="AG73" s="304">
        <f>'GASTOS VEHICULOS'!M25*'%DIST'!V23</f>
        <v/>
      </c>
      <c r="AH73" s="305" t="n"/>
      <c r="AI73" s="1136" t="n"/>
      <c r="AJ73" s="304" t="n"/>
      <c r="AK73" s="305" t="n"/>
      <c r="AL73" s="1136" t="n"/>
      <c r="AM73" s="413">
        <f>C73+F73+I73+L73+O73+R73+U73+X73+AA73+AD73+AG73+AJ73</f>
        <v/>
      </c>
      <c r="AN73" s="305" t="n"/>
      <c r="AO73" s="1142" t="n"/>
    </row>
    <row r="74" ht="15" customHeight="1" s="1016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'[28]Hoja 1'!$C$105</f>
        <v/>
      </c>
      <c r="D74" s="134" t="n"/>
      <c r="E74" s="1143" t="n"/>
      <c r="F74" s="83">
        <f>'[8]Hoja 1'!$C$471+'[12]Hoja 1'!$C$218</f>
        <v/>
      </c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6">
        <f>C74+F74+I74+L74+O74+R74+U74+X74+AA74+AD74+AG74+AJ74</f>
        <v/>
      </c>
      <c r="AN74" s="84" t="n"/>
      <c r="AO74" s="1072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1">
        <f>C75+F75+I75+L75+O75+R75+U75+X75+AA75+AD75+AG75+AJ75</f>
        <v/>
      </c>
      <c r="AN75" s="67" t="n"/>
      <c r="AO75" s="1097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'[1]Hoja 1'!$C$453+'[28]Hoja 1'!$C$54</f>
        <v/>
      </c>
      <c r="D76" s="67" t="n"/>
      <c r="E76" s="1096" t="n"/>
      <c r="F76" s="37">
        <f>'[8]Hoja 1'!$C$428</f>
        <v/>
      </c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1">
        <f>C76+F76+I76+L76+O76+R76+U76+X76+AA76+AD76+AG76+AJ76</f>
        <v/>
      </c>
      <c r="AN76" s="67" t="n"/>
      <c r="AO76" s="1100">
        <f>AM76/$AM$13</f>
        <v/>
      </c>
    </row>
    <row r="77" ht="15" customHeight="1" s="1016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'[1]Hoja 1'!$C$498+'[28]Hoja 1'!$C$107</f>
        <v/>
      </c>
      <c r="D77" s="45" t="n"/>
      <c r="E77" s="1096" t="n"/>
      <c r="F77" s="28">
        <f>'[12]Hoja 1'!$C$220</f>
        <v/>
      </c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>
        <f>AM77/(AM6+AM7)</f>
        <v/>
      </c>
      <c r="AO77" s="1100">
        <f>AM77/$AM$13</f>
        <v/>
      </c>
    </row>
    <row r="78" ht="15" customHeight="1" s="1016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078">
        <f>C78/$C$13</f>
        <v/>
      </c>
      <c r="F78" s="93">
        <f>SUM(F79:F81)</f>
        <v/>
      </c>
      <c r="G78" s="3">
        <f>F78/F$12</f>
        <v/>
      </c>
      <c r="H78" s="1078">
        <f>F78/F13</f>
        <v/>
      </c>
      <c r="I78" s="93">
        <f>SUM(I79:I81)</f>
        <v/>
      </c>
      <c r="J78" s="3">
        <f>I78/I$12</f>
        <v/>
      </c>
      <c r="K78" s="1078">
        <f>I78/(I$13)</f>
        <v/>
      </c>
      <c r="L78" s="49">
        <f>SUM(L79:L81)</f>
        <v/>
      </c>
      <c r="M78" s="3">
        <f>L78/L$12</f>
        <v/>
      </c>
      <c r="N78" s="1078">
        <f>L78/(L$13)</f>
        <v/>
      </c>
      <c r="O78" s="49">
        <f>SUM(O79:O81)</f>
        <v/>
      </c>
      <c r="P78" s="3">
        <f>O78/O$12</f>
        <v/>
      </c>
      <c r="Q78" s="1078">
        <f>O78/(O$13)</f>
        <v/>
      </c>
      <c r="R78" s="90">
        <f>SUM(R79:R81)</f>
        <v/>
      </c>
      <c r="S78" s="3">
        <f>R78/R$12</f>
        <v/>
      </c>
      <c r="T78" s="1078">
        <f>R78/(R$13)</f>
        <v/>
      </c>
      <c r="U78" s="49">
        <f>SUM(U79:U81)</f>
        <v/>
      </c>
      <c r="V78" s="3">
        <f>U78/U$12</f>
        <v/>
      </c>
      <c r="W78" s="1078">
        <f>U78/(U$13)</f>
        <v/>
      </c>
      <c r="X78" s="49">
        <f>SUM(X79:X81)</f>
        <v/>
      </c>
      <c r="Y78" s="3">
        <f>X78/X$12</f>
        <v/>
      </c>
      <c r="Z78" s="1078">
        <f>X78/(X$13)</f>
        <v/>
      </c>
      <c r="AA78" s="49">
        <f>SUM(AA79:AA81)</f>
        <v/>
      </c>
      <c r="AB78" s="3">
        <f>AA78/AA$12</f>
        <v/>
      </c>
      <c r="AC78" s="1078">
        <f>AA78/(AA$13)</f>
        <v/>
      </c>
      <c r="AD78" s="49">
        <f>SUM(AD79:AD81)</f>
        <v/>
      </c>
      <c r="AE78" s="3">
        <f>AD78/AD$12</f>
        <v/>
      </c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1078" t="n"/>
      <c r="AM78" s="16">
        <f>C78+F78+I78+L78+O78+R78+U78+X78+AA78+AD78+AG78+AJ78</f>
        <v/>
      </c>
      <c r="AN78" s="3">
        <f>AM78/AM$12</f>
        <v/>
      </c>
      <c r="AO78" s="1101">
        <f>AM78/(AM$13)</f>
        <v/>
      </c>
    </row>
    <row r="79" ht="15" customHeight="1" s="1016">
      <c r="B79" s="473" t="inlineStr">
        <is>
          <t>Manipuladoras</t>
        </is>
      </c>
      <c r="C79" s="39">
        <f>'[53]Hoja 1'!$I$12+'[32]Hoja 1'!$I$26</f>
        <v/>
      </c>
      <c r="D79" s="267" t="n"/>
      <c r="E79" s="139" t="n"/>
      <c r="F79" s="39">
        <f>'[40]Hoja 1'!$I$20-16825149+'[41]Hoja 1'!$D$21+'[54]Hoja 1'!$C$23</f>
        <v/>
      </c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3" t="n"/>
      <c r="AH79" s="267" t="n"/>
      <c r="AI79" s="139" t="n"/>
      <c r="AJ79" s="7" t="n"/>
      <c r="AK79" s="69" t="n"/>
      <c r="AL79" s="1102" t="n"/>
      <c r="AM79" s="205">
        <f>C79+F79+I79+L79+O79+R79+U79+X79+AA79+AD79+AG79+AJ79</f>
        <v/>
      </c>
      <c r="AN79" s="4">
        <f>AM79/AM12</f>
        <v/>
      </c>
      <c r="AO79" s="1103">
        <f>AM79/(AM$13)</f>
        <v/>
      </c>
      <c r="AP79" s="696" t="n">
        <v>267.3668938193774</v>
      </c>
    </row>
    <row r="80" ht="15" customHeight="1" s="1016">
      <c r="B80" s="474" t="inlineStr">
        <is>
          <t>Personal Supervisor - Coordinadores</t>
        </is>
      </c>
      <c r="C80" s="25">
        <f>'[29]Hoja 1'!$D$21+'[53]Hoja 1'!$I$11+'[32]Hoja 1'!$I$24</f>
        <v/>
      </c>
      <c r="D80" s="43" t="n"/>
      <c r="E80" s="1070" t="n"/>
      <c r="F80" s="25">
        <f>'[36]Hoja 1'!$D$22+'[40]Hoja 1'!$I$19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1" t="n"/>
      <c r="AK80" s="43" t="n"/>
      <c r="AL80" s="1070" t="n"/>
      <c r="AM80" s="205">
        <f>C80+F80+I80+L80+O80+R80+U80+X80+AA80+AD80+AG80+AJ80</f>
        <v/>
      </c>
      <c r="AN80" s="43">
        <f>AM80/AM12</f>
        <v/>
      </c>
      <c r="AO80" s="1071">
        <f>AM80/(AM$13)</f>
        <v/>
      </c>
    </row>
    <row r="81" ht="15" customHeight="1" s="1016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'[1]Hoja 1'!$C$436+'[16]Hoja 1'!$D$27</f>
        <v/>
      </c>
      <c r="D81" s="214" t="n"/>
      <c r="E81" s="1104" t="n"/>
      <c r="F81" s="269">
        <f>'[8]Hoja 1'!$C$403+'[8]Hoja 1'!$C$410</f>
        <v/>
      </c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1104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 t="n"/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284" t="inlineStr">
        <is>
          <t>Costos Indirectos de Personal</t>
        </is>
      </c>
      <c r="C85" s="39">
        <f>'[29]Hoja 1'!$D$20+'[55]Hoja 1'!$D$9+'[53]Hoja 1'!$I$9+'[22]Hoja 1'!$D$15+'[32]Hoja 1'!$D$16+'[32]Hoja 1'!$I$22</f>
        <v/>
      </c>
      <c r="D85" s="69" t="n"/>
      <c r="E85" s="1102" t="n"/>
      <c r="F85" s="39">
        <f>'[36]Hoja 1'!$D$21+'[23]Hoja 1'!$D$18-228123+'[40]Hoja 1'!$I$17-1342558</f>
        <v/>
      </c>
      <c r="G85" s="69" t="n"/>
      <c r="H85" s="1102" t="n"/>
      <c r="I85" s="39" t="n"/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02" t="n"/>
      <c r="AM85" s="209">
        <f>C85+F85+I85+L85+O85+R85+U85+X85+AA85+AD85+AG85+AJ85</f>
        <v/>
      </c>
      <c r="AN85" s="69" t="n"/>
      <c r="AO85" s="1102">
        <f>AM85/(AM$13)</f>
        <v/>
      </c>
    </row>
    <row r="86" ht="15" customHeight="1" s="1016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70" t="n"/>
      <c r="F86" s="25">
        <f>'[12]Hoja 1'!$C$151+'[12]Hoja 1'!$C$193</f>
        <v/>
      </c>
      <c r="G86" s="43" t="n"/>
      <c r="H86" s="1070" t="n"/>
      <c r="I86" s="25" t="n"/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>
        <f>AM86/AM13</f>
        <v/>
      </c>
    </row>
    <row r="87" ht="15" customHeight="1" s="1016">
      <c r="B87" s="24" t="inlineStr">
        <is>
          <t>Gastos Medicos</t>
        </is>
      </c>
      <c r="C87" s="25">
        <f>'[1]Hoja 1'!$C$485+'[28]Hoja 1'!$C$88</f>
        <v/>
      </c>
      <c r="D87" s="43" t="n"/>
      <c r="E87" s="1070" t="n"/>
      <c r="F87" s="25">
        <f>'[8]Hoja 1'!$C$458</f>
        <v/>
      </c>
      <c r="G87" s="43" t="n"/>
      <c r="H87" s="1070" t="n"/>
      <c r="I87" s="25" t="n"/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>
        <f>AM87/(AM$13)</f>
        <v/>
      </c>
    </row>
    <row r="88" ht="15" customHeight="1" s="1016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43" t="n"/>
      <c r="F88" s="273">
        <f>'[12]Hoja 1'!$C$167</f>
        <v/>
      </c>
      <c r="G88" s="134" t="n"/>
      <c r="H88" s="1143" t="n"/>
      <c r="I88" s="273" t="n"/>
      <c r="J88" s="134" t="n"/>
      <c r="K88" s="1143" t="n"/>
      <c r="L88" s="273" t="n"/>
      <c r="M88" s="134" t="n"/>
      <c r="N88" s="1143" t="n"/>
      <c r="O88" s="273" t="n"/>
      <c r="P88" s="134" t="n"/>
      <c r="Q88" s="1143" t="n"/>
      <c r="R88" s="273" t="n"/>
      <c r="S88" s="134" t="n"/>
      <c r="T88" s="1143" t="n"/>
      <c r="U88" s="273" t="n"/>
      <c r="V88" s="134" t="n"/>
      <c r="W88" s="1143" t="n"/>
      <c r="X88" s="273" t="n"/>
      <c r="Y88" s="134" t="n"/>
      <c r="Z88" s="1143" t="n"/>
      <c r="AA88" s="273" t="n"/>
      <c r="AB88" s="134" t="n"/>
      <c r="AC88" s="1143" t="n"/>
      <c r="AD88" s="273" t="n"/>
      <c r="AE88" s="134" t="n"/>
      <c r="AF88" s="1143" t="n"/>
      <c r="AG88" s="273" t="n"/>
      <c r="AH88" s="134" t="n"/>
      <c r="AI88" s="1143" t="n"/>
      <c r="AJ88" s="273" t="n"/>
      <c r="AK88" s="134" t="n"/>
      <c r="AL88" s="1143" t="n"/>
      <c r="AM88" s="429">
        <f>C88+F88+I88+L88+O88+R88+U88+X88+AA88+AD88+AG88+AJ88</f>
        <v/>
      </c>
      <c r="AN88" s="134" t="n"/>
      <c r="AO88" s="1073" t="n"/>
    </row>
    <row r="89" ht="15" customHeight="1" s="1016">
      <c r="B89" s="16" t="inlineStr">
        <is>
          <t>HONORARIOS</t>
        </is>
      </c>
      <c r="C89" s="90">
        <f>SUM(C90:C91)</f>
        <v/>
      </c>
      <c r="D89" s="3" t="n"/>
      <c r="E89" s="1078">
        <f>C89/(C$13)</f>
        <v/>
      </c>
      <c r="F89" s="90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 t="n"/>
      <c r="AJ89" s="49">
        <f>SUM(AJ90:AJ91)</f>
        <v/>
      </c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Tecnica/Capacitacion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90">
        <f>SUM(C93:C95)</f>
        <v/>
      </c>
      <c r="D92" s="3" t="n"/>
      <c r="E92" s="1078">
        <f>C92/(C$13)</f>
        <v/>
      </c>
      <c r="F92" s="90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 t="n"/>
      <c r="AJ92" s="49">
        <f>SUM(AJ93:AJ95)</f>
        <v/>
      </c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>
        <f>'[1]Hoja 1'!$C$489</f>
        <v/>
      </c>
      <c r="D93" s="69" t="n"/>
      <c r="E93" s="1102" t="n"/>
      <c r="F93" s="39">
        <f>'[8]Hoja 1'!$C$462</f>
        <v/>
      </c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9">
        <f>C93+F93+I93+L93+O93+R93+U93+X93+AA93+AD93+AG93+AJ93</f>
        <v/>
      </c>
      <c r="AN93" s="69" t="n"/>
      <c r="AO93" s="1107" t="n"/>
      <c r="AP93" s="1217" t="n"/>
    </row>
    <row r="94" outlineLevel="1" ht="15" customHeight="1" s="1016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90">
        <f>SUM(C97:C98)</f>
        <v/>
      </c>
      <c r="D96" s="3" t="n"/>
      <c r="E96" s="1078">
        <f>C96/(C$13)</f>
        <v/>
      </c>
      <c r="F96" s="90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61">
        <f>'[47]Hoja 1'!$C$535+'[28]Hoja 1'!$C$92</f>
        <v/>
      </c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9">
        <f>C97+F97+I97+L97+O97+R97+U97+X97+AA97+AD97+AG97+AJ97</f>
        <v/>
      </c>
      <c r="AN97" s="69" t="n"/>
      <c r="AO97" s="1107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'[28]Hoja 1'!$C$94</f>
        <v/>
      </c>
      <c r="D98" s="276" t="n"/>
      <c r="E98" s="1109" t="n"/>
      <c r="F98" s="83" t="n"/>
      <c r="G98" s="84" t="n"/>
      <c r="H98" s="1072" t="n"/>
      <c r="I98" s="83" t="n"/>
      <c r="J98" s="84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1109" t="n"/>
      <c r="AM98" s="278">
        <f>C98+F98+I98+L98+O98+R98+U98+X98+AA98+AD98+AG98+AJ98</f>
        <v/>
      </c>
      <c r="AN98" s="276" t="n"/>
      <c r="AO98" s="111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49">
        <f>SUM(I100:I108)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  <c r="AP99" s="1218" t="n">
        <v>1.051</v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70" t="n"/>
      <c r="F103" s="25">
        <f>'[12]Hoja 1'!C209</f>
        <v/>
      </c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'[28]Hoja 1'!$C$97</f>
        <v/>
      </c>
      <c r="D104" s="43" t="n"/>
      <c r="E104" s="1070" t="n"/>
      <c r="F104" s="25">
        <f>'[12]Hoja 1'!C210</f>
        <v/>
      </c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'[1]Hoja 1'!$C$492+'[28]Hoja 1'!$C$99</f>
        <v/>
      </c>
      <c r="D105" s="43" t="n"/>
      <c r="E105" s="1070" t="n"/>
      <c r="F105" s="25">
        <f>'[8]Hoja 1'!$C$465+'[12]Hoja 1'!$C$212</f>
        <v/>
      </c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'[1]Hoja 1'!$C$494+'[28]Hoja 1'!$C$101</f>
        <v/>
      </c>
      <c r="D106" s="43" t="n"/>
      <c r="E106" s="1070" t="n"/>
      <c r="F106" s="25">
        <f>'[8]Hoja 1'!$C$467+'[12]Hoja 1'!$C$214</f>
        <v/>
      </c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'[1]Hoja 1'!$C$496</f>
        <v/>
      </c>
      <c r="D107" s="43" t="n"/>
      <c r="E107" s="1070" t="n"/>
      <c r="F107" s="25">
        <f>'[8]Hoja 1'!$C$469</f>
        <v/>
      </c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'[28]Hoja 1'!$C$103</f>
        <v/>
      </c>
      <c r="D108" s="42" t="n"/>
      <c r="E108" s="1082" t="n"/>
      <c r="F108" s="2">
        <f>'[12]Hoja 1'!$C$216</f>
        <v/>
      </c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90">
        <f>SUM(C110:C113)</f>
        <v/>
      </c>
      <c r="D109" s="3" t="n"/>
      <c r="E109" s="1078">
        <f>C109/(C$13)</f>
        <v/>
      </c>
      <c r="F109" s="90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 t="n"/>
      <c r="AJ109" s="49">
        <f>SUM(AJ110:AJ113)</f>
        <v/>
      </c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60">
        <f>'[47]Hoja 1'!$C$538</f>
        <v/>
      </c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1078">
        <f>F114/(F$13)</f>
        <v/>
      </c>
      <c r="I114" s="49">
        <f>SUM(I115:I119)</f>
        <v/>
      </c>
      <c r="J114" s="3" t="n"/>
      <c r="K114" s="1078">
        <f>I114/(I$13)</f>
        <v/>
      </c>
      <c r="L114" s="49">
        <f>SUM(L115:L119)</f>
        <v/>
      </c>
      <c r="M114" s="3" t="n"/>
      <c r="N114" s="1078">
        <f>L114/(L$13)</f>
        <v/>
      </c>
      <c r="O114" s="49">
        <f>SUM(O115:O119)</f>
        <v/>
      </c>
      <c r="P114" s="3" t="n"/>
      <c r="Q114" s="1078">
        <f>O114/(O$13)</f>
        <v/>
      </c>
      <c r="R114" s="90">
        <f>SUM(R115:R119)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SUM(X115:X119)</f>
        <v/>
      </c>
      <c r="Y114" s="3" t="n"/>
      <c r="Z114" s="1078">
        <f>X114/(X$13)</f>
        <v/>
      </c>
      <c r="AA114" s="49">
        <f>SUM(AA115:AA119)</f>
        <v/>
      </c>
      <c r="AB114" s="3" t="n"/>
      <c r="AC114" s="1078">
        <f>AA114/(AA$13)</f>
        <v/>
      </c>
      <c r="AD114" s="49">
        <f>SUM(AD115:AD119)</f>
        <v/>
      </c>
      <c r="AE114" s="3" t="n"/>
      <c r="AF114" s="1078">
        <f>AD114/(AD$13)</f>
        <v/>
      </c>
      <c r="AG114" s="49">
        <f>SUM(AG115:AG119)</f>
        <v/>
      </c>
      <c r="AH114" s="3" t="n"/>
      <c r="AI114" s="1078" t="n"/>
      <c r="AJ114" s="49">
        <f>SUM(AJ115:AJ119)</f>
        <v/>
      </c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1016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900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84" t="n"/>
      <c r="AK115" s="79" t="n"/>
      <c r="AL115" s="1102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'[28]Hoja 1'!$C$112</f>
        <v/>
      </c>
      <c r="D117" s="43" t="n"/>
      <c r="E117" s="1070" t="n"/>
      <c r="F117" s="25">
        <f>'[12]Hoja 1'!$C$223</f>
        <v/>
      </c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99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781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1078">
        <f>F120/(F$13)</f>
        <v/>
      </c>
      <c r="I120" s="49">
        <f>SUM(I121:I122)</f>
        <v/>
      </c>
      <c r="J120" s="3" t="n"/>
      <c r="K120" s="1078">
        <f>I120/(I$13)</f>
        <v/>
      </c>
      <c r="L120" s="49">
        <f>SUM(L121:L122)</f>
        <v/>
      </c>
      <c r="M120" s="3" t="n"/>
      <c r="N120" s="1078">
        <f>L120/(L$13)</f>
        <v/>
      </c>
      <c r="O120" s="49">
        <f>SUM(O121:O122)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SUM(AA121:AA122)</f>
        <v/>
      </c>
      <c r="AB120" s="3" t="n"/>
      <c r="AC120" s="1078">
        <f>AA120/(AA$13)</f>
        <v/>
      </c>
      <c r="AD120" s="49">
        <f>SUM(AD121:AD122)</f>
        <v/>
      </c>
      <c r="AE120" s="3" t="n"/>
      <c r="AF120" s="1078">
        <f>AD120/(AD$13)</f>
        <v/>
      </c>
      <c r="AG120" s="49">
        <f>SUM(AG121:AG122)</f>
        <v/>
      </c>
      <c r="AH120" s="3" t="n"/>
      <c r="AI120" s="1078" t="n"/>
      <c r="AJ120" s="49">
        <f>SUM(AJ121:AJ122)</f>
        <v/>
      </c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6">
        <f>C122+F122+I122+L122+O122+R122+U122+X122+AA122+AD122+AG122+AJ122</f>
        <v/>
      </c>
      <c r="AN122" s="84" t="n"/>
      <c r="AO122" s="1089" t="n"/>
    </row>
    <row r="123" ht="15" customHeight="1" s="1016">
      <c r="B123" s="16" t="inlineStr">
        <is>
          <t>GASTOS DE VIAJE</t>
        </is>
      </c>
      <c r="C123" s="90">
        <f>SUM(C124:C126)</f>
        <v/>
      </c>
      <c r="D123" s="3" t="n"/>
      <c r="E123" s="1078">
        <f>C123/(C$13)</f>
        <v/>
      </c>
      <c r="F123" s="90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>
        <f>SUM(AD124:AD126)</f>
        <v/>
      </c>
      <c r="AE123" s="3" t="n"/>
      <c r="AF123" s="1078">
        <f>AD123/(AD$13)</f>
        <v/>
      </c>
      <c r="AG123" s="49">
        <f>SUM(AG124:AG126)</f>
        <v/>
      </c>
      <c r="AH123" s="3" t="n"/>
      <c r="AI123" s="1078" t="n"/>
      <c r="AJ123" s="49">
        <f>SUM(AJ124:AJ126)</f>
        <v/>
      </c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90">
        <f>SUM(C128:C142)</f>
        <v/>
      </c>
      <c r="D127" s="3" t="n"/>
      <c r="E127" s="1078">
        <f>C127/(C$13)</f>
        <v/>
      </c>
      <c r="F127" s="90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 t="n"/>
      <c r="AJ127" s="49">
        <f>SUM(AJ128:AJ142)</f>
        <v/>
      </c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1016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'[1]Hoja 1'!$C$455+'[1]Hoja 1'!$C$510</f>
        <v/>
      </c>
      <c r="D128" s="69" t="n"/>
      <c r="E128" s="1102" t="n"/>
      <c r="F128" s="39">
        <f>'[12]Hoja 1'!$C$230</f>
        <v/>
      </c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3" t="n"/>
      <c r="AH128" s="69" t="n"/>
      <c r="AI128" s="1102" t="n"/>
      <c r="AJ128" s="39" t="n"/>
      <c r="AK128" s="69" t="n"/>
      <c r="AL128" s="1102" t="n"/>
      <c r="AM128" s="209">
        <f>C128+F128+I128+L128+O128+R128+U128+X128+AA128+AD128+AG128+AJ128</f>
        <v/>
      </c>
      <c r="AN128" s="42" t="n"/>
      <c r="AO128" s="1115">
        <f>AM128/AM13</f>
        <v/>
      </c>
    </row>
    <row r="129" outlineLevel="1" ht="15" customHeight="1" s="1016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70" t="n"/>
      <c r="F129" s="25">
        <f>'[8]Hoja 1'!$C$485+'[12]Hoja 1'!$C$233</f>
        <v/>
      </c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70" t="n"/>
      <c r="AJ129" s="25" t="n"/>
      <c r="AK129" s="43" t="n"/>
      <c r="AL129" s="1070" t="n"/>
      <c r="AM129" s="205">
        <f>C129+F129+I129+L129+O129+R129+U129+X129+AA129+AD129+AG129+AJ129</f>
        <v/>
      </c>
      <c r="AN129" s="92" t="n"/>
      <c r="AO129" s="1152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'[1]Hoja 1'!$C$451+'[1]Hoja 1'!$C$501</f>
        <v/>
      </c>
      <c r="D130" s="43" t="n"/>
      <c r="E130" s="1070" t="n"/>
      <c r="F130" s="25">
        <f>'[8]Hoja 1'!$C$426+'[8]Hoja 1'!$C$474+'[12]Hoja 1'!$C$226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5">
        <f>C130+F130+I130+L130+O130+R130+U130+X130+AA130+AD130+AG130+AJ130</f>
        <v/>
      </c>
      <c r="AN130" s="43" t="n"/>
      <c r="AO130" s="1070">
        <f>AM130/AM13</f>
        <v/>
      </c>
      <c r="AP130" s="703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'[1]Hoja 1'!$C$503</f>
        <v/>
      </c>
      <c r="D131" s="43" t="n"/>
      <c r="E131" s="1070" t="n"/>
      <c r="F131" s="25">
        <f>'[8]Hoja 1'!$C$476</f>
        <v/>
      </c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1'!$C$505</f>
        <v/>
      </c>
      <c r="D133" s="43" t="n"/>
      <c r="E133" s="1070" t="n"/>
      <c r="F133" s="25">
        <f>'[8]Hoja 1'!$C$478+'[12]Hoja 1'!$C$228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'[1]Hoja 1'!$C$507+'[28]Hoja 1'!$C$115</f>
        <v/>
      </c>
      <c r="D134" s="43" t="n"/>
      <c r="E134" s="1070" t="n"/>
      <c r="F134" s="25">
        <f>'[8]Hoja 1'!$C$480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>
        <f>'[8]Hoja 1'!$C$482</f>
        <v/>
      </c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'[1]Hoja 1'!$C$509</f>
        <v/>
      </c>
      <c r="D137" s="43" t="n"/>
      <c r="E137" s="1070" t="n"/>
      <c r="F137" s="25">
        <f>'[8]Hoja 1'!$C$484</f>
        <v/>
      </c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427">
        <f>'[28]Hoja 1'!$C$48</f>
        <v/>
      </c>
      <c r="D138" s="89" t="n"/>
      <c r="E138" s="1066" t="n"/>
      <c r="F138" s="25" t="n"/>
      <c r="G138" s="89" t="n"/>
      <c r="H138" s="1066" t="n"/>
      <c r="I138" s="427" t="n"/>
      <c r="J138" s="89" t="n"/>
      <c r="K138" s="1066" t="n"/>
      <c r="L138" s="427" t="n"/>
      <c r="M138" s="89" t="n"/>
      <c r="N138" s="1066" t="n"/>
      <c r="O138" s="25" t="n"/>
      <c r="P138" s="89" t="n"/>
      <c r="Q138" s="1066" t="n"/>
      <c r="R138" s="427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1">
        <f>C138+F138+I138+L138+O138+R138+U138+X138+AA138+AD138+AG138+AJ138</f>
        <v/>
      </c>
      <c r="AN138" s="89" t="n"/>
      <c r="AO138" s="1067" t="n"/>
    </row>
    <row r="139" outlineLevel="1" ht="15" customHeight="1" s="1016">
      <c r="B139" s="25" t="inlineStr">
        <is>
          <t>Herramientas y articulos ferreteria</t>
        </is>
      </c>
      <c r="C139" s="25">
        <f>'[28]Hoja 1'!$C$117</f>
        <v/>
      </c>
      <c r="D139" s="43" t="n"/>
      <c r="E139" s="1070" t="n"/>
      <c r="F139" s="25">
        <f>'[12]Hoja 1'!$C$231</f>
        <v/>
      </c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1">
        <f>C139+F139+I139+L139+O139+R139+U139+X139+AA139+AD139+AG139+AJ139</f>
        <v/>
      </c>
      <c r="AN139" s="43" t="n"/>
      <c r="AO139" s="1071" t="n"/>
    </row>
    <row r="140" outlineLevel="1" ht="15" customHeight="1" s="1016">
      <c r="A140" s="804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70" t="n"/>
      <c r="F140" s="25">
        <f>'[12]Hoja 1'!$C$232</f>
        <v/>
      </c>
      <c r="G140" s="43" t="n"/>
      <c r="H140" s="1070" t="n"/>
      <c r="I140" s="281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1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>
        <f>'[28]Hoja 1'!$C$118</f>
        <v/>
      </c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1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1104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 t="n"/>
      <c r="AJ147" s="490">
        <f>SUM(AJ148:AJ151)</f>
        <v/>
      </c>
      <c r="AK147" s="491" t="n"/>
      <c r="AL147" s="1094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02">
        <f>C148/C$13</f>
        <v/>
      </c>
      <c r="F148" s="39">
        <f>'GASTOS ADMINISTRATIVOS'!D96*'%DIST'!D39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1102" t="n"/>
      <c r="AM148" s="209">
        <f>C148+F148+I148+L148+O148+R148+U148+X148+AA148+AD148+AG148+AJ148</f>
        <v/>
      </c>
      <c r="AN148" s="69" t="n"/>
      <c r="AO148" s="1107">
        <f>AM148/AM$13</f>
        <v/>
      </c>
      <c r="AP148" s="1219" t="n"/>
    </row>
    <row r="149" ht="15" customHeight="1" s="1016">
      <c r="B149" s="285" t="inlineStr">
        <is>
          <t>Gastos financieros</t>
        </is>
      </c>
      <c r="C149" s="25">
        <f>'GASTOS ADMINISTRATIVOS'!C109*'%DIST'!C55+79552.5+3501.4</f>
        <v/>
      </c>
      <c r="D149" s="43" t="n"/>
      <c r="E149" s="1070" t="n"/>
      <c r="F149" s="25">
        <f>'GASTOS ADMINISTRATIVOS'!D109*'%DIST'!E55+6000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5">
        <f>C150+F150+I150+L150+O150+R150+U150+X150+AA150+AD150+AG150+AJ150</f>
        <v/>
      </c>
      <c r="AN150" s="42" t="n"/>
      <c r="AO150" s="1083">
        <f>AM150/AM$13</f>
        <v/>
      </c>
    </row>
    <row r="151" ht="15" customHeight="1" s="1016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11" t="n"/>
      <c r="F151" s="71">
        <f>'GASTOS ADMINISTRATIVOS'!D119*'%DIST'!E55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1111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5">
        <f>C153+F153+I153+L153+O153+R153+U153+X153+AA153+AD153+AG153+AJ153</f>
        <v/>
      </c>
      <c r="AN153" s="498" t="n"/>
      <c r="AO153" s="1119">
        <f>AM153/(AM$13)</f>
        <v/>
      </c>
    </row>
    <row r="154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514" t="n"/>
      <c r="G154" s="230" t="n"/>
      <c r="H154" s="1161" t="n"/>
      <c r="I154" s="514" t="n"/>
      <c r="J154" s="230" t="n"/>
      <c r="K154" s="1161" t="n"/>
      <c r="L154" s="514" t="n"/>
      <c r="M154" s="230" t="n"/>
      <c r="N154" s="1161" t="n"/>
      <c r="O154" s="514" t="n"/>
      <c r="P154" s="230" t="n"/>
      <c r="Q154" s="1161" t="n"/>
      <c r="R154" s="722" t="n"/>
      <c r="S154" s="230" t="n"/>
      <c r="T154" s="1161" t="n"/>
      <c r="U154" s="514" t="n"/>
      <c r="V154" s="230" t="n"/>
      <c r="W154" s="1161" t="n"/>
      <c r="X154" s="514" t="n"/>
      <c r="Y154" s="230" t="n"/>
      <c r="Z154" s="1161" t="n"/>
      <c r="AA154" s="514" t="n"/>
      <c r="AB154" s="230" t="n"/>
      <c r="AC154" s="1161" t="n"/>
      <c r="AD154" s="514" t="n"/>
      <c r="AE154" s="230" t="n"/>
      <c r="AF154" s="1161" t="n"/>
      <c r="AG154" s="514" t="n"/>
      <c r="AH154" s="230" t="n"/>
      <c r="AI154" s="1161" t="n"/>
      <c r="AJ154" s="722" t="n"/>
      <c r="AK154" s="230" t="n"/>
      <c r="AL154" s="1161" t="n"/>
      <c r="AM154" s="287">
        <f>C154+F154+I154+L154+O154+R154+U154+X154+AA154+AD154+AG154+AJ154</f>
        <v/>
      </c>
      <c r="AN154" s="230" t="n"/>
      <c r="AO154" s="1162" t="n"/>
    </row>
    <row r="155" ht="15" customHeight="1" s="1016">
      <c r="B155" s="1164" t="inlineStr">
        <is>
          <t xml:space="preserve">Otros Ajustes 1 </t>
        </is>
      </c>
      <c r="C155" s="691" t="n"/>
      <c r="D155" s="9" t="n"/>
      <c r="E155" s="1165" t="n"/>
      <c r="F155" s="694" t="n"/>
      <c r="G155" s="9" t="n"/>
      <c r="H155" s="1165" t="n"/>
      <c r="I155" s="694" t="n"/>
      <c r="J155" s="9" t="n"/>
      <c r="K155" s="1165" t="n"/>
      <c r="L155" s="694" t="n"/>
      <c r="M155" s="9" t="n"/>
      <c r="N155" s="1165" t="n"/>
      <c r="O155" s="694" t="n"/>
      <c r="P155" s="9" t="n"/>
      <c r="Q155" s="1165" t="n"/>
      <c r="R155" s="705" t="n"/>
      <c r="S155" s="9" t="n"/>
      <c r="T155" s="1165" t="n"/>
      <c r="U155" s="694" t="n"/>
      <c r="V155" s="9" t="n"/>
      <c r="W155" s="1165" t="n"/>
      <c r="X155" s="694" t="n"/>
      <c r="Y155" s="9" t="n"/>
      <c r="Z155" s="1165" t="n"/>
      <c r="AA155" s="694" t="n"/>
      <c r="AB155" s="9" t="n"/>
      <c r="AC155" s="1165" t="n"/>
      <c r="AD155" s="694" t="n"/>
      <c r="AE155" s="9" t="n"/>
      <c r="AF155" s="1165" t="n"/>
      <c r="AG155" s="694" t="n"/>
      <c r="AH155" s="9" t="n"/>
      <c r="AI155" s="1165" t="n"/>
      <c r="AJ155" s="705" t="n"/>
      <c r="AK155" s="9" t="n"/>
      <c r="AL155" s="1165" t="n"/>
      <c r="AM155" s="294">
        <f>C155+F155+I155+L155+O155+R155+U155+X155+AA155+AD155+AG155+AJ155</f>
        <v/>
      </c>
      <c r="AN155" s="9" t="n"/>
      <c r="AO155" s="1166" t="n"/>
    </row>
    <row r="156" ht="15" customHeight="1" s="1016">
      <c r="B156" s="1168" t="inlineStr">
        <is>
          <t>Otros Ajustes 2</t>
        </is>
      </c>
      <c r="C156" s="685" t="n"/>
      <c r="D156" s="675" t="n"/>
      <c r="E156" s="1169" t="n"/>
      <c r="F156" s="687" t="n"/>
      <c r="G156" s="675" t="n"/>
      <c r="H156" s="1169" t="n"/>
      <c r="I156" s="687" t="n"/>
      <c r="J156" s="675" t="n"/>
      <c r="K156" s="1169" t="n"/>
      <c r="L156" s="687" t="n"/>
      <c r="M156" s="675" t="n"/>
      <c r="N156" s="1169" t="n"/>
      <c r="O156" s="687" t="n"/>
      <c r="P156" s="675" t="n"/>
      <c r="Q156" s="1169" t="n"/>
      <c r="R156" s="718" t="n"/>
      <c r="S156" s="675" t="n"/>
      <c r="T156" s="1169" t="n"/>
      <c r="U156" s="687" t="n"/>
      <c r="V156" s="675" t="n"/>
      <c r="W156" s="1169" t="n"/>
      <c r="X156" s="687" t="n"/>
      <c r="Y156" s="675" t="n"/>
      <c r="Z156" s="1169" t="n"/>
      <c r="AA156" s="687" t="n"/>
      <c r="AB156" s="675" t="n"/>
      <c r="AC156" s="1169" t="n"/>
      <c r="AD156" s="687" t="n"/>
      <c r="AE156" s="675" t="n"/>
      <c r="AF156" s="1169" t="n"/>
      <c r="AG156" s="687" t="n"/>
      <c r="AH156" s="675" t="n"/>
      <c r="AI156" s="1169" t="n"/>
      <c r="AJ156" s="687" t="n"/>
      <c r="AK156" s="675" t="n"/>
      <c r="AL156" s="1169" t="n"/>
      <c r="AM156" s="713">
        <f>C156+F156+I156+L156+O156+R156+U156+X156+AA156+AD156+AG156+AJ156</f>
        <v/>
      </c>
      <c r="AN156" s="675" t="n"/>
      <c r="AO156" s="1170" t="n"/>
    </row>
    <row r="157" ht="15" customHeight="1" s="1016">
      <c r="B157" s="1171" t="inlineStr">
        <is>
          <t>Otros Ajustes 3</t>
        </is>
      </c>
      <c r="C157" s="562" t="n"/>
      <c r="D157" s="551" t="n"/>
      <c r="E157" s="1172" t="n"/>
      <c r="F157" s="562" t="n"/>
      <c r="G157" s="551" t="n"/>
      <c r="H157" s="1172" t="n"/>
      <c r="I157" s="562" t="n"/>
      <c r="J157" s="551" t="n"/>
      <c r="K157" s="1172" t="n"/>
      <c r="L157" s="562" t="n"/>
      <c r="M157" s="551" t="n"/>
      <c r="N157" s="1172" t="n"/>
      <c r="O157" s="562" t="n"/>
      <c r="P157" s="551" t="n"/>
      <c r="Q157" s="1172" t="n"/>
      <c r="R157" s="562" t="n"/>
      <c r="S157" s="551" t="n"/>
      <c r="T157" s="1172" t="n"/>
      <c r="U157" s="562" t="n"/>
      <c r="V157" s="551" t="n"/>
      <c r="W157" s="1172" t="n"/>
      <c r="X157" s="562" t="n"/>
      <c r="Y157" s="551" t="n"/>
      <c r="Z157" s="1172" t="n"/>
      <c r="AA157" s="562" t="n"/>
      <c r="AB157" s="551" t="n"/>
      <c r="AC157" s="1172" t="n"/>
      <c r="AD157" s="562" t="n"/>
      <c r="AE157" s="551" t="n"/>
      <c r="AF157" s="1172" t="n"/>
      <c r="AG157" s="562" t="n"/>
      <c r="AH157" s="13" t="n"/>
      <c r="AI157" s="1176" t="n"/>
      <c r="AJ157" s="562" t="n"/>
      <c r="AK157" s="9" t="n"/>
      <c r="AL157" s="1165" t="n"/>
      <c r="AM157" s="75">
        <f>C157+F157+I157+L157+O157+R157+U157+X157+AA157+AD157+AG157+AJ157</f>
        <v/>
      </c>
      <c r="AN157" s="551" t="n"/>
      <c r="AO157" s="1220">
        <f>AM157/AM42</f>
        <v/>
      </c>
    </row>
    <row r="158" ht="15" customFormat="1" customHeight="1" s="108">
      <c r="A158" s="229" t="n"/>
      <c r="B158" s="1175" t="inlineStr">
        <is>
          <t>Otros Ajustes 4</t>
        </is>
      </c>
      <c r="C158" s="712" t="n"/>
      <c r="D158" s="553" t="n"/>
      <c r="E158" s="1200" t="n"/>
      <c r="F158" s="712" t="n"/>
      <c r="G158" s="553" t="n"/>
      <c r="H158" s="1200" t="n"/>
      <c r="I158" s="712" t="n"/>
      <c r="J158" s="553" t="n"/>
      <c r="K158" s="1200" t="n"/>
      <c r="L158" s="712" t="n"/>
      <c r="M158" s="553" t="n"/>
      <c r="N158" s="1200" t="n"/>
      <c r="O158" s="712" t="n"/>
      <c r="P158" s="553" t="n"/>
      <c r="Q158" s="1200" t="n"/>
      <c r="R158" s="712" t="n"/>
      <c r="S158" s="553" t="n"/>
      <c r="T158" s="1200" t="n"/>
      <c r="U158" s="712" t="n"/>
      <c r="V158" s="553" t="n"/>
      <c r="W158" s="1200" t="n"/>
      <c r="X158" s="712" t="n"/>
      <c r="Y158" s="553" t="n"/>
      <c r="Z158" s="1200" t="n"/>
      <c r="AA158" s="712" t="n"/>
      <c r="AB158" s="553" t="n"/>
      <c r="AC158" s="1200" t="n"/>
      <c r="AD158" s="712" t="n"/>
      <c r="AE158" s="553" t="n"/>
      <c r="AF158" s="1200" t="n"/>
      <c r="AG158" s="712" t="n"/>
      <c r="AH158" s="13" t="n"/>
      <c r="AI158" s="1176" t="n"/>
      <c r="AJ158" s="712" t="n"/>
      <c r="AK158" s="13" t="n"/>
      <c r="AL158" s="1176" t="n"/>
      <c r="AM158" s="715">
        <f>C158+F158+I158+L158+O158+R158+U158+X158+AA158+AD158+AG158+AJ158</f>
        <v/>
      </c>
      <c r="AN158" s="13" t="n"/>
      <c r="AO158" s="1177">
        <f>AM158/AM42</f>
        <v/>
      </c>
    </row>
    <row r="159" ht="15" customHeight="1" s="1016">
      <c r="B159" s="1175" t="inlineStr">
        <is>
          <t>Otros Ajustes 5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1176" t="n"/>
      <c r="AM159" s="205">
        <f>C159+F159+I159+L159+O159+R159+U159+X159+AA159+AD159+AG159+AJ159</f>
        <v/>
      </c>
      <c r="AN159" s="13" t="n"/>
      <c r="AO159" s="1221" t="n"/>
    </row>
    <row r="160" ht="15" customHeight="1" s="1016" thickBot="1">
      <c r="B160" s="1179" t="inlineStr">
        <is>
          <t>Otros Ajustes 6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1180" t="n"/>
      <c r="AM160" s="292">
        <f>C160+F160+I160+L160+O160+R160+U160+X160+AA160+AD160+AG160+AJ160</f>
        <v/>
      </c>
      <c r="AN160" s="810" t="n"/>
      <c r="AO160" s="1181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19" t="n"/>
    </row>
    <row r="162" ht="15" customHeight="1" s="1016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7">
        <f>IFERROR(AM161/AM13," ")</f>
        <v/>
      </c>
      <c r="AN162" s="501" t="n"/>
      <c r="AO162" s="1119" t="n"/>
    </row>
    <row r="163" ht="10.8" customHeight="1" s="1016" thickTop="1">
      <c r="I163" s="1025" t="n"/>
    </row>
    <row r="164">
      <c r="C164" s="616">
        <f>C44+C83-C73</f>
        <v/>
      </c>
      <c r="D164" s="1025" t="n"/>
      <c r="F164" s="616">
        <f>F44+F83-F73</f>
        <v/>
      </c>
      <c r="I164" s="616">
        <f>I44+I83-I73</f>
        <v/>
      </c>
      <c r="L164" s="616">
        <f>L44+L83-L73</f>
        <v/>
      </c>
      <c r="O164" s="1023">
        <f>O44+O83-O58-O73</f>
        <v/>
      </c>
      <c r="R164" s="1023">
        <f>R44+R83-R58-R73</f>
        <v/>
      </c>
      <c r="U164" s="1023">
        <f>U44+U83-U58-U73</f>
        <v/>
      </c>
      <c r="X164" s="1023">
        <f>X44+X83-X58-X73</f>
        <v/>
      </c>
      <c r="AA164" s="1023">
        <f>AA44+AA83-AA58-AA73</f>
        <v/>
      </c>
      <c r="AD164" s="1023">
        <f>AD44+AD83-AD58-AD73</f>
        <v/>
      </c>
      <c r="AG164" s="1023">
        <f>AG44+AG83-AG58-AG73</f>
        <v/>
      </c>
      <c r="AJ164" s="1023">
        <f>AJ44+AJ83-AJ58-AJ73</f>
        <v/>
      </c>
    </row>
    <row r="165">
      <c r="C165" s="616">
        <f>'[1]Hoja 1'!$C$405+'[1]Hoja 1'!$C$414+'[1]Hoja 1'!$C$425+'[28]Hoja 1'!$C$17-'[28]Hoja 1'!$C$109+'[4]Hoja 1'!$C$110+'[4]Hoja 1'!$C$177</f>
        <v/>
      </c>
      <c r="D165" s="1025" t="n"/>
      <c r="F165" s="616">
        <f>'[8]Hoja 1'!$C$399+'[12]Hoja 1'!$C$127+'[13]Hoja 1'!$C$86+'[54]Hoja 1'!$C$24</f>
        <v/>
      </c>
      <c r="I165" s="616" t="n">
        <v>1037777346.42</v>
      </c>
      <c r="L165" s="616" t="n">
        <v>973262962.3299999</v>
      </c>
      <c r="O165" s="1023" t="n">
        <v>1069339870.73</v>
      </c>
      <c r="R165" s="1023" t="n">
        <v>949299035.5900002</v>
      </c>
      <c r="U165" s="1023" t="n">
        <v>564463987.46</v>
      </c>
      <c r="X165" s="1023" t="n">
        <v>974517060.83</v>
      </c>
      <c r="AA165" s="1023" t="n">
        <v>1049899736.09</v>
      </c>
      <c r="AD165" s="1023" t="n">
        <v>873734177.66</v>
      </c>
      <c r="AG165" s="1023" t="n">
        <v>739373739.2</v>
      </c>
      <c r="AJ165" s="1023" t="n">
        <v>92692433</v>
      </c>
    </row>
    <row r="166">
      <c r="C166" s="616">
        <f>C164-C165</f>
        <v/>
      </c>
      <c r="D166" s="1025" t="n"/>
      <c r="F166" s="616">
        <f>F164-F165</f>
        <v/>
      </c>
      <c r="I166" s="616">
        <f>I164-I165</f>
        <v/>
      </c>
      <c r="L166" s="616">
        <f>L164-L165</f>
        <v/>
      </c>
      <c r="O166" s="1023">
        <f>O164-O165</f>
        <v/>
      </c>
      <c r="R166" s="1023">
        <f>R164-R165</f>
        <v/>
      </c>
      <c r="U166" s="1023">
        <f>U164-U165</f>
        <v/>
      </c>
      <c r="X166" s="1023">
        <f>X164-X165</f>
        <v/>
      </c>
      <c r="AA166" s="1023">
        <f>AA164-AA165</f>
        <v/>
      </c>
      <c r="AB166" s="1023" t="n"/>
      <c r="AC166" s="1023" t="n"/>
      <c r="AD166" s="1023">
        <f>AD164-AD165</f>
        <v/>
      </c>
      <c r="AE166" s="1023" t="inlineStr">
        <is>
          <t>MAQ Y EQ</t>
        </is>
      </c>
      <c r="AG166" s="1023">
        <f>AG164-AG165</f>
        <v/>
      </c>
      <c r="AJ166" s="1023">
        <f>AJ164-AJ165</f>
        <v/>
      </c>
    </row>
    <row r="167">
      <c r="C167" s="1010" t="n">
        <v>2021155</v>
      </c>
      <c r="D167" s="1010" t="inlineStr">
        <is>
          <t>Dic</t>
        </is>
      </c>
    </row>
    <row r="170">
      <c r="AJ170" s="892" t="n"/>
      <c r="AM170" s="1207" t="n"/>
    </row>
    <row r="174">
      <c r="X174" s="1010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7.109375" customWidth="1" style="2" min="42" max="42"/>
    <col collapsed="1" width="14.6640625" customWidth="1" style="1010" min="43" max="43"/>
    <col width="7.33203125" customWidth="1" style="1010" min="44" max="44"/>
    <col width="7.33203125" customWidth="1" style="2" min="45" max="45"/>
    <col width="11.44140625" customWidth="1" style="2" min="46" max="59"/>
    <col width="11.44140625" customWidth="1" style="2" min="60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PRESUPUESTO  IMDERTY 2024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  <c r="AQ2" s="2" t="n"/>
      <c r="AR2" s="2" t="n"/>
    </row>
    <row r="3" ht="21.75" customHeight="1" s="1016" thickBot="1" thickTop="1">
      <c r="B3" s="522" t="inlineStr">
        <is>
          <t xml:space="preserve">DIAS DE ATENCIÓN </t>
        </is>
      </c>
      <c r="C3" s="535" t="n"/>
      <c r="D3" s="479" t="n"/>
      <c r="E3" s="1060" t="n"/>
      <c r="F3" s="535" t="n"/>
      <c r="G3" s="479" t="n"/>
      <c r="H3" s="1060" t="n"/>
      <c r="I3" s="478" t="n"/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2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746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  <c r="AQ13" s="623">
        <f>AQ14+AQ23</f>
        <v/>
      </c>
      <c r="AR13" s="623" t="n"/>
      <c r="AS13" s="623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>
        <f>X15/X15</f>
        <v/>
      </c>
      <c r="AA15" s="49">
        <f>SUM(AA16:AA22)</f>
        <v/>
      </c>
      <c r="AB15" s="3" t="n"/>
      <c r="AC15" s="1078">
        <f>AA15/AA15</f>
        <v/>
      </c>
      <c r="AD15" s="49">
        <f>SUM(AD16:AD22)</f>
        <v/>
      </c>
      <c r="AE15" s="398" t="n"/>
      <c r="AF15" s="1079">
        <f>AD15/AD15</f>
        <v/>
      </c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1016">
      <c r="B16" s="262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>
        <f>I16/I5</f>
        <v/>
      </c>
      <c r="K16" s="1080" t="n"/>
      <c r="L16" s="103" t="n"/>
      <c r="M16" s="79" t="n"/>
      <c r="N16" s="1080" t="n"/>
      <c r="O16" s="103" t="n"/>
      <c r="P16" s="79">
        <f>O16/O5</f>
        <v/>
      </c>
      <c r="Q16" s="1080" t="n"/>
      <c r="R16" s="103" t="n"/>
      <c r="S16" s="79">
        <f>R16/R5</f>
        <v/>
      </c>
      <c r="T16" s="1080" t="n"/>
      <c r="U16" s="103" t="n"/>
      <c r="V16" s="79">
        <f>U16/U5</f>
        <v/>
      </c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081">
        <f>AM16/AM$13</f>
        <v/>
      </c>
      <c r="AQ16" s="81" t="n"/>
      <c r="AR16" s="81" t="n"/>
      <c r="AS16" s="81" t="n"/>
    </row>
    <row r="17" ht="15" customHeight="1" s="1016">
      <c r="B17" s="104" t="n"/>
      <c r="C17" s="25" t="n"/>
      <c r="D17" s="43" t="n"/>
      <c r="E17" s="1070" t="n"/>
      <c r="F17" s="25" t="n"/>
      <c r="G17" s="43" t="n"/>
      <c r="H17" s="1070" t="n"/>
      <c r="I17" s="91" t="n"/>
      <c r="J17" s="92" t="n"/>
      <c r="K17" s="1070" t="n"/>
      <c r="L17" s="91" t="n"/>
      <c r="M17" s="92" t="n"/>
      <c r="N17" s="1070" t="n"/>
      <c r="O17" s="91" t="n"/>
      <c r="P17" s="92" t="n"/>
      <c r="Q17" s="1070" t="n"/>
      <c r="R17" s="91" t="n"/>
      <c r="S17" s="92" t="n"/>
      <c r="T17" s="1070" t="n"/>
      <c r="U17" s="91" t="n"/>
      <c r="V17" s="92" t="n"/>
      <c r="W17" s="1070" t="n"/>
      <c r="X17" s="91" t="n"/>
      <c r="Y17" s="92" t="n"/>
      <c r="Z17" s="1070" t="n"/>
      <c r="AA17" s="91" t="n"/>
      <c r="AB17" s="92" t="n"/>
      <c r="AC17" s="1070" t="n"/>
      <c r="AD17" s="91" t="n"/>
      <c r="AE17" s="92" t="n"/>
      <c r="AF17" s="1070" t="n"/>
      <c r="AG17" s="91" t="n"/>
      <c r="AH17" s="92" t="n"/>
      <c r="AI17" s="1070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71">
        <f>AM17/AM$13</f>
        <v/>
      </c>
      <c r="AQ17" s="24" t="n"/>
      <c r="AR17" s="24" t="n"/>
      <c r="AS17" s="24" t="n"/>
    </row>
    <row r="18" ht="15" customHeight="1" s="1016">
      <c r="B18" s="104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71">
        <f>AM18/AM$13</f>
        <v/>
      </c>
      <c r="AQ18" s="24" t="n"/>
      <c r="AR18" s="24" t="n"/>
      <c r="AS18" s="24" t="n"/>
    </row>
    <row r="19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>
        <f>AD19/AD8</f>
        <v/>
      </c>
      <c r="AF19" s="1070" t="n"/>
      <c r="AG19" s="25" t="n"/>
      <c r="AH19" s="43">
        <f>AG19/AG8</f>
        <v/>
      </c>
      <c r="AI19" s="1070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71" t="n"/>
      <c r="AQ19" s="24" t="n"/>
      <c r="AR19" s="24" t="n"/>
      <c r="AS19" s="24" t="n"/>
    </row>
    <row r="20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5" customHeight="1" s="1016">
      <c r="B21" s="104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71" t="n"/>
      <c r="AQ21" s="24" t="n"/>
      <c r="AR21" s="24" t="n"/>
      <c r="AS21" s="24" t="n"/>
    </row>
    <row r="22" hidden="1" ht="15" customHeight="1" s="1016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 t="n"/>
      <c r="O29" s="49">
        <f>SUM(O30:O35)</f>
        <v/>
      </c>
      <c r="P29" s="3" t="n"/>
      <c r="Q29" s="1078" t="n"/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086" t="n"/>
      <c r="D30" s="79" t="n"/>
      <c r="E30" s="1080" t="n"/>
      <c r="F30" s="1086" t="n"/>
      <c r="G30" s="79" t="n"/>
      <c r="H30" s="1080" t="n"/>
      <c r="I30" s="1086">
        <f>I13*1%</f>
        <v/>
      </c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>
        <f>U13*1.35%</f>
        <v/>
      </c>
      <c r="V30" s="79" t="n"/>
      <c r="W30" s="1080" t="n"/>
      <c r="X30" s="1086">
        <f>X13*1.35%</f>
        <v/>
      </c>
      <c r="Y30" s="79" t="n"/>
      <c r="Z30" s="1080" t="n"/>
      <c r="AA30" s="1086">
        <f>AA13*1.35%</f>
        <v/>
      </c>
      <c r="AB30" s="79" t="n"/>
      <c r="AC30" s="1080" t="n"/>
      <c r="AD30" s="1086">
        <f>AD13*1.35%</f>
        <v/>
      </c>
      <c r="AE30" s="79" t="n"/>
      <c r="AF30" s="1080" t="n"/>
      <c r="AG30" s="1086">
        <f>AG13*1.35%</f>
        <v/>
      </c>
      <c r="AH30" s="79" t="n"/>
      <c r="AI30" s="1080" t="n"/>
      <c r="AJ30" s="1086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081" t="n"/>
      <c r="AQ30" s="81" t="n"/>
      <c r="AR30" s="81" t="n"/>
      <c r="AS30" s="81" t="n"/>
    </row>
    <row r="31" outlineLevel="1" ht="15" customHeight="1" s="1016">
      <c r="B31" s="105" t="n"/>
      <c r="C31" s="1087" t="n"/>
      <c r="D31" s="43" t="n"/>
      <c r="E31" s="1070" t="n"/>
      <c r="F31" s="1087" t="n"/>
      <c r="G31" s="43" t="n"/>
      <c r="H31" s="1070" t="n"/>
      <c r="I31" s="1087">
        <f>I13*0.6%</f>
        <v/>
      </c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1087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1016" thickBot="1">
      <c r="B34" s="105" t="n"/>
      <c r="C34" s="25">
        <f>(C$13*10%)*3.5%</f>
        <v/>
      </c>
      <c r="D34" s="43" t="n"/>
      <c r="E34" s="1070" t="n"/>
      <c r="F34" s="25" t="n"/>
      <c r="G34" s="43" t="n"/>
      <c r="H34" s="1070" t="n"/>
      <c r="I34" s="25">
        <f>I13*2.5%</f>
        <v/>
      </c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  <c r="AQ36" s="24" t="n"/>
      <c r="AR36" s="24" t="n"/>
      <c r="AS36" s="24" t="n"/>
    </row>
    <row r="37" hidden="1" outlineLevel="1" ht="15" customHeight="1" s="1016" thickBot="1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  <c r="AQ37" s="23" t="n"/>
      <c r="AR37" s="23" t="n"/>
      <c r="AS37" s="23" t="n"/>
    </row>
    <row r="38" hidden="1" outlineLevel="1" ht="15" customHeight="1" s="1016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</row>
    <row r="39" hidden="1" outlineLevel="1" ht="15" customHeight="1" s="1016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</row>
    <row r="40" hidden="1" outlineLevel="1" ht="15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</row>
    <row r="41" hidden="1" outlineLevel="1" ht="15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  <c r="AQ42" s="624">
        <f>+AQ14+AQ23-AQ28</f>
        <v/>
      </c>
      <c r="AR42" s="624" t="n"/>
      <c r="AS42" s="624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  <c r="AQ43" s="136" t="n"/>
      <c r="AR43" s="2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095">
        <f>AM44/AM$13</f>
        <v/>
      </c>
      <c r="AQ44" s="625">
        <f>+AQ45+AQ60+AQ78</f>
        <v/>
      </c>
      <c r="AR44" s="625" t="n"/>
      <c r="AS44" s="1129" t="n"/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 t="n"/>
    </row>
    <row r="46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46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</row>
    <row r="47" ht="15" customHeight="1" s="1016">
      <c r="B47" s="97" t="inlineStr">
        <is>
          <t>SUMINISTRO</t>
        </is>
      </c>
      <c r="C47" s="76" t="n"/>
      <c r="D47" s="42" t="n"/>
      <c r="E47" s="1082" t="n"/>
      <c r="F47" s="76" t="n"/>
      <c r="G47" s="42" t="n"/>
      <c r="H47" s="1082" t="n"/>
      <c r="I47" s="76" t="n"/>
      <c r="J47" s="42">
        <f>I47/I5</f>
        <v/>
      </c>
      <c r="K47" s="1082">
        <f>I47/I16</f>
        <v/>
      </c>
      <c r="L47" s="76" t="n"/>
      <c r="M47" s="42" t="n"/>
      <c r="N47" s="1082" t="n"/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AM47/AM13</f>
        <v/>
      </c>
      <c r="AQ47" s="23" t="n"/>
      <c r="AR47" s="23" t="n"/>
      <c r="AS47" s="1132" t="n"/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>
        <f>AM48/AM12</f>
        <v/>
      </c>
      <c r="AO48" s="1071" t="n"/>
      <c r="AQ48" s="24" t="n"/>
      <c r="AR48" s="24" t="n"/>
      <c r="AS48" s="1133" t="n"/>
    </row>
    <row r="49" hidden="1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  <c r="AQ54" s="24" t="n"/>
      <c r="AR54" s="24" t="n"/>
      <c r="AS54" s="1133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  <c r="AQ55" s="24" t="n"/>
      <c r="AR55" s="24" t="n"/>
      <c r="AS55" s="1133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</row>
    <row r="57" hidden="1" ht="15" customHeight="1" s="1016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  <c r="AQ58" s="298" t="n"/>
      <c r="AR58" s="298" t="n"/>
      <c r="AS58" s="1138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  <c r="AQ59" s="349" t="n"/>
      <c r="AR59" s="349" t="n"/>
      <c r="AS59" s="1140" t="n"/>
    </row>
    <row r="60" ht="15" customHeight="1" s="1016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49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</row>
    <row r="61" hidden="1" ht="15" customHeight="1" s="1016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 t="n"/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 t="n"/>
      <c r="AS62" s="1141" t="n"/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 t="n"/>
      <c r="AS63" s="1133" t="n"/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 t="n"/>
      <c r="AS64" s="1133" t="n"/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>
        <f>AM67/$O$5</f>
        <v/>
      </c>
      <c r="AO67" s="1071">
        <f>AM67/$O$13</f>
        <v/>
      </c>
      <c r="AQ67" s="24" t="n"/>
      <c r="AR67" s="24" t="n"/>
      <c r="AS67" s="1133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>
        <f>AM68/$O$5</f>
        <v/>
      </c>
      <c r="AO68" s="1071">
        <f>AM68/$O$13</f>
        <v/>
      </c>
      <c r="AQ68" s="24" t="n"/>
      <c r="AR68" s="24" t="n"/>
      <c r="AS68" s="1133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>
        <f>AM69/$O$5</f>
        <v/>
      </c>
      <c r="AO69" s="1071">
        <f>AM69/$O$13</f>
        <v/>
      </c>
      <c r="AQ69" s="24" t="n"/>
      <c r="AR69" s="24" t="n"/>
      <c r="AS69" s="1133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>
        <f>AM70/$O$5</f>
        <v/>
      </c>
      <c r="AO70" s="1071">
        <f>AM70/$O$13</f>
        <v/>
      </c>
      <c r="AQ70" s="24" t="n"/>
      <c r="AR70" s="24" t="n"/>
      <c r="AS70" s="1133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  <c r="AQ71" s="349" t="n"/>
      <c r="AR71" s="349" t="n"/>
      <c r="AS71" s="1140" t="n"/>
    </row>
    <row r="72" ht="15" customHeight="1" s="1016">
      <c r="B72" s="36" t="inlineStr">
        <is>
          <t>FLETES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 t="n"/>
      <c r="N72" s="1074" t="n"/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 t="n"/>
      <c r="AS72" s="1135" t="n"/>
    </row>
    <row r="73" ht="15" customHeight="1" s="1016">
      <c r="B73" s="411" t="inlineStr">
        <is>
          <t>PREPARADOS PROPIOS</t>
        </is>
      </c>
      <c r="C73" s="37" t="n"/>
      <c r="D73" s="67" t="n"/>
      <c r="E73" s="1096" t="n"/>
      <c r="F73" s="304" t="n"/>
      <c r="G73" s="305" t="n"/>
      <c r="H73" s="1136" t="n"/>
      <c r="I73" s="304" t="n"/>
      <c r="J73" s="305" t="n"/>
      <c r="K73" s="1136" t="n"/>
      <c r="L73" s="304" t="n"/>
      <c r="M73" s="305" t="n"/>
      <c r="N73" s="1136" t="n"/>
      <c r="O73" s="304" t="n"/>
      <c r="P73" s="305" t="n"/>
      <c r="Q73" s="1136" t="n"/>
      <c r="R73" s="304" t="n"/>
      <c r="S73" s="305" t="n"/>
      <c r="T73" s="1136" t="n"/>
      <c r="U73" s="304" t="n"/>
      <c r="V73" s="305" t="n"/>
      <c r="W73" s="1136" t="n"/>
      <c r="X73" s="304" t="n"/>
      <c r="Y73" s="305" t="n"/>
      <c r="Z73" s="1136" t="n"/>
      <c r="AA73" s="304" t="n"/>
      <c r="AB73" s="305" t="n"/>
      <c r="AC73" s="1136" t="n"/>
      <c r="AD73" s="304" t="n"/>
      <c r="AE73" s="305" t="n"/>
      <c r="AF73" s="1136" t="n"/>
      <c r="AG73" s="304" t="n"/>
      <c r="AH73" s="305" t="n"/>
      <c r="AI73" s="1136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42" t="n"/>
      <c r="AQ73" s="298" t="n"/>
      <c r="AR73" s="298" t="n"/>
      <c r="AS73" s="1138" t="n"/>
    </row>
    <row r="74" ht="15" customHeight="1" s="1016">
      <c r="B74" s="415" t="inlineStr">
        <is>
          <t>PREPARADOS TERCEROS</t>
        </is>
      </c>
      <c r="C74" s="37" t="n"/>
      <c r="D74" s="67" t="n"/>
      <c r="E74" s="1096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39" t="n"/>
      <c r="AQ74" s="349" t="n"/>
      <c r="AR74" s="349" t="n"/>
      <c r="AS74" s="1140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  <c r="AQ76" s="38" t="n"/>
      <c r="AR76" s="38" t="n"/>
      <c r="AS76" s="1131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 t="n"/>
      <c r="AS78" s="1130" t="n"/>
    </row>
    <row r="79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  <c r="AQ79" s="619" t="n"/>
      <c r="AR79" s="619" t="n"/>
      <c r="AS79" s="1145" t="n"/>
    </row>
    <row r="80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  <c r="AQ80" s="24" t="n"/>
      <c r="AR80" s="24" t="n"/>
      <c r="AS80" s="1133" t="n"/>
    </row>
    <row r="8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  <c r="AQ81" s="98" t="n"/>
      <c r="AR81" s="98" t="n"/>
      <c r="AS81" s="1146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 t="n"/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1">
        <f>C83+F83+I83+L83+O83+R83+U83+X83+AA83+AD83+AG83+AJ83</f>
        <v/>
      </c>
      <c r="AN83" s="491" t="n"/>
      <c r="AO83" s="1106">
        <f>AM83/(AM$13)</f>
        <v/>
      </c>
      <c r="AQ83" s="625">
        <f>+AQ84+AQ89+AQ92+AQ96+AQ99+AQ109+AQ114+AQ120+AQ123+AQ127</f>
        <v/>
      </c>
      <c r="AR83" s="625" t="n"/>
      <c r="AS83" s="1129" t="n"/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 t="n"/>
      <c r="O84" s="49">
        <f>SUM(O85:O88)</f>
        <v/>
      </c>
      <c r="P84" s="3" t="n"/>
      <c r="Q84" s="1078" t="n"/>
      <c r="R84" s="49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 t="n"/>
      <c r="AS84" s="1130" t="n"/>
    </row>
    <row r="85" ht="15" customHeight="1" s="1016">
      <c r="B85" s="39" t="inlineStr">
        <is>
          <t>Costos Indirectos de Personal</t>
        </is>
      </c>
      <c r="C85" s="39" t="n"/>
      <c r="D85" s="69" t="n"/>
      <c r="E85" s="1102" t="n"/>
      <c r="F85" s="25" t="n"/>
      <c r="G85" s="69" t="n"/>
      <c r="H85" s="1102" t="n"/>
      <c r="I85" s="25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  <c r="AQ85" s="31" t="n"/>
      <c r="AR85" s="31" t="n"/>
      <c r="AS85" s="1148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  <c r="AQ86" s="24" t="n"/>
      <c r="AR86" s="24" t="n"/>
      <c r="AS86" s="1133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  <c r="AQ87" s="24" t="n"/>
      <c r="AR87" s="24" t="n"/>
      <c r="AS87" s="1133" t="n"/>
    </row>
    <row r="88" ht="15" customHeight="1" s="1016">
      <c r="B88" s="206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  <c r="AQ88" s="349" t="n"/>
      <c r="AR88" s="349" t="n"/>
      <c r="AS88" s="1140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 t="n"/>
      <c r="O89" s="49">
        <f>SUM(O90:O91)</f>
        <v/>
      </c>
      <c r="P89" s="3" t="n"/>
      <c r="Q89" s="1078" t="n"/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 t="n"/>
      <c r="AR89" s="17" t="n"/>
      <c r="AS89" s="1130" t="n"/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  <c r="AQ91" s="349" t="n"/>
      <c r="AR91" s="349" t="n"/>
      <c r="AS91" s="1140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 t="n"/>
      <c r="O92" s="49">
        <f>SUM(O93:O95)</f>
        <v/>
      </c>
      <c r="P92" s="3" t="n"/>
      <c r="Q92" s="1078" t="n"/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 t="n"/>
      <c r="AR92" s="17" t="n"/>
      <c r="AS92" s="1130" t="n"/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  <c r="AQ93" s="31" t="n"/>
      <c r="AR93" s="31" t="n"/>
      <c r="AS93" s="1148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 t="n"/>
      <c r="O96" s="49">
        <f>SUM(O97:O98)</f>
        <v/>
      </c>
      <c r="P96" s="3" t="n"/>
      <c r="Q96" s="1078" t="n"/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 t="n"/>
      <c r="AS96" s="1130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31" t="n"/>
      <c r="AR97" s="31" t="n"/>
      <c r="AS97" s="1148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79" t="n"/>
      <c r="AR98" s="279" t="n"/>
      <c r="AS98" s="115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 t="n"/>
      <c r="O99" s="49">
        <f>SUM(O100:O108)</f>
        <v/>
      </c>
      <c r="P99" s="3" t="n"/>
      <c r="Q99" s="1078" t="n"/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 t="n"/>
      <c r="AR99" s="17" t="n"/>
      <c r="AS99" s="1130" t="n"/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274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 t="n"/>
      <c r="O109" s="49">
        <f>SUM(O110:O113)</f>
        <v/>
      </c>
      <c r="P109" s="3" t="n"/>
      <c r="Q109" s="1078" t="n"/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 t="n"/>
      <c r="AS109" s="1130" t="n"/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 t="n"/>
      <c r="O114" s="49">
        <f>SUM(O115:O116)</f>
        <v/>
      </c>
      <c r="P114" s="3" t="n"/>
      <c r="Q114" s="1078" t="n"/>
      <c r="R114" s="49">
        <f>SUM(R115:R116)</f>
        <v/>
      </c>
      <c r="S114" s="3" t="n"/>
      <c r="T114" s="1078">
        <f>R114/(R$13)</f>
        <v/>
      </c>
      <c r="U114" s="49">
        <f>SUM(U115:U119)</f>
        <v/>
      </c>
      <c r="V114" s="3" t="n"/>
      <c r="W114" s="1078">
        <f>U114/(U$13)</f>
        <v/>
      </c>
      <c r="X114" s="49">
        <f>SUM(X115:X118)</f>
        <v/>
      </c>
      <c r="Y114" s="3" t="n"/>
      <c r="Z114" s="1078">
        <f>X114/(X$13)</f>
        <v/>
      </c>
      <c r="AA114" s="49">
        <f>SUM(AA115:AA118)</f>
        <v/>
      </c>
      <c r="AB114" s="3" t="n"/>
      <c r="AC114" s="1078">
        <f>AA114/(AA$13)</f>
        <v/>
      </c>
      <c r="AD114" s="49">
        <f>SUM(AD115:AD118)</f>
        <v/>
      </c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 t="n"/>
      <c r="AS114" s="1130" t="n"/>
    </row>
    <row r="115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101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1016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 t="n"/>
      <c r="O120" s="49">
        <f>SUM(O121)</f>
        <v/>
      </c>
      <c r="P120" s="3" t="n"/>
      <c r="Q120" s="1078" t="n"/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 t="n"/>
      <c r="AS120" s="1130" t="n"/>
    </row>
    <row r="121" ht="15" customHeight="1" s="101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101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 t="n"/>
      <c r="AS123" s="1130" t="n"/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 t="n"/>
      <c r="O127" s="49">
        <f>SUM(O128:O142)</f>
        <v/>
      </c>
      <c r="P127" s="3" t="n"/>
      <c r="Q127" s="1078" t="n"/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 t="n"/>
      <c r="AS127" s="1130" t="n"/>
    </row>
    <row r="128" outlineLevel="1" ht="15" customHeight="1" s="1016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</row>
    <row r="130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  <c r="AQ140" s="23" t="n"/>
      <c r="AR140" s="23" t="n"/>
      <c r="AS140" s="1132" t="n"/>
      <c r="BI140" s="274" t="n"/>
      <c r="BJ140" s="274" t="n"/>
      <c r="BK140" s="274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  <c r="AQ141" s="23" t="n"/>
      <c r="AR141" s="23" t="n"/>
      <c r="AS141" s="1132" t="n"/>
      <c r="BI141" s="274" t="n"/>
      <c r="BJ141" s="274" t="n"/>
      <c r="BK141" s="274" t="n"/>
    </row>
    <row r="142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  <c r="AQ142" s="98" t="n"/>
      <c r="AR142" s="98" t="n"/>
      <c r="AS142" s="1146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  <c r="AQ144" s="626">
        <f>+AQ42-AQ44-AQ83</f>
        <v/>
      </c>
      <c r="AR144" s="626" t="n"/>
      <c r="AS144" s="1155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7">
        <f>IFERROR(AQ144/AQ13," ")</f>
        <v/>
      </c>
      <c r="AR145" s="627" t="n"/>
      <c r="AS145" s="1156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1" t="n"/>
      <c r="AR146" s="631" t="n"/>
      <c r="AS146" s="1157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 t="n"/>
      <c r="O147" s="490">
        <f>SUM(O148:O151)</f>
        <v/>
      </c>
      <c r="P147" s="491" t="n"/>
      <c r="Q147" s="1094" t="n"/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  <c r="AQ147" s="625">
        <f>SUM(AQ148:AQ151)</f>
        <v/>
      </c>
      <c r="AR147" s="625" t="n"/>
      <c r="AS147" s="1129" t="n"/>
    </row>
    <row r="148" ht="15" customHeight="1" s="1016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  <c r="AQ148" s="31" t="n"/>
      <c r="AR148" s="31" t="n"/>
      <c r="AS148" s="1148" t="n"/>
    </row>
    <row r="149" ht="15" customHeight="1" s="1016">
      <c r="B149" s="285" t="inlineStr">
        <is>
          <t>Gastos Fijos Directivos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1016">
      <c r="B150" s="107" t="inlineStr">
        <is>
          <t>Gastos Financieros Directos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  <c r="AQ150" s="24" t="n"/>
      <c r="AR150" s="24" t="n"/>
      <c r="AS150" s="1133" t="n"/>
    </row>
    <row r="151" ht="15" customHeight="1" s="1016" thickBot="1">
      <c r="B151" s="300" t="inlineStr">
        <is>
          <t>Donaciones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  <c r="AQ151" s="300" t="n"/>
      <c r="AR151" s="300" t="n"/>
      <c r="AS151" s="1158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  <c r="AQ153" s="628">
        <f>SUM(AQ154:AQ160)</f>
        <v/>
      </c>
      <c r="AR153" s="628" t="n"/>
      <c r="AS153" s="1159" t="n"/>
    </row>
    <row r="154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286" t="n"/>
      <c r="G154" s="230" t="n"/>
      <c r="H154" s="1161" t="n"/>
      <c r="I154" s="286" t="n"/>
      <c r="J154" s="230" t="n"/>
      <c r="K154" s="1161" t="n"/>
      <c r="L154" s="286" t="n"/>
      <c r="M154" s="230" t="n"/>
      <c r="N154" s="1161" t="n"/>
      <c r="O154" s="1197" t="n"/>
      <c r="P154" s="230" t="n"/>
      <c r="Q154" s="1161" t="n"/>
      <c r="R154" s="286" t="n"/>
      <c r="S154" s="230" t="n"/>
      <c r="T154" s="1161" t="n"/>
      <c r="U154" s="287" t="n"/>
      <c r="V154" s="230" t="n"/>
      <c r="W154" s="1161" t="n"/>
      <c r="X154" s="287" t="n"/>
      <c r="Y154" s="230" t="n"/>
      <c r="Z154" s="1161" t="n"/>
      <c r="AA154" s="287" t="n"/>
      <c r="AB154" s="230" t="n"/>
      <c r="AC154" s="1161" t="n"/>
      <c r="AD154" s="287" t="n"/>
      <c r="AE154" s="230" t="n"/>
      <c r="AF154" s="1161" t="n"/>
      <c r="AG154" s="287" t="n"/>
      <c r="AH154" s="230" t="n"/>
      <c r="AI154" s="1161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62" t="n"/>
      <c r="AQ154" s="289" t="n"/>
      <c r="AR154" s="289" t="n"/>
      <c r="AS154" s="1163" t="n"/>
    </row>
    <row r="155" ht="15" customHeight="1" s="1016">
      <c r="B155" s="1164" t="inlineStr">
        <is>
          <t>Donacion</t>
        </is>
      </c>
      <c r="C155" s="691" t="n"/>
      <c r="D155" s="9" t="n"/>
      <c r="E155" s="1165" t="n"/>
      <c r="F155" s="691" t="n"/>
      <c r="G155" s="9" t="n"/>
      <c r="H155" s="1165" t="n"/>
      <c r="I155" s="692" t="n"/>
      <c r="J155" s="9" t="n"/>
      <c r="K155" s="1165" t="n"/>
      <c r="L155" s="692" t="n"/>
      <c r="M155" s="9" t="n"/>
      <c r="N155" s="1165" t="n"/>
      <c r="O155" s="1204" t="n"/>
      <c r="P155" s="9" t="n"/>
      <c r="Q155" s="1165" t="n"/>
      <c r="R155" s="692" t="n"/>
      <c r="S155" s="9" t="n"/>
      <c r="T155" s="1165" t="n"/>
      <c r="U155" s="692" t="n"/>
      <c r="V155" s="9" t="n"/>
      <c r="W155" s="1165" t="n"/>
      <c r="X155" s="692" t="n"/>
      <c r="Y155" s="9" t="n"/>
      <c r="Z155" s="1165" t="n"/>
      <c r="AA155" s="692" t="n"/>
      <c r="AB155" s="9" t="n"/>
      <c r="AC155" s="1165" t="n"/>
      <c r="AD155" s="1204" t="n"/>
      <c r="AE155" s="9" t="n"/>
      <c r="AF155" s="1165" t="n"/>
      <c r="AG155" s="1204" t="n"/>
      <c r="AH155" s="9" t="n"/>
      <c r="AI155" s="1165" t="n"/>
      <c r="AJ155" s="1204" t="n"/>
      <c r="AK155" s="9" t="n"/>
      <c r="AL155" s="240" t="n"/>
      <c r="AM155" s="294">
        <f>C155+F155+I155+L155+O155+R155+U155+X155+AA155+AD155+AG155+AJ155</f>
        <v/>
      </c>
      <c r="AN155" s="9" t="n"/>
      <c r="AO155" s="1166" t="n"/>
      <c r="AQ155" s="248" t="n"/>
      <c r="AR155" s="248" t="n"/>
      <c r="AS155" s="1167" t="n"/>
    </row>
    <row r="156" ht="15" customHeight="1" s="1016">
      <c r="B156" s="1168" t="inlineStr">
        <is>
          <t>Donacion</t>
        </is>
      </c>
      <c r="C156" s="685" t="n"/>
      <c r="D156" s="675" t="n"/>
      <c r="E156" s="1169" t="n"/>
      <c r="F156" s="685" t="n"/>
      <c r="G156" s="675" t="n"/>
      <c r="H156" s="1169" t="n"/>
      <c r="I156" s="686" t="n"/>
      <c r="J156" s="675" t="n"/>
      <c r="K156" s="1169" t="n"/>
      <c r="L156" s="686" t="n"/>
      <c r="M156" s="675" t="n"/>
      <c r="N156" s="1169" t="n"/>
      <c r="O156" s="1224" t="n"/>
      <c r="P156" s="675" t="n"/>
      <c r="Q156" s="1169" t="n"/>
      <c r="R156" s="686" t="n"/>
      <c r="S156" s="675" t="n"/>
      <c r="T156" s="1169" t="n"/>
      <c r="U156" s="686" t="n"/>
      <c r="V156" s="675" t="n"/>
      <c r="W156" s="1169" t="n"/>
      <c r="X156" s="686" t="n"/>
      <c r="Y156" s="675" t="n"/>
      <c r="Z156" s="1169" t="n"/>
      <c r="AA156" s="686" t="n"/>
      <c r="AB156" s="675" t="n"/>
      <c r="AC156" s="1169" t="n"/>
      <c r="AD156" s="1224" t="n"/>
      <c r="AE156" s="675" t="n"/>
      <c r="AF156" s="1169" t="n"/>
      <c r="AG156" s="1224" t="n"/>
      <c r="AH156" s="675" t="n"/>
      <c r="AI156" s="1169" t="n"/>
      <c r="AJ156" s="1224" t="n"/>
      <c r="AK156" s="675" t="n"/>
      <c r="AL156" s="679" t="n"/>
      <c r="AM156" s="713">
        <f>C156+F156+I156+L156+O156+R156+U156+X156+AA156+AD156+AG156+AJ156</f>
        <v/>
      </c>
      <c r="AN156" s="675" t="n"/>
      <c r="AO156" s="1170" t="n"/>
      <c r="AQ156" s="248" t="n"/>
      <c r="AR156" s="248" t="n"/>
      <c r="AS156" s="1167" t="n"/>
    </row>
    <row r="157" ht="15" customHeight="1" s="1016">
      <c r="B157" s="1171" t="inlineStr">
        <is>
          <t>Otros Ajustes</t>
        </is>
      </c>
      <c r="C157" s="561" t="n"/>
      <c r="D157" s="551" t="n"/>
      <c r="E157" s="1172" t="n"/>
      <c r="F157" s="561" t="n"/>
      <c r="G157" s="551" t="n"/>
      <c r="H157" s="1172" t="n"/>
      <c r="I157" s="565" t="n"/>
      <c r="J157" s="551" t="n"/>
      <c r="K157" s="1172" t="n"/>
      <c r="L157" s="565" t="n"/>
      <c r="M157" s="551" t="n"/>
      <c r="N157" s="1172" t="n"/>
      <c r="O157" s="565" t="n"/>
      <c r="P157" s="551" t="n"/>
      <c r="Q157" s="1172" t="n"/>
      <c r="R157" s="565" t="n"/>
      <c r="S157" s="551" t="n"/>
      <c r="T157" s="1172" t="n"/>
      <c r="U157" s="565" t="n"/>
      <c r="V157" s="551" t="n"/>
      <c r="W157" s="1172" t="n"/>
      <c r="X157" s="565" t="n"/>
      <c r="Y157" s="551" t="n"/>
      <c r="Z157" s="1172" t="n"/>
      <c r="AA157" s="565" t="n"/>
      <c r="AB157" s="551" t="n"/>
      <c r="AC157" s="1172" t="n"/>
      <c r="AD157" s="565" t="n"/>
      <c r="AE157" s="551" t="n"/>
      <c r="AF157" s="1172" t="n"/>
      <c r="AG157" s="565" t="n"/>
      <c r="AH157" s="551" t="n"/>
      <c r="AI157" s="1172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03">
        <f>AM157/AM42</f>
        <v/>
      </c>
      <c r="AQ157" s="559" t="n"/>
      <c r="AR157" s="559" t="n"/>
      <c r="AS157" s="1174" t="n"/>
    </row>
    <row r="158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565" t="n"/>
      <c r="P158" s="13" t="n"/>
      <c r="Q158" s="1176" t="n"/>
      <c r="R158" s="565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AM158/$AM$42</f>
        <v/>
      </c>
      <c r="AQ158" s="296" t="n"/>
      <c r="AR158" s="296" t="n"/>
      <c r="AS158" s="1178" t="n"/>
    </row>
    <row r="159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565" t="n"/>
      <c r="P159" s="13" t="n"/>
      <c r="Q159" s="1176" t="n"/>
      <c r="R159" s="565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>
        <f>AM159/$AM$42</f>
        <v/>
      </c>
      <c r="AQ159" s="296" t="n"/>
      <c r="AR159" s="296" t="n"/>
      <c r="AS159" s="1178" t="n"/>
    </row>
    <row r="160" ht="15" customHeight="1" s="1016" thickBot="1">
      <c r="B160" s="1179" t="inlineStr">
        <is>
          <t>Otros Ajustes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81">
        <f>AM160/$AM$42</f>
        <v/>
      </c>
      <c r="AQ160" s="620" t="n"/>
      <c r="AR160" s="620" t="n"/>
      <c r="AS160" s="1182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  <c r="AQ161" s="628">
        <f>AQ144-AQ147-AQ153</f>
        <v/>
      </c>
      <c r="AR161" s="628" t="n"/>
      <c r="AS161" s="1159" t="n"/>
    </row>
    <row r="162" ht="15" customHeight="1" s="1016" thickBot="1" thickTop="1">
      <c r="B162" s="65" t="n"/>
      <c r="C162" s="454">
        <f>IFERROR(C161/C13," ")</f>
        <v/>
      </c>
      <c r="D162" s="445" t="n"/>
      <c r="E162" s="1225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  <c r="AQ162" s="629">
        <f>IFERROR(AQ161/AQ13," ")</f>
        <v/>
      </c>
      <c r="AR162" s="629" t="n"/>
      <c r="AS162" s="1159" t="n"/>
    </row>
    <row r="163" ht="10.8" customHeight="1" s="1016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7"/>
    <col width="8.6640625" customWidth="1" style="1058" min="38" max="38"/>
    <col width="15.6640625" customWidth="1" style="1010" min="39" max="39"/>
    <col width="8.6640625" customWidth="1" style="1010" min="40" max="40"/>
    <col width="8.6640625" customWidth="1" style="1058" min="41" max="41"/>
    <col width="7.4414062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COMEDORES CALI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21" t="n"/>
    </row>
    <row r="3" ht="21.75" customHeight="1" s="1016" thickBot="1" thickTop="1">
      <c r="B3" s="522" t="inlineStr">
        <is>
          <t xml:space="preserve">DIAS DE ATENCIÓN </t>
        </is>
      </c>
      <c r="C3" s="478" t="n">
        <v>16</v>
      </c>
      <c r="D3" s="479" t="n"/>
      <c r="E3" s="1060" t="n"/>
      <c r="F3" s="478" t="n">
        <v>20</v>
      </c>
      <c r="G3" s="479" t="n"/>
      <c r="H3" s="1060" t="n"/>
      <c r="I3" s="478" t="n">
        <v>21</v>
      </c>
      <c r="J3" s="479" t="n"/>
      <c r="K3" s="1060" t="n"/>
      <c r="L3" s="478" t="n">
        <v>20</v>
      </c>
      <c r="M3" s="479" t="n"/>
      <c r="N3" s="1060" t="n"/>
      <c r="O3" s="478" t="n">
        <v>19</v>
      </c>
      <c r="P3" s="479" t="n"/>
      <c r="Q3" s="1060" t="n"/>
      <c r="R3" s="478" t="n">
        <v>19</v>
      </c>
      <c r="S3" s="479" t="n"/>
      <c r="T3" s="1060" t="n"/>
      <c r="U3" s="478" t="n">
        <v>22</v>
      </c>
      <c r="V3" s="479" t="n"/>
      <c r="W3" s="1060" t="n"/>
      <c r="X3" s="478" t="n">
        <v>19</v>
      </c>
      <c r="Y3" s="479" t="n"/>
      <c r="Z3" s="1060" t="n"/>
      <c r="AA3" s="478" t="n">
        <v>22</v>
      </c>
      <c r="AB3" s="479" t="n"/>
      <c r="AC3" s="1060" t="n"/>
      <c r="AD3" s="478" t="n">
        <v>21</v>
      </c>
      <c r="AE3" s="479" t="n"/>
      <c r="AF3" s="1060" t="n"/>
      <c r="AG3" s="478" t="n">
        <v>19</v>
      </c>
      <c r="AH3" s="479" t="n"/>
      <c r="AI3" s="1060" t="n"/>
      <c r="AJ3" s="478" t="n">
        <v>21</v>
      </c>
      <c r="AK3" s="479" t="n"/>
      <c r="AL3" s="1060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6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66" t="n"/>
      <c r="F5" s="257" t="n"/>
      <c r="G5" s="89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1066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70" t="n"/>
      <c r="F6" s="25" t="n"/>
      <c r="G6" s="89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1070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70" t="n"/>
      <c r="F7" s="25" t="n"/>
      <c r="G7" s="89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1070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70" t="n"/>
      <c r="F8" s="25" t="n"/>
      <c r="G8" s="43" t="n"/>
      <c r="H8" s="1070" t="n"/>
      <c r="I8" s="25" t="n"/>
      <c r="J8" s="43" t="n"/>
      <c r="K8" s="1070" t="n"/>
      <c r="L8" s="25" t="n"/>
      <c r="M8" s="43" t="n"/>
      <c r="N8" s="1070" t="n"/>
      <c r="O8" s="25" t="n"/>
      <c r="P8" s="43" t="n"/>
      <c r="Q8" s="1070" t="n"/>
      <c r="R8" s="25" t="n"/>
      <c r="S8" s="43" t="n"/>
      <c r="T8" s="1070" t="n"/>
      <c r="U8" s="25" t="n"/>
      <c r="V8" s="43" t="n"/>
      <c r="W8" s="1070" t="n"/>
      <c r="X8" s="25" t="n"/>
      <c r="Y8" s="43" t="n"/>
      <c r="Z8" s="1070" t="n"/>
      <c r="AA8" s="25" t="n"/>
      <c r="AB8" s="43" t="n"/>
      <c r="AC8" s="1070" t="n"/>
      <c r="AD8" s="25" t="n"/>
      <c r="AE8" s="43" t="n"/>
      <c r="AF8" s="1070" t="n"/>
      <c r="AG8" s="25" t="n"/>
      <c r="AH8" s="43" t="n"/>
      <c r="AI8" s="1070" t="n"/>
      <c r="AJ8" s="74" t="n"/>
      <c r="AK8" s="43" t="n"/>
      <c r="AL8" s="1070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739" t="n"/>
      <c r="C9" s="74" t="n"/>
      <c r="D9" s="43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1070" t="n"/>
      <c r="AM9" s="205">
        <f>C9+F9+I9+L9+O9+R9+U9+X9+AA9+AD9+AG9+AJ9</f>
        <v/>
      </c>
      <c r="AN9" s="43" t="n"/>
      <c r="AO9" s="1071" t="n"/>
    </row>
    <row r="10" ht="15" customFormat="1" customHeight="1" s="223">
      <c r="A10" s="228" t="n"/>
      <c r="B10" s="258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1070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1072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1074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1076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1078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96" t="n"/>
      <c r="AF15" s="1078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58" t="inlineStr">
        <is>
          <t>SUMINISTRO lunes a viernes</t>
        </is>
      </c>
      <c r="C16" s="257" t="n"/>
      <c r="D16" s="79" t="n"/>
      <c r="E16" s="1080" t="n"/>
      <c r="F16" s="257" t="n"/>
      <c r="G16" s="79" t="n"/>
      <c r="H16" s="1080" t="n"/>
      <c r="I16" s="257" t="n"/>
      <c r="J16" s="79">
        <f>I16/I5</f>
        <v/>
      </c>
      <c r="K16" s="1080" t="n"/>
      <c r="L16" s="257" t="n"/>
      <c r="M16" s="79">
        <f>L16/L5</f>
        <v/>
      </c>
      <c r="N16" s="1080" t="n"/>
      <c r="O16" s="257" t="n"/>
      <c r="P16" s="79">
        <f>O16/O5</f>
        <v/>
      </c>
      <c r="Q16" s="1080" t="n"/>
      <c r="R16" s="257" t="n"/>
      <c r="S16" s="79">
        <f>R16/R5</f>
        <v/>
      </c>
      <c r="T16" s="1080" t="n"/>
      <c r="U16" s="257" t="n"/>
      <c r="V16" s="79">
        <f>U16/U5</f>
        <v/>
      </c>
      <c r="W16" s="1080" t="n"/>
      <c r="X16" s="257" t="n"/>
      <c r="Y16" s="79">
        <f>X16/X5</f>
        <v/>
      </c>
      <c r="Z16" s="1080" t="n"/>
      <c r="AA16" s="257" t="n"/>
      <c r="AB16" s="79">
        <f>AA16/AA5</f>
        <v/>
      </c>
      <c r="AC16" s="1080" t="n"/>
      <c r="AD16" s="257" t="n"/>
      <c r="AE16" s="79">
        <f>AD16/AD5</f>
        <v/>
      </c>
      <c r="AF16" s="1080" t="n"/>
      <c r="AG16" s="257" t="n"/>
      <c r="AH16" s="79">
        <f>AG16/AG5</f>
        <v/>
      </c>
      <c r="AI16" s="1080" t="n"/>
      <c r="AJ16" s="257" t="n"/>
      <c r="AK16" s="79">
        <f>AJ16/AJ5</f>
        <v/>
      </c>
      <c r="AL16" s="1080" t="n"/>
      <c r="AM16" s="212">
        <f>C16+F16+I16+L16+O16+R16+U16+X16+AA16+AD16+AG16+AJ16</f>
        <v/>
      </c>
      <c r="AN16" s="79">
        <f>AM16/(AM5)</f>
        <v/>
      </c>
      <c r="AO16" s="1081">
        <f>AM16/AM$13</f>
        <v/>
      </c>
    </row>
    <row r="17" ht="15" customHeight="1" s="1016">
      <c r="B17" s="258" t="inlineStr">
        <is>
          <t>SUMINISTRO lunes a viernes   OP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1070" t="n"/>
      <c r="AM17" s="205">
        <f>C17+F17+I17+L17+O17+R17+U17+X17+AA17+AD17+AG17+AJ17</f>
        <v/>
      </c>
      <c r="AN17" s="43" t="n"/>
      <c r="AO17" s="1071">
        <f>AM17/AM$13</f>
        <v/>
      </c>
    </row>
    <row r="18" ht="15" customHeight="1" s="1016">
      <c r="B18" s="258" t="inlineStr">
        <is>
          <t xml:space="preserve">SUMINISTRO Fines de Semana    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>
        <f>I18/I7</f>
        <v/>
      </c>
      <c r="K18" s="1070" t="n"/>
      <c r="L18" s="25" t="n"/>
      <c r="M18" s="43">
        <f>L18/L7</f>
        <v/>
      </c>
      <c r="N18" s="1070" t="n"/>
      <c r="O18" s="25" t="n"/>
      <c r="P18" s="43">
        <f>O18/O7</f>
        <v/>
      </c>
      <c r="Q18" s="1070" t="n"/>
      <c r="R18" s="25" t="n"/>
      <c r="S18" s="43">
        <f>R18/R7</f>
        <v/>
      </c>
      <c r="T18" s="1070" t="n"/>
      <c r="U18" s="25" t="n"/>
      <c r="V18" s="43">
        <f>U18/U7</f>
        <v/>
      </c>
      <c r="W18" s="1070" t="n"/>
      <c r="X18" s="25" t="n"/>
      <c r="Y18" s="43">
        <f>X18/X7</f>
        <v/>
      </c>
      <c r="Z18" s="1070" t="n"/>
      <c r="AA18" s="25" t="n"/>
      <c r="AB18" s="43">
        <f>AA18/AA7</f>
        <v/>
      </c>
      <c r="AC18" s="1070" t="n"/>
      <c r="AD18" s="25" t="n"/>
      <c r="AE18" s="43">
        <f>AD18/AD7</f>
        <v/>
      </c>
      <c r="AF18" s="1070" t="n"/>
      <c r="AG18" s="25" t="n"/>
      <c r="AH18" s="43">
        <f>AG18/AG7</f>
        <v/>
      </c>
      <c r="AI18" s="1070" t="n"/>
      <c r="AJ18" s="25" t="n"/>
      <c r="AK18" s="43">
        <f>AJ18/AJ7</f>
        <v/>
      </c>
      <c r="AL18" s="1070" t="n"/>
      <c r="AM18" s="205">
        <f>C18+F18+I18+L18+O18+R18+U18+X18+AA18+AD18+AG18+AJ18</f>
        <v/>
      </c>
      <c r="AN18" s="43">
        <f>AM18/AM7</f>
        <v/>
      </c>
      <c r="AO18" s="1071">
        <f>AM18/AM$13</f>
        <v/>
      </c>
    </row>
    <row r="19" ht="15" customHeight="1" s="1016">
      <c r="B19" s="258" t="inlineStr">
        <is>
          <t xml:space="preserve">Contingencia   </t>
        </is>
      </c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1070" t="n"/>
      <c r="AM19" s="205">
        <f>C19+F19+I19+L19+O19+R19+U19+X19+AA19+AD19+AG19+AJ19</f>
        <v/>
      </c>
      <c r="AN19" s="43" t="n"/>
      <c r="AO19" s="1071" t="n"/>
    </row>
    <row r="20" ht="15" customHeight="1" s="1016">
      <c r="B20" s="739" t="n"/>
      <c r="C20" s="74" t="n"/>
      <c r="D20" s="43" t="n"/>
      <c r="E20" s="1070" t="n"/>
      <c r="F20" s="7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1070" t="n"/>
      <c r="AM20" s="205">
        <f>C20+F20+I20+L20+O20+R20+U20+X20+AA20+AD20+AG20+AJ20</f>
        <v/>
      </c>
      <c r="AN20" s="43" t="n"/>
      <c r="AO20" s="1071" t="n"/>
    </row>
    <row r="21" ht="15" customHeight="1" s="1016">
      <c r="B21" s="432" t="inlineStr">
        <is>
          <t>TRANSPORTE Lunes a viernes</t>
        </is>
      </c>
      <c r="C21" s="75" t="n"/>
      <c r="D21" s="43" t="n"/>
      <c r="E21" s="1070" t="n"/>
      <c r="F21" s="7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1070" t="n"/>
      <c r="AM21" s="205">
        <f>C21+F21+I21+L21+O21+R21+U21+X21+AA21+AD21+AG21+AJ21</f>
        <v/>
      </c>
      <c r="AN21" s="43" t="n"/>
      <c r="AO21" s="1071" t="n"/>
    </row>
    <row r="22" ht="15" customHeight="1" s="1016">
      <c r="B22" s="432" t="inlineStr">
        <is>
          <t>TRANSPORTE Fines de Semana</t>
        </is>
      </c>
      <c r="C22" s="51" t="n"/>
      <c r="D22" s="42" t="n"/>
      <c r="E22" s="1082" t="n"/>
      <c r="F22" s="51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1082" t="n"/>
      <c r="AM22" s="97">
        <f>C22+F22+I22+L22+O22+R22+U22+X22+AA22+AD22+AG22+AJ22</f>
        <v/>
      </c>
      <c r="AN22" s="42" t="n"/>
      <c r="AO22" s="1083" t="n"/>
    </row>
    <row r="23" hidden="1" outlineLevel="1" ht="10.2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49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1078" t="n"/>
      <c r="AM23" s="16">
        <f>C23+F23+I23+L23+O23+R23+U23+X23+AA23+AD23+AG23+AJ23</f>
        <v/>
      </c>
      <c r="AN23" s="3" t="n"/>
      <c r="AO23" s="1079" t="n"/>
    </row>
    <row r="24" hidden="1" outlineLevel="1" ht="10.2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1078" t="n"/>
      <c r="AM24" s="16">
        <f>C24+F24+I24+L24+O24+R24+U24+X24+AA24+AD24+AG24+AJ24</f>
        <v/>
      </c>
      <c r="AN24" s="3" t="n"/>
      <c r="AO24" s="1079" t="n"/>
    </row>
    <row r="25" hidden="1" outlineLevel="1" ht="10.2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1084" t="n"/>
      <c r="AM25" s="34">
        <f>C25+F25+I25+L25+O25+R25+U25+X25+AA25+AD25+AG25+AJ25</f>
        <v/>
      </c>
      <c r="AN25" s="52" t="n"/>
      <c r="AO25" s="1085" t="n"/>
    </row>
    <row r="26" hidden="1" outlineLevel="1" ht="10.2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1084" t="n"/>
      <c r="AM26" s="34">
        <f>C26+F26+I26+L26+O26+R26+U26+X26+AA26+AD26+AG26+AJ26</f>
        <v/>
      </c>
      <c r="AN26" s="52" t="n"/>
      <c r="AO26" s="1085" t="n"/>
    </row>
    <row r="27" hidden="1" outlineLevel="1" ht="10.2" customHeight="1" s="1016">
      <c r="B27" s="32" t="inlineStr">
        <is>
          <t>otros Fin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1084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49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1078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764">
        <f>X29/X13</f>
        <v/>
      </c>
      <c r="AA29" s="90">
        <f>SUM(AA30:AA35)</f>
        <v/>
      </c>
      <c r="AB29" s="3" t="n"/>
      <c r="AC29" s="1078">
        <f>AA29/AA13</f>
        <v/>
      </c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1078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</row>
    <row r="30" hidden="1" outlineLevel="1" ht="15" customHeight="1" s="1016"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1080" t="n"/>
      <c r="AM30" s="212">
        <f>C30+F30+I30+L30+O30+R30+U30+X30+AA30+AD30+AG30+AJ30</f>
        <v/>
      </c>
      <c r="AN30" s="79" t="n"/>
      <c r="AO30" s="1081" t="n"/>
    </row>
    <row r="31" hidden="1" outlineLevel="1" ht="15" customHeight="1" s="1016" thickBot="1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1070" t="n"/>
      <c r="AM31" s="205">
        <f>C31+F31+I31+L31+O31+R31+U31+X31+AA31+AD31+AG31+AJ31</f>
        <v/>
      </c>
      <c r="AN31" s="43" t="n"/>
      <c r="AO31" s="1071" t="n"/>
    </row>
    <row r="32" hidden="1" outlineLevel="1" ht="15" customHeight="1" s="1016" thickBot="1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1070" t="n"/>
      <c r="AM32" s="205">
        <f>C32+F32+I32+L32+O32+R32+U32+X32+AA32+AD32+AG32+AJ32</f>
        <v/>
      </c>
      <c r="AN32" s="43" t="n"/>
      <c r="AO32" s="1071" t="n"/>
    </row>
    <row r="33" hidden="1" outlineLevel="1" ht="15" customHeight="1" s="1016" thickBot="1">
      <c r="B33" s="105" t="n"/>
      <c r="C33" s="1087" t="n"/>
      <c r="D33" s="43" t="n"/>
      <c r="E33" s="1070" t="n"/>
      <c r="F33" s="1087" t="n"/>
      <c r="G33" s="43" t="n"/>
      <c r="H33" s="1070" t="n"/>
      <c r="I33" s="1087" t="n"/>
      <c r="J33" s="43" t="n"/>
      <c r="K33" s="1070" t="n"/>
      <c r="L33" s="1087" t="n"/>
      <c r="M33" s="43" t="n"/>
      <c r="N33" s="1070" t="n"/>
      <c r="O33" s="1087" t="n"/>
      <c r="P33" s="43" t="n"/>
      <c r="Q33" s="1070" t="n"/>
      <c r="R33" s="1087" t="n"/>
      <c r="S33" s="43" t="n"/>
      <c r="T33" s="1070" t="n"/>
      <c r="U33" s="1087" t="n"/>
      <c r="V33" s="43" t="n"/>
      <c r="W33" s="1070" t="n"/>
      <c r="X33" s="1087" t="n"/>
      <c r="Y33" s="43" t="n"/>
      <c r="Z33" s="1070" t="n"/>
      <c r="AA33" s="1087" t="n"/>
      <c r="AB33" s="43" t="n"/>
      <c r="AC33" s="1070" t="n"/>
      <c r="AD33" s="1087" t="n"/>
      <c r="AE33" s="43" t="n"/>
      <c r="AF33" s="1070" t="n"/>
      <c r="AG33" s="1087" t="n"/>
      <c r="AH33" s="43" t="n"/>
      <c r="AI33" s="1070" t="n"/>
      <c r="AJ33" s="1087" t="n"/>
      <c r="AK33" s="43" t="n"/>
      <c r="AL33" s="1070" t="n"/>
      <c r="AM33" s="205">
        <f>C33+F33+I33+L33+O33+R33+U33+X33+AA33+AD33+AG33+AJ33</f>
        <v/>
      </c>
      <c r="AN33" s="43" t="n"/>
      <c r="AO33" s="1071" t="n"/>
    </row>
    <row r="34" hidden="1" outlineLevel="1" ht="15" customHeight="1" s="1016" thickBot="1">
      <c r="B34" s="105" t="n"/>
      <c r="C34" s="1087" t="n"/>
      <c r="D34" s="43" t="n"/>
      <c r="E34" s="1070" t="n"/>
      <c r="F34" s="1087" t="n"/>
      <c r="G34" s="43" t="n"/>
      <c r="H34" s="1070" t="n"/>
      <c r="I34" s="1087" t="n"/>
      <c r="J34" s="43" t="n"/>
      <c r="K34" s="1070" t="n"/>
      <c r="L34" s="1087" t="n"/>
      <c r="M34" s="43" t="n"/>
      <c r="N34" s="1070" t="n"/>
      <c r="O34" s="1087" t="n"/>
      <c r="P34" s="43" t="n"/>
      <c r="Q34" s="1070" t="n"/>
      <c r="R34" s="1087" t="n"/>
      <c r="S34" s="43" t="n"/>
      <c r="T34" s="1070" t="n"/>
      <c r="U34" s="1087" t="n"/>
      <c r="V34" s="43" t="n"/>
      <c r="W34" s="1070" t="n"/>
      <c r="X34" s="1087" t="n"/>
      <c r="Y34" s="43" t="n"/>
      <c r="Z34" s="1070" t="n"/>
      <c r="AA34" s="1087" t="n"/>
      <c r="AB34" s="43" t="n"/>
      <c r="AC34" s="1070" t="n"/>
      <c r="AD34" s="1087" t="n"/>
      <c r="AE34" s="43" t="n"/>
      <c r="AF34" s="1070" t="n"/>
      <c r="AG34" s="1087" t="n"/>
      <c r="AH34" s="43" t="n"/>
      <c r="AI34" s="1070" t="n"/>
      <c r="AJ34" s="1087" t="n"/>
      <c r="AK34" s="43" t="n"/>
      <c r="AL34" s="1070" t="n"/>
      <c r="AM34" s="205">
        <f>C34+F34+I34+L34+O34+R34+U34+X34+AA34+AD34+AG34+AJ34</f>
        <v/>
      </c>
      <c r="AN34" s="43" t="n"/>
      <c r="AO34" s="1071" t="n"/>
    </row>
    <row r="35" hidden="1" outlineLevel="1" ht="15" customHeight="1" s="1016" thickBot="1">
      <c r="B35" s="335" t="n"/>
      <c r="C35" s="1087" t="n"/>
      <c r="D35" s="92" t="n"/>
      <c r="E35" s="1088" t="n"/>
      <c r="F35" s="1087" t="n"/>
      <c r="G35" s="92" t="n"/>
      <c r="H35" s="1088" t="n"/>
      <c r="I35" s="1087" t="n"/>
      <c r="J35" s="92" t="n"/>
      <c r="K35" s="1088" t="n"/>
      <c r="L35" s="1087" t="n"/>
      <c r="M35" s="92" t="n"/>
      <c r="N35" s="1088" t="n"/>
      <c r="O35" s="1087" t="n"/>
      <c r="P35" s="92" t="n"/>
      <c r="Q35" s="1088" t="n"/>
      <c r="R35" s="1087" t="n"/>
      <c r="S35" s="92" t="n"/>
      <c r="T35" s="1088" t="n"/>
      <c r="U35" s="1087" t="n"/>
      <c r="V35" s="92" t="n"/>
      <c r="W35" s="1088" t="n"/>
      <c r="X35" s="1087" t="n"/>
      <c r="Y35" s="92" t="n"/>
      <c r="Z35" s="1088" t="n"/>
      <c r="AA35" s="1087" t="n"/>
      <c r="AB35" s="92" t="n"/>
      <c r="AC35" s="1088" t="n"/>
      <c r="AD35" s="1087" t="n"/>
      <c r="AE35" s="92" t="n"/>
      <c r="AF35" s="1088" t="n"/>
      <c r="AG35" s="1087" t="n"/>
      <c r="AH35" s="92" t="n"/>
      <c r="AI35" s="1088" t="n"/>
      <c r="AJ35" s="1087" t="n"/>
      <c r="AK35" s="92" t="n"/>
      <c r="AL35" s="1088" t="n"/>
      <c r="AM35" s="284">
        <f>C35+F35+I35+L35+O35+R35+U35+X35+AA35+AD35+AG35+AJ35</f>
        <v/>
      </c>
      <c r="AN35" s="92" t="n"/>
      <c r="AO35" s="1089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123" t="n"/>
      <c r="AA36" s="25" t="n"/>
      <c r="AB36" s="43" t="n"/>
      <c r="AC36" s="1123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1070" t="n"/>
      <c r="AM36" s="25" t="n"/>
      <c r="AN36" s="43" t="n"/>
      <c r="AO36" s="1071" t="n"/>
    </row>
    <row r="37" hidden="1" outlineLevel="1" ht="15" customHeight="1" s="1016" thickBot="1">
      <c r="B37" s="105" t="n"/>
      <c r="C37" s="25" t="n"/>
      <c r="D37" s="43" t="n"/>
      <c r="E37" s="1070" t="n"/>
      <c r="F37" s="25" t="n"/>
      <c r="G37" s="43" t="n"/>
      <c r="H37" s="1070" t="n"/>
      <c r="I37" s="25" t="n"/>
      <c r="J37" s="43" t="n"/>
      <c r="K37" s="1070" t="n"/>
      <c r="L37" s="25" t="n"/>
      <c r="M37" s="43" t="n"/>
      <c r="N37" s="1070" t="n"/>
      <c r="O37" s="25" t="n"/>
      <c r="P37" s="43" t="n"/>
      <c r="Q37" s="1070" t="n"/>
      <c r="R37" s="25" t="n"/>
      <c r="S37" s="43" t="n"/>
      <c r="T37" s="1070" t="n"/>
      <c r="U37" s="25" t="n"/>
      <c r="V37" s="43" t="n"/>
      <c r="W37" s="1070" t="n"/>
      <c r="X37" s="25" t="n"/>
      <c r="Y37" s="43" t="n"/>
      <c r="Z37" s="1070" t="n"/>
      <c r="AA37" s="25" t="n"/>
      <c r="AB37" s="43" t="n"/>
      <c r="AC37" s="1070" t="n"/>
      <c r="AD37" s="25" t="n"/>
      <c r="AE37" s="43" t="n"/>
      <c r="AF37" s="1070" t="n"/>
      <c r="AG37" s="25" t="n"/>
      <c r="AH37" s="43" t="n"/>
      <c r="AI37" s="1070" t="n"/>
      <c r="AJ37" s="25" t="n"/>
      <c r="AK37" s="43" t="n"/>
      <c r="AL37" s="1070" t="n"/>
      <c r="AM37" s="205" t="n"/>
      <c r="AN37" s="43" t="n"/>
      <c r="AO37" s="1071" t="n"/>
    </row>
    <row r="38" hidden="1" outlineLevel="1" ht="15" customHeight="1" s="1016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1082" t="n"/>
      <c r="AM38" s="97" t="n"/>
      <c r="AN38" s="42" t="n"/>
      <c r="AO38" s="1083" t="n"/>
    </row>
    <row r="39" hidden="1" outlineLevel="1" ht="15" customHeight="1" s="1016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1082" t="n"/>
      <c r="AM39" s="97" t="n"/>
      <c r="AN39" s="42" t="n"/>
      <c r="AO39" s="1083" t="n"/>
    </row>
    <row r="40" hidden="1" outlineLevel="1" ht="15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1082" t="n"/>
      <c r="AM40" s="97" t="n"/>
      <c r="AN40" s="42" t="n"/>
      <c r="AO40" s="1083" t="n"/>
    </row>
    <row r="41" hidden="1" outlineLevel="1" ht="15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1082" t="n"/>
      <c r="AM41" s="97" t="n"/>
      <c r="AN41" s="42" t="n"/>
      <c r="AO41" s="1083" t="n"/>
    </row>
    <row r="42" collapsed="1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1090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883" t="n"/>
      <c r="D43" s="1124" t="n"/>
      <c r="E43" s="1120" t="n"/>
      <c r="F43" s="883" t="n"/>
      <c r="G43" s="698" t="n"/>
      <c r="H43" s="1126" t="n"/>
      <c r="I43" s="703" t="n"/>
      <c r="J43" s="703" t="n"/>
      <c r="K43" s="1126" t="n"/>
      <c r="L43" s="703" t="n"/>
      <c r="M43" s="703" t="n"/>
      <c r="N43" s="1126" t="n"/>
      <c r="O43" s="703" t="n"/>
      <c r="P43" s="703" t="n"/>
      <c r="Q43" s="1126" t="n"/>
      <c r="R43" s="703" t="n"/>
      <c r="S43" s="703" t="n"/>
      <c r="T43" s="1126" t="n"/>
      <c r="U43" s="703" t="n"/>
      <c r="V43" s="703" t="n"/>
      <c r="W43" s="1126" t="n"/>
      <c r="X43" s="703" t="n"/>
      <c r="Y43" s="703" t="n"/>
      <c r="Z43" s="1126" t="n"/>
      <c r="AA43" s="703" t="n"/>
      <c r="AB43" s="703" t="n"/>
      <c r="AC43" s="1126" t="n"/>
      <c r="AD43" s="883" t="n"/>
      <c r="AE43" s="883" t="n"/>
      <c r="AF43" s="1226" t="n"/>
      <c r="AG43" s="883" t="n"/>
      <c r="AH43" s="883" t="n"/>
      <c r="AI43" s="1226" t="n"/>
      <c r="AJ43" s="883" t="n"/>
      <c r="AK43" s="703" t="n"/>
      <c r="AL43" s="703" t="n"/>
      <c r="AM43" s="883" t="n"/>
      <c r="AN43" s="703" t="n"/>
      <c r="AO43" s="1126" t="n"/>
      <c r="AP43" s="698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40">
        <f>+L45+L60+L78</f>
        <v/>
      </c>
      <c r="M44" s="441" t="n"/>
      <c r="N44" s="1128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1095">
        <f>AJ44/AJ$13</f>
        <v/>
      </c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61" t="n"/>
      <c r="AI45" s="1184" t="n"/>
      <c r="AJ45" s="49">
        <f>+AJ46+AJ57</f>
        <v/>
      </c>
      <c r="AK45" s="3" t="n"/>
      <c r="AL45" s="1078" t="n"/>
      <c r="AM45" s="16">
        <f>C45+F45+I45+L45+O45+R45+U45+X45+AA45+AD45+AG45+AJ45</f>
        <v/>
      </c>
      <c r="AN45" s="3" t="n"/>
      <c r="AO45" s="1079">
        <f>AM45/AM13</f>
        <v/>
      </c>
    </row>
    <row r="46" ht="15" customHeight="1" s="1016">
      <c r="B46" s="36" t="inlineStr">
        <is>
          <t>INSUMOS CI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1096" t="n"/>
      <c r="AM46" s="211">
        <f>C46+F46+I46+L46+O46+R46+U46+X46+AA46+AD46+AG46+AJ46</f>
        <v/>
      </c>
      <c r="AN46" s="67" t="n"/>
      <c r="AO46" s="1097">
        <f>AM46/(AM16+AM18+AM19)</f>
        <v/>
      </c>
    </row>
    <row r="47" ht="15" customHeight="1" s="1016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082">
        <f>C47/(C16+C18)</f>
        <v/>
      </c>
      <c r="F47" s="76" t="n">
        <v>2190302626.345448</v>
      </c>
      <c r="G47" s="42">
        <f>F47/F12</f>
        <v/>
      </c>
      <c r="H47" s="1227">
        <f>F47/(F16+F18)</f>
        <v/>
      </c>
      <c r="I47" s="76" t="n"/>
      <c r="J47" s="42">
        <f>I47/I12</f>
        <v/>
      </c>
      <c r="K47" s="1082">
        <f>I47/(I16+I18)</f>
        <v/>
      </c>
      <c r="L47" s="76" t="n"/>
      <c r="M47" s="42">
        <f>L47/L12</f>
        <v/>
      </c>
      <c r="N47" s="1082">
        <f>L47/(L16+L18)</f>
        <v/>
      </c>
      <c r="O47" s="76" t="n"/>
      <c r="P47" s="42">
        <f>O47/O12</f>
        <v/>
      </c>
      <c r="Q47" s="1082">
        <f>O47/(O16+O18)</f>
        <v/>
      </c>
      <c r="R47" s="76" t="n"/>
      <c r="S47" s="42">
        <f>R47/R12</f>
        <v/>
      </c>
      <c r="T47" s="1082">
        <f>R47/(R16+R18)</f>
        <v/>
      </c>
      <c r="U47" s="76" t="n"/>
      <c r="V47" s="42">
        <f>U47/U12</f>
        <v/>
      </c>
      <c r="W47" s="1082">
        <f>U47/(U16+U18)</f>
        <v/>
      </c>
      <c r="X47" s="76" t="n"/>
      <c r="Y47" s="42">
        <f>X47/X12</f>
        <v/>
      </c>
      <c r="Z47" s="1082">
        <f>X47/(X16+X18)</f>
        <v/>
      </c>
      <c r="AA47" s="76" t="n"/>
      <c r="AB47" s="42">
        <f>AA47/AA12</f>
        <v/>
      </c>
      <c r="AC47" s="1082">
        <f>AA47/(AA16+AA18)</f>
        <v/>
      </c>
      <c r="AD47" s="76" t="n"/>
      <c r="AE47" s="42">
        <f>AD47/AD12</f>
        <v/>
      </c>
      <c r="AF47" s="1082">
        <f>AD47/(AD16+AD18)</f>
        <v/>
      </c>
      <c r="AG47" s="76" t="n"/>
      <c r="AH47" s="42">
        <f>AG47/AG12</f>
        <v/>
      </c>
      <c r="AI47" s="1082">
        <f>AG47/(AG16+AG18)</f>
        <v/>
      </c>
      <c r="AJ47" s="76" t="n"/>
      <c r="AK47" s="42">
        <f>AJ47/AJ12</f>
        <v/>
      </c>
      <c r="AL47" s="1082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082">
        <f>AM47/(AM16+AM18+AM19)</f>
        <v/>
      </c>
    </row>
    <row r="48" ht="15" customHeight="1" s="1016">
      <c r="B48" s="258" t="inlineStr">
        <is>
          <t xml:space="preserve">SUMINISTRO lunes a viernes   OP    </t>
        </is>
      </c>
      <c r="C48" s="75" t="n"/>
      <c r="D48" s="43" t="n"/>
      <c r="E48" s="1070" t="n"/>
      <c r="F48" s="7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0" t="n"/>
    </row>
    <row r="49" ht="15" customFormat="1" customHeight="1" s="108">
      <c r="A49" s="229" t="n"/>
      <c r="B49" s="739" t="inlineStr">
        <is>
          <t xml:space="preserve">SUMINISTRO Fines de Semana     </t>
        </is>
      </c>
      <c r="C49" s="75" t="n"/>
      <c r="D49" s="43" t="n"/>
      <c r="E49" s="1070" t="n"/>
      <c r="F49" s="7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1070" t="n"/>
      <c r="AM49" s="205">
        <f>C49+F49+I49+L49+O49+R49+U49+X49+AA49+AD49+AG49+AJ49</f>
        <v/>
      </c>
      <c r="AN49" s="43">
        <f>AM49/AM7</f>
        <v/>
      </c>
      <c r="AO49" s="1070">
        <f>AM49/AM18</f>
        <v/>
      </c>
      <c r="AQ49" s="2" t="n"/>
      <c r="AR49" s="2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1070" t="n"/>
      <c r="AM50" s="205">
        <f>C50+F50+I50+L50+O50+R50+U50+X50+AA50+AD50+AG50+AJ50</f>
        <v/>
      </c>
      <c r="AN50" s="43" t="n"/>
      <c r="AO50" s="1071" t="n"/>
    </row>
    <row r="51" hidden="1" ht="14.4" customHeight="1" s="1016">
      <c r="B51" s="258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351" t="n"/>
      <c r="AE51" s="43" t="n"/>
      <c r="AF51" s="1070" t="n"/>
      <c r="AG51" s="1134" t="n"/>
      <c r="AH51" s="43" t="n"/>
      <c r="AI51" s="1070" t="n"/>
      <c r="AJ51" s="25" t="n"/>
      <c r="AK51" s="43" t="n"/>
      <c r="AL51" s="1070" t="n"/>
      <c r="AM51" s="205">
        <f>C51+F51+I51+L51+O51+R51+U51+X51+AA51+AD51+AG51+AJ51</f>
        <v/>
      </c>
      <c r="AN51" s="43" t="n"/>
      <c r="AO51" s="1071" t="n"/>
    </row>
    <row r="52" hidden="1" ht="10.2" customHeight="1" s="1016">
      <c r="B52" s="410" t="inlineStr">
        <is>
          <t>REFRIGERIOS</t>
        </is>
      </c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1070" t="n"/>
      <c r="AM52" s="205">
        <f>C52+F52+I52+L52+O52+R52+U52+X52+AA52+AD52+AG52+AJ52</f>
        <v/>
      </c>
      <c r="AN52" s="43" t="n"/>
      <c r="AO52" s="1071" t="n"/>
    </row>
    <row r="53" hidden="1" ht="10.2" customHeight="1" s="1016">
      <c r="B53" s="25" t="inlineStr">
        <is>
          <t>PAQUETES MANIPULADORAS</t>
        </is>
      </c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1070" t="n"/>
      <c r="AM53" s="205">
        <f>C53+F53+I53+L53+O53+R53+U53+X53+AA53+AD53+AG53+AJ53</f>
        <v/>
      </c>
      <c r="AN53" s="43" t="n"/>
      <c r="AO53" s="1071" t="n"/>
    </row>
    <row r="54" hidden="1" ht="10.2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1070" t="n"/>
      <c r="AM54" s="205" t="n"/>
      <c r="AN54" s="43" t="n"/>
      <c r="AO54" s="1071" t="n"/>
    </row>
    <row r="55" hidden="1" ht="10.2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1070" t="n"/>
      <c r="AM55" s="205" t="n"/>
      <c r="AN55" s="43" t="n"/>
      <c r="AO55" s="1071" t="n"/>
    </row>
    <row r="56" hidden="1" ht="10.2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1082" t="n"/>
      <c r="AM56" s="97" t="n"/>
      <c r="AN56" s="42" t="n"/>
      <c r="AO56" s="1083" t="n"/>
    </row>
    <row r="57" hidden="1" ht="15" customHeight="1" s="1016">
      <c r="B57" s="36" t="inlineStr">
        <is>
          <t>FLETES OPERADORES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 t="n"/>
      <c r="N57" s="1074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47" t="n"/>
      <c r="AI57" s="1074" t="n"/>
      <c r="AJ57" s="46">
        <f>SUM(AJ58:AJ59)</f>
        <v/>
      </c>
      <c r="AK57" s="47" t="n"/>
      <c r="AL57" s="1074" t="n"/>
      <c r="AM57" s="207">
        <f>C57+F57+I57+L57+O57+R57+U57+X57+AA57+AD57+AG57+AJ57</f>
        <v/>
      </c>
      <c r="AN57" s="47">
        <f>AM57/AM12</f>
        <v/>
      </c>
      <c r="AO57" s="1074">
        <f>AM57/AM13</f>
        <v/>
      </c>
    </row>
    <row r="58" hidden="1" ht="15" customHeight="1" s="1016">
      <c r="B58" s="411" t="inlineStr">
        <is>
          <t>ENTREGA TERCEROS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1136" t="n"/>
      <c r="AM58" s="413">
        <f>C58+F58+I58+L58+O58+R58+U58+X58+AA58+AD58+AG58+AJ58</f>
        <v/>
      </c>
      <c r="AN58" s="305" t="n"/>
      <c r="AO58" s="1137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1072" t="n"/>
      <c r="AM59" s="206">
        <f>C59+F59+I59+L59+O59+R59+U59+X59+AA59+AD59+AG59+AJ59</f>
        <v/>
      </c>
      <c r="AN59" s="84" t="n"/>
      <c r="AO59" s="1139">
        <f>AM59/AM$13</f>
        <v/>
      </c>
      <c r="AQ59" s="2" t="n"/>
      <c r="AR59" s="2" t="n"/>
    </row>
    <row r="60" hidden="1" ht="15" customHeight="1" s="1016">
      <c r="B60" s="16" t="inlineStr">
        <is>
          <t>COSTOS PREPARADOS</t>
        </is>
      </c>
      <c r="C60" s="49">
        <f>+C61+C72+C75+C76+C77</f>
        <v/>
      </c>
      <c r="D60" s="3" t="n"/>
      <c r="E60" s="1074" t="n"/>
      <c r="F60" s="49">
        <f>+F61+F72+F75+F76+F77</f>
        <v/>
      </c>
      <c r="G60" s="3" t="n"/>
      <c r="H60" s="1074" t="n"/>
      <c r="I60" s="49">
        <f>+I61+I72+I75+I76+I77</f>
        <v/>
      </c>
      <c r="J60" s="3" t="n"/>
      <c r="K60" s="1074" t="n"/>
      <c r="L60" s="49">
        <f>+L61+L72+L75+L76+L77</f>
        <v/>
      </c>
      <c r="M60" s="3" t="n"/>
      <c r="N60" s="1074" t="n"/>
      <c r="O60" s="49">
        <f>+O61+O72+O75+O76+O77</f>
        <v/>
      </c>
      <c r="P60" s="3" t="n"/>
      <c r="Q60" s="1074" t="n"/>
      <c r="R60" s="90">
        <f>+R61+R72+R75+R76+R77</f>
        <v/>
      </c>
      <c r="S60" s="3" t="n"/>
      <c r="T60" s="1074" t="n"/>
      <c r="U60" s="49">
        <f>+U61+U72+U75+U76+U77</f>
        <v/>
      </c>
      <c r="V60" s="3" t="n"/>
      <c r="W60" s="1074" t="n"/>
      <c r="X60" s="49">
        <f>+X61+X72+X75+X76+X77</f>
        <v/>
      </c>
      <c r="Y60" s="3" t="n"/>
      <c r="Z60" s="1074" t="n"/>
      <c r="AA60" s="49">
        <f>+AA61+AA72+AA75+AA76+AA77</f>
        <v/>
      </c>
      <c r="AB60" s="3" t="n"/>
      <c r="AC60" s="1074" t="n"/>
      <c r="AD60" s="49">
        <f>+AD61+AD72+AD75+AD76+AD77</f>
        <v/>
      </c>
      <c r="AE60" s="3" t="n"/>
      <c r="AF60" s="1074" t="n"/>
      <c r="AG60" s="49">
        <f>+AG61+AG72+AG75+AG76+AG77</f>
        <v/>
      </c>
      <c r="AH60" s="3" t="n"/>
      <c r="AI60" s="1074" t="n"/>
      <c r="AJ60" s="49">
        <f>+AJ61+AJ72+AJ75+AJ76+AJ77</f>
        <v/>
      </c>
      <c r="AK60" s="3" t="n"/>
      <c r="AL60" s="1078" t="n"/>
      <c r="AM60" s="16">
        <f>C60+F60+I60+L60+O60+R60+U60+X60+AA60+AD60+AG60+AJ60</f>
        <v/>
      </c>
      <c r="AN60" s="3">
        <f>AM60/$AM$5</f>
        <v/>
      </c>
      <c r="AO60" s="1074">
        <f>AM60/AM$13</f>
        <v/>
      </c>
    </row>
    <row r="61" hidden="1" ht="15" customHeight="1" s="1016">
      <c r="B61" s="36" t="inlineStr">
        <is>
          <t>INSUMOS CP</t>
        </is>
      </c>
      <c r="C61" s="37">
        <f>SUM(C62:C71)</f>
        <v/>
      </c>
      <c r="D61" s="67" t="n"/>
      <c r="E61" s="1096" t="n"/>
      <c r="F61" s="46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1096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</row>
    <row r="62" hidden="1" ht="15" customHeight="1" s="1016">
      <c r="B62" s="258" t="inlineStr">
        <is>
          <t>COMPLEMENTO PREPARADO (Ins)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2">
        <f>C62+F62+I62+L62+O62+R62+U62+X62+AA62+AD62+AG62+AJ62</f>
        <v/>
      </c>
      <c r="AN62" s="79">
        <f>AM62/$O$5</f>
        <v/>
      </c>
      <c r="AO62" s="1080">
        <f>AM62/$O$13</f>
        <v/>
      </c>
    </row>
    <row r="63" hidden="1" ht="15" customHeight="1" s="1016">
      <c r="B63" s="258" t="inlineStr">
        <is>
          <t>ALMUERZO JORNADA UNICA (Ins)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5">
        <f>C63+F63+I63+L63+O63+R63+U63+X63+AA63+AD63+AG63+AJ63</f>
        <v/>
      </c>
      <c r="AN63" s="43">
        <f>AM63/$O$5</f>
        <v/>
      </c>
      <c r="AO63" s="1070">
        <f>AM63/$O$13</f>
        <v/>
      </c>
    </row>
    <row r="64" hidden="1" ht="15" customHeight="1" s="1016">
      <c r="B64" s="25" t="n"/>
      <c r="C64" s="82" t="n"/>
      <c r="D64" s="43" t="n"/>
      <c r="E64" s="1070" t="n"/>
      <c r="F64" s="82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1070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</row>
    <row r="65" hidden="1" ht="15" customHeight="1" s="1016">
      <c r="B65" s="258" t="inlineStr">
        <is>
          <t>RACION MANIPULADORAS</t>
        </is>
      </c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1070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</row>
    <row r="66" hidden="1" ht="15" customHeight="1" s="1016">
      <c r="B66" s="410" t="inlineStr">
        <is>
          <t>MENU ESPECIAL</t>
        </is>
      </c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1070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</row>
    <row r="67" hidden="1" ht="10.2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1070" t="n"/>
      <c r="AM67" s="205" t="n"/>
      <c r="AN67" s="43">
        <f>AM67/$O$5</f>
        <v/>
      </c>
      <c r="AO67" s="1071">
        <f>AM67/$O$13</f>
        <v/>
      </c>
    </row>
    <row r="68" hidden="1" ht="10.2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1070" t="n"/>
      <c r="AM68" s="205" t="n"/>
      <c r="AN68" s="43">
        <f>AM68/$O$5</f>
        <v/>
      </c>
      <c r="AO68" s="1071">
        <f>AM68/$O$13</f>
        <v/>
      </c>
    </row>
    <row r="69" hidden="1" ht="10.2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1070" t="n"/>
      <c r="AM69" s="205" t="n"/>
      <c r="AN69" s="43">
        <f>AM69/$O$5</f>
        <v/>
      </c>
      <c r="AO69" s="1071">
        <f>AM69/$O$13</f>
        <v/>
      </c>
    </row>
    <row r="70" hidden="1" ht="10.2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1070" t="n"/>
      <c r="AM70" s="205" t="n"/>
      <c r="AN70" s="43">
        <f>AM70/$O$5</f>
        <v/>
      </c>
      <c r="AO70" s="1071">
        <f>AM70/$O$13</f>
        <v/>
      </c>
    </row>
    <row r="71" hidden="1" ht="10.2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1072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</row>
    <row r="72" ht="15" customHeight="1" s="1016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67">
        <f>AJ72/AJ12</f>
        <v/>
      </c>
      <c r="AL72" s="1096">
        <f>AJ72/AJ13</f>
        <v/>
      </c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VEHICULOS'!C25*'%DIST'!B25</f>
        <v/>
      </c>
      <c r="D73" s="79" t="n"/>
      <c r="E73" s="1080" t="n"/>
      <c r="F73" s="304">
        <f>'GASTOS VEHICULOS'!D25*'%DIST'!D25</f>
        <v/>
      </c>
      <c r="G73" s="305" t="n"/>
      <c r="H73" s="1136" t="n"/>
      <c r="I73" s="304">
        <f>'GASTOS VEHICULOS'!E25*'%DIST'!F25</f>
        <v/>
      </c>
      <c r="J73" s="305" t="n"/>
      <c r="K73" s="1136" t="n"/>
      <c r="L73" s="304">
        <f>'GASTOS VEHICULOS'!F25*'%DIST'!H25</f>
        <v/>
      </c>
      <c r="M73" s="305" t="n"/>
      <c r="N73" s="1136" t="n"/>
      <c r="O73" s="78">
        <f>'GASTOS VEHICULOS'!G25*'%DIST'!J25</f>
        <v/>
      </c>
      <c r="P73" s="305" t="n"/>
      <c r="Q73" s="1136" t="n"/>
      <c r="R73" s="304">
        <f>'GASTOS VEHICULOS'!H25*'%DIST'!L25</f>
        <v/>
      </c>
      <c r="S73" s="305" t="n"/>
      <c r="T73" s="1136" t="n"/>
      <c r="U73" s="304">
        <f>'GASTOS VEHICULOS'!I25*'%DIST'!N25</f>
        <v/>
      </c>
      <c r="V73" s="305" t="n"/>
      <c r="W73" s="1136" t="n"/>
      <c r="X73" s="78">
        <f>'GASTOS VEHICULOS'!J25*'%DIST'!P25</f>
        <v/>
      </c>
      <c r="Y73" s="305" t="n"/>
      <c r="Z73" s="1136" t="n"/>
      <c r="AA73" s="78">
        <f>'GASTOS VEHICULOS'!K25*'%DIST'!R25</f>
        <v/>
      </c>
      <c r="AB73" s="305" t="n"/>
      <c r="AC73" s="1136" t="n"/>
      <c r="AD73" s="78">
        <f>'GASTOS VEHICULOS'!L25*'%DIST'!T25</f>
        <v/>
      </c>
      <c r="AE73" s="305" t="n"/>
      <c r="AF73" s="1136" t="n"/>
      <c r="AG73" s="304">
        <f>'GASTOS VEHICULOS'!M25*'%DIST'!V25</f>
        <v/>
      </c>
      <c r="AH73" s="305" t="n"/>
      <c r="AI73" s="1136" t="n"/>
      <c r="AJ73" s="304">
        <f>'GASTOS VEHICULOS'!N25*'%DIST'!X25</f>
        <v/>
      </c>
      <c r="AK73" s="305" t="n"/>
      <c r="AL73" s="1136" t="n"/>
      <c r="AM73" s="413">
        <f>C73+F73+I73+L73+O73+R73+U73+X73+AA73+AD73+AG73+AJ73</f>
        <v/>
      </c>
      <c r="AN73" s="305" t="n"/>
      <c r="AO73" s="1142" t="n"/>
    </row>
    <row r="74" ht="15" customHeight="1" s="1016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'[1]Hoja 1'!$C$315</f>
        <v/>
      </c>
      <c r="D74" s="134" t="n"/>
      <c r="E74" s="1143" t="n"/>
      <c r="F74" s="83">
        <f>'[8]Hoja 1'!$C$310</f>
        <v/>
      </c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1072" t="n"/>
      <c r="AM74" s="206">
        <f>C74+F74+I74+L74+O74+R74+U74+X74+AA74+AD74+AG74+AJ74</f>
        <v/>
      </c>
      <c r="AN74" s="84" t="n"/>
      <c r="AO74" s="1072">
        <f>AM72/AM13</f>
        <v/>
      </c>
    </row>
    <row r="75" ht="15" customHeight="1" s="1016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'[1]Hoja 1'!$C$309-9947928.12</f>
        <v/>
      </c>
      <c r="D75" s="67" t="n"/>
      <c r="E75" s="1096" t="n"/>
      <c r="F75" s="37">
        <f>'[8]Hoja 1'!$C$304-10303069.4</f>
        <v/>
      </c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1096" t="n"/>
      <c r="AM75" s="211">
        <f>C75+F75+I75+L75+O75+R75+U75+X75+AA75+AD75+AG75+AJ75</f>
        <v/>
      </c>
      <c r="AN75" s="67" t="n"/>
      <c r="AO75" s="1097">
        <f>AM75/AM$13</f>
        <v/>
      </c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1096" t="n"/>
      <c r="AM76" s="211">
        <f>C76+F76+I76+L76+O76+R76+U76+X76+AA76+AD76+AG76+AJ76</f>
        <v/>
      </c>
      <c r="AN76" s="67" t="n"/>
      <c r="AO76" s="1100" t="n"/>
    </row>
    <row r="77" ht="15" customHeight="1" s="1016">
      <c r="B77" s="66" t="inlineStr">
        <is>
          <t>Servicio de Gas</t>
        </is>
      </c>
      <c r="C77" s="28" t="n"/>
      <c r="D77" s="45" t="n"/>
      <c r="E77" s="1096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1096" t="n"/>
      <c r="AM77" s="26">
        <f>C77+F77+I77+L77+O77+R77+U77+X77+AA77+AD77+AG77+AJ77</f>
        <v/>
      </c>
      <c r="AN77" s="42" t="n"/>
      <c r="AO77" s="1100" t="n"/>
    </row>
    <row r="78" ht="15" customHeight="1" s="1016">
      <c r="B78" s="17" t="inlineStr">
        <is>
          <t>MANO DE OBRA DIRECTA</t>
        </is>
      </c>
      <c r="C78" s="49">
        <f>SUM(C79:C81)</f>
        <v/>
      </c>
      <c r="D78" s="3" t="n"/>
      <c r="E78" s="1078" t="n"/>
      <c r="F78" s="93">
        <f>SUM(F79:F81)</f>
        <v/>
      </c>
      <c r="G78" s="3" t="n"/>
      <c r="H78" s="1078">
        <f>F78/(F$13)</f>
        <v/>
      </c>
      <c r="I78" s="93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1078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1016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02" t="n"/>
      <c r="AM79" s="268">
        <f>C79+F79+I79+L79+O79+R79+U79+X79+AA79+AD79+AG79+AJ79</f>
        <v/>
      </c>
      <c r="AN79" s="4">
        <f>AM79/AM12</f>
        <v/>
      </c>
      <c r="AO79" s="1103" t="n"/>
      <c r="AP79" s="696" t="n"/>
    </row>
    <row r="80" ht="15" customHeight="1" s="1016">
      <c r="B80" s="474" t="inlineStr">
        <is>
          <t>Personal Supervisor - Coordinadores</t>
        </is>
      </c>
      <c r="C80" s="25">
        <f>'[29]Hoja 1'!$D$16+'[30]Hoja 1'!$D$16</f>
        <v/>
      </c>
      <c r="D80" s="43" t="n"/>
      <c r="E80" s="1070" t="n"/>
      <c r="F80" s="25">
        <f>'[36]Hoja 1'!$D$17+'[40]Hoja 1'!$D$13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81" t="n"/>
      <c r="AK80" s="43" t="n"/>
      <c r="AL80" s="1070" t="n"/>
      <c r="AM80" s="205">
        <f>C80+F80+I80+L80+O80+R80+U80+X80+AA80+AD80+AG80+AJ80</f>
        <v/>
      </c>
      <c r="AN80" s="43" t="n"/>
      <c r="AO80" s="1071" t="n"/>
      <c r="AP80" s="1124" t="n"/>
    </row>
    <row r="81" ht="15" customHeight="1" s="1016" thickBot="1">
      <c r="B81" s="300" t="inlineStr">
        <is>
          <t>Personal Otros OP</t>
        </is>
      </c>
      <c r="C81" s="269" t="n"/>
      <c r="D81" s="214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811" t="n"/>
      <c r="AK81" s="214" t="n"/>
      <c r="AL81" s="1104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1092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02" t="n"/>
      <c r="F85" s="91">
        <f>'GASTOS OPERATIVOS'!D17*'%DIST'!E9</f>
        <v/>
      </c>
      <c r="G85" s="69" t="n"/>
      <c r="H85" s="1102" t="n"/>
      <c r="I85" s="91" t="n"/>
      <c r="J85" s="69" t="n"/>
      <c r="K85" s="1102" t="n"/>
      <c r="L85" s="91" t="n"/>
      <c r="M85" s="69" t="n"/>
      <c r="N85" s="1102" t="n"/>
      <c r="O85" s="91" t="n"/>
      <c r="P85" s="69" t="n"/>
      <c r="Q85" s="1102" t="n"/>
      <c r="R85" s="91" t="n"/>
      <c r="S85" s="69" t="n"/>
      <c r="T85" s="1102" t="n"/>
      <c r="U85" s="91" t="n"/>
      <c r="V85" s="69" t="n"/>
      <c r="W85" s="1102" t="n"/>
      <c r="X85" s="91" t="n"/>
      <c r="Y85" s="69" t="n"/>
      <c r="Z85" s="1102" t="n"/>
      <c r="AA85" s="91" t="n"/>
      <c r="AB85" s="69" t="n"/>
      <c r="AC85" s="1102" t="n"/>
      <c r="AD85" s="91" t="n"/>
      <c r="AE85" s="69" t="n"/>
      <c r="AF85" s="1102" t="n"/>
      <c r="AG85" s="91" t="n"/>
      <c r="AH85" s="69" t="n"/>
      <c r="AI85" s="70" t="n"/>
      <c r="AJ85" s="91" t="n"/>
      <c r="AK85" s="69" t="n"/>
      <c r="AL85" s="1102" t="n"/>
      <c r="AM85" s="209">
        <f>C85+F85+I85+L85+O85+R85+U85+X85+AA85+AD85+AG85+AJ85</f>
        <v/>
      </c>
      <c r="AN85" s="69" t="n"/>
      <c r="AO85" s="1102">
        <f>AM85/(AM$13)</f>
        <v/>
      </c>
      <c r="AP85" s="1228" t="n">
        <v>1.095</v>
      </c>
    </row>
    <row r="86" ht="15" customHeight="1" s="1016">
      <c r="B86" s="24" t="inlineStr">
        <is>
          <t>Dotación y Suministros</t>
        </is>
      </c>
      <c r="C86" s="25" t="n"/>
      <c r="D86" s="43" t="n"/>
      <c r="E86" s="1070" t="n"/>
      <c r="F86" s="25" t="n"/>
      <c r="G86" s="43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70" t="n"/>
      <c r="AM86" s="25">
        <f>C86+F86+I86+L86+O86+R86+U86+X86+AA86+AD86+AG86+AJ86</f>
        <v/>
      </c>
      <c r="AN86" s="43" t="n"/>
      <c r="AO86" s="1070">
        <f>AN86/AM13</f>
        <v/>
      </c>
    </row>
    <row r="87" ht="15" customHeight="1" s="1016">
      <c r="B87" s="24" t="inlineStr">
        <is>
          <t>Gastos Medicos</t>
        </is>
      </c>
      <c r="C87" s="25" t="n"/>
      <c r="D87" s="43" t="n"/>
      <c r="E87" s="1070" t="n"/>
      <c r="F87" s="25" t="n"/>
      <c r="G87" s="43" t="n"/>
      <c r="H87" s="1070" t="n"/>
      <c r="I87" s="25" t="n"/>
      <c r="J87" s="43" t="n"/>
      <c r="K87" s="1070" t="n"/>
      <c r="L87" s="25" t="n"/>
      <c r="M87" s="43" t="n"/>
      <c r="N87" s="1070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70" t="n"/>
      <c r="AM87" s="25">
        <f>C87+F87+I87+L87+O87+R87+U87+X87+AA87+AD87+AG87+AJ87</f>
        <v/>
      </c>
      <c r="AN87" s="43" t="n"/>
      <c r="AO87" s="1070" t="n"/>
    </row>
    <row r="88" ht="15" customHeight="1" s="1016">
      <c r="B88" s="429" t="inlineStr">
        <is>
          <t>Incapacidades</t>
        </is>
      </c>
      <c r="C88" s="273" t="n"/>
      <c r="D88" s="134" t="n"/>
      <c r="E88" s="1143" t="n"/>
      <c r="F88" s="273" t="n"/>
      <c r="G88" s="134" t="n"/>
      <c r="H88" s="1143" t="n"/>
      <c r="I88" s="273" t="n"/>
      <c r="J88" s="134" t="n"/>
      <c r="K88" s="1143" t="n"/>
      <c r="L88" s="273" t="n"/>
      <c r="M88" s="134" t="n"/>
      <c r="N88" s="1143" t="n"/>
      <c r="O88" s="273" t="n"/>
      <c r="P88" s="134" t="n"/>
      <c r="Q88" s="1143" t="n"/>
      <c r="R88" s="273" t="n"/>
      <c r="S88" s="134" t="n"/>
      <c r="T88" s="1143" t="n"/>
      <c r="U88" s="273" t="n"/>
      <c r="V88" s="134" t="n"/>
      <c r="W88" s="1143" t="n"/>
      <c r="X88" s="273" t="n"/>
      <c r="Y88" s="134" t="n"/>
      <c r="Z88" s="1143" t="n"/>
      <c r="AA88" s="273" t="n"/>
      <c r="AB88" s="134" t="n"/>
      <c r="AC88" s="1143" t="n"/>
      <c r="AD88" s="273" t="n"/>
      <c r="AE88" s="134" t="n"/>
      <c r="AF88" s="1143" t="n"/>
      <c r="AG88" s="273" t="n"/>
      <c r="AH88" s="134" t="n"/>
      <c r="AI88" s="1143" t="n"/>
      <c r="AJ88" s="273" t="n"/>
      <c r="AK88" s="134" t="n"/>
      <c r="AL88" s="1143" t="n"/>
      <c r="AM88" s="429" t="n"/>
      <c r="AN88" s="134" t="n"/>
      <c r="AO88" s="1073" t="n"/>
    </row>
    <row r="89" ht="15" customHeight="1" s="1016">
      <c r="B89" s="16" t="inlineStr">
        <is>
          <t>HONORARIOS</t>
        </is>
      </c>
      <c r="C89" s="90">
        <f>SUM(C90:C91)</f>
        <v/>
      </c>
      <c r="D89" s="3" t="n"/>
      <c r="E89" s="1078">
        <f>C89/(C$13)</f>
        <v/>
      </c>
      <c r="F89" s="90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1078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1102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1072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90">
        <f>SUM(C93:C95)</f>
        <v/>
      </c>
      <c r="D92" s="3" t="n"/>
      <c r="E92" s="1078">
        <f>C92/(C$13)</f>
        <v/>
      </c>
      <c r="F92" s="90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1078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1102" t="n"/>
      <c r="AM93" s="209">
        <f>C93+F93+I93+L93+O93+R93+U93+X93+AA93+AD93+AG93+AJ93</f>
        <v/>
      </c>
      <c r="AN93" s="69" t="n"/>
      <c r="AO93" s="1107" t="n"/>
      <c r="AP93" s="1149" t="n"/>
    </row>
    <row r="94" outlineLevel="1" ht="15" customHeight="1" s="1016">
      <c r="B94" s="39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1070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39" t="inlineStr">
        <is>
          <t>Equipo de Oficina</t>
        </is>
      </c>
      <c r="C95" s="25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109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90">
        <f>SUM(C97:C98)</f>
        <v/>
      </c>
      <c r="D96" s="3" t="n"/>
      <c r="E96" s="1078">
        <f>C96/(C$13)</f>
        <v/>
      </c>
      <c r="F96" s="90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1078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1102" t="n"/>
      <c r="AM97" s="209">
        <f>C97+F97+I97+L97+O97+R97+U97+X97+AA97+AD97+AG97+AJ97</f>
        <v/>
      </c>
      <c r="AN97" s="69" t="n"/>
      <c r="AO97" s="1107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09" t="n"/>
      <c r="F98" s="83" t="n"/>
      <c r="G98" s="84" t="n"/>
      <c r="H98" s="1072" t="n"/>
      <c r="I98" s="83" t="n"/>
      <c r="J98" s="84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1109" t="n"/>
      <c r="AM98" s="278">
        <f>C98+F98+I98+L98+O98+R98+U98+X98+AA98+AD98+AG98+AJ98</f>
        <v/>
      </c>
      <c r="AN98" s="276" t="n"/>
      <c r="AO98" s="1110" t="n"/>
      <c r="AQ98" s="2" t="n"/>
      <c r="AR98" s="2" t="n"/>
      <c r="AS98" s="2" t="n"/>
      <c r="AT98" s="2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1078">
        <f>F99/(F$13)</f>
        <v/>
      </c>
      <c r="I99" s="49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1078" t="n"/>
      <c r="AM99" s="16">
        <f>C99+F99+I99+L99+O99+R99+U99+X99+AA99+AD99+AG99+AJ99</f>
        <v/>
      </c>
      <c r="AN99" s="3" t="n"/>
      <c r="AO99" s="1101">
        <f>AM99/(AM$13)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02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B101" s="25" t="inlineStr">
        <is>
          <t>Temporales Serv</t>
        </is>
      </c>
      <c r="C101" s="25" t="n"/>
      <c r="D101" s="43" t="n"/>
      <c r="E101" s="1070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70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70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B103" s="25" t="inlineStr">
        <is>
          <t>Laboratorio</t>
        </is>
      </c>
      <c r="C103" s="25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1070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B104" s="25" t="inlineStr">
        <is>
          <t>Fumigacion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1070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B105" s="25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1070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B106" s="25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5" t="n"/>
      <c r="M106" s="43" t="n"/>
      <c r="N106" s="1070" t="n"/>
      <c r="O106" s="25" t="n"/>
      <c r="P106" s="43" t="n"/>
      <c r="Q106" s="1070" t="n"/>
      <c r="R106" s="25" t="n"/>
      <c r="S106" s="43" t="n"/>
      <c r="T106" s="1070" t="n"/>
      <c r="U106" s="25" t="n"/>
      <c r="V106" s="43" t="n"/>
      <c r="W106" s="1070" t="n"/>
      <c r="X106" s="25" t="n"/>
      <c r="Y106" s="43" t="n"/>
      <c r="Z106" s="1070" t="n"/>
      <c r="AA106" s="25" t="n"/>
      <c r="AB106" s="43" t="n"/>
      <c r="AC106" s="1070" t="n"/>
      <c r="AD106" s="25" t="n"/>
      <c r="AE106" s="43" t="n"/>
      <c r="AF106" s="1070" t="n"/>
      <c r="AG106" s="25" t="n"/>
      <c r="AH106" s="43" t="n"/>
      <c r="AI106" s="1070" t="n"/>
      <c r="AJ106" s="25" t="n"/>
      <c r="AK106" s="43" t="n"/>
      <c r="AL106" s="1070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205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25" t="n"/>
      <c r="M107" s="43" t="n"/>
      <c r="N107" s="1070" t="n"/>
      <c r="O107" s="25" t="n"/>
      <c r="P107" s="43" t="n"/>
      <c r="Q107" s="1070" t="n"/>
      <c r="R107" s="25" t="n"/>
      <c r="S107" s="43" t="n"/>
      <c r="T107" s="1070" t="n"/>
      <c r="U107" s="25" t="n"/>
      <c r="V107" s="43" t="n"/>
      <c r="W107" s="1070" t="n"/>
      <c r="X107" s="25" t="n"/>
      <c r="Y107" s="43" t="n"/>
      <c r="Z107" s="1070" t="n"/>
      <c r="AA107" s="25" t="n"/>
      <c r="AB107" s="43" t="n"/>
      <c r="AC107" s="1070" t="n"/>
      <c r="AD107" s="25" t="n"/>
      <c r="AE107" s="43" t="n"/>
      <c r="AF107" s="1070" t="n"/>
      <c r="AG107" s="25" t="n"/>
      <c r="AH107" s="43" t="n"/>
      <c r="AI107" s="1070" t="n"/>
      <c r="AJ107" s="25" t="n"/>
      <c r="AK107" s="43" t="n"/>
      <c r="AL107" s="1070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B108" s="349" t="inlineStr">
        <is>
          <t>Correo, porte y telegramas</t>
        </is>
      </c>
      <c r="C108" s="2" t="n"/>
      <c r="D108" s="42" t="n"/>
      <c r="E108" s="1082" t="n"/>
      <c r="F108" s="2" t="n"/>
      <c r="G108" s="42" t="n"/>
      <c r="H108" s="1082" t="n"/>
      <c r="I108" s="2" t="n"/>
      <c r="J108" s="42" t="n"/>
      <c r="K108" s="1082" t="n"/>
      <c r="L108" s="2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" t="n"/>
      <c r="AH108" s="42" t="n"/>
      <c r="AI108" s="1082" t="n"/>
      <c r="AJ108" s="2" t="n"/>
      <c r="AK108" s="42" t="n"/>
      <c r="AL108" s="1082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90">
        <f>SUM(C110:C113)</f>
        <v/>
      </c>
      <c r="D109" s="3" t="n"/>
      <c r="E109" s="1078">
        <f>C109/(C$13)</f>
        <v/>
      </c>
      <c r="F109" s="90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1078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1102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1070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1070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109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>
        <f>C114/(C$13)</f>
        <v/>
      </c>
      <c r="F114" s="49">
        <f>SUM(F115:F116)</f>
        <v/>
      </c>
      <c r="G114" s="3" t="n"/>
      <c r="H114" s="1078">
        <f>F114/(F$13)</f>
        <v/>
      </c>
      <c r="I114" s="49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>
        <f>SUM(AD115:AD116)</f>
        <v/>
      </c>
      <c r="AE114" s="3" t="n"/>
      <c r="AF114" s="1078">
        <f>AD114/(AD$13)</f>
        <v/>
      </c>
      <c r="AG114" s="49">
        <f>SUM(AG115:AG119)</f>
        <v/>
      </c>
      <c r="AH114" s="3" t="n"/>
      <c r="AI114" s="1078">
        <f>AG114/(AG$13)</f>
        <v/>
      </c>
      <c r="AJ114" s="49">
        <f>SUM(AJ115:AJ119)</f>
        <v/>
      </c>
      <c r="AK114" s="3" t="n"/>
      <c r="AL114" s="1078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1016">
      <c r="B115" s="205" t="inlineStr">
        <is>
          <t xml:space="preserve">Construcciones y Edificaciones          </t>
        </is>
      </c>
      <c r="C115" s="39" t="n"/>
      <c r="D115" s="69" t="n"/>
      <c r="E115" s="1102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80" t="n"/>
      <c r="AJ115" s="78" t="n"/>
      <c r="AK115" s="79" t="n"/>
      <c r="AL115" s="1102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B116" s="20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70" t="n"/>
      <c r="AJ116" s="25" t="n"/>
      <c r="AK116" s="43" t="n"/>
      <c r="AL116" s="1070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70" t="n"/>
      <c r="AJ117" s="25" t="n"/>
      <c r="AK117" s="43" t="n"/>
      <c r="AL117" s="1070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70" t="n"/>
      <c r="AJ118" s="25" t="n"/>
      <c r="AK118" s="43" t="n"/>
      <c r="AL118" s="1070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B119" s="205" t="inlineStr">
        <is>
          <t>Planta Plan Basico de Saneamiento</t>
        </is>
      </c>
      <c r="C119" s="22" t="n"/>
      <c r="D119" s="42" t="n"/>
      <c r="E119" s="1082" t="n"/>
      <c r="F119" s="83" t="n"/>
      <c r="G119" s="84" t="n"/>
      <c r="H119" s="1072" t="n"/>
      <c r="I119" s="83" t="n"/>
      <c r="J119" s="84" t="n"/>
      <c r="K119" s="1072" t="n"/>
      <c r="L119" s="83" t="n"/>
      <c r="M119" s="84" t="n"/>
      <c r="N119" s="1072" t="n"/>
      <c r="O119" s="83" t="n"/>
      <c r="P119" s="84" t="n"/>
      <c r="Q119" s="1072" t="n"/>
      <c r="R119" s="83" t="n"/>
      <c r="S119" s="84" t="n"/>
      <c r="T119" s="1072" t="n"/>
      <c r="U119" s="83" t="n"/>
      <c r="V119" s="84" t="n"/>
      <c r="W119" s="1072" t="n"/>
      <c r="X119" s="83" t="n"/>
      <c r="Y119" s="84" t="n"/>
      <c r="Z119" s="1072" t="n"/>
      <c r="AA119" s="83" t="n"/>
      <c r="AB119" s="84" t="n"/>
      <c r="AC119" s="1072" t="n"/>
      <c r="AD119" s="83" t="n"/>
      <c r="AE119" s="84" t="n"/>
      <c r="AF119" s="1072" t="n"/>
      <c r="AG119" s="83" t="n"/>
      <c r="AH119" s="84" t="n"/>
      <c r="AI119" s="1072" t="n"/>
      <c r="AJ119" s="83" t="n"/>
      <c r="AK119" s="84" t="n"/>
      <c r="AL119" s="1082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SUM(F121)</f>
        <v/>
      </c>
      <c r="G120" s="3" t="n"/>
      <c r="H120" s="1078">
        <f>F120/(F$13)</f>
        <v/>
      </c>
      <c r="I120" s="49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SUM(AA121:AA122)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SUM(AJ121:AJ122)</f>
        <v/>
      </c>
      <c r="AK120" s="3" t="n"/>
      <c r="AL120" s="1078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B121" s="205" t="inlineStr">
        <is>
          <t>Instalaciones Electricas</t>
        </is>
      </c>
      <c r="C121" s="353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1102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B122" s="205" t="inlineStr">
        <is>
          <t>Inversion - Infreastructura</t>
        </is>
      </c>
      <c r="C122" s="354" t="n"/>
      <c r="D122" s="92" t="n"/>
      <c r="E122" s="1088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72" t="n"/>
      <c r="AJ122" s="83" t="n"/>
      <c r="AK122" s="84" t="n"/>
      <c r="AL122" s="1072" t="n"/>
      <c r="AM122" s="206">
        <f>C122+F122+I122+L122+O122+R122+U122+X122+AA122+AD122+AG122+AJ122</f>
        <v/>
      </c>
      <c r="AN122" s="84" t="n"/>
      <c r="AO122" s="1089" t="n"/>
    </row>
    <row r="123" ht="15" customHeight="1" s="1016">
      <c r="B123" s="16" t="inlineStr">
        <is>
          <t>GASTOS DE VIAJE</t>
        </is>
      </c>
      <c r="C123" s="90">
        <f>SUM(C124:C126)</f>
        <v/>
      </c>
      <c r="D123" s="3" t="n"/>
      <c r="E123" s="1078">
        <f>C123/(C$13)</f>
        <v/>
      </c>
      <c r="F123" s="90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1078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1102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1070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109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90">
        <f>SUM(C128:C142)</f>
        <v/>
      </c>
      <c r="D127" s="3" t="n"/>
      <c r="E127" s="1078">
        <f>C127/(C$13)</f>
        <v/>
      </c>
      <c r="F127" s="90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1078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1016">
      <c r="B128" s="25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02" t="n"/>
      <c r="AJ128" s="39" t="n"/>
      <c r="AK128" s="69" t="n"/>
      <c r="AL128" s="1102" t="n"/>
      <c r="AM128" s="209">
        <f>C128+F128+I128+L128+O128+R128+U128+X128+AA128+AD128+AG128+AJ128</f>
        <v/>
      </c>
      <c r="AN128" s="42" t="n"/>
      <c r="AO128" s="1115" t="n"/>
    </row>
    <row r="129" outlineLevel="1" ht="15" customHeight="1" s="1016">
      <c r="B129" s="25" t="inlineStr">
        <is>
          <t>Habitos de Vida Saludable</t>
        </is>
      </c>
      <c r="C129" s="91" t="n"/>
      <c r="D129" s="43" t="n"/>
      <c r="E129" s="1070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70" t="n"/>
      <c r="AJ129" s="25" t="n"/>
      <c r="AK129" s="43" t="n"/>
      <c r="AL129" s="1070" t="n"/>
      <c r="AM129" s="205">
        <f>C129+F129+I129+L129+O129+R129+U129+X129+AA129+AD129+AG129+AJ129</f>
        <v/>
      </c>
      <c r="AN129" s="92" t="n"/>
      <c r="AO129" s="1152" t="n"/>
    </row>
    <row r="130" outlineLevel="1" ht="15" customHeight="1" s="1016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'[1]Hoja 1'!$C$311+'[1]Hoja 1'!$C$287</f>
        <v/>
      </c>
      <c r="D130" s="43" t="n"/>
      <c r="E130" s="1070" t="n"/>
      <c r="F130" s="25">
        <f>'[8]Hoja 1'!$C$306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1070" t="n"/>
      <c r="AM130" s="205">
        <f>C130+F130+I130+L130+O130+R130+U130+X130+AA130+AD130+AG130+AJ130</f>
        <v/>
      </c>
      <c r="AN130" s="43" t="n"/>
      <c r="AO130" s="1070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1070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1070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'[1]Hoja 1'!$C$318</f>
        <v/>
      </c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1070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1070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1070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1070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427" t="n"/>
      <c r="D138" s="89" t="n"/>
      <c r="E138" s="1066" t="n"/>
      <c r="F138" s="427" t="n"/>
      <c r="G138" s="89" t="n"/>
      <c r="H138" s="1066" t="n"/>
      <c r="I138" s="827" t="n"/>
      <c r="J138" s="89" t="n"/>
      <c r="K138" s="1066" t="n"/>
      <c r="L138" s="427" t="n"/>
      <c r="M138" s="89" t="n"/>
      <c r="N138" s="1066" t="n"/>
      <c r="O138" s="427" t="n"/>
      <c r="P138" s="89" t="n"/>
      <c r="Q138" s="1066" t="n"/>
      <c r="R138" s="25" t="n"/>
      <c r="S138" s="89" t="n"/>
      <c r="T138" s="1066" t="n"/>
      <c r="U138" s="427" t="n"/>
      <c r="V138" s="89" t="n"/>
      <c r="W138" s="1066" t="n"/>
      <c r="X138" s="427" t="n"/>
      <c r="Y138" s="89" t="n"/>
      <c r="Z138" s="1066" t="n"/>
      <c r="AA138" s="427" t="n"/>
      <c r="AB138" s="89" t="n"/>
      <c r="AC138" s="1066" t="n"/>
      <c r="AD138" s="427" t="n"/>
      <c r="AE138" s="89" t="n"/>
      <c r="AF138" s="1066" t="n"/>
      <c r="AG138" s="427" t="n"/>
      <c r="AH138" s="89" t="n"/>
      <c r="AI138" s="1066" t="n"/>
      <c r="AJ138" s="427" t="n"/>
      <c r="AK138" s="89" t="n"/>
      <c r="AL138" s="1066" t="n"/>
      <c r="AM138" s="261">
        <f>C138+F138+I138+L138+O138+R138+U138+X138+AA138+AD138+AG138+AJ138</f>
        <v/>
      </c>
      <c r="AN138" s="89" t="n"/>
      <c r="AO138" s="1067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1070" t="n"/>
      <c r="AM139" s="261">
        <f>C139+F139+I139+L139+O139+R139+U139+X139+AA139+AD139+AG139+AJ139</f>
        <v/>
      </c>
      <c r="AN139" s="43" t="n"/>
      <c r="AO139" s="1071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1070" t="n"/>
      <c r="AM140" s="261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1070" t="n"/>
      <c r="AM141" s="261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1104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1092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1153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1090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1092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1094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02" t="n"/>
      <c r="F148" s="39">
        <f>'GASTOS ADMINISTRATIVOS'!D96*'%DIST'!D41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1102" t="n"/>
      <c r="AM148" s="209">
        <f>C148+F148+I148+L148+O148+R148+U148+X148+AA148+AD148+AG148+AJ148</f>
        <v/>
      </c>
      <c r="AN148" s="69" t="n"/>
      <c r="AO148" s="1107" t="n"/>
      <c r="AP148" s="1093" t="n"/>
    </row>
    <row r="149" ht="15" customHeight="1" s="1016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70" t="n"/>
      <c r="F149" s="25">
        <f>'GASTOS ADMINISTRATIVOS'!D109*'%DIST'!E57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1070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1082" t="n"/>
      <c r="AM150" s="205">
        <f>C150+F150+I150+L150+O150+R150+U150+X150+AA150+AD150+AG150+AJ150</f>
        <v/>
      </c>
      <c r="AN150" s="42" t="n"/>
      <c r="AO150" s="1083" t="n"/>
      <c r="AP150" s="1093" t="n"/>
    </row>
    <row r="151" ht="15" customHeight="1" s="1016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11" t="n"/>
      <c r="F151" s="71">
        <f>'GASTOS ADMINISTRATIVOS'!D119*'%DIST'!E57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1111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1092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>
        <f>C153/C13</f>
        <v/>
      </c>
      <c r="F153" s="497">
        <f>SUM(F154:F160)</f>
        <v/>
      </c>
      <c r="G153" s="498" t="n"/>
      <c r="H153" s="1118">
        <f>F153/F13</f>
        <v/>
      </c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1118" t="n"/>
      <c r="AM153" s="585">
        <f>C153+F153+I153+L153+O153+R153+U153+X153+AA153+AD153+AG153+AJ153</f>
        <v/>
      </c>
      <c r="AN153" s="498" t="n"/>
      <c r="AO153" s="1119">
        <f>AM153/AM13</f>
        <v/>
      </c>
    </row>
    <row r="154" ht="15" customHeight="1" s="1016" thickTop="1">
      <c r="B154" s="1229" t="inlineStr">
        <is>
          <t>Campaña</t>
        </is>
      </c>
      <c r="C154" s="722" t="n"/>
      <c r="D154" s="548" t="n"/>
      <c r="E154" s="1196" t="n"/>
      <c r="F154" s="722" t="n"/>
      <c r="G154" s="548" t="n"/>
      <c r="H154" s="1196" t="n"/>
      <c r="I154" s="722" t="n"/>
      <c r="J154" s="548" t="n"/>
      <c r="K154" s="1196" t="n"/>
      <c r="L154" s="722" t="n"/>
      <c r="M154" s="548" t="n"/>
      <c r="N154" s="1196" t="n"/>
      <c r="O154" s="722" t="n"/>
      <c r="P154" s="548" t="n"/>
      <c r="Q154" s="1196" t="n"/>
      <c r="R154" s="722" t="n"/>
      <c r="S154" s="548" t="n"/>
      <c r="T154" s="1196" t="n"/>
      <c r="U154" s="722" t="n"/>
      <c r="V154" s="548" t="n"/>
      <c r="W154" s="1196" t="n"/>
      <c r="X154" s="722" t="n"/>
      <c r="Y154" s="548" t="n"/>
      <c r="Z154" s="1196" t="n"/>
      <c r="AA154" s="722" t="n"/>
      <c r="AB154" s="548" t="n"/>
      <c r="AC154" s="1196" t="n"/>
      <c r="AD154" s="722" t="n"/>
      <c r="AE154" s="548" t="n"/>
      <c r="AF154" s="1196" t="n"/>
      <c r="AG154" s="722" t="n"/>
      <c r="AH154" s="548" t="n"/>
      <c r="AI154" s="1196" t="n"/>
      <c r="AJ154" s="722" t="n"/>
      <c r="AK154" s="548" t="n"/>
      <c r="AL154" s="1196" t="n"/>
      <c r="AM154" s="716">
        <f>C154+F154+I154+L154+O154+R154+U154+X154+AA154+AD154+AG154+AJ154</f>
        <v/>
      </c>
      <c r="AN154" s="230" t="n"/>
      <c r="AO154" s="1162" t="n"/>
    </row>
    <row r="155" ht="15" customHeight="1" s="1016">
      <c r="B155" s="1230" t="inlineStr">
        <is>
          <t>Banco de Occidente</t>
        </is>
      </c>
      <c r="C155" s="705" t="n"/>
      <c r="D155" s="13" t="n"/>
      <c r="E155" s="1176" t="n"/>
      <c r="F155" s="705" t="n"/>
      <c r="G155" s="13" t="n"/>
      <c r="H155" s="1176" t="n"/>
      <c r="I155" s="705" t="n"/>
      <c r="J155" s="13" t="n"/>
      <c r="K155" s="1176" t="n"/>
      <c r="L155" s="705" t="n"/>
      <c r="M155" s="13" t="n"/>
      <c r="N155" s="1176" t="n"/>
      <c r="O155" s="705" t="n"/>
      <c r="P155" s="13" t="n"/>
      <c r="Q155" s="1176" t="n"/>
      <c r="R155" s="705" t="n"/>
      <c r="S155" s="13" t="n"/>
      <c r="T155" s="1176" t="n"/>
      <c r="U155" s="705" t="n"/>
      <c r="V155" s="13" t="n"/>
      <c r="W155" s="1176" t="n"/>
      <c r="X155" s="705" t="n"/>
      <c r="Y155" s="13" t="n"/>
      <c r="Z155" s="1176" t="n"/>
      <c r="AA155" s="705" t="n"/>
      <c r="AB155" s="13" t="n"/>
      <c r="AC155" s="1176" t="n"/>
      <c r="AD155" s="705" t="n"/>
      <c r="AE155" s="13" t="n"/>
      <c r="AF155" s="1176" t="n"/>
      <c r="AG155" s="705" t="n"/>
      <c r="AH155" s="13" t="n"/>
      <c r="AI155" s="1176" t="n"/>
      <c r="AJ155" s="705" t="n"/>
      <c r="AK155" s="13" t="n"/>
      <c r="AL155" s="1176" t="n"/>
      <c r="AM155" s="294">
        <f>C155+F155+I155+L155+O155+R155+U155+X155+AA155+AD155+AG155+AJ155</f>
        <v/>
      </c>
      <c r="AN155" s="13" t="n"/>
      <c r="AO155" s="1166" t="n"/>
    </row>
    <row r="156" ht="15" customHeight="1" s="1016">
      <c r="B156" s="1231" t="inlineStr">
        <is>
          <t>Abono 2025 - GAP</t>
        </is>
      </c>
      <c r="C156" s="705" t="n"/>
      <c r="D156" s="677" t="n"/>
      <c r="E156" s="1198" t="n"/>
      <c r="F156" s="705" t="n"/>
      <c r="G156" s="677" t="n"/>
      <c r="H156" s="1198" t="n"/>
      <c r="I156" s="705" t="n"/>
      <c r="J156" s="677" t="n"/>
      <c r="K156" s="1198" t="n"/>
      <c r="L156" s="705" t="n"/>
      <c r="M156" s="677" t="n"/>
      <c r="N156" s="1198" t="n"/>
      <c r="O156" s="705" t="n"/>
      <c r="P156" s="677" t="n"/>
      <c r="Q156" s="1198" t="n"/>
      <c r="R156" s="705" t="n"/>
      <c r="S156" s="677" t="n"/>
      <c r="T156" s="1198" t="n"/>
      <c r="U156" s="705" t="n"/>
      <c r="V156" s="677" t="n"/>
      <c r="W156" s="1198" t="n"/>
      <c r="X156" s="705" t="n"/>
      <c r="Y156" s="677" t="n"/>
      <c r="Z156" s="1198" t="n"/>
      <c r="AA156" s="705" t="n"/>
      <c r="AB156" s="677" t="n"/>
      <c r="AC156" s="1198" t="n"/>
      <c r="AD156" s="705" t="n"/>
      <c r="AE156" s="677" t="n"/>
      <c r="AF156" s="1198" t="n"/>
      <c r="AG156" s="705" t="n"/>
      <c r="AH156" s="677" t="n"/>
      <c r="AI156" s="1198" t="n"/>
      <c r="AJ156" s="705" t="n"/>
      <c r="AK156" s="677" t="n"/>
      <c r="AL156" s="1198" t="n"/>
      <c r="AM156" s="713">
        <f>C156+F156+I156+L156+O156+R156+U156+X156+AA156+AD156+AG156+AJ156</f>
        <v/>
      </c>
      <c r="AN156" s="677" t="n"/>
      <c r="AO156" s="1170" t="n"/>
    </row>
    <row r="157" ht="15" customHeight="1" s="1016">
      <c r="B157" s="1232" t="inlineStr">
        <is>
          <t>Otros Ajustes 1</t>
        </is>
      </c>
      <c r="C157" s="705" t="n"/>
      <c r="D157" s="13" t="n"/>
      <c r="E157" s="1176" t="n"/>
      <c r="F157" s="705" t="n"/>
      <c r="G157" s="13" t="n"/>
      <c r="H157" s="1176" t="n"/>
      <c r="I157" s="705" t="n"/>
      <c r="J157" s="13" t="n"/>
      <c r="K157" s="1176" t="n"/>
      <c r="L157" s="705" t="n"/>
      <c r="M157" s="13" t="n"/>
      <c r="N157" s="1176" t="n"/>
      <c r="O157" s="705" t="n"/>
      <c r="P157" s="13" t="n"/>
      <c r="Q157" s="1176" t="n"/>
      <c r="R157" s="705" t="n"/>
      <c r="S157" s="13" t="n"/>
      <c r="T157" s="1176" t="n"/>
      <c r="U157" s="705" t="n"/>
      <c r="V157" s="13" t="n"/>
      <c r="W157" s="1176" t="n"/>
      <c r="X157" s="705" t="n"/>
      <c r="Y157" s="13" t="n"/>
      <c r="Z157" s="1176" t="n"/>
      <c r="AA157" s="705" t="n"/>
      <c r="AB157" s="13" t="n"/>
      <c r="AC157" s="1176" t="n"/>
      <c r="AD157" s="705" t="n"/>
      <c r="AE157" s="13" t="n"/>
      <c r="AF157" s="1176" t="n"/>
      <c r="AG157" s="705" t="n"/>
      <c r="AH157" s="13" t="n"/>
      <c r="AI157" s="1176" t="n"/>
      <c r="AJ157" s="705" t="n"/>
      <c r="AK157" s="13" t="n"/>
      <c r="AL157" s="1176" t="n"/>
      <c r="AM157" s="294">
        <f>C157+F157+I157+L157+O157+R157+U157+X157+AA157+AD157+AG157+AJ157</f>
        <v/>
      </c>
      <c r="AN157" s="13" t="n"/>
      <c r="AO157" s="787" t="n"/>
    </row>
    <row r="158" ht="15" customHeight="1" s="1016">
      <c r="B158" s="1175" t="inlineStr">
        <is>
          <t>Otros Ajustes 2</t>
        </is>
      </c>
      <c r="C158" s="75" t="n"/>
      <c r="D158" s="13" t="n"/>
      <c r="E158" s="1176" t="n"/>
      <c r="F158" s="75" t="n"/>
      <c r="G158" s="13" t="n"/>
      <c r="H158" s="1176" t="n"/>
      <c r="I158" s="75" t="n"/>
      <c r="J158" s="13" t="n"/>
      <c r="K158" s="1176" t="n"/>
      <c r="L158" s="75" t="n"/>
      <c r="M158" s="13" t="n"/>
      <c r="N158" s="1176" t="n"/>
      <c r="O158" s="75" t="n"/>
      <c r="P158" s="13" t="n"/>
      <c r="Q158" s="1176" t="n"/>
      <c r="R158" s="75" t="n"/>
      <c r="S158" s="13" t="n"/>
      <c r="T158" s="1176" t="n"/>
      <c r="U158" s="75" t="n"/>
      <c r="V158" s="13" t="n"/>
      <c r="W158" s="1176" t="n"/>
      <c r="X158" s="75" t="n"/>
      <c r="Y158" s="13" t="n"/>
      <c r="Z158" s="1176" t="n"/>
      <c r="AA158" s="75" t="n"/>
      <c r="AB158" s="13" t="n"/>
      <c r="AC158" s="1176" t="n"/>
      <c r="AD158" s="75" t="n"/>
      <c r="AE158" s="13" t="n"/>
      <c r="AF158" s="1176" t="n"/>
      <c r="AG158" s="75" t="n"/>
      <c r="AH158" s="13" t="n"/>
      <c r="AI158" s="1176" t="n"/>
      <c r="AJ158" s="75" t="n"/>
      <c r="AK158" s="13" t="n"/>
      <c r="AL158" s="1176" t="n"/>
      <c r="AM158" s="205">
        <f>C158+F158+I158+L158+O158+R158+U158+X158+AA158+AD158+AG158+AJ158</f>
        <v/>
      </c>
      <c r="AN158" s="13" t="n"/>
      <c r="AO158" s="1177" t="n"/>
    </row>
    <row r="159" ht="15" customHeight="1" s="1016">
      <c r="B159" s="1175" t="inlineStr">
        <is>
          <t>Otros Ajustes 3</t>
        </is>
      </c>
      <c r="C159" s="705" t="n"/>
      <c r="D159" s="13" t="n"/>
      <c r="E159" s="1176" t="n"/>
      <c r="F159" s="705" t="n"/>
      <c r="G159" s="13" t="n"/>
      <c r="H159" s="1176" t="n"/>
      <c r="I159" s="705" t="n"/>
      <c r="J159" s="13" t="n"/>
      <c r="K159" s="1176" t="n"/>
      <c r="L159" s="705" t="n"/>
      <c r="M159" s="13" t="n"/>
      <c r="N159" s="1176" t="n"/>
      <c r="O159" s="705" t="n"/>
      <c r="P159" s="13" t="n"/>
      <c r="Q159" s="1176" t="n"/>
      <c r="R159" s="705" t="n"/>
      <c r="S159" s="13" t="n"/>
      <c r="T159" s="1176" t="n"/>
      <c r="U159" s="705" t="n"/>
      <c r="V159" s="13" t="n"/>
      <c r="W159" s="1176" t="n"/>
      <c r="X159" s="705" t="n"/>
      <c r="Y159" s="13" t="n"/>
      <c r="Z159" s="1176" t="n"/>
      <c r="AA159" s="705" t="n"/>
      <c r="AB159" s="13" t="n"/>
      <c r="AC159" s="1176" t="n"/>
      <c r="AD159" s="705" t="n"/>
      <c r="AE159" s="43" t="n"/>
      <c r="AF159" s="1176" t="n"/>
      <c r="AG159" s="705" t="n"/>
      <c r="AH159" s="13" t="n"/>
      <c r="AI159" s="1176" t="n"/>
      <c r="AJ159" s="705" t="n"/>
      <c r="AK159" s="13" t="n"/>
      <c r="AL159" s="1176" t="n"/>
      <c r="AM159" s="205">
        <f>C159+F159+I159+L159+O159+R159+U159+X159+AA159+AD159+AG159+AJ159</f>
        <v/>
      </c>
      <c r="AN159" s="13" t="n"/>
      <c r="AO159" s="1177" t="n"/>
    </row>
    <row r="160" ht="15" customHeight="1" s="1016" thickBot="1">
      <c r="B160" s="1233" t="inlineStr">
        <is>
          <t>Otros Ajustes 4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1180" t="n"/>
      <c r="AM160" s="292">
        <f>C160+F160+I160+L160+O160+R160+U160+X160+AA160+AD160+AG160+AJ160</f>
        <v/>
      </c>
      <c r="AN160" s="810" t="n"/>
      <c r="AO160" s="1181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1118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500">
        <f>IFERROR(C161/C13," ")</f>
        <v/>
      </c>
      <c r="D162" s="501" t="n"/>
      <c r="E162" s="1118" t="n"/>
      <c r="F162" s="500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1118" t="n"/>
      <c r="AM162" s="587">
        <f>IFERROR(AM161/AM13," ")</f>
        <v/>
      </c>
      <c r="AN162" s="501" t="n"/>
      <c r="AO162" s="1119" t="n"/>
    </row>
    <row r="163" ht="10.8" customHeight="1" s="1016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'[1]Hoja 1'!$C$278+'[1]Hoja 1'!$C$299-'[1]Hoja 1'!$C$309+'[1]Hoja 1'!$C$330+'[1]Hoja 1'!$C$387+'[30]Hoja 1'!$D$16+'[30]Hoja 1'!$D$20</f>
        <v/>
      </c>
      <c r="F165" s="616">
        <f>'[8]Hoja 1'!$C$291+'[8]Hoja 1'!$C$279-'[8]Hoja 1'!$C$304-'[8]Hoja 1'!$C$312+'[8]Hoja 1'!$C$324+'[8]Hoja 1'!$C$396+'[9]Hoja 1'!$C$103+'[40]Hoja 1'!$D$13+'[15]Hoja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10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70" ht="11.4" customHeight="1" s="1016">
      <c r="AM170" s="930">
        <f>AM161+'CTAS EN PPACION'!AM161</f>
        <v/>
      </c>
    </row>
    <row r="172">
      <c r="AM172" s="912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8867187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CUENTAS EN PARTICIPACION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522" t="inlineStr">
        <is>
          <t xml:space="preserve">DIAS DE ATENCIÓN </t>
        </is>
      </c>
      <c r="C3" s="535" t="n">
        <v>20</v>
      </c>
      <c r="D3" s="479" t="n"/>
      <c r="E3" s="1060" t="n"/>
      <c r="F3" s="535" t="n">
        <v>20</v>
      </c>
      <c r="G3" s="479" t="n"/>
      <c r="H3" s="1060" t="n"/>
      <c r="I3" s="478" t="n">
        <v>20</v>
      </c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49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49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828" t="n"/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081" t="n"/>
    </row>
    <row r="17" ht="15" customHeight="1" s="1016">
      <c r="B17" s="763" t="inlineStr">
        <is>
          <t>SUMINISTRO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>
        <f>I17/I6</f>
        <v/>
      </c>
      <c r="K17" s="1070" t="n"/>
      <c r="L17" s="25" t="n"/>
      <c r="M17" s="43">
        <f>L17/L6</f>
        <v/>
      </c>
      <c r="N17" s="1070" t="n"/>
      <c r="O17" s="25" t="n"/>
      <c r="P17" s="43">
        <f>O17/O6</f>
        <v/>
      </c>
      <c r="Q17" s="1070" t="n"/>
      <c r="R17" s="25" t="n"/>
      <c r="S17" s="43">
        <f>R17/R6</f>
        <v/>
      </c>
      <c r="T17" s="1070" t="n"/>
      <c r="U17" s="25" t="n"/>
      <c r="V17" s="43">
        <f>U17/U6</f>
        <v/>
      </c>
      <c r="W17" s="1070" t="n"/>
      <c r="X17" s="25" t="n"/>
      <c r="Y17" s="43">
        <f>X17/X6</f>
        <v/>
      </c>
      <c r="Z17" s="1070" t="n"/>
      <c r="AA17" s="25" t="n"/>
      <c r="AB17" s="43">
        <f>AA17/AA6</f>
        <v/>
      </c>
      <c r="AC17" s="1070" t="n"/>
      <c r="AD17" s="25" t="n"/>
      <c r="AE17" s="43">
        <f>AD17/AD6</f>
        <v/>
      </c>
      <c r="AF17" s="1070" t="n"/>
      <c r="AG17" s="25" t="n"/>
      <c r="AH17" s="43">
        <f>AG17/AG6</f>
        <v/>
      </c>
      <c r="AI17" s="1070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71" t="n"/>
    </row>
    <row r="18" ht="15" customHeight="1" s="1016">
      <c r="B18" s="104" t="n"/>
      <c r="C18" s="75" t="n"/>
      <c r="D18" s="43" t="n"/>
      <c r="E18" s="1070" t="n"/>
      <c r="F18" s="75" t="n"/>
      <c r="G18" s="43" t="n"/>
      <c r="H18" s="1070" t="n"/>
      <c r="I18" s="75" t="n"/>
      <c r="J18" s="43">
        <f>I18/I7</f>
        <v/>
      </c>
      <c r="K18" s="1070" t="n"/>
      <c r="L18" s="75" t="n"/>
      <c r="M18" s="43">
        <f>L18/L7</f>
        <v/>
      </c>
      <c r="N18" s="1070" t="n"/>
      <c r="O18" s="75" t="n"/>
      <c r="P18" s="43">
        <f>O18/O7</f>
        <v/>
      </c>
      <c r="Q18" s="1070" t="n"/>
      <c r="R18" s="75" t="n"/>
      <c r="S18" s="43">
        <f>R18/R7</f>
        <v/>
      </c>
      <c r="T18" s="1070" t="n"/>
      <c r="U18" s="75" t="n"/>
      <c r="V18" s="43">
        <f>U18/U7</f>
        <v/>
      </c>
      <c r="W18" s="1070" t="n"/>
      <c r="X18" s="75" t="n"/>
      <c r="Y18" s="43">
        <f>X18/X7</f>
        <v/>
      </c>
      <c r="Z18" s="1070" t="n"/>
      <c r="AA18" s="75" t="n"/>
      <c r="AB18" s="43">
        <f>AA18/AA7</f>
        <v/>
      </c>
      <c r="AC18" s="1070" t="n"/>
      <c r="AD18" s="75" t="n"/>
      <c r="AE18" s="43">
        <f>AD18/AD7</f>
        <v/>
      </c>
      <c r="AF18" s="1070" t="n"/>
      <c r="AG18" s="75" t="n"/>
      <c r="AH18" s="43">
        <f>AG18/AG7</f>
        <v/>
      </c>
      <c r="AI18" s="1070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71" t="n"/>
    </row>
    <row r="19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91" t="n"/>
      <c r="Y19" s="92" t="n"/>
      <c r="Z19" s="1070" t="n"/>
      <c r="AA19" s="91" t="n"/>
      <c r="AB19" s="92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B21" s="763" t="inlineStr">
        <is>
          <t>TRANSPORTE</t>
        </is>
      </c>
      <c r="C21" s="7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t="15" customHeight="1" s="1016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49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49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1184">
        <f>X29/X13</f>
        <v/>
      </c>
      <c r="AA29" s="90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079">
        <f>AM29/AM13</f>
        <v/>
      </c>
    </row>
    <row r="30" hidden="1" outlineLevel="1" ht="15" customFormat="1" customHeight="1" s="108">
      <c r="A30" s="229" t="n"/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</row>
    <row r="31" hidden="1" outlineLevel="1" ht="15" customHeight="1" s="1016">
      <c r="B31" s="105" t="inlineStr">
        <is>
          <t>Rete fuente</t>
        </is>
      </c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hidden="1" outlineLevel="1" ht="15" customHeight="1" s="1016">
      <c r="B32" s="105" t="inlineStr">
        <is>
          <t>Rete fuente</t>
        </is>
      </c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hidden="1" outlineLevel="1" ht="15" customHeight="1" s="1016"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hidden="1" outlineLevel="1" ht="15" customHeight="1" s="1016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hidden="1" outlineLevel="1" ht="15" customHeight="1" s="1016"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hidden="1" outlineLevel="1" ht="15" customHeight="1" s="1016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</row>
    <row r="37" hidden="1" outlineLevel="1" ht="15" customHeight="1" s="1016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collapsed="1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49">
        <f>+AD46+AD57</f>
        <v/>
      </c>
      <c r="AE45" s="3" t="n"/>
      <c r="AF45" s="1078" t="n"/>
      <c r="AG45" s="90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1016">
      <c r="B46" s="36" t="inlineStr">
        <is>
          <t>INSUMOS</t>
        </is>
      </c>
      <c r="C46" s="37">
        <f>SUM(C47:C56)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37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t="15" customHeight="1" s="1016">
      <c r="B47" s="97" t="inlineStr">
        <is>
          <t>SUMINISTRO</t>
        </is>
      </c>
      <c r="C47" s="76" t="n">
        <v>704316261.6960775</v>
      </c>
      <c r="D47" s="42">
        <f>C47/C12</f>
        <v/>
      </c>
      <c r="E47" s="1082">
        <f>C47/C13</f>
        <v/>
      </c>
      <c r="F47" s="76" t="n">
        <v>702700861.7745461</v>
      </c>
      <c r="G47" s="42">
        <f>F47/F12</f>
        <v/>
      </c>
      <c r="H47" s="1082">
        <f>F47/F13</f>
        <v/>
      </c>
      <c r="I47" s="76" t="n"/>
      <c r="J47" s="42">
        <f>I47/I12</f>
        <v/>
      </c>
      <c r="K47" s="1082">
        <f>I47/I13</f>
        <v/>
      </c>
      <c r="L47" s="76" t="n"/>
      <c r="M47" s="42">
        <f>L47/L12</f>
        <v/>
      </c>
      <c r="N47" s="1082">
        <f>L47/L13</f>
        <v/>
      </c>
      <c r="O47" s="76" t="n"/>
      <c r="P47" s="42">
        <f>O47/O12</f>
        <v/>
      </c>
      <c r="Q47" s="1082">
        <f>O47/O13</f>
        <v/>
      </c>
      <c r="R47" s="76" t="n"/>
      <c r="S47" s="42">
        <f>R47/R12</f>
        <v/>
      </c>
      <c r="T47" s="1082">
        <f>R47/R13</f>
        <v/>
      </c>
      <c r="U47" s="76" t="n"/>
      <c r="V47" s="42">
        <f>U47/U12</f>
        <v/>
      </c>
      <c r="W47" s="1082">
        <f>U47/U13</f>
        <v/>
      </c>
      <c r="X47" s="76" t="n"/>
      <c r="Y47" s="42">
        <f>X47/X12</f>
        <v/>
      </c>
      <c r="Z47" s="1082">
        <f>X47/X13</f>
        <v/>
      </c>
      <c r="AA47" s="76" t="n"/>
      <c r="AB47" s="42">
        <f>AA47/AA12</f>
        <v/>
      </c>
      <c r="AC47" s="1082">
        <f>AA47/AA13</f>
        <v/>
      </c>
      <c r="AD47" s="76" t="n"/>
      <c r="AE47" s="42">
        <f>AD47/AD12</f>
        <v/>
      </c>
      <c r="AF47" s="1082">
        <f>AD47/AD13</f>
        <v/>
      </c>
      <c r="AG47" s="76" t="n"/>
      <c r="AH47" s="42">
        <f>AG47/AG12</f>
        <v/>
      </c>
      <c r="AI47" s="1082">
        <f>AG47/AG13</f>
        <v/>
      </c>
      <c r="AJ47" s="76" t="n"/>
      <c r="AK47" s="42">
        <f>AJ47/AJ12</f>
        <v/>
      </c>
      <c r="AL47" s="1082">
        <f>AJ47/AJ13</f>
        <v/>
      </c>
      <c r="AM47" s="97">
        <f>C47+F47+I47+L47+O47+R47+U47+X47+AA47+AD47+AG47+AJ47</f>
        <v/>
      </c>
      <c r="AN47" s="42">
        <f>AM47/$AM$12</f>
        <v/>
      </c>
      <c r="AO47" s="1083">
        <f>AM47/AM13</f>
        <v/>
      </c>
      <c r="AP47" s="138" t="n"/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>
        <f>AM48/AM12</f>
        <v/>
      </c>
      <c r="AO48" s="1071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t="15" customHeight="1" s="1016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074">
        <f>C57/C13</f>
        <v/>
      </c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47">
        <f>L57/L12</f>
        <v/>
      </c>
      <c r="N57" s="1074">
        <f>L57/L13</f>
        <v/>
      </c>
      <c r="O57" s="46">
        <f>SUM(O58:O59)</f>
        <v/>
      </c>
      <c r="P57" s="47">
        <f>O57/O12</f>
        <v/>
      </c>
      <c r="Q57" s="1074">
        <f>O57/O13</f>
        <v/>
      </c>
      <c r="R57" s="46">
        <f>SUM(R58:R59)</f>
        <v/>
      </c>
      <c r="S57" s="47">
        <f>R57/R12</f>
        <v/>
      </c>
      <c r="T57" s="1074">
        <f>R57/R13</f>
        <v/>
      </c>
      <c r="U57" s="46">
        <f>SUM(U58:U59)</f>
        <v/>
      </c>
      <c r="V57" s="47">
        <f>U57/U12</f>
        <v/>
      </c>
      <c r="W57" s="1074">
        <f>U57/U13</f>
        <v/>
      </c>
      <c r="X57" s="46">
        <f>SUM(X58:X59)</f>
        <v/>
      </c>
      <c r="Y57" s="47">
        <f>X57/X12</f>
        <v/>
      </c>
      <c r="Z57" s="1074">
        <f>X57/X13</f>
        <v/>
      </c>
      <c r="AA57" s="46">
        <f>SUM(AA58:AA59)</f>
        <v/>
      </c>
      <c r="AB57" s="47">
        <f>AA57/AA12</f>
        <v/>
      </c>
      <c r="AC57" s="1074">
        <f>AA57/AA13</f>
        <v/>
      </c>
      <c r="AD57" s="46">
        <f>SUM(AD58:AD59)</f>
        <v/>
      </c>
      <c r="AE57" s="47">
        <f>AD57/AD12</f>
        <v/>
      </c>
      <c r="AF57" s="1074">
        <f>AD57/AD13</f>
        <v/>
      </c>
      <c r="AG57" s="46">
        <f>SUM(AG58:AG59)</f>
        <v/>
      </c>
      <c r="AH57" s="47">
        <f>AG57/AG12</f>
        <v/>
      </c>
      <c r="AI57" s="1074">
        <f>AG57/AG13</f>
        <v/>
      </c>
      <c r="AJ57" s="46">
        <f>SUM(AJ58:AJ59)</f>
        <v/>
      </c>
      <c r="AK57" s="47">
        <f>AJ57/AJ12</f>
        <v/>
      </c>
      <c r="AL57" s="1074">
        <f>AJ57/AJ13</f>
        <v/>
      </c>
      <c r="AM57" s="207">
        <f>C57+F57+I57+L57+O57+R57+U57+X57+AA57+AD57+AG57+AJ57</f>
        <v/>
      </c>
      <c r="AN57" s="47">
        <f>AM57/AM12</f>
        <v/>
      </c>
      <c r="AO57" s="1075">
        <f>AM57/AM13</f>
        <v/>
      </c>
    </row>
    <row r="58" ht="15" customHeight="1" s="1016">
      <c r="B58" s="411" t="inlineStr">
        <is>
          <t>ENTREGA POR RACION</t>
        </is>
      </c>
      <c r="C58" s="304">
        <f>[56]ENERO!$G$22</f>
        <v/>
      </c>
      <c r="D58" s="305" t="n"/>
      <c r="E58" s="1136" t="n"/>
      <c r="F58" s="304">
        <f>[56]FEBRERO!$G$22</f>
        <v/>
      </c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  <c r="AP58" s="1093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16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>
        <f>L60/L13</f>
        <v/>
      </c>
      <c r="O60" s="49">
        <f>+O61+O72+O75+O76+O77</f>
        <v/>
      </c>
      <c r="P60" s="3" t="n"/>
      <c r="Q60" s="1078">
        <f>O60/$O$13</f>
        <v/>
      </c>
      <c r="R60" s="90">
        <f>+R61+R72+R75+R76+R77</f>
        <v/>
      </c>
      <c r="S60" s="3" t="n"/>
      <c r="T60" s="1078">
        <f>R60/$O$13</f>
        <v/>
      </c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90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1016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97" t="n"/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81" t="n"/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71" t="n"/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71" t="n"/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 t="n"/>
      <c r="AO67" s="1071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 t="n"/>
      <c r="AO68" s="1071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 t="n"/>
      <c r="AO69" s="1071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 t="n"/>
      <c r="AO70" s="1071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t="15" customHeight="1" s="1016">
      <c r="B72" s="36" t="inlineStr">
        <is>
          <t>FLETES - CHVS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67" t="n"/>
      <c r="N72" s="1096" t="n"/>
      <c r="O72" s="46">
        <f>SUM(O73:O74)</f>
        <v/>
      </c>
      <c r="P72" s="67" t="n"/>
      <c r="Q72" s="1096" t="n"/>
      <c r="R72" s="46">
        <f>SUM(R73:R74)</f>
        <v/>
      </c>
      <c r="S72" s="67" t="n"/>
      <c r="T72" s="1096" t="n"/>
      <c r="U72" s="46">
        <f>SUM(U73:U74)</f>
        <v/>
      </c>
      <c r="V72" s="47">
        <f>U72/U12</f>
        <v/>
      </c>
      <c r="W72" s="1096" t="n"/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n"/>
      <c r="C73" s="78" t="n"/>
      <c r="D73" s="79" t="n"/>
      <c r="E73" s="1080" t="n"/>
      <c r="F73" s="304" t="n"/>
      <c r="G73" s="305" t="n"/>
      <c r="H73" s="1136" t="n"/>
      <c r="I73" s="304" t="n"/>
      <c r="J73" s="305" t="n"/>
      <c r="K73" s="1136" t="n"/>
      <c r="L73" s="304" t="n"/>
      <c r="M73" s="305" t="n"/>
      <c r="N73" s="1136" t="n"/>
      <c r="O73" s="304" t="n"/>
      <c r="P73" s="305" t="n"/>
      <c r="Q73" s="1136" t="n"/>
      <c r="R73" s="304" t="n"/>
      <c r="S73" s="305" t="n"/>
      <c r="T73" s="1136" t="n"/>
      <c r="U73" s="304" t="n"/>
      <c r="V73" s="305" t="n"/>
      <c r="W73" s="1136" t="n"/>
      <c r="X73" s="304" t="n"/>
      <c r="Y73" s="305" t="n"/>
      <c r="Z73" s="1136" t="n"/>
      <c r="AA73" s="304" t="n"/>
      <c r="AB73" s="305" t="n"/>
      <c r="AC73" s="1136" t="n"/>
      <c r="AD73" s="304" t="n"/>
      <c r="AE73" s="305" t="n"/>
      <c r="AF73" s="1136" t="n"/>
      <c r="AG73" s="304" t="n"/>
      <c r="AH73" s="305" t="n"/>
      <c r="AI73" s="1136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42" t="n"/>
    </row>
    <row r="74" ht="15" customFormat="1" customHeight="1" s="108" thickBot="1">
      <c r="A74" s="229" t="n"/>
      <c r="B74" s="831" t="inlineStr">
        <is>
          <t>TERCEROS</t>
        </is>
      </c>
      <c r="C74" s="71" t="n"/>
      <c r="D74" s="72" t="n"/>
      <c r="E74" s="1111" t="n"/>
      <c r="F74" s="71" t="n"/>
      <c r="G74" s="72" t="n"/>
      <c r="H74" s="1111" t="n"/>
      <c r="I74" s="71" t="n"/>
      <c r="J74" s="72" t="n"/>
      <c r="K74" s="1111" t="n"/>
      <c r="L74" s="71" t="n"/>
      <c r="M74" s="72" t="n"/>
      <c r="N74" s="1111" t="n"/>
      <c r="O74" s="71" t="n"/>
      <c r="P74" s="72" t="n"/>
      <c r="Q74" s="1111" t="n"/>
      <c r="R74" s="71" t="n"/>
      <c r="S74" s="72" t="n"/>
      <c r="T74" s="1111" t="n"/>
      <c r="U74" s="71" t="n"/>
      <c r="V74" s="72" t="n"/>
      <c r="W74" s="1111" t="n"/>
      <c r="X74" s="71" t="n"/>
      <c r="Y74" s="72" t="n"/>
      <c r="Z74" s="1111" t="n"/>
      <c r="AA74" s="71" t="n"/>
      <c r="AB74" s="72" t="n"/>
      <c r="AC74" s="1111" t="n"/>
      <c r="AD74" s="71" t="n"/>
      <c r="AE74" s="72" t="n"/>
      <c r="AF74" s="1111" t="n"/>
      <c r="AG74" s="71" t="n"/>
      <c r="AH74" s="72" t="n"/>
      <c r="AI74" s="1111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34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16">
      <c r="B75" s="829" t="inlineStr">
        <is>
          <t>Material de empaque</t>
        </is>
      </c>
      <c r="C75" s="273" t="n"/>
      <c r="D75" s="134" t="n"/>
      <c r="E75" s="1143" t="n"/>
      <c r="F75" s="273" t="n"/>
      <c r="G75" s="134" t="n"/>
      <c r="H75" s="1143" t="n"/>
      <c r="I75" s="273" t="n"/>
      <c r="J75" s="134" t="n"/>
      <c r="K75" s="1143" t="n"/>
      <c r="L75" s="273" t="n"/>
      <c r="M75" s="134" t="n"/>
      <c r="N75" s="1143" t="n"/>
      <c r="O75" s="273" t="n"/>
      <c r="P75" s="134" t="n"/>
      <c r="Q75" s="1143" t="n"/>
      <c r="R75" s="273" t="n"/>
      <c r="S75" s="134" t="n"/>
      <c r="T75" s="1143" t="n"/>
      <c r="U75" s="273" t="n"/>
      <c r="V75" s="134" t="n"/>
      <c r="W75" s="1143" t="n"/>
      <c r="X75" s="273" t="n"/>
      <c r="Y75" s="134" t="n"/>
      <c r="Z75" s="1143" t="n"/>
      <c r="AA75" s="273" t="n"/>
      <c r="AB75" s="134" t="n"/>
      <c r="AC75" s="1143" t="n"/>
      <c r="AD75" s="273" t="n"/>
      <c r="AE75" s="134" t="n"/>
      <c r="AF75" s="1143" t="n"/>
      <c r="AG75" s="273" t="n"/>
      <c r="AH75" s="134" t="n"/>
      <c r="AI75" s="1143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35" t="n"/>
    </row>
    <row r="76" hidden="1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</row>
    <row r="77" hidden="1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idden="1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idden="1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  <c r="AP79" s="1093" t="n"/>
    </row>
    <row r="80" hidden="1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</row>
    <row r="81" hidden="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791" t="n"/>
      <c r="M81" s="792" t="n"/>
      <c r="N81" s="1236" t="n"/>
      <c r="O81" s="791" t="n"/>
      <c r="P81" s="792" t="n"/>
      <c r="Q81" s="1236" t="n"/>
      <c r="R81" s="791" t="n"/>
      <c r="S81" s="792" t="n"/>
      <c r="T81" s="1236" t="n"/>
      <c r="U81" s="791" t="n"/>
      <c r="V81" s="792" t="n"/>
      <c r="W81" s="1236" t="n"/>
      <c r="X81" s="791" t="n"/>
      <c r="Y81" s="792" t="n"/>
      <c r="Z81" s="1236" t="n"/>
      <c r="AA81" s="791" t="n"/>
      <c r="AB81" s="792" t="n"/>
      <c r="AC81" s="1236" t="n"/>
      <c r="AD81" s="791" t="n"/>
      <c r="AE81" s="792" t="n"/>
      <c r="AF81" s="1236" t="n"/>
      <c r="AG81" s="791" t="n"/>
      <c r="AH81" s="792" t="n"/>
      <c r="AI81" s="1236" t="n"/>
      <c r="AJ81" s="794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39" t="inlineStr">
        <is>
          <t>Costos Indirectos de Personal</t>
        </is>
      </c>
      <c r="C85" s="39">
        <f>'[30]Hoja 1'!$D$20</f>
        <v/>
      </c>
      <c r="D85" s="69" t="n"/>
      <c r="E85" s="1102" t="n"/>
      <c r="F85" s="25">
        <f>'[37]Hoja 1'!$D$14+'[42]Hoja 1'!$D$15</f>
        <v/>
      </c>
      <c r="G85" s="69" t="n"/>
      <c r="H85" s="1102" t="n"/>
      <c r="I85" s="91" t="n"/>
      <c r="J85" s="69" t="n"/>
      <c r="K85" s="1102" t="n"/>
      <c r="L85" s="91" t="n"/>
      <c r="M85" s="69" t="n"/>
      <c r="N85" s="1102" t="n"/>
      <c r="O85" s="91" t="n"/>
      <c r="P85" s="69" t="n"/>
      <c r="Q85" s="1102" t="n"/>
      <c r="R85" s="91" t="n"/>
      <c r="S85" s="69" t="n"/>
      <c r="T85" s="1102" t="n"/>
      <c r="U85" s="91" t="n"/>
      <c r="V85" s="69" t="n"/>
      <c r="W85" s="1102" t="n"/>
      <c r="X85" s="91" t="n"/>
      <c r="Y85" s="69" t="n"/>
      <c r="Z85" s="1102" t="n"/>
      <c r="AA85" s="91" t="n"/>
      <c r="AB85" s="69" t="n"/>
      <c r="AC85" s="1102" t="n"/>
      <c r="AD85" s="91" t="n"/>
      <c r="AE85" s="69" t="n"/>
      <c r="AF85" s="1102" t="n"/>
      <c r="AG85" s="91" t="n"/>
      <c r="AH85" s="69" t="n"/>
      <c r="AI85" s="70" t="n"/>
      <c r="AJ85" s="911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07">
        <f>AM85/(AM$13)</f>
        <v/>
      </c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</row>
    <row r="88" ht="15" customHeight="1" s="1016">
      <c r="B88" s="206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</row>
    <row r="89" hidden="1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hidden="1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</row>
    <row r="91" hidden="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</row>
    <row r="92" hidden="1" collapsed="1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hidden="1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</row>
    <row r="94" hidden="1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</row>
    <row r="95" hidden="1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idden="1" collapsed="1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</row>
    <row r="99" hidden="1" collapsed="1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</row>
    <row r="100" hidden="1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</row>
    <row r="101" hidden="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hidden="1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hidden="1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hidden="1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hidden="1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hidden="1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hidden="1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274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</row>
    <row r="108" hidden="1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idden="1" collapsed="1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hidden="1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</row>
    <row r="111" hidden="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hidden="1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</row>
    <row r="113" hidden="1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idden="1" collapsed="1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49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>
        <f>SUM(AD115:AD116)</f>
        <v/>
      </c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hidden="1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</row>
    <row r="116" hidden="1" outlineLevel="1" ht="15" customHeight="1" s="101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hidden="1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hidden="1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</row>
    <row r="119" hidden="1" outlineLevel="1" ht="15" customHeight="1" s="101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idden="1" collapsed="1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idden="1" ht="15" customHeight="1" s="101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</row>
    <row r="122" hidden="1" ht="15" customHeight="1" s="101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</row>
    <row r="123" hidden="1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hidden="1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</row>
    <row r="125" hidden="1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</row>
    <row r="126" hidden="1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idden="1" collapsed="1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hidden="1" outlineLevel="1" ht="15" customHeight="1" s="1016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</row>
    <row r="129" hidden="1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hidden="1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</row>
    <row r="131" hidden="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</row>
    <row r="132" hidden="1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hidden="1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hidden="1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hidden="1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hidden="1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hidden="1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hidden="1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hidden="1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</row>
    <row r="140" hidden="1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</row>
    <row r="141" hidden="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</row>
    <row r="142" hidden="1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</row>
    <row r="143" collapsed="1" ht="15" customHeight="1" s="1016" thickBot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02" t="n"/>
      <c r="F148" s="39">
        <f>'GASTOS ADMINISTRATIVOS'!D96*'%DIST'!D45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</row>
    <row r="149" ht="15" customHeight="1" s="1016">
      <c r="B149" s="285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</row>
    <row r="151" ht="15" customHeight="1" s="1016" thickBot="1">
      <c r="B151" s="300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idden="1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</row>
    <row r="154" hidden="1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286" t="n"/>
      <c r="G154" s="230" t="n"/>
      <c r="H154" s="1161" t="n"/>
      <c r="I154" s="287" t="n"/>
      <c r="J154" s="230" t="n"/>
      <c r="K154" s="1161" t="n"/>
      <c r="L154" s="287" t="n"/>
      <c r="M154" s="230" t="n"/>
      <c r="N154" s="1161" t="n"/>
      <c r="O154" s="1197" t="n"/>
      <c r="P154" s="230" t="n"/>
      <c r="Q154" s="1161" t="n"/>
      <c r="R154" s="1197" t="n"/>
      <c r="S154" s="230" t="n"/>
      <c r="T154" s="1161" t="n"/>
      <c r="U154" s="287" t="n"/>
      <c r="V154" s="230" t="n"/>
      <c r="W154" s="1161" t="n"/>
      <c r="X154" s="287" t="n"/>
      <c r="Y154" s="230" t="n"/>
      <c r="Z154" s="1161" t="n"/>
      <c r="AA154" s="1197" t="n"/>
      <c r="AB154" s="230" t="n"/>
      <c r="AC154" s="1161" t="n"/>
      <c r="AD154" s="1197" t="n"/>
      <c r="AE154" s="230" t="n"/>
      <c r="AF154" s="1161" t="n"/>
      <c r="AG154" s="1197" t="n"/>
      <c r="AH154" s="230" t="n"/>
      <c r="AI154" s="1161" t="n"/>
      <c r="AJ154" s="1197" t="n"/>
      <c r="AK154" s="230" t="n"/>
      <c r="AL154" s="245" t="n"/>
      <c r="AM154" s="287">
        <f>C154+F154+I154+L154+O154+R154+U154+X154+AA154+AD154+AG154+AJ154</f>
        <v/>
      </c>
      <c r="AN154" s="230" t="n"/>
      <c r="AO154" s="1162" t="n"/>
      <c r="AP154" s="630" t="n"/>
    </row>
    <row r="155" hidden="1" ht="15" customHeight="1" s="1016">
      <c r="B155" s="1164" t="inlineStr">
        <is>
          <t>Donacion</t>
        </is>
      </c>
      <c r="C155" s="691" t="n"/>
      <c r="D155" s="9" t="n"/>
      <c r="E155" s="1165" t="n"/>
      <c r="F155" s="691" t="n"/>
      <c r="G155" s="9" t="n"/>
      <c r="H155" s="1165" t="n"/>
      <c r="I155" s="565" t="n"/>
      <c r="J155" s="9" t="n"/>
      <c r="K155" s="1165" t="n"/>
      <c r="L155" s="565" t="n"/>
      <c r="M155" s="9" t="n"/>
      <c r="N155" s="1165" t="n"/>
      <c r="O155" s="565" t="n"/>
      <c r="P155" s="9" t="n"/>
      <c r="Q155" s="1165" t="n"/>
      <c r="R155" s="565" t="n"/>
      <c r="S155" s="9" t="n"/>
      <c r="T155" s="1165" t="n"/>
      <c r="U155" s="565" t="n"/>
      <c r="V155" s="9" t="n"/>
      <c r="W155" s="1165" t="n"/>
      <c r="X155" s="565" t="n"/>
      <c r="Y155" s="9" t="n"/>
      <c r="Z155" s="1165" t="n"/>
      <c r="AA155" s="565" t="n"/>
      <c r="AB155" s="9" t="n"/>
      <c r="AC155" s="1165" t="n"/>
      <c r="AD155" s="565" t="n"/>
      <c r="AE155" s="9" t="n"/>
      <c r="AF155" s="1165" t="n"/>
      <c r="AG155" s="565" t="n"/>
      <c r="AH155" s="9" t="n"/>
      <c r="AI155" s="1165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66" t="n"/>
      <c r="AP155" s="707" t="n"/>
    </row>
    <row r="156" hidden="1" ht="15" customHeight="1" s="1016">
      <c r="B156" s="1168" t="inlineStr">
        <is>
          <t>Donacion</t>
        </is>
      </c>
      <c r="C156" s="685" t="n"/>
      <c r="D156" s="675" t="n"/>
      <c r="E156" s="1169" t="n"/>
      <c r="F156" s="685" t="n"/>
      <c r="G156" s="675" t="n"/>
      <c r="H156" s="1169" t="n"/>
      <c r="I156" s="680" t="n"/>
      <c r="J156" s="675" t="n"/>
      <c r="K156" s="1169" t="n"/>
      <c r="L156" s="680" t="n"/>
      <c r="M156" s="675" t="n"/>
      <c r="N156" s="1169" t="n"/>
      <c r="O156" s="680" t="n"/>
      <c r="P156" s="675" t="n"/>
      <c r="Q156" s="1169" t="n"/>
      <c r="R156" s="680" t="n"/>
      <c r="S156" s="675" t="n"/>
      <c r="T156" s="1169" t="n"/>
      <c r="U156" s="680" t="n"/>
      <c r="V156" s="675" t="n"/>
      <c r="W156" s="1169" t="n"/>
      <c r="X156" s="680" t="n"/>
      <c r="Y156" s="675" t="n"/>
      <c r="Z156" s="1169" t="n"/>
      <c r="AA156" s="680" t="n"/>
      <c r="AB156" s="675" t="n"/>
      <c r="AC156" s="1169" t="n"/>
      <c r="AD156" s="680" t="n"/>
      <c r="AE156" s="675" t="n"/>
      <c r="AF156" s="1169" t="n"/>
      <c r="AG156" s="680" t="n"/>
      <c r="AH156" s="675" t="n"/>
      <c r="AI156" s="1169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70" t="n"/>
      <c r="AP156" s="707" t="n"/>
    </row>
    <row r="157" hidden="1" ht="15" customHeight="1" s="1016">
      <c r="B157" s="1171" t="inlineStr">
        <is>
          <t>Otros Ajustes</t>
        </is>
      </c>
      <c r="C157" s="561" t="n"/>
      <c r="D157" s="551" t="n"/>
      <c r="E157" s="1172" t="n"/>
      <c r="F157" s="561" t="n"/>
      <c r="G157" s="551" t="n"/>
      <c r="H157" s="1172" t="n"/>
      <c r="I157" s="565" t="n"/>
      <c r="J157" s="551" t="n"/>
      <c r="K157" s="1172" t="n"/>
      <c r="L157" s="565" t="n"/>
      <c r="M157" s="551" t="n"/>
      <c r="N157" s="1172" t="n"/>
      <c r="O157" s="565" t="n"/>
      <c r="P157" s="551" t="n"/>
      <c r="Q157" s="1172" t="n"/>
      <c r="R157" s="565" t="n"/>
      <c r="S157" s="551" t="n"/>
      <c r="T157" s="1172" t="n"/>
      <c r="U157" s="565" t="n"/>
      <c r="V157" s="551" t="n"/>
      <c r="W157" s="1172" t="n"/>
      <c r="X157" s="565" t="n"/>
      <c r="Y157" s="551" t="n"/>
      <c r="Z157" s="1172" t="n"/>
      <c r="AA157" s="565" t="n"/>
      <c r="AB157" s="551" t="n"/>
      <c r="AC157" s="1172" t="n"/>
      <c r="AD157" s="565" t="n"/>
      <c r="AE157" s="551" t="n"/>
      <c r="AF157" s="1172" t="n"/>
      <c r="AG157" s="565" t="n"/>
      <c r="AH157" s="551" t="n"/>
      <c r="AI157" s="1172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03">
        <f>AM157/AM13</f>
        <v/>
      </c>
      <c r="AP157" s="632" t="n"/>
    </row>
    <row r="158" hidden="1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1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AM158/AM13</f>
        <v/>
      </c>
      <c r="AP158" s="632" t="n"/>
    </row>
    <row r="159" hidden="1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1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>
        <f>AM159/AM13</f>
        <v/>
      </c>
      <c r="AP159" s="632" t="n"/>
    </row>
    <row r="160" hidden="1" ht="15" customHeight="1" s="1016" thickBot="1">
      <c r="B160" s="1179" t="inlineStr">
        <is>
          <t>Otros Ajustes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453" t="n"/>
      <c r="AP160" s="633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7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454">
        <f>IFERROR(C161/C13," ")</f>
        <v/>
      </c>
      <c r="D162" s="445" t="n"/>
      <c r="E162" s="1225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</row>
    <row r="163" ht="10.8" customHeight="1" s="1016" thickTop="1"/>
    <row r="164" hidden="1" s="1016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24">
        <f>AA44+AA83-AA73-AA85</f>
        <v/>
      </c>
      <c r="AD164" s="1024">
        <f>AD44+AD83-AD73-AD85</f>
        <v/>
      </c>
      <c r="AG164" s="1024">
        <f>AG44+AG83-AG73-AG85</f>
        <v/>
      </c>
      <c r="AJ164" s="1024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24" t="n">
        <v>1217442425.63</v>
      </c>
      <c r="AG165" s="1024" t="n">
        <v>366076117.29</v>
      </c>
      <c r="AJ165" s="1024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24">
        <f>AA164-AA165</f>
        <v/>
      </c>
      <c r="AB166" s="1010" t="inlineStr">
        <is>
          <t>MP</t>
        </is>
      </c>
      <c r="AG166" s="1024">
        <f>AG164-AG165</f>
        <v/>
      </c>
      <c r="AJ166" s="1024">
        <f>AJ164-AJ165</f>
        <v/>
      </c>
    </row>
    <row r="216">
      <c r="AM216" s="1010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554687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COMEDORES PALMIRA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522" t="inlineStr">
        <is>
          <t xml:space="preserve">DIAS DE ATENCIÓN </t>
        </is>
      </c>
      <c r="C3" s="535" t="n">
        <v>10</v>
      </c>
      <c r="D3" s="479" t="n"/>
      <c r="E3" s="1060" t="n"/>
      <c r="F3" s="535" t="n">
        <v>20</v>
      </c>
      <c r="G3" s="479" t="n"/>
      <c r="H3" s="1060" t="n"/>
      <c r="I3" s="535" t="n">
        <v>20</v>
      </c>
      <c r="J3" s="479" t="n"/>
      <c r="K3" s="1060" t="n"/>
      <c r="L3" s="535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66" t="n"/>
      <c r="F5" s="257" t="n">
        <v>21565</v>
      </c>
      <c r="G5" s="260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70" t="n"/>
      <c r="F7" s="25" t="n">
        <v>1235</v>
      </c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>
        <f>AJ15/AJ15</f>
        <v/>
      </c>
      <c r="AM15" s="16">
        <f>C15+F15+I15+L15+O15+R15+U15+X15+AA15+AD15+AG15+AJ15</f>
        <v/>
      </c>
      <c r="AN15" s="3" t="n"/>
      <c r="AO15" s="1079">
        <f>AM15/AM15</f>
        <v/>
      </c>
    </row>
    <row r="16" ht="15" customHeight="1" s="1016">
      <c r="B16" s="262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>
        <f>I16/I5</f>
        <v/>
      </c>
      <c r="K16" s="1080" t="n"/>
      <c r="L16" s="103" t="n"/>
      <c r="M16" s="79">
        <f>L16/L5</f>
        <v/>
      </c>
      <c r="N16" s="1080" t="n"/>
      <c r="O16" s="103" t="n"/>
      <c r="P16" s="79">
        <f>O16/O5</f>
        <v/>
      </c>
      <c r="Q16" s="1080" t="n"/>
      <c r="R16" s="103" t="n"/>
      <c r="S16" s="79">
        <f>R16/R5</f>
        <v/>
      </c>
      <c r="T16" s="1080" t="n"/>
      <c r="U16" s="103" t="n"/>
      <c r="V16" s="79">
        <f>U16/U5</f>
        <v/>
      </c>
      <c r="W16" s="1080" t="n"/>
      <c r="X16" s="103" t="n"/>
      <c r="Y16" s="79">
        <f>X16/X5</f>
        <v/>
      </c>
      <c r="Z16" s="1080" t="n"/>
      <c r="AA16" s="103" t="n"/>
      <c r="AB16" s="79">
        <f>AA16/AA5</f>
        <v/>
      </c>
      <c r="AC16" s="1080" t="n"/>
      <c r="AD16" s="103" t="n"/>
      <c r="AE16" s="79">
        <f>AD16/AD5</f>
        <v/>
      </c>
      <c r="AF16" s="1080" t="n"/>
      <c r="AG16" s="103" t="n"/>
      <c r="AH16" s="79">
        <f>AG16/AG5</f>
        <v/>
      </c>
      <c r="AI16" s="1080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081" t="n"/>
    </row>
    <row r="17" ht="15" customHeight="1" s="1016">
      <c r="B17" s="104" t="n"/>
      <c r="C17" s="25" t="n"/>
      <c r="D17" s="43" t="n"/>
      <c r="E17" s="1070" t="n"/>
      <c r="F17" s="25" t="n"/>
      <c r="G17" s="43" t="n"/>
      <c r="H17" s="1070" t="n"/>
      <c r="I17" s="25" t="n"/>
      <c r="J17" s="43">
        <f>I17/I5</f>
        <v/>
      </c>
      <c r="K17" s="1070" t="n"/>
      <c r="L17" s="25" t="n"/>
      <c r="M17" s="43">
        <f>L17/L5</f>
        <v/>
      </c>
      <c r="N17" s="1070" t="n"/>
      <c r="O17" s="25" t="n"/>
      <c r="P17" s="43">
        <f>O17/O5</f>
        <v/>
      </c>
      <c r="Q17" s="1070" t="n"/>
      <c r="R17" s="25" t="n"/>
      <c r="S17" s="43">
        <f>R17/R5</f>
        <v/>
      </c>
      <c r="T17" s="1070" t="n"/>
      <c r="U17" s="25" t="n"/>
      <c r="V17" s="43">
        <f>U17/U5</f>
        <v/>
      </c>
      <c r="W17" s="1070" t="n"/>
      <c r="X17" s="25" t="n"/>
      <c r="Y17" s="43">
        <f>X17/X5</f>
        <v/>
      </c>
      <c r="Z17" s="1070" t="n"/>
      <c r="AA17" s="25" t="n"/>
      <c r="AB17" s="43">
        <f>AA17/AA5</f>
        <v/>
      </c>
      <c r="AC17" s="1070" t="n"/>
      <c r="AD17" s="25" t="n"/>
      <c r="AE17" s="43">
        <f>AD17/AD5</f>
        <v/>
      </c>
      <c r="AF17" s="1070" t="n"/>
      <c r="AG17" s="25" t="n"/>
      <c r="AH17" s="43">
        <f>AG17/AG5</f>
        <v/>
      </c>
      <c r="AI17" s="1070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71" t="n"/>
    </row>
    <row r="18" ht="15" customHeight="1" s="1016">
      <c r="B18" s="104" t="inlineStr">
        <is>
          <t>ADICIONAL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4" t="n"/>
      <c r="AH18" s="43" t="n"/>
      <c r="AI18" s="1070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71" t="n"/>
    </row>
    <row r="19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t="15" customHeight="1" s="1016">
      <c r="B21" s="104" t="inlineStr">
        <is>
          <t>TRANSPORTE</t>
        </is>
      </c>
      <c r="C21" s="2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t="15" customHeight="1" s="1016">
      <c r="B22" s="30" t="n"/>
      <c r="C22" s="22" t="n"/>
      <c r="D22" s="42" t="n"/>
      <c r="E22" s="1082" t="n"/>
      <c r="F22" s="22" t="n"/>
      <c r="G22" s="42" t="n"/>
      <c r="H22" s="1082" t="n"/>
      <c r="I22" s="22" t="n"/>
      <c r="J22" s="42" t="n"/>
      <c r="K22" s="1082" t="n"/>
      <c r="L22" s="22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1184">
        <f>X29/X13</f>
        <v/>
      </c>
      <c r="AA29" s="90">
        <f>SUM(AA30:AA35)</f>
        <v/>
      </c>
      <c r="AB29" s="3" t="n"/>
      <c r="AC29" s="1078" t="n"/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</row>
    <row r="30" hidden="1" outlineLevel="1" ht="15" customFormat="1" customHeight="1" s="108">
      <c r="A30" s="229" t="n"/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</row>
    <row r="31" hidden="1" outlineLevel="1" ht="15" customHeight="1" s="1016" thickBot="1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hidden="1" outlineLevel="1" ht="15" customHeight="1" s="1016" thickBot="1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hidden="1" outlineLevel="1" ht="15" customHeight="1" s="1016" thickBot="1"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hidden="1" outlineLevel="1" ht="15" customHeight="1" s="1016" thickBot="1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hidden="1" outlineLevel="1" ht="15" customHeight="1" s="1016" thickBot="1"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hidden="1" outlineLevel="1" ht="15" customHeight="1" s="1016" thickBot="1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</row>
    <row r="37" hidden="1" outlineLevel="1" ht="15" customHeight="1" s="1016" thickBot="1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1016" thickBot="1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1016" thickBot="1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1016" thickBot="1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1016" thickBot="1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collapsed="1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5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095">
        <f>AM44/AM$13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761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46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t="15" customHeight="1" s="1016">
      <c r="B47" s="97" t="inlineStr">
        <is>
          <t>SUMINISTRO</t>
        </is>
      </c>
      <c r="C47" s="963">
        <f>'[44]Hoja 1'!$D$22+26928489</f>
        <v/>
      </c>
      <c r="D47" s="42">
        <f>C47/C5</f>
        <v/>
      </c>
      <c r="E47" s="1082">
        <f>C47/C16</f>
        <v/>
      </c>
      <c r="F47" s="76">
        <f>'[57]Hoja 1'!$G$29+'[45]Hoja 1'!$D$23</f>
        <v/>
      </c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AM47/AM16</f>
        <v/>
      </c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1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1016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75">
        <f>AM57/AM13</f>
        <v/>
      </c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90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1016">
      <c r="B61" s="36" t="inlineStr">
        <is>
          <t>INSUMOS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81">
        <f>AM62/$O$13</f>
        <v/>
      </c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71">
        <f>AM63/$O$13</f>
        <v/>
      </c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>
        <f>AM67/$O$5</f>
        <v/>
      </c>
      <c r="AO67" s="1071">
        <f>AM67/$O$13</f>
        <v/>
      </c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>
        <f>AM68/$O$5</f>
        <v/>
      </c>
      <c r="AO68" s="1071">
        <f>AM68/$O$13</f>
        <v/>
      </c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>
        <f>AM69/$O$5</f>
        <v/>
      </c>
      <c r="AO69" s="1071">
        <f>AM69/$O$13</f>
        <v/>
      </c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>
        <f>AM70/$O$5</f>
        <v/>
      </c>
      <c r="AO70" s="1071">
        <f>AM70/$O$13</f>
        <v/>
      </c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</row>
    <row r="72" ht="15" customHeight="1" s="1016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>
        <f>AJ72/AJ12</f>
        <v/>
      </c>
      <c r="AL72" s="1074">
        <f>AJ72/AJ13</f>
        <v/>
      </c>
      <c r="AM72" s="207">
        <f>C72+F72+I72+L72+O72+R72+U72+X72+AA72+AD72+AG72+AJ72</f>
        <v/>
      </c>
      <c r="AN72" s="47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78">
        <f>'GASTOS VEHICULOS'!C25*'%DIST'!B27</f>
        <v/>
      </c>
      <c r="D73" s="79" t="n"/>
      <c r="E73" s="1080" t="n"/>
      <c r="F73" s="78">
        <f>'GASTOS VEHICULOS'!D25*'%DIST'!D27</f>
        <v/>
      </c>
      <c r="G73" s="79" t="n"/>
      <c r="H73" s="1080" t="n"/>
      <c r="I73" s="78" t="n"/>
      <c r="J73" s="79" t="n"/>
      <c r="K73" s="1080" t="n"/>
      <c r="L73" s="78" t="n"/>
      <c r="M73" s="79" t="n"/>
      <c r="N73" s="1080" t="n"/>
      <c r="O73" s="78" t="n"/>
      <c r="P73" s="79" t="n"/>
      <c r="Q73" s="1080" t="n"/>
      <c r="R73" s="78" t="n"/>
      <c r="S73" s="79" t="n"/>
      <c r="T73" s="1080" t="n"/>
      <c r="U73" s="78">
        <f>'GASTOS VEHICULOS'!I25*'%DIST'!N27</f>
        <v/>
      </c>
      <c r="V73" s="79" t="n"/>
      <c r="W73" s="1080" t="n"/>
      <c r="X73" s="78">
        <f>'GASTOS VEHICULOS'!J25*'%DIST'!P27</f>
        <v/>
      </c>
      <c r="Y73" s="79" t="n"/>
      <c r="Z73" s="1080" t="n"/>
      <c r="AA73" s="78">
        <f>'GASTOS VEHICULOS'!K25*'%DIST'!R27</f>
        <v/>
      </c>
      <c r="AB73" s="79" t="n"/>
      <c r="AC73" s="1080" t="n"/>
      <c r="AD73" s="78">
        <f>'GASTOS VEHICULOS'!L25*'%DIST'!T27</f>
        <v/>
      </c>
      <c r="AE73" s="79" t="n"/>
      <c r="AF73" s="1080" t="n"/>
      <c r="AG73" s="78">
        <f>'GASTOS VEHICULOS'!M25*'%DIST'!V27</f>
        <v/>
      </c>
      <c r="AH73" s="79" t="n"/>
      <c r="AI73" s="1080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37" t="n"/>
    </row>
    <row r="74" ht="15" customHeight="1" s="1016">
      <c r="B74" s="415" t="inlineStr">
        <is>
          <t>PREPARADOS TERCEROS</t>
        </is>
      </c>
      <c r="C74" s="273">
        <f>'[1]Hoja 1'!$C$381</f>
        <v/>
      </c>
      <c r="D74" s="134" t="n"/>
      <c r="E74" s="1143" t="n"/>
      <c r="F74" s="273">
        <f>'[8]Hoja 1'!$C$378</f>
        <v/>
      </c>
      <c r="G74" s="134" t="n"/>
      <c r="H74" s="1143" t="n"/>
      <c r="I74" s="273" t="n"/>
      <c r="J74" s="134" t="n"/>
      <c r="K74" s="1143" t="n"/>
      <c r="L74" s="273" t="n"/>
      <c r="M74" s="134" t="n"/>
      <c r="N74" s="1143" t="n"/>
      <c r="O74" s="273" t="n"/>
      <c r="P74" s="134" t="n"/>
      <c r="Q74" s="1143" t="n"/>
      <c r="R74" s="273" t="n"/>
      <c r="S74" s="134" t="n"/>
      <c r="T74" s="1143" t="n"/>
      <c r="U74" s="273" t="n"/>
      <c r="V74" s="134" t="n"/>
      <c r="W74" s="1143" t="n"/>
      <c r="X74" s="273" t="n"/>
      <c r="Y74" s="134" t="n"/>
      <c r="Z74" s="1143" t="n"/>
      <c r="AA74" s="273" t="n"/>
      <c r="AB74" s="134" t="n"/>
      <c r="AC74" s="1143" t="n"/>
      <c r="AD74" s="273" t="n"/>
      <c r="AE74" s="134" t="n"/>
      <c r="AF74" s="1143" t="n"/>
      <c r="AG74" s="273" t="n"/>
      <c r="AH74" s="134" t="n"/>
      <c r="AI74" s="1143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38" t="n"/>
      <c r="AP74" s="1228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>
        <f>'[8]Hoja 1'!$C$381</f>
        <v/>
      </c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>
        <f>AM75/AM$13</f>
        <v/>
      </c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</row>
    <row r="79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</row>
    <row r="80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</row>
    <row r="8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1">
        <f>C83+F83+I83+L83+O83+R83+U83+X83+AA83+AD83+AG83+AJ83</f>
        <v/>
      </c>
      <c r="AN83" s="491" t="n"/>
      <c r="AO83" s="1106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</row>
    <row r="85" ht="15" customHeight="1" s="1016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02">
        <f>C85/(C$13)</f>
        <v/>
      </c>
      <c r="F85" s="39">
        <f>'GASTOS OPERATIVOS'!D17*'%DIST'!E11</f>
        <v/>
      </c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  <c r="AP85" s="1228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</row>
    <row r="88" ht="15" customHeight="1" s="1016">
      <c r="B88" s="206" t="inlineStr">
        <is>
          <t>Incapacidades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</row>
    <row r="10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846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846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 t="n"/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</row>
    <row r="115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</row>
    <row r="116" outlineLevel="1" ht="15" customHeight="1" s="101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</row>
    <row r="119" outlineLevel="1" ht="15" customHeight="1" s="101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</row>
    <row r="121" ht="15" customHeight="1" s="101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</row>
    <row r="122" ht="15" customHeight="1" s="101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 t="n"/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</row>
    <row r="128" outlineLevel="1" ht="15" customHeight="1" s="1016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</row>
    <row r="129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'[1]Hoja 1'!$C$384</f>
        <v/>
      </c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>
        <f>'[8]Hoja 1'!$C$383</f>
        <v/>
      </c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>
        <f>'[8]Hoja 1'!$C$385</f>
        <v/>
      </c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>
        <f>'[8]Hoja 1'!$C$387</f>
        <v/>
      </c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</row>
    <row r="142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</row>
    <row r="148" ht="15" customHeight="1" s="1016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02" t="n"/>
      <c r="F148" s="39">
        <f>'GASTOS ADMINISTRATIVOS'!D96*'%DIST'!D43</f>
        <v/>
      </c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  <c r="AP148" s="1093" t="n"/>
    </row>
    <row r="149" ht="15" customHeight="1" s="1016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70" t="n"/>
      <c r="F149" s="25">
        <f>'GASTOS ADMINISTRATIVOS'!D109*'%DIST'!E59</f>
        <v/>
      </c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  <c r="AP150" s="1093" t="n"/>
    </row>
    <row r="151" ht="15" customHeight="1" s="1016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11" t="n"/>
      <c r="F151" s="71">
        <f>'GASTOS ADMINISTRATIVOS'!D119*'%DIST'!E59</f>
        <v/>
      </c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</row>
    <row r="154" ht="15" customHeight="1" s="1016" thickTop="1">
      <c r="B154" s="1160" t="inlineStr">
        <is>
          <t>Novedades</t>
        </is>
      </c>
      <c r="C154" s="634" t="n"/>
      <c r="D154" s="548" t="n"/>
      <c r="E154" s="1196" t="n"/>
      <c r="F154" s="634" t="n"/>
      <c r="G154" s="548" t="n"/>
      <c r="H154" s="1196" t="n"/>
      <c r="I154" s="634" t="n"/>
      <c r="J154" s="548" t="n"/>
      <c r="K154" s="1196" t="n"/>
      <c r="L154" s="634" t="n"/>
      <c r="M154" s="548" t="n"/>
      <c r="N154" s="1196" t="n"/>
      <c r="O154" s="1197" t="n"/>
      <c r="P154" s="548" t="n"/>
      <c r="Q154" s="1196" t="n"/>
      <c r="R154" s="634" t="n"/>
      <c r="S154" s="548" t="n"/>
      <c r="T154" s="1196" t="n"/>
      <c r="U154" s="634" t="n"/>
      <c r="V154" s="548" t="n"/>
      <c r="W154" s="1196" t="n"/>
      <c r="X154" s="634" t="n"/>
      <c r="Y154" s="548" t="n"/>
      <c r="Z154" s="1196" t="n"/>
      <c r="AA154" s="1197" t="n"/>
      <c r="AB154" s="548" t="n"/>
      <c r="AC154" s="1196" t="n"/>
      <c r="AD154" s="1197" t="n"/>
      <c r="AE154" s="548" t="n"/>
      <c r="AF154" s="1196" t="n"/>
      <c r="AG154" s="1197" t="n"/>
      <c r="AH154" s="548" t="n"/>
      <c r="AI154" s="1196" t="n"/>
      <c r="AJ154" s="1197" t="n"/>
      <c r="AK154" s="230" t="n"/>
      <c r="AL154" s="245" t="n"/>
      <c r="AM154" s="287">
        <f>C154+F154+I154+L154+O154+R154+U154+X154+AA154+AD154+AG154+AJ154</f>
        <v/>
      </c>
      <c r="AN154" s="230" t="n"/>
      <c r="AO154" s="1162" t="n"/>
    </row>
    <row r="155" ht="15" customHeight="1" s="1016">
      <c r="B155" s="1164" t="inlineStr">
        <is>
          <t>Donacion</t>
        </is>
      </c>
      <c r="C155" s="705">
        <f>C17</f>
        <v/>
      </c>
      <c r="D155" s="13" t="n"/>
      <c r="E155" s="1176" t="n"/>
      <c r="F155" s="705">
        <f>F17</f>
        <v/>
      </c>
      <c r="G155" s="13" t="n"/>
      <c r="H155" s="1176" t="n"/>
      <c r="I155" s="705">
        <f>I17</f>
        <v/>
      </c>
      <c r="J155" s="13" t="n"/>
      <c r="K155" s="1176" t="n"/>
      <c r="L155" s="705">
        <f>L17</f>
        <v/>
      </c>
      <c r="M155" s="13" t="n"/>
      <c r="N155" s="1176" t="n"/>
      <c r="O155" s="705">
        <f>O17</f>
        <v/>
      </c>
      <c r="P155" s="13" t="n"/>
      <c r="Q155" s="1176" t="n"/>
      <c r="R155" s="705">
        <f>R17</f>
        <v/>
      </c>
      <c r="S155" s="13" t="n"/>
      <c r="T155" s="1176" t="n"/>
      <c r="U155" s="705">
        <f>U17</f>
        <v/>
      </c>
      <c r="V155" s="13" t="n"/>
      <c r="W155" s="1176" t="n"/>
      <c r="X155" s="705">
        <f>X17</f>
        <v/>
      </c>
      <c r="Y155" s="13" t="n"/>
      <c r="Z155" s="1176" t="n"/>
      <c r="AA155" s="705">
        <f>AA17</f>
        <v/>
      </c>
      <c r="AB155" s="13" t="n"/>
      <c r="AC155" s="1176" t="n"/>
      <c r="AD155" s="705">
        <f>AD17</f>
        <v/>
      </c>
      <c r="AE155" s="13" t="n"/>
      <c r="AF155" s="1176" t="n"/>
      <c r="AG155" s="705">
        <f>AG17</f>
        <v/>
      </c>
      <c r="AH155" s="13" t="n"/>
      <c r="AI155" s="1176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66" t="n"/>
      <c r="AP155" s="1124" t="n"/>
    </row>
    <row r="156" ht="15" customHeight="1" s="1016">
      <c r="B156" s="1168" t="inlineStr">
        <is>
          <t>Donacion</t>
        </is>
      </c>
      <c r="C156" s="718">
        <f>C22</f>
        <v/>
      </c>
      <c r="D156" s="677" t="n"/>
      <c r="E156" s="1198" t="n"/>
      <c r="F156" s="718">
        <f>F22</f>
        <v/>
      </c>
      <c r="G156" s="677" t="n"/>
      <c r="H156" s="1198" t="n"/>
      <c r="I156" s="718">
        <f>I22</f>
        <v/>
      </c>
      <c r="J156" s="677" t="n"/>
      <c r="K156" s="1198" t="n"/>
      <c r="L156" s="718">
        <f>L22</f>
        <v/>
      </c>
      <c r="M156" s="677" t="n"/>
      <c r="N156" s="1198" t="n"/>
      <c r="O156" s="718">
        <f>O22</f>
        <v/>
      </c>
      <c r="P156" s="677" t="n"/>
      <c r="Q156" s="1198" t="n"/>
      <c r="R156" s="718">
        <f>R22</f>
        <v/>
      </c>
      <c r="S156" s="677" t="n"/>
      <c r="T156" s="1198" t="n"/>
      <c r="U156" s="718">
        <f>U22</f>
        <v/>
      </c>
      <c r="V156" s="677" t="n"/>
      <c r="W156" s="1198" t="n"/>
      <c r="X156" s="718">
        <f>X22</f>
        <v/>
      </c>
      <c r="Y156" s="677" t="n"/>
      <c r="Z156" s="1198" t="n"/>
      <c r="AA156" s="718">
        <f>AA22</f>
        <v/>
      </c>
      <c r="AB156" s="677" t="n"/>
      <c r="AC156" s="1198" t="n"/>
      <c r="AD156" s="718">
        <f>AD22</f>
        <v/>
      </c>
      <c r="AE156" s="677" t="n"/>
      <c r="AF156" s="1198" t="n"/>
      <c r="AG156" s="718">
        <f>AG22</f>
        <v/>
      </c>
      <c r="AH156" s="677" t="n"/>
      <c r="AI156" s="1198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70" t="n"/>
      <c r="AP156" s="1124" t="n"/>
    </row>
    <row r="157" ht="15" customHeight="1" s="1016">
      <c r="B157" s="1171" t="inlineStr">
        <is>
          <t>Otros Ajustes</t>
        </is>
      </c>
      <c r="C157" s="712">
        <f>C18</f>
        <v/>
      </c>
      <c r="D157" s="553" t="n"/>
      <c r="E157" s="1200" t="n"/>
      <c r="F157" s="712">
        <f>F18</f>
        <v/>
      </c>
      <c r="G157" s="553" t="n"/>
      <c r="H157" s="1200" t="n"/>
      <c r="I157" s="723" t="n"/>
      <c r="J157" s="553" t="n"/>
      <c r="K157" s="1200" t="n"/>
      <c r="L157" s="1197" t="n"/>
      <c r="M157" s="553" t="n"/>
      <c r="N157" s="1200" t="n"/>
      <c r="O157" s="1197">
        <f>O19</f>
        <v/>
      </c>
      <c r="P157" s="553" t="n"/>
      <c r="Q157" s="1200" t="n"/>
      <c r="R157" s="1197">
        <f>R19</f>
        <v/>
      </c>
      <c r="S157" s="553" t="n"/>
      <c r="T157" s="1200" t="n"/>
      <c r="U157" s="1197">
        <f>U19</f>
        <v/>
      </c>
      <c r="V157" s="553" t="n"/>
      <c r="W157" s="1200" t="n"/>
      <c r="X157" s="1197">
        <f>X19</f>
        <v/>
      </c>
      <c r="Y157" s="553" t="n"/>
      <c r="Z157" s="1200" t="n"/>
      <c r="AA157" s="1197">
        <f>AA19</f>
        <v/>
      </c>
      <c r="AB157" s="553" t="n"/>
      <c r="AC157" s="1200" t="n"/>
      <c r="AD157" s="705">
        <f>AD19</f>
        <v/>
      </c>
      <c r="AE157" s="553" t="n"/>
      <c r="AF157" s="1200" t="n"/>
      <c r="AG157" s="705">
        <f>AG19</f>
        <v/>
      </c>
      <c r="AH157" s="553" t="n"/>
      <c r="AI157" s="1200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03" t="n"/>
    </row>
    <row r="158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 t="n"/>
    </row>
    <row r="159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 t="n"/>
    </row>
    <row r="160" ht="15" customHeight="1" s="1016" thickBot="1">
      <c r="B160" s="1179" t="inlineStr">
        <is>
          <t>Otros Ajustes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81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</row>
    <row r="162" ht="15" customHeight="1" s="1016" thickBot="1" thickTop="1">
      <c r="B162" s="65" t="n"/>
      <c r="C162" s="538">
        <f>IFERROR(C161/C13," ")</f>
        <v/>
      </c>
      <c r="D162" s="501" t="n"/>
      <c r="E162" s="1118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</row>
    <row r="163" ht="10.8" customHeight="1" s="1016" thickTop="1">
      <c r="C163" s="1025" t="n"/>
    </row>
    <row r="164" hidden="1" customFormat="1" s="153">
      <c r="A164" s="226" t="n"/>
      <c r="C164" s="472">
        <f>C44+C83-C73-C85</f>
        <v/>
      </c>
      <c r="D164" s="547" t="n"/>
      <c r="E164" s="1239" t="n"/>
      <c r="F164" s="472">
        <f>F44+F83-F73-F85</f>
        <v/>
      </c>
      <c r="G164" s="1025" t="n"/>
      <c r="H164" s="1213" t="n"/>
      <c r="I164" s="472">
        <f>I44+I83-I73-I85</f>
        <v/>
      </c>
      <c r="J164" s="1025" t="n"/>
      <c r="K164" s="1213" t="n"/>
      <c r="L164" s="472">
        <f>L44+L83-L73-L85</f>
        <v/>
      </c>
      <c r="M164" s="1025" t="n"/>
      <c r="N164" s="1213" t="n"/>
      <c r="O164" s="472">
        <f>O44+O83-O73-O85</f>
        <v/>
      </c>
      <c r="P164" s="1025" t="n"/>
      <c r="Q164" s="1213" t="n"/>
      <c r="R164" s="472">
        <f>R44+R83-R73-R85</f>
        <v/>
      </c>
      <c r="S164" s="1025" t="n"/>
      <c r="T164" s="1213" t="n"/>
      <c r="U164" s="472">
        <f>U44+U83-U73-U85</f>
        <v/>
      </c>
      <c r="V164" s="1025" t="n"/>
      <c r="W164" s="1213" t="n"/>
      <c r="X164" s="475">
        <f>X44+X83-X73-X85-X58</f>
        <v/>
      </c>
      <c r="Y164" s="1025" t="n"/>
      <c r="Z164" s="1213" t="n"/>
      <c r="AA164" s="475">
        <f>AA44+AA83-AA73-AA85-AA58</f>
        <v/>
      </c>
      <c r="AB164" s="1025" t="n"/>
      <c r="AC164" s="1213" t="n"/>
      <c r="AD164" s="475">
        <f>AD44+AD83-AD73-AD85-AD58</f>
        <v/>
      </c>
      <c r="AE164" s="1025" t="n"/>
      <c r="AF164" s="1213" t="n"/>
      <c r="AG164" s="475">
        <f>AG44+AG83-AG73-AG85-AG58</f>
        <v/>
      </c>
      <c r="AH164" s="1025" t="n"/>
      <c r="AI164" s="1213" t="n"/>
      <c r="AJ164" s="475">
        <f>AJ44+AJ83-AJ73-AJ85-AJ58</f>
        <v/>
      </c>
      <c r="AK164" s="1025" t="n"/>
      <c r="AL164" s="1025" t="n"/>
      <c r="AM164" s="1025" t="n"/>
      <c r="AN164" s="1025" t="n"/>
      <c r="AO164" s="1213" t="n"/>
    </row>
    <row r="165" hidden="1" customFormat="1" s="153">
      <c r="A165" s="226" t="n"/>
      <c r="C165" s="472">
        <f>'[1]Hoja 1'!$C$370</f>
        <v/>
      </c>
      <c r="D165" s="547" t="n"/>
      <c r="E165" s="1239" t="n"/>
      <c r="F165" s="472">
        <f>'[8]Hoja 1'!$C$356+'[8]Hoja 1'!$C$365-26928489</f>
        <v/>
      </c>
      <c r="G165" s="1025" t="n"/>
      <c r="H165" s="1213" t="n"/>
      <c r="I165" s="472" t="n">
        <v>70048069.05</v>
      </c>
      <c r="J165" s="1025" t="n"/>
      <c r="K165" s="1213" t="n"/>
      <c r="L165" s="472" t="n">
        <v>48123625.71000001</v>
      </c>
      <c r="M165" s="1025" t="n"/>
      <c r="N165" s="1213" t="n"/>
      <c r="O165" s="472" t="n">
        <v>91046571.73999999</v>
      </c>
      <c r="P165" s="1025" t="n"/>
      <c r="Q165" s="1213" t="n"/>
      <c r="R165" s="472" t="n">
        <v>61660665.32</v>
      </c>
      <c r="S165" s="1025" t="n"/>
      <c r="T165" s="1213" t="n"/>
      <c r="U165" s="472" t="n">
        <v>61566467.29</v>
      </c>
      <c r="V165" s="1025" t="n"/>
      <c r="W165" s="1213" t="n"/>
      <c r="X165" s="475" t="n">
        <v>61323136.3</v>
      </c>
      <c r="Y165" s="1025" t="n"/>
      <c r="Z165" s="1213" t="n"/>
      <c r="AA165" s="475" t="n">
        <v>59864944.02</v>
      </c>
      <c r="AB165" s="1025" t="n"/>
      <c r="AC165" s="1213" t="n"/>
      <c r="AD165" s="475" t="n">
        <v>56913588.74</v>
      </c>
      <c r="AE165" s="1025" t="n"/>
      <c r="AF165" s="1213" t="n"/>
      <c r="AG165" s="475" t="n">
        <v>80549716.34</v>
      </c>
      <c r="AH165" s="1025" t="n"/>
      <c r="AI165" s="1213" t="n"/>
      <c r="AJ165" s="475" t="n">
        <v>93324.84</v>
      </c>
      <c r="AK165" s="1025" t="n"/>
      <c r="AL165" s="1025" t="n"/>
      <c r="AM165" s="401" t="n"/>
      <c r="AN165" s="1025" t="n"/>
      <c r="AO165" s="1213" t="n"/>
    </row>
    <row r="166" hidden="1" customFormat="1" s="153">
      <c r="A166" s="226" t="n"/>
      <c r="C166" s="472">
        <f>C164-C165</f>
        <v/>
      </c>
      <c r="D166" s="700" t="n"/>
      <c r="E166" s="1239" t="n"/>
      <c r="F166" s="472">
        <f>F164-F165</f>
        <v/>
      </c>
      <c r="G166" s="1024" t="n"/>
      <c r="H166" s="1214" t="n"/>
      <c r="I166" s="472">
        <f>I164-I165</f>
        <v/>
      </c>
      <c r="J166" s="1025" t="n"/>
      <c r="K166" s="1214" t="n"/>
      <c r="L166" s="472">
        <f>L164-L165</f>
        <v/>
      </c>
      <c r="M166" s="1025" t="n"/>
      <c r="N166" s="1213" t="n"/>
      <c r="O166" s="472">
        <f>O164-O165</f>
        <v/>
      </c>
      <c r="P166" s="1025" t="n"/>
      <c r="Q166" s="1213" t="n"/>
      <c r="R166" s="472">
        <f>R164-R165</f>
        <v/>
      </c>
      <c r="S166" s="1024" t="n"/>
      <c r="T166" s="1213" t="n"/>
      <c r="U166" s="472">
        <f>U164-U165</f>
        <v/>
      </c>
      <c r="V166" s="401" t="n"/>
      <c r="W166" s="1213" t="n"/>
      <c r="X166" s="475">
        <f>X164-X165</f>
        <v/>
      </c>
      <c r="Y166" s="1025" t="n"/>
      <c r="Z166" s="1213" t="n"/>
      <c r="AA166" s="475">
        <f>AA164-AA165</f>
        <v/>
      </c>
      <c r="AB166" s="1025" t="n"/>
      <c r="AC166" s="1213" t="n"/>
      <c r="AD166" s="475">
        <f>AD164-AD165</f>
        <v/>
      </c>
      <c r="AE166" s="611" t="inlineStr">
        <is>
          <t>MP</t>
        </is>
      </c>
      <c r="AF166" s="1213" t="n"/>
      <c r="AG166" s="475">
        <f>AG164-AG165</f>
        <v/>
      </c>
      <c r="AH166" s="1025" t="n"/>
      <c r="AI166" s="1213" t="n"/>
      <c r="AJ166" s="475">
        <f>AJ164-AJ165</f>
        <v/>
      </c>
      <c r="AK166" s="1025" t="n"/>
      <c r="AL166" s="1025" t="n"/>
      <c r="AM166" s="1024" t="n"/>
      <c r="AN166" s="1025" t="n"/>
      <c r="AO166" s="1213" t="n"/>
    </row>
    <row r="167" customFormat="1" s="153">
      <c r="A167" s="226" t="n"/>
      <c r="C167" s="1025" t="n"/>
      <c r="D167" s="1025" t="n"/>
      <c r="E167" s="1213" t="n"/>
      <c r="F167" s="1025" t="n"/>
      <c r="G167" s="1025" t="n"/>
      <c r="H167" s="1213" t="n"/>
      <c r="I167" s="1024" t="n"/>
      <c r="J167" s="1025" t="n"/>
      <c r="K167" s="1213" t="n"/>
      <c r="L167" s="1025" t="n"/>
      <c r="M167" s="1025" t="n"/>
      <c r="N167" s="1213" t="n"/>
      <c r="O167" s="1025" t="n"/>
      <c r="P167" s="1025" t="n"/>
      <c r="Q167" s="1213" t="n"/>
      <c r="R167" s="1025" t="n"/>
      <c r="S167" s="1025" t="n"/>
      <c r="T167" s="1213" t="n"/>
      <c r="U167" s="1025" t="n"/>
      <c r="V167" s="1025" t="n"/>
      <c r="W167" s="1213" t="n"/>
      <c r="X167" s="1025" t="n"/>
      <c r="Y167" s="1025" t="n"/>
      <c r="Z167" s="1213" t="n"/>
      <c r="AA167" s="1025" t="n"/>
      <c r="AB167" s="1025" t="n"/>
      <c r="AC167" s="1213" t="n"/>
      <c r="AD167" s="1025" t="n"/>
      <c r="AE167" s="1025" t="n"/>
      <c r="AF167" s="1213" t="n"/>
      <c r="AG167" s="401" t="n"/>
      <c r="AH167" s="1025" t="n"/>
      <c r="AI167" s="1213" t="n"/>
      <c r="AJ167" s="1010" t="n"/>
      <c r="AK167" s="1025" t="n"/>
      <c r="AL167" s="1025" t="n"/>
      <c r="AM167" s="639" t="n"/>
      <c r="AN167" s="1025" t="n"/>
      <c r="AO167" s="1213" t="n"/>
    </row>
    <row r="168">
      <c r="O168" s="1010">
        <f>SUM(O155:O157)</f>
        <v/>
      </c>
      <c r="R168" s="1010">
        <f>SUM(R155:R157)</f>
        <v/>
      </c>
    </row>
    <row r="169">
      <c r="O169" s="1010">
        <f>O168*6%</f>
        <v/>
      </c>
      <c r="R169" s="1010">
        <f>R168*6%</f>
        <v/>
      </c>
    </row>
    <row r="170">
      <c r="F170" s="1240" t="n"/>
      <c r="R170" s="1010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10" min="3" max="3"/>
    <col hidden="1" width="8.6640625" customWidth="1" style="1010" min="4" max="4"/>
    <col hidden="1" width="8.6640625" customWidth="1" style="1058" min="5" max="5"/>
    <col hidden="1" width="14.44140625" customWidth="1" style="1010" min="6" max="6"/>
    <col hidden="1" width="8.6640625" customWidth="1" style="1010" min="7" max="7"/>
    <col hidden="1" width="8.6640625" customWidth="1" style="1058" min="8" max="8"/>
    <col hidden="1" width="14.44140625" customWidth="1" style="1010" min="9" max="9"/>
    <col hidden="1" width="8.6640625" customWidth="1" style="1010" min="10" max="10"/>
    <col hidden="1" width="8.6640625" customWidth="1" style="1058" min="11" max="11"/>
    <col hidden="1" width="14.44140625" customWidth="1" style="1010" min="12" max="12"/>
    <col hidden="1" width="8.6640625" customWidth="1" style="1010" min="13" max="13"/>
    <col hidden="1"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6.5546875" customWidth="1" style="2" min="42" max="42"/>
    <col width="15.6640625" customWidth="1" style="1010" min="43" max="43"/>
    <col width="7.33203125" customWidth="1" style="1010" min="44" max="44"/>
    <col width="7.33203125" customWidth="1" style="2" min="45" max="45"/>
    <col width="7.44140625" customWidth="1" style="2" min="46" max="46"/>
    <col width="11.44140625" customWidth="1" style="2" min="47" max="63"/>
    <col width="11.44140625" customWidth="1" style="2" min="64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COMEDORES VALLE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  <c r="AQ2" s="2" t="n"/>
      <c r="AR2" s="2" t="n"/>
    </row>
    <row r="3" ht="21.75" customHeight="1" s="1016" thickBot="1" thickTop="1">
      <c r="B3" s="522" t="inlineStr">
        <is>
          <t xml:space="preserve">DIAS DE ATENCIÓN </t>
        </is>
      </c>
      <c r="C3" s="535" t="n"/>
      <c r="D3" s="479" t="n"/>
      <c r="E3" s="1060" t="n"/>
      <c r="F3" s="535" t="n"/>
      <c r="G3" s="479" t="n"/>
      <c r="H3" s="1060" t="n"/>
      <c r="I3" s="535" t="n">
        <v>20</v>
      </c>
      <c r="J3" s="479" t="n"/>
      <c r="K3" s="1060" t="n"/>
      <c r="L3" s="535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  <c r="AQ3" s="621" t="n"/>
      <c r="AR3" s="621" t="n"/>
      <c r="AS3" s="621" t="n"/>
      <c r="AU3" s="1241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618" t="inlineStr">
        <is>
          <t>PPTO ENE</t>
        </is>
      </c>
      <c r="AR4" s="622" t="n"/>
      <c r="AS4" s="622" t="n"/>
      <c r="AU4" s="1242" t="inlineStr">
        <is>
          <t>CUPOS</t>
        </is>
      </c>
      <c r="AV4" s="1243" t="inlineStr">
        <is>
          <t>VR RACION CHVS</t>
        </is>
      </c>
      <c r="AW4" s="1244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66" t="n"/>
      <c r="F5" s="257" t="n"/>
      <c r="G5" s="260" t="n"/>
      <c r="H5" s="1066" t="n"/>
      <c r="I5" s="257" t="n"/>
      <c r="J5" s="89" t="n"/>
      <c r="K5" s="1066" t="n"/>
      <c r="L5" s="257" t="n"/>
      <c r="M5" s="89" t="n"/>
      <c r="N5" s="1066" t="n"/>
      <c r="O5" s="257" t="n"/>
      <c r="P5" s="89" t="n"/>
      <c r="Q5" s="1066" t="n"/>
      <c r="R5" s="257" t="n"/>
      <c r="S5" s="89" t="n"/>
      <c r="T5" s="1066" t="n"/>
      <c r="U5" s="257" t="n"/>
      <c r="V5" s="89" t="n"/>
      <c r="W5" s="1066" t="n"/>
      <c r="X5" s="257" t="n"/>
      <c r="Y5" s="89" t="n"/>
      <c r="Z5" s="1066" t="n"/>
      <c r="AA5" s="257" t="n"/>
      <c r="AB5" s="89" t="n"/>
      <c r="AC5" s="1066" t="n"/>
      <c r="AD5" s="257" t="n"/>
      <c r="AE5" s="89" t="n"/>
      <c r="AF5" s="1066" t="n"/>
      <c r="AG5" s="257" t="n"/>
      <c r="AH5" s="89" t="n"/>
      <c r="AI5" s="1066" t="n"/>
      <c r="AJ5" s="257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  <c r="AQ5" s="299" t="n"/>
      <c r="AR5" s="299" t="n"/>
      <c r="AS5" s="299" t="n"/>
      <c r="AU5" s="756" t="n">
        <v>12000</v>
      </c>
      <c r="AV5" s="1245">
        <f>4333*AU3</f>
        <v/>
      </c>
      <c r="AW5" s="1245" t="n">
        <v>2779.775631150401</v>
      </c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  <c r="AU6" s="1246" t="n">
        <v>0.06</v>
      </c>
      <c r="AV6" s="1247" t="n"/>
      <c r="AW6" s="1247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  <c r="AU7" s="1248" t="n">
        <v>0.045</v>
      </c>
      <c r="AV7" s="909" t="n"/>
      <c r="AW7" s="1247" t="n"/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  <c r="AQ8" s="24" t="n"/>
      <c r="AR8" s="24" t="n"/>
      <c r="AS8" s="24" t="n"/>
      <c r="AU8" s="1249" t="n">
        <v>8</v>
      </c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  <c r="AU12" s="2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  <c r="AQ13" s="623">
        <f>AQ14+AQ23</f>
        <v/>
      </c>
      <c r="AR13" s="623" t="n"/>
      <c r="AS13" s="623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 t="n"/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1078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</row>
    <row r="16" ht="15" customHeight="1" s="1016">
      <c r="B16" s="262" t="inlineStr">
        <is>
          <t>SUMINISTRO</t>
        </is>
      </c>
      <c r="C16" s="103" t="n"/>
      <c r="D16" s="79">
        <f>C16/C5</f>
        <v/>
      </c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81" t="n"/>
      <c r="AQ16" s="81" t="n"/>
      <c r="AR16" s="81" t="n"/>
      <c r="AS16" s="81" t="n"/>
    </row>
    <row r="17" ht="15" customHeight="1" s="1016">
      <c r="B17" s="104" t="n"/>
      <c r="C17" s="25" t="n"/>
      <c r="D17" s="43">
        <f>C17/C5</f>
        <v/>
      </c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71" t="n"/>
      <c r="AQ17" s="24" t="n"/>
      <c r="AR17" s="24" t="n"/>
      <c r="AS17" s="24" t="n"/>
    </row>
    <row r="18" ht="15" customHeight="1" s="1016">
      <c r="B18" s="104" t="inlineStr">
        <is>
          <t>RACIONES ADICIONALES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4" t="n"/>
      <c r="AH18" s="43" t="n"/>
      <c r="AI18" s="1070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71" t="n"/>
      <c r="AQ18" s="24" t="n"/>
      <c r="AR18" s="24" t="n"/>
      <c r="AS18" s="24" t="n"/>
    </row>
    <row r="19" hidden="1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  <c r="AQ19" s="24" t="n"/>
      <c r="AR19" s="43" t="n"/>
      <c r="AS19" s="24" t="n"/>
    </row>
    <row r="20" hidden="1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  <c r="AQ20" s="24" t="n"/>
      <c r="AR20" s="24" t="n"/>
      <c r="AS20" s="24" t="n"/>
    </row>
    <row r="21" hidden="1" ht="15" customHeight="1" s="1016">
      <c r="B21" s="104" t="n"/>
      <c r="C21" s="25" t="n"/>
      <c r="D21" s="43" t="n"/>
      <c r="E21" s="1070" t="n"/>
      <c r="F21" s="25" t="n"/>
      <c r="G21" s="43" t="n"/>
      <c r="H21" s="1070" t="n"/>
      <c r="I21" s="2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71" t="n"/>
      <c r="AQ21" s="24" t="n"/>
      <c r="AR21" s="24" t="n"/>
      <c r="AS21" s="24" t="n"/>
    </row>
    <row r="22" hidden="1" ht="15" customHeight="1" s="1016">
      <c r="B22" s="30" t="n"/>
      <c r="C22" s="22" t="n"/>
      <c r="D22" s="42" t="n"/>
      <c r="E22" s="1082" t="n"/>
      <c r="F22" s="22" t="n"/>
      <c r="G22" s="42" t="n"/>
      <c r="H22" s="1082" t="n"/>
      <c r="I22" s="22" t="n"/>
      <c r="J22" s="42" t="n"/>
      <c r="K22" s="1082" t="n"/>
      <c r="L22" s="22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90">
        <f>SUM(R30:R35)</f>
        <v/>
      </c>
      <c r="S29" s="3" t="n"/>
      <c r="T29" s="1078">
        <f>R29/R13</f>
        <v/>
      </c>
      <c r="U29" s="90">
        <f>SUM(U30:U35)</f>
        <v/>
      </c>
      <c r="V29" s="3" t="n"/>
      <c r="W29" s="1078">
        <f>U29/U13</f>
        <v/>
      </c>
      <c r="X29" s="90">
        <f>SUM(X30:X35)</f>
        <v/>
      </c>
      <c r="Y29" s="761" t="n"/>
      <c r="Z29" s="1184">
        <f>X29/X13</f>
        <v/>
      </c>
      <c r="AA29" s="90">
        <f>SUM(AA30:AA35)</f>
        <v/>
      </c>
      <c r="AB29" s="3" t="n"/>
      <c r="AC29" s="1078" t="n"/>
      <c r="AD29" s="90">
        <f>SUM(AD30:AD35)</f>
        <v/>
      </c>
      <c r="AE29" s="3" t="n"/>
      <c r="AF29" s="1078">
        <f>AD29/AD13</f>
        <v/>
      </c>
      <c r="AG29" s="90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79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  <c r="AQ30" s="737" t="n"/>
      <c r="AR30" s="737" t="n"/>
      <c r="AS30" s="737" t="n"/>
    </row>
    <row r="31" hidden="1" outlineLevel="1" ht="15" customHeight="1" s="1016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  <c r="AQ31" s="738" t="n"/>
      <c r="AR31" s="738" t="n"/>
      <c r="AS31" s="738" t="n"/>
    </row>
    <row r="32" hidden="1" outlineLevel="1" ht="15" customHeight="1" s="1016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  <c r="AQ32" s="24" t="n"/>
      <c r="AR32" s="24" t="n"/>
      <c r="AS32" s="24" t="n"/>
    </row>
    <row r="33" hidden="1" outlineLevel="1" ht="15" customHeight="1" s="1016"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  <c r="AQ33" s="24" t="n"/>
      <c r="AR33" s="24" t="n"/>
      <c r="AS33" s="24" t="n"/>
    </row>
    <row r="34" hidden="1" outlineLevel="1" ht="15" customHeight="1" s="1016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  <c r="AQ34" s="24" t="n"/>
      <c r="AR34" s="24" t="n"/>
      <c r="AS34" s="24" t="n"/>
    </row>
    <row r="35" hidden="1" outlineLevel="1" ht="15" customHeight="1" s="1016"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  <c r="AQ35" s="133" t="n"/>
      <c r="AR35" s="133" t="n"/>
      <c r="AS35" s="133" t="n"/>
    </row>
    <row r="36" hidden="1" outlineLevel="1" ht="15" customHeight="1" s="1016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  <c r="AQ36" s="24" t="n"/>
      <c r="AR36" s="24" t="n"/>
      <c r="AS36" s="24" t="n"/>
    </row>
    <row r="37" hidden="1" outlineLevel="1" ht="15" customHeight="1" s="1016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  <c r="AQ37" s="23" t="n"/>
      <c r="AR37" s="23" t="n"/>
      <c r="AS37" s="23" t="n"/>
    </row>
    <row r="38" hidden="1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</row>
    <row r="40" hidden="1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</row>
    <row r="41" hidden="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</row>
    <row r="42" collapsed="1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  <c r="AQ42" s="624">
        <f>+AQ14+AQ23-AQ28</f>
        <v/>
      </c>
      <c r="AR42" s="624" t="n"/>
      <c r="AS42" s="624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  <c r="AQ43" s="136" t="n"/>
      <c r="AR43" s="2" t="n"/>
      <c r="AS43" s="1250">
        <f>(AQ46+AQ61)/(AQ13-AQ20-AQ21-AQ22)</f>
        <v/>
      </c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5">
        <f>C44/C$13</f>
        <v/>
      </c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>
        <f>L44/L$13</f>
        <v/>
      </c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095">
        <f>AM44/AM$13</f>
        <v/>
      </c>
      <c r="AQ44" s="625">
        <f>+AQ45+AQ60+AQ78</f>
        <v/>
      </c>
      <c r="AR44" s="625" t="n"/>
      <c r="AS44" s="1129">
        <f>AQ44/AQ$13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90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90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>
        <f>AQ45/AQ13</f>
        <v/>
      </c>
    </row>
    <row r="46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37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 t="n"/>
      <c r="AC46" s="1096" t="n"/>
      <c r="AD46" s="46">
        <f>SUM(AD47:AD56)</f>
        <v/>
      </c>
      <c r="AE46" s="67" t="n"/>
      <c r="AF46" s="1096" t="n"/>
      <c r="AG46" s="37">
        <f>SUM(AG47:AG56)</f>
        <v/>
      </c>
      <c r="AH46" s="67" t="n"/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</row>
    <row r="47" ht="15" customHeight="1" s="1016">
      <c r="B47" s="97" t="inlineStr">
        <is>
          <t>SUMINISTRO</t>
        </is>
      </c>
      <c r="C47" s="76" t="n"/>
      <c r="D47" s="42">
        <f>C47/C5</f>
        <v/>
      </c>
      <c r="E47" s="1082">
        <f>C47/C16</f>
        <v/>
      </c>
      <c r="F47" s="76" t="n"/>
      <c r="G47" s="42">
        <f>F47/F5</f>
        <v/>
      </c>
      <c r="H47" s="1082">
        <f>F47/F16</f>
        <v/>
      </c>
      <c r="I47" s="76">
        <f>I5*$AW$5</f>
        <v/>
      </c>
      <c r="J47" s="42">
        <f>I47/I5</f>
        <v/>
      </c>
      <c r="K47" s="1082">
        <f>I47/I16</f>
        <v/>
      </c>
      <c r="L47" s="76">
        <f>L5*$AW$5</f>
        <v/>
      </c>
      <c r="M47" s="42">
        <f>L47/L12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AA47/AA12</f>
        <v/>
      </c>
      <c r="AC47" s="1082">
        <f>AA47/(AA16+AA17)</f>
        <v/>
      </c>
      <c r="AD47" s="76" t="n"/>
      <c r="AE47" s="42">
        <f>AD47/AD12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>
        <f>AJ5*$AW$5</f>
        <v/>
      </c>
      <c r="AK47" s="42" t="n"/>
      <c r="AL47" s="1082" t="n"/>
      <c r="AM47" s="97">
        <f>C47+F47+I47+L47+O47+R47+U47+X47+AA47+AD47+AG47+AJ47</f>
        <v/>
      </c>
      <c r="AN47" s="42">
        <f>AM47/$AM$5</f>
        <v/>
      </c>
      <c r="AO47" s="1083">
        <f>AM47/AM16</f>
        <v/>
      </c>
      <c r="AQ47" s="23" t="n"/>
      <c r="AR47" s="23">
        <f>AQ47/AQ5</f>
        <v/>
      </c>
      <c r="AS47" s="1132">
        <f>AQ47/AQ16</f>
        <v/>
      </c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 t="n"/>
      <c r="AO48" s="1071" t="n"/>
      <c r="AQ48" s="24" t="n"/>
      <c r="AR48" s="24" t="n"/>
      <c r="AS48" s="1133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  <c r="AQ49" s="24" t="n"/>
      <c r="AR49" s="24" t="n"/>
      <c r="AS49" s="1133" t="n"/>
    </row>
    <row r="50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  <c r="AQ50" s="24" t="n"/>
      <c r="AR50" s="24" t="n"/>
      <c r="AS50" s="1133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  <c r="AQ51" s="24" t="n"/>
      <c r="AR51" s="24" t="n"/>
      <c r="AS51" s="1133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  <c r="AQ52" s="24" t="n"/>
      <c r="AR52" s="24" t="n"/>
      <c r="AS52" s="1133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  <c r="AQ53" s="24" t="n"/>
      <c r="AR53" s="24" t="n"/>
      <c r="AS53" s="1133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  <c r="AQ54" s="24" t="n"/>
      <c r="AR54" s="24" t="n"/>
      <c r="AS54" s="1133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  <c r="AQ55" s="24" t="n"/>
      <c r="AR55" s="24" t="n"/>
      <c r="AS55" s="1133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</row>
    <row r="57" hidden="1" ht="15" customHeight="1" s="1016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  <c r="AQ58" s="298" t="n"/>
      <c r="AR58" s="298" t="n"/>
      <c r="AS58" s="1138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  <c r="AQ59" s="349" t="n"/>
      <c r="AR59" s="349" t="n"/>
      <c r="AS59" s="1140" t="n"/>
    </row>
    <row r="60" ht="15" customHeight="1" s="1016">
      <c r="B60" s="16" t="inlineStr">
        <is>
          <t>COSTOS PREPARADOS</t>
        </is>
      </c>
      <c r="C60" s="49">
        <f>+C61+C72+C75+C76+C77</f>
        <v/>
      </c>
      <c r="D60" s="67" t="n"/>
      <c r="E60" s="1096" t="n"/>
      <c r="F60" s="49">
        <f>+F61+F72+F75+F76+F77</f>
        <v/>
      </c>
      <c r="G60" s="3" t="n"/>
      <c r="H60" s="1078" t="n"/>
      <c r="I60" s="49">
        <f>+I61+I72+I75+I76+I77</f>
        <v/>
      </c>
      <c r="J60" s="3" t="n"/>
      <c r="K60" s="1078" t="n"/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90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</row>
    <row r="61" hidden="1" ht="15" customHeight="1" s="1016">
      <c r="B61" s="36" t="inlineStr">
        <is>
          <t>INSUMOS</t>
        </is>
      </c>
      <c r="C61" s="37">
        <f>SUM(C62:C71)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>
        <f>O61/$O$13</f>
        <v/>
      </c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>
        <f>AQ62/AQ6</f>
        <v/>
      </c>
      <c r="AS62" s="1141">
        <f>AQ62/AQ17</f>
        <v/>
      </c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>
        <f>AQ63/AQ7</f>
        <v/>
      </c>
      <c r="AS63" s="1133">
        <f>AQ63/AQ18</f>
        <v/>
      </c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>
        <f>AQ64/AQ8</f>
        <v/>
      </c>
      <c r="AS64" s="1133">
        <f>AQ64/AQ19</f>
        <v/>
      </c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>
        <f>AM67/$O$5</f>
        <v/>
      </c>
      <c r="AO67" s="1071">
        <f>AM67/$O$13</f>
        <v/>
      </c>
      <c r="AQ67" s="24" t="n"/>
      <c r="AR67" s="24" t="n"/>
      <c r="AS67" s="1133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>
        <f>AM68/$O$5</f>
        <v/>
      </c>
      <c r="AO68" s="1071">
        <f>AM68/$O$13</f>
        <v/>
      </c>
      <c r="AQ68" s="24" t="n"/>
      <c r="AR68" s="24" t="n"/>
      <c r="AS68" s="1133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>
        <f>AM69/$O$5</f>
        <v/>
      </c>
      <c r="AO69" s="1071">
        <f>AM69/$O$13</f>
        <v/>
      </c>
      <c r="AQ69" s="24" t="n"/>
      <c r="AR69" s="24" t="n"/>
      <c r="AS69" s="1133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>
        <f>AM70/$O$5</f>
        <v/>
      </c>
      <c r="AO70" s="1071">
        <f>AM70/$O$13</f>
        <v/>
      </c>
      <c r="AQ70" s="24" t="n"/>
      <c r="AR70" s="24" t="n"/>
      <c r="AS70" s="1133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  <c r="AQ71" s="349" t="n"/>
      <c r="AR71" s="349" t="n"/>
      <c r="AS71" s="1140" t="n"/>
    </row>
    <row r="72" ht="15" customHeight="1" s="1016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>
        <f>AG72/AG12</f>
        <v/>
      </c>
      <c r="AI72" s="1074">
        <f>AG72/AG13</f>
        <v/>
      </c>
      <c r="AJ72" s="46">
        <f>SUM(AJ73:AJ74)</f>
        <v/>
      </c>
      <c r="AK72" s="47" t="n"/>
      <c r="AL72" s="1074" t="n"/>
      <c r="AM72" s="207">
        <f>C72+F72+I72+L72+O72+R72+U72+X72+AA72+AD72+AG72+AJ72</f>
        <v/>
      </c>
      <c r="AN72" s="47">
        <f>AM72/AM12</f>
        <v/>
      </c>
      <c r="AO72" s="1074">
        <f>AM72/AM13</f>
        <v/>
      </c>
      <c r="AQ72" s="29">
        <f>SUM(AQ73:AQ74)</f>
        <v/>
      </c>
      <c r="AR72" s="29">
        <f>AQ72/(AQ$12-AQ$9)</f>
        <v/>
      </c>
      <c r="AS72" s="1135">
        <f>AQ72/(AQ$13-AQ$20)</f>
        <v/>
      </c>
    </row>
    <row r="73" ht="15" customHeight="1" s="1016">
      <c r="B73" s="411" t="inlineStr">
        <is>
          <t>PREPARADOS PROPIOS</t>
        </is>
      </c>
      <c r="C73" s="78" t="n"/>
      <c r="D73" s="79" t="n"/>
      <c r="E73" s="1080" t="n"/>
      <c r="F73" s="78" t="n"/>
      <c r="G73" s="79" t="n"/>
      <c r="H73" s="1080" t="n"/>
      <c r="I73" s="78" t="n"/>
      <c r="J73" s="79" t="n"/>
      <c r="K73" s="1080" t="n"/>
      <c r="L73" s="78" t="n"/>
      <c r="M73" s="79" t="n"/>
      <c r="N73" s="1080" t="n"/>
      <c r="O73" s="78">
        <f>'GASTOS VEHICULOS'!G25*'%DIST'!J26</f>
        <v/>
      </c>
      <c r="P73" s="79" t="n"/>
      <c r="Q73" s="1080" t="n"/>
      <c r="R73" s="78">
        <f>'GASTOS VEHICULOS'!H25*'%DIST'!L26</f>
        <v/>
      </c>
      <c r="S73" s="79" t="n"/>
      <c r="T73" s="1080" t="n"/>
      <c r="U73" s="78">
        <f>'GASTOS VEHICULOS'!I25*'%DIST'!N26</f>
        <v/>
      </c>
      <c r="V73" s="79" t="n"/>
      <c r="W73" s="1080" t="n"/>
      <c r="X73" s="78">
        <f>'GASTOS VEHICULOS'!J25*'%DIST'!P26</f>
        <v/>
      </c>
      <c r="Y73" s="79" t="n"/>
      <c r="Z73" s="1080" t="n"/>
      <c r="AA73" s="78">
        <f>'GASTOS VEHICULOS'!K25*'%DIST'!R26</f>
        <v/>
      </c>
      <c r="AB73" s="79" t="n"/>
      <c r="AC73" s="1080" t="n"/>
      <c r="AD73" s="78">
        <f>'GASTOS VEHICULOS'!L25*'%DIST'!T26</f>
        <v/>
      </c>
      <c r="AE73" s="79" t="n"/>
      <c r="AF73" s="1080" t="n"/>
      <c r="AG73" s="78">
        <f>'GASTOS VEHICULOS'!M25*'%DIST'!V26</f>
        <v/>
      </c>
      <c r="AH73" s="79" t="n"/>
      <c r="AI73" s="1080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37" t="n"/>
      <c r="AQ73" s="298" t="n"/>
      <c r="AR73" s="298" t="n"/>
      <c r="AS73" s="1138" t="n"/>
    </row>
    <row r="74" ht="15" customHeight="1" s="1016">
      <c r="B74" s="415" t="inlineStr">
        <is>
          <t>PREPARADOS TERCEROS</t>
        </is>
      </c>
      <c r="C74" s="273" t="n"/>
      <c r="D74" s="134" t="n"/>
      <c r="E74" s="1143" t="n"/>
      <c r="F74" s="273" t="n"/>
      <c r="G74" s="134" t="n"/>
      <c r="H74" s="1143" t="n"/>
      <c r="I74" s="273" t="n"/>
      <c r="J74" s="134" t="n"/>
      <c r="K74" s="1143" t="n"/>
      <c r="L74" s="273" t="n"/>
      <c r="M74" s="134" t="n"/>
      <c r="N74" s="1143" t="n"/>
      <c r="O74" s="273" t="n"/>
      <c r="P74" s="134" t="n"/>
      <c r="Q74" s="1143" t="n"/>
      <c r="R74" s="273" t="n"/>
      <c r="S74" s="134" t="n"/>
      <c r="T74" s="1143" t="n"/>
      <c r="U74" s="273" t="n"/>
      <c r="V74" s="134" t="n"/>
      <c r="W74" s="1143" t="n"/>
      <c r="X74" s="273" t="n"/>
      <c r="Y74" s="134" t="n"/>
      <c r="Z74" s="1143" t="n"/>
      <c r="AA74" s="273" t="n"/>
      <c r="AB74" s="134" t="n"/>
      <c r="AC74" s="1143" t="n"/>
      <c r="AD74" s="273" t="n"/>
      <c r="AE74" s="134" t="n"/>
      <c r="AF74" s="1143" t="n"/>
      <c r="AG74" s="273" t="n"/>
      <c r="AH74" s="134" t="n"/>
      <c r="AI74" s="1143" t="n"/>
      <c r="AJ74" s="785" t="n"/>
      <c r="AK74" s="134" t="n"/>
      <c r="AL74" s="135" t="n"/>
      <c r="AM74" s="429">
        <f>C74+F74+I74+L74+O74+R74+U74+X74+AA74+AD74+AG74+AJ74</f>
        <v/>
      </c>
      <c r="AN74" s="134" t="n"/>
      <c r="AO74" s="1238" t="n"/>
      <c r="AP74" s="1228" t="n"/>
      <c r="AQ74" s="349" t="n"/>
      <c r="AR74" s="349" t="n"/>
      <c r="AS74" s="1140" t="n"/>
      <c r="AT74" s="1124" t="n"/>
      <c r="AU74" s="1124">
        <f>$AT$74</f>
        <v/>
      </c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  <c r="AQ76" s="38" t="n"/>
      <c r="AR76" s="38" t="n"/>
      <c r="AS76" s="1131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>
        <f>L78/(L$13)</f>
        <v/>
      </c>
      <c r="O78" s="49">
        <f>SUM(O79:O81)</f>
        <v/>
      </c>
      <c r="P78" s="3" t="n"/>
      <c r="Q78" s="1078">
        <f>O78/(O$13)</f>
        <v/>
      </c>
      <c r="R78" s="90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AQ78/(AQ$12-AQ$9)</f>
        <v/>
      </c>
      <c r="AS78" s="1130">
        <f>AQ78/(AQ$13-AQ$20)</f>
        <v/>
      </c>
    </row>
    <row r="79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  <c r="AQ79" s="619" t="n"/>
      <c r="AR79" s="619" t="n"/>
      <c r="AS79" s="1145" t="n"/>
    </row>
    <row r="80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  <c r="AQ80" s="24" t="n"/>
      <c r="AR80" s="24" t="n"/>
      <c r="AS80" s="1133" t="n"/>
    </row>
    <row r="8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  <c r="AQ81" s="98" t="n"/>
      <c r="AR81" s="98" t="n"/>
      <c r="AS81" s="1146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C83/(C$13)</f>
        <v/>
      </c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>
        <f>L83/(L$13)</f>
        <v/>
      </c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 t="n"/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 t="n"/>
      <c r="AM83" s="581">
        <f>C83+F83+I83+L83+O83+R83+U83+X83+AA83+AD83+AG83+AJ83</f>
        <v/>
      </c>
      <c r="AN83" s="491" t="n"/>
      <c r="AO83" s="1106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29">
        <f>AQ83/(AQ$13-AQ$20)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>
        <f>L84/(L$13)</f>
        <v/>
      </c>
      <c r="O84" s="49">
        <f>SUM(O85:O88)</f>
        <v/>
      </c>
      <c r="P84" s="3" t="n"/>
      <c r="Q84" s="1078">
        <f>O84/(O$13)</f>
        <v/>
      </c>
      <c r="R84" s="90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 t="n"/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 t="n"/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AQ84/(AQ$12-AQ$9)</f>
        <v/>
      </c>
      <c r="AS84" s="1130">
        <f>AQ84/(AQ$13-AQ$20)</f>
        <v/>
      </c>
    </row>
    <row r="85" ht="15" customHeight="1" s="1016">
      <c r="B85" s="39" t="inlineStr">
        <is>
          <t>Costos Indirectos de Personal</t>
        </is>
      </c>
      <c r="C85" s="39" t="n"/>
      <c r="D85" s="69">
        <f>$L$85</f>
        <v/>
      </c>
      <c r="E85" s="1102">
        <f>C85/(C$13)</f>
        <v/>
      </c>
      <c r="F85" s="39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  <c r="AP85" s="1228" t="n"/>
      <c r="AQ85" s="31" t="n"/>
      <c r="AR85" s="31" t="n"/>
      <c r="AS85" s="1148" t="n"/>
      <c r="AT85" s="896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  <c r="AQ86" s="24" t="n"/>
      <c r="AR86" s="24" t="n"/>
      <c r="AS86" s="1133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  <c r="AQ87" s="24" t="n"/>
      <c r="AR87" s="24" t="n"/>
      <c r="AS87" s="1133" t="n"/>
    </row>
    <row r="88" ht="15" customHeight="1" s="1016">
      <c r="B88" s="206" t="inlineStr">
        <is>
          <t>Incapacidades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  <c r="AQ88" s="349" t="n"/>
      <c r="AR88" s="349" t="n"/>
      <c r="AS88" s="1140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>
        <f>L89/(L$13)</f>
        <v/>
      </c>
      <c r="O89" s="49">
        <f>SUM(O90:O91)</f>
        <v/>
      </c>
      <c r="P89" s="3" t="n"/>
      <c r="Q89" s="1078">
        <f>O89/(O$13)</f>
        <v/>
      </c>
      <c r="R89" s="90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 t="n"/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>
        <f>SUM(AQ90:AQ91)</f>
        <v/>
      </c>
      <c r="AR89" s="17">
        <f>AQ89/(AQ$12-AQ$9)</f>
        <v/>
      </c>
      <c r="AS89" s="1130">
        <f>AQ89/(AQ$13-AQ$20)</f>
        <v/>
      </c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  <c r="AQ90" s="31" t="n"/>
      <c r="AR90" s="31" t="n"/>
      <c r="AS90" s="1148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  <c r="AQ91" s="349" t="n"/>
      <c r="AR91" s="349" t="n"/>
      <c r="AS91" s="1140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>
        <f>L92/(L$13)</f>
        <v/>
      </c>
      <c r="O92" s="49">
        <f>SUM(O93:O95)</f>
        <v/>
      </c>
      <c r="P92" s="3" t="n"/>
      <c r="Q92" s="1078">
        <f>O92/(O$13)</f>
        <v/>
      </c>
      <c r="R92" s="90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 t="n"/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>
        <f>SUM(AQ93:AQ95)</f>
        <v/>
      </c>
      <c r="AR92" s="17">
        <f>AQ92/(AQ$12-AQ$9)</f>
        <v/>
      </c>
      <c r="AS92" s="1130">
        <f>AQ92/(AQ$13-AQ$20)</f>
        <v/>
      </c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  <c r="AQ93" s="31" t="n"/>
      <c r="AR93" s="31" t="n"/>
      <c r="AS93" s="1148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  <c r="AQ94" s="24" t="n"/>
      <c r="AR94" s="24" t="n"/>
      <c r="AS94" s="1133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078">
        <f>L96/(L$13)</f>
        <v/>
      </c>
      <c r="O96" s="49">
        <f>SUM(O97:O98)</f>
        <v/>
      </c>
      <c r="P96" s="3" t="n"/>
      <c r="Q96" s="1078">
        <f>O96/(O$13)</f>
        <v/>
      </c>
      <c r="R96" s="90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 t="n"/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AQ96/(AQ$12-AQ$9)</f>
        <v/>
      </c>
      <c r="AS96" s="1130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31" t="n"/>
      <c r="AR97" s="31" t="n"/>
      <c r="AS97" s="1148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79" t="n"/>
      <c r="AR98" s="279" t="n"/>
      <c r="AS98" s="1150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>
        <f>L99/(L$13)</f>
        <v/>
      </c>
      <c r="O99" s="49">
        <f>SUM(O100:O108)</f>
        <v/>
      </c>
      <c r="P99" s="3" t="n"/>
      <c r="Q99" s="1078">
        <f>O99/(O$13)</f>
        <v/>
      </c>
      <c r="R99" s="90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 t="n"/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AQ99/(AQ$12-AQ$9)</f>
        <v/>
      </c>
      <c r="AS99" s="1130">
        <f>AQ99/(AQ$13-AQ$20)</f>
        <v/>
      </c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</row>
    <row r="10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</row>
    <row r="103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</row>
    <row r="104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846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846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108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>
        <f>L109/(L$13)</f>
        <v/>
      </c>
      <c r="O109" s="49">
        <f>SUM(O110:O113)</f>
        <v/>
      </c>
      <c r="P109" s="3" t="n"/>
      <c r="Q109" s="1078">
        <f>O109/(O$13)</f>
        <v/>
      </c>
      <c r="R109" s="90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 t="n"/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AQ109/(AQ$12-AQ$9)</f>
        <v/>
      </c>
      <c r="AS109" s="1130">
        <f>AQ109/(AQ$13-AQ$20)</f>
        <v/>
      </c>
    </row>
    <row r="110" outlineLevel="1" ht="15" customHeight="1" s="1016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</row>
    <row r="111" outlineLevel="1" ht="15" customHeight="1" s="1016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</row>
    <row r="112" outlineLevel="1" ht="15" customHeight="1" s="1016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</row>
    <row r="113" outlineLevel="1" ht="15" customHeight="1" s="1016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>
        <f>L114/(L$13)</f>
        <v/>
      </c>
      <c r="O114" s="49">
        <f>SUM(O115:O116)</f>
        <v/>
      </c>
      <c r="P114" s="3" t="n"/>
      <c r="Q114" s="1078">
        <f>O114/(O$13)</f>
        <v/>
      </c>
      <c r="R114" s="90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 t="n"/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AQ114/(AQ$12-AQ$9)</f>
        <v/>
      </c>
      <c r="AS114" s="1130">
        <f>AQ114/(AQ$13-AQ$20)</f>
        <v/>
      </c>
    </row>
    <row r="115" outlineLevel="1" ht="15" customHeight="1" s="1016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</row>
    <row r="116" outlineLevel="1" ht="15" customHeight="1" s="1016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</row>
    <row r="117" outlineLevel="1" ht="15" customHeight="1" s="1016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</row>
    <row r="118" outlineLevel="1" ht="15" customHeight="1" s="1016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</row>
    <row r="119" outlineLevel="1" ht="15" customHeight="1" s="1016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>
        <f>L120/(L$13)</f>
        <v/>
      </c>
      <c r="O120" s="49">
        <f>SUM(O121)</f>
        <v/>
      </c>
      <c r="P120" s="3" t="n"/>
      <c r="Q120" s="1078">
        <f>O120/(O$13)</f>
        <v/>
      </c>
      <c r="R120" s="90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 t="n"/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AQ120/(AQ$12-AQ$9)</f>
        <v/>
      </c>
      <c r="AS120" s="1130">
        <f>AQ120/(AQ$13-AQ$20)</f>
        <v/>
      </c>
    </row>
    <row r="121" ht="15" customHeight="1" s="1016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</row>
    <row r="122" ht="15" customHeight="1" s="1016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>
        <f>L123/(L$13)</f>
        <v/>
      </c>
      <c r="O123" s="49">
        <f>SUM(O124:O126)</f>
        <v/>
      </c>
      <c r="P123" s="3" t="n"/>
      <c r="Q123" s="1078">
        <f>O123/(O$13)</f>
        <v/>
      </c>
      <c r="R123" s="90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 t="n"/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AQ123/(AQ$12-AQ$9)</f>
        <v/>
      </c>
      <c r="AS123" s="1130">
        <f>AQ123/(AQ$13-AQ$20)</f>
        <v/>
      </c>
    </row>
    <row r="124" outlineLevel="1" ht="15" customHeight="1" s="1016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</row>
    <row r="125" outlineLevel="1" ht="15" customHeight="1" s="1016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</row>
    <row r="126" outlineLevel="1" ht="15" customHeight="1" s="1016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>
        <f>L127/(L$13)</f>
        <v/>
      </c>
      <c r="O127" s="49">
        <f>SUM(O128:O142)</f>
        <v/>
      </c>
      <c r="P127" s="3" t="n"/>
      <c r="Q127" s="1078">
        <f>O127/(O$13)</f>
        <v/>
      </c>
      <c r="R127" s="90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 t="n"/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AQ127/(AQ$12-AQ$9)</f>
        <v/>
      </c>
      <c r="AS127" s="1130">
        <f>AQ127/(AQ$13-AQ$20)</f>
        <v/>
      </c>
    </row>
    <row r="128" outlineLevel="1" ht="15" customHeight="1" s="1016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</row>
    <row r="129" outlineLevel="1" ht="15" customHeight="1" s="1016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</row>
    <row r="130" outlineLevel="1" ht="15" customHeight="1" s="1016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</row>
    <row r="132" outlineLevel="1" ht="15" customHeight="1" s="1016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</row>
    <row r="134" outlineLevel="1" ht="15" customHeight="1" s="1016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</row>
    <row r="135" outlineLevel="1" ht="15" customHeight="1" s="1016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</row>
    <row r="136" outlineLevel="1" ht="15" customHeight="1" s="1016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</row>
    <row r="137" outlineLevel="1" ht="15" customHeight="1" s="1016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</row>
    <row r="142" outlineLevel="1" ht="15" customHeight="1" s="1016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  <c r="AQ142" s="98" t="n"/>
      <c r="AR142" s="98" t="n"/>
      <c r="AS142" s="1146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  <c r="AQ144" s="626">
        <f>+AQ42-AQ44-AQ83</f>
        <v/>
      </c>
      <c r="AR144" s="626" t="n"/>
      <c r="AS144" s="1155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7">
        <f>IFERROR(AQ144/AQ13," ")</f>
        <v/>
      </c>
      <c r="AR145" s="627" t="n"/>
      <c r="AS145" s="1156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1" t="n"/>
      <c r="AR146" s="631" t="n"/>
      <c r="AS146" s="1157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 t="n"/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  <c r="AQ147" s="625">
        <f>SUM(AQ148:AQ151)</f>
        <v/>
      </c>
      <c r="AR147" s="625" t="n"/>
      <c r="AS147" s="1129">
        <f>AQ147/(AQ$13-AQ$20)</f>
        <v/>
      </c>
    </row>
    <row r="148" ht="15" customHeight="1" s="1016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  <c r="AP148" s="1093" t="n">
        <v>0.054</v>
      </c>
      <c r="AQ148" s="31" t="n"/>
      <c r="AR148" s="31" t="n"/>
      <c r="AS148" s="1148" t="n"/>
    </row>
    <row r="149" ht="15" customHeight="1" s="1016">
      <c r="B149" s="285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  <c r="AP150" s="1093" t="n">
        <v>0.01</v>
      </c>
      <c r="AQ150" s="24" t="n"/>
      <c r="AR150" s="24" t="n"/>
      <c r="AS150" s="1133" t="n"/>
    </row>
    <row r="151" ht="15" customHeight="1" s="1016" thickBot="1">
      <c r="B151" s="300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  <c r="AQ151" s="300" t="n"/>
      <c r="AR151" s="300" t="n"/>
      <c r="AS151" s="1158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  <c r="AQ153" s="628">
        <f>SUM(AQ154:AQ160)</f>
        <v/>
      </c>
      <c r="AR153" s="628" t="n"/>
      <c r="AS153" s="1159">
        <f>AQ153/(AQ$13-AQ$20)</f>
        <v/>
      </c>
    </row>
    <row r="154" ht="15" customHeight="1" s="1016" thickTop="1">
      <c r="B154" s="1160" t="inlineStr">
        <is>
          <t>Novedades</t>
        </is>
      </c>
      <c r="C154" s="634" t="n"/>
      <c r="D154" s="548" t="n"/>
      <c r="E154" s="1196" t="n"/>
      <c r="F154" s="634" t="n"/>
      <c r="G154" s="548" t="n"/>
      <c r="H154" s="1196" t="n"/>
      <c r="I154" s="634" t="n"/>
      <c r="J154" s="548" t="n"/>
      <c r="K154" s="1196" t="n"/>
      <c r="L154" s="634" t="n"/>
      <c r="M154" s="548" t="n"/>
      <c r="N154" s="1196" t="n"/>
      <c r="O154" s="1197" t="n"/>
      <c r="P154" s="548" t="n"/>
      <c r="Q154" s="1196" t="n"/>
      <c r="R154" s="634" t="n"/>
      <c r="S154" s="548" t="n"/>
      <c r="T154" s="1196" t="n"/>
      <c r="U154" s="634" t="n"/>
      <c r="V154" s="548" t="n"/>
      <c r="W154" s="1196" t="n"/>
      <c r="X154" s="634" t="n"/>
      <c r="Y154" s="548" t="n"/>
      <c r="Z154" s="1196" t="n"/>
      <c r="AA154" s="1197" t="n"/>
      <c r="AB154" s="548" t="n"/>
      <c r="AC154" s="1196" t="n"/>
      <c r="AD154" s="1197" t="n"/>
      <c r="AE154" s="548" t="n"/>
      <c r="AF154" s="1196" t="n"/>
      <c r="AG154" s="1197">
        <f>AG18*0.9</f>
        <v/>
      </c>
      <c r="AH154" s="548" t="n"/>
      <c r="AI154" s="1196" t="n"/>
      <c r="AJ154" s="1197" t="n"/>
      <c r="AK154" s="230" t="n"/>
      <c r="AL154" s="245" t="n"/>
      <c r="AM154" s="287">
        <f>C154+F154+I154+L154+O154+R154+U154+X154+AA154+AD154+AG154+AJ154</f>
        <v/>
      </c>
      <c r="AN154" s="230" t="n"/>
      <c r="AO154" s="1162" t="n"/>
      <c r="AQ154" s="722" t="n"/>
      <c r="AR154" s="289" t="n"/>
      <c r="AS154" s="1163" t="n"/>
    </row>
    <row r="155" ht="15" customHeight="1" s="1016">
      <c r="B155" s="1164" t="inlineStr">
        <is>
          <t>Donacion</t>
        </is>
      </c>
      <c r="C155" s="705" t="n"/>
      <c r="D155" s="13" t="n"/>
      <c r="E155" s="1176" t="n"/>
      <c r="F155" s="705" t="n"/>
      <c r="G155" s="13" t="n"/>
      <c r="H155" s="1176" t="n"/>
      <c r="I155" s="705" t="n"/>
      <c r="J155" s="13" t="n"/>
      <c r="K155" s="1176" t="n"/>
      <c r="L155" s="705" t="n"/>
      <c r="M155" s="13" t="n"/>
      <c r="N155" s="1176" t="n"/>
      <c r="O155" s="705" t="n"/>
      <c r="P155" s="13" t="n"/>
      <c r="Q155" s="1176" t="n"/>
      <c r="R155" s="705" t="n"/>
      <c r="S155" s="13" t="n"/>
      <c r="T155" s="1176" t="n"/>
      <c r="U155" s="705" t="n"/>
      <c r="V155" s="13" t="n"/>
      <c r="W155" s="1176" t="n"/>
      <c r="X155" s="705" t="n"/>
      <c r="Y155" s="13" t="n"/>
      <c r="Z155" s="1176" t="n"/>
      <c r="AA155" s="705" t="n"/>
      <c r="AB155" s="13" t="n"/>
      <c r="AC155" s="1176" t="n"/>
      <c r="AD155" s="705" t="n"/>
      <c r="AE155" s="13" t="n"/>
      <c r="AF155" s="1176" t="n"/>
      <c r="AG155" s="705" t="n"/>
      <c r="AH155" s="13" t="n"/>
      <c r="AI155" s="1176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66" t="n"/>
      <c r="AP155" s="1124" t="n"/>
      <c r="AQ155" s="705" t="n"/>
      <c r="AR155" s="248" t="n"/>
      <c r="AS155" s="1167" t="n"/>
    </row>
    <row r="156" ht="15" customHeight="1" s="1016">
      <c r="B156" s="1168" t="inlineStr">
        <is>
          <t>Donacion</t>
        </is>
      </c>
      <c r="C156" s="718" t="n"/>
      <c r="D156" s="677" t="n"/>
      <c r="E156" s="1198" t="n"/>
      <c r="F156" s="718" t="n"/>
      <c r="G156" s="677" t="n"/>
      <c r="H156" s="1198" t="n"/>
      <c r="I156" s="718" t="n"/>
      <c r="J156" s="677" t="n"/>
      <c r="K156" s="1198" t="n"/>
      <c r="L156" s="718" t="n"/>
      <c r="M156" s="677" t="n"/>
      <c r="N156" s="1198" t="n"/>
      <c r="O156" s="718" t="n"/>
      <c r="P156" s="677" t="n"/>
      <c r="Q156" s="1198" t="n"/>
      <c r="R156" s="718" t="n"/>
      <c r="S156" s="677" t="n"/>
      <c r="T156" s="1198" t="n"/>
      <c r="U156" s="718" t="n"/>
      <c r="V156" s="677" t="n"/>
      <c r="W156" s="1198" t="n"/>
      <c r="X156" s="718" t="n"/>
      <c r="Y156" s="677" t="n"/>
      <c r="Z156" s="1198" t="n"/>
      <c r="AA156" s="718" t="n"/>
      <c r="AB156" s="677" t="n"/>
      <c r="AC156" s="1198" t="n"/>
      <c r="AD156" s="718" t="n"/>
      <c r="AE156" s="677" t="n"/>
      <c r="AF156" s="1198" t="n"/>
      <c r="AG156" s="718" t="n"/>
      <c r="AH156" s="677" t="n"/>
      <c r="AI156" s="1198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70" t="n"/>
      <c r="AP156" s="1124" t="n"/>
      <c r="AQ156" s="765" t="n"/>
      <c r="AR156" s="248" t="n"/>
      <c r="AS156" s="1167" t="n"/>
    </row>
    <row r="157" ht="15" customHeight="1" s="1016">
      <c r="B157" s="1171" t="inlineStr">
        <is>
          <t>Otros Ajustes</t>
        </is>
      </c>
      <c r="C157" s="723" t="n"/>
      <c r="D157" s="553" t="n"/>
      <c r="E157" s="1200" t="n"/>
      <c r="F157" s="723" t="n"/>
      <c r="G157" s="553" t="n"/>
      <c r="H157" s="1200" t="n"/>
      <c r="I157" s="723" t="n"/>
      <c r="J157" s="553" t="n"/>
      <c r="K157" s="1200" t="n"/>
      <c r="L157" s="1197" t="n"/>
      <c r="M157" s="553" t="n"/>
      <c r="N157" s="1200" t="n"/>
      <c r="O157" s="1197">
        <f>O13*$AU$6</f>
        <v/>
      </c>
      <c r="P157" s="553" t="n"/>
      <c r="Q157" s="1200" t="n"/>
      <c r="R157" s="1197">
        <f>R13*$AU$6</f>
        <v/>
      </c>
      <c r="S157" s="553" t="n"/>
      <c r="T157" s="1200" t="n"/>
      <c r="U157" s="1197">
        <f>U13*$AU$6</f>
        <v/>
      </c>
      <c r="V157" s="553" t="n"/>
      <c r="W157" s="1200" t="n"/>
      <c r="X157" s="1197">
        <f>X13*$AU$6</f>
        <v/>
      </c>
      <c r="Y157" s="553" t="n"/>
      <c r="Z157" s="1200" t="n"/>
      <c r="AA157" s="1197">
        <f>AA13*$AU$6</f>
        <v/>
      </c>
      <c r="AB157" s="553" t="n"/>
      <c r="AC157" s="1200" t="n"/>
      <c r="AD157" s="1197">
        <f>AD13*$AU$6</f>
        <v/>
      </c>
      <c r="AE157" s="553" t="n"/>
      <c r="AF157" s="1200" t="n"/>
      <c r="AG157" s="1197">
        <f>AG13*$AU$6</f>
        <v/>
      </c>
      <c r="AH157" s="553" t="n"/>
      <c r="AI157" s="1200" t="n"/>
      <c r="AJ157" s="1197">
        <f>AJ13*$AU$6</f>
        <v/>
      </c>
      <c r="AK157" s="551" t="n"/>
      <c r="AL157" s="555" t="n"/>
      <c r="AM157" s="294">
        <f>C157+F157+I157+L157+O157+R157+U157+X157+AA157+AD157+AG157+AJ157</f>
        <v/>
      </c>
      <c r="AN157" s="882" t="n"/>
      <c r="AO157" s="1203">
        <f>AM157/$AM$13</f>
        <v/>
      </c>
      <c r="AQ157" s="705" t="n"/>
      <c r="AR157" s="559" t="n"/>
      <c r="AS157" s="1174">
        <f>AQ157/AQ13</f>
        <v/>
      </c>
    </row>
    <row r="158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>
        <f>O13*$AU$7</f>
        <v/>
      </c>
      <c r="P158" s="13" t="n"/>
      <c r="Q158" s="1176" t="n"/>
      <c r="R158" s="1173">
        <f>R13*$AU$7</f>
        <v/>
      </c>
      <c r="S158" s="13" t="n"/>
      <c r="T158" s="1176" t="n"/>
      <c r="U158" s="1173">
        <f>U13*$AU$7</f>
        <v/>
      </c>
      <c r="V158" s="13" t="n"/>
      <c r="W158" s="1176" t="n"/>
      <c r="X158" s="1173">
        <f>X13*$AU$7</f>
        <v/>
      </c>
      <c r="Y158" s="13" t="n"/>
      <c r="Z158" s="1176" t="n"/>
      <c r="AA158" s="1173">
        <f>AA13*$AU$7</f>
        <v/>
      </c>
      <c r="AB158" s="13" t="n"/>
      <c r="AC158" s="1176" t="n"/>
      <c r="AD158" s="1173">
        <f>AD13*$AU$7</f>
        <v/>
      </c>
      <c r="AE158" s="43" t="n"/>
      <c r="AF158" s="1176" t="n"/>
      <c r="AG158" s="1173">
        <f>AG13*$AU$7</f>
        <v/>
      </c>
      <c r="AH158" s="13" t="n"/>
      <c r="AI158" s="1176" t="n"/>
      <c r="AJ158" s="1173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AM158/$AM$13</f>
        <v/>
      </c>
      <c r="AQ158" s="75" t="n"/>
      <c r="AR158" s="296" t="n"/>
      <c r="AS158" s="1178" t="n"/>
    </row>
    <row r="159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>
        <f>O12*$AU$8</f>
        <v/>
      </c>
      <c r="P159" s="13" t="n"/>
      <c r="Q159" s="1176" t="n"/>
      <c r="R159" s="1173">
        <f>R12*$AU$8</f>
        <v/>
      </c>
      <c r="S159" s="13" t="n"/>
      <c r="T159" s="1176" t="n"/>
      <c r="U159" s="1173">
        <f>U12*$AU$8</f>
        <v/>
      </c>
      <c r="V159" s="13" t="n"/>
      <c r="W159" s="1176" t="n"/>
      <c r="X159" s="1173">
        <f>X12*$AU$8</f>
        <v/>
      </c>
      <c r="Y159" s="13" t="n"/>
      <c r="Z159" s="1176" t="n"/>
      <c r="AA159" s="1173">
        <f>AA12*$AU$8</f>
        <v/>
      </c>
      <c r="AB159" s="13" t="n"/>
      <c r="AC159" s="1176" t="n"/>
      <c r="AD159" s="1173">
        <f>AD12*$AU$8</f>
        <v/>
      </c>
      <c r="AE159" s="43" t="n"/>
      <c r="AF159" s="1176" t="n"/>
      <c r="AG159" s="1173">
        <f>AG12*$AU$8</f>
        <v/>
      </c>
      <c r="AH159" s="13" t="n"/>
      <c r="AI159" s="1176" t="n"/>
      <c r="AJ159" s="1173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177" t="n"/>
      <c r="AQ159" s="296" t="n"/>
      <c r="AR159" s="296" t="n"/>
      <c r="AS159" s="1178" t="n"/>
    </row>
    <row r="160" ht="15" customHeight="1" s="1016" thickBot="1">
      <c r="B160" s="1179" t="inlineStr">
        <is>
          <t>Otros Ajustes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234" t="n"/>
      <c r="M160" s="233" t="n"/>
      <c r="N160" s="1180" t="n"/>
      <c r="O160" s="234" t="n"/>
      <c r="P160" s="233" t="n"/>
      <c r="Q160" s="1180" t="n"/>
      <c r="R160" s="234" t="n"/>
      <c r="S160" s="233" t="n"/>
      <c r="T160" s="1180" t="n"/>
      <c r="U160" s="234" t="n"/>
      <c r="V160" s="233" t="n"/>
      <c r="W160" s="1180" t="n"/>
      <c r="X160" s="234" t="n"/>
      <c r="Y160" s="233" t="n"/>
      <c r="Z160" s="1180" t="n"/>
      <c r="AA160" s="234" t="n"/>
      <c r="AB160" s="233" t="n"/>
      <c r="AC160" s="1180" t="n"/>
      <c r="AD160" s="234" t="n"/>
      <c r="AE160" s="233" t="n"/>
      <c r="AF160" s="1180" t="n"/>
      <c r="AG160" s="234" t="n"/>
      <c r="AH160" s="233" t="n"/>
      <c r="AI160" s="1180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81" t="n"/>
      <c r="AQ160" s="620" t="n"/>
      <c r="AR160" s="620" t="n"/>
      <c r="AS160" s="1182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  <c r="AQ161" s="628">
        <f>AQ144-AQ147-AQ153</f>
        <v/>
      </c>
      <c r="AR161" s="628" t="n"/>
      <c r="AS161" s="1159" t="n"/>
    </row>
    <row r="162" ht="15" customHeight="1" s="1016" thickBot="1" thickTop="1">
      <c r="B162" s="65" t="n"/>
      <c r="C162" s="454">
        <f>IFERROR(C161/C13," ")</f>
        <v/>
      </c>
      <c r="D162" s="445" t="n"/>
      <c r="E162" s="1225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  <c r="AQ162" s="629">
        <f>IFERROR(AQ161/AQ13," ")</f>
        <v/>
      </c>
      <c r="AR162" s="629" t="n"/>
      <c r="AS162" s="1159" t="n"/>
    </row>
    <row r="163" ht="10.8" customHeight="1" s="1016" thickTop="1">
      <c r="C163" s="1025" t="n"/>
    </row>
    <row r="164" hidden="1" customFormat="1" s="153">
      <c r="A164" s="226" t="n"/>
      <c r="C164" s="472">
        <f>C44+C83-C73-C85</f>
        <v/>
      </c>
      <c r="D164" s="547" t="n"/>
      <c r="E164" s="1239" t="n"/>
      <c r="F164" s="472">
        <f>F44+F83-F73-F85</f>
        <v/>
      </c>
      <c r="G164" s="1025" t="n"/>
      <c r="H164" s="1213" t="n"/>
      <c r="I164" s="472">
        <f>I44+I83-I73-I85</f>
        <v/>
      </c>
      <c r="J164" s="1025" t="n"/>
      <c r="K164" s="1213" t="n"/>
      <c r="L164" s="472">
        <f>L44+L83-L73-L85</f>
        <v/>
      </c>
      <c r="M164" s="1025" t="n"/>
      <c r="N164" s="1213" t="n"/>
      <c r="O164" s="472">
        <f>O44+O83-O73</f>
        <v/>
      </c>
      <c r="P164" s="1025" t="n"/>
      <c r="Q164" s="1213" t="n"/>
      <c r="R164" s="472">
        <f>R44+R83-R73-R85</f>
        <v/>
      </c>
      <c r="S164" s="1025" t="n"/>
      <c r="T164" s="1213" t="n"/>
      <c r="U164" s="472">
        <f>U44+U83-U73-U85</f>
        <v/>
      </c>
      <c r="V164" s="1025" t="n"/>
      <c r="W164" s="1213" t="n"/>
      <c r="X164" s="475">
        <f>X44+X83-X73-X85-X58</f>
        <v/>
      </c>
      <c r="Y164" s="1025" t="n"/>
      <c r="Z164" s="1213" t="n"/>
      <c r="AA164" s="475">
        <f>AA44+AA83-AA73-AA58</f>
        <v/>
      </c>
      <c r="AB164" s="1025" t="n"/>
      <c r="AC164" s="1213" t="n"/>
      <c r="AD164" s="475">
        <f>AD44+AD83-AD73-AD58</f>
        <v/>
      </c>
      <c r="AE164" s="1025" t="n"/>
      <c r="AF164" s="1213" t="n"/>
      <c r="AG164" s="475">
        <f>AG44+AG83-AG73-AG58</f>
        <v/>
      </c>
      <c r="AH164" s="1025" t="n"/>
      <c r="AI164" s="1213" t="n"/>
      <c r="AJ164" s="475">
        <f>AJ44+AJ83-AJ73-AJ85-AJ58</f>
        <v/>
      </c>
      <c r="AK164" s="1025" t="n"/>
      <c r="AL164" s="1025" t="n"/>
      <c r="AM164" s="1025" t="n"/>
      <c r="AN164" s="1025" t="n"/>
      <c r="AO164" s="1213" t="n"/>
      <c r="AQ164" s="1010" t="n"/>
      <c r="AR164" s="1010" t="n"/>
      <c r="AS164" s="2" t="n"/>
    </row>
    <row r="165" hidden="1" customFormat="1" s="153">
      <c r="A165" s="226" t="n"/>
      <c r="C165" s="472" t="n">
        <v>47016022.88</v>
      </c>
      <c r="D165" s="547" t="n"/>
      <c r="E165" s="1239" t="n"/>
      <c r="F165" s="472" t="n">
        <v>48773877.27</v>
      </c>
      <c r="G165" s="1025" t="n"/>
      <c r="H165" s="1213" t="n"/>
      <c r="I165" s="472" t="n">
        <v>70048069.05</v>
      </c>
      <c r="J165" s="1025" t="n"/>
      <c r="K165" s="1213" t="n"/>
      <c r="L165" s="472" t="n">
        <v>48123625.71000001</v>
      </c>
      <c r="M165" s="1025" t="n"/>
      <c r="N165" s="1213" t="n"/>
      <c r="O165" s="472" t="n">
        <v>517164154.95</v>
      </c>
      <c r="P165" s="1025" t="n"/>
      <c r="Q165" s="1213" t="n"/>
      <c r="R165" s="472" t="n">
        <v>675567081.08</v>
      </c>
      <c r="S165" s="1025" t="n"/>
      <c r="T165" s="1213" t="n"/>
      <c r="U165" s="472" t="n">
        <v>681804153.1799999</v>
      </c>
      <c r="V165" s="1025" t="n"/>
      <c r="W165" s="1213" t="n"/>
      <c r="X165" s="475" t="n">
        <v>692050605.86</v>
      </c>
      <c r="Y165" s="1025" t="n"/>
      <c r="Z165" s="1213" t="n"/>
      <c r="AA165" s="475" t="n">
        <v>641035328.9</v>
      </c>
      <c r="AB165" s="1025" t="n"/>
      <c r="AC165" s="1213" t="n"/>
      <c r="AD165" s="475" t="n">
        <v>831021932.09</v>
      </c>
      <c r="AE165" s="1025" t="n"/>
      <c r="AF165" s="1213" t="n"/>
      <c r="AG165" s="475" t="n">
        <v>592985589.73</v>
      </c>
      <c r="AH165" s="1025" t="n"/>
      <c r="AI165" s="1213" t="n"/>
      <c r="AJ165" s="475" t="n">
        <v>394419.68</v>
      </c>
      <c r="AK165" s="1025" t="n"/>
      <c r="AL165" s="1025" t="n"/>
      <c r="AM165" s="1025" t="n"/>
      <c r="AN165" s="1025" t="n"/>
      <c r="AO165" s="1213" t="n"/>
      <c r="AQ165" s="1010" t="n"/>
      <c r="AR165" s="1010" t="n"/>
      <c r="AS165" s="2" t="n"/>
    </row>
    <row r="166" hidden="1" customFormat="1" s="153">
      <c r="A166" s="226" t="n"/>
      <c r="C166" s="472">
        <f>C164-C165</f>
        <v/>
      </c>
      <c r="D166" s="700" t="n"/>
      <c r="E166" s="1239" t="n"/>
      <c r="F166" s="472">
        <f>F164-F165</f>
        <v/>
      </c>
      <c r="G166" s="1024" t="n"/>
      <c r="H166" s="1214" t="n"/>
      <c r="I166" s="472">
        <f>I164-I165</f>
        <v/>
      </c>
      <c r="J166" s="1025" t="n"/>
      <c r="K166" s="1214" t="n"/>
      <c r="L166" s="472">
        <f>L164-L165</f>
        <v/>
      </c>
      <c r="M166" s="1025" t="n"/>
      <c r="N166" s="1213" t="n"/>
      <c r="O166" s="472">
        <f>O164-O165</f>
        <v/>
      </c>
      <c r="P166" s="1025" t="n"/>
      <c r="Q166" s="1213" t="n"/>
      <c r="R166" s="472">
        <f>R164-R165</f>
        <v/>
      </c>
      <c r="S166" s="1024" t="n"/>
      <c r="T166" s="1213" t="n"/>
      <c r="U166" s="472">
        <f>U164-U165</f>
        <v/>
      </c>
      <c r="V166" s="401" t="n"/>
      <c r="W166" s="1213" t="n"/>
      <c r="X166" s="475">
        <f>X164-X165</f>
        <v/>
      </c>
      <c r="Y166" s="1025" t="n"/>
      <c r="Z166" s="1213" t="n"/>
      <c r="AA166" s="475">
        <f>AA164-AA165</f>
        <v/>
      </c>
      <c r="AB166" s="1025" t="n"/>
      <c r="AC166" s="1213" t="n"/>
      <c r="AD166" s="475">
        <f>AD164-AD165</f>
        <v/>
      </c>
      <c r="AE166" s="611" t="inlineStr">
        <is>
          <t>MP</t>
        </is>
      </c>
      <c r="AF166" s="1213" t="n"/>
      <c r="AG166" s="475">
        <f>AG164-AG165</f>
        <v/>
      </c>
      <c r="AH166" s="1025" t="n"/>
      <c r="AI166" s="1213" t="n"/>
      <c r="AJ166" s="475">
        <f>AJ164-AJ165</f>
        <v/>
      </c>
      <c r="AK166" s="1025" t="n"/>
      <c r="AL166" s="1025" t="n"/>
      <c r="AM166" s="1024" t="n"/>
      <c r="AN166" s="1025" t="n"/>
      <c r="AO166" s="1213" t="n"/>
      <c r="AQ166" s="1010" t="n"/>
      <c r="AR166" s="1010" t="n"/>
      <c r="AS166" s="2" t="n"/>
    </row>
    <row r="167" customFormat="1" s="153">
      <c r="A167" s="226" t="n"/>
      <c r="C167" s="1025" t="n"/>
      <c r="D167" s="1025" t="n"/>
      <c r="E167" s="1213" t="n"/>
      <c r="F167" s="1025" t="n"/>
      <c r="G167" s="1025" t="n"/>
      <c r="H167" s="1213" t="n"/>
      <c r="I167" s="1024" t="n"/>
      <c r="J167" s="1025" t="n"/>
      <c r="K167" s="1213" t="n"/>
      <c r="L167" s="1025" t="n"/>
      <c r="M167" s="1025" t="n"/>
      <c r="N167" s="1213" t="n"/>
      <c r="O167" s="1025" t="n"/>
      <c r="P167" s="1025" t="n"/>
      <c r="Q167" s="1213" t="n"/>
      <c r="R167" s="1025" t="n"/>
      <c r="S167" s="1025" t="n"/>
      <c r="T167" s="1213" t="n"/>
      <c r="U167" s="1025" t="n"/>
      <c r="V167" s="1025" t="n"/>
      <c r="W167" s="1213" t="n"/>
      <c r="X167" s="1025" t="n"/>
      <c r="Y167" s="1025" t="n"/>
      <c r="Z167" s="1213" t="n"/>
      <c r="AA167" s="1025" t="n"/>
      <c r="AB167" s="1025" t="n"/>
      <c r="AC167" s="1213" t="n"/>
      <c r="AD167" s="1025" t="n"/>
      <c r="AE167" s="1025" t="n"/>
      <c r="AF167" s="1213" t="n"/>
      <c r="AG167" s="1251" t="n"/>
      <c r="AH167" s="1025" t="n"/>
      <c r="AJ167" s="1010" t="n"/>
      <c r="AK167" s="1025" t="n"/>
      <c r="AL167" s="1025" t="n"/>
      <c r="AM167" s="639" t="n"/>
      <c r="AN167" s="1025" t="n"/>
      <c r="AO167" s="1213" t="n"/>
      <c r="AQ167" s="1010" t="n"/>
      <c r="AR167" s="1010" t="n"/>
      <c r="AS167" s="2" t="n"/>
    </row>
    <row r="170">
      <c r="F170" s="1240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10" min="3" max="3"/>
    <col hidden="1" width="8.6640625" customWidth="1" style="1010" min="4" max="4"/>
    <col hidden="1" width="8.6640625" customWidth="1" style="1058" min="5" max="5"/>
    <col hidden="1" width="14.44140625" customWidth="1" style="1010" min="6" max="6"/>
    <col hidden="1" width="8.6640625" customWidth="1" style="1010" min="7" max="7"/>
    <col hidden="1" width="8.6640625" customWidth="1" style="1058" min="8" max="8"/>
    <col hidden="1" width="14.44140625" customWidth="1" style="1010" min="9" max="9"/>
    <col hidden="1" width="8.6640625" customWidth="1" style="1010" min="10" max="10"/>
    <col hidden="1"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6.109375" customWidth="1" style="1010" min="18" max="18"/>
    <col width="8.6640625" customWidth="1" style="1010" min="19" max="19"/>
    <col width="8.6640625" customWidth="1" style="1058" min="20" max="20"/>
    <col width="16.10937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5.6640625" customWidth="1" style="1010" min="39" max="39"/>
    <col width="8.6640625" customWidth="1" style="1010" min="40" max="40"/>
    <col width="8.6640625" customWidth="1" style="1058" min="41" max="41"/>
    <col width="4.6640625" customWidth="1" style="2" min="42" max="42"/>
    <col width="15.6640625" customWidth="1" style="1010" min="43" max="43"/>
    <col width="7.5546875" customWidth="1" style="1010" min="44" max="44"/>
    <col width="7.33203125" customWidth="1" style="2" min="45" max="46"/>
    <col width="11.44140625" customWidth="1" style="2" min="47" max="60"/>
    <col width="11.44140625" customWidth="1" style="2" min="61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PYG  ADULTO MAYOR YUMBO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  <c r="AQ2" s="2" t="n"/>
      <c r="AR2" s="2" t="n"/>
    </row>
    <row r="3" ht="21.75" customHeight="1" s="1016" thickBot="1" thickTop="1">
      <c r="B3" s="522" t="inlineStr">
        <is>
          <t xml:space="preserve">DIAS DE ATENCIÓN </t>
        </is>
      </c>
      <c r="C3" s="535" t="n"/>
      <c r="D3" s="479" t="n"/>
      <c r="E3" s="1060" t="n"/>
      <c r="F3" s="535" t="n"/>
      <c r="G3" s="479" t="n"/>
      <c r="H3" s="1060" t="n"/>
      <c r="I3" s="478" t="n"/>
      <c r="J3" s="479" t="n"/>
      <c r="K3" s="1060" t="n"/>
      <c r="L3" s="478" t="n">
        <v>20</v>
      </c>
      <c r="M3" s="479" t="n"/>
      <c r="N3" s="1060" t="n"/>
      <c r="O3" s="478" t="n">
        <v>20</v>
      </c>
      <c r="P3" s="479" t="n"/>
      <c r="Q3" s="1060" t="n"/>
      <c r="R3" s="478" t="n">
        <v>20</v>
      </c>
      <c r="S3" s="479" t="n"/>
      <c r="T3" s="1060" t="n"/>
      <c r="U3" s="478" t="n">
        <v>20</v>
      </c>
      <c r="V3" s="479" t="n"/>
      <c r="W3" s="1060" t="n"/>
      <c r="X3" s="478" t="n">
        <v>20</v>
      </c>
      <c r="Y3" s="479" t="n"/>
      <c r="Z3" s="1060" t="n"/>
      <c r="AA3" s="478" t="n">
        <v>20</v>
      </c>
      <c r="AB3" s="479" t="n"/>
      <c r="AC3" s="1060" t="n"/>
      <c r="AD3" s="478" t="n">
        <v>20</v>
      </c>
      <c r="AE3" s="479" t="n"/>
      <c r="AF3" s="1060" t="n"/>
      <c r="AG3" s="478" t="n">
        <v>20</v>
      </c>
      <c r="AH3" s="479" t="n"/>
      <c r="AI3" s="1060" t="n"/>
      <c r="AJ3" s="478" t="n">
        <v>20</v>
      </c>
      <c r="AK3" s="479" t="n"/>
      <c r="AL3" s="536" t="n"/>
      <c r="AM3" s="571">
        <f>SUM(C3:AL3)</f>
        <v/>
      </c>
      <c r="AN3" s="572" t="n"/>
      <c r="AO3" s="1061" t="n"/>
      <c r="AQ3" s="621" t="n"/>
      <c r="AR3" s="621" t="n"/>
      <c r="AS3" s="621" t="n"/>
      <c r="AT3" s="822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22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  <c r="AQ4" s="894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  <c r="AQ5" s="299" t="n"/>
      <c r="AR5" s="299" t="n"/>
      <c r="AS5" s="299" t="n"/>
      <c r="AT5" s="821" t="n"/>
    </row>
    <row r="6" ht="15" customFormat="1" customHeight="1" s="223">
      <c r="A6" s="228" t="n"/>
      <c r="B6" s="258" t="n"/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  <c r="AQ6" s="24" t="n"/>
      <c r="AR6" s="24" t="n"/>
      <c r="AS6" s="24" t="n"/>
      <c r="AT6" s="821" t="n"/>
    </row>
    <row r="7" ht="15" customFormat="1" customHeight="1" s="223">
      <c r="A7" s="228" t="n"/>
      <c r="B7" s="258" t="n"/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  <c r="AQ7" s="24" t="n"/>
      <c r="AR7" s="24" t="n"/>
      <c r="AS7" s="24" t="n"/>
      <c r="AT7" s="821" t="n"/>
    </row>
    <row r="8" ht="15" customFormat="1" customHeight="1" s="223">
      <c r="A8" s="228" t="n"/>
      <c r="B8" s="258" t="n"/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  <c r="AQ8" s="24" t="n"/>
      <c r="AR8" s="24" t="n"/>
      <c r="AS8" s="24" t="n"/>
      <c r="AT8" s="821" t="n"/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  <c r="AQ9" s="24" t="n"/>
      <c r="AR9" s="24" t="n"/>
      <c r="AS9" s="24" t="n"/>
      <c r="AT9" s="821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  <c r="AQ10" s="24" t="n"/>
      <c r="AR10" s="24" t="n"/>
      <c r="AS10" s="24" t="n"/>
      <c r="AT10" s="821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  <c r="AQ11" s="349" t="n"/>
      <c r="AR11" s="349" t="n"/>
      <c r="AS11" s="349" t="n"/>
      <c r="AT11" s="821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  <c r="AQ12" s="29">
        <f>SUM(AQ5:AQ11)</f>
        <v/>
      </c>
      <c r="AR12" s="29" t="n"/>
      <c r="AS12" s="29" t="n"/>
      <c r="AT12" s="823" t="n"/>
    </row>
    <row r="13" ht="15" customHeight="1" s="1016">
      <c r="B13" s="523" t="inlineStr">
        <is>
          <t>INGRESOS BRUTOS</t>
        </is>
      </c>
      <c r="C13" s="484">
        <f>C14+C23</f>
        <v/>
      </c>
      <c r="D13" s="485" t="n"/>
      <c r="E13" s="1076" t="n"/>
      <c r="F13" s="484">
        <f>F14+F23</f>
        <v/>
      </c>
      <c r="G13" s="485" t="n"/>
      <c r="H13" s="1076" t="n"/>
      <c r="I13" s="484">
        <f>I14+I23</f>
        <v/>
      </c>
      <c r="J13" s="485" t="n"/>
      <c r="K13" s="1076" t="n"/>
      <c r="L13" s="484">
        <f>L14+L23</f>
        <v/>
      </c>
      <c r="M13" s="485" t="n"/>
      <c r="N13" s="1076" t="n"/>
      <c r="O13" s="484">
        <f>O14+O23</f>
        <v/>
      </c>
      <c r="P13" s="485" t="n"/>
      <c r="Q13" s="1076" t="n"/>
      <c r="R13" s="484">
        <f>R14+R23</f>
        <v/>
      </c>
      <c r="S13" s="485" t="n"/>
      <c r="T13" s="1076" t="n"/>
      <c r="U13" s="484">
        <f>U14+U23</f>
        <v/>
      </c>
      <c r="V13" s="485" t="n"/>
      <c r="W13" s="1076" t="n"/>
      <c r="X13" s="484">
        <f>X14+X23</f>
        <v/>
      </c>
      <c r="Y13" s="485" t="n"/>
      <c r="Z13" s="1076" t="n"/>
      <c r="AA13" s="484">
        <f>AA14+AA23</f>
        <v/>
      </c>
      <c r="AB13" s="485" t="n"/>
      <c r="AC13" s="1076" t="n"/>
      <c r="AD13" s="484">
        <f>AD14+AD23</f>
        <v/>
      </c>
      <c r="AE13" s="485" t="n"/>
      <c r="AF13" s="1076" t="n"/>
      <c r="AG13" s="484">
        <f>AG14+AG23</f>
        <v/>
      </c>
      <c r="AH13" s="485" t="n"/>
      <c r="AI13" s="1076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77" t="n"/>
      <c r="AQ13" s="623">
        <f>AQ14+AQ23</f>
        <v/>
      </c>
      <c r="AR13" s="623" t="n"/>
      <c r="AS13" s="623" t="n"/>
      <c r="AT13" s="698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90">
        <f>R15</f>
        <v/>
      </c>
      <c r="S14" s="3" t="n"/>
      <c r="T14" s="1078" t="n"/>
      <c r="U14" s="90">
        <f>U15</f>
        <v/>
      </c>
      <c r="V14" s="3" t="n"/>
      <c r="W14" s="1078" t="n"/>
      <c r="X14" s="90">
        <f>X15</f>
        <v/>
      </c>
      <c r="Y14" s="761" t="n"/>
      <c r="Z14" s="1184" t="n"/>
      <c r="AA14" s="90">
        <f>AA15</f>
        <v/>
      </c>
      <c r="AB14" s="3" t="n"/>
      <c r="AC14" s="1078" t="n"/>
      <c r="AD14" s="90">
        <f>AD15</f>
        <v/>
      </c>
      <c r="AE14" s="3" t="n"/>
      <c r="AF14" s="1078" t="n"/>
      <c r="AG14" s="90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  <c r="AQ14" s="17">
        <f>AQ15</f>
        <v/>
      </c>
      <c r="AR14" s="17" t="n"/>
      <c r="AS14" s="17" t="n"/>
      <c r="AT14" s="698" t="n"/>
    </row>
    <row r="15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90">
        <f>SUM(R16:R22)</f>
        <v/>
      </c>
      <c r="S15" s="3" t="n"/>
      <c r="T15" s="1078" t="n"/>
      <c r="U15" s="90">
        <f>SUM(U16:U22)</f>
        <v/>
      </c>
      <c r="V15" s="3" t="n"/>
      <c r="W15" s="1078" t="n"/>
      <c r="X15" s="90">
        <f>SUM(X16:X22)</f>
        <v/>
      </c>
      <c r="Y15" s="761" t="n"/>
      <c r="Z15" s="1184">
        <f>X15/X15</f>
        <v/>
      </c>
      <c r="AA15" s="90">
        <f>SUM(AA16:AA22)</f>
        <v/>
      </c>
      <c r="AB15" s="3" t="n"/>
      <c r="AC15" s="1078">
        <f>AA15/AA15</f>
        <v/>
      </c>
      <c r="AD15" s="90">
        <f>SUM(AD16:AD22)</f>
        <v/>
      </c>
      <c r="AE15" s="398" t="n"/>
      <c r="AF15" s="1079">
        <f>AD15/AD15</f>
        <v/>
      </c>
      <c r="AG15" s="90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16">
      <c r="B16" s="262" t="inlineStr">
        <is>
          <t>SUMINISTRO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>
        <f>L16/L5</f>
        <v/>
      </c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81">
        <f>AM16/AM$13</f>
        <v/>
      </c>
      <c r="AQ16" s="81" t="n"/>
      <c r="AR16" s="81">
        <f>AQ16/AQ5</f>
        <v/>
      </c>
      <c r="AS16" s="81" t="n"/>
      <c r="AT16" s="821" t="n"/>
    </row>
    <row r="17" ht="15" customHeight="1" s="1016">
      <c r="B17" s="104" t="n"/>
      <c r="C17" s="25" t="n"/>
      <c r="D17" s="43" t="n"/>
      <c r="E17" s="1070" t="n"/>
      <c r="F17" s="25" t="n"/>
      <c r="G17" s="43" t="n"/>
      <c r="H17" s="1070" t="n"/>
      <c r="I17" s="91" t="n"/>
      <c r="J17" s="92" t="n"/>
      <c r="K17" s="1070" t="n"/>
      <c r="L17" s="91" t="n"/>
      <c r="M17" s="92" t="n"/>
      <c r="N17" s="1070" t="n"/>
      <c r="O17" s="91" t="n"/>
      <c r="P17" s="92" t="n"/>
      <c r="Q17" s="1070" t="n"/>
      <c r="R17" s="91" t="n"/>
      <c r="S17" s="92" t="n"/>
      <c r="T17" s="1070" t="n"/>
      <c r="U17" s="91" t="n"/>
      <c r="V17" s="92" t="n"/>
      <c r="W17" s="1070" t="n"/>
      <c r="X17" s="91" t="n"/>
      <c r="Y17" s="92" t="n"/>
      <c r="Z17" s="1070" t="n"/>
      <c r="AA17" s="91" t="n"/>
      <c r="AB17" s="92" t="n"/>
      <c r="AC17" s="1070" t="n"/>
      <c r="AD17" s="91" t="n"/>
      <c r="AE17" s="92" t="n"/>
      <c r="AF17" s="1070" t="n"/>
      <c r="AG17" s="91" t="n"/>
      <c r="AH17" s="92" t="n"/>
      <c r="AI17" s="1070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71">
        <f>AM17/AM$13</f>
        <v/>
      </c>
      <c r="AQ17" s="24" t="n"/>
      <c r="AR17" s="24" t="n"/>
      <c r="AS17" s="24" t="n"/>
      <c r="AT17" s="821" t="n"/>
    </row>
    <row r="18" ht="15" customHeight="1" s="1016">
      <c r="B18" s="104" t="n"/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75" t="n"/>
      <c r="M18" s="43" t="n"/>
      <c r="N18" s="1070" t="n"/>
      <c r="O18" s="75" t="n"/>
      <c r="P18" s="43" t="n"/>
      <c r="Q18" s="1070" t="n"/>
      <c r="R18" s="75" t="n"/>
      <c r="S18" s="43" t="n"/>
      <c r="T18" s="1070" t="n"/>
      <c r="U18" s="75" t="n"/>
      <c r="V18" s="43" t="n"/>
      <c r="W18" s="1070" t="n"/>
      <c r="X18" s="75" t="n"/>
      <c r="Y18" s="43" t="n"/>
      <c r="Z18" s="1070" t="n"/>
      <c r="AA18" s="75" t="n"/>
      <c r="AB18" s="43" t="n"/>
      <c r="AC18" s="1070" t="n"/>
      <c r="AD18" s="75" t="n"/>
      <c r="AE18" s="43" t="n"/>
      <c r="AF18" s="1070" t="n"/>
      <c r="AG18" s="75" t="n"/>
      <c r="AH18" s="43" t="n"/>
      <c r="AI18" s="1070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71">
        <f>AM18/AM$13</f>
        <v/>
      </c>
      <c r="AQ18" s="24" t="n"/>
      <c r="AR18" s="24" t="n"/>
      <c r="AS18" s="24" t="n"/>
      <c r="AT18" s="821" t="n"/>
    </row>
    <row r="19" hidden="1" ht="15" customHeight="1" s="1016">
      <c r="B19" s="104" t="n"/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25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  <c r="AQ19" s="24" t="n"/>
      <c r="AR19" s="43" t="n"/>
      <c r="AS19" s="24" t="n"/>
      <c r="AT19" s="821" t="n"/>
    </row>
    <row r="20" hidden="1" ht="15" customHeight="1" s="1016">
      <c r="B20" s="104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  <c r="AQ20" s="24" t="n"/>
      <c r="AR20" s="24" t="n"/>
      <c r="AS20" s="24" t="n"/>
      <c r="AT20" s="821" t="n"/>
    </row>
    <row r="21" hidden="1" ht="15" customHeight="1" s="1016">
      <c r="B21" s="104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25" t="n"/>
      <c r="M21" s="43" t="n"/>
      <c r="N21" s="1070" t="n"/>
      <c r="O21" s="25" t="n"/>
      <c r="P21" s="43" t="n"/>
      <c r="Q21" s="1070" t="n"/>
      <c r="R21" s="25" t="n"/>
      <c r="S21" s="43" t="n"/>
      <c r="T21" s="1070" t="n"/>
      <c r="U21" s="25" t="n"/>
      <c r="V21" s="43" t="n"/>
      <c r="W21" s="1070" t="n"/>
      <c r="X21" s="25" t="n"/>
      <c r="Y21" s="43" t="n"/>
      <c r="Z21" s="1070" t="n"/>
      <c r="AA21" s="25" t="n"/>
      <c r="AB21" s="43" t="n"/>
      <c r="AC21" s="1070" t="n"/>
      <c r="AD21" s="25" t="n"/>
      <c r="AE21" s="43" t="n"/>
      <c r="AF21" s="1070" t="n"/>
      <c r="AG21" s="25" t="n"/>
      <c r="AH21" s="43" t="n"/>
      <c r="AI21" s="1070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71" t="n"/>
      <c r="AQ21" s="24" t="n"/>
      <c r="AR21" s="24" t="n"/>
      <c r="AS21" s="24" t="n"/>
      <c r="AT21" s="821" t="n"/>
    </row>
    <row r="22" hidden="1" ht="15" customHeight="1" s="1016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447" t="n"/>
      <c r="M22" s="42" t="n"/>
      <c r="N22" s="1082" t="n"/>
      <c r="O22" s="22" t="n"/>
      <c r="P22" s="42" t="n"/>
      <c r="Q22" s="1082" t="n"/>
      <c r="R22" s="22" t="n"/>
      <c r="S22" s="42" t="n"/>
      <c r="T22" s="1082" t="n"/>
      <c r="U22" s="22" t="n"/>
      <c r="V22" s="42" t="n"/>
      <c r="W22" s="1082" t="n"/>
      <c r="X22" s="22" t="n"/>
      <c r="Y22" s="42" t="n"/>
      <c r="Z22" s="1082" t="n"/>
      <c r="AA22" s="22" t="n"/>
      <c r="AB22" s="42" t="n"/>
      <c r="AC22" s="1082" t="n"/>
      <c r="AD22" s="22" t="n"/>
      <c r="AE22" s="42" t="n"/>
      <c r="AF22" s="1082" t="n"/>
      <c r="AG22" s="22" t="n"/>
      <c r="AH22" s="42" t="n"/>
      <c r="AI22" s="1082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83" t="n"/>
      <c r="AQ22" s="23" t="n"/>
      <c r="AR22" s="23" t="n"/>
      <c r="AS22" s="23" t="n"/>
      <c r="AT22" s="821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90">
        <f>R24</f>
        <v/>
      </c>
      <c r="S23" s="3" t="n"/>
      <c r="T23" s="1078" t="n"/>
      <c r="U23" s="90">
        <f>U24</f>
        <v/>
      </c>
      <c r="V23" s="3" t="n"/>
      <c r="W23" s="1078" t="n"/>
      <c r="X23" s="90">
        <f>X24</f>
        <v/>
      </c>
      <c r="Y23" s="761" t="n"/>
      <c r="Z23" s="1184" t="n"/>
      <c r="AA23" s="90">
        <f>AA24</f>
        <v/>
      </c>
      <c r="AB23" s="3" t="n"/>
      <c r="AC23" s="1078" t="n"/>
      <c r="AD23" s="90" t="n"/>
      <c r="AE23" s="3" t="n"/>
      <c r="AF23" s="1078" t="n"/>
      <c r="AG23" s="90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  <c r="AQ23" s="17" t="n"/>
      <c r="AR23" s="17" t="n"/>
      <c r="AS23" s="17" t="n"/>
      <c r="AT23" s="698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90">
        <f>SUM(R25:R27)</f>
        <v/>
      </c>
      <c r="S24" s="3" t="n"/>
      <c r="T24" s="1078" t="n"/>
      <c r="U24" s="90">
        <f>SUM(U25:U27)</f>
        <v/>
      </c>
      <c r="V24" s="3" t="n"/>
      <c r="W24" s="1078" t="n"/>
      <c r="X24" s="90">
        <f>SUM(X25:X27)</f>
        <v/>
      </c>
      <c r="Y24" s="761" t="n"/>
      <c r="Z24" s="1184" t="n"/>
      <c r="AA24" s="90">
        <f>SUM(AA25:AA27)</f>
        <v/>
      </c>
      <c r="AB24" s="3" t="n"/>
      <c r="AC24" s="1078" t="n"/>
      <c r="AD24" s="90">
        <f>SUM(AD25:AD27)</f>
        <v/>
      </c>
      <c r="AE24" s="3" t="n"/>
      <c r="AF24" s="1078" t="n"/>
      <c r="AG24" s="90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  <c r="AQ24" s="17" t="n"/>
      <c r="AR24" s="17" t="n"/>
      <c r="AS24" s="17" t="n"/>
      <c r="AT24" s="698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  <c r="AQ25" s="33" t="n"/>
      <c r="AR25" s="33" t="n"/>
      <c r="AS25" s="33" t="n"/>
      <c r="AT25" s="821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  <c r="AQ26" s="33" t="n"/>
      <c r="AR26" s="33" t="n"/>
      <c r="AS26" s="33" t="n"/>
      <c r="AT26" s="821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  <c r="AQ27" s="33" t="n"/>
      <c r="AR27" s="33" t="n"/>
      <c r="AS27" s="33" t="n"/>
      <c r="AT27" s="821" t="n"/>
    </row>
    <row r="28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90">
        <f>+R29</f>
        <v/>
      </c>
      <c r="S28" s="3" t="n"/>
      <c r="T28" s="1078" t="n"/>
      <c r="U28" s="90">
        <f>+U29</f>
        <v/>
      </c>
      <c r="V28" s="3" t="n"/>
      <c r="W28" s="1078" t="n"/>
      <c r="X28" s="90">
        <f>+X29</f>
        <v/>
      </c>
      <c r="Y28" s="761" t="n"/>
      <c r="Z28" s="1184" t="n"/>
      <c r="AA28" s="90">
        <f>+AA29</f>
        <v/>
      </c>
      <c r="AB28" s="3" t="n"/>
      <c r="AC28" s="1078" t="n"/>
      <c r="AD28" s="90">
        <f>+AD29</f>
        <v/>
      </c>
      <c r="AE28" s="3" t="n"/>
      <c r="AF28" s="1078" t="n"/>
      <c r="AG28" s="90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  <c r="AQ28" s="17">
        <f>+AQ29</f>
        <v/>
      </c>
      <c r="AR28" s="17" t="n"/>
      <c r="AS28" s="17" t="n"/>
      <c r="AT28" s="698" t="n"/>
    </row>
    <row r="29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SUM(L30:L37)</f>
        <v/>
      </c>
      <c r="M29" s="3" t="n"/>
      <c r="N29" s="1079">
        <f>L29/L13</f>
        <v/>
      </c>
      <c r="O29" s="49">
        <f>SUM(O30:O41)</f>
        <v/>
      </c>
      <c r="P29" s="3" t="n"/>
      <c r="Q29" s="1078" t="n"/>
      <c r="R29" s="90">
        <f>SUM(R30:R37)</f>
        <v/>
      </c>
      <c r="S29" s="3" t="n"/>
      <c r="T29" s="1078">
        <f>R29/R13</f>
        <v/>
      </c>
      <c r="U29" s="90">
        <f>SUM(U30:U37)</f>
        <v/>
      </c>
      <c r="V29" s="3" t="n"/>
      <c r="W29" s="1078">
        <f>U29/U13</f>
        <v/>
      </c>
      <c r="X29" s="90">
        <f>SUM(X30:X37)</f>
        <v/>
      </c>
      <c r="Y29" s="761" t="n"/>
      <c r="Z29" s="1184">
        <f>X29/X13</f>
        <v/>
      </c>
      <c r="AA29" s="90">
        <f>SUM(AA30:AA37)</f>
        <v/>
      </c>
      <c r="AB29" s="3" t="n"/>
      <c r="AC29" s="1078">
        <f>AA29/AA13</f>
        <v/>
      </c>
      <c r="AD29" s="90">
        <f>SUM(AD30:AD37)</f>
        <v/>
      </c>
      <c r="AE29" s="3" t="n"/>
      <c r="AF29" s="1078">
        <f>AD29/AD13</f>
        <v/>
      </c>
      <c r="AG29" s="90">
        <f>SUM(AG30:AG37)</f>
        <v/>
      </c>
      <c r="AH29" s="3" t="n"/>
      <c r="AI29" s="1078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16">
      <c r="A30" s="229" t="n"/>
      <c r="B30" s="262" t="inlineStr">
        <is>
          <t>Prohospitales 1%</t>
        </is>
      </c>
      <c r="C30" s="1086" t="n"/>
      <c r="D30" s="79" t="n"/>
      <c r="E30" s="1080" t="n"/>
      <c r="F30" s="1086">
        <f>F13*1%</f>
        <v/>
      </c>
      <c r="G30" s="79" t="n"/>
      <c r="H30" s="1080" t="n"/>
      <c r="I30" s="1086">
        <f>I13*1%</f>
        <v/>
      </c>
      <c r="J30" s="79" t="n"/>
      <c r="K30" s="1080" t="n"/>
      <c r="L30" s="1086">
        <f>L13*1%</f>
        <v/>
      </c>
      <c r="M30" s="79" t="n"/>
      <c r="N30" s="1080" t="n"/>
      <c r="O30" s="1086">
        <f>O13*1%</f>
        <v/>
      </c>
      <c r="P30" s="79" t="n"/>
      <c r="Q30" s="1080" t="n"/>
      <c r="R30" s="1086">
        <f>R13*1%</f>
        <v/>
      </c>
      <c r="S30" s="79" t="n"/>
      <c r="T30" s="1080" t="n"/>
      <c r="U30" s="1086">
        <f>U13*1%</f>
        <v/>
      </c>
      <c r="V30" s="79" t="n"/>
      <c r="W30" s="1080" t="n"/>
      <c r="X30" s="1086">
        <f>X13*1%</f>
        <v/>
      </c>
      <c r="Y30" s="79" t="n"/>
      <c r="Z30" s="1080" t="n"/>
      <c r="AA30" s="1086">
        <f>AA13*1%</f>
        <v/>
      </c>
      <c r="AB30" s="79" t="n"/>
      <c r="AC30" s="1080" t="n"/>
      <c r="AD30" s="1086">
        <f>AD13*1%</f>
        <v/>
      </c>
      <c r="AE30" s="79" t="n"/>
      <c r="AF30" s="1080" t="n"/>
      <c r="AG30" s="1086">
        <f>AG13*1%</f>
        <v/>
      </c>
      <c r="AH30" s="79" t="n"/>
      <c r="AI30" s="1080" t="n"/>
      <c r="AJ30" s="1086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081" t="n"/>
      <c r="AP30" s="108" t="n"/>
      <c r="AQ30" s="737" t="n"/>
      <c r="AR30" s="737" t="n"/>
      <c r="AS30" s="737" t="n"/>
      <c r="AT30" s="821" t="n"/>
    </row>
    <row r="31" outlineLevel="1" ht="15" customHeight="1" s="1016">
      <c r="B31" s="105" t="inlineStr">
        <is>
          <t>Rete Ica 0,6%</t>
        </is>
      </c>
      <c r="C31" s="1087" t="n"/>
      <c r="D31" s="43" t="n"/>
      <c r="E31" s="1070" t="n"/>
      <c r="F31" s="1087">
        <f>F13*0.6%</f>
        <v/>
      </c>
      <c r="G31" s="43" t="n"/>
      <c r="H31" s="1070" t="n"/>
      <c r="I31" s="1087">
        <f>I13*0.6%</f>
        <v/>
      </c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  <c r="AQ31" s="738" t="n"/>
      <c r="AR31" s="738" t="n"/>
      <c r="AS31" s="738" t="n"/>
      <c r="AT31" s="821" t="n"/>
    </row>
    <row r="32" outlineLevel="1" ht="15" customHeight="1" s="1016">
      <c r="B32" s="105" t="inlineStr">
        <is>
          <t>Procultura 0.5%</t>
        </is>
      </c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>
        <f>L13*0.5%</f>
        <v/>
      </c>
      <c r="M32" s="43" t="n"/>
      <c r="N32" s="1070" t="n"/>
      <c r="O32" s="1087">
        <f>O13*0.5%</f>
        <v/>
      </c>
      <c r="P32" s="43" t="n"/>
      <c r="Q32" s="1070" t="n"/>
      <c r="R32" s="1087">
        <f>R13*0.5%</f>
        <v/>
      </c>
      <c r="S32" s="43" t="n"/>
      <c r="T32" s="1070" t="n"/>
      <c r="U32" s="1087">
        <f>U13*0.5%</f>
        <v/>
      </c>
      <c r="V32" s="43" t="n"/>
      <c r="W32" s="1070" t="n"/>
      <c r="X32" s="1087">
        <f>X13*0.5%</f>
        <v/>
      </c>
      <c r="Y32" s="43" t="n"/>
      <c r="Z32" s="1070" t="n"/>
      <c r="AA32" s="1087">
        <f>AA13*0.5%</f>
        <v/>
      </c>
      <c r="AB32" s="43" t="n"/>
      <c r="AC32" s="1070" t="n"/>
      <c r="AD32" s="1087">
        <f>AD13*0.5%</f>
        <v/>
      </c>
      <c r="AE32" s="43" t="n"/>
      <c r="AF32" s="1070" t="n"/>
      <c r="AG32" s="1087">
        <f>AG13*0.5%</f>
        <v/>
      </c>
      <c r="AH32" s="43" t="n"/>
      <c r="AI32" s="1070" t="n"/>
      <c r="AJ32" s="1087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71" t="n"/>
      <c r="AQ32" s="24" t="n"/>
      <c r="AR32" s="24" t="n"/>
      <c r="AS32" s="24" t="n"/>
      <c r="AT32" s="821" t="n"/>
    </row>
    <row r="33" outlineLevel="1" ht="15" customHeight="1" s="1016">
      <c r="B33" s="105" t="inlineStr">
        <is>
          <t>Adulto Mayor 2%</t>
        </is>
      </c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1087">
        <f>L13*2%</f>
        <v/>
      </c>
      <c r="M33" s="43" t="n"/>
      <c r="N33" s="1070" t="n"/>
      <c r="O33" s="1087">
        <f>O13*2%</f>
        <v/>
      </c>
      <c r="P33" s="43" t="n"/>
      <c r="Q33" s="1070" t="n"/>
      <c r="R33" s="1087">
        <f>R13*2%</f>
        <v/>
      </c>
      <c r="S33" s="43" t="n"/>
      <c r="T33" s="1070" t="n"/>
      <c r="U33" s="1087">
        <f>U13*2%</f>
        <v/>
      </c>
      <c r="V33" s="43" t="n"/>
      <c r="W33" s="1070" t="n"/>
      <c r="X33" s="1087">
        <f>X13*2%</f>
        <v/>
      </c>
      <c r="Y33" s="43" t="n"/>
      <c r="Z33" s="1070" t="n"/>
      <c r="AA33" s="1087">
        <f>AA13*2%</f>
        <v/>
      </c>
      <c r="AB33" s="43" t="n"/>
      <c r="AC33" s="1070" t="n"/>
      <c r="AD33" s="1087">
        <f>AD13*2%</f>
        <v/>
      </c>
      <c r="AE33" s="43" t="n"/>
      <c r="AF33" s="1070" t="n"/>
      <c r="AG33" s="1087">
        <f>AG13*2%</f>
        <v/>
      </c>
      <c r="AH33" s="43" t="n"/>
      <c r="AI33" s="1070" t="n"/>
      <c r="AJ33" s="1087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71" t="n"/>
      <c r="AQ33" s="24" t="n"/>
      <c r="AR33" s="24" t="n"/>
      <c r="AS33" s="24" t="n"/>
      <c r="AT33" s="821" t="n"/>
    </row>
    <row r="34" outlineLevel="1" ht="15" customHeight="1" s="1016">
      <c r="B34" s="105" t="inlineStr">
        <is>
          <t>Prodeporte 2,5%</t>
        </is>
      </c>
      <c r="C34" s="25">
        <f>(C$13*10%)*3.5%</f>
        <v/>
      </c>
      <c r="D34" s="43" t="n"/>
      <c r="E34" s="1070" t="n"/>
      <c r="F34" s="25">
        <f>F13*2.5%</f>
        <v/>
      </c>
      <c r="G34" s="43" t="n"/>
      <c r="H34" s="1070" t="n"/>
      <c r="I34" s="25">
        <f>I13*2.5%</f>
        <v/>
      </c>
      <c r="J34" s="43" t="n"/>
      <c r="K34" s="1070" t="n"/>
      <c r="L34" s="25">
        <f>L13*2.5%</f>
        <v/>
      </c>
      <c r="M34" s="43" t="n"/>
      <c r="N34" s="1070" t="n"/>
      <c r="O34" s="25">
        <f>O13*2.5%</f>
        <v/>
      </c>
      <c r="P34" s="43" t="n"/>
      <c r="Q34" s="1070" t="n"/>
      <c r="R34" s="25">
        <f>R13*2.5%</f>
        <v/>
      </c>
      <c r="S34" s="43" t="n"/>
      <c r="T34" s="1070" t="n"/>
      <c r="U34" s="25">
        <f>U13*2.5%</f>
        <v/>
      </c>
      <c r="V34" s="43" t="n"/>
      <c r="W34" s="1070" t="n"/>
      <c r="X34" s="25">
        <f>X13*2.5%</f>
        <v/>
      </c>
      <c r="Y34" s="43" t="n"/>
      <c r="Z34" s="1070" t="n"/>
      <c r="AA34" s="25">
        <f>AA13*2.5%</f>
        <v/>
      </c>
      <c r="AB34" s="43" t="n"/>
      <c r="AC34" s="1070" t="n"/>
      <c r="AD34" s="25">
        <f>AD13*2.5%</f>
        <v/>
      </c>
      <c r="AE34" s="43" t="n"/>
      <c r="AF34" s="1070" t="n"/>
      <c r="AG34" s="25">
        <f>AG13*2.5%</f>
        <v/>
      </c>
      <c r="AH34" s="43" t="n"/>
      <c r="AI34" s="1070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71" t="n"/>
      <c r="AQ34" s="24" t="n"/>
      <c r="AR34" s="24" t="n"/>
      <c r="AS34" s="24" t="n"/>
      <c r="AT34" s="821" t="n"/>
    </row>
    <row r="35" outlineLevel="1" ht="15" customHeight="1" s="1016">
      <c r="A35" s="229" t="n"/>
      <c r="B35" s="335" t="inlineStr">
        <is>
          <t>2% Juzgado de Familia</t>
        </is>
      </c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>
        <f>L13*2%</f>
        <v/>
      </c>
      <c r="M35" s="92" t="n"/>
      <c r="N35" s="1088" t="n"/>
      <c r="O35" s="91">
        <f>O13*2%</f>
        <v/>
      </c>
      <c r="P35" s="92" t="n"/>
      <c r="Q35" s="1088" t="n"/>
      <c r="R35" s="91">
        <f>R13*2%</f>
        <v/>
      </c>
      <c r="S35" s="92" t="n"/>
      <c r="T35" s="1088" t="n"/>
      <c r="U35" s="91">
        <f>U13*2%</f>
        <v/>
      </c>
      <c r="V35" s="92" t="n"/>
      <c r="W35" s="1088" t="n"/>
      <c r="X35" s="91">
        <f>X13*2%</f>
        <v/>
      </c>
      <c r="Y35" s="92" t="n"/>
      <c r="Z35" s="1088" t="n"/>
      <c r="AA35" s="91">
        <f>AA13*2%</f>
        <v/>
      </c>
      <c r="AB35" s="92" t="n"/>
      <c r="AC35" s="1088" t="n"/>
      <c r="AD35" s="91">
        <f>AD13*2%</f>
        <v/>
      </c>
      <c r="AE35" s="92" t="n"/>
      <c r="AF35" s="1088" t="n"/>
      <c r="AG35" s="91">
        <f>AG13*2%</f>
        <v/>
      </c>
      <c r="AH35" s="92" t="n"/>
      <c r="AI35" s="1088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89" t="n"/>
      <c r="AP35" s="108" t="n"/>
      <c r="AQ35" s="133" t="n"/>
      <c r="AR35" s="133" t="n"/>
      <c r="AS35" s="133" t="n"/>
      <c r="AT35" s="821" t="n"/>
    </row>
    <row r="36" outlineLevel="1" ht="15" customHeight="1" s="1016">
      <c r="A36" s="229" t="n"/>
      <c r="B36" s="105" t="inlineStr">
        <is>
          <t>0,5% Propacifico</t>
        </is>
      </c>
      <c r="C36" s="833" t="n"/>
      <c r="D36" s="834" t="n"/>
      <c r="E36" s="1252" t="n"/>
      <c r="F36" s="833" t="n"/>
      <c r="G36" s="834" t="n"/>
      <c r="H36" s="1252" t="n"/>
      <c r="I36" s="25" t="n"/>
      <c r="J36" s="43" t="n"/>
      <c r="K36" s="1070" t="n"/>
      <c r="L36" s="25">
        <f>L14*0.5%</f>
        <v/>
      </c>
      <c r="M36" s="43" t="n"/>
      <c r="N36" s="1070" t="n"/>
      <c r="O36" s="25">
        <f>O14*0.5%</f>
        <v/>
      </c>
      <c r="P36" s="43" t="n"/>
      <c r="Q36" s="1070" t="n"/>
      <c r="R36" s="25">
        <f>R14*0.5%</f>
        <v/>
      </c>
      <c r="S36" s="43" t="n"/>
      <c r="T36" s="1070" t="n"/>
      <c r="U36" s="25">
        <f>U14*0.5%</f>
        <v/>
      </c>
      <c r="V36" s="43" t="n"/>
      <c r="W36" s="1070" t="n"/>
      <c r="X36" s="25">
        <f>X14*0.5%</f>
        <v/>
      </c>
      <c r="Y36" s="43" t="n"/>
      <c r="Z36" s="1070" t="n"/>
      <c r="AA36" s="25">
        <f>AA14*0.5%</f>
        <v/>
      </c>
      <c r="AB36" s="43" t="n"/>
      <c r="AC36" s="1070" t="n"/>
      <c r="AD36" s="25">
        <f>AD14*0.5%</f>
        <v/>
      </c>
      <c r="AE36" s="43" t="n"/>
      <c r="AF36" s="1070" t="n"/>
      <c r="AG36" s="25">
        <f>AG14*0.5%</f>
        <v/>
      </c>
      <c r="AH36" s="43" t="n"/>
      <c r="AI36" s="1070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71" t="n"/>
      <c r="AP36" s="108" t="n"/>
      <c r="AQ36" s="24" t="n"/>
      <c r="AR36" s="24" t="n"/>
      <c r="AS36" s="24" t="n"/>
      <c r="AT36" s="821" t="n"/>
    </row>
    <row r="37" outlineLevel="1" ht="15" customHeight="1" s="1016">
      <c r="B37" s="30" t="inlineStr">
        <is>
          <t>Impuesto de timbre 1%</t>
        </is>
      </c>
      <c r="C37" s="836" t="n"/>
      <c r="D37" s="837" t="n"/>
      <c r="E37" s="1253" t="n"/>
      <c r="F37" s="836" t="n"/>
      <c r="G37" s="837" t="n"/>
      <c r="H37" s="1253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083" t="n"/>
      <c r="AQ37" s="23" t="n"/>
      <c r="AR37" s="23" t="n"/>
      <c r="AS37" s="23" t="n"/>
      <c r="AT37" s="821" t="n"/>
    </row>
    <row r="38" hidden="1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  <c r="AQ38" s="23" t="n"/>
      <c r="AR38" s="23" t="n"/>
      <c r="AS38" s="23" t="n"/>
      <c r="AT38" s="821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  <c r="AQ39" s="23" t="n"/>
      <c r="AR39" s="23" t="n"/>
      <c r="AS39" s="23" t="n"/>
      <c r="AT39" s="821" t="n"/>
    </row>
    <row r="40" hidden="1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  <c r="AQ40" s="23" t="n"/>
      <c r="AR40" s="23" t="n"/>
      <c r="AS40" s="23" t="n"/>
      <c r="AT40" s="821" t="n"/>
    </row>
    <row r="41" hidden="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  <c r="AQ41" s="23" t="n"/>
      <c r="AR41" s="23" t="n"/>
      <c r="AS41" s="23" t="n"/>
      <c r="AT41" s="821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1090" t="n"/>
      <c r="F42" s="487">
        <f>+F14+F23-F28</f>
        <v/>
      </c>
      <c r="G42" s="488" t="n"/>
      <c r="H42" s="1090" t="n"/>
      <c r="I42" s="487">
        <f>+I14+I23-I28</f>
        <v/>
      </c>
      <c r="J42" s="488" t="n"/>
      <c r="K42" s="1090" t="n"/>
      <c r="L42" s="487">
        <f>+L14+L23-L28</f>
        <v/>
      </c>
      <c r="M42" s="488" t="n"/>
      <c r="N42" s="1090" t="n"/>
      <c r="O42" s="487">
        <f>+O14+O23-O28</f>
        <v/>
      </c>
      <c r="P42" s="488" t="n"/>
      <c r="Q42" s="1090" t="n"/>
      <c r="R42" s="487">
        <f>+R14+R23-R28</f>
        <v/>
      </c>
      <c r="S42" s="488" t="n"/>
      <c r="T42" s="1090" t="n"/>
      <c r="U42" s="487">
        <f>+U14+U23-U28</f>
        <v/>
      </c>
      <c r="V42" s="488" t="n"/>
      <c r="W42" s="1090" t="n"/>
      <c r="X42" s="487">
        <f>+X14+X23-X28</f>
        <v/>
      </c>
      <c r="Y42" s="488" t="n"/>
      <c r="Z42" s="1090" t="n"/>
      <c r="AA42" s="487">
        <f>+AA14+AA23-AA28</f>
        <v/>
      </c>
      <c r="AB42" s="488" t="n"/>
      <c r="AC42" s="1090" t="n"/>
      <c r="AD42" s="487">
        <f>+AD14+AD23-AD28</f>
        <v/>
      </c>
      <c r="AE42" s="488" t="n"/>
      <c r="AF42" s="1090" t="n"/>
      <c r="AG42" s="487">
        <f>+AG14+AG23-AG28</f>
        <v/>
      </c>
      <c r="AH42" s="488" t="n"/>
      <c r="AI42" s="1090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091" t="n"/>
      <c r="AQ42" s="624">
        <f>+AQ14+AQ23-AQ28</f>
        <v/>
      </c>
      <c r="AR42" s="624" t="n"/>
      <c r="AS42" s="624" t="n"/>
      <c r="AT42" s="698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254">
        <f>(L46+L61)/(L13)</f>
        <v/>
      </c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2" t="n"/>
      <c r="AA43" s="2" t="n"/>
      <c r="AB43" s="2" t="n"/>
      <c r="AC43" s="1092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254">
        <f>(AM46+AM61)/(AM13)</f>
        <v/>
      </c>
      <c r="AQ43" s="136" t="n"/>
      <c r="AR43" s="2" t="n"/>
      <c r="AS43" s="1250">
        <f>(AQ46+AQ61)/(AQ13-AQ20-AQ21-AQ22)</f>
        <v/>
      </c>
      <c r="AT43" s="1127" t="n"/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>
        <f>F44/F$13</f>
        <v/>
      </c>
      <c r="I44" s="490">
        <f>+I45+I60+I78</f>
        <v/>
      </c>
      <c r="J44" s="491" t="n"/>
      <c r="K44" s="1094">
        <f>I44/I$13</f>
        <v/>
      </c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>
        <f>O44/O$13</f>
        <v/>
      </c>
      <c r="R44" s="490">
        <f>+R45+R60+R78</f>
        <v/>
      </c>
      <c r="S44" s="491" t="n"/>
      <c r="T44" s="1094">
        <f>R44/R$13</f>
        <v/>
      </c>
      <c r="U44" s="490">
        <f>+U45+U60+U78</f>
        <v/>
      </c>
      <c r="V44" s="491" t="n"/>
      <c r="W44" s="1094">
        <f>U44/U$13</f>
        <v/>
      </c>
      <c r="X44" s="490">
        <f>+X45+X60+X78</f>
        <v/>
      </c>
      <c r="Y44" s="491" t="n"/>
      <c r="Z44" s="1094">
        <f>X44/X$13</f>
        <v/>
      </c>
      <c r="AA44" s="490">
        <f>+AA45+AA60+AA78</f>
        <v/>
      </c>
      <c r="AB44" s="491" t="n"/>
      <c r="AC44" s="1094">
        <f>AA44/AA$13</f>
        <v/>
      </c>
      <c r="AD44" s="490">
        <f>+AD45+AD60+AD78</f>
        <v/>
      </c>
      <c r="AE44" s="491" t="n"/>
      <c r="AF44" s="1094">
        <f>AD44/AD$13</f>
        <v/>
      </c>
      <c r="AG44" s="490">
        <f>+AG45+AG60+AG78</f>
        <v/>
      </c>
      <c r="AH44" s="491" t="n"/>
      <c r="AI44" s="1094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095">
        <f>AM44/AM$13</f>
        <v/>
      </c>
      <c r="AQ44" s="625">
        <f>+AQ45+AQ60+AQ78</f>
        <v/>
      </c>
      <c r="AR44" s="625" t="n"/>
      <c r="AS44" s="1129">
        <f>AQ44/AQ$13</f>
        <v/>
      </c>
      <c r="AT44" s="1125" t="n"/>
    </row>
    <row r="45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 t="n"/>
      <c r="O45" s="49">
        <f>+O46+O57</f>
        <v/>
      </c>
      <c r="P45" s="3" t="n"/>
      <c r="Q45" s="1078" t="n"/>
      <c r="R45" s="49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 t="n"/>
      <c r="AA45" s="49">
        <f>+AA46+AA57</f>
        <v/>
      </c>
      <c r="AB45" s="3" t="n"/>
      <c r="AC45" s="1078" t="n"/>
      <c r="AD45" s="90">
        <f>+AD46+AD57</f>
        <v/>
      </c>
      <c r="AE45" s="3" t="n"/>
      <c r="AF45" s="1078" t="n"/>
      <c r="AG45" s="49">
        <f>+AG46+AG57</f>
        <v/>
      </c>
      <c r="AH45" s="3" t="n"/>
      <c r="AI45" s="1078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  <c r="AQ45" s="17">
        <f>+AQ46+AQ57</f>
        <v/>
      </c>
      <c r="AR45" s="17" t="n"/>
      <c r="AS45" s="1130">
        <f>AQ45/AQ13</f>
        <v/>
      </c>
      <c r="AT45" s="1125" t="n"/>
    </row>
    <row r="46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</f>
        <v/>
      </c>
      <c r="G46" s="67" t="n"/>
      <c r="H46" s="1096" t="n"/>
      <c r="I46" s="37">
        <f>SUM(I47:I56)</f>
        <v/>
      </c>
      <c r="J46" s="67" t="n"/>
      <c r="K46" s="1096" t="n"/>
      <c r="L46" s="37">
        <f>SUM(L47:L56)</f>
        <v/>
      </c>
      <c r="M46" s="67" t="n"/>
      <c r="N46" s="1096" t="n"/>
      <c r="O46" s="37">
        <f>SUM(O47:O56)</f>
        <v/>
      </c>
      <c r="P46" s="67" t="n"/>
      <c r="Q46" s="1096" t="n"/>
      <c r="R46" s="46">
        <f>SUM(R47:R56)</f>
        <v/>
      </c>
      <c r="S46" s="67" t="n"/>
      <c r="T46" s="1096" t="n"/>
      <c r="U46" s="37">
        <f>SUM(U47:U56)</f>
        <v/>
      </c>
      <c r="V46" s="67" t="n"/>
      <c r="W46" s="1096" t="n"/>
      <c r="X46" s="37">
        <f>SUM(X47:X56)</f>
        <v/>
      </c>
      <c r="Y46" s="67" t="n"/>
      <c r="Z46" s="1096" t="n"/>
      <c r="AA46" s="37">
        <f>SUM(AA47:AA56)</f>
        <v/>
      </c>
      <c r="AB46" s="67">
        <f>AA46/AA5</f>
        <v/>
      </c>
      <c r="AC46" s="1096" t="n"/>
      <c r="AD46" s="37">
        <f>SUM(AD47:AD56)</f>
        <v/>
      </c>
      <c r="AE46" s="67">
        <f>AD46/AD5</f>
        <v/>
      </c>
      <c r="AF46" s="1096" t="n"/>
      <c r="AG46" s="37">
        <f>SUM(AG47:AG56)</f>
        <v/>
      </c>
      <c r="AH46" s="67">
        <f>AG46/AG5</f>
        <v/>
      </c>
      <c r="AI46" s="1096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  <c r="AQ46" s="38">
        <f>SUM(AQ47:AQ56)</f>
        <v/>
      </c>
      <c r="AR46" s="38" t="n"/>
      <c r="AS46" s="1131" t="n"/>
      <c r="AT46" s="1255" t="n"/>
    </row>
    <row r="47" ht="15" customHeight="1" s="1016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082" t="n"/>
      <c r="F47" s="76" t="n"/>
      <c r="G47" s="42">
        <f>F47/F5</f>
        <v/>
      </c>
      <c r="H47" s="1082">
        <f>F47/F16</f>
        <v/>
      </c>
      <c r="I47" s="76" t="n"/>
      <c r="J47" s="42">
        <f>I47/I5</f>
        <v/>
      </c>
      <c r="K47" s="1082">
        <f>I47/I16</f>
        <v/>
      </c>
      <c r="L47" s="76" t="n"/>
      <c r="M47" s="42">
        <f>L47/L5</f>
        <v/>
      </c>
      <c r="N47" s="1082">
        <f>L47/L16</f>
        <v/>
      </c>
      <c r="O47" s="76" t="n"/>
      <c r="P47" s="42">
        <f>O47/O5</f>
        <v/>
      </c>
      <c r="Q47" s="1082">
        <f>O47/O16</f>
        <v/>
      </c>
      <c r="R47" s="76" t="n"/>
      <c r="S47" s="42">
        <f>R47/R5</f>
        <v/>
      </c>
      <c r="T47" s="1082">
        <f>R47/R16</f>
        <v/>
      </c>
      <c r="U47" s="76" t="n"/>
      <c r="V47" s="42">
        <f>U47/U5</f>
        <v/>
      </c>
      <c r="W47" s="1082">
        <f>U47/U16</f>
        <v/>
      </c>
      <c r="X47" s="76" t="n"/>
      <c r="Y47" s="42">
        <f>X47/X5</f>
        <v/>
      </c>
      <c r="Z47" s="1082">
        <f>X47/X16</f>
        <v/>
      </c>
      <c r="AA47" s="76" t="n"/>
      <c r="AB47" s="42">
        <f>AA47/AA5</f>
        <v/>
      </c>
      <c r="AC47" s="1082">
        <f>AA47/AA16</f>
        <v/>
      </c>
      <c r="AD47" s="76" t="n"/>
      <c r="AE47" s="42">
        <f>AD47/AD5</f>
        <v/>
      </c>
      <c r="AF47" s="1082">
        <f>AD47/AD16</f>
        <v/>
      </c>
      <c r="AG47" s="76" t="n"/>
      <c r="AH47" s="42">
        <f>AG47/AG5</f>
        <v/>
      </c>
      <c r="AI47" s="1082">
        <f>AG47/AG16</f>
        <v/>
      </c>
      <c r="AJ47" s="76" t="n"/>
      <c r="AK47" s="42">
        <f>AJ47/AJ5</f>
        <v/>
      </c>
      <c r="AL47" s="1082">
        <f>AJ47/AJ16</f>
        <v/>
      </c>
      <c r="AM47" s="97">
        <f>C47+F47+I47+L47+O47+R47+U47+X47+AA47+AD47+AG47+AJ47</f>
        <v/>
      </c>
      <c r="AN47" s="42">
        <f>AM47/$AM$5</f>
        <v/>
      </c>
      <c r="AO47" s="1083">
        <f>AM47/AM13</f>
        <v/>
      </c>
      <c r="AQ47" s="23" t="n"/>
      <c r="AR47" s="42">
        <f>AQ47/$AM$5</f>
        <v/>
      </c>
      <c r="AS47" s="1083">
        <f>AQ47/AQ13</f>
        <v/>
      </c>
      <c r="AT47" s="1255" t="n"/>
    </row>
    <row r="48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1070" t="n"/>
      <c r="AM48" s="205">
        <f>C48+F48+I48+L48+O48+R48+U48+X48+AA48+AD48+AG48+AJ48</f>
        <v/>
      </c>
      <c r="AN48" s="43">
        <f>AM48/AM12</f>
        <v/>
      </c>
      <c r="AO48" s="1071" t="n"/>
      <c r="AQ48" s="24" t="n"/>
      <c r="AR48" s="43">
        <f>AQ48/AQ12</f>
        <v/>
      </c>
      <c r="AS48" s="1071" t="n"/>
      <c r="AT48" s="1255" t="n"/>
    </row>
    <row r="49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71" t="n"/>
      <c r="AQ49" s="24" t="n"/>
      <c r="AR49" s="24" t="n"/>
      <c r="AS49" s="1133" t="n"/>
      <c r="AT49" s="1255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71" t="n"/>
      <c r="AQ50" s="24" t="n"/>
      <c r="AR50" s="24" t="n"/>
      <c r="AS50" s="1133" t="n"/>
      <c r="AT50" s="1255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71" t="n"/>
      <c r="AQ51" s="24" t="n"/>
      <c r="AR51" s="24" t="n"/>
      <c r="AS51" s="1133" t="n"/>
      <c r="AT51" s="1255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71" t="n"/>
      <c r="AQ52" s="24" t="n"/>
      <c r="AR52" s="24" t="n"/>
      <c r="AS52" s="1133" t="n"/>
      <c r="AT52" s="1255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71" t="n"/>
      <c r="AQ53" s="24" t="n"/>
      <c r="AR53" s="24" t="n"/>
      <c r="AS53" s="1133" t="n"/>
      <c r="AT53" s="1255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  <c r="AQ54" s="24" t="n"/>
      <c r="AR54" s="24" t="n"/>
      <c r="AS54" s="1133" t="n"/>
      <c r="AT54" s="1255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  <c r="AQ55" s="24" t="n"/>
      <c r="AR55" s="24" t="n"/>
      <c r="AS55" s="1133" t="n"/>
      <c r="AT55" s="1255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  <c r="AQ56" s="23" t="n"/>
      <c r="AR56" s="23" t="n"/>
      <c r="AS56" s="1132" t="n"/>
      <c r="AT56" s="1255" t="n"/>
    </row>
    <row r="57" hidden="1" ht="15" customHeight="1" s="1016">
      <c r="B57" s="36" t="inlineStr">
        <is>
          <t>FLETES</t>
        </is>
      </c>
      <c r="C57" s="37" t="n"/>
      <c r="D57" s="67" t="n"/>
      <c r="E57" s="1096" t="n"/>
      <c r="F57" s="46">
        <f>SUM(F58:F59)</f>
        <v/>
      </c>
      <c r="G57" s="47">
        <f>F57/F12</f>
        <v/>
      </c>
      <c r="H57" s="1074">
        <f>F57/F13</f>
        <v/>
      </c>
      <c r="I57" s="46">
        <f>SUM(I58:I59)</f>
        <v/>
      </c>
      <c r="J57" s="47">
        <f>I57/I12</f>
        <v/>
      </c>
      <c r="K57" s="1074">
        <f>I57/I13</f>
        <v/>
      </c>
      <c r="L57" s="46">
        <f>SUM(L58:L59)</f>
        <v/>
      </c>
      <c r="M57" s="67" t="n"/>
      <c r="N57" s="1096" t="n"/>
      <c r="O57" s="46">
        <f>SUM(O58:O59)</f>
        <v/>
      </c>
      <c r="P57" s="47" t="n"/>
      <c r="Q57" s="1074" t="n"/>
      <c r="R57" s="46">
        <f>SUM(R58:R59)</f>
        <v/>
      </c>
      <c r="S57" s="47" t="n"/>
      <c r="T57" s="1074" t="n"/>
      <c r="U57" s="46">
        <f>SUM(U58:U59)</f>
        <v/>
      </c>
      <c r="V57" s="47" t="n"/>
      <c r="W57" s="1074" t="n"/>
      <c r="X57" s="46">
        <f>SUM(X58:X59)</f>
        <v/>
      </c>
      <c r="Y57" s="47" t="n"/>
      <c r="Z57" s="1074" t="n"/>
      <c r="AA57" s="46">
        <f>SUM(AA58:AA59)</f>
        <v/>
      </c>
      <c r="AB57" s="47" t="n"/>
      <c r="AC57" s="1074" t="n"/>
      <c r="AD57" s="46">
        <f>SUM(AD58:AD59)</f>
        <v/>
      </c>
      <c r="AE57" s="47" t="n"/>
      <c r="AF57" s="1074" t="n"/>
      <c r="AG57" s="46">
        <f>SUM(AG58:AG59)</f>
        <v/>
      </c>
      <c r="AH57" s="67" t="n"/>
      <c r="AI57" s="1096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75">
        <f>AM57/AM13</f>
        <v/>
      </c>
      <c r="AQ57" s="29" t="n"/>
      <c r="AR57" s="29" t="n"/>
      <c r="AS57" s="1135" t="n"/>
      <c r="AT57" s="1256" t="n"/>
    </row>
    <row r="58" hidden="1" ht="15" customHeight="1" s="1016">
      <c r="B58" s="411" t="inlineStr">
        <is>
          <t>INDUSTRIALIZADOS PROPIOS</t>
        </is>
      </c>
      <c r="C58" s="304" t="n"/>
      <c r="D58" s="305" t="n"/>
      <c r="E58" s="1136" t="n"/>
      <c r="F58" s="304" t="n"/>
      <c r="G58" s="305" t="n"/>
      <c r="H58" s="1136" t="n"/>
      <c r="I58" s="304" t="n"/>
      <c r="J58" s="305" t="n"/>
      <c r="K58" s="1136" t="n"/>
      <c r="L58" s="304" t="n"/>
      <c r="M58" s="305" t="n"/>
      <c r="N58" s="1136" t="n"/>
      <c r="O58" s="304" t="n"/>
      <c r="P58" s="305" t="n"/>
      <c r="Q58" s="1136" t="n"/>
      <c r="R58" s="304" t="n"/>
      <c r="S58" s="305" t="n"/>
      <c r="T58" s="1136" t="n"/>
      <c r="U58" s="304" t="n"/>
      <c r="V58" s="305" t="n"/>
      <c r="W58" s="1136" t="n"/>
      <c r="X58" s="304" t="n"/>
      <c r="Y58" s="305" t="n"/>
      <c r="Z58" s="1136" t="n"/>
      <c r="AA58" s="304" t="n"/>
      <c r="AB58" s="305" t="n"/>
      <c r="AC58" s="1136" t="n"/>
      <c r="AD58" s="304" t="n"/>
      <c r="AE58" s="305" t="n"/>
      <c r="AF58" s="1136" t="n"/>
      <c r="AG58" s="304" t="n"/>
      <c r="AH58" s="305" t="n"/>
      <c r="AI58" s="1136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37">
        <f>AM58/AM$13</f>
        <v/>
      </c>
      <c r="AQ58" s="298" t="n"/>
      <c r="AR58" s="298" t="n"/>
      <c r="AS58" s="1138" t="n"/>
      <c r="AT58" s="1255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72" t="n"/>
      <c r="F59" s="83" t="n"/>
      <c r="G59" s="84" t="n"/>
      <c r="H59" s="1072" t="n"/>
      <c r="I59" s="83" t="n"/>
      <c r="J59" s="84" t="n"/>
      <c r="K59" s="1072" t="n"/>
      <c r="L59" s="83" t="n"/>
      <c r="M59" s="84" t="n"/>
      <c r="N59" s="1072" t="n"/>
      <c r="O59" s="83" t="n"/>
      <c r="P59" s="84" t="n"/>
      <c r="Q59" s="1072" t="n"/>
      <c r="R59" s="83" t="n"/>
      <c r="S59" s="84" t="n"/>
      <c r="T59" s="1072" t="n"/>
      <c r="U59" s="83" t="n"/>
      <c r="V59" s="84" t="n"/>
      <c r="W59" s="1072" t="n"/>
      <c r="X59" s="83" t="n"/>
      <c r="Y59" s="84" t="n"/>
      <c r="Z59" s="1072" t="n"/>
      <c r="AA59" s="83" t="n"/>
      <c r="AB59" s="84" t="n"/>
      <c r="AC59" s="1072" t="n"/>
      <c r="AD59" s="83" t="n"/>
      <c r="AE59" s="84" t="n"/>
      <c r="AF59" s="1072" t="n"/>
      <c r="AG59" s="83" t="n"/>
      <c r="AH59" s="84" t="n"/>
      <c r="AI59" s="1072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39">
        <f>AM59/AM$13</f>
        <v/>
      </c>
      <c r="AQ59" s="349" t="n"/>
      <c r="AR59" s="349" t="n"/>
      <c r="AS59" s="1140" t="n"/>
      <c r="AT59" s="1255" t="n"/>
    </row>
    <row r="60" hidden="1" ht="15" customHeight="1" s="1016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+F61+F72+F75+F76+F77</f>
        <v/>
      </c>
      <c r="G60" s="3" t="n"/>
      <c r="H60" s="1078">
        <f>F60/F13</f>
        <v/>
      </c>
      <c r="I60" s="49">
        <f>+I61+I72+I75+I76+I77</f>
        <v/>
      </c>
      <c r="J60" s="3" t="n"/>
      <c r="K60" s="1078">
        <f>I60/I13</f>
        <v/>
      </c>
      <c r="L60" s="49">
        <f>+L61+L72+L75+L76+L77</f>
        <v/>
      </c>
      <c r="M60" s="3" t="n"/>
      <c r="N60" s="1078" t="n"/>
      <c r="O60" s="49">
        <f>+O61+O72+O75+O76+O77</f>
        <v/>
      </c>
      <c r="P60" s="3" t="n"/>
      <c r="Q60" s="1078" t="n"/>
      <c r="R60" s="49">
        <f>+R61+R72+R75+R76+R77</f>
        <v/>
      </c>
      <c r="S60" s="3" t="n"/>
      <c r="T60" s="1078" t="n"/>
      <c r="U60" s="49">
        <f>+U61+U72+U75+U76+U77</f>
        <v/>
      </c>
      <c r="V60" s="3" t="n"/>
      <c r="W60" s="1078" t="n"/>
      <c r="X60" s="49">
        <f>+X61+X72+X75+X76+X77</f>
        <v/>
      </c>
      <c r="Y60" s="3" t="n"/>
      <c r="Z60" s="1078" t="n"/>
      <c r="AA60" s="49">
        <f>+AA61+AA72+AA75+AA76+AA77</f>
        <v/>
      </c>
      <c r="AB60" s="3" t="n"/>
      <c r="AC60" s="1078" t="n"/>
      <c r="AD60" s="49">
        <f>+AD61+AD72+AD75+AD76+AD77</f>
        <v/>
      </c>
      <c r="AE60" s="3" t="n"/>
      <c r="AF60" s="1078" t="n"/>
      <c r="AG60" s="49">
        <f>+AG61+AG72+AG75+AG76+AG77</f>
        <v/>
      </c>
      <c r="AH60" s="3" t="n"/>
      <c r="AI60" s="1078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  <c r="AQ60" s="17">
        <f>+AQ61+AQ72+AQ75+AQ76+AQ77</f>
        <v/>
      </c>
      <c r="AR60" s="17" t="n"/>
      <c r="AS60" s="1130" t="n"/>
      <c r="AT60" s="1125" t="n"/>
    </row>
    <row r="61" hidden="1" ht="15" customHeight="1" s="1016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</f>
        <v/>
      </c>
      <c r="G61" s="67" t="n"/>
      <c r="H61" s="1096" t="n"/>
      <c r="I61" s="37">
        <f>SUM(I62:I71)</f>
        <v/>
      </c>
      <c r="J61" s="67" t="n"/>
      <c r="K61" s="1096" t="n"/>
      <c r="L61" s="37">
        <f>SUM(L62:L71)</f>
        <v/>
      </c>
      <c r="M61" s="67" t="n"/>
      <c r="N61" s="1096" t="n"/>
      <c r="O61" s="37">
        <f>SUM(O62:O71)</f>
        <v/>
      </c>
      <c r="P61" s="67">
        <f>O61/$O$5</f>
        <v/>
      </c>
      <c r="Q61" s="1096" t="n"/>
      <c r="R61" s="37">
        <f>SUM(R62:R71)</f>
        <v/>
      </c>
      <c r="S61" s="67">
        <f>R61/$O$5</f>
        <v/>
      </c>
      <c r="T61" s="1096">
        <f>R61/$O$13</f>
        <v/>
      </c>
      <c r="U61" s="37">
        <f>SUM(U62:U71)</f>
        <v/>
      </c>
      <c r="V61" s="67">
        <f>U61/$O$5</f>
        <v/>
      </c>
      <c r="W61" s="1096">
        <f>U61/$O$13</f>
        <v/>
      </c>
      <c r="X61" s="37">
        <f>SUM(X62:X71)</f>
        <v/>
      </c>
      <c r="Y61" s="67" t="n"/>
      <c r="Z61" s="1096" t="n"/>
      <c r="AA61" s="37">
        <f>SUM(AA62:AA71)</f>
        <v/>
      </c>
      <c r="AB61" s="67" t="n"/>
      <c r="AC61" s="1096" t="n"/>
      <c r="AD61" s="37">
        <f>SUM(AD62:AD71)</f>
        <v/>
      </c>
      <c r="AE61" s="67" t="n"/>
      <c r="AF61" s="1096" t="n"/>
      <c r="AG61" s="37">
        <f>SUM(AG62:AG71)</f>
        <v/>
      </c>
      <c r="AH61" s="67" t="n"/>
      <c r="AI61" s="1096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97">
        <f>AM61/$O$13</f>
        <v/>
      </c>
      <c r="AQ61" s="38">
        <f>SUM(AQ62:AQ71)</f>
        <v/>
      </c>
      <c r="AR61" s="38" t="n"/>
      <c r="AS61" s="1131" t="n"/>
      <c r="AT61" s="1255" t="n"/>
    </row>
    <row r="62" hidden="1" ht="15" customHeight="1" s="1016">
      <c r="B62" s="100" t="n"/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81">
        <f>AM62/$O$13</f>
        <v/>
      </c>
      <c r="AQ62" s="81" t="n"/>
      <c r="AR62" s="81">
        <f>AQ62/AQ6</f>
        <v/>
      </c>
      <c r="AS62" s="1141">
        <f>AQ62/AQ17</f>
        <v/>
      </c>
      <c r="AT62" s="1255" t="n"/>
    </row>
    <row r="63" hidden="1" ht="15" customHeight="1" s="1016">
      <c r="B63" s="101" t="n"/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71">
        <f>AM63/$O$13</f>
        <v/>
      </c>
      <c r="AQ63" s="24" t="n"/>
      <c r="AR63" s="24">
        <f>AQ63/AQ7</f>
        <v/>
      </c>
      <c r="AS63" s="1133">
        <f>AQ63/AQ18</f>
        <v/>
      </c>
      <c r="AT63" s="1255" t="n"/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71">
        <f>AM64/$O$13</f>
        <v/>
      </c>
      <c r="AQ64" s="24" t="n"/>
      <c r="AR64" s="24">
        <f>AQ64/AQ8</f>
        <v/>
      </c>
      <c r="AS64" s="1133">
        <f>AQ64/AQ19</f>
        <v/>
      </c>
      <c r="AT64" s="1255" t="n"/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71">
        <f>AM65/$O$13</f>
        <v/>
      </c>
      <c r="AQ65" s="24" t="n"/>
      <c r="AR65" s="24" t="n"/>
      <c r="AS65" s="1133" t="n"/>
      <c r="AT65" s="1255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71">
        <f>AM66/$O$13</f>
        <v/>
      </c>
      <c r="AQ66" s="24" t="n"/>
      <c r="AR66" s="24" t="n"/>
      <c r="AS66" s="1133" t="n"/>
      <c r="AT66" s="1255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>
        <f>AM67/$O$5</f>
        <v/>
      </c>
      <c r="AO67" s="1071">
        <f>AM67/$O$13</f>
        <v/>
      </c>
      <c r="AQ67" s="24" t="n"/>
      <c r="AR67" s="24" t="n"/>
      <c r="AS67" s="1133" t="n"/>
      <c r="AT67" s="1255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>
        <f>AM68/$O$5</f>
        <v/>
      </c>
      <c r="AO68" s="1071">
        <f>AM68/$O$13</f>
        <v/>
      </c>
      <c r="AQ68" s="24" t="n"/>
      <c r="AR68" s="24" t="n"/>
      <c r="AS68" s="1133" t="n"/>
      <c r="AT68" s="1255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>
        <f>AM69/$O$5</f>
        <v/>
      </c>
      <c r="AO69" s="1071">
        <f>AM69/$O$13</f>
        <v/>
      </c>
      <c r="AQ69" s="24" t="n"/>
      <c r="AR69" s="24" t="n"/>
      <c r="AS69" s="1133" t="n"/>
      <c r="AT69" s="1255" t="n"/>
    </row>
    <row r="70" hidden="1" ht="15" customHeight="1" s="1016">
      <c r="B70" s="91" t="n"/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>
        <f>AM70/$O$5</f>
        <v/>
      </c>
      <c r="AO70" s="1071">
        <f>AM70/$O$13</f>
        <v/>
      </c>
      <c r="AQ70" s="24" t="n"/>
      <c r="AR70" s="24" t="n"/>
      <c r="AS70" s="1133" t="n"/>
      <c r="AT70" s="1255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73">
        <f>AM71/$O$13</f>
        <v/>
      </c>
      <c r="AQ71" s="349" t="n"/>
      <c r="AR71" s="349" t="n"/>
      <c r="AS71" s="1140" t="n"/>
      <c r="AT71" s="1255" t="n"/>
    </row>
    <row r="72" ht="15" customHeight="1" s="1016">
      <c r="B72" s="36" t="inlineStr">
        <is>
          <t>FLETES</t>
        </is>
      </c>
      <c r="C72" s="37" t="n"/>
      <c r="D72" s="67" t="n"/>
      <c r="E72" s="1096" t="n"/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 t="n"/>
      <c r="K72" s="1074">
        <f>I72/I13</f>
        <v/>
      </c>
      <c r="L72" s="46">
        <f>SUM(L73:L74)</f>
        <v/>
      </c>
      <c r="M72" s="47" t="n"/>
      <c r="N72" s="1074">
        <f>L72/L13</f>
        <v/>
      </c>
      <c r="O72" s="46">
        <f>SUM(O73:O74)</f>
        <v/>
      </c>
      <c r="P72" s="47" t="n"/>
      <c r="Q72" s="1074">
        <f>O72/O13</f>
        <v/>
      </c>
      <c r="R72" s="46">
        <f>SUM(R73:R74)</f>
        <v/>
      </c>
      <c r="S72" s="47" t="n"/>
      <c r="T72" s="1074">
        <f>R72/R13</f>
        <v/>
      </c>
      <c r="U72" s="46">
        <f>SUM(U73:U74)</f>
        <v/>
      </c>
      <c r="V72" s="47" t="n"/>
      <c r="W72" s="1074">
        <f>U72/U13</f>
        <v/>
      </c>
      <c r="X72" s="46">
        <f>SUM(X73:X74)</f>
        <v/>
      </c>
      <c r="Y72" s="47" t="n"/>
      <c r="Z72" s="1074">
        <f>X72/X13</f>
        <v/>
      </c>
      <c r="AA72" s="46">
        <f>SUM(AA73:AA74)</f>
        <v/>
      </c>
      <c r="AB72" s="47" t="n"/>
      <c r="AC72" s="1074">
        <f>AA72/AA13</f>
        <v/>
      </c>
      <c r="AD72" s="46">
        <f>SUM(AD73:AD74)</f>
        <v/>
      </c>
      <c r="AE72" s="47" t="n"/>
      <c r="AF72" s="1074">
        <f>AD72/AD13</f>
        <v/>
      </c>
      <c r="AG72" s="46">
        <f>SUM(AG73:AG74)</f>
        <v/>
      </c>
      <c r="AH72" s="47" t="n"/>
      <c r="AI72" s="1074">
        <f>AG72/AG13</f>
        <v/>
      </c>
      <c r="AJ72" s="46">
        <f>SUM(AJ73:AJ74)</f>
        <v/>
      </c>
      <c r="AK72" s="67" t="n"/>
      <c r="AL72" s="1074">
        <f>AJ72/AJ13</f>
        <v/>
      </c>
      <c r="AM72" s="207">
        <f>C72+F72+I72+L72+O72+R72+U72+X72+AA72+AD72+AG72+AJ72</f>
        <v/>
      </c>
      <c r="AN72" s="47" t="n"/>
      <c r="AO72" s="1074">
        <f>AM72/AM13</f>
        <v/>
      </c>
      <c r="AQ72" s="29">
        <f>SUM(AQ73:AQ74)</f>
        <v/>
      </c>
      <c r="AR72" s="29" t="n"/>
      <c r="AS72" s="1135">
        <f>AQ72/(AQ$13-AQ$20)</f>
        <v/>
      </c>
      <c r="AT72" s="1256" t="n"/>
    </row>
    <row r="73" ht="15" customHeight="1" s="1016">
      <c r="B73" s="411" t="inlineStr">
        <is>
          <t>PREPARADOS PROPIOS</t>
        </is>
      </c>
      <c r="C73" s="37" t="n"/>
      <c r="D73" s="67" t="n"/>
      <c r="E73" s="1096" t="n"/>
      <c r="F73" s="304" t="n"/>
      <c r="G73" s="305" t="n"/>
      <c r="H73" s="1136" t="n"/>
      <c r="I73" s="304" t="n"/>
      <c r="J73" s="305" t="n"/>
      <c r="K73" s="1136" t="n"/>
      <c r="L73" s="304">
        <f>'GASTOS VEHICULOS'!F25*'%DIST'!H28</f>
        <v/>
      </c>
      <c r="M73" s="305" t="n"/>
      <c r="N73" s="1136" t="n"/>
      <c r="O73" s="304">
        <f>'GASTOS VEHICULOS'!G25*'%DIST'!J28</f>
        <v/>
      </c>
      <c r="P73" s="305" t="n"/>
      <c r="Q73" s="1136" t="n"/>
      <c r="R73" s="304">
        <f>'GASTOS VEHICULOS'!H25*'%DIST'!L28</f>
        <v/>
      </c>
      <c r="S73" s="305" t="n"/>
      <c r="T73" s="1136" t="n"/>
      <c r="U73" s="304">
        <f>'GASTOS VEHICULOS'!I25*'%DIST'!N28</f>
        <v/>
      </c>
      <c r="V73" s="305" t="n"/>
      <c r="W73" s="1136" t="n"/>
      <c r="X73" s="304">
        <f>'GASTOS VEHICULOS'!J25*'%DIST'!P28</f>
        <v/>
      </c>
      <c r="Y73" s="305" t="n"/>
      <c r="Z73" s="1136" t="n"/>
      <c r="AA73" s="304">
        <f>'GASTOS VEHICULOS'!K25*'%DIST'!R28</f>
        <v/>
      </c>
      <c r="AB73" s="305" t="n"/>
      <c r="AC73" s="1136" t="n"/>
      <c r="AD73" s="304">
        <f>'GASTOS VEHICULOS'!L25*'%DIST'!T28</f>
        <v/>
      </c>
      <c r="AE73" s="305" t="n"/>
      <c r="AF73" s="1136" t="n"/>
      <c r="AG73" s="304">
        <f>'GASTOS VEHICULOS'!M25*'%DIST'!V28</f>
        <v/>
      </c>
      <c r="AH73" s="305" t="n"/>
      <c r="AI73" s="1136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42" t="n"/>
      <c r="AQ73" s="298" t="n"/>
      <c r="AR73" s="298" t="n"/>
      <c r="AS73" s="1138" t="n"/>
      <c r="AT73" s="1255" t="n"/>
    </row>
    <row r="74" ht="15" customHeight="1" s="1016">
      <c r="B74" s="415" t="inlineStr">
        <is>
          <t>PREPARADOS TERCEROS</t>
        </is>
      </c>
      <c r="C74" s="37" t="n"/>
      <c r="D74" s="67" t="n"/>
      <c r="E74" s="1096" t="n"/>
      <c r="F74" s="83" t="n"/>
      <c r="G74" s="84" t="n"/>
      <c r="H74" s="1072" t="n"/>
      <c r="I74" s="83" t="n"/>
      <c r="J74" s="84" t="n"/>
      <c r="K74" s="1072" t="n"/>
      <c r="L74" s="83" t="n"/>
      <c r="M74" s="84" t="n"/>
      <c r="N74" s="1072" t="n"/>
      <c r="O74" s="83" t="n"/>
      <c r="P74" s="84" t="n"/>
      <c r="Q74" s="1072" t="n"/>
      <c r="R74" s="83" t="n"/>
      <c r="S74" s="84" t="n"/>
      <c r="T74" s="1072" t="n"/>
      <c r="U74" s="83" t="n"/>
      <c r="V74" s="84" t="n"/>
      <c r="W74" s="1072" t="n"/>
      <c r="X74" s="83" t="n"/>
      <c r="Y74" s="84" t="n"/>
      <c r="Z74" s="1072" t="n"/>
      <c r="AA74" s="83" t="n"/>
      <c r="AB74" s="84" t="n"/>
      <c r="AC74" s="1072" t="n"/>
      <c r="AD74" s="83" t="n"/>
      <c r="AE74" s="84" t="n"/>
      <c r="AF74" s="1072" t="n"/>
      <c r="AG74" s="83" t="n"/>
      <c r="AH74" s="84" t="n"/>
      <c r="AI74" s="1072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39" t="n"/>
      <c r="AQ74" s="349" t="n"/>
      <c r="AR74" s="349" t="n"/>
      <c r="AS74" s="1140" t="n"/>
      <c r="AT74" s="1255" t="n"/>
    </row>
    <row r="75" ht="15" customHeight="1" s="1016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>
        <f>AM75/AM$13</f>
        <v/>
      </c>
      <c r="AQ75" s="38" t="n"/>
      <c r="AR75" s="38" t="n"/>
      <c r="AS75" s="1131" t="n"/>
      <c r="AT75" s="1255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  <c r="AQ76" s="38" t="n"/>
      <c r="AR76" s="38" t="n"/>
      <c r="AS76" s="1131" t="n"/>
      <c r="AT76" s="1255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28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  <c r="AQ77" s="27" t="n"/>
      <c r="AR77" s="27" t="n"/>
      <c r="AS77" s="1144" t="n"/>
      <c r="AT77" s="1255" t="n"/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>
        <f>F78/(F$13)</f>
        <v/>
      </c>
      <c r="I78" s="49">
        <f>SUM(I79:I81)</f>
        <v/>
      </c>
      <c r="J78" s="3" t="n"/>
      <c r="K78" s="1078">
        <f>I78/(I$13)</f>
        <v/>
      </c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>
        <f>R78/(R$13)</f>
        <v/>
      </c>
      <c r="U78" s="49">
        <f>SUM(U79:U81)</f>
        <v/>
      </c>
      <c r="V78" s="3" t="n"/>
      <c r="W78" s="1078">
        <f>U78/(U$13)</f>
        <v/>
      </c>
      <c r="X78" s="49">
        <f>SUM(X79:X81)</f>
        <v/>
      </c>
      <c r="Y78" s="3" t="n"/>
      <c r="Z78" s="1078">
        <f>X78/(X$13)</f>
        <v/>
      </c>
      <c r="AA78" s="49">
        <f>SUM(AA79:AA81)</f>
        <v/>
      </c>
      <c r="AB78" s="3" t="n"/>
      <c r="AC78" s="1078">
        <f>AA78/(AA$13)</f>
        <v/>
      </c>
      <c r="AD78" s="49">
        <f>SUM(AD79:AD81)</f>
        <v/>
      </c>
      <c r="AE78" s="3" t="n"/>
      <c r="AF78" s="1078">
        <f>AD78/(AD$13)</f>
        <v/>
      </c>
      <c r="AG78" s="49">
        <f>SUM(AG79:AG81)</f>
        <v/>
      </c>
      <c r="AH78" s="3" t="n"/>
      <c r="AI78" s="1078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>
        <f>AM78/(AM$13)</f>
        <v/>
      </c>
      <c r="AQ78" s="17">
        <f>SUM(AQ79:AQ81)</f>
        <v/>
      </c>
      <c r="AR78" s="17">
        <f>AQ78/(AQ$12-AQ$9)</f>
        <v/>
      </c>
      <c r="AS78" s="1130">
        <f>AQ78/(AQ$13-AQ$20)</f>
        <v/>
      </c>
      <c r="AT78" s="1125" t="n"/>
    </row>
    <row r="79" ht="15" customHeight="1" s="1016">
      <c r="B79" s="39" t="inlineStr">
        <is>
          <t>Manipuladoras</t>
        </is>
      </c>
      <c r="C79" s="266" t="n"/>
      <c r="D79" s="267" t="n"/>
      <c r="E79" s="1102" t="n"/>
      <c r="F79" s="266" t="n"/>
      <c r="G79" s="69" t="n"/>
      <c r="H79" s="1102" t="n"/>
      <c r="I79" s="39" t="n"/>
      <c r="J79" s="69" t="n"/>
      <c r="K79" s="1102" t="n"/>
      <c r="L79" s="39" t="n"/>
      <c r="M79" s="69" t="n"/>
      <c r="N79" s="1102" t="n"/>
      <c r="O79" s="39" t="n"/>
      <c r="P79" s="69" t="n"/>
      <c r="Q79" s="1102" t="n"/>
      <c r="R79" s="39" t="n"/>
      <c r="S79" s="69" t="n"/>
      <c r="T79" s="1102" t="n"/>
      <c r="U79" s="39" t="n"/>
      <c r="V79" s="69" t="n"/>
      <c r="W79" s="1102" t="n"/>
      <c r="X79" s="39" t="n"/>
      <c r="Y79" s="69" t="n"/>
      <c r="Z79" s="1102" t="n"/>
      <c r="AA79" s="39" t="n"/>
      <c r="AB79" s="69" t="n"/>
      <c r="AC79" s="1102" t="n"/>
      <c r="AD79" s="39" t="n"/>
      <c r="AE79" s="69" t="n"/>
      <c r="AF79" s="1102" t="n"/>
      <c r="AG79" s="39" t="n"/>
      <c r="AH79" s="69" t="n"/>
      <c r="AI79" s="1102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03" t="n"/>
      <c r="AQ79" s="619" t="n"/>
      <c r="AR79" s="619" t="n"/>
      <c r="AS79" s="1145" t="n"/>
      <c r="AT79" s="1092" t="n"/>
    </row>
    <row r="80" ht="15" customHeight="1" s="1016">
      <c r="B80" s="25" t="inlineStr">
        <is>
          <t>Personal Supervisor - Coordinadores</t>
        </is>
      </c>
      <c r="C80" s="25" t="n"/>
      <c r="D80" s="272" t="n"/>
      <c r="E80" s="1070" t="n"/>
      <c r="F80" s="25" t="n"/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  <c r="AQ80" s="24" t="n"/>
      <c r="AR80" s="24" t="n"/>
      <c r="AS80" s="1133" t="n"/>
      <c r="AT80" s="1255" t="n"/>
    </row>
    <row r="81" ht="15" customHeight="1" s="1016" thickBot="1">
      <c r="B81" s="98" t="inlineStr">
        <is>
          <t>Temporales</t>
        </is>
      </c>
      <c r="C81" s="269" t="n"/>
      <c r="D81" s="270" t="n"/>
      <c r="E81" s="1104" t="n"/>
      <c r="F81" s="269" t="n"/>
      <c r="G81" s="214" t="n"/>
      <c r="H81" s="1104" t="n"/>
      <c r="I81" s="269" t="n"/>
      <c r="J81" s="214" t="n"/>
      <c r="K81" s="1104" t="n"/>
      <c r="L81" s="269" t="n"/>
      <c r="M81" s="214" t="n"/>
      <c r="N81" s="1104" t="n"/>
      <c r="O81" s="269" t="n"/>
      <c r="P81" s="214" t="n"/>
      <c r="Q81" s="1104" t="n"/>
      <c r="R81" s="269" t="n"/>
      <c r="S81" s="214" t="n"/>
      <c r="T81" s="1104" t="n"/>
      <c r="U81" s="269" t="n"/>
      <c r="V81" s="214" t="n"/>
      <c r="W81" s="1104" t="n"/>
      <c r="X81" s="269" t="n"/>
      <c r="Y81" s="214" t="n"/>
      <c r="Z81" s="1104" t="n"/>
      <c r="AA81" s="269" t="n"/>
      <c r="AB81" s="214" t="n"/>
      <c r="AC81" s="1104" t="n"/>
      <c r="AD81" s="269" t="n"/>
      <c r="AE81" s="214" t="n"/>
      <c r="AF81" s="1104" t="n"/>
      <c r="AG81" s="269" t="n"/>
      <c r="AH81" s="214" t="n"/>
      <c r="AI81" s="1104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05" t="n"/>
      <c r="AQ81" s="98" t="n"/>
      <c r="AR81" s="98" t="n"/>
      <c r="AS81" s="1146" t="n"/>
      <c r="AT81" s="125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36" t="n"/>
      <c r="AN82" s="2" t="n"/>
      <c r="AO82" s="1092" t="n"/>
      <c r="AQ82" s="136" t="n"/>
      <c r="AR82" s="136" t="n"/>
      <c r="AS82" s="1147" t="n"/>
      <c r="AT82" s="1092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 t="n"/>
      <c r="F83" s="490">
        <f>+F84+F89+F92+F96+F99+F109+F114+F120+F123+F127</f>
        <v/>
      </c>
      <c r="G83" s="491" t="n"/>
      <c r="H83" s="1094">
        <f>F83/(F$13)</f>
        <v/>
      </c>
      <c r="I83" s="490">
        <f>+I84+I89+I92+I96+I99+I109+I114+I120+I123+I127</f>
        <v/>
      </c>
      <c r="J83" s="491" t="n"/>
      <c r="K83" s="1094">
        <f>I83/(I$13)</f>
        <v/>
      </c>
      <c r="L83" s="490">
        <f>+L84+L89+L92+L96+L99+L109+L114+L120+L123+L127</f>
        <v/>
      </c>
      <c r="M83" s="491" t="n"/>
      <c r="N83" s="1094" t="n"/>
      <c r="O83" s="490">
        <f>+O84+O89+O92+O96+O99+O109+O114+O120+O123+O127</f>
        <v/>
      </c>
      <c r="P83" s="491" t="n"/>
      <c r="Q83" s="1094">
        <f>O83/(O$13)</f>
        <v/>
      </c>
      <c r="R83" s="490">
        <f>+R84+R89+R92+R96+R99+R109+R114+R120+R123+R127</f>
        <v/>
      </c>
      <c r="S83" s="491" t="n"/>
      <c r="T83" s="1094">
        <f>R83/(R$13)</f>
        <v/>
      </c>
      <c r="U83" s="490">
        <f>+U84+U89+U92+U96+U99+U109+U114+U120+U123+U127</f>
        <v/>
      </c>
      <c r="V83" s="491" t="n"/>
      <c r="W83" s="1094">
        <f>U83/(U$13)</f>
        <v/>
      </c>
      <c r="X83" s="490">
        <f>+X84+X89+X92+X96+X99+X109+X114+X120+X123+X127</f>
        <v/>
      </c>
      <c r="Y83" s="491" t="n"/>
      <c r="Z83" s="1094">
        <f>X83/(X$13)</f>
        <v/>
      </c>
      <c r="AA83" s="490">
        <f>+AA84+AA89+AA92+AA96+AA99+AA109+AA114+AA120+AA123+AA127</f>
        <v/>
      </c>
      <c r="AB83" s="491" t="n"/>
      <c r="AC83" s="1094">
        <f>AA83/(AA$13)</f>
        <v/>
      </c>
      <c r="AD83" s="490">
        <f>+AD84+AD89+AD92+AD96+AD99+AD109+AD114+AD120+AD123+AD127</f>
        <v/>
      </c>
      <c r="AE83" s="491" t="n"/>
      <c r="AF83" s="1094">
        <f>AD83/(AD$13)</f>
        <v/>
      </c>
      <c r="AG83" s="490">
        <f>+AG84+AG89+AG92+AG96+AG99+AG109+AG114+AG120+AG123+AG127</f>
        <v/>
      </c>
      <c r="AH83" s="491" t="n"/>
      <c r="AI83" s="1094">
        <f>AG83/(AG$13)</f>
        <v/>
      </c>
      <c r="AJ83" s="490">
        <f>+AJ84+AJ89+AJ92+AJ96+AJ99+AJ109+AJ114+AJ120+AJ123+AJ127</f>
        <v/>
      </c>
      <c r="AK83" s="491" t="n"/>
      <c r="AL83" s="1094">
        <f>AJ83/(AJ$13)</f>
        <v/>
      </c>
      <c r="AM83" s="581">
        <f>C83+F83+I83+L83+O83+R83+U83+X83+AA83+AD83+AG83+AJ83</f>
        <v/>
      </c>
      <c r="AN83" s="491" t="n"/>
      <c r="AO83" s="1106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29">
        <f>AQ83/(AQ$13-AQ$20)</f>
        <v/>
      </c>
      <c r="AT83" s="1125" t="n"/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 t="n"/>
      <c r="F84" s="49">
        <f>SUM(F85:F88)</f>
        <v/>
      </c>
      <c r="G84" s="3" t="n"/>
      <c r="H84" s="1078">
        <f>F84/(F$13)</f>
        <v/>
      </c>
      <c r="I84" s="49">
        <f>SUM(I85:I88)</f>
        <v/>
      </c>
      <c r="J84" s="3" t="n"/>
      <c r="K84" s="1078">
        <f>I84/(I$13)</f>
        <v/>
      </c>
      <c r="L84" s="49">
        <f>SUM(L85:L88)</f>
        <v/>
      </c>
      <c r="M84" s="3" t="n"/>
      <c r="N84" s="1078" t="n"/>
      <c r="O84" s="49">
        <f>SUM(O85:O88)</f>
        <v/>
      </c>
      <c r="P84" s="3" t="n"/>
      <c r="Q84" s="1078" t="n"/>
      <c r="R84" s="49">
        <f>SUM(R85:R88)</f>
        <v/>
      </c>
      <c r="S84" s="3" t="n"/>
      <c r="T84" s="1078">
        <f>R84/(R$13)</f>
        <v/>
      </c>
      <c r="U84" s="49">
        <f>SUM(U85:U88)</f>
        <v/>
      </c>
      <c r="V84" s="3" t="n"/>
      <c r="W84" s="1078">
        <f>U84/(U$13)</f>
        <v/>
      </c>
      <c r="X84" s="49">
        <f>SUM(X85:X88)</f>
        <v/>
      </c>
      <c r="Y84" s="3" t="n"/>
      <c r="Z84" s="1078">
        <f>X84/(X$13)</f>
        <v/>
      </c>
      <c r="AA84" s="49">
        <f>SUM(AA85:AA88)</f>
        <v/>
      </c>
      <c r="AB84" s="3" t="n"/>
      <c r="AC84" s="1078">
        <f>AA84/(AA$13)</f>
        <v/>
      </c>
      <c r="AD84" s="49">
        <f>SUM(AD85:AD88)</f>
        <v/>
      </c>
      <c r="AE84" s="3" t="n"/>
      <c r="AF84" s="1078">
        <f>AD84/(AD$13)</f>
        <v/>
      </c>
      <c r="AG84" s="49">
        <f>SUM(AG85:AG88)</f>
        <v/>
      </c>
      <c r="AH84" s="3" t="n"/>
      <c r="AI84" s="1078">
        <f>AG84/(AG$13)</f>
        <v/>
      </c>
      <c r="AJ84" s="49">
        <f>SUM(AJ85:AJ88)</f>
        <v/>
      </c>
      <c r="AK84" s="3" t="n"/>
      <c r="AL84" s="1078">
        <f>AJ84/(AJ$13)</f>
        <v/>
      </c>
      <c r="AM84" s="16">
        <f>C84+F84+I84+L84+O84+R84+U84+X84+AA84+AD84+AG84+AJ84</f>
        <v/>
      </c>
      <c r="AN84" s="3" t="n"/>
      <c r="AO84" s="1101">
        <f>AM84/(AM$13)</f>
        <v/>
      </c>
      <c r="AQ84" s="17">
        <f>SUM(AQ85:AQ88)</f>
        <v/>
      </c>
      <c r="AR84" s="17">
        <f>AQ84/(AQ$12-AQ$9)</f>
        <v/>
      </c>
      <c r="AS84" s="1130">
        <f>AQ84/(AQ$13-AQ$20)</f>
        <v/>
      </c>
      <c r="AT84" s="1125" t="n"/>
    </row>
    <row r="85" ht="15" customHeight="1" s="1016">
      <c r="B85" s="39" t="inlineStr">
        <is>
          <t>Costos Indirectos de Personal</t>
        </is>
      </c>
      <c r="C85" s="39" t="n"/>
      <c r="D85" s="69" t="n"/>
      <c r="E85" s="1102" t="n"/>
      <c r="F85" s="39" t="n"/>
      <c r="G85" s="69" t="n"/>
      <c r="H85" s="1102" t="n"/>
      <c r="I85" s="39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>
        <f>AM85/(AM$13)</f>
        <v/>
      </c>
      <c r="AQ85" s="31" t="n"/>
      <c r="AR85" s="31" t="n"/>
      <c r="AS85" s="1148" t="n"/>
      <c r="AT85" s="1255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71" t="n"/>
      <c r="AQ86" s="24" t="n"/>
      <c r="AR86" s="24" t="n"/>
      <c r="AS86" s="1133" t="n"/>
      <c r="AT86" s="1255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2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83" t="n"/>
      <c r="AQ87" s="24" t="n"/>
      <c r="AR87" s="24" t="n"/>
      <c r="AS87" s="1133" t="n"/>
      <c r="AT87" s="1255" t="n"/>
    </row>
    <row r="88" ht="15" customHeight="1" s="1016">
      <c r="B88" s="206" t="inlineStr">
        <is>
          <t>Inacapacidades</t>
        </is>
      </c>
      <c r="C88" s="83" t="n"/>
      <c r="D88" s="84" t="n"/>
      <c r="E88" s="1072" t="n"/>
      <c r="F88" s="83" t="n"/>
      <c r="G88" s="420" t="n"/>
      <c r="H88" s="1072" t="n"/>
      <c r="I88" s="83" t="n"/>
      <c r="J88" s="84" t="n"/>
      <c r="K88" s="1072" t="n"/>
      <c r="L88" s="83" t="n"/>
      <c r="M88" s="84" t="n"/>
      <c r="N88" s="1072" t="n"/>
      <c r="O88" s="83" t="n"/>
      <c r="P88" s="84" t="n"/>
      <c r="Q88" s="1072" t="n"/>
      <c r="R88" s="83" t="n"/>
      <c r="S88" s="84" t="n"/>
      <c r="T88" s="1072" t="n"/>
      <c r="U88" s="83" t="n"/>
      <c r="V88" s="84" t="n"/>
      <c r="W88" s="1072" t="n"/>
      <c r="X88" s="83" t="n"/>
      <c r="Y88" s="84" t="n"/>
      <c r="Z88" s="1072" t="n"/>
      <c r="AA88" s="83" t="n"/>
      <c r="AB88" s="84" t="n"/>
      <c r="AC88" s="1072" t="n"/>
      <c r="AD88" s="83" t="n"/>
      <c r="AE88" s="84" t="n"/>
      <c r="AF88" s="1072" t="n"/>
      <c r="AG88" s="83" t="n"/>
      <c r="AH88" s="84" t="n"/>
      <c r="AI88" s="1072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73" t="n"/>
      <c r="AQ88" s="349" t="n"/>
      <c r="AR88" s="349" t="n"/>
      <c r="AS88" s="1140" t="n"/>
      <c r="AT88" s="1255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1078" t="n"/>
      <c r="F89" s="49">
        <f>SUM(F90:F91)</f>
        <v/>
      </c>
      <c r="G89" s="3" t="n"/>
      <c r="H89" s="1078">
        <f>F89/(F$13)</f>
        <v/>
      </c>
      <c r="I89" s="90">
        <f>SUM(I90:I91)</f>
        <v/>
      </c>
      <c r="J89" s="3" t="n"/>
      <c r="K89" s="1078">
        <f>I89/(I$13)</f>
        <v/>
      </c>
      <c r="L89" s="49">
        <f>SUM(L90:L91)</f>
        <v/>
      </c>
      <c r="M89" s="3" t="n"/>
      <c r="N89" s="1078" t="n"/>
      <c r="O89" s="49">
        <f>SUM(O90:O91)</f>
        <v/>
      </c>
      <c r="P89" s="3" t="n"/>
      <c r="Q89" s="1078" t="n"/>
      <c r="R89" s="49">
        <f>SUM(R90:R91)</f>
        <v/>
      </c>
      <c r="S89" s="3" t="n"/>
      <c r="T89" s="1078">
        <f>R89/(R$13)</f>
        <v/>
      </c>
      <c r="U89" s="49">
        <f>SUM(U90:U91)</f>
        <v/>
      </c>
      <c r="V89" s="3" t="n"/>
      <c r="W89" s="1078">
        <f>U89/(U$13)</f>
        <v/>
      </c>
      <c r="X89" s="49">
        <f>SUM(X90:X91)</f>
        <v/>
      </c>
      <c r="Y89" s="3" t="n"/>
      <c r="Z89" s="1078">
        <f>X89/(X$13)</f>
        <v/>
      </c>
      <c r="AA89" s="49">
        <f>SUM(AA90:AA91)</f>
        <v/>
      </c>
      <c r="AB89" s="3" t="n"/>
      <c r="AC89" s="1078">
        <f>AA89/(AA$13)</f>
        <v/>
      </c>
      <c r="AD89" s="49">
        <f>SUM(AD90:AD91)</f>
        <v/>
      </c>
      <c r="AE89" s="3" t="n"/>
      <c r="AF89" s="1078">
        <f>AD89/(AD$13)</f>
        <v/>
      </c>
      <c r="AG89" s="49">
        <f>SUM(AG90:AG91)</f>
        <v/>
      </c>
      <c r="AH89" s="3" t="n"/>
      <c r="AI89" s="1078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01">
        <f>AM89/(AM$13)</f>
        <v/>
      </c>
      <c r="AQ89" s="17">
        <f>SUM(AQ90:AQ91)</f>
        <v/>
      </c>
      <c r="AR89" s="17">
        <f>AQ89/(AQ$12-AQ$9)</f>
        <v/>
      </c>
      <c r="AS89" s="1130">
        <f>AQ89/(AQ$13-AQ$20)</f>
        <v/>
      </c>
      <c r="AT89" s="1125" t="n"/>
    </row>
    <row r="90" outlineLevel="1" ht="15" customHeight="1" s="1016">
      <c r="B90" s="39" t="inlineStr">
        <is>
          <t>Asesoría Juridica</t>
        </is>
      </c>
      <c r="C90" s="39" t="n"/>
      <c r="D90" s="69" t="n"/>
      <c r="E90" s="1102" t="n"/>
      <c r="F90" s="39" t="n"/>
      <c r="G90" s="69" t="n"/>
      <c r="H90" s="1102" t="n"/>
      <c r="I90" s="39" t="n"/>
      <c r="J90" s="69" t="n"/>
      <c r="K90" s="1102" t="n"/>
      <c r="L90" s="39" t="n"/>
      <c r="M90" s="69" t="n"/>
      <c r="N90" s="1102" t="n"/>
      <c r="O90" s="39" t="n"/>
      <c r="P90" s="69" t="n"/>
      <c r="Q90" s="1102" t="n"/>
      <c r="R90" s="39" t="n"/>
      <c r="S90" s="69" t="n"/>
      <c r="T90" s="1102" t="n"/>
      <c r="U90" s="39" t="n"/>
      <c r="V90" s="69" t="n"/>
      <c r="W90" s="1102" t="n"/>
      <c r="X90" s="39" t="n"/>
      <c r="Y90" s="69" t="n"/>
      <c r="Z90" s="1102" t="n"/>
      <c r="AA90" s="39" t="n"/>
      <c r="AB90" s="69" t="n"/>
      <c r="AC90" s="1102" t="n"/>
      <c r="AD90" s="39" t="n"/>
      <c r="AE90" s="69" t="n"/>
      <c r="AF90" s="1102" t="n"/>
      <c r="AG90" s="39" t="n"/>
      <c r="AH90" s="69" t="n"/>
      <c r="AI90" s="1102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07" t="n"/>
      <c r="AQ90" s="31" t="n"/>
      <c r="AR90" s="31" t="n"/>
      <c r="AS90" s="1148" t="n"/>
      <c r="AT90" s="1255" t="n"/>
    </row>
    <row r="91" outlineLevel="1" ht="15" customHeight="1" s="1016">
      <c r="B91" s="83" t="inlineStr">
        <is>
          <t>Asesoría Tecnica</t>
        </is>
      </c>
      <c r="C91" s="83" t="n"/>
      <c r="D91" s="84" t="n"/>
      <c r="E91" s="1072" t="n"/>
      <c r="F91" s="83" t="n"/>
      <c r="G91" s="84" t="n"/>
      <c r="H91" s="1072" t="n"/>
      <c r="I91" s="83" t="n"/>
      <c r="J91" s="84" t="n"/>
      <c r="K91" s="1072" t="n"/>
      <c r="L91" s="83" t="n"/>
      <c r="M91" s="84" t="n"/>
      <c r="N91" s="1072" t="n"/>
      <c r="O91" s="83" t="n"/>
      <c r="P91" s="84" t="n"/>
      <c r="Q91" s="1072" t="n"/>
      <c r="R91" s="83" t="n"/>
      <c r="S91" s="84" t="n"/>
      <c r="T91" s="1072" t="n"/>
      <c r="U91" s="83" t="n"/>
      <c r="V91" s="84" t="n"/>
      <c r="W91" s="1072" t="n"/>
      <c r="X91" s="83" t="n"/>
      <c r="Y91" s="84" t="n"/>
      <c r="Z91" s="1072" t="n"/>
      <c r="AA91" s="83" t="n"/>
      <c r="AB91" s="84" t="n"/>
      <c r="AC91" s="1072" t="n"/>
      <c r="AD91" s="83" t="n"/>
      <c r="AE91" s="84" t="n"/>
      <c r="AF91" s="1072" t="n"/>
      <c r="AG91" s="83" t="n"/>
      <c r="AH91" s="84" t="n"/>
      <c r="AI91" s="1072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73" t="n"/>
      <c r="AQ91" s="349" t="n"/>
      <c r="AR91" s="349" t="n"/>
      <c r="AS91" s="1140" t="n"/>
      <c r="AT91" s="1255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 t="n"/>
      <c r="F92" s="49">
        <f>SUM(F93:F95)</f>
        <v/>
      </c>
      <c r="G92" s="3" t="n"/>
      <c r="H92" s="1078">
        <f>F92/(F$13)</f>
        <v/>
      </c>
      <c r="I92" s="90">
        <f>SUM(I93:I95)</f>
        <v/>
      </c>
      <c r="J92" s="3" t="n"/>
      <c r="K92" s="1078">
        <f>I92/(I$13)</f>
        <v/>
      </c>
      <c r="L92" s="49">
        <f>SUM(L93:L95)</f>
        <v/>
      </c>
      <c r="M92" s="3" t="n"/>
      <c r="N92" s="1078" t="n"/>
      <c r="O92" s="49">
        <f>SUM(O93:O95)</f>
        <v/>
      </c>
      <c r="P92" s="3" t="n"/>
      <c r="Q92" s="1078" t="n"/>
      <c r="R92" s="49">
        <f>SUM(R93:R95)</f>
        <v/>
      </c>
      <c r="S92" s="3" t="n"/>
      <c r="T92" s="1078">
        <f>R92/(R$13)</f>
        <v/>
      </c>
      <c r="U92" s="49">
        <f>SUM(U93:U95)</f>
        <v/>
      </c>
      <c r="V92" s="3" t="n"/>
      <c r="W92" s="1078">
        <f>U92/(U$13)</f>
        <v/>
      </c>
      <c r="X92" s="49">
        <f>SUM(X93:X95)</f>
        <v/>
      </c>
      <c r="Y92" s="3" t="n"/>
      <c r="Z92" s="1078">
        <f>X92/(X$13)</f>
        <v/>
      </c>
      <c r="AA92" s="49">
        <f>SUM(AA93:AA95)</f>
        <v/>
      </c>
      <c r="AB92" s="3" t="n"/>
      <c r="AC92" s="1078">
        <f>AA92/(AA$13)</f>
        <v/>
      </c>
      <c r="AD92" s="49">
        <f>SUM(AD93:AD95)</f>
        <v/>
      </c>
      <c r="AE92" s="3" t="n"/>
      <c r="AF92" s="1078">
        <f>AD92/(AD$13)</f>
        <v/>
      </c>
      <c r="AG92" s="49">
        <f>SUM(AG93:AG95)</f>
        <v/>
      </c>
      <c r="AH92" s="3" t="n"/>
      <c r="AI92" s="1078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01">
        <f>AM92/(AM$13)</f>
        <v/>
      </c>
      <c r="AQ92" s="17">
        <f>SUM(AQ93:AQ95)</f>
        <v/>
      </c>
      <c r="AR92" s="17">
        <f>AQ92/(AQ$12-AQ$9)</f>
        <v/>
      </c>
      <c r="AS92" s="1130">
        <f>AQ92/(AQ$13-AQ$20)</f>
        <v/>
      </c>
      <c r="AT92" s="1125" t="n"/>
    </row>
    <row r="93" outlineLevel="1" ht="15" customHeight="1" s="1016">
      <c r="B93" s="39" t="inlineStr">
        <is>
          <t>Construcciones y Edificaciones</t>
        </is>
      </c>
      <c r="C93" s="39" t="n"/>
      <c r="D93" s="69" t="n"/>
      <c r="E93" s="1102" t="n"/>
      <c r="F93" s="39" t="n"/>
      <c r="G93" s="69" t="n"/>
      <c r="H93" s="1102" t="n"/>
      <c r="I93" s="39" t="n"/>
      <c r="J93" s="69" t="n"/>
      <c r="K93" s="1102" t="n"/>
      <c r="L93" s="39" t="n"/>
      <c r="M93" s="69" t="n"/>
      <c r="N93" s="1102" t="n"/>
      <c r="O93" s="39" t="n"/>
      <c r="P93" s="69" t="n"/>
      <c r="Q93" s="1102" t="n"/>
      <c r="R93" s="39" t="n"/>
      <c r="S93" s="69" t="n"/>
      <c r="T93" s="1102" t="n"/>
      <c r="U93" s="39" t="n"/>
      <c r="V93" s="69" t="n"/>
      <c r="W93" s="1102" t="n"/>
      <c r="X93" s="39" t="n"/>
      <c r="Y93" s="69" t="n"/>
      <c r="Z93" s="1102" t="n"/>
      <c r="AA93" s="39" t="n"/>
      <c r="AB93" s="69" t="n"/>
      <c r="AC93" s="1102" t="n"/>
      <c r="AD93" s="39" t="n"/>
      <c r="AE93" s="69" t="n"/>
      <c r="AF93" s="1102" t="n"/>
      <c r="AG93" s="39" t="n"/>
      <c r="AH93" s="69" t="n"/>
      <c r="AI93" s="1102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07" t="n"/>
      <c r="AQ93" s="31" t="n"/>
      <c r="AR93" s="31" t="n"/>
      <c r="AS93" s="1148" t="n"/>
      <c r="AT93" s="1255" t="n"/>
    </row>
    <row r="94" outlineLevel="1" ht="15" customHeight="1" s="1016">
      <c r="B94" s="25" t="inlineStr">
        <is>
          <t>Maquinaria y Equipo</t>
        </is>
      </c>
      <c r="C94" s="25" t="n"/>
      <c r="D94" s="43" t="n"/>
      <c r="E94" s="1070" t="n"/>
      <c r="F94" s="25" t="n"/>
      <c r="G94" s="43" t="n"/>
      <c r="H94" s="1070" t="n"/>
      <c r="I94" s="25" t="n"/>
      <c r="J94" s="43" t="n"/>
      <c r="K94" s="1070" t="n"/>
      <c r="L94" s="25" t="n"/>
      <c r="M94" s="43" t="n"/>
      <c r="N94" s="1070" t="n"/>
      <c r="O94" s="25" t="n"/>
      <c r="P94" s="43" t="n"/>
      <c r="Q94" s="1070" t="n"/>
      <c r="R94" s="25" t="n"/>
      <c r="S94" s="43" t="n"/>
      <c r="T94" s="1070" t="n"/>
      <c r="U94" s="25" t="n"/>
      <c r="V94" s="43" t="n"/>
      <c r="W94" s="1070" t="n"/>
      <c r="X94" s="25" t="n"/>
      <c r="Y94" s="43" t="n"/>
      <c r="Z94" s="1070" t="n"/>
      <c r="AA94" s="25" t="n"/>
      <c r="AB94" s="43" t="n"/>
      <c r="AC94" s="1070" t="n"/>
      <c r="AD94" s="25" t="n"/>
      <c r="AE94" s="43" t="n"/>
      <c r="AF94" s="1070" t="n"/>
      <c r="AG94" s="25" t="n"/>
      <c r="AH94" s="43" t="n"/>
      <c r="AI94" s="1070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71" t="n"/>
      <c r="AQ94" s="24" t="n"/>
      <c r="AR94" s="24" t="n"/>
      <c r="AS94" s="1133" t="n"/>
      <c r="AT94" s="1255" t="n"/>
    </row>
    <row r="95" outlineLevel="1" ht="15" customHeight="1" s="1016">
      <c r="B95" s="28" t="inlineStr">
        <is>
          <t>Equipo de Oficina</t>
        </is>
      </c>
      <c r="C95" s="28" t="n"/>
      <c r="D95" s="45" t="n"/>
      <c r="E95" s="1098" t="n"/>
      <c r="F95" s="28" t="n"/>
      <c r="G95" s="45" t="n"/>
      <c r="H95" s="1098" t="n"/>
      <c r="I95" s="28" t="n"/>
      <c r="J95" s="45" t="n"/>
      <c r="K95" s="1098" t="n"/>
      <c r="L95" s="28" t="n"/>
      <c r="M95" s="45" t="n"/>
      <c r="N95" s="1098" t="n"/>
      <c r="O95" s="28" t="n"/>
      <c r="P95" s="45" t="n"/>
      <c r="Q95" s="1098" t="n"/>
      <c r="R95" s="28" t="n"/>
      <c r="S95" s="45" t="n"/>
      <c r="T95" s="1098" t="n"/>
      <c r="U95" s="28" t="n"/>
      <c r="V95" s="45" t="n"/>
      <c r="W95" s="1098" t="n"/>
      <c r="X95" s="28" t="n"/>
      <c r="Y95" s="45" t="n"/>
      <c r="Z95" s="1098" t="n"/>
      <c r="AA95" s="28" t="n"/>
      <c r="AB95" s="45" t="n"/>
      <c r="AC95" s="1098" t="n"/>
      <c r="AD95" s="28" t="n"/>
      <c r="AE95" s="45" t="n"/>
      <c r="AF95" s="1098" t="n"/>
      <c r="AG95" s="28" t="n"/>
      <c r="AH95" s="45" t="n"/>
      <c r="AI95" s="1098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08" t="n"/>
      <c r="AQ95" s="27" t="n"/>
      <c r="AR95" s="27" t="n"/>
      <c r="AS95" s="1144" t="n"/>
      <c r="AT95" s="1255" t="n"/>
    </row>
    <row r="96" ht="15" customHeight="1" s="1016">
      <c r="B96" s="106" t="inlineStr">
        <is>
          <t>SEGUROS</t>
        </is>
      </c>
      <c r="C96" s="49">
        <f>SUM(C97:C98)</f>
        <v/>
      </c>
      <c r="D96" s="3" t="n"/>
      <c r="E96" s="1078" t="n"/>
      <c r="F96" s="49">
        <f>SUM(F97:F98)</f>
        <v/>
      </c>
      <c r="G96" s="3" t="n"/>
      <c r="H96" s="1078">
        <f>F96/(F$13)</f>
        <v/>
      </c>
      <c r="I96" s="90">
        <f>SUM(I97:I98)</f>
        <v/>
      </c>
      <c r="J96" s="3" t="n"/>
      <c r="K96" s="1078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078" t="n"/>
      <c r="R96" s="49">
        <f>SUM(R97:R98)</f>
        <v/>
      </c>
      <c r="S96" s="3" t="n"/>
      <c r="T96" s="1078">
        <f>R96/(R$13)</f>
        <v/>
      </c>
      <c r="U96" s="49">
        <f>SUM(U97:U98)</f>
        <v/>
      </c>
      <c r="V96" s="3" t="n"/>
      <c r="W96" s="1078">
        <f>U96/(U$13)</f>
        <v/>
      </c>
      <c r="X96" s="49">
        <f>SUM(X97:X98)</f>
        <v/>
      </c>
      <c r="Y96" s="3" t="n"/>
      <c r="Z96" s="1078">
        <f>X96/(X$13)</f>
        <v/>
      </c>
      <c r="AA96" s="49">
        <f>SUM(AA97:AA98)</f>
        <v/>
      </c>
      <c r="AB96" s="3" t="n"/>
      <c r="AC96" s="1078">
        <f>AA96/(AA$13)</f>
        <v/>
      </c>
      <c r="AD96" s="49">
        <f>SUM(AD97:AD98)</f>
        <v/>
      </c>
      <c r="AE96" s="3" t="n"/>
      <c r="AF96" s="1078">
        <f>AD96/(AD$13)</f>
        <v/>
      </c>
      <c r="AG96" s="49">
        <f>SUM(AG97:AG98)</f>
        <v/>
      </c>
      <c r="AH96" s="3" t="n"/>
      <c r="AI96" s="1078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01">
        <f>AM96/(AM$13)</f>
        <v/>
      </c>
      <c r="AQ96" s="17">
        <f>SUM(AQ97:AQ98)</f>
        <v/>
      </c>
      <c r="AR96" s="17">
        <f>AQ96/(AQ$12-AQ$9)</f>
        <v/>
      </c>
      <c r="AS96" s="1130">
        <f>AQ96/(AQ$13-AQ$20)</f>
        <v/>
      </c>
      <c r="AT96" s="1125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02" t="n"/>
      <c r="F97" s="39" t="n"/>
      <c r="G97" s="69" t="n"/>
      <c r="H97" s="1102" t="n"/>
      <c r="I97" s="39" t="n"/>
      <c r="J97" s="69" t="n"/>
      <c r="K97" s="1102" t="n"/>
      <c r="L97" s="39" t="n"/>
      <c r="M97" s="69" t="n"/>
      <c r="N97" s="1102" t="n"/>
      <c r="O97" s="39" t="n"/>
      <c r="P97" s="69" t="n"/>
      <c r="Q97" s="1102" t="n"/>
      <c r="R97" s="39" t="n"/>
      <c r="S97" s="69" t="n"/>
      <c r="T97" s="1102" t="n"/>
      <c r="U97" s="39" t="n"/>
      <c r="V97" s="69" t="n"/>
      <c r="W97" s="1102" t="n"/>
      <c r="X97" s="39" t="n"/>
      <c r="Y97" s="69" t="n"/>
      <c r="Z97" s="1102" t="n"/>
      <c r="AA97" s="39" t="n"/>
      <c r="AB97" s="69" t="n"/>
      <c r="AC97" s="1102" t="n"/>
      <c r="AD97" s="39" t="n"/>
      <c r="AE97" s="69" t="n"/>
      <c r="AF97" s="1102" t="n"/>
      <c r="AG97" s="39" t="n"/>
      <c r="AH97" s="69" t="n"/>
      <c r="AI97" s="1102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07" t="n"/>
      <c r="AQ97" s="31" t="n"/>
      <c r="AR97" s="31" t="n"/>
      <c r="AS97" s="1148" t="n"/>
      <c r="AT97" s="1255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09" t="n"/>
      <c r="F98" s="275" t="n"/>
      <c r="G98" s="276" t="n"/>
      <c r="H98" s="1109" t="n"/>
      <c r="I98" s="275" t="n"/>
      <c r="J98" s="276" t="n"/>
      <c r="K98" s="1109" t="n"/>
      <c r="L98" s="275" t="n"/>
      <c r="M98" s="276" t="n"/>
      <c r="N98" s="1109" t="n"/>
      <c r="O98" s="275" t="n"/>
      <c r="P98" s="276" t="n"/>
      <c r="Q98" s="1109" t="n"/>
      <c r="R98" s="275" t="n"/>
      <c r="S98" s="276" t="n"/>
      <c r="T98" s="1109" t="n"/>
      <c r="U98" s="275" t="n"/>
      <c r="V98" s="276" t="n"/>
      <c r="W98" s="1109" t="n"/>
      <c r="X98" s="275" t="n"/>
      <c r="Y98" s="276" t="n"/>
      <c r="Z98" s="1109" t="n"/>
      <c r="AA98" s="275" t="n"/>
      <c r="AB98" s="276" t="n"/>
      <c r="AC98" s="1109" t="n"/>
      <c r="AD98" s="275" t="n"/>
      <c r="AE98" s="276" t="n"/>
      <c r="AF98" s="1109" t="n"/>
      <c r="AG98" s="275" t="n"/>
      <c r="AH98" s="276" t="n"/>
      <c r="AI98" s="1109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10" t="n"/>
      <c r="AQ98" s="279" t="n"/>
      <c r="AR98" s="279" t="n"/>
      <c r="AS98" s="1150" t="n"/>
      <c r="AT98" s="1255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 t="n"/>
      <c r="F99" s="49">
        <f>SUM(F100:F108)</f>
        <v/>
      </c>
      <c r="G99" s="3" t="n"/>
      <c r="H99" s="1078">
        <f>F99/(F$13)</f>
        <v/>
      </c>
      <c r="I99" s="90">
        <f>SUM(I100:I106)</f>
        <v/>
      </c>
      <c r="J99" s="3" t="n"/>
      <c r="K99" s="1078">
        <f>I99/(I$13)</f>
        <v/>
      </c>
      <c r="L99" s="49">
        <f>SUM(L100:L108)</f>
        <v/>
      </c>
      <c r="M99" s="3" t="n"/>
      <c r="N99" s="1078" t="n"/>
      <c r="O99" s="49">
        <f>SUM(O100:O108)</f>
        <v/>
      </c>
      <c r="P99" s="3" t="n"/>
      <c r="Q99" s="1078" t="n"/>
      <c r="R99" s="49">
        <f>SUM(R100:R108)</f>
        <v/>
      </c>
      <c r="S99" s="3" t="n"/>
      <c r="T99" s="1078">
        <f>R99/(R$13)</f>
        <v/>
      </c>
      <c r="U99" s="49">
        <f>SUM(U100:U108)</f>
        <v/>
      </c>
      <c r="V99" s="3" t="n"/>
      <c r="W99" s="1078">
        <f>U99/(U$13)</f>
        <v/>
      </c>
      <c r="X99" s="49">
        <f>SUM(X100:X108)</f>
        <v/>
      </c>
      <c r="Y99" s="3" t="n"/>
      <c r="Z99" s="1078">
        <f>X99/(X$13)</f>
        <v/>
      </c>
      <c r="AA99" s="49">
        <f>SUM(AA100:AA108)</f>
        <v/>
      </c>
      <c r="AB99" s="3" t="n"/>
      <c r="AC99" s="1078">
        <f>AA99/(AA$13)</f>
        <v/>
      </c>
      <c r="AD99" s="49">
        <f>SUM(AD100:AD108)</f>
        <v/>
      </c>
      <c r="AE99" s="3" t="n"/>
      <c r="AF99" s="1078">
        <f>AD99/(AD$13)</f>
        <v/>
      </c>
      <c r="AG99" s="49">
        <f>SUM(AG100:AG108)</f>
        <v/>
      </c>
      <c r="AH99" s="3" t="n"/>
      <c r="AI99" s="1078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01">
        <f>AM99/(AM$13)</f>
        <v/>
      </c>
      <c r="AQ99" s="17">
        <f>SUM(AQ100:AQ108)</f>
        <v/>
      </c>
      <c r="AR99" s="17">
        <f>AQ99/(AQ$12-AQ$9)</f>
        <v/>
      </c>
      <c r="AS99" s="1130">
        <f>AQ99/(AQ$13-AQ$20)</f>
        <v/>
      </c>
      <c r="AT99" s="1125" t="n"/>
    </row>
    <row r="100" outlineLevel="1" ht="15" customHeight="1" s="1016">
      <c r="B100" s="39" t="inlineStr">
        <is>
          <t>Aseo y Vigilancia</t>
        </is>
      </c>
      <c r="C100" s="39" t="n"/>
      <c r="D100" s="69" t="n"/>
      <c r="E100" s="1102" t="n"/>
      <c r="F100" s="39" t="n"/>
      <c r="G100" s="69" t="n"/>
      <c r="H100" s="1102" t="n"/>
      <c r="I100" s="39" t="n"/>
      <c r="J100" s="69" t="n"/>
      <c r="K100" s="1102" t="n"/>
      <c r="L100" s="39" t="n"/>
      <c r="M100" s="69" t="n"/>
      <c r="N100" s="1102" t="n"/>
      <c r="O100" s="39" t="n"/>
      <c r="P100" s="69" t="n"/>
      <c r="Q100" s="1102" t="n"/>
      <c r="R100" s="39" t="n"/>
      <c r="S100" s="69" t="n"/>
      <c r="T100" s="1102" t="n"/>
      <c r="U100" s="39" t="n"/>
      <c r="V100" s="69" t="n"/>
      <c r="W100" s="1102" t="n"/>
      <c r="X100" s="39" t="n"/>
      <c r="Y100" s="69" t="n"/>
      <c r="Z100" s="1102" t="n"/>
      <c r="AA100" s="39" t="n"/>
      <c r="AB100" s="69" t="n"/>
      <c r="AC100" s="1102" t="n"/>
      <c r="AD100" s="39" t="n"/>
      <c r="AE100" s="69" t="n"/>
      <c r="AF100" s="1102" t="n"/>
      <c r="AG100" s="39" t="n"/>
      <c r="AH100" s="69" t="n"/>
      <c r="AI100" s="1102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07" t="n"/>
      <c r="AQ100" s="31" t="n"/>
      <c r="AR100" s="31" t="n"/>
      <c r="AS100" s="1148" t="n"/>
      <c r="AT100" s="1255" t="n"/>
    </row>
    <row r="101" outlineLevel="1" ht="15" customHeight="1" s="1016">
      <c r="B101" s="25" t="inlineStr">
        <is>
          <t>Temporales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  <c r="AQ101" s="24" t="n"/>
      <c r="AR101" s="24" t="n"/>
      <c r="AS101" s="1133" t="n"/>
      <c r="AT101" s="1255" t="n"/>
    </row>
    <row r="102" outlineLevel="1" ht="15" customHeight="1" s="1016">
      <c r="B102" s="25" t="inlineStr">
        <is>
          <t>Mensajeria</t>
        </is>
      </c>
      <c r="C102" s="25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  <c r="AQ102" s="24" t="n"/>
      <c r="AR102" s="24" t="n"/>
      <c r="AS102" s="1133" t="n"/>
      <c r="AT102" s="1255" t="n"/>
    </row>
    <row r="103" outlineLevel="1" ht="15" customHeight="1" s="1016">
      <c r="B103" s="25" t="inlineStr">
        <is>
          <t>Laboratorio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  <c r="AQ103" s="24" t="n"/>
      <c r="AR103" s="24" t="n"/>
      <c r="AS103" s="1133" t="n"/>
      <c r="AT103" s="1255" t="n"/>
    </row>
    <row r="104" outlineLevel="1" ht="15" customHeight="1" s="1016">
      <c r="B104" s="25" t="inlineStr">
        <is>
          <t>Fumigacion</t>
        </is>
      </c>
      <c r="C104" s="281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  <c r="AQ104" s="24" t="n"/>
      <c r="AR104" s="24" t="n"/>
      <c r="AS104" s="1133" t="n"/>
      <c r="AT104" s="1255" t="n"/>
    </row>
    <row r="105" outlineLevel="1" ht="15" customHeight="1" s="1016">
      <c r="B105" s="24" t="inlineStr">
        <is>
          <t>Acueducto y Alcantarillado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5" t="n"/>
      <c r="M105" s="43" t="n"/>
      <c r="N105" s="1070" t="n"/>
      <c r="O105" s="25" t="n"/>
      <c r="P105" s="43" t="n"/>
      <c r="Q105" s="1070" t="n"/>
      <c r="R105" s="25" t="n"/>
      <c r="S105" s="43" t="n"/>
      <c r="T105" s="1070" t="n"/>
      <c r="U105" s="25" t="n"/>
      <c r="V105" s="43" t="n"/>
      <c r="W105" s="1070" t="n"/>
      <c r="X105" s="25" t="n"/>
      <c r="Y105" s="43" t="n"/>
      <c r="Z105" s="1070" t="n"/>
      <c r="AA105" s="25" t="n"/>
      <c r="AB105" s="43" t="n"/>
      <c r="AC105" s="1070" t="n"/>
      <c r="AD105" s="25" t="n"/>
      <c r="AE105" s="43" t="n"/>
      <c r="AF105" s="1070" t="n"/>
      <c r="AG105" s="25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  <c r="AQ105" s="24" t="n"/>
      <c r="AR105" s="24" t="n"/>
      <c r="AS105" s="1133" t="n"/>
      <c r="AT105" s="1255" t="n"/>
    </row>
    <row r="106" outlineLevel="1" ht="15" customHeight="1" s="1016">
      <c r="B106" s="24" t="inlineStr">
        <is>
          <t>Energia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390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  <c r="AQ106" s="24" t="n"/>
      <c r="AR106" s="24" t="n"/>
      <c r="AS106" s="1133" t="n"/>
      <c r="AT106" s="1255" t="n"/>
    </row>
    <row r="107" outlineLevel="1" ht="15" customHeight="1" s="1016">
      <c r="B107" s="24" t="inlineStr">
        <is>
          <t>Telefono e Internet</t>
        </is>
      </c>
      <c r="C107" s="25" t="n"/>
      <c r="D107" s="43" t="n"/>
      <c r="E107" s="1070" t="n"/>
      <c r="F107" s="25" t="n"/>
      <c r="G107" s="43" t="n"/>
      <c r="H107" s="1070" t="n"/>
      <c r="I107" s="25" t="n"/>
      <c r="J107" s="43" t="n"/>
      <c r="K107" s="1070" t="n"/>
      <c r="L107" s="390" t="n"/>
      <c r="M107" s="43" t="n"/>
      <c r="N107" s="1070" t="n"/>
      <c r="O107" s="274" t="n"/>
      <c r="P107" s="43" t="n"/>
      <c r="Q107" s="1070" t="n"/>
      <c r="R107" s="274" t="n"/>
      <c r="S107" s="43" t="n"/>
      <c r="T107" s="1070" t="n"/>
      <c r="U107" s="274" t="n"/>
      <c r="V107" s="43" t="n"/>
      <c r="W107" s="1070" t="n"/>
      <c r="X107" s="274" t="n"/>
      <c r="Y107" s="43" t="n"/>
      <c r="Z107" s="1070" t="n"/>
      <c r="AA107" s="274" t="n"/>
      <c r="AB107" s="43" t="n"/>
      <c r="AC107" s="1070" t="n"/>
      <c r="AD107" s="282" t="n"/>
      <c r="AE107" s="43" t="n"/>
      <c r="AF107" s="1070" t="n"/>
      <c r="AG107" s="283" t="n"/>
      <c r="AH107" s="43" t="n"/>
      <c r="AI107" s="1070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71" t="n"/>
      <c r="AQ107" s="24" t="n"/>
      <c r="AR107" s="24" t="n"/>
      <c r="AS107" s="1133" t="n"/>
      <c r="AT107" s="1255" t="n"/>
    </row>
    <row r="108" outlineLevel="1" ht="15" customHeight="1" s="1016">
      <c r="B108" s="99" t="inlineStr">
        <is>
          <t>Correo, porte y telegramas</t>
        </is>
      </c>
      <c r="C108" s="22" t="n"/>
      <c r="D108" s="42" t="n"/>
      <c r="E108" s="1082" t="n"/>
      <c r="F108" s="2" t="n"/>
      <c r="G108" s="42" t="n"/>
      <c r="H108" s="1082" t="n"/>
      <c r="I108" s="108" t="n"/>
      <c r="J108" s="42" t="n"/>
      <c r="K108" s="1082" t="n"/>
      <c r="L108" s="450" t="n"/>
      <c r="M108" s="42" t="n"/>
      <c r="N108" s="1082" t="n"/>
      <c r="O108" s="2" t="n"/>
      <c r="P108" s="42" t="n"/>
      <c r="Q108" s="1082" t="n"/>
      <c r="R108" s="2" t="n"/>
      <c r="S108" s="42" t="n"/>
      <c r="T108" s="1082" t="n"/>
      <c r="U108" s="2" t="n"/>
      <c r="V108" s="42" t="n"/>
      <c r="W108" s="1082" t="n"/>
      <c r="X108" s="2" t="n"/>
      <c r="Y108" s="42" t="n"/>
      <c r="Z108" s="1082" t="n"/>
      <c r="AA108" s="2" t="n"/>
      <c r="AB108" s="42" t="n"/>
      <c r="AC108" s="1082" t="n"/>
      <c r="AD108" s="2" t="n"/>
      <c r="AE108" s="42" t="n"/>
      <c r="AF108" s="1082" t="n"/>
      <c r="AG108" s="28" t="n"/>
      <c r="AH108" s="42" t="n"/>
      <c r="AI108" s="1082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83" t="n"/>
      <c r="AQ108" s="23" t="n"/>
      <c r="AR108" s="23" t="n"/>
      <c r="AS108" s="1132" t="n"/>
      <c r="AT108" s="1255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 t="n"/>
      <c r="F109" s="49">
        <f>SUM(F110:F113)</f>
        <v/>
      </c>
      <c r="G109" s="3" t="n"/>
      <c r="H109" s="1078">
        <f>F109/(F$13)</f>
        <v/>
      </c>
      <c r="I109" s="90">
        <f>SUM(I110:I113)</f>
        <v/>
      </c>
      <c r="J109" s="3" t="n"/>
      <c r="K109" s="1078">
        <f>I109/(I$13)</f>
        <v/>
      </c>
      <c r="L109" s="49">
        <f>SUM(L110:L113)</f>
        <v/>
      </c>
      <c r="M109" s="3" t="n"/>
      <c r="N109" s="1078" t="n"/>
      <c r="O109" s="49">
        <f>SUM(O110:O113)</f>
        <v/>
      </c>
      <c r="P109" s="3" t="n"/>
      <c r="Q109" s="1078" t="n"/>
      <c r="R109" s="49">
        <f>SUM(R110:R113)</f>
        <v/>
      </c>
      <c r="S109" s="3" t="n"/>
      <c r="T109" s="1078">
        <f>R109/(R$13)</f>
        <v/>
      </c>
      <c r="U109" s="49">
        <f>SUM(U110:U113)</f>
        <v/>
      </c>
      <c r="V109" s="3" t="n"/>
      <c r="W109" s="1078">
        <f>U109/(U$13)</f>
        <v/>
      </c>
      <c r="X109" s="49">
        <f>SUM(X110:X113)</f>
        <v/>
      </c>
      <c r="Y109" s="3" t="n"/>
      <c r="Z109" s="1078">
        <f>X109/(X$13)</f>
        <v/>
      </c>
      <c r="AA109" s="49">
        <f>SUM(AA110:AA113)</f>
        <v/>
      </c>
      <c r="AB109" s="3" t="n"/>
      <c r="AC109" s="1078">
        <f>AA109/(AA$13)</f>
        <v/>
      </c>
      <c r="AD109" s="49">
        <f>SUM(AD110:AD113)</f>
        <v/>
      </c>
      <c r="AE109" s="3" t="n"/>
      <c r="AF109" s="1078">
        <f>AD109/(AD$13)</f>
        <v/>
      </c>
      <c r="AG109" s="49">
        <f>SUM(AG110:AG113)</f>
        <v/>
      </c>
      <c r="AH109" s="3" t="n"/>
      <c r="AI109" s="1078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01">
        <f>AM109/(AM$13)</f>
        <v/>
      </c>
      <c r="AQ109" s="17">
        <f>SUM(AQ110:AQ113)</f>
        <v/>
      </c>
      <c r="AR109" s="17">
        <f>AQ109/(AQ$12-AQ$9)</f>
        <v/>
      </c>
      <c r="AS109" s="1130">
        <f>AQ109/(AQ$13-AQ$20)</f>
        <v/>
      </c>
      <c r="AT109" s="1125" t="n"/>
    </row>
    <row r="110" outlineLevel="1" ht="15" customHeight="1" s="1016">
      <c r="B110" s="39" t="inlineStr">
        <is>
          <t>Notariales</t>
        </is>
      </c>
      <c r="C110" s="39" t="n"/>
      <c r="D110" s="69" t="n"/>
      <c r="E110" s="1102" t="n"/>
      <c r="F110" s="39" t="n"/>
      <c r="G110" s="69" t="n"/>
      <c r="H110" s="1102" t="n"/>
      <c r="I110" s="39" t="n"/>
      <c r="J110" s="69" t="n"/>
      <c r="K110" s="1102" t="n"/>
      <c r="L110" s="39" t="n"/>
      <c r="M110" s="69" t="n"/>
      <c r="N110" s="1102" t="n"/>
      <c r="O110" s="39" t="n"/>
      <c r="P110" s="69" t="n"/>
      <c r="Q110" s="1102" t="n"/>
      <c r="R110" s="39" t="n"/>
      <c r="S110" s="69" t="n"/>
      <c r="T110" s="1102" t="n"/>
      <c r="U110" s="39" t="n"/>
      <c r="V110" s="69" t="n"/>
      <c r="W110" s="1102" t="n"/>
      <c r="X110" s="39" t="n"/>
      <c r="Y110" s="69" t="n"/>
      <c r="Z110" s="1102" t="n"/>
      <c r="AA110" s="39" t="n"/>
      <c r="AB110" s="69" t="n"/>
      <c r="AC110" s="1102" t="n"/>
      <c r="AD110" s="39" t="n"/>
      <c r="AE110" s="69" t="n"/>
      <c r="AF110" s="1102" t="n"/>
      <c r="AG110" s="39" t="n"/>
      <c r="AH110" s="69" t="n"/>
      <c r="AI110" s="1102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07" t="n"/>
      <c r="AQ110" s="31" t="n"/>
      <c r="AR110" s="31" t="n"/>
      <c r="AS110" s="1148" t="n"/>
      <c r="AT110" s="1255" t="n"/>
    </row>
    <row r="111" outlineLevel="1" ht="15" customHeight="1" s="1016">
      <c r="B111" s="25" t="inlineStr">
        <is>
          <t>Registro Mercantil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  <c r="AQ111" s="24" t="n"/>
      <c r="AR111" s="24" t="n"/>
      <c r="AS111" s="1133" t="n"/>
      <c r="AT111" s="1255" t="n"/>
    </row>
    <row r="112" outlineLevel="1" ht="15" customHeight="1" s="1016">
      <c r="B112" s="25" t="inlineStr">
        <is>
          <t>Trámites y Licencias</t>
        </is>
      </c>
      <c r="C112" s="25" t="n"/>
      <c r="D112" s="43" t="n"/>
      <c r="E112" s="1070" t="n"/>
      <c r="F112" s="25" t="n"/>
      <c r="G112" s="43" t="n"/>
      <c r="H112" s="1070" t="n"/>
      <c r="I112" s="25" t="n"/>
      <c r="J112" s="43" t="n"/>
      <c r="K112" s="1070" t="n"/>
      <c r="L112" s="25" t="n"/>
      <c r="M112" s="43" t="n"/>
      <c r="N112" s="1070" t="n"/>
      <c r="O112" s="25" t="n"/>
      <c r="P112" s="43" t="n"/>
      <c r="Q112" s="1070" t="n"/>
      <c r="R112" s="25" t="n"/>
      <c r="S112" s="43" t="n"/>
      <c r="T112" s="1070" t="n"/>
      <c r="U112" s="25" t="n"/>
      <c r="V112" s="43" t="n"/>
      <c r="W112" s="1070" t="n"/>
      <c r="X112" s="25" t="n"/>
      <c r="Y112" s="43" t="n"/>
      <c r="Z112" s="1070" t="n"/>
      <c r="AA112" s="25" t="n"/>
      <c r="AB112" s="43" t="n"/>
      <c r="AC112" s="1070" t="n"/>
      <c r="AD112" s="25" t="n"/>
      <c r="AE112" s="43" t="n"/>
      <c r="AF112" s="1070" t="n"/>
      <c r="AG112" s="25" t="n"/>
      <c r="AH112" s="43" t="n"/>
      <c r="AI112" s="1070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71" t="n"/>
      <c r="AQ112" s="24" t="n"/>
      <c r="AR112" s="24" t="n"/>
      <c r="AS112" s="1133" t="n"/>
      <c r="AT112" s="1255" t="n"/>
    </row>
    <row r="113" outlineLevel="1" ht="15" customHeight="1" s="1016">
      <c r="B113" s="28" t="inlineStr">
        <is>
          <t xml:space="preserve">Certificados Camara Comercio        </t>
        </is>
      </c>
      <c r="C113" s="28" t="n"/>
      <c r="D113" s="45" t="n"/>
      <c r="E113" s="1098" t="n"/>
      <c r="F113" s="28" t="n"/>
      <c r="G113" s="45" t="n"/>
      <c r="H113" s="1098" t="n"/>
      <c r="I113" s="28" t="n"/>
      <c r="J113" s="45" t="n"/>
      <c r="K113" s="1098" t="n"/>
      <c r="L113" s="28" t="n"/>
      <c r="M113" s="45" t="n"/>
      <c r="N113" s="1098" t="n"/>
      <c r="O113" s="28" t="n"/>
      <c r="P113" s="45" t="n"/>
      <c r="Q113" s="1098" t="n"/>
      <c r="R113" s="28" t="n"/>
      <c r="S113" s="45" t="n"/>
      <c r="T113" s="1098" t="n"/>
      <c r="U113" s="28" t="n"/>
      <c r="V113" s="45" t="n"/>
      <c r="W113" s="1098" t="n"/>
      <c r="X113" s="28" t="n"/>
      <c r="Y113" s="45" t="n"/>
      <c r="Z113" s="1098" t="n"/>
      <c r="AA113" s="28" t="n"/>
      <c r="AB113" s="45" t="n"/>
      <c r="AC113" s="1098" t="n"/>
      <c r="AD113" s="28" t="n"/>
      <c r="AE113" s="45" t="n"/>
      <c r="AF113" s="1098" t="n"/>
      <c r="AG113" s="28" t="n"/>
      <c r="AH113" s="45" t="n"/>
      <c r="AI113" s="1098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08" t="n"/>
      <c r="AQ113" s="27" t="n"/>
      <c r="AR113" s="27" t="n"/>
      <c r="AS113" s="1144" t="n"/>
      <c r="AT113" s="1255" t="n"/>
    </row>
    <row r="114" ht="15" customHeight="1" s="1016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78" t="n"/>
      <c r="F114" s="49">
        <f>SUM(F115:F116)</f>
        <v/>
      </c>
      <c r="G114" s="3" t="n"/>
      <c r="H114" s="1078">
        <f>F114/(F$13)</f>
        <v/>
      </c>
      <c r="I114" s="90">
        <f>SUM(I115:I116)</f>
        <v/>
      </c>
      <c r="J114" s="3" t="n"/>
      <c r="K114" s="1078">
        <f>I114/(I$13)</f>
        <v/>
      </c>
      <c r="L114" s="49">
        <f>SUM(L115:L116)</f>
        <v/>
      </c>
      <c r="M114" s="3" t="n"/>
      <c r="N114" s="1078" t="n"/>
      <c r="O114" s="49">
        <f>SUM(O115:O116)</f>
        <v/>
      </c>
      <c r="P114" s="3" t="n"/>
      <c r="Q114" s="1078" t="n"/>
      <c r="R114" s="49">
        <f>SUM(R115:R116)</f>
        <v/>
      </c>
      <c r="S114" s="3" t="n"/>
      <c r="T114" s="1078">
        <f>R114/(R$13)</f>
        <v/>
      </c>
      <c r="U114" s="49">
        <f>SUM(U115:U116)</f>
        <v/>
      </c>
      <c r="V114" s="3" t="n"/>
      <c r="W114" s="1078">
        <f>U114/(U$13)</f>
        <v/>
      </c>
      <c r="X114" s="49">
        <f>SUM(X115:X116)</f>
        <v/>
      </c>
      <c r="Y114" s="3" t="n"/>
      <c r="Z114" s="1078">
        <f>X114/(X$13)</f>
        <v/>
      </c>
      <c r="AA114" s="49">
        <f>SUM(AA115:AA116)</f>
        <v/>
      </c>
      <c r="AB114" s="3" t="n"/>
      <c r="AC114" s="1078">
        <f>AA114/(AA$13)</f>
        <v/>
      </c>
      <c r="AD114" s="49" t="n"/>
      <c r="AE114" s="3" t="n"/>
      <c r="AF114" s="1078">
        <f>AD114/(AD$13)</f>
        <v/>
      </c>
      <c r="AG114" s="49">
        <f>SUM(AG115:AG116)</f>
        <v/>
      </c>
      <c r="AH114" s="3" t="n"/>
      <c r="AI114" s="1078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01">
        <f>AM114/(AM$13)</f>
        <v/>
      </c>
      <c r="AQ114" s="17">
        <f>SUM(AQ115:AQ119)</f>
        <v/>
      </c>
      <c r="AR114" s="17">
        <f>AQ114/(AQ$12-AQ$9)</f>
        <v/>
      </c>
      <c r="AS114" s="1130">
        <f>AQ114/(AQ$13-AQ$20)</f>
        <v/>
      </c>
      <c r="AT114" s="1125" t="n"/>
    </row>
    <row r="115" outlineLevel="1" ht="15" customHeight="1" s="1016">
      <c r="B115" s="39" t="inlineStr">
        <is>
          <t xml:space="preserve">Construcciones y Edificaciones          </t>
        </is>
      </c>
      <c r="C115" s="39" t="n"/>
      <c r="D115" s="69" t="n"/>
      <c r="E115" s="1102" t="n"/>
      <c r="F115" s="39" t="n"/>
      <c r="G115" s="69" t="n"/>
      <c r="H115" s="1102" t="n"/>
      <c r="I115" s="39" t="n"/>
      <c r="J115" s="69" t="n"/>
      <c r="K115" s="1102" t="n"/>
      <c r="L115" s="39" t="n"/>
      <c r="M115" s="69" t="n"/>
      <c r="N115" s="1102" t="n"/>
      <c r="O115" s="39" t="n"/>
      <c r="P115" s="69" t="n"/>
      <c r="Q115" s="1102" t="n"/>
      <c r="R115" s="39" t="n"/>
      <c r="S115" s="69" t="n"/>
      <c r="T115" s="1102" t="n"/>
      <c r="U115" s="39" t="n"/>
      <c r="V115" s="69" t="n"/>
      <c r="W115" s="1102" t="n"/>
      <c r="X115" s="39" t="n"/>
      <c r="Y115" s="69" t="n"/>
      <c r="Z115" s="1102" t="n"/>
      <c r="AA115" s="39" t="n"/>
      <c r="AB115" s="69" t="n"/>
      <c r="AC115" s="1102" t="n"/>
      <c r="AD115" s="39" t="n"/>
      <c r="AE115" s="69" t="n"/>
      <c r="AF115" s="1102" t="n"/>
      <c r="AG115" s="39" t="n"/>
      <c r="AH115" s="69" t="n"/>
      <c r="AI115" s="1102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07" t="n"/>
      <c r="AQ115" s="31" t="n"/>
      <c r="AR115" s="31" t="n"/>
      <c r="AS115" s="1148" t="n"/>
      <c r="AT115" s="1255" t="n"/>
    </row>
    <row r="116" outlineLevel="1" ht="15" customHeight="1" s="1016">
      <c r="B116" s="25" t="inlineStr">
        <is>
          <t xml:space="preserve">Maquinaria y Equipo                     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  <c r="AQ116" s="24" t="n"/>
      <c r="AR116" s="24" t="n"/>
      <c r="AS116" s="1133" t="n"/>
      <c r="AT116" s="1255" t="n"/>
    </row>
    <row r="117" outlineLevel="1" ht="15" customHeight="1" s="1016">
      <c r="B117" s="205" t="inlineStr">
        <is>
          <t>Equipos de Cocina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  <c r="AQ117" s="24" t="n"/>
      <c r="AR117" s="24" t="n"/>
      <c r="AS117" s="1133" t="n"/>
      <c r="AT117" s="1255" t="n"/>
    </row>
    <row r="118" outlineLevel="1" ht="15" customHeight="1" s="1016">
      <c r="B118" s="205" t="inlineStr">
        <is>
          <t xml:space="preserve">Equipo de Oficina                       </t>
        </is>
      </c>
      <c r="C118" s="25" t="n"/>
      <c r="D118" s="43" t="n"/>
      <c r="E118" s="1070" t="n"/>
      <c r="F118" s="25" t="n"/>
      <c r="G118" s="43" t="n"/>
      <c r="H118" s="1070" t="n"/>
      <c r="I118" s="25" t="n"/>
      <c r="J118" s="43" t="n"/>
      <c r="K118" s="1070" t="n"/>
      <c r="L118" s="25" t="n"/>
      <c r="M118" s="43" t="n"/>
      <c r="N118" s="1070" t="n"/>
      <c r="O118" s="25" t="n"/>
      <c r="P118" s="43" t="n"/>
      <c r="Q118" s="1070" t="n"/>
      <c r="R118" s="25" t="n"/>
      <c r="S118" s="43" t="n"/>
      <c r="T118" s="1070" t="n"/>
      <c r="U118" s="25" t="n"/>
      <c r="V118" s="43" t="n"/>
      <c r="W118" s="1070" t="n"/>
      <c r="X118" s="25" t="n"/>
      <c r="Y118" s="43" t="n"/>
      <c r="Z118" s="1070" t="n"/>
      <c r="AA118" s="25" t="n"/>
      <c r="AB118" s="43" t="n"/>
      <c r="AC118" s="1070" t="n"/>
      <c r="AD118" s="25" t="n"/>
      <c r="AE118" s="43" t="n"/>
      <c r="AF118" s="1070" t="n"/>
      <c r="AG118" s="25" t="n"/>
      <c r="AH118" s="43" t="n"/>
      <c r="AI118" s="1070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71" t="n"/>
      <c r="AQ118" s="24" t="n"/>
      <c r="AR118" s="24" t="n"/>
      <c r="AS118" s="1133" t="n"/>
      <c r="AT118" s="1255" t="n"/>
    </row>
    <row r="119" outlineLevel="1" ht="15" customHeight="1" s="1016">
      <c r="B119" s="97" t="inlineStr">
        <is>
          <t xml:space="preserve">Acueductos, planta y redes              </t>
        </is>
      </c>
      <c r="C119" s="28" t="n"/>
      <c r="D119" s="42" t="n"/>
      <c r="E119" s="1082" t="n"/>
      <c r="F119" s="22" t="n"/>
      <c r="G119" s="42" t="n"/>
      <c r="H119" s="1082" t="n"/>
      <c r="I119" s="22" t="n"/>
      <c r="J119" s="42" t="n"/>
      <c r="K119" s="1082" t="n"/>
      <c r="L119" s="22" t="n"/>
      <c r="M119" s="42" t="n"/>
      <c r="N119" s="1082" t="n"/>
      <c r="O119" s="22" t="n"/>
      <c r="P119" s="42" t="n"/>
      <c r="Q119" s="1082" t="n"/>
      <c r="R119" s="22" t="n"/>
      <c r="S119" s="42" t="n"/>
      <c r="T119" s="1082" t="n"/>
      <c r="U119" s="22" t="n"/>
      <c r="V119" s="42" t="n"/>
      <c r="W119" s="1082" t="n"/>
      <c r="X119" s="22" t="n"/>
      <c r="Y119" s="42" t="n"/>
      <c r="Z119" s="1082" t="n"/>
      <c r="AA119" s="22" t="n"/>
      <c r="AB119" s="42" t="n"/>
      <c r="AC119" s="1082" t="n"/>
      <c r="AD119" s="22" t="n"/>
      <c r="AE119" s="42" t="n"/>
      <c r="AF119" s="1082" t="n"/>
      <c r="AG119" s="22" t="n"/>
      <c r="AH119" s="42" t="n"/>
      <c r="AI119" s="1082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83" t="n"/>
      <c r="AQ119" s="23" t="n"/>
      <c r="AR119" s="23" t="n"/>
      <c r="AS119" s="1132" t="n"/>
      <c r="AT119" s="1255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 t="n"/>
      <c r="F120" s="49">
        <f>SUM(F121)</f>
        <v/>
      </c>
      <c r="G120" s="3" t="n"/>
      <c r="H120" s="1078">
        <f>F120/(F$13)</f>
        <v/>
      </c>
      <c r="I120" s="90">
        <f>SUM(I121)</f>
        <v/>
      </c>
      <c r="J120" s="3" t="n"/>
      <c r="K120" s="1078">
        <f>I120/(I$13)</f>
        <v/>
      </c>
      <c r="L120" s="49">
        <f>SUM(L121)</f>
        <v/>
      </c>
      <c r="M120" s="3" t="n"/>
      <c r="N120" s="1078" t="n"/>
      <c r="O120" s="49">
        <f>SUM(O121)</f>
        <v/>
      </c>
      <c r="P120" s="3" t="n"/>
      <c r="Q120" s="1078" t="n"/>
      <c r="R120" s="49">
        <f>SUM(R121:R122)</f>
        <v/>
      </c>
      <c r="S120" s="3" t="n"/>
      <c r="T120" s="1078">
        <f>R120/(R$13)</f>
        <v/>
      </c>
      <c r="U120" s="49">
        <f>SUM(U121:U122)</f>
        <v/>
      </c>
      <c r="V120" s="3" t="n"/>
      <c r="W120" s="1078">
        <f>U120/(U$13)</f>
        <v/>
      </c>
      <c r="X120" s="49">
        <f>SUM(X121:X122)</f>
        <v/>
      </c>
      <c r="Y120" s="3" t="n"/>
      <c r="Z120" s="1078">
        <f>X120/(X$13)</f>
        <v/>
      </c>
      <c r="AA120" s="49">
        <f>SUM(AA121)</f>
        <v/>
      </c>
      <c r="AB120" s="3" t="n"/>
      <c r="AC120" s="1078">
        <f>AA120/(AA$13)</f>
        <v/>
      </c>
      <c r="AD120" s="49">
        <f>SUM(AD121)</f>
        <v/>
      </c>
      <c r="AE120" s="3" t="n"/>
      <c r="AF120" s="1078">
        <f>AD120/(AD$13)</f>
        <v/>
      </c>
      <c r="AG120" s="49">
        <f>SUM(AG121)</f>
        <v/>
      </c>
      <c r="AH120" s="3" t="n"/>
      <c r="AI120" s="1078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01">
        <f>AM120/(AM$13)</f>
        <v/>
      </c>
      <c r="AQ120" s="17">
        <f>SUM(AQ121:AQ122)</f>
        <v/>
      </c>
      <c r="AR120" s="17">
        <f>AQ120/(AQ$12-AQ$9)</f>
        <v/>
      </c>
      <c r="AS120" s="1130">
        <f>AQ120/(AQ$13-AQ$20)</f>
        <v/>
      </c>
      <c r="AT120" s="1125" t="n"/>
    </row>
    <row r="121" ht="15" customHeight="1" s="1016">
      <c r="B121" s="39" t="inlineStr">
        <is>
          <t>Instalaciones Electricas</t>
        </is>
      </c>
      <c r="C121" s="39" t="n"/>
      <c r="D121" s="69" t="n"/>
      <c r="E121" s="1102" t="n"/>
      <c r="F121" s="39" t="n"/>
      <c r="G121" s="69" t="n"/>
      <c r="H121" s="1102" t="n"/>
      <c r="I121" s="39" t="n"/>
      <c r="J121" s="69" t="n"/>
      <c r="K121" s="1102" t="n"/>
      <c r="L121" s="39" t="n"/>
      <c r="M121" s="69" t="n"/>
      <c r="N121" s="1102" t="n"/>
      <c r="O121" s="39" t="n"/>
      <c r="P121" s="69" t="n"/>
      <c r="Q121" s="1102" t="n"/>
      <c r="R121" s="39" t="n"/>
      <c r="S121" s="69" t="n"/>
      <c r="T121" s="1102" t="n"/>
      <c r="U121" s="39" t="n"/>
      <c r="V121" s="69" t="n"/>
      <c r="W121" s="1102" t="n"/>
      <c r="X121" s="39" t="n"/>
      <c r="Y121" s="69" t="n"/>
      <c r="Z121" s="1102" t="n"/>
      <c r="AA121" s="39" t="n"/>
      <c r="AB121" s="69" t="n"/>
      <c r="AC121" s="1102" t="n"/>
      <c r="AD121" s="39" t="n"/>
      <c r="AE121" s="69" t="n"/>
      <c r="AF121" s="1102" t="n"/>
      <c r="AG121" s="39" t="n"/>
      <c r="AH121" s="69" t="n"/>
      <c r="AI121" s="1102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07" t="n"/>
      <c r="AQ121" s="31" t="n"/>
      <c r="AR121" s="31" t="n"/>
      <c r="AS121" s="1148" t="n"/>
      <c r="AT121" s="1255" t="n"/>
    </row>
    <row r="122" ht="15" customHeight="1" s="1016">
      <c r="B122" s="284" t="inlineStr">
        <is>
          <t>Reparaciones Locativas</t>
        </is>
      </c>
      <c r="C122" s="91" t="n"/>
      <c r="D122" s="92" t="n"/>
      <c r="E122" s="1088" t="n"/>
      <c r="F122" s="91" t="n"/>
      <c r="G122" s="92" t="n"/>
      <c r="H122" s="1088" t="n"/>
      <c r="I122" s="91" t="n"/>
      <c r="J122" s="92" t="n"/>
      <c r="K122" s="1088" t="n"/>
      <c r="L122" s="91" t="n"/>
      <c r="M122" s="92" t="n"/>
      <c r="N122" s="1088" t="n"/>
      <c r="O122" s="91" t="n"/>
      <c r="P122" s="92" t="n"/>
      <c r="Q122" s="1088" t="n"/>
      <c r="R122" s="91" t="n"/>
      <c r="S122" s="92" t="n"/>
      <c r="T122" s="1088" t="n"/>
      <c r="U122" s="91" t="n"/>
      <c r="V122" s="92" t="n"/>
      <c r="W122" s="1088" t="n"/>
      <c r="X122" s="91" t="n"/>
      <c r="Y122" s="92" t="n"/>
      <c r="Z122" s="1088" t="n"/>
      <c r="AA122" s="91" t="n"/>
      <c r="AB122" s="92" t="n"/>
      <c r="AC122" s="1088" t="n"/>
      <c r="AD122" s="91" t="n"/>
      <c r="AE122" s="92" t="n"/>
      <c r="AF122" s="1088" t="n"/>
      <c r="AG122" s="91" t="n"/>
      <c r="AH122" s="92" t="n"/>
      <c r="AI122" s="1088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89" t="n"/>
      <c r="AQ122" s="133" t="n"/>
      <c r="AR122" s="133" t="n"/>
      <c r="AS122" s="1151" t="n"/>
      <c r="AT122" s="1255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 t="n"/>
      <c r="F123" s="49">
        <f>SUM(F124:F126)</f>
        <v/>
      </c>
      <c r="G123" s="3" t="n"/>
      <c r="H123" s="1078">
        <f>F123/(F$13)</f>
        <v/>
      </c>
      <c r="I123" s="90">
        <f>SUM(I124:I126)</f>
        <v/>
      </c>
      <c r="J123" s="3" t="n"/>
      <c r="K123" s="1078">
        <f>I123/(I$13)</f>
        <v/>
      </c>
      <c r="L123" s="49">
        <f>SUM(L124:L126)</f>
        <v/>
      </c>
      <c r="M123" s="3" t="n"/>
      <c r="N123" s="1078" t="n"/>
      <c r="O123" s="49">
        <f>SUM(O124:O126)</f>
        <v/>
      </c>
      <c r="P123" s="3" t="n"/>
      <c r="Q123" s="1078" t="n"/>
      <c r="R123" s="49">
        <f>SUM(R124:R126)</f>
        <v/>
      </c>
      <c r="S123" s="3" t="n"/>
      <c r="T123" s="1078">
        <f>R123/(R$13)</f>
        <v/>
      </c>
      <c r="U123" s="49">
        <f>SUM(U124:U126)</f>
        <v/>
      </c>
      <c r="V123" s="3" t="n"/>
      <c r="W123" s="1078">
        <f>U123/(U$13)</f>
        <v/>
      </c>
      <c r="X123" s="49">
        <f>SUM(X124:X126)</f>
        <v/>
      </c>
      <c r="Y123" s="3" t="n"/>
      <c r="Z123" s="1078">
        <f>X123/(X$13)</f>
        <v/>
      </c>
      <c r="AA123" s="49">
        <f>SUM(AA124:AA126)</f>
        <v/>
      </c>
      <c r="AB123" s="3" t="n"/>
      <c r="AC123" s="1078">
        <f>AA123/(AA$13)</f>
        <v/>
      </c>
      <c r="AD123" s="49" t="n"/>
      <c r="AE123" s="3" t="n"/>
      <c r="AF123" s="1078">
        <f>AD123/(AD$13)</f>
        <v/>
      </c>
      <c r="AG123" s="49">
        <f>SUM(AG124:AG126)</f>
        <v/>
      </c>
      <c r="AH123" s="3" t="n"/>
      <c r="AI123" s="1078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01">
        <f>AM123/(AM$13)</f>
        <v/>
      </c>
      <c r="AQ123" s="17">
        <f>SUM(AQ124:AQ126)</f>
        <v/>
      </c>
      <c r="AR123" s="17">
        <f>AQ123/(AQ$12-AQ$9)</f>
        <v/>
      </c>
      <c r="AS123" s="1130">
        <f>AQ123/(AQ$13-AQ$20)</f>
        <v/>
      </c>
      <c r="AT123" s="1125" t="n"/>
    </row>
    <row r="124" outlineLevel="1" ht="15" customHeight="1" s="1016">
      <c r="B124" s="39" t="inlineStr">
        <is>
          <t>Alojamiento y Manutención</t>
        </is>
      </c>
      <c r="C124" s="39" t="n"/>
      <c r="D124" s="69" t="n"/>
      <c r="E124" s="1102" t="n"/>
      <c r="F124" s="39" t="n"/>
      <c r="G124" s="69" t="n"/>
      <c r="H124" s="1102" t="n"/>
      <c r="I124" s="39" t="n"/>
      <c r="J124" s="69" t="n"/>
      <c r="K124" s="1102" t="n"/>
      <c r="L124" s="39" t="n"/>
      <c r="M124" s="69" t="n"/>
      <c r="N124" s="1102" t="n"/>
      <c r="O124" s="39" t="n"/>
      <c r="P124" s="69" t="n"/>
      <c r="Q124" s="1102" t="n"/>
      <c r="R124" s="39" t="n"/>
      <c r="S124" s="69" t="n"/>
      <c r="T124" s="1102" t="n"/>
      <c r="U124" s="39" t="n"/>
      <c r="V124" s="69" t="n"/>
      <c r="W124" s="1102" t="n"/>
      <c r="X124" s="39" t="n"/>
      <c r="Y124" s="69" t="n"/>
      <c r="Z124" s="1102" t="n"/>
      <c r="AA124" s="39" t="n"/>
      <c r="AB124" s="69" t="n"/>
      <c r="AC124" s="1102" t="n"/>
      <c r="AD124" s="39" t="n"/>
      <c r="AE124" s="69" t="n"/>
      <c r="AF124" s="1102" t="n"/>
      <c r="AG124" s="39" t="n"/>
      <c r="AH124" s="69" t="n"/>
      <c r="AI124" s="1102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07" t="n"/>
      <c r="AQ124" s="31" t="n"/>
      <c r="AR124" s="31" t="n"/>
      <c r="AS124" s="1148" t="n"/>
      <c r="AT124" s="1255" t="n"/>
    </row>
    <row r="125" outlineLevel="1" ht="15" customHeight="1" s="1016">
      <c r="B125" s="25" t="inlineStr">
        <is>
          <t>Pasajes Aereos</t>
        </is>
      </c>
      <c r="C125" s="25" t="n"/>
      <c r="D125" s="43" t="n"/>
      <c r="E125" s="1070" t="n"/>
      <c r="F125" s="25" t="n"/>
      <c r="G125" s="43" t="n"/>
      <c r="H125" s="1070" t="n"/>
      <c r="I125" s="25" t="n"/>
      <c r="J125" s="43" t="n"/>
      <c r="K125" s="1070" t="n"/>
      <c r="L125" s="25" t="n"/>
      <c r="M125" s="43" t="n"/>
      <c r="N125" s="1070" t="n"/>
      <c r="O125" s="25" t="n"/>
      <c r="P125" s="43" t="n"/>
      <c r="Q125" s="1070" t="n"/>
      <c r="R125" s="25" t="n"/>
      <c r="S125" s="43" t="n"/>
      <c r="T125" s="1070" t="n"/>
      <c r="U125" s="25" t="n"/>
      <c r="V125" s="43" t="n"/>
      <c r="W125" s="1070" t="n"/>
      <c r="X125" s="25" t="n"/>
      <c r="Y125" s="43" t="n"/>
      <c r="Z125" s="1070" t="n"/>
      <c r="AA125" s="25" t="n"/>
      <c r="AB125" s="43" t="n"/>
      <c r="AC125" s="1070" t="n"/>
      <c r="AD125" s="25" t="n"/>
      <c r="AE125" s="43" t="n"/>
      <c r="AF125" s="1070" t="n"/>
      <c r="AG125" s="25" t="n"/>
      <c r="AH125" s="43" t="n"/>
      <c r="AI125" s="1070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71" t="n"/>
      <c r="AQ125" s="24" t="n"/>
      <c r="AR125" s="24" t="n"/>
      <c r="AS125" s="1133" t="n"/>
      <c r="AT125" s="1255" t="n"/>
    </row>
    <row r="126" outlineLevel="1" ht="15" customHeight="1" s="1016">
      <c r="B126" s="28" t="inlineStr">
        <is>
          <t>Pasajes Terrestres</t>
        </is>
      </c>
      <c r="C126" s="28" t="n"/>
      <c r="D126" s="45" t="n"/>
      <c r="E126" s="1098" t="n"/>
      <c r="F126" s="28" t="n"/>
      <c r="G126" s="45" t="n"/>
      <c r="H126" s="1098" t="n"/>
      <c r="I126" s="28" t="n"/>
      <c r="J126" s="45" t="n"/>
      <c r="K126" s="1098" t="n"/>
      <c r="L126" s="28" t="n"/>
      <c r="M126" s="45" t="n"/>
      <c r="N126" s="1098" t="n"/>
      <c r="O126" s="28" t="n"/>
      <c r="P126" s="45" t="n"/>
      <c r="Q126" s="1098" t="n"/>
      <c r="R126" s="28" t="n"/>
      <c r="S126" s="45" t="n"/>
      <c r="T126" s="1098" t="n"/>
      <c r="U126" s="28" t="n"/>
      <c r="V126" s="45" t="n"/>
      <c r="W126" s="1098" t="n"/>
      <c r="X126" s="28" t="n"/>
      <c r="Y126" s="45" t="n"/>
      <c r="Z126" s="1098" t="n"/>
      <c r="AA126" s="28" t="n"/>
      <c r="AB126" s="45" t="n"/>
      <c r="AC126" s="1098" t="n"/>
      <c r="AD126" s="28" t="n"/>
      <c r="AE126" s="45" t="n"/>
      <c r="AF126" s="1098" t="n"/>
      <c r="AG126" s="28" t="n"/>
      <c r="AH126" s="45" t="n"/>
      <c r="AI126" s="1098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08" t="n"/>
      <c r="AQ126" s="27" t="n"/>
      <c r="AR126" s="27" t="n"/>
      <c r="AS126" s="1144" t="n"/>
      <c r="AT126" s="1255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 t="n"/>
      <c r="F127" s="49">
        <f>SUM(F128:F142)</f>
        <v/>
      </c>
      <c r="G127" s="3" t="n"/>
      <c r="H127" s="1078">
        <f>F127/(F$13)</f>
        <v/>
      </c>
      <c r="I127" s="90">
        <f>SUM(I128:I142)</f>
        <v/>
      </c>
      <c r="J127" s="3" t="n"/>
      <c r="K127" s="1078">
        <f>I127/(I$13)</f>
        <v/>
      </c>
      <c r="L127" s="49">
        <f>SUM(L128:L142)</f>
        <v/>
      </c>
      <c r="M127" s="3" t="n"/>
      <c r="N127" s="1078" t="n"/>
      <c r="O127" s="49">
        <f>SUM(O128:O142)</f>
        <v/>
      </c>
      <c r="P127" s="3" t="n"/>
      <c r="Q127" s="1078" t="n"/>
      <c r="R127" s="49">
        <f>SUM(R128:R142)</f>
        <v/>
      </c>
      <c r="S127" s="3" t="n"/>
      <c r="T127" s="1078">
        <f>R127/(R$13)</f>
        <v/>
      </c>
      <c r="U127" s="49">
        <f>SUM(U128:U142)</f>
        <v/>
      </c>
      <c r="V127" s="3" t="n"/>
      <c r="W127" s="1078">
        <f>U127/(U$13)</f>
        <v/>
      </c>
      <c r="X127" s="49">
        <f>SUM(X128:X142)</f>
        <v/>
      </c>
      <c r="Y127" s="3" t="n"/>
      <c r="Z127" s="1078">
        <f>X127/(X$13)</f>
        <v/>
      </c>
      <c r="AA127" s="49">
        <f>SUM(AA128:AA142)</f>
        <v/>
      </c>
      <c r="AB127" s="3" t="n"/>
      <c r="AC127" s="1078">
        <f>AA127/(AA$13)</f>
        <v/>
      </c>
      <c r="AD127" s="49">
        <f>SUM(AD128:AD142)</f>
        <v/>
      </c>
      <c r="AE127" s="3" t="n"/>
      <c r="AF127" s="1078">
        <f>AD127/(AD$13)</f>
        <v/>
      </c>
      <c r="AG127" s="49">
        <f>SUM(AG128:AG142)</f>
        <v/>
      </c>
      <c r="AH127" s="3" t="n"/>
      <c r="AI127" s="1078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01">
        <f>AM127/(AM$13)</f>
        <v/>
      </c>
      <c r="AQ127" s="17">
        <f>SUM(AQ128:AQ142)</f>
        <v/>
      </c>
      <c r="AR127" s="17">
        <f>AQ127/(AQ$12-AQ$9)</f>
        <v/>
      </c>
      <c r="AS127" s="1130">
        <f>AQ127/(AQ$13-AQ$20)</f>
        <v/>
      </c>
      <c r="AT127" s="1125" t="n"/>
    </row>
    <row r="128" outlineLevel="1" ht="15" customHeight="1" s="1016">
      <c r="B128" s="39" t="inlineStr">
        <is>
          <t xml:space="preserve">Bioseguridad </t>
        </is>
      </c>
      <c r="C128" s="39" t="n"/>
      <c r="D128" s="69" t="n"/>
      <c r="E128" s="1102" t="n"/>
      <c r="F128" s="39" t="n"/>
      <c r="G128" s="69" t="n"/>
      <c r="H128" s="1102" t="n"/>
      <c r="I128" s="39" t="n"/>
      <c r="J128" s="69" t="n"/>
      <c r="K128" s="1102" t="n"/>
      <c r="L128" s="39" t="n"/>
      <c r="M128" s="69" t="n"/>
      <c r="N128" s="1102" t="n"/>
      <c r="O128" s="39" t="n"/>
      <c r="P128" s="69" t="n"/>
      <c r="Q128" s="1102" t="n"/>
      <c r="R128" s="39" t="n"/>
      <c r="S128" s="69" t="n"/>
      <c r="T128" s="1102" t="n"/>
      <c r="U128" s="39" t="n"/>
      <c r="V128" s="69" t="n"/>
      <c r="W128" s="1102" t="n"/>
      <c r="X128" s="39" t="n"/>
      <c r="Y128" s="69" t="n"/>
      <c r="Z128" s="1102" t="n"/>
      <c r="AA128" s="39" t="n"/>
      <c r="AB128" s="69" t="n"/>
      <c r="AC128" s="1102" t="n"/>
      <c r="AD128" s="39" t="n"/>
      <c r="AE128" s="69" t="n"/>
      <c r="AF128" s="1102" t="n"/>
      <c r="AG128" s="39" t="n"/>
      <c r="AH128" s="69" t="n"/>
      <c r="AI128" s="1102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15" t="n"/>
      <c r="AQ128" s="31" t="n"/>
      <c r="AR128" s="31" t="n"/>
      <c r="AS128" s="1148" t="n"/>
      <c r="AT128" s="1255" t="n"/>
    </row>
    <row r="129" outlineLevel="1" ht="15" customHeight="1" s="1016">
      <c r="B129" s="25" t="inlineStr">
        <is>
          <t>Habitos de Vida Saludable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  <c r="AQ129" s="24" t="n"/>
      <c r="AR129" s="24" t="n"/>
      <c r="AS129" s="1133" t="n"/>
      <c r="AT129" s="1255" t="n"/>
    </row>
    <row r="130" outlineLevel="1" ht="15" customHeight="1" s="1016">
      <c r="B130" s="25" t="inlineStr">
        <is>
          <t>Elementos de Aseo y Cafetería</t>
        </is>
      </c>
      <c r="C130" s="25" t="n"/>
      <c r="D130" s="43" t="n"/>
      <c r="E130" s="1070" t="n"/>
      <c r="F130" s="25" t="n"/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  <c r="AQ130" s="24" t="n"/>
      <c r="AR130" s="24" t="n"/>
      <c r="AS130" s="1133" t="n"/>
      <c r="AT130" s="1255" t="n"/>
    </row>
    <row r="131" outlineLevel="1" ht="15" customHeight="1" s="1016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16" t="n"/>
      <c r="AQ131" s="24" t="n"/>
      <c r="AR131" s="24" t="n"/>
      <c r="AS131" s="1133" t="n"/>
      <c r="AT131" s="1255" t="n"/>
    </row>
    <row r="132" outlineLevel="1" ht="15" customHeight="1" s="1016">
      <c r="B132" s="25" t="inlineStr">
        <is>
          <t>Combustibles y Lubricantes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  <c r="AQ132" s="24" t="n"/>
      <c r="AR132" s="24" t="n"/>
      <c r="AS132" s="1133" t="n"/>
      <c r="AT132" s="1255" t="n"/>
    </row>
    <row r="133" outlineLevel="1" ht="15" customHeight="1" s="1016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  <c r="AQ133" s="24" t="n"/>
      <c r="AR133" s="24" t="n"/>
      <c r="AS133" s="1133" t="n"/>
      <c r="AT133" s="1255" t="n"/>
    </row>
    <row r="134" outlineLevel="1" ht="15" customHeight="1" s="1016">
      <c r="B134" s="25" t="inlineStr">
        <is>
          <t>Casino y Restaurante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  <c r="AQ134" s="24" t="n"/>
      <c r="AR134" s="24" t="n"/>
      <c r="AS134" s="1133" t="n"/>
      <c r="AT134" s="1255" t="n"/>
    </row>
    <row r="135" outlineLevel="1" ht="15" customHeight="1" s="1016">
      <c r="B135" s="25" t="inlineStr">
        <is>
          <t xml:space="preserve">Parqueaderos                       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  <c r="AQ135" s="24" t="n"/>
      <c r="AR135" s="24" t="n"/>
      <c r="AS135" s="1133" t="n"/>
      <c r="AT135" s="1255" t="n"/>
    </row>
    <row r="136" outlineLevel="1" ht="15" customHeight="1" s="1016">
      <c r="B136" s="25" t="inlineStr">
        <is>
          <t>Peajes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  <c r="AQ136" s="24" t="n"/>
      <c r="AR136" s="24" t="n"/>
      <c r="AS136" s="1133" t="n"/>
      <c r="AT136" s="1255" t="n"/>
    </row>
    <row r="137" outlineLevel="1" ht="15" customHeight="1" s="1016">
      <c r="B137" s="25" t="inlineStr">
        <is>
          <t>Averias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25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  <c r="AQ137" s="24" t="n"/>
      <c r="AR137" s="24" t="n"/>
      <c r="AS137" s="1133" t="n"/>
      <c r="AT137" s="1255" t="n"/>
    </row>
    <row r="138" outlineLevel="1" ht="15" customHeight="1" s="1016">
      <c r="B138" s="25" t="inlineStr">
        <is>
          <t>Compra Equipos de Oficina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  <c r="AQ138" s="24" t="n"/>
      <c r="AR138" s="24" t="n"/>
      <c r="AS138" s="1133" t="n"/>
      <c r="AT138" s="1255" t="n"/>
    </row>
    <row r="139" outlineLevel="1" ht="15" customHeight="1" s="1016">
      <c r="B139" s="25" t="inlineStr">
        <is>
          <t>Herramientas y articulos ferreteria</t>
        </is>
      </c>
      <c r="C139" s="25" t="n"/>
      <c r="D139" s="43" t="n"/>
      <c r="E139" s="1070" t="n"/>
      <c r="F139" s="25" t="n"/>
      <c r="G139" s="43" t="n"/>
      <c r="H139" s="1070" t="n"/>
      <c r="I139" s="25" t="n"/>
      <c r="J139" s="43" t="n"/>
      <c r="K139" s="1070" t="n"/>
      <c r="L139" s="25" t="n"/>
      <c r="M139" s="43" t="n"/>
      <c r="N139" s="1070" t="n"/>
      <c r="O139" s="25" t="n"/>
      <c r="P139" s="43" t="n"/>
      <c r="Q139" s="1070" t="n"/>
      <c r="R139" s="25" t="n"/>
      <c r="S139" s="43" t="n"/>
      <c r="T139" s="1070" t="n"/>
      <c r="U139" s="25" t="n"/>
      <c r="V139" s="43" t="n"/>
      <c r="W139" s="1070" t="n"/>
      <c r="X139" s="25" t="n"/>
      <c r="Y139" s="43" t="n"/>
      <c r="Z139" s="1070" t="n"/>
      <c r="AA139" s="25" t="n"/>
      <c r="AB139" s="43" t="n"/>
      <c r="AC139" s="1070" t="n"/>
      <c r="AD139" s="25" t="n"/>
      <c r="AE139" s="43" t="n"/>
      <c r="AF139" s="1070" t="n"/>
      <c r="AG139" s="25" t="n"/>
      <c r="AH139" s="43" t="n"/>
      <c r="AI139" s="1070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71" t="n"/>
      <c r="AQ139" s="23" t="n"/>
      <c r="AR139" s="23" t="n"/>
      <c r="AS139" s="1132" t="n"/>
      <c r="AT139" s="1255" t="n"/>
    </row>
    <row r="140" outlineLevel="1" ht="15" customHeight="1" s="1016">
      <c r="B140" s="25" t="inlineStr">
        <is>
          <t>Equipos de Bodega</t>
        </is>
      </c>
      <c r="C140" s="25" t="n"/>
      <c r="D140" s="43" t="n"/>
      <c r="E140" s="1070" t="n"/>
      <c r="F140" s="25" t="n"/>
      <c r="G140" s="43" t="n"/>
      <c r="H140" s="1070" t="n"/>
      <c r="I140" s="25" t="n"/>
      <c r="J140" s="43" t="n"/>
      <c r="K140" s="1070" t="n"/>
      <c r="L140" s="25" t="n"/>
      <c r="M140" s="43" t="n"/>
      <c r="N140" s="1070" t="n"/>
      <c r="O140" s="25" t="n"/>
      <c r="P140" s="43" t="n"/>
      <c r="Q140" s="1070" t="n"/>
      <c r="R140" s="25" t="n"/>
      <c r="S140" s="43" t="n"/>
      <c r="T140" s="1070" t="n"/>
      <c r="U140" s="25" t="n"/>
      <c r="V140" s="43" t="n"/>
      <c r="W140" s="1070" t="n"/>
      <c r="X140" s="25" t="n"/>
      <c r="Y140" s="43" t="n"/>
      <c r="Z140" s="1070" t="n"/>
      <c r="AA140" s="25" t="n"/>
      <c r="AB140" s="43" t="n"/>
      <c r="AC140" s="1070" t="n"/>
      <c r="AD140" s="25" t="n"/>
      <c r="AE140" s="43" t="n"/>
      <c r="AF140" s="1070" t="n"/>
      <c r="AG140" s="25" t="n"/>
      <c r="AH140" s="43" t="n"/>
      <c r="AI140" s="1070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71" t="n"/>
      <c r="AQ140" s="24" t="n"/>
      <c r="AR140" s="24" t="n"/>
      <c r="AS140" s="1133" t="n"/>
      <c r="AT140" s="1255" t="n"/>
    </row>
    <row r="141" outlineLevel="1" ht="15" customHeight="1" s="1016">
      <c r="B141" s="25" t="inlineStr">
        <is>
          <t>Reuniones Fiestas y Detalles</t>
        </is>
      </c>
      <c r="C141" s="25" t="n"/>
      <c r="D141" s="43" t="n"/>
      <c r="E141" s="1070" t="n"/>
      <c r="F141" s="25" t="n"/>
      <c r="G141" s="43" t="n"/>
      <c r="H141" s="1070" t="n"/>
      <c r="I141" s="25" t="n"/>
      <c r="J141" s="43" t="n"/>
      <c r="K141" s="1070" t="n"/>
      <c r="L141" s="25" t="n"/>
      <c r="M141" s="43" t="n"/>
      <c r="N141" s="1070" t="n"/>
      <c r="O141" s="25" t="n"/>
      <c r="P141" s="43" t="n"/>
      <c r="Q141" s="1070" t="n"/>
      <c r="R141" s="25" t="n"/>
      <c r="S141" s="43" t="n"/>
      <c r="T141" s="1070" t="n"/>
      <c r="U141" s="25" t="n"/>
      <c r="V141" s="43" t="n"/>
      <c r="W141" s="1070" t="n"/>
      <c r="X141" s="25" t="n"/>
      <c r="Y141" s="43" t="n"/>
      <c r="Z141" s="1070" t="n"/>
      <c r="AA141" s="25" t="n"/>
      <c r="AB141" s="43" t="n"/>
      <c r="AC141" s="1070" t="n"/>
      <c r="AD141" s="25" t="n"/>
      <c r="AE141" s="43" t="n"/>
      <c r="AF141" s="1070" t="n"/>
      <c r="AG141" s="25" t="n"/>
      <c r="AH141" s="43" t="n"/>
      <c r="AI141" s="1070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71" t="n"/>
      <c r="AQ141" s="24" t="n"/>
      <c r="AR141" s="24" t="n"/>
      <c r="AS141" s="1133" t="n"/>
      <c r="AT141" s="1255" t="n"/>
    </row>
    <row r="142" outlineLevel="1" ht="15" customHeight="1" s="1016" thickBot="1">
      <c r="B142" s="269" t="inlineStr">
        <is>
          <t xml:space="preserve">Otros  </t>
        </is>
      </c>
      <c r="C142" s="269" t="n"/>
      <c r="D142" s="214" t="n"/>
      <c r="E142" s="1104" t="n"/>
      <c r="F142" s="269" t="n"/>
      <c r="G142" s="214" t="n"/>
      <c r="H142" s="1104" t="n"/>
      <c r="I142" s="269" t="n"/>
      <c r="J142" s="214" t="n"/>
      <c r="K142" s="1104" t="n"/>
      <c r="L142" s="269" t="n"/>
      <c r="M142" s="214" t="n"/>
      <c r="N142" s="1104" t="n"/>
      <c r="O142" s="269" t="n"/>
      <c r="P142" s="214" t="n"/>
      <c r="Q142" s="1104" t="n"/>
      <c r="R142" s="269" t="n"/>
      <c r="S142" s="214" t="n"/>
      <c r="T142" s="1104" t="n"/>
      <c r="U142" s="269" t="n"/>
      <c r="V142" s="214" t="n"/>
      <c r="W142" s="1104" t="n"/>
      <c r="X142" s="269" t="n"/>
      <c r="Y142" s="214" t="n"/>
      <c r="Z142" s="1104" t="n"/>
      <c r="AA142" s="269" t="n"/>
      <c r="AB142" s="214" t="n"/>
      <c r="AC142" s="1104" t="n"/>
      <c r="AD142" s="269" t="n"/>
      <c r="AE142" s="214" t="n"/>
      <c r="AF142" s="1104" t="n"/>
      <c r="AG142" s="269" t="n"/>
      <c r="AH142" s="214" t="n"/>
      <c r="AI142" s="1104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17" t="n"/>
      <c r="AQ142" s="98" t="n"/>
      <c r="AR142" s="98" t="n"/>
      <c r="AS142" s="1146" t="n"/>
      <c r="AT142" s="1255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1092" t="n"/>
      <c r="I143" s="2" t="n"/>
      <c r="J143" s="2" t="n"/>
      <c r="K143" s="1092" t="n"/>
      <c r="L143" s="2" t="n"/>
      <c r="M143" s="2" t="n"/>
      <c r="N143" s="1092" t="n"/>
      <c r="O143" s="2" t="n"/>
      <c r="P143" s="2" t="n"/>
      <c r="Q143" s="1092" t="n"/>
      <c r="R143" s="2" t="n"/>
      <c r="S143" s="2" t="n"/>
      <c r="T143" s="1092" t="n"/>
      <c r="U143" s="2" t="n"/>
      <c r="V143" s="2" t="n"/>
      <c r="W143" s="1092" t="n"/>
      <c r="X143" s="2" t="n"/>
      <c r="Y143" s="2" t="n"/>
      <c r="Z143" s="1092" t="n"/>
      <c r="AA143" s="2" t="n"/>
      <c r="AB143" s="2" t="n"/>
      <c r="AC143" s="1092" t="n"/>
      <c r="AD143" s="2" t="n"/>
      <c r="AE143" s="2" t="n"/>
      <c r="AF143" s="1092" t="n"/>
      <c r="AG143" s="2" t="n"/>
      <c r="AH143" s="2" t="n"/>
      <c r="AI143" s="1092" t="n"/>
      <c r="AJ143" s="2" t="n"/>
      <c r="AK143" s="2" t="n"/>
      <c r="AL143" s="64" t="n"/>
      <c r="AM143" s="151" t="n"/>
      <c r="AN143" s="2" t="n"/>
      <c r="AO143" s="1092" t="n"/>
      <c r="AQ143" s="136" t="n"/>
      <c r="AR143" s="136" t="n"/>
      <c r="AS143" s="1147" t="n"/>
      <c r="AT143" s="1092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1153" t="n"/>
      <c r="I144" s="493">
        <f>+I42-I44-I83</f>
        <v/>
      </c>
      <c r="J144" s="494" t="n"/>
      <c r="K144" s="1153" t="n"/>
      <c r="L144" s="493">
        <f>+L42-L44-L83</f>
        <v/>
      </c>
      <c r="M144" s="494" t="n"/>
      <c r="N144" s="1153" t="n"/>
      <c r="O144" s="493">
        <f>+O42-O44-O83</f>
        <v/>
      </c>
      <c r="P144" s="494" t="n"/>
      <c r="Q144" s="1153" t="n"/>
      <c r="R144" s="493">
        <f>+R42-R44-R83</f>
        <v/>
      </c>
      <c r="S144" s="494" t="n"/>
      <c r="T144" s="1153" t="n"/>
      <c r="U144" s="493">
        <f>+U42-U44-U83</f>
        <v/>
      </c>
      <c r="V144" s="494" t="n"/>
      <c r="W144" s="1153" t="n"/>
      <c r="X144" s="493">
        <f>+X42-X44-X83</f>
        <v/>
      </c>
      <c r="Y144" s="494" t="n"/>
      <c r="Z144" s="1153" t="n"/>
      <c r="AA144" s="493">
        <f>+AA42-AA44-AA83</f>
        <v/>
      </c>
      <c r="AB144" s="494" t="n"/>
      <c r="AC144" s="1153" t="n"/>
      <c r="AD144" s="493">
        <f>+AD42-AD44-AD83</f>
        <v/>
      </c>
      <c r="AE144" s="494" t="n"/>
      <c r="AF144" s="1153" t="n"/>
      <c r="AG144" s="493">
        <f>+AG42-AG44-AG83</f>
        <v/>
      </c>
      <c r="AH144" s="494" t="n"/>
      <c r="AI144" s="1153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54" t="n"/>
      <c r="AQ144" s="626">
        <f>+AQ42-AQ44-AQ83</f>
        <v/>
      </c>
      <c r="AR144" s="626" t="n"/>
      <c r="AS144" s="1155" t="n"/>
      <c r="AT144" s="1125" t="n"/>
    </row>
    <row r="145" ht="15" customHeight="1" s="1016" thickBot="1" thickTop="1">
      <c r="B145" s="193" t="n"/>
      <c r="C145" s="443">
        <f>IFERROR(C144/C13," ")</f>
        <v/>
      </c>
      <c r="D145" s="438" t="n"/>
      <c r="E145" s="1223" t="n"/>
      <c r="F145" s="496">
        <f>IFERROR(F144/F13," ")</f>
        <v/>
      </c>
      <c r="G145" s="488" t="n"/>
      <c r="H145" s="1090" t="n"/>
      <c r="I145" s="496">
        <f>IFERROR(I144/I13," ")</f>
        <v/>
      </c>
      <c r="J145" s="488" t="n"/>
      <c r="K145" s="1090" t="n"/>
      <c r="L145" s="496">
        <f>IFERROR(L144/L13," ")</f>
        <v/>
      </c>
      <c r="M145" s="488" t="n"/>
      <c r="N145" s="1090" t="n"/>
      <c r="O145" s="496">
        <f>IFERROR(O144/O13," ")</f>
        <v/>
      </c>
      <c r="P145" s="488" t="n"/>
      <c r="Q145" s="1090" t="n"/>
      <c r="R145" s="496">
        <f>IFERROR(R144/R13," ")</f>
        <v/>
      </c>
      <c r="S145" s="488" t="n"/>
      <c r="T145" s="1090" t="n"/>
      <c r="U145" s="496">
        <f>IFERROR(U144/U13," ")</f>
        <v/>
      </c>
      <c r="V145" s="488" t="n"/>
      <c r="W145" s="1090" t="n"/>
      <c r="X145" s="496">
        <f>IFERROR(X144/X13," ")</f>
        <v/>
      </c>
      <c r="Y145" s="488" t="n"/>
      <c r="Z145" s="1090" t="n"/>
      <c r="AA145" s="496">
        <f>IFERROR(AA144/AA13," ")</f>
        <v/>
      </c>
      <c r="AB145" s="488" t="n"/>
      <c r="AC145" s="1090" t="n"/>
      <c r="AD145" s="496">
        <f>IFERROR(AD144/AD13," ")</f>
        <v/>
      </c>
      <c r="AE145" s="488" t="n"/>
      <c r="AF145" s="1090" t="n"/>
      <c r="AG145" s="496">
        <f>IFERROR(AG144/AG13," ")</f>
        <v/>
      </c>
      <c r="AH145" s="488" t="n"/>
      <c r="AI145" s="1090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091" t="n"/>
      <c r="AQ145" s="627">
        <f>IFERROR(AQ144/AQ13," ")</f>
        <v/>
      </c>
      <c r="AR145" s="627" t="n"/>
      <c r="AS145" s="1156" t="n"/>
      <c r="AT145" s="1125" t="n"/>
    </row>
    <row r="146" ht="15" customHeight="1" s="1016" thickBot="1" thickTop="1">
      <c r="C146" s="2" t="n"/>
      <c r="D146" s="2" t="n"/>
      <c r="E146" s="1092" t="n"/>
      <c r="F146" s="2" t="n"/>
      <c r="G146" s="2" t="n"/>
      <c r="H146" s="1092" t="n"/>
      <c r="I146" s="2" t="n"/>
      <c r="J146" s="2" t="n"/>
      <c r="K146" s="1092" t="n"/>
      <c r="L146" s="2" t="n"/>
      <c r="M146" s="2" t="n"/>
      <c r="N146" s="1092" t="n"/>
      <c r="O146" s="2" t="n"/>
      <c r="P146" s="2" t="n"/>
      <c r="Q146" s="1092" t="n"/>
      <c r="R146" s="2" t="n"/>
      <c r="S146" s="2" t="n"/>
      <c r="T146" s="1092" t="n"/>
      <c r="U146" s="2" t="n"/>
      <c r="V146" s="2" t="n"/>
      <c r="W146" s="1092" t="n"/>
      <c r="X146" s="2" t="n"/>
      <c r="Y146" s="2" t="n"/>
      <c r="Z146" s="1092" t="n"/>
      <c r="AA146" s="2" t="n"/>
      <c r="AB146" s="2" t="n"/>
      <c r="AC146" s="1092" t="n"/>
      <c r="AD146" s="2" t="n"/>
      <c r="AE146" s="2" t="n"/>
      <c r="AF146" s="1092" t="n"/>
      <c r="AG146" s="2" t="n"/>
      <c r="AH146" s="2" t="n"/>
      <c r="AI146" s="1092" t="n"/>
      <c r="AJ146" s="2" t="n"/>
      <c r="AK146" s="2" t="n"/>
      <c r="AL146" s="64" t="n"/>
      <c r="AM146" s="145" t="n"/>
      <c r="AN146" s="145" t="n"/>
      <c r="AO146" s="1092" t="n"/>
      <c r="AQ146" s="631" t="n"/>
      <c r="AR146" s="631" t="n"/>
      <c r="AS146" s="1157" t="n"/>
      <c r="AT146" s="1127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 t="n"/>
      <c r="F147" s="490">
        <f>SUM(F148:F151)</f>
        <v/>
      </c>
      <c r="G147" s="491" t="n"/>
      <c r="H147" s="1094">
        <f>F147/(F$13)</f>
        <v/>
      </c>
      <c r="I147" s="490">
        <f>SUM(I148:I151)</f>
        <v/>
      </c>
      <c r="J147" s="491" t="n"/>
      <c r="K147" s="1094">
        <f>I147/(I$13)</f>
        <v/>
      </c>
      <c r="L147" s="490">
        <f>SUM(L148:L151)</f>
        <v/>
      </c>
      <c r="M147" s="491" t="n"/>
      <c r="N147" s="1094">
        <f>L147/(L$13)</f>
        <v/>
      </c>
      <c r="O147" s="490">
        <f>SUM(O148:O151)</f>
        <v/>
      </c>
      <c r="P147" s="491" t="n"/>
      <c r="Q147" s="1094">
        <f>O147/(O$13)</f>
        <v/>
      </c>
      <c r="R147" s="490">
        <f>SUM(R148:R151)</f>
        <v/>
      </c>
      <c r="S147" s="491" t="n"/>
      <c r="T147" s="1094">
        <f>R147/(R$13)</f>
        <v/>
      </c>
      <c r="U147" s="490">
        <f>SUM(U148:U151)</f>
        <v/>
      </c>
      <c r="V147" s="491" t="n"/>
      <c r="W147" s="1094">
        <f>U147/(U$13)</f>
        <v/>
      </c>
      <c r="X147" s="490">
        <f>SUM(X148:X151)</f>
        <v/>
      </c>
      <c r="Y147" s="491" t="n"/>
      <c r="Z147" s="1094">
        <f>X147/(X$13)</f>
        <v/>
      </c>
      <c r="AA147" s="490">
        <f>SUM(AA148:AA151)</f>
        <v/>
      </c>
      <c r="AB147" s="491" t="n"/>
      <c r="AC147" s="1094">
        <f>AA147/(AA$13)</f>
        <v/>
      </c>
      <c r="AD147" s="490">
        <f>SUM(AD148:AD151)</f>
        <v/>
      </c>
      <c r="AE147" s="491" t="n"/>
      <c r="AF147" s="1094">
        <f>AD147/(AD$13)</f>
        <v/>
      </c>
      <c r="AG147" s="490">
        <f>SUM(AG148:AG151)</f>
        <v/>
      </c>
      <c r="AH147" s="491" t="n"/>
      <c r="AI147" s="1094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095">
        <f>AM147/(AM$13)</f>
        <v/>
      </c>
      <c r="AQ147" s="625">
        <f>SUM(AQ148:AQ151)</f>
        <v/>
      </c>
      <c r="AR147" s="625" t="n"/>
      <c r="AS147" s="1129">
        <f>AQ147/(AQ$13-AQ$20)</f>
        <v/>
      </c>
      <c r="AT147" s="1125" t="n"/>
    </row>
    <row r="148" ht="15" customHeight="1" s="1016">
      <c r="B148" s="18" t="inlineStr">
        <is>
          <t>Gastos Fijos Administracion</t>
        </is>
      </c>
      <c r="C148" s="39" t="n"/>
      <c r="D148" s="69" t="n"/>
      <c r="E148" s="1102" t="n"/>
      <c r="F148" s="39" t="n"/>
      <c r="G148" s="69" t="n"/>
      <c r="H148" s="1102" t="n"/>
      <c r="I148" s="39" t="n"/>
      <c r="J148" s="69" t="n"/>
      <c r="K148" s="1102" t="n"/>
      <c r="L148" s="39" t="n"/>
      <c r="M148" s="69" t="n"/>
      <c r="N148" s="1102" t="n"/>
      <c r="O148" s="39" t="n"/>
      <c r="P148" s="69" t="n"/>
      <c r="Q148" s="1102" t="n"/>
      <c r="R148" s="39" t="n"/>
      <c r="S148" s="69" t="n"/>
      <c r="T148" s="1102" t="n"/>
      <c r="U148" s="39" t="n"/>
      <c r="V148" s="69" t="n"/>
      <c r="W148" s="1102" t="n"/>
      <c r="X148" s="39" t="n"/>
      <c r="Y148" s="69" t="n"/>
      <c r="Z148" s="1102" t="n"/>
      <c r="AA148" s="39" t="n"/>
      <c r="AB148" s="69" t="n"/>
      <c r="AC148" s="1102" t="n"/>
      <c r="AD148" s="39" t="n"/>
      <c r="AE148" s="69" t="n"/>
      <c r="AF148" s="1102" t="n"/>
      <c r="AG148" s="39" t="n"/>
      <c r="AH148" s="69" t="n"/>
      <c r="AI148" s="1102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07">
        <f>AM148/(AM$13)</f>
        <v/>
      </c>
      <c r="AP148" s="1093" t="n"/>
      <c r="AQ148" s="31" t="n"/>
      <c r="AR148" s="31" t="n"/>
      <c r="AS148" s="1148" t="n"/>
      <c r="AT148" s="1255" t="n"/>
    </row>
    <row r="149" ht="15" customHeight="1" s="1016">
      <c r="B149" s="285" t="inlineStr">
        <is>
          <t>Gastos financieros</t>
        </is>
      </c>
      <c r="C149" s="25" t="n"/>
      <c r="D149" s="43" t="n"/>
      <c r="E149" s="1070" t="n"/>
      <c r="F149" s="25" t="n"/>
      <c r="G149" s="43" t="n"/>
      <c r="H149" s="1070" t="n"/>
      <c r="I149" s="25" t="n"/>
      <c r="J149" s="43" t="n"/>
      <c r="K149" s="1070" t="n"/>
      <c r="L149" s="25" t="n"/>
      <c r="M149" s="43" t="n"/>
      <c r="N149" s="1070" t="n"/>
      <c r="O149" s="25" t="n"/>
      <c r="P149" s="43" t="n"/>
      <c r="Q149" s="1070" t="n"/>
      <c r="R149" s="25" t="n"/>
      <c r="S149" s="43" t="n"/>
      <c r="T149" s="1070" t="n"/>
      <c r="U149" s="25" t="n"/>
      <c r="V149" s="43" t="n"/>
      <c r="W149" s="1070" t="n"/>
      <c r="X149" s="25" t="n"/>
      <c r="Y149" s="43" t="n"/>
      <c r="Z149" s="1070" t="n"/>
      <c r="AA149" s="25" t="n"/>
      <c r="AB149" s="43" t="n"/>
      <c r="AC149" s="1070" t="n"/>
      <c r="AD149" s="25" t="n"/>
      <c r="AE149" s="43" t="n"/>
      <c r="AF149" s="1070" t="n"/>
      <c r="AG149" s="25" t="n"/>
      <c r="AH149" s="43" t="n"/>
      <c r="AI149" s="1070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71" t="n"/>
      <c r="AQ149" s="24" t="n"/>
      <c r="AR149" s="24" t="n"/>
      <c r="AS149" s="1133" t="n"/>
      <c r="AT149" s="1255" t="n"/>
    </row>
    <row r="150" ht="15" customHeight="1" s="1016">
      <c r="B150" s="107" t="inlineStr">
        <is>
          <t>Costo de Facturas</t>
        </is>
      </c>
      <c r="C150" s="22" t="n"/>
      <c r="D150" s="42" t="n"/>
      <c r="E150" s="1082" t="n"/>
      <c r="F150" s="22" t="n"/>
      <c r="G150" s="42" t="n"/>
      <c r="H150" s="1082" t="n"/>
      <c r="I150" s="22" t="n"/>
      <c r="J150" s="42" t="n"/>
      <c r="K150" s="1082" t="n"/>
      <c r="L150" s="22" t="n"/>
      <c r="M150" s="42" t="n"/>
      <c r="N150" s="1082" t="n"/>
      <c r="O150" s="22" t="n"/>
      <c r="P150" s="42" t="n"/>
      <c r="Q150" s="1082" t="n"/>
      <c r="R150" s="22" t="n"/>
      <c r="S150" s="42" t="n"/>
      <c r="T150" s="1082" t="n"/>
      <c r="U150" s="22" t="n"/>
      <c r="V150" s="42" t="n"/>
      <c r="W150" s="1082" t="n"/>
      <c r="X150" s="22" t="n"/>
      <c r="Y150" s="42" t="n"/>
      <c r="Z150" s="1082" t="n"/>
      <c r="AA150" s="22" t="n"/>
      <c r="AB150" s="42" t="n"/>
      <c r="AC150" s="1082" t="n"/>
      <c r="AD150" s="22" t="n"/>
      <c r="AE150" s="42" t="n"/>
      <c r="AF150" s="1082" t="n"/>
      <c r="AG150" s="22" t="n"/>
      <c r="AH150" s="42" t="n"/>
      <c r="AI150" s="1082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83">
        <f>AM150/(AM$13)</f>
        <v/>
      </c>
      <c r="AP150" s="1093" t="n"/>
      <c r="AQ150" s="24" t="n"/>
      <c r="AR150" s="24" t="n"/>
      <c r="AS150" s="1133" t="n"/>
      <c r="AT150" s="1255" t="n"/>
    </row>
    <row r="151" ht="15" customHeight="1" s="1016" thickBot="1">
      <c r="B151" s="300" t="inlineStr">
        <is>
          <t>Gastos No Operacionales</t>
        </is>
      </c>
      <c r="C151" s="71" t="n"/>
      <c r="D151" s="72" t="n"/>
      <c r="E151" s="1111" t="n"/>
      <c r="F151" s="71" t="n"/>
      <c r="G151" s="72" t="n"/>
      <c r="H151" s="1111" t="n"/>
      <c r="I151" s="71" t="n"/>
      <c r="J151" s="72" t="n"/>
      <c r="K151" s="1111" t="n"/>
      <c r="L151" s="71" t="n"/>
      <c r="M151" s="72" t="n"/>
      <c r="N151" s="1111" t="n"/>
      <c r="O151" s="71" t="n"/>
      <c r="P151" s="72" t="n"/>
      <c r="Q151" s="1111" t="n"/>
      <c r="R151" s="71" t="n"/>
      <c r="S151" s="72" t="n"/>
      <c r="T151" s="1111" t="n"/>
      <c r="U151" s="71" t="n"/>
      <c r="V151" s="72" t="n"/>
      <c r="W151" s="1111" t="n"/>
      <c r="X151" s="71" t="n"/>
      <c r="Y151" s="72" t="n"/>
      <c r="Z151" s="1111" t="n"/>
      <c r="AA151" s="71" t="n"/>
      <c r="AB151" s="72" t="n"/>
      <c r="AC151" s="1111" t="n"/>
      <c r="AD151" s="71" t="n"/>
      <c r="AE151" s="72" t="n"/>
      <c r="AF151" s="1111" t="n"/>
      <c r="AG151" s="71" t="n"/>
      <c r="AH151" s="72" t="n"/>
      <c r="AI151" s="1111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12" t="n"/>
      <c r="AQ151" s="300" t="n"/>
      <c r="AR151" s="300" t="n"/>
      <c r="AS151" s="1158" t="n"/>
      <c r="AT151" s="1255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1092" t="n"/>
      <c r="I152" s="2" t="n"/>
      <c r="J152" s="2" t="n"/>
      <c r="K152" s="1092" t="n"/>
      <c r="L152" s="2" t="n"/>
      <c r="M152" s="2" t="n"/>
      <c r="N152" s="1092" t="n"/>
      <c r="O152" s="2" t="n"/>
      <c r="P152" s="2" t="n"/>
      <c r="Q152" s="1092" t="n"/>
      <c r="R152" s="2" t="n"/>
      <c r="S152" s="2" t="n"/>
      <c r="T152" s="1092" t="n"/>
      <c r="U152" s="2" t="n"/>
      <c r="V152" s="2" t="n"/>
      <c r="W152" s="1092" t="n"/>
      <c r="X152" s="2" t="n"/>
      <c r="Y152" s="2" t="n"/>
      <c r="Z152" s="1092" t="n"/>
      <c r="AA152" s="2" t="n"/>
      <c r="AB152" s="2" t="n"/>
      <c r="AC152" s="1092" t="n"/>
      <c r="AD152" s="2" t="n"/>
      <c r="AE152" s="2" t="n"/>
      <c r="AF152" s="1092" t="n"/>
      <c r="AG152" s="2" t="n"/>
      <c r="AH152" s="2" t="n"/>
      <c r="AI152" s="1092" t="n"/>
      <c r="AJ152" s="2" t="n"/>
      <c r="AK152" s="2" t="n"/>
      <c r="AL152" s="64" t="n"/>
      <c r="AM152" s="151" t="n"/>
      <c r="AN152" s="2" t="n"/>
      <c r="AO152" s="1092" t="n"/>
      <c r="AQ152" s="136" t="n"/>
      <c r="AR152" s="136" t="n"/>
      <c r="AS152" s="1147" t="n"/>
      <c r="AT152" s="1092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 t="n"/>
      <c r="F153" s="497">
        <f>SUM(F154:F160)</f>
        <v/>
      </c>
      <c r="G153" s="498" t="n"/>
      <c r="H153" s="1118" t="n"/>
      <c r="I153" s="497">
        <f>SUM(I154:I160)</f>
        <v/>
      </c>
      <c r="J153" s="498" t="n"/>
      <c r="K153" s="1118" t="n"/>
      <c r="L153" s="497">
        <f>SUM(L154:L160)</f>
        <v/>
      </c>
      <c r="M153" s="498" t="n"/>
      <c r="N153" s="1118" t="n"/>
      <c r="O153" s="497">
        <f>SUM(O154:O160)</f>
        <v/>
      </c>
      <c r="P153" s="498" t="n"/>
      <c r="Q153" s="1118" t="n"/>
      <c r="R153" s="497">
        <f>SUM(R154:R160)</f>
        <v/>
      </c>
      <c r="S153" s="498" t="n"/>
      <c r="T153" s="1118" t="n"/>
      <c r="U153" s="497">
        <f>SUM(U154:U160)</f>
        <v/>
      </c>
      <c r="V153" s="498" t="n"/>
      <c r="W153" s="1118" t="n"/>
      <c r="X153" s="497">
        <f>SUM(X154:X160)</f>
        <v/>
      </c>
      <c r="Y153" s="498" t="n"/>
      <c r="Z153" s="1118" t="n"/>
      <c r="AA153" s="497">
        <f>SUM(AA154:AA160)</f>
        <v/>
      </c>
      <c r="AB153" s="498" t="n"/>
      <c r="AC153" s="1118" t="n"/>
      <c r="AD153" s="497">
        <f>SUM(AD154:AD160)</f>
        <v/>
      </c>
      <c r="AE153" s="498" t="n"/>
      <c r="AF153" s="1118" t="n"/>
      <c r="AG153" s="497">
        <f>SUM(AG154:AG160)</f>
        <v/>
      </c>
      <c r="AH153" s="498" t="n"/>
      <c r="AI153" s="1118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19">
        <f>AM153/(AM$13)</f>
        <v/>
      </c>
      <c r="AQ153" s="628">
        <f>SUM(AQ154:AQ160)</f>
        <v/>
      </c>
      <c r="AR153" s="628" t="n"/>
      <c r="AS153" s="1159">
        <f>AQ153/(AQ$13-AQ$20)</f>
        <v/>
      </c>
      <c r="AT153" s="1125" t="n"/>
    </row>
    <row r="154" ht="15" customHeight="1" s="1016" thickTop="1">
      <c r="B154" s="1160" t="inlineStr">
        <is>
          <t>Novedades</t>
        </is>
      </c>
      <c r="C154" s="286" t="n"/>
      <c r="D154" s="230" t="n"/>
      <c r="E154" s="1161" t="n"/>
      <c r="F154" s="286" t="n"/>
      <c r="G154" s="230" t="n"/>
      <c r="H154" s="1161" t="n"/>
      <c r="I154" s="286" t="n"/>
      <c r="J154" s="230" t="n"/>
      <c r="K154" s="1161" t="n"/>
      <c r="L154" s="286" t="n"/>
      <c r="M154" s="230" t="n"/>
      <c r="N154" s="1161" t="n"/>
      <c r="O154" s="1197" t="n"/>
      <c r="P154" s="230" t="n"/>
      <c r="Q154" s="1161" t="n"/>
      <c r="R154" s="634" t="n"/>
      <c r="S154" s="230" t="n"/>
      <c r="T154" s="1161" t="n"/>
      <c r="U154" s="286" t="n"/>
      <c r="V154" s="230" t="n"/>
      <c r="W154" s="1161" t="n"/>
      <c r="X154" s="286" t="n"/>
      <c r="Y154" s="230" t="n"/>
      <c r="Z154" s="1161" t="n"/>
      <c r="AA154" s="1197" t="n"/>
      <c r="AB154" s="230" t="n"/>
      <c r="AC154" s="1161" t="n"/>
      <c r="AD154" s="1197" t="n"/>
      <c r="AE154" s="230" t="n"/>
      <c r="AF154" s="1161" t="n"/>
      <c r="AG154" s="1197" t="n"/>
      <c r="AH154" s="230" t="n"/>
      <c r="AI154" s="1161" t="n"/>
      <c r="AJ154" s="1197" t="n"/>
      <c r="AK154" s="230" t="n"/>
      <c r="AL154" s="245" t="n"/>
      <c r="AM154" s="287">
        <f>C154+F154+I154+L154+O154+R154+U154+X154+AA154+AD154+AG154+AJ154</f>
        <v/>
      </c>
      <c r="AN154" s="230" t="n"/>
      <c r="AO154" s="1162" t="n"/>
      <c r="AQ154" s="722" t="n"/>
      <c r="AR154" s="289" t="n"/>
      <c r="AS154" s="1163" t="n"/>
      <c r="AT154" s="1058" t="n"/>
    </row>
    <row r="155" ht="15" customHeight="1" s="1016">
      <c r="B155" s="1164" t="inlineStr">
        <is>
          <t>Donacion</t>
        </is>
      </c>
      <c r="C155" s="691" t="n"/>
      <c r="D155" s="9" t="n"/>
      <c r="E155" s="1165" t="n"/>
      <c r="F155" s="691" t="n"/>
      <c r="G155" s="9" t="n"/>
      <c r="H155" s="1165" t="n"/>
      <c r="I155" s="692" t="n"/>
      <c r="J155" s="9" t="n"/>
      <c r="K155" s="1165" t="n"/>
      <c r="L155" s="692" t="n"/>
      <c r="M155" s="9" t="n"/>
      <c r="N155" s="1165" t="n"/>
      <c r="O155" s="1204" t="n"/>
      <c r="P155" s="9" t="n"/>
      <c r="Q155" s="1165" t="n"/>
      <c r="R155" s="849" t="n"/>
      <c r="S155" s="9" t="n"/>
      <c r="T155" s="1165" t="n"/>
      <c r="U155" s="692" t="n"/>
      <c r="V155" s="9" t="n"/>
      <c r="W155" s="1165" t="n"/>
      <c r="X155" s="692" t="n"/>
      <c r="Y155" s="9" t="n"/>
      <c r="Z155" s="1165" t="n"/>
      <c r="AA155" s="1204" t="n"/>
      <c r="AB155" s="9" t="n"/>
      <c r="AC155" s="1165" t="n"/>
      <c r="AD155" s="1204" t="n"/>
      <c r="AE155" s="9" t="n"/>
      <c r="AF155" s="1165" t="n"/>
      <c r="AG155" s="1204" t="n"/>
      <c r="AH155" s="9" t="n"/>
      <c r="AI155" s="1165" t="n"/>
      <c r="AJ155" s="1204" t="n"/>
      <c r="AK155" s="9" t="n"/>
      <c r="AL155" s="240" t="n"/>
      <c r="AM155" s="565">
        <f>C155+F155+I155+L155+O155+R155+U155+X155+AA155+AD155+AG155+AJ155</f>
        <v/>
      </c>
      <c r="AN155" s="9" t="n"/>
      <c r="AO155" s="1166" t="n"/>
      <c r="AQ155" s="705" t="n"/>
      <c r="AR155" s="248" t="n"/>
      <c r="AS155" s="1167" t="n"/>
      <c r="AT155" s="1058" t="n"/>
    </row>
    <row r="156" ht="15" customHeight="1" s="1016">
      <c r="B156" s="1168" t="inlineStr">
        <is>
          <t>Donacion</t>
        </is>
      </c>
      <c r="C156" s="685" t="n"/>
      <c r="D156" s="675" t="n"/>
      <c r="E156" s="1169" t="n"/>
      <c r="F156" s="685" t="n"/>
      <c r="G156" s="675" t="n"/>
      <c r="H156" s="1169" t="n"/>
      <c r="I156" s="686" t="n"/>
      <c r="J156" s="675" t="n"/>
      <c r="K156" s="1169" t="n"/>
      <c r="L156" s="686" t="n"/>
      <c r="M156" s="675" t="n"/>
      <c r="N156" s="1169" t="n"/>
      <c r="O156" s="1224" t="n"/>
      <c r="P156" s="675" t="n"/>
      <c r="Q156" s="1169" t="n"/>
      <c r="R156" s="294" t="n">
        <v>0</v>
      </c>
      <c r="S156" s="675" t="n"/>
      <c r="T156" s="1169" t="n"/>
      <c r="U156" s="686" t="n"/>
      <c r="V156" s="675" t="n"/>
      <c r="W156" s="1169" t="n"/>
      <c r="X156" s="686" t="n"/>
      <c r="Y156" s="675" t="n"/>
      <c r="Z156" s="1169" t="n"/>
      <c r="AA156" s="1224" t="n"/>
      <c r="AB156" s="675" t="n"/>
      <c r="AC156" s="1169" t="n"/>
      <c r="AD156" s="1224" t="n"/>
      <c r="AE156" s="675" t="n"/>
      <c r="AF156" s="1169" t="n"/>
      <c r="AG156" s="1224" t="n"/>
      <c r="AH156" s="675" t="n"/>
      <c r="AI156" s="1169" t="n"/>
      <c r="AJ156" s="1224" t="n"/>
      <c r="AK156" s="675" t="n"/>
      <c r="AL156" s="679" t="n"/>
      <c r="AM156" s="680">
        <f>C156+F156+I156+L156+O156+R156+U156+X156+AA156+AD156+AG156+AJ156</f>
        <v/>
      </c>
      <c r="AN156" s="675" t="n"/>
      <c r="AO156" s="1170" t="n"/>
      <c r="AQ156" s="765" t="n"/>
      <c r="AR156" s="248" t="n"/>
      <c r="AS156" s="1167" t="n"/>
      <c r="AT156" s="1058" t="n"/>
    </row>
    <row r="157" ht="15" customHeight="1" s="1016">
      <c r="B157" s="1171" t="inlineStr">
        <is>
          <t>Otros Ajustes</t>
        </is>
      </c>
      <c r="C157" s="561" t="n"/>
      <c r="D157" s="551" t="n"/>
      <c r="E157" s="1172" t="n"/>
      <c r="F157" s="565" t="n"/>
      <c r="G157" s="551" t="n"/>
      <c r="H157" s="1172" t="n"/>
      <c r="I157" s="565" t="n"/>
      <c r="J157" s="551" t="n"/>
      <c r="K157" s="1172" t="n"/>
      <c r="L157" s="565" t="n"/>
      <c r="M157" s="551" t="n"/>
      <c r="N157" s="1172" t="n"/>
      <c r="O157" s="565" t="n"/>
      <c r="P157" s="551" t="n"/>
      <c r="Q157" s="1172" t="n"/>
      <c r="R157" s="565" t="n"/>
      <c r="S157" s="551" t="n"/>
      <c r="T157" s="1172" t="n"/>
      <c r="U157" s="565" t="n"/>
      <c r="V157" s="551" t="n"/>
      <c r="W157" s="1172" t="n"/>
      <c r="X157" s="565" t="n"/>
      <c r="Y157" s="551" t="n"/>
      <c r="Z157" s="1172" t="n"/>
      <c r="AA157" s="565" t="n"/>
      <c r="AB157" s="551" t="n"/>
      <c r="AC157" s="1172" t="n"/>
      <c r="AD157" s="565" t="n"/>
      <c r="AE157" s="551" t="n"/>
      <c r="AF157" s="1172" t="n"/>
      <c r="AG157" s="565" t="n"/>
      <c r="AH157" s="551" t="n"/>
      <c r="AI157" s="1172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03">
        <f>AM157/AM42</f>
        <v/>
      </c>
      <c r="AQ157" s="705" t="n"/>
      <c r="AR157" s="559" t="n"/>
      <c r="AS157" s="1174" t="n"/>
      <c r="AT157" s="1058" t="n"/>
    </row>
    <row r="158" ht="15" customHeight="1" s="1016">
      <c r="B158" s="1175" t="inlineStr">
        <is>
          <t>Otros Ajustes</t>
        </is>
      </c>
      <c r="C158" s="1173" t="n"/>
      <c r="D158" s="13" t="n"/>
      <c r="E158" s="1176" t="n"/>
      <c r="F158" s="1173" t="n"/>
      <c r="G158" s="13" t="n"/>
      <c r="H158" s="1176" t="n"/>
      <c r="I158" s="1173" t="n"/>
      <c r="J158" s="13" t="n"/>
      <c r="K158" s="1176" t="n"/>
      <c r="L158" s="1173" t="n"/>
      <c r="M158" s="13" t="n"/>
      <c r="N158" s="1176" t="n"/>
      <c r="O158" s="1173" t="n"/>
      <c r="P158" s="13" t="n"/>
      <c r="Q158" s="1176" t="n"/>
      <c r="R158" s="1173" t="n"/>
      <c r="S158" s="13" t="n"/>
      <c r="T158" s="1176" t="n"/>
      <c r="U158" s="1173" t="n"/>
      <c r="V158" s="13" t="n"/>
      <c r="W158" s="1176" t="n"/>
      <c r="X158" s="1173" t="n"/>
      <c r="Y158" s="13" t="n"/>
      <c r="Z158" s="1176" t="n"/>
      <c r="AA158" s="1173" t="n"/>
      <c r="AB158" s="13" t="n"/>
      <c r="AC158" s="1176" t="n"/>
      <c r="AD158" s="1173" t="n"/>
      <c r="AE158" s="43" t="n"/>
      <c r="AF158" s="1176" t="n"/>
      <c r="AG158" s="1173" t="n"/>
      <c r="AH158" s="13" t="n"/>
      <c r="AI158" s="1176" t="n"/>
      <c r="AJ158" s="1173" t="n"/>
      <c r="AK158" s="13" t="n"/>
      <c r="AL158" s="246" t="n"/>
      <c r="AM158" s="294">
        <f>C158+F158+I158+L158+O158+R158+U158+X158+AA158+AD158+AG158+AJ158</f>
        <v/>
      </c>
      <c r="AN158" s="13" t="n"/>
      <c r="AO158" s="1177">
        <f>AM158/$AM$42</f>
        <v/>
      </c>
      <c r="AQ158" s="75" t="n"/>
      <c r="AR158" s="296" t="n"/>
      <c r="AS158" s="1178" t="n"/>
      <c r="AT158" s="1058" t="n"/>
    </row>
    <row r="159" ht="15" customHeight="1" s="1016">
      <c r="B159" s="1175" t="inlineStr">
        <is>
          <t>Otros Ajustes</t>
        </is>
      </c>
      <c r="C159" s="1173" t="n"/>
      <c r="D159" s="13" t="n"/>
      <c r="E159" s="1176" t="n"/>
      <c r="F159" s="1173" t="n"/>
      <c r="G159" s="13" t="n"/>
      <c r="H159" s="1176" t="n"/>
      <c r="I159" s="1173" t="n"/>
      <c r="J159" s="13" t="n"/>
      <c r="K159" s="1176" t="n"/>
      <c r="L159" s="1173" t="n"/>
      <c r="M159" s="13" t="n"/>
      <c r="N159" s="1176" t="n"/>
      <c r="O159" s="1173" t="n"/>
      <c r="P159" s="13" t="n"/>
      <c r="Q159" s="1176" t="n"/>
      <c r="R159" s="1173" t="n"/>
      <c r="S159" s="13" t="n"/>
      <c r="T159" s="1176" t="n"/>
      <c r="U159" s="1173" t="n"/>
      <c r="V159" s="13" t="n"/>
      <c r="W159" s="1176" t="n"/>
      <c r="X159" s="1173" t="n"/>
      <c r="Y159" s="13" t="n"/>
      <c r="Z159" s="1176" t="n"/>
      <c r="AA159" s="1173" t="n"/>
      <c r="AB159" s="13" t="n"/>
      <c r="AC159" s="1176" t="n"/>
      <c r="AD159" s="1173" t="n"/>
      <c r="AE159" s="43" t="n"/>
      <c r="AF159" s="1176" t="n"/>
      <c r="AG159" s="1173" t="n"/>
      <c r="AH159" s="13" t="n"/>
      <c r="AI159" s="1176" t="n"/>
      <c r="AJ159" s="1173" t="n"/>
      <c r="AK159" s="13" t="n"/>
      <c r="AL159" s="246" t="n"/>
      <c r="AM159" s="294">
        <f>C159+F159+I159+L159+O159+R159+U159+X159+AA159+AD159+AG159+AJ159</f>
        <v/>
      </c>
      <c r="AN159" s="13" t="n"/>
      <c r="AO159" s="1177">
        <f>AM159/$AM$42</f>
        <v/>
      </c>
      <c r="AQ159" s="296" t="n"/>
      <c r="AR159" s="296" t="n"/>
      <c r="AS159" s="1178" t="n"/>
      <c r="AT159" s="1058" t="n"/>
    </row>
    <row r="160" ht="15" customHeight="1" s="1016" thickBot="1">
      <c r="B160" s="1179" t="inlineStr">
        <is>
          <t>Paquetes de donacion</t>
        </is>
      </c>
      <c r="C160" s="234" t="n"/>
      <c r="D160" s="233" t="n"/>
      <c r="E160" s="1180" t="n"/>
      <c r="F160" s="234" t="n"/>
      <c r="G160" s="233" t="n"/>
      <c r="H160" s="1180" t="n"/>
      <c r="I160" s="234" t="n"/>
      <c r="J160" s="233" t="n"/>
      <c r="K160" s="1180" t="n"/>
      <c r="L160" s="1173" t="n"/>
      <c r="M160" s="13" t="n"/>
      <c r="N160" s="1176" t="n"/>
      <c r="O160" s="1173" t="n"/>
      <c r="P160" s="13" t="n"/>
      <c r="Q160" s="1176" t="n"/>
      <c r="R160" s="1173" t="n"/>
      <c r="S160" s="233" t="n"/>
      <c r="T160" s="1180" t="n"/>
      <c r="U160" s="1173" t="n"/>
      <c r="V160" s="233" t="n"/>
      <c r="W160" s="1180" t="n"/>
      <c r="X160" s="1173" t="n"/>
      <c r="Y160" s="233" t="n"/>
      <c r="Z160" s="1180" t="n"/>
      <c r="AA160" s="1173" t="n"/>
      <c r="AB160" s="233" t="n"/>
      <c r="AC160" s="1180" t="n"/>
      <c r="AD160" s="1173" t="n"/>
      <c r="AE160" s="233" t="n"/>
      <c r="AF160" s="1180" t="n"/>
      <c r="AG160" s="1173" t="n"/>
      <c r="AH160" s="233" t="n"/>
      <c r="AI160" s="1180" t="n"/>
      <c r="AJ160" s="1173" t="n"/>
      <c r="AK160" s="233" t="n"/>
      <c r="AL160" s="247" t="n"/>
      <c r="AM160" s="292">
        <f>C160+F160+I160+L160+O160+R160+U160+X160+AA160+AD160+AG160+AJ160</f>
        <v/>
      </c>
      <c r="AN160" s="810" t="n"/>
      <c r="AO160" s="1177">
        <f>AM160/AM13</f>
        <v/>
      </c>
      <c r="AQ160" s="620" t="n"/>
      <c r="AR160" s="620" t="n"/>
      <c r="AS160" s="1182" t="n"/>
      <c r="AT160" s="1058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1118" t="n"/>
      <c r="F161" s="497">
        <f>F144-F147-F153</f>
        <v/>
      </c>
      <c r="G161" s="498" t="n"/>
      <c r="H161" s="1118" t="n"/>
      <c r="I161" s="497">
        <f>I144-I147-I153</f>
        <v/>
      </c>
      <c r="J161" s="498" t="n"/>
      <c r="K161" s="1118" t="n"/>
      <c r="L161" s="497">
        <f>L144-L147-L153</f>
        <v/>
      </c>
      <c r="M161" s="498" t="n"/>
      <c r="N161" s="1118" t="n"/>
      <c r="O161" s="497">
        <f>O144-O147-O153</f>
        <v/>
      </c>
      <c r="P161" s="498" t="n"/>
      <c r="Q161" s="1118" t="n"/>
      <c r="R161" s="497">
        <f>R144-R147-R153</f>
        <v/>
      </c>
      <c r="S161" s="498" t="n"/>
      <c r="T161" s="1118" t="n"/>
      <c r="U161" s="497">
        <f>U144-U147-U153</f>
        <v/>
      </c>
      <c r="V161" s="498" t="n"/>
      <c r="W161" s="1118" t="n"/>
      <c r="X161" s="497">
        <f>X144-X147-X153</f>
        <v/>
      </c>
      <c r="Y161" s="498" t="n"/>
      <c r="Z161" s="1118" t="n"/>
      <c r="AA161" s="497">
        <f>AA144-AA147-AA153</f>
        <v/>
      </c>
      <c r="AB161" s="498" t="n"/>
      <c r="AC161" s="1118" t="n"/>
      <c r="AD161" s="497">
        <f>AD144-AD147-AD153</f>
        <v/>
      </c>
      <c r="AE161" s="498" t="n"/>
      <c r="AF161" s="1118" t="n"/>
      <c r="AG161" s="497">
        <f>AG144-AG147-AG153</f>
        <v/>
      </c>
      <c r="AH161" s="498" t="n"/>
      <c r="AI161" s="1118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19" t="n"/>
      <c r="AQ161" s="628">
        <f>AQ144-AQ147-AQ153</f>
        <v/>
      </c>
      <c r="AR161" s="628" t="n"/>
      <c r="AS161" s="1159" t="n"/>
      <c r="AT161" s="1125" t="n"/>
    </row>
    <row r="162" ht="14.4" customHeight="1" s="1016" thickBot="1" thickTop="1">
      <c r="B162" s="65" t="n"/>
      <c r="C162" s="454">
        <f>IFERROR(C161/C13," ")</f>
        <v/>
      </c>
      <c r="D162" s="445" t="n"/>
      <c r="E162" s="1225" t="n"/>
      <c r="F162" s="538">
        <f>IFERROR(F161/F13," ")</f>
        <v/>
      </c>
      <c r="G162" s="501" t="n"/>
      <c r="H162" s="1118" t="n"/>
      <c r="I162" s="500">
        <f>IFERROR(I161/I13," ")</f>
        <v/>
      </c>
      <c r="J162" s="501" t="n"/>
      <c r="K162" s="1118" t="n"/>
      <c r="L162" s="500">
        <f>IFERROR(L161/L13," ")</f>
        <v/>
      </c>
      <c r="M162" s="501" t="n"/>
      <c r="N162" s="1118" t="n"/>
      <c r="O162" s="541">
        <f>IFERROR(O161/O13," ")</f>
        <v/>
      </c>
      <c r="P162" s="501" t="n"/>
      <c r="Q162" s="1118" t="n"/>
      <c r="R162" s="538">
        <f>IFERROR(R161/R13," ")</f>
        <v/>
      </c>
      <c r="S162" s="501" t="n"/>
      <c r="T162" s="1118" t="n"/>
      <c r="U162" s="538">
        <f>IFERROR(U161/U13," ")</f>
        <v/>
      </c>
      <c r="V162" s="501" t="n"/>
      <c r="W162" s="1118" t="n"/>
      <c r="X162" s="538">
        <f>IFERROR(X161/X13," ")</f>
        <v/>
      </c>
      <c r="Y162" s="501" t="n"/>
      <c r="Z162" s="1118" t="n"/>
      <c r="AA162" s="538">
        <f>IFERROR(AA161/AA13," ")</f>
        <v/>
      </c>
      <c r="AB162" s="501" t="n"/>
      <c r="AC162" s="1118" t="n"/>
      <c r="AD162" s="500">
        <f>IFERROR(AD161/AD13," ")</f>
        <v/>
      </c>
      <c r="AE162" s="501" t="n"/>
      <c r="AF162" s="1118" t="n"/>
      <c r="AG162" s="500">
        <f>IFERROR(AG161/AG13," ")</f>
        <v/>
      </c>
      <c r="AH162" s="501" t="n"/>
      <c r="AI162" s="1118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19" t="n"/>
      <c r="AQ162" s="629">
        <f>IFERROR(AQ161/AQ13," ")</f>
        <v/>
      </c>
      <c r="AR162" s="629" t="n"/>
      <c r="AS162" s="1159" t="n"/>
      <c r="AT162" s="1125" t="n"/>
    </row>
    <row r="163" ht="10.8" customHeight="1" s="1016" thickTop="1"/>
    <row r="164" hidden="1" customFormat="1" s="153">
      <c r="A164" s="226" t="n"/>
      <c r="C164" s="1025" t="n"/>
      <c r="D164" s="1025" t="n"/>
      <c r="E164" s="1213" t="n"/>
      <c r="F164" s="547" t="n"/>
      <c r="G164" s="1025" t="n"/>
      <c r="H164" s="1213" t="n"/>
      <c r="I164" s="547" t="n"/>
      <c r="J164" s="1025" t="n"/>
      <c r="K164" s="1213" t="n"/>
      <c r="L164" s="616">
        <f>L44+L83-L73-L85</f>
        <v/>
      </c>
      <c r="M164" s="1025" t="n"/>
      <c r="N164" s="1213" t="n"/>
      <c r="O164" s="472">
        <f>O44+O83-O73-O85</f>
        <v/>
      </c>
      <c r="P164" s="1025" t="n"/>
      <c r="Q164" s="1213" t="n"/>
      <c r="R164" s="475">
        <f>R44+R83-R73-R85-R58</f>
        <v/>
      </c>
      <c r="S164" s="1025" t="n"/>
      <c r="T164" s="1213" t="n"/>
      <c r="U164" s="475">
        <f>U44+U83-U73-U85-U58</f>
        <v/>
      </c>
      <c r="V164" s="1025" t="n"/>
      <c r="W164" s="1213" t="n"/>
      <c r="X164" s="475">
        <f>X44+X83-X73-X85-X58</f>
        <v/>
      </c>
      <c r="Y164" s="1025" t="n"/>
      <c r="Z164" s="1213" t="n"/>
      <c r="AA164" s="475">
        <f>AA44+AA83-AA73-AA85-AA58</f>
        <v/>
      </c>
      <c r="AB164" s="1025" t="n"/>
      <c r="AC164" s="1213" t="n"/>
      <c r="AD164" s="475">
        <f>AD44+AD83-AD73-AD85-AD58</f>
        <v/>
      </c>
      <c r="AE164" s="1025" t="n"/>
      <c r="AF164" s="1213" t="n"/>
      <c r="AG164" s="475">
        <f>AG44+AG83-AG73-AG85-AG58</f>
        <v/>
      </c>
      <c r="AH164" s="1025" t="n"/>
      <c r="AI164" s="1213" t="n"/>
      <c r="AJ164" s="475">
        <f>AJ44+AJ83-AJ73-AJ85-AJ58</f>
        <v/>
      </c>
      <c r="AK164" s="1025" t="n"/>
      <c r="AL164" s="1025" t="n"/>
      <c r="AM164" s="1025" t="n"/>
      <c r="AN164" s="1025" t="n"/>
      <c r="AO164" s="1213" t="n"/>
      <c r="AQ164" s="1010" t="n"/>
      <c r="AR164" s="1010" t="n"/>
      <c r="AS164" s="2" t="n"/>
      <c r="AT164" s="2" t="n"/>
    </row>
    <row r="165" hidden="1" customFormat="1" s="153">
      <c r="A165" s="226" t="n"/>
      <c r="C165" s="1025" t="n"/>
      <c r="D165" s="1025" t="n"/>
      <c r="E165" s="1213" t="n"/>
      <c r="F165" s="547" t="n"/>
      <c r="G165" s="1025" t="n"/>
      <c r="H165" s="1213" t="n"/>
      <c r="I165" s="547" t="n"/>
      <c r="J165" s="1025" t="n"/>
      <c r="K165" s="1213" t="n"/>
      <c r="L165" s="616" t="n">
        <v>248496098.22</v>
      </c>
      <c r="M165" s="1025" t="n"/>
      <c r="N165" s="1213" t="n"/>
      <c r="O165" s="472" t="n">
        <v>232932438</v>
      </c>
      <c r="P165" s="1025" t="n"/>
      <c r="Q165" s="1213" t="n"/>
      <c r="R165" s="475" t="n">
        <v>247608078.26</v>
      </c>
      <c r="S165" s="1025" t="n"/>
      <c r="T165" s="1213" t="n"/>
      <c r="U165" s="475" t="n">
        <v>2469802.02</v>
      </c>
      <c r="V165" s="1025" t="n"/>
      <c r="W165" s="1213" t="n"/>
      <c r="X165" s="475" t="n">
        <v>242923595.62</v>
      </c>
      <c r="Y165" s="1025" t="n"/>
      <c r="Z165" s="1213" t="n"/>
      <c r="AA165" s="475" t="n">
        <v>245927632.57</v>
      </c>
      <c r="AB165" s="1025" t="n"/>
      <c r="AC165" s="1213" t="n"/>
      <c r="AD165" s="475" t="n">
        <v>247341748.46</v>
      </c>
      <c r="AE165" s="1025" t="n"/>
      <c r="AF165" s="1213" t="n"/>
      <c r="AG165" s="475" t="n">
        <v>255609489.48</v>
      </c>
      <c r="AH165" s="1025" t="n"/>
      <c r="AI165" s="1213" t="n"/>
      <c r="AJ165" s="475" t="n">
        <v>251921253.38</v>
      </c>
      <c r="AK165" s="1025" t="n"/>
      <c r="AL165" s="1025" t="n"/>
      <c r="AM165" s="1025" t="n"/>
      <c r="AN165" s="1025" t="n"/>
      <c r="AO165" s="1213" t="n"/>
      <c r="AQ165" s="1010" t="n"/>
      <c r="AR165" s="1010" t="n"/>
      <c r="AS165" s="2" t="n"/>
      <c r="AT165" s="2" t="n"/>
    </row>
    <row r="166" hidden="1" customFormat="1" s="153">
      <c r="A166" s="226" t="n"/>
      <c r="C166" s="1025" t="n"/>
      <c r="D166" s="1025" t="n"/>
      <c r="E166" s="1213" t="n"/>
      <c r="F166" s="547" t="n"/>
      <c r="G166" s="1024" t="n"/>
      <c r="H166" s="1214" t="n"/>
      <c r="I166" s="568" t="n"/>
      <c r="J166" s="1025" t="n"/>
      <c r="K166" s="1214" t="n"/>
      <c r="L166" s="616">
        <f>L164-L165</f>
        <v/>
      </c>
      <c r="M166" s="1025" t="n"/>
      <c r="N166" s="1213" t="n"/>
      <c r="O166" s="472">
        <f>O164-O165</f>
        <v/>
      </c>
      <c r="P166" s="1025" t="n"/>
      <c r="Q166" s="1213" t="n"/>
      <c r="R166" s="475">
        <f>R164-R165</f>
        <v/>
      </c>
      <c r="S166" s="1025" t="n"/>
      <c r="T166" s="1213" t="n"/>
      <c r="U166" s="475">
        <f>U164-U165</f>
        <v/>
      </c>
      <c r="V166" s="1025" t="n"/>
      <c r="W166" s="1213" t="n"/>
      <c r="X166" s="475">
        <f>X164-X165</f>
        <v/>
      </c>
      <c r="Y166" s="1025" t="n"/>
      <c r="Z166" s="1213" t="n"/>
      <c r="AA166" s="475">
        <f>AA164-AA165</f>
        <v/>
      </c>
      <c r="AB166" s="1025" t="n"/>
      <c r="AC166" s="1213" t="n"/>
      <c r="AD166" s="475">
        <f>AD164-AD165</f>
        <v/>
      </c>
      <c r="AE166" s="1025" t="n"/>
      <c r="AF166" s="1213" t="n"/>
      <c r="AG166" s="475">
        <f>AG164-AG165</f>
        <v/>
      </c>
      <c r="AH166" s="1025" t="n"/>
      <c r="AI166" s="1213" t="n"/>
      <c r="AJ166" s="475">
        <f>AJ164-AJ165</f>
        <v/>
      </c>
      <c r="AK166" s="1025" t="n"/>
      <c r="AL166" s="1025" t="n"/>
      <c r="AM166" s="1024" t="n"/>
      <c r="AN166" s="1025" t="n"/>
      <c r="AO166" s="1213" t="n"/>
      <c r="AQ166" s="1010" t="n"/>
      <c r="AR166" s="1010" t="n"/>
      <c r="AS166" s="2" t="n"/>
      <c r="AT166" s="2" t="n"/>
    </row>
    <row r="167" customFormat="1" s="153">
      <c r="A167" s="226" t="n"/>
      <c r="C167" s="1025" t="n"/>
      <c r="D167" s="1025" t="n"/>
      <c r="E167" s="1213" t="n"/>
      <c r="F167" s="1025" t="n"/>
      <c r="G167" s="1025" t="n"/>
      <c r="H167" s="1213" t="n"/>
      <c r="I167" s="1024" t="n"/>
      <c r="J167" s="1025" t="n"/>
      <c r="K167" s="1213" t="n"/>
      <c r="L167" s="1025" t="n"/>
      <c r="M167" s="1025" t="n"/>
      <c r="N167" s="1213" t="n"/>
      <c r="O167" s="1025" t="n"/>
      <c r="P167" s="1025" t="n"/>
      <c r="Q167" s="1213" t="n"/>
      <c r="R167" s="1025" t="n"/>
      <c r="S167" s="1025" t="n"/>
      <c r="T167" s="1213" t="n"/>
      <c r="U167" s="1025" t="n"/>
      <c r="V167" s="1025" t="n"/>
      <c r="W167" s="1213" t="n"/>
      <c r="X167" s="475" t="n"/>
      <c r="Y167" s="1025" t="n"/>
      <c r="Z167" s="1213" t="n"/>
      <c r="AA167" s="1025" t="n"/>
      <c r="AB167" s="1025" t="n"/>
      <c r="AC167" s="1213" t="n"/>
      <c r="AD167" s="1025" t="n"/>
      <c r="AE167" s="1025" t="n"/>
      <c r="AF167" s="1213" t="n"/>
      <c r="AG167" s="401" t="n"/>
      <c r="AH167" s="1025" t="n"/>
      <c r="AI167" s="1213" t="n"/>
      <c r="AJ167" s="1010" t="n"/>
      <c r="AK167" s="1025" t="n"/>
      <c r="AL167" s="1025" t="n"/>
      <c r="AM167" s="401" t="n"/>
      <c r="AN167" s="1025" t="n"/>
      <c r="AO167" s="1213" t="n"/>
      <c r="AQ167" s="1010" t="n"/>
      <c r="AR167" s="1010" t="n"/>
      <c r="AS167" s="2" t="n"/>
      <c r="AT167" s="2" t="n"/>
    </row>
    <row r="170">
      <c r="AD170" s="1240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10" min="3" max="3"/>
    <col width="8.6640625" customWidth="1" style="1010" min="4" max="5"/>
    <col width="14.44140625" customWidth="1" style="1010" min="6" max="6"/>
    <col width="8.6640625" customWidth="1" style="1010" min="7" max="8"/>
    <col width="14.44140625" customWidth="1" style="1010" min="9" max="9"/>
    <col width="8.6640625" customWidth="1" style="1010" min="10" max="11"/>
    <col width="14.44140625" customWidth="1" style="1010" min="12" max="12"/>
    <col width="8.6640625" customWidth="1" style="1010" min="13" max="13"/>
    <col width="7" customWidth="1" style="1010" min="14" max="14"/>
    <col width="14.44140625" customWidth="1" style="1010" min="15" max="15"/>
    <col width="8.6640625" customWidth="1" style="1010" min="16" max="17"/>
    <col width="14.44140625" customWidth="1" style="1010" min="18" max="18"/>
    <col width="8.6640625" customWidth="1" style="1010" min="19" max="20"/>
    <col width="14.44140625" customWidth="1" style="1010" min="21" max="21"/>
    <col width="8.6640625" customWidth="1" style="1010" min="22" max="23"/>
    <col width="15.33203125" customWidth="1" style="1010" min="24" max="24"/>
    <col width="8.6640625" customWidth="1" style="1010" min="25" max="26"/>
    <col width="16" customWidth="1" style="1010" min="27" max="27"/>
    <col width="8.6640625" customWidth="1" style="1010" min="28" max="28"/>
    <col width="7.6640625" customWidth="1" style="1010" min="29" max="29"/>
    <col width="14.6640625" customWidth="1" style="1010" min="30" max="30"/>
    <col width="8.44140625" customWidth="1" style="1010" min="31" max="31"/>
    <col width="7.44140625" customWidth="1" style="1010" min="32" max="32"/>
    <col width="14.44140625" customWidth="1" style="1010" min="33" max="33"/>
    <col width="8.6640625" customWidth="1" style="1010" min="34" max="35"/>
    <col width="14.44140625" customWidth="1" style="1010" min="36" max="36"/>
    <col width="8.6640625" customWidth="1" style="1010" min="37" max="38"/>
    <col width="17.109375" customWidth="1" style="1010" min="39" max="39"/>
    <col width="8.44140625" customWidth="1" style="1010" min="40" max="40"/>
    <col width="8.6640625" customWidth="1" style="1010" min="41" max="41"/>
    <col width="11.44140625" customWidth="1" style="2" min="42" max="55"/>
    <col width="11.44140625" customWidth="1" style="2" min="56" max="16384"/>
  </cols>
  <sheetData>
    <row r="2" ht="20.25" customHeight="1" s="1016" thickBot="1">
      <c r="B2" s="236" t="inlineStr">
        <is>
          <t xml:space="preserve">CORPORACIÓN HACIA UN VALLE SOLIDARIO </t>
        </is>
      </c>
      <c r="C2" s="1008" t="inlineStr">
        <is>
          <t>PYG  TOTAL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237" t="n"/>
    </row>
    <row r="3" ht="21.75" customHeight="1" s="1016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3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4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4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4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4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4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4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4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4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16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>
        <f>I14+I23</f>
        <v/>
      </c>
      <c r="J13" s="485" t="n"/>
      <c r="K13" s="507" t="n"/>
      <c r="L13" s="484">
        <f>L14+L23</f>
        <v/>
      </c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16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1" t="n"/>
      <c r="Z14" s="867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16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1" t="n"/>
      <c r="Z15" s="867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16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16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16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16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16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16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16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16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1" t="n"/>
      <c r="Z23" s="867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16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1" t="n"/>
      <c r="Z24" s="867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16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16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16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16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1" t="n"/>
      <c r="Z28" s="867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16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1" t="n"/>
      <c r="Z29" s="1184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078">
        <f>AM29/AM13</f>
        <v/>
      </c>
    </row>
    <row r="30" outlineLevel="1" ht="15" customHeight="1" s="1016">
      <c r="B30" s="30" t="n"/>
      <c r="C30" s="1257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57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57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57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57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57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57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57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57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57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57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57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16">
      <c r="B31" s="105" t="n"/>
      <c r="C31" s="1087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087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087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087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087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087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087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087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087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087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087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087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16">
      <c r="B32" s="105" t="n"/>
      <c r="C32" s="1087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087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087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087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087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087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087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087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087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087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087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087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16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16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16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16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16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16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16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16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16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16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>
        <f>+I14+I23-I28</f>
        <v/>
      </c>
      <c r="J42" s="488" t="n"/>
      <c r="K42" s="509" t="n"/>
      <c r="L42" s="487">
        <f>+L14+L23-L28</f>
        <v/>
      </c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16" thickBot="1" thickTop="1">
      <c r="C43" s="931" t="n"/>
      <c r="D43" s="932" t="n"/>
      <c r="E43" s="933">
        <f>(C46+C61)/(C13-C20-C21-C22)</f>
        <v/>
      </c>
      <c r="F43" s="931" t="n"/>
      <c r="G43" s="931" t="n"/>
      <c r="H43" s="964">
        <f>(F46+F61)/(F13-F20-F21-F22)</f>
        <v/>
      </c>
      <c r="I43" s="931" t="n"/>
      <c r="J43" s="931" t="n"/>
      <c r="K43" s="1258">
        <f>(I46+I61)/(I13-I20-I21-I22)</f>
        <v/>
      </c>
      <c r="L43" s="931" t="n"/>
      <c r="M43" s="931" t="n"/>
      <c r="N43" s="1259">
        <f>(L46+L61)/(L13-L20-L21-L22)</f>
        <v/>
      </c>
      <c r="O43" s="931" t="n"/>
      <c r="P43" s="931" t="n"/>
      <c r="Q43" s="936">
        <f>(O46+O61)/(O13-O20-O21-O22)</f>
        <v/>
      </c>
      <c r="R43" s="931" t="n"/>
      <c r="S43" s="931" t="n"/>
      <c r="T43" s="1259">
        <f>(R46+R61)/(R13-R20-R21-R22)</f>
        <v/>
      </c>
      <c r="U43" s="931" t="n"/>
      <c r="V43" s="931" t="n"/>
      <c r="W43" s="1259">
        <f>(U46+U61)/(U13-U20-U21-U22)</f>
        <v/>
      </c>
      <c r="X43" s="931" t="n"/>
      <c r="Y43" s="931" t="n"/>
      <c r="Z43" s="1259">
        <f>(X46+X61)/(X13-X20-X21-X22)</f>
        <v/>
      </c>
      <c r="AA43" s="931">
        <f>650768778-AA29</f>
        <v/>
      </c>
      <c r="AB43" s="931" t="n"/>
      <c r="AC43" s="1259">
        <f>(AA46+AA61)/(AA13-AA20-AA21-AA22)</f>
        <v/>
      </c>
      <c r="AD43" s="937" t="n"/>
      <c r="AE43" s="938" t="n"/>
      <c r="AF43" s="1259">
        <f>(AD46+AD61)/(AD13-AD20-AD21-AD22)</f>
        <v/>
      </c>
      <c r="AG43" s="938">
        <f>(AG13*AF43)-(AG46+AG61)</f>
        <v/>
      </c>
      <c r="AH43" s="938" t="n"/>
      <c r="AI43" s="1259">
        <f>(AG46+AG61)/(AG13-AG20-AG21-AG22)</f>
        <v/>
      </c>
      <c r="AJ43" s="938">
        <f>(AJ13*AI43)-(AJ46+AJ61)</f>
        <v/>
      </c>
      <c r="AK43" s="938" t="n"/>
      <c r="AL43" s="1259">
        <f>(AJ46+AJ61)/(AJ13-AJ20-AJ21-AJ22)</f>
        <v/>
      </c>
      <c r="AM43" s="868" t="n"/>
      <c r="AN43" s="695" t="n"/>
      <c r="AO43" s="939">
        <f>(AM46+AM61)/(AM13-AM20-AM21-AM22)</f>
        <v/>
      </c>
    </row>
    <row r="44" ht="15" customHeight="1" s="1016" thickTop="1">
      <c r="B44" s="526" t="inlineStr">
        <is>
          <t>COSTOS DE PRODUCCION</t>
        </is>
      </c>
      <c r="C44" s="490">
        <f>+C45+C60+C78</f>
        <v/>
      </c>
      <c r="D44" s="491" t="n"/>
      <c r="E44" s="1094">
        <f>C44/C13</f>
        <v/>
      </c>
      <c r="F44" s="490">
        <f>+F45+F60+F78</f>
        <v/>
      </c>
      <c r="G44" s="491" t="n"/>
      <c r="H44" s="1094">
        <f>F44/F13</f>
        <v/>
      </c>
      <c r="I44" s="490">
        <f>+I45+I60+I78</f>
        <v/>
      </c>
      <c r="J44" s="491" t="n"/>
      <c r="K44" s="1094">
        <f>I44/I13</f>
        <v/>
      </c>
      <c r="L44" s="490">
        <f>+L45+L60+L78</f>
        <v/>
      </c>
      <c r="M44" s="491" t="n"/>
      <c r="N44" s="1094">
        <f>L44/L13</f>
        <v/>
      </c>
      <c r="O44" s="490">
        <f>+O45+O60+O78</f>
        <v/>
      </c>
      <c r="P44" s="491" t="n"/>
      <c r="Q44" s="1094">
        <f>O44/O13</f>
        <v/>
      </c>
      <c r="R44" s="490">
        <f>+R45+R60+R78</f>
        <v/>
      </c>
      <c r="S44" s="491" t="n"/>
      <c r="T44" s="1094">
        <f>R44/R13</f>
        <v/>
      </c>
      <c r="U44" s="490">
        <f>+U45+U60+U78</f>
        <v/>
      </c>
      <c r="V44" s="491" t="n"/>
      <c r="W44" s="1094">
        <f>U44/U13</f>
        <v/>
      </c>
      <c r="X44" s="490">
        <f>+X45+X60+X78</f>
        <v/>
      </c>
      <c r="Y44" s="491" t="n"/>
      <c r="Z44" s="1094">
        <f>X44/X13</f>
        <v/>
      </c>
      <c r="AA44" s="490">
        <f>+AA45+AA60+AA78</f>
        <v/>
      </c>
      <c r="AB44" s="491" t="n"/>
      <c r="AC44" s="1094">
        <f>AA44/AA13</f>
        <v/>
      </c>
      <c r="AD44" s="490">
        <f>+AD45+AD60+AD78</f>
        <v/>
      </c>
      <c r="AE44" s="491" t="n"/>
      <c r="AF44" s="1094">
        <f>AD44/AD13</f>
        <v/>
      </c>
      <c r="AG44" s="490">
        <f>+AG45+AG60+AG78</f>
        <v/>
      </c>
      <c r="AH44" s="491" t="n"/>
      <c r="AI44" s="1094">
        <f>AG44/AG13</f>
        <v/>
      </c>
      <c r="AJ44" s="490">
        <f>+AJ45+AJ60+AJ78</f>
        <v/>
      </c>
      <c r="AK44" s="491" t="n"/>
      <c r="AL44" s="1094">
        <f>AJ44/AJ13</f>
        <v/>
      </c>
      <c r="AM44" s="593">
        <f>C44+F44+I44+L44+O44+R44+U44+X44+AA44+AD44+AG44+AJ44</f>
        <v/>
      </c>
      <c r="AN44" s="594" t="n"/>
      <c r="AO44" s="1094">
        <f>AM44/AM13</f>
        <v/>
      </c>
    </row>
    <row r="45" ht="15" customHeight="1" s="1016">
      <c r="B45" s="16" t="inlineStr">
        <is>
          <t>COSTOS INDUSTRIALIZADOS</t>
        </is>
      </c>
      <c r="C45" s="49">
        <f>+C46+C57</f>
        <v/>
      </c>
      <c r="D45" s="3" t="n"/>
      <c r="E45" s="1078">
        <f>C45/C13</f>
        <v/>
      </c>
      <c r="F45" s="49">
        <f>+F46+F57</f>
        <v/>
      </c>
      <c r="G45" s="3" t="n"/>
      <c r="H45" s="1078">
        <f>F45/F13</f>
        <v/>
      </c>
      <c r="I45" s="49">
        <f>+I46+I57</f>
        <v/>
      </c>
      <c r="J45" s="3" t="n"/>
      <c r="K45" s="1078">
        <f>I45/I13</f>
        <v/>
      </c>
      <c r="L45" s="49">
        <f>+L46+L57</f>
        <v/>
      </c>
      <c r="M45" s="3" t="n"/>
      <c r="N45" s="1078">
        <f>L45/L13</f>
        <v/>
      </c>
      <c r="O45" s="49">
        <f>+O46+O57</f>
        <v/>
      </c>
      <c r="P45" s="3" t="n"/>
      <c r="Q45" s="1078">
        <f>O45/O13</f>
        <v/>
      </c>
      <c r="R45" s="90">
        <f>+R46+R57</f>
        <v/>
      </c>
      <c r="S45" s="3" t="n"/>
      <c r="T45" s="1078">
        <f>R45/R13</f>
        <v/>
      </c>
      <c r="U45" s="49">
        <f>+U46+U57</f>
        <v/>
      </c>
      <c r="V45" s="3" t="n"/>
      <c r="W45" s="1078">
        <f>U45/U13</f>
        <v/>
      </c>
      <c r="X45" s="49">
        <f>+X46+X57</f>
        <v/>
      </c>
      <c r="Y45" s="3" t="n"/>
      <c r="Z45" s="1078">
        <f>X45/X13</f>
        <v/>
      </c>
      <c r="AA45" s="90">
        <f>+AA46+AA57</f>
        <v/>
      </c>
      <c r="AB45" s="3" t="n"/>
      <c r="AC45" s="1078">
        <f>AA45/AA13</f>
        <v/>
      </c>
      <c r="AD45" s="49">
        <f>+AD46+AD57</f>
        <v/>
      </c>
      <c r="AE45" s="3" t="n"/>
      <c r="AF45" s="1078">
        <f>AD45/AD13</f>
        <v/>
      </c>
      <c r="AG45" s="49">
        <f>+AG46+AG57</f>
        <v/>
      </c>
      <c r="AH45" s="3" t="n"/>
      <c r="AI45" s="1078">
        <f>AG45/AG13</f>
        <v/>
      </c>
      <c r="AJ45" s="49">
        <f>+AJ46+AJ57</f>
        <v/>
      </c>
      <c r="AK45" s="3" t="n"/>
      <c r="AL45" s="1078">
        <f>AJ45/AJ13</f>
        <v/>
      </c>
      <c r="AM45" s="17">
        <f>C45+F45+I45+L45+O45+R45+U45+X45+AA45+AD45+AG45+AJ45</f>
        <v/>
      </c>
      <c r="AN45" s="197" t="n"/>
      <c r="AO45" s="1078">
        <f>AM45/AM13</f>
        <v/>
      </c>
    </row>
    <row r="46" ht="15" customHeight="1" s="1016">
      <c r="B46" s="36" t="inlineStr">
        <is>
          <t>INSUMOS INDUSTRIALIZADOS</t>
        </is>
      </c>
      <c r="C46" s="46">
        <f>SUM(C47:C56)</f>
        <v/>
      </c>
      <c r="D46" s="47" t="n"/>
      <c r="E46" s="1074">
        <f>C46/C13</f>
        <v/>
      </c>
      <c r="F46" s="46">
        <f>SUM(F47:F56)</f>
        <v/>
      </c>
      <c r="G46" s="47" t="n"/>
      <c r="H46" s="1074">
        <f>F46/F13</f>
        <v/>
      </c>
      <c r="I46" s="46">
        <f>SUM(I47:I56)</f>
        <v/>
      </c>
      <c r="J46" s="47" t="n"/>
      <c r="K46" s="1074">
        <f>I46/I13</f>
        <v/>
      </c>
      <c r="L46" s="46">
        <f>SUM(L47:L56)</f>
        <v/>
      </c>
      <c r="M46" s="47" t="n"/>
      <c r="N46" s="1074">
        <f>L46/L13</f>
        <v/>
      </c>
      <c r="O46" s="46">
        <f>SUM(O47:O56)</f>
        <v/>
      </c>
      <c r="P46" s="47" t="n"/>
      <c r="Q46" s="1074">
        <f>O46/O13</f>
        <v/>
      </c>
      <c r="R46" s="46">
        <f>SUM(R47:R56)</f>
        <v/>
      </c>
      <c r="S46" s="47" t="n"/>
      <c r="T46" s="1074">
        <f>R46/R13</f>
        <v/>
      </c>
      <c r="U46" s="46">
        <f>SUM(U47:U56)</f>
        <v/>
      </c>
      <c r="V46" s="47" t="n"/>
      <c r="W46" s="1074">
        <f>U46/U13</f>
        <v/>
      </c>
      <c r="X46" s="46">
        <f>SUM(X47:X56)</f>
        <v/>
      </c>
      <c r="Y46" s="47" t="n"/>
      <c r="Z46" s="1074">
        <f>X46/X13</f>
        <v/>
      </c>
      <c r="AA46" s="46">
        <f>SUM(AA47:AA56)</f>
        <v/>
      </c>
      <c r="AB46" s="47" t="n"/>
      <c r="AC46" s="1074">
        <f>AA46/AA13</f>
        <v/>
      </c>
      <c r="AD46" s="46">
        <f>SUM(AD47:AD56)</f>
        <v/>
      </c>
      <c r="AE46" s="47" t="n"/>
      <c r="AF46" s="1074">
        <f>AD46/AD13</f>
        <v/>
      </c>
      <c r="AG46" s="46">
        <f>SUM(AG47:AG56)</f>
        <v/>
      </c>
      <c r="AH46" s="47" t="n"/>
      <c r="AI46" s="1074">
        <f>AG46/AG13</f>
        <v/>
      </c>
      <c r="AJ46" s="46">
        <f>SUM(AJ47:AJ56)</f>
        <v/>
      </c>
      <c r="AK46" s="47" t="n"/>
      <c r="AL46" s="1074">
        <f>AJ46/AJ13</f>
        <v/>
      </c>
      <c r="AM46" s="29">
        <f>C46+F46+I46+L46+O46+R46+U46+X46+AA46+AD46+AG46+AJ46</f>
        <v/>
      </c>
      <c r="AN46" s="199" t="n"/>
      <c r="AO46" s="1074">
        <f>AM46/AM13</f>
        <v/>
      </c>
    </row>
    <row r="47" ht="15" customHeight="1" s="1016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16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16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16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16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16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16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16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16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16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16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16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16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16">
      <c r="B60" s="16" t="inlineStr">
        <is>
          <t>COSTOS PREPARADOS</t>
        </is>
      </c>
      <c r="C60" s="90">
        <f>+C61+C72+C75+C76+C77</f>
        <v/>
      </c>
      <c r="D60" s="3" t="n"/>
      <c r="E60" s="1078">
        <f>C60/$C$13</f>
        <v/>
      </c>
      <c r="F60" s="90">
        <f>+F61+F72+F75+F76+F77</f>
        <v/>
      </c>
      <c r="G60" s="3" t="n"/>
      <c r="H60" s="1078">
        <f>F60/F13</f>
        <v/>
      </c>
      <c r="I60" s="90">
        <f>+I61+I72+I75+I76+I77</f>
        <v/>
      </c>
      <c r="J60" s="3" t="n"/>
      <c r="K60" s="1078">
        <f>I60/I13</f>
        <v/>
      </c>
      <c r="L60" s="90">
        <f>+L61+L72+L75+L76+L77</f>
        <v/>
      </c>
      <c r="M60" s="3" t="n"/>
      <c r="N60" s="1078">
        <f>L60/L13</f>
        <v/>
      </c>
      <c r="O60" s="90">
        <f>+O61+O72+O75+O76+O77</f>
        <v/>
      </c>
      <c r="P60" s="3" t="n"/>
      <c r="Q60" s="1078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078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078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9">
        <f>C60+F60+I60+L60+O60+R60+U60+X60+AA60+AD60+AG60+AJ60</f>
        <v/>
      </c>
      <c r="AN60" s="197" t="n"/>
      <c r="AO60" s="1078">
        <f>AM60/$AM$13</f>
        <v/>
      </c>
    </row>
    <row r="61" ht="15" customHeight="1" s="1016">
      <c r="B61" s="36" t="inlineStr">
        <is>
          <t>INSUMOS PREPARADOS</t>
        </is>
      </c>
      <c r="C61" s="37">
        <f>SUM(C62:C71)</f>
        <v/>
      </c>
      <c r="D61" s="67" t="n"/>
      <c r="E61" s="1096">
        <f>C61/$C$13</f>
        <v/>
      </c>
      <c r="F61" s="37">
        <f>SUM(F62:F71)</f>
        <v/>
      </c>
      <c r="G61" s="67" t="n"/>
      <c r="H61" s="1074">
        <f>F61/F14</f>
        <v/>
      </c>
      <c r="I61" s="46">
        <f>SUM(I62:I71)</f>
        <v/>
      </c>
      <c r="J61" s="67" t="n"/>
      <c r="K61" s="1074">
        <f>I61/I14</f>
        <v/>
      </c>
      <c r="L61" s="46">
        <f>SUM(L62:L71)</f>
        <v/>
      </c>
      <c r="M61" s="67" t="n"/>
      <c r="N61" s="1074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074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074">
        <f>AM61/$AM$13</f>
        <v/>
      </c>
    </row>
    <row r="62" ht="15" customHeight="1" s="1016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16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16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16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16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16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16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16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16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16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16">
      <c r="B72" s="36" t="inlineStr">
        <is>
          <t>FLETES</t>
        </is>
      </c>
      <c r="C72" s="46">
        <f>SUM(C73:C74)</f>
        <v/>
      </c>
      <c r="D72" s="47">
        <f>C72/C12</f>
        <v/>
      </c>
      <c r="E72" s="1074">
        <f>C72/C13</f>
        <v/>
      </c>
      <c r="F72" s="46">
        <f>SUM(F73:F74)</f>
        <v/>
      </c>
      <c r="G72" s="47">
        <f>F72/F12</f>
        <v/>
      </c>
      <c r="H72" s="1074">
        <f>F72/F13</f>
        <v/>
      </c>
      <c r="I72" s="46">
        <f>SUM(I73:I74)</f>
        <v/>
      </c>
      <c r="J72" s="47">
        <f>I72/I12</f>
        <v/>
      </c>
      <c r="K72" s="1074">
        <f>I72/I13</f>
        <v/>
      </c>
      <c r="L72" s="46">
        <f>SUM(L73:L74)</f>
        <v/>
      </c>
      <c r="M72" s="47">
        <f>L72/L12</f>
        <v/>
      </c>
      <c r="N72" s="1074">
        <f>L72/L13</f>
        <v/>
      </c>
      <c r="O72" s="46">
        <f>SUM(O73:O74)</f>
        <v/>
      </c>
      <c r="P72" s="47">
        <f>O72/O12</f>
        <v/>
      </c>
      <c r="Q72" s="1074">
        <f>O72/O13</f>
        <v/>
      </c>
      <c r="R72" s="46">
        <f>SUM(R73:R74)</f>
        <v/>
      </c>
      <c r="S72" s="47">
        <f>R72/R12</f>
        <v/>
      </c>
      <c r="T72" s="1074">
        <f>R72/R13</f>
        <v/>
      </c>
      <c r="U72" s="46">
        <f>SUM(U73:U74)</f>
        <v/>
      </c>
      <c r="V72" s="47">
        <f>U72/U12</f>
        <v/>
      </c>
      <c r="W72" s="1074">
        <f>U72/U13</f>
        <v/>
      </c>
      <c r="X72" s="46">
        <f>SUM(X73:X74)</f>
        <v/>
      </c>
      <c r="Y72" s="47">
        <f>X72/X12</f>
        <v/>
      </c>
      <c r="Z72" s="1074">
        <f>X72/X13</f>
        <v/>
      </c>
      <c r="AA72" s="46">
        <f>SUM(AA73:AA74)</f>
        <v/>
      </c>
      <c r="AB72" s="47">
        <f>AA72/AA12</f>
        <v/>
      </c>
      <c r="AC72" s="1074">
        <f>AA72/AA13</f>
        <v/>
      </c>
      <c r="AD72" s="46">
        <f>SUM(AD73:AD74)</f>
        <v/>
      </c>
      <c r="AE72" s="47">
        <f>AD72/AD12</f>
        <v/>
      </c>
      <c r="AF72" s="1074">
        <f>AD72/AD13</f>
        <v/>
      </c>
      <c r="AG72" s="46">
        <f>SUM(AG73:AG74)</f>
        <v/>
      </c>
      <c r="AH72" s="47" t="n"/>
      <c r="AI72" s="1074">
        <f>AG72/AG13</f>
        <v/>
      </c>
      <c r="AJ72" s="46">
        <f>SUM(AJ73:AJ74)</f>
        <v/>
      </c>
      <c r="AK72" s="47" t="n"/>
      <c r="AL72" s="1074">
        <f>AJ72/AJ13</f>
        <v/>
      </c>
      <c r="AM72" s="29">
        <f>C72+F72+I72+L72+O72+R72+U72+X72+AA72+AD72+AG72+AJ72</f>
        <v/>
      </c>
      <c r="AN72" s="196">
        <f>AM72/AM12</f>
        <v/>
      </c>
      <c r="AO72" s="1074">
        <f>AM72/AM13</f>
        <v/>
      </c>
    </row>
    <row r="73" ht="15" customHeight="1" s="1016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16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60" t="n"/>
    </row>
    <row r="75" ht="15" customHeight="1" s="1016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096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096">
        <f>AM75/AM$13</f>
        <v/>
      </c>
    </row>
    <row r="76" ht="15" customHeight="1" s="1016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096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61">
        <f>AM76/$AM$13</f>
        <v/>
      </c>
    </row>
    <row r="77" ht="15" customHeight="1" s="1016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098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61">
        <f>AM77/$AM$13</f>
        <v/>
      </c>
    </row>
    <row r="78" ht="15" customHeight="1" s="1016">
      <c r="B78" s="16" t="inlineStr">
        <is>
          <t>MANO DE OBRA DIRECTA</t>
        </is>
      </c>
      <c r="C78" s="49">
        <f>SUM(C79:C81)</f>
        <v/>
      </c>
      <c r="D78" s="3" t="n"/>
      <c r="E78" s="1078">
        <f>C78/C13</f>
        <v/>
      </c>
      <c r="F78" s="49">
        <f>SUM(F79:F81)</f>
        <v/>
      </c>
      <c r="G78" s="3" t="n"/>
      <c r="H78" s="1078">
        <f>F78/F13</f>
        <v/>
      </c>
      <c r="I78" s="49">
        <f>SUM(I79:I81)</f>
        <v/>
      </c>
      <c r="J78" s="3" t="n"/>
      <c r="K78" s="1078">
        <f>I78/I13</f>
        <v/>
      </c>
      <c r="L78" s="49">
        <f>SUM(L79:L81)</f>
        <v/>
      </c>
      <c r="M78" s="3" t="n"/>
      <c r="N78" s="1078">
        <f>L78/L13</f>
        <v/>
      </c>
      <c r="O78" s="49">
        <f>SUM(O79:O81)</f>
        <v/>
      </c>
      <c r="P78" s="3" t="n"/>
      <c r="Q78" s="1078">
        <f>O78/O13</f>
        <v/>
      </c>
      <c r="R78" s="90">
        <f>SUM(R79:R81)</f>
        <v/>
      </c>
      <c r="S78" s="3" t="n"/>
      <c r="T78" s="1078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078">
        <f>X78/X13</f>
        <v/>
      </c>
      <c r="AA78" s="49">
        <f>SUM(AA79:AA81)</f>
        <v/>
      </c>
      <c r="AB78" s="3" t="n"/>
      <c r="AC78" s="1078">
        <f>AA78/AA13</f>
        <v/>
      </c>
      <c r="AD78" s="49">
        <f>SUM(AD79:AD81)</f>
        <v/>
      </c>
      <c r="AE78" s="3" t="n"/>
      <c r="AF78" s="1078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9">
        <f>C78+F78+I78+L78+O78+R78+U78+X78+AA78+AD78+AG78+AJ78</f>
        <v/>
      </c>
      <c r="AN78" s="197" t="n"/>
      <c r="AO78" s="1262">
        <f>AM78/(AM$13)</f>
        <v/>
      </c>
    </row>
    <row r="79" ht="15" customHeight="1" s="1016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02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02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102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102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02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02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63">
        <f>AM79/(AM$13)</f>
        <v/>
      </c>
    </row>
    <row r="80" ht="15" customHeight="1" s="1016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70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70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70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70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63">
        <f>AM80/(AM$13)</f>
        <v/>
      </c>
    </row>
    <row r="81" ht="15" customHeight="1" s="1016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16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16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094">
        <f>C83/C13</f>
        <v/>
      </c>
      <c r="F83" s="490">
        <f>+F84+F89+F92+F96+F99+F109+F114+F120+F123+F127</f>
        <v/>
      </c>
      <c r="G83" s="491" t="n"/>
      <c r="H83" s="1094">
        <f>F83/F13</f>
        <v/>
      </c>
      <c r="I83" s="490">
        <f>+I84+I89+I92+I96+I99+I109+I114+I120+I123+I127</f>
        <v/>
      </c>
      <c r="J83" s="491" t="n"/>
      <c r="K83" s="1094">
        <f>I83/I13</f>
        <v/>
      </c>
      <c r="L83" s="490">
        <f>+L84+L89+L92+L96+L99+L109+L114+L120+L123+L127</f>
        <v/>
      </c>
      <c r="M83" s="491" t="n"/>
      <c r="N83" s="1094">
        <f>L83/L13</f>
        <v/>
      </c>
      <c r="O83" s="490">
        <f>+O84+O89+O92+O96+O99+O109+O114+O120+O123+O127</f>
        <v/>
      </c>
      <c r="P83" s="491" t="n"/>
      <c r="Q83" s="1094">
        <f>O83/O13</f>
        <v/>
      </c>
      <c r="R83" s="490">
        <f>+R84+R89+R92+R96+R99+R109+R114+R120+R123+R127</f>
        <v/>
      </c>
      <c r="S83" s="491" t="n"/>
      <c r="T83" s="1094">
        <f>R83/R13</f>
        <v/>
      </c>
      <c r="U83" s="490">
        <f>+U84+U89+U92+U96+U99+U109+U114+U120+U123+U127</f>
        <v/>
      </c>
      <c r="V83" s="491" t="n"/>
      <c r="W83" s="1094">
        <f>U83/U13</f>
        <v/>
      </c>
      <c r="X83" s="490">
        <f>+X84+X89+X92+X96+X99+X109+X114+X120+X123+X127</f>
        <v/>
      </c>
      <c r="Y83" s="491" t="n"/>
      <c r="Z83" s="1094">
        <f>X83/X13</f>
        <v/>
      </c>
      <c r="AA83" s="490">
        <f>+AA84+AA89+AA92+AA96+AA99+AA109+AA114+AA120+AA123+AA127</f>
        <v/>
      </c>
      <c r="AB83" s="491" t="n"/>
      <c r="AC83" s="1094">
        <f>AA83/AA13</f>
        <v/>
      </c>
      <c r="AD83" s="490">
        <f>+AD84+AD89+AD92+AD96+AD99+AD109+AD114+AD120+AD123+AD127</f>
        <v/>
      </c>
      <c r="AE83" s="491" t="n"/>
      <c r="AF83" s="1094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094">
        <f>AJ83/AJ13</f>
        <v/>
      </c>
      <c r="AM83" s="593">
        <f>C83+F83+I83+L83+O83+R83+U83+X83+AA83+AD83+AG83+AJ83</f>
        <v/>
      </c>
      <c r="AN83" s="594" t="n"/>
      <c r="AO83" s="1264">
        <f>AM83/(AM$13)</f>
        <v/>
      </c>
    </row>
    <row r="84" ht="15" customHeight="1" s="1016">
      <c r="B84" s="16" t="inlineStr">
        <is>
          <t>COSTOS DE PERSONAL</t>
        </is>
      </c>
      <c r="C84" s="49">
        <f>SUM(C85:C88)</f>
        <v/>
      </c>
      <c r="D84" s="3" t="n"/>
      <c r="E84" s="1078">
        <f>C84/(C$13)</f>
        <v/>
      </c>
      <c r="F84" s="49">
        <f>SUM(F85:F88)</f>
        <v/>
      </c>
      <c r="G84" s="3" t="n"/>
      <c r="H84" s="1078">
        <f>F84/F$13</f>
        <v/>
      </c>
      <c r="I84" s="49">
        <f>SUM(I85:I88)</f>
        <v/>
      </c>
      <c r="J84" s="3" t="n"/>
      <c r="K84" s="1078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078">
        <f>R84/R$13</f>
        <v/>
      </c>
      <c r="U84" s="49">
        <f>SUM(U85:U88)</f>
        <v/>
      </c>
      <c r="V84" s="3" t="n"/>
      <c r="W84" s="1078">
        <f>U84/U$13</f>
        <v/>
      </c>
      <c r="X84" s="49">
        <f>SUM(X85:X88)</f>
        <v/>
      </c>
      <c r="Y84" s="3" t="n"/>
      <c r="Z84" s="1078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62">
        <f>AM84/(AM$13)</f>
        <v/>
      </c>
    </row>
    <row r="85" ht="15" customHeight="1" s="1016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02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02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102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102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02">
        <f>AM85/AM$13</f>
        <v/>
      </c>
    </row>
    <row r="86" ht="15" customHeight="1" s="1016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70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70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70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70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70">
        <f>AM86/AM13</f>
        <v/>
      </c>
    </row>
    <row r="87" ht="15" customHeight="1" s="1016">
      <c r="A87" s="745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082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082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082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082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082">
        <f>AM87/AM$13</f>
        <v/>
      </c>
    </row>
    <row r="88" ht="15" customHeight="1" s="1016">
      <c r="A88" s="745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16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62">
        <f>AM89/(AM$13)</f>
        <v/>
      </c>
    </row>
    <row r="90" outlineLevel="1" ht="15" customHeight="1" s="1016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16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16">
      <c r="B92" s="16" t="inlineStr">
        <is>
          <t>ARRENDAMIENTOS</t>
        </is>
      </c>
      <c r="C92" s="49">
        <f>SUM(C93:C95)</f>
        <v/>
      </c>
      <c r="D92" s="3" t="n"/>
      <c r="E92" s="1078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62">
        <f>AM92/(AM$13)</f>
        <v/>
      </c>
    </row>
    <row r="93" outlineLevel="1" ht="15" customHeight="1" s="1016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16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16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16">
      <c r="B96" s="16" t="inlineStr">
        <is>
          <t>SEGUROS</t>
        </is>
      </c>
      <c r="C96" s="49">
        <f>SUM(C97:C98)</f>
        <v/>
      </c>
      <c r="D96" s="3" t="n"/>
      <c r="E96" s="1078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62">
        <f>AM96/(AM$13)</f>
        <v/>
      </c>
    </row>
    <row r="97" ht="15" customHeight="1" s="1016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02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16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09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16">
      <c r="B99" s="16" t="inlineStr">
        <is>
          <t>SERVICIOS</t>
        </is>
      </c>
      <c r="C99" s="49">
        <f>SUM(C100:C108)</f>
        <v/>
      </c>
      <c r="D99" s="3" t="n"/>
      <c r="E99" s="1078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62">
        <f>AM99/(AM$13)</f>
        <v/>
      </c>
    </row>
    <row r="100" ht="15" customHeight="1" s="1016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02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16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70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16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70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16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70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16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70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16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70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16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70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16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70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16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082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16">
      <c r="B109" s="16" t="inlineStr">
        <is>
          <t>GASTOS LEGALES</t>
        </is>
      </c>
      <c r="C109" s="49">
        <f>SUM(C110:C113)</f>
        <v/>
      </c>
      <c r="D109" s="3" t="n"/>
      <c r="E109" s="1078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62">
        <f>AM109/(AM$13)</f>
        <v/>
      </c>
    </row>
    <row r="110" ht="15" customHeight="1" s="1016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02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16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70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16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70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16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098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16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78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62">
        <f>AM114/(AM$13)</f>
        <v/>
      </c>
    </row>
    <row r="115" ht="15" customHeight="1" s="1016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02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16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70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16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70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16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70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16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70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16">
      <c r="B120" s="16" t="inlineStr">
        <is>
          <t>ADECUACIONES E INSTALACIONES</t>
        </is>
      </c>
      <c r="C120" s="49">
        <f>SUM(C121:C122)</f>
        <v/>
      </c>
      <c r="D120" s="3" t="n"/>
      <c r="E120" s="1078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62">
        <f>AM120/(AM$13)</f>
        <v/>
      </c>
    </row>
    <row r="121" ht="15" customHeight="1" s="1016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02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16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088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16">
      <c r="B123" s="16" t="inlineStr">
        <is>
          <t>GASTOS DE VIAJE</t>
        </is>
      </c>
      <c r="C123" s="49">
        <f>SUM(C124:C126)</f>
        <v/>
      </c>
      <c r="D123" s="3" t="n"/>
      <c r="E123" s="1078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62">
        <f>AM123/(AM$13)</f>
        <v/>
      </c>
    </row>
    <row r="124" ht="15" customHeight="1" s="1016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02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16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70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16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098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16">
      <c r="B127" s="16" t="inlineStr">
        <is>
          <t>DIVERSOS</t>
        </is>
      </c>
      <c r="C127" s="49">
        <f>SUM(C128:C142)</f>
        <v/>
      </c>
      <c r="D127" s="3" t="n"/>
      <c r="E127" s="1078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62">
        <f>AM127/(AM$13)</f>
        <v/>
      </c>
    </row>
    <row r="128" ht="15" customHeight="1" s="1016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02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16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70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16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70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70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70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70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70" t="n"/>
    </row>
    <row r="131" ht="15" customHeight="1" s="1016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70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16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70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16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70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16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70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16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70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16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70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16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70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16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70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16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70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16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70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16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70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16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04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16" thickBot="1" thickTop="1">
      <c r="C143" s="2" t="n"/>
      <c r="D143" s="2" t="n"/>
      <c r="E143" s="1092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16" thickBot="1" thickTop="1">
      <c r="B144" s="525" t="inlineStr">
        <is>
          <t>UTILIDAD BRUTA</t>
        </is>
      </c>
      <c r="C144" s="493">
        <f>+C42-C44-C83</f>
        <v/>
      </c>
      <c r="D144" s="494" t="n"/>
      <c r="E144" s="1153" t="n"/>
      <c r="F144" s="493">
        <f>+F42-F44-F83</f>
        <v/>
      </c>
      <c r="G144" s="494" t="n"/>
      <c r="H144" s="508" t="n"/>
      <c r="I144" s="493">
        <f>+I42-I44-I83</f>
        <v/>
      </c>
      <c r="J144" s="494" t="n"/>
      <c r="K144" s="508" t="n"/>
      <c r="L144" s="493">
        <f>+L42-L44-L83</f>
        <v/>
      </c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16" thickBot="1" thickTop="1">
      <c r="B145" s="193" t="n"/>
      <c r="C145" s="496">
        <f>IFERROR(C144/C13," ")</f>
        <v/>
      </c>
      <c r="D145" s="488" t="n"/>
      <c r="E145" s="1090" t="n"/>
      <c r="F145" s="496">
        <f>IFERROR(F144/F13," ")</f>
        <v/>
      </c>
      <c r="G145" s="488" t="n"/>
      <c r="H145" s="509" t="n"/>
      <c r="I145" s="496">
        <f>IFERROR(I144/I13," ")</f>
        <v/>
      </c>
      <c r="J145" s="488" t="n"/>
      <c r="K145" s="509" t="n"/>
      <c r="L145" s="496">
        <f>IFERROR(L144/L13," ")</f>
        <v/>
      </c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16" thickBot="1" thickTop="1">
      <c r="C146" s="141" t="n"/>
      <c r="D146" s="141" t="n"/>
      <c r="E146" s="1265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16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094">
        <f>C147/(C$13)</f>
        <v/>
      </c>
      <c r="F147" s="490">
        <f>SUM(F148:F151)</f>
        <v/>
      </c>
      <c r="G147" s="491" t="n"/>
      <c r="H147" s="1094">
        <f>F147/F$13</f>
        <v/>
      </c>
      <c r="I147" s="490">
        <f>SUM(I148:I151)</f>
        <v/>
      </c>
      <c r="J147" s="491" t="n"/>
      <c r="K147" s="1094">
        <f>I147/I$13</f>
        <v/>
      </c>
      <c r="L147" s="490">
        <f>SUM(L148:L151)</f>
        <v/>
      </c>
      <c r="M147" s="491" t="n"/>
      <c r="N147" s="1094">
        <f>L147/L$13</f>
        <v/>
      </c>
      <c r="O147" s="490">
        <f>SUM(O148:O151)</f>
        <v/>
      </c>
      <c r="P147" s="491" t="n"/>
      <c r="Q147" s="1094">
        <f>O147/O$13</f>
        <v/>
      </c>
      <c r="R147" s="490">
        <f>SUM(R148:R151)</f>
        <v/>
      </c>
      <c r="S147" s="491" t="n"/>
      <c r="T147" s="1094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094">
        <f>AA147/AA$13</f>
        <v/>
      </c>
      <c r="AD147" s="490">
        <f>SUM(AD148:AD151)</f>
        <v/>
      </c>
      <c r="AE147" s="491" t="n"/>
      <c r="AF147" s="1094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094">
        <f>AM147/(AM$13)</f>
        <v/>
      </c>
    </row>
    <row r="148" ht="15" customHeight="1" s="1016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02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02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02">
        <f>AM148/(AM$13)</f>
        <v/>
      </c>
    </row>
    <row r="149" ht="15" customHeight="1" s="1016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70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70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70" t="n"/>
    </row>
    <row r="150" ht="15" customHeight="1" s="1016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70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70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082">
        <f>AM150/(AM$13)</f>
        <v/>
      </c>
    </row>
    <row r="151" ht="15" customHeight="1" s="1016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11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16" thickBot="1" thickTop="1">
      <c r="C152" s="2" t="n"/>
      <c r="D152" s="2" t="n"/>
      <c r="E152" s="1092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16" thickBot="1" thickTop="1">
      <c r="B153" s="524" t="inlineStr">
        <is>
          <t>TOTAL AJUSTES</t>
        </is>
      </c>
      <c r="C153" s="497">
        <f>SUM(C154:C160)</f>
        <v/>
      </c>
      <c r="D153" s="498" t="n"/>
      <c r="E153" s="1118">
        <f>C153/C13</f>
        <v/>
      </c>
      <c r="F153" s="497">
        <f>SUM(F154:F160)</f>
        <v/>
      </c>
      <c r="G153" s="498" t="n"/>
      <c r="H153" s="1118">
        <f>F153/F13</f>
        <v/>
      </c>
      <c r="I153" s="497">
        <f>SUM(I154:I160)</f>
        <v/>
      </c>
      <c r="J153" s="498" t="n"/>
      <c r="K153" s="1118">
        <f>I153/I13</f>
        <v/>
      </c>
      <c r="L153" s="497">
        <f>SUM(L154:L160)</f>
        <v/>
      </c>
      <c r="M153" s="498" t="n"/>
      <c r="N153" s="1118">
        <f>L153/L13</f>
        <v/>
      </c>
      <c r="O153" s="497">
        <f>SUM(O154:O160)</f>
        <v/>
      </c>
      <c r="P153" s="498" t="n"/>
      <c r="Q153" s="1118">
        <f>O153/O13</f>
        <v/>
      </c>
      <c r="R153" s="497">
        <f>SUM(R154:R160)</f>
        <v/>
      </c>
      <c r="S153" s="498" t="n"/>
      <c r="T153" s="1118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18">
        <f>AM153/AM13</f>
        <v/>
      </c>
    </row>
    <row r="154" ht="15" customHeight="1" s="1016" thickTop="1">
      <c r="B154" s="1160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61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7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5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16">
      <c r="B155" s="1164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6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16">
      <c r="B156" s="1168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>
        <f>CALI!I156+HUNGRIA!I156+YUMBO!I156+'ADULTO MAYOR'!I156+BUGA!I156+'COMEDORES CALI'!I156+'CTAS EN PPACION'!I156+'COMEDORES PALMIRA'!I156</f>
        <v/>
      </c>
      <c r="J156" s="675" t="n"/>
      <c r="K156" s="679" t="n"/>
      <c r="L156" s="683">
        <f>CALI!L156+HUNGRIA!L156+YUMBO!L156+'ADULTO MAYOR'!L156+BUGA!L156+'COMEDORES CALI'!L156+'CTAS EN PPACION'!L156+'COMEDORES PALMIRA'!L156</f>
        <v/>
      </c>
      <c r="M156" s="675" t="n"/>
      <c r="N156" s="679" t="n"/>
      <c r="O156" s="683">
        <f>CALI!O156+HUNGRIA!O156+YUMBO!O156+'ADULTO MAYOR'!O156+BUGA!O156+'COMEDORES CALI'!O156+'CTAS EN PPACION'!O156+'COMEDORES PALMIRA'!O156+'COMEDORES VALLE'!O156</f>
        <v/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7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16">
      <c r="B157" s="1171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>
        <f>CALI!I157+HUNGRIA!I157+YUMBO!I157+'ADULTO MAYOR'!I157+BUGA!I157+'COMEDORES CALI'!I157+'CTAS EN PPACION'!I157+'COMEDORES PALMIRA'!I157</f>
        <v/>
      </c>
      <c r="J157" s="551" t="n"/>
      <c r="K157" s="555" t="n"/>
      <c r="L157" s="558">
        <f>CALI!L157+HUNGRIA!L157+YUMBO!L157+'ADULTO MAYOR'!L157+BUGA!L157+'COMEDORES CALI'!L157+'CTAS EN PPACION'!L157+'COMEDORES PALMIRA'!L157</f>
        <v/>
      </c>
      <c r="M157" s="551" t="n"/>
      <c r="N157" s="555" t="n"/>
      <c r="O157" s="558">
        <f>CALI!O157+HUNGRIA!O157+YUMBO!O157+'ADULTO MAYOR'!O157+BUGA!O157+'COMEDORES CALI'!O157+'CTAS EN PPACION'!O157+'COMEDORES PALMIRA'!O157+'COMEDORES VALLE'!O157</f>
        <v/>
      </c>
      <c r="P157" s="551" t="n"/>
      <c r="Q157" s="555" t="n"/>
      <c r="R157" s="848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8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16">
      <c r="B158" s="1266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9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16">
      <c r="B159" s="1266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9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16" thickBot="1">
      <c r="B160" s="1179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90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16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>
        <f>I144-I147-I153</f>
        <v/>
      </c>
      <c r="J161" s="498" t="n"/>
      <c r="K161" s="511" t="n"/>
      <c r="L161" s="497">
        <f>L144-L147-L153</f>
        <v/>
      </c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16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/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16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/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16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/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16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/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16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/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16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/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16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>
        <f>I161+I162+I163+I164-I165-I166-I167</f>
        <v/>
      </c>
      <c r="J168" s="498" t="n"/>
      <c r="K168" s="511" t="n"/>
      <c r="L168" s="497">
        <f>L161+L162+L163+L164-L165-L166-L167</f>
        <v/>
      </c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3">
        <f>AM161+AM162+AM163+AM164-AM165-AM166-AM167</f>
        <v/>
      </c>
      <c r="AN168" s="606" t="n"/>
      <c r="AO168" s="709" t="n"/>
    </row>
    <row r="169" ht="17.1" customHeight="1" s="1016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>
        <f>IFERROR(I168/I13, " ")</f>
        <v/>
      </c>
      <c r="J169" s="501" t="n"/>
      <c r="K169" s="512" t="n"/>
      <c r="L169" s="500">
        <f>IFERROR(L168/L13, " ")</f>
        <v/>
      </c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16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/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16" thickTop="1">
      <c r="B171" s="853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/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4">
        <f>AM168-AM170</f>
        <v/>
      </c>
      <c r="AN171" s="602" t="n"/>
      <c r="AO171" s="855" t="n"/>
    </row>
    <row r="172" ht="17.1" customHeight="1" s="1016" thickBot="1" thickTop="1">
      <c r="B172" s="850" t="n"/>
      <c r="C172" s="698" t="n"/>
      <c r="D172" s="698" t="n"/>
      <c r="E172" s="851" t="n"/>
      <c r="F172" s="698" t="n"/>
      <c r="G172" s="698" t="n"/>
      <c r="H172" s="851" t="n"/>
      <c r="I172" s="698" t="n"/>
      <c r="J172" s="698" t="n"/>
      <c r="K172" s="851" t="n"/>
      <c r="L172" s="698" t="n"/>
      <c r="M172" s="698" t="n"/>
      <c r="N172" s="851" t="n"/>
      <c r="O172" s="698" t="n"/>
      <c r="P172" s="698" t="n"/>
      <c r="Q172" s="851" t="n"/>
      <c r="R172" s="698" t="n"/>
      <c r="S172" s="698" t="n"/>
      <c r="T172" s="851" t="n"/>
      <c r="U172" s="698" t="n"/>
      <c r="V172" s="698" t="n"/>
      <c r="W172" s="851" t="n"/>
      <c r="X172" s="698" t="n"/>
      <c r="Y172" s="698" t="n"/>
      <c r="Z172" s="851" t="n"/>
      <c r="AA172" s="698" t="n"/>
      <c r="AB172" s="698" t="n"/>
      <c r="AC172" s="851" t="n"/>
      <c r="AD172" s="698" t="n"/>
      <c r="AE172" s="698" t="n"/>
      <c r="AF172" s="851" t="n"/>
      <c r="AG172" s="698" t="n"/>
      <c r="AH172" s="698" t="n"/>
      <c r="AI172" s="851" t="n"/>
      <c r="AJ172" s="698" t="n"/>
      <c r="AK172" s="698" t="n"/>
      <c r="AL172" s="851" t="n"/>
      <c r="AM172" s="852" t="n"/>
      <c r="AN172" s="698" t="n"/>
      <c r="AO172" s="706" t="n"/>
    </row>
    <row r="173" ht="17.1" customFormat="1" customHeight="1" s="108" thickBot="1" thickTop="1">
      <c r="A173" s="153" t="n"/>
      <c r="B173" s="856" t="inlineStr">
        <is>
          <t>UTILIDAD PAE + ADULTO MAYOR</t>
        </is>
      </c>
      <c r="C173" s="857">
        <f>CALI!C161+YUMBO!C161+BUGA!C161+'ADULTO MAYOR'!C161</f>
        <v/>
      </c>
      <c r="D173" s="858" t="n"/>
      <c r="E173" s="859" t="n"/>
      <c r="F173" s="857">
        <f>CALI!F161+YUMBO!F161+BUGA!F161+'ADULTO MAYOR'!F161</f>
        <v/>
      </c>
      <c r="G173" s="858" t="n"/>
      <c r="H173" s="859" t="n"/>
      <c r="I173" s="857">
        <f>CALI!I161+YUMBO!I161+BUGA!I161+'ADULTO MAYOR'!I161</f>
        <v/>
      </c>
      <c r="J173" s="858" t="n"/>
      <c r="K173" s="859" t="n"/>
      <c r="L173" s="857">
        <f>CALI!L161+YUMBO!L161+BUGA!L161+'ADULTO MAYOR'!L161</f>
        <v/>
      </c>
      <c r="M173" s="858" t="n"/>
      <c r="N173" s="859" t="n"/>
      <c r="O173" s="857">
        <f>CALI!O161+YUMBO!O161+BUGA!O161+'ADULTO MAYOR'!O161</f>
        <v/>
      </c>
      <c r="P173" s="858" t="n"/>
      <c r="Q173" s="859" t="n"/>
      <c r="R173" s="857">
        <f>CALI!R161+YUMBO!R161+BUGA!R161+'ADULTO MAYOR'!R161</f>
        <v/>
      </c>
      <c r="S173" s="858" t="n"/>
      <c r="T173" s="859" t="n"/>
      <c r="U173" s="857">
        <f>CALI!U161+YUMBO!U161+BUGA!U161+'ADULTO MAYOR'!U161</f>
        <v/>
      </c>
      <c r="V173" s="858" t="n"/>
      <c r="W173" s="859" t="n"/>
      <c r="X173" s="857">
        <f>CALI!X161+YUMBO!X161+BUGA!X161+'ADULTO MAYOR'!X161</f>
        <v/>
      </c>
      <c r="Y173" s="858" t="n"/>
      <c r="Z173" s="859" t="n"/>
      <c r="AA173" s="857">
        <f>CALI!AA161+YUMBO!AA161+BUGA!AA161+'ADULTO MAYOR'!AA161</f>
        <v/>
      </c>
      <c r="AB173" s="858" t="n"/>
      <c r="AC173" s="859" t="n"/>
      <c r="AD173" s="857">
        <f>CALI!AD161+YUMBO!AD161+BUGA!AD161+'ADULTO MAYOR'!AD161</f>
        <v/>
      </c>
      <c r="AE173" s="858" t="n"/>
      <c r="AF173" s="859" t="n"/>
      <c r="AG173" s="857">
        <f>CALI!AG161+YUMBO!AG161+BUGA!AG161+'ADULTO MAYOR'!AG161</f>
        <v/>
      </c>
      <c r="AH173" s="858" t="n"/>
      <c r="AI173" s="859" t="n"/>
      <c r="AJ173" s="857">
        <f>CALI!AJ161+YUMBO!AJ161+BUGA!AJ161+'ADULTO MAYOR'!AJ161</f>
        <v/>
      </c>
      <c r="AK173" s="858" t="n"/>
      <c r="AL173" s="859" t="n"/>
      <c r="AM173" s="860">
        <f>CALI!AM161+YUMBO!AM161+BUGA!AM161+'ADULTO MAYOR'!AM161</f>
        <v/>
      </c>
      <c r="AN173" s="861" t="n"/>
      <c r="AO173" s="86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16" thickBot="1" thickTop="1">
      <c r="B174" s="850" t="n"/>
      <c r="C174" s="863">
        <f>C173/(CALI!C13+YUMBO!C13+BUGA!C13+'ADULTO MAYOR'!C13)</f>
        <v/>
      </c>
      <c r="D174" s="864" t="n"/>
      <c r="E174" s="865" t="n"/>
      <c r="F174" s="863">
        <f>F173/(CALI!F13+YUMBO!F13+BUGA!F13+'ADULTO MAYOR'!F13)</f>
        <v/>
      </c>
      <c r="G174" s="864" t="n"/>
      <c r="H174" s="865" t="n"/>
      <c r="I174" s="863">
        <f>I173/(CALI!I13+YUMBO!I13+BUGA!I13+'ADULTO MAYOR'!I13)</f>
        <v/>
      </c>
      <c r="J174" s="864" t="n"/>
      <c r="K174" s="865" t="n"/>
      <c r="L174" s="863">
        <f>L173/(CALI!L13+YUMBO!L13+BUGA!L13+'ADULTO MAYOR'!L13)</f>
        <v/>
      </c>
      <c r="M174" s="864" t="n"/>
      <c r="N174" s="865" t="n"/>
      <c r="O174" s="863">
        <f>O173/(CALI!O13+YUMBO!O13+BUGA!O13+'ADULTO MAYOR'!O13)</f>
        <v/>
      </c>
      <c r="P174" s="864" t="n"/>
      <c r="Q174" s="865" t="n"/>
      <c r="R174" s="863">
        <f>R173/(CALI!R13+YUMBO!R13+BUGA!R13+'ADULTO MAYOR'!R13)</f>
        <v/>
      </c>
      <c r="S174" s="864" t="n"/>
      <c r="T174" s="865" t="n"/>
      <c r="U174" s="863">
        <f>U173/(CALI!U13+YUMBO!U13+BUGA!U13+'ADULTO MAYOR'!U13)</f>
        <v/>
      </c>
      <c r="V174" s="864" t="n"/>
      <c r="W174" s="865" t="n"/>
      <c r="X174" s="863">
        <f>X173/(CALI!X13+YUMBO!X13+BUGA!X13+'ADULTO MAYOR'!X13)</f>
        <v/>
      </c>
      <c r="Y174" s="864" t="n"/>
      <c r="Z174" s="865" t="n"/>
      <c r="AA174" s="863">
        <f>AA173/(CALI!AA13+YUMBO!AA13+BUGA!AA13+'ADULTO MAYOR'!AA13)</f>
        <v/>
      </c>
      <c r="AB174" s="864" t="n"/>
      <c r="AC174" s="865" t="n"/>
      <c r="AD174" s="863">
        <f>AD173/(CALI!AD13+YUMBO!AD13+BUGA!AD13+'ADULTO MAYOR'!AD13)</f>
        <v/>
      </c>
      <c r="AE174" s="864" t="n"/>
      <c r="AF174" s="865" t="n"/>
      <c r="AG174" s="863">
        <f>AG173/(CALI!AG13+YUMBO!AG13+BUGA!AG13+'ADULTO MAYOR'!AG13)</f>
        <v/>
      </c>
      <c r="AH174" s="864" t="n"/>
      <c r="AI174" s="865" t="n"/>
      <c r="AJ174" s="863">
        <f>AJ173/(CALI!AJ13+YUMBO!AJ13+BUGA!AJ13+'ADULTO MAYOR'!AJ13)</f>
        <v/>
      </c>
      <c r="AK174" s="864" t="n"/>
      <c r="AL174" s="865" t="n"/>
      <c r="AM174" s="863">
        <f>AM173/(CALI!AM13+YUMBO!AM13+BUGA!AM13+'ADULTO MAYOR'!AM13)</f>
        <v/>
      </c>
      <c r="AN174" s="861" t="n"/>
      <c r="AO174" s="862" t="n"/>
    </row>
    <row r="175" ht="17.1" customHeight="1" s="1016" thickTop="1">
      <c r="B175" s="850" t="n"/>
      <c r="C175" s="698" t="n"/>
      <c r="D175" s="698" t="n"/>
      <c r="E175" s="851" t="n"/>
      <c r="F175" s="698" t="n"/>
      <c r="G175" s="698" t="n"/>
      <c r="H175" s="851" t="n"/>
      <c r="I175" s="698" t="n"/>
      <c r="J175" s="698" t="n"/>
      <c r="K175" s="851" t="n"/>
      <c r="L175" s="698" t="n"/>
      <c r="M175" s="698" t="n"/>
      <c r="N175" s="851" t="n"/>
      <c r="O175" s="698" t="n"/>
      <c r="P175" s="698" t="n"/>
      <c r="Q175" s="851" t="n"/>
      <c r="R175" s="698" t="n"/>
      <c r="S175" s="698" t="n"/>
      <c r="T175" s="851" t="n"/>
      <c r="U175" s="698" t="n"/>
      <c r="V175" s="698" t="n"/>
      <c r="W175" s="851" t="n"/>
      <c r="X175" s="698" t="n"/>
      <c r="Y175" s="698" t="n"/>
      <c r="Z175" s="851" t="n"/>
      <c r="AA175" s="698" t="n"/>
      <c r="AB175" s="698" t="n"/>
      <c r="AC175" s="851" t="n"/>
      <c r="AD175" s="698" t="n"/>
      <c r="AE175" s="698" t="n"/>
      <c r="AF175" s="851" t="n"/>
      <c r="AG175" s="698" t="n"/>
      <c r="AH175" s="698" t="n"/>
      <c r="AI175" s="851" t="n"/>
      <c r="AJ175" s="698" t="n"/>
      <c r="AK175" s="698" t="n"/>
      <c r="AL175" s="851" t="n"/>
      <c r="AM175" s="852" t="n"/>
      <c r="AN175" s="698" t="n"/>
      <c r="AO175" s="706" t="n"/>
    </row>
    <row r="176" ht="17.1" customFormat="1" customHeight="1" s="108">
      <c r="A176" s="153" t="n"/>
      <c r="B176" s="954" t="inlineStr">
        <is>
          <t>UTILIDAD VALORES</t>
        </is>
      </c>
      <c r="C176" s="958" t="n"/>
      <c r="D176" s="958" t="n"/>
      <c r="E176" s="958" t="n"/>
      <c r="F176" s="958" t="n"/>
      <c r="G176" s="958" t="n"/>
      <c r="H176" s="958" t="n"/>
      <c r="I176" s="958" t="n"/>
      <c r="J176" s="958" t="n"/>
      <c r="K176" s="958" t="n"/>
      <c r="L176" s="958" t="n"/>
      <c r="M176" s="958" t="n"/>
      <c r="N176" s="958" t="n"/>
      <c r="O176" s="958" t="n"/>
      <c r="P176" s="958" t="n"/>
      <c r="Q176" s="958" t="n"/>
      <c r="R176" s="958" t="n"/>
      <c r="S176" s="958" t="n"/>
      <c r="T176" s="958" t="n"/>
      <c r="U176" s="958" t="n"/>
      <c r="V176" s="958" t="n"/>
      <c r="W176" s="958" t="n"/>
      <c r="X176" s="958" t="n"/>
      <c r="Y176" s="958" t="n"/>
      <c r="Z176" s="958" t="n"/>
      <c r="AA176" s="958" t="n"/>
      <c r="AB176" s="958" t="n"/>
      <c r="AC176" s="958" t="n"/>
      <c r="AD176" s="958" t="n"/>
      <c r="AE176" s="958" t="n"/>
      <c r="AF176" s="958" t="n"/>
      <c r="AG176" s="958" t="n"/>
      <c r="AH176" s="958" t="n"/>
      <c r="AI176" s="958" t="n"/>
      <c r="AJ176" s="958" t="n"/>
      <c r="AK176" s="958" t="n"/>
      <c r="AL176" s="958" t="n"/>
      <c r="AM176" s="958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16">
      <c r="B177" s="752" t="n"/>
      <c r="C177" s="959" t="n"/>
      <c r="D177" s="959" t="n"/>
      <c r="E177" s="959" t="n"/>
      <c r="F177" s="959" t="n"/>
      <c r="G177" s="959" t="n"/>
      <c r="H177" s="959" t="n"/>
      <c r="I177" s="959" t="n"/>
      <c r="J177" s="959" t="n"/>
      <c r="K177" s="959" t="n"/>
      <c r="L177" s="959" t="n"/>
      <c r="M177" s="959" t="n"/>
      <c r="N177" s="959" t="n"/>
      <c r="O177" s="959" t="n"/>
      <c r="P177" s="959" t="n"/>
      <c r="Q177" s="959" t="n"/>
      <c r="R177" s="959" t="n"/>
      <c r="S177" s="959" t="n"/>
      <c r="T177" s="959" t="n"/>
      <c r="U177" s="959" t="n"/>
      <c r="V177" s="959" t="n"/>
      <c r="W177" s="959" t="n"/>
      <c r="X177" s="959" t="n"/>
      <c r="Y177" s="959" t="n"/>
      <c r="Z177" s="959" t="n"/>
      <c r="AA177" s="959" t="n"/>
      <c r="AB177" s="959" t="n"/>
      <c r="AC177" s="959" t="n"/>
      <c r="AD177" s="959" t="n"/>
      <c r="AE177" s="959" t="n"/>
      <c r="AF177" s="959" t="n"/>
      <c r="AG177" s="959" t="n"/>
      <c r="AH177" s="959" t="n"/>
      <c r="AI177" s="959" t="n"/>
      <c r="AJ177" s="959" t="n"/>
      <c r="AK177" s="959" t="n"/>
      <c r="AL177" s="959" t="n"/>
      <c r="AM177" s="959" t="n"/>
      <c r="AN177" s="706" t="n"/>
      <c r="AO177" s="706" t="n"/>
    </row>
    <row r="178" ht="11.1" customFormat="1" customHeight="1" s="108">
      <c r="A178" s="153" t="n"/>
      <c r="B178" s="953" t="inlineStr">
        <is>
          <t>UTILIDAD</t>
        </is>
      </c>
      <c r="C178" s="955">
        <f>CALI!C161+YUMBO!C161+BUGA!C161+'COMEDORES CALI'!C161+'CTAS EN PPACION'!C161+'COMEDORES VALLE'!C161+'COMEDORES PALMIRA'!C161+'ADULTO MAYOR'!C161</f>
        <v/>
      </c>
      <c r="D178" s="955" t="n"/>
      <c r="E178" s="955" t="n"/>
      <c r="F178" s="955">
        <f>CALI!F161+YUMBO!F161+BUGA!F161+'COMEDORES CALI'!F161+'CTAS EN PPACION'!F161+'COMEDORES VALLE'!F161+'COMEDORES PALMIRA'!F161+'ADULTO MAYOR'!F161</f>
        <v/>
      </c>
      <c r="G178" s="955" t="n"/>
      <c r="H178" s="955" t="n"/>
      <c r="I178" s="955">
        <f>CALI!I161+YUMBO!I161+BUGA!I161+'COMEDORES CALI'!I161+'CTAS EN PPACION'!I161+'COMEDORES VALLE'!I161+'COMEDORES PALMIRA'!I161+'ADULTO MAYOR'!I161</f>
        <v/>
      </c>
      <c r="J178" s="955" t="n"/>
      <c r="K178" s="955" t="n"/>
      <c r="L178" s="955">
        <f>CALI!L161+YUMBO!L161+BUGA!L161+'COMEDORES CALI'!L161+'CTAS EN PPACION'!L161+'COMEDORES VALLE'!L161+'COMEDORES PALMIRA'!L161+'ADULTO MAYOR'!L161</f>
        <v/>
      </c>
      <c r="M178" s="955" t="n"/>
      <c r="N178" s="955">
        <f>CALI!N161+YUMBO!N161+BUGA!N161+'COMEDORES CALI'!N161+'CTAS EN PPACION'!N161+'COMEDORES VALLE'!N161+'COMEDORES PALMIRA'!N161+'ADULTO MAYOR'!N161</f>
        <v/>
      </c>
      <c r="O178" s="955">
        <f>CALI!O161+YUMBO!O161+BUGA!O161+'COMEDORES CALI'!O161+'CTAS EN PPACION'!O161+'COMEDORES VALLE'!O161+'COMEDORES PALMIRA'!O161+'ADULTO MAYOR'!O161</f>
        <v/>
      </c>
      <c r="P178" s="955" t="n"/>
      <c r="Q178" s="955" t="n"/>
      <c r="R178" s="955">
        <f>CALI!R161+YUMBO!R161+BUGA!R161+'COMEDORES CALI'!R161+'CTAS EN PPACION'!R161+'COMEDORES VALLE'!R161+'COMEDORES PALMIRA'!R161+'ADULTO MAYOR'!R161</f>
        <v/>
      </c>
      <c r="S178" s="955" t="n"/>
      <c r="T178" s="955" t="n"/>
      <c r="U178" s="955">
        <f>CALI!U161+YUMBO!U161+BUGA!U161+'COMEDORES CALI'!U161+'CTAS EN PPACION'!U161+'COMEDORES VALLE'!U161+'COMEDORES PALMIRA'!U161+'ADULTO MAYOR'!U161</f>
        <v/>
      </c>
      <c r="V178" s="955" t="n"/>
      <c r="W178" s="955" t="n"/>
      <c r="X178" s="955">
        <f>CALI!X161+YUMBO!X161+BUGA!X161+'COMEDORES CALI'!X161+'CTAS EN PPACION'!X161+'COMEDORES VALLE'!X161+'COMEDORES PALMIRA'!X161+'ADULTO MAYOR'!X161</f>
        <v/>
      </c>
      <c r="Y178" s="955" t="n"/>
      <c r="Z178" s="955" t="n"/>
      <c r="AA178" s="955">
        <f>CALI!AA161+YUMBO!AA161+BUGA!AA161+'COMEDORES CALI'!AA161+'CTAS EN PPACION'!AA161+'COMEDORES VALLE'!AA161+'COMEDORES PALMIRA'!AA161+'ADULTO MAYOR'!AA161</f>
        <v/>
      </c>
      <c r="AB178" s="955" t="n"/>
      <c r="AC178" s="955" t="n"/>
      <c r="AD178" s="955">
        <f>CALI!AD161+YUMBO!AD161+BUGA!AD161+'COMEDORES CALI'!AD161+'CTAS EN PPACION'!AD161+'COMEDORES VALLE'!AD161+'COMEDORES PALMIRA'!AD161+'ADULTO MAYOR'!AD161</f>
        <v/>
      </c>
      <c r="AE178" s="955" t="n"/>
      <c r="AF178" s="955" t="n"/>
      <c r="AG178" s="955">
        <f>CALI!AG161+YUMBO!AG161+BUGA!AG161+'COMEDORES CALI'!AG161+'CTAS EN PPACION'!AG161+'COMEDORES VALLE'!AG161+'COMEDORES PALMIRA'!AG161+'ADULTO MAYOR'!AG161</f>
        <v/>
      </c>
      <c r="AH178" s="955" t="n"/>
      <c r="AI178" s="955" t="n"/>
      <c r="AJ178" s="955">
        <f>CALI!AJ161+YUMBO!AJ161+BUGA!AJ161+'COMEDORES CALI'!AJ161+'CTAS EN PPACION'!AJ161+'COMEDORES VALLE'!AJ161+'COMEDORES PALMIRA'!AJ161+'ADULTO MAYOR'!AJ161</f>
        <v/>
      </c>
      <c r="AK178" s="955" t="n"/>
      <c r="AL178" s="955" t="n"/>
      <c r="AM178" s="955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3" t="inlineStr">
        <is>
          <t>DIFERENCIA</t>
        </is>
      </c>
      <c r="C179" s="955">
        <f>C178-C168</f>
        <v/>
      </c>
      <c r="D179" s="955" t="n"/>
      <c r="E179" s="955" t="n"/>
      <c r="F179" s="955">
        <f>F178-F168</f>
        <v/>
      </c>
      <c r="G179" s="955" t="n"/>
      <c r="H179" s="955" t="n"/>
      <c r="I179" s="955">
        <f>I178-I168</f>
        <v/>
      </c>
      <c r="J179" s="955" t="n"/>
      <c r="K179" s="955" t="n"/>
      <c r="L179" s="955">
        <f>L178-L168</f>
        <v/>
      </c>
      <c r="M179" s="955" t="n"/>
      <c r="N179" s="955">
        <f>N178-N168</f>
        <v/>
      </c>
      <c r="O179" s="955">
        <f>O178-O168</f>
        <v/>
      </c>
      <c r="P179" s="955" t="n"/>
      <c r="Q179" s="955" t="n"/>
      <c r="R179" s="955">
        <f>R178-R168</f>
        <v/>
      </c>
      <c r="S179" s="955" t="n"/>
      <c r="T179" s="955" t="n"/>
      <c r="U179" s="955">
        <f>U178-U168</f>
        <v/>
      </c>
      <c r="V179" s="955" t="n"/>
      <c r="W179" s="955" t="n"/>
      <c r="X179" s="955">
        <f>X178-X168</f>
        <v/>
      </c>
      <c r="Y179" s="955" t="n"/>
      <c r="Z179" s="955" t="n"/>
      <c r="AA179" s="955">
        <f>AA178-AA168</f>
        <v/>
      </c>
      <c r="AB179" s="955" t="n"/>
      <c r="AC179" s="955" t="n"/>
      <c r="AD179" s="955">
        <f>AD178-AD168</f>
        <v/>
      </c>
      <c r="AE179" s="955" t="n"/>
      <c r="AF179" s="955" t="n"/>
      <c r="AG179" s="955">
        <f>AG178-AG168</f>
        <v/>
      </c>
      <c r="AH179" s="955" t="n"/>
      <c r="AI179" s="955" t="n"/>
      <c r="AJ179" s="955">
        <f>AJ178-AJ168</f>
        <v/>
      </c>
      <c r="AK179" s="955" t="n"/>
      <c r="AL179" s="955" t="n"/>
      <c r="AM179" s="955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16">
      <c r="B180" s="952" t="inlineStr">
        <is>
          <t>GASTOS ADMON</t>
        </is>
      </c>
      <c r="C180" s="956">
        <f>'GASTOS ADMINISTRATIVOS'!C96-'PYG TOTAL'!C148</f>
        <v/>
      </c>
      <c r="D180" s="956" t="n"/>
      <c r="E180" s="956" t="n"/>
      <c r="F180" s="956">
        <f>'GASTOS ADMINISTRATIVOS'!D96-'PYG TOTAL'!F148</f>
        <v/>
      </c>
      <c r="G180" s="956" t="n"/>
      <c r="H180" s="956" t="n"/>
      <c r="I180" s="956">
        <f>'GASTOS ADMINISTRATIVOS'!E96-'PYG TOTAL'!I148</f>
        <v/>
      </c>
      <c r="J180" s="956" t="n"/>
      <c r="K180" s="956" t="n"/>
      <c r="L180" s="956">
        <f>'GASTOS ADMINISTRATIVOS'!F96-'PYG TOTAL'!L148</f>
        <v/>
      </c>
      <c r="M180" s="956" t="n"/>
      <c r="N180" s="956" t="n"/>
      <c r="O180" s="956">
        <f>'GASTOS ADMINISTRATIVOS'!G96-'PYG TOTAL'!O148</f>
        <v/>
      </c>
      <c r="P180" s="956" t="n"/>
      <c r="Q180" s="956" t="n"/>
      <c r="R180" s="956">
        <f>'GASTOS ADMINISTRATIVOS'!H96-'PYG TOTAL'!R148</f>
        <v/>
      </c>
      <c r="S180" s="956" t="n"/>
      <c r="T180" s="956" t="n"/>
      <c r="U180" s="956">
        <f>'GASTOS ADMINISTRATIVOS'!I96-'PYG TOTAL'!U148</f>
        <v/>
      </c>
      <c r="V180" s="956" t="n"/>
      <c r="W180" s="956" t="n"/>
      <c r="X180" s="957">
        <f>'GASTOS ADMINISTRATIVOS'!J96-'PYG TOTAL'!X148</f>
        <v/>
      </c>
      <c r="Y180" s="957" t="n"/>
      <c r="Z180" s="957" t="n"/>
      <c r="AA180" s="957">
        <f>'GASTOS ADMINISTRATIVOS'!K96-'PYG TOTAL'!AA148</f>
        <v/>
      </c>
      <c r="AB180" s="957" t="n"/>
      <c r="AC180" s="957" t="n"/>
      <c r="AD180" s="957">
        <f>'GASTOS ADMINISTRATIVOS'!L96-'PYG TOTAL'!AD148</f>
        <v/>
      </c>
      <c r="AE180" s="957" t="n"/>
      <c r="AF180" s="957" t="n"/>
      <c r="AG180" s="957">
        <f>'GASTOS ADMINISTRATIVOS'!M96-'PYG TOTAL'!AG148</f>
        <v/>
      </c>
      <c r="AH180" s="957" t="n"/>
      <c r="AI180" s="957" t="n"/>
      <c r="AJ180" s="957">
        <f>'GASTOS ADMINISTRATIVOS'!N96-'PYG TOTAL'!AJ148</f>
        <v/>
      </c>
      <c r="AK180" s="957" t="n"/>
      <c r="AL180" s="957" t="n"/>
      <c r="AM180" s="957">
        <f>'GASTOS ADMINISTRATIVOS'!O96-'PYG TOTAL'!AM148</f>
        <v/>
      </c>
      <c r="AN180" s="1024" t="n"/>
      <c r="AO180" s="1024" t="n"/>
    </row>
    <row r="181" ht="11.1" customHeight="1" s="1016">
      <c r="B181" s="952" t="inlineStr">
        <is>
          <t>GASTOS OPERATIVOS</t>
        </is>
      </c>
      <c r="C181" s="957">
        <f>'GASTOS OPERATIVOS'!C17+BUGA!C85+'CTAS EN PPACION'!C85+'COMEDORES VALLE'!C85-C85</f>
        <v/>
      </c>
      <c r="D181" s="957" t="n"/>
      <c r="E181" s="957" t="n"/>
      <c r="F181" s="957">
        <f>'GASTOS OPERATIVOS'!D17+BUGA!F85+'CTAS EN PPACION'!F85+'COMEDORES VALLE'!F85-F85</f>
        <v/>
      </c>
      <c r="G181" s="957" t="n"/>
      <c r="H181" s="957" t="n"/>
      <c r="I181" s="957">
        <f>'GASTOS OPERATIVOS'!E17+BUGA!I85+'CTAS EN PPACION'!I85+'COMEDORES VALLE'!I85-I85</f>
        <v/>
      </c>
      <c r="J181" s="957" t="n"/>
      <c r="K181" s="957" t="n"/>
      <c r="L181" s="957">
        <f>'GASTOS OPERATIVOS'!F17+BUGA!L85+'CTAS EN PPACION'!L85+'COMEDORES VALLE'!L85-L85</f>
        <v/>
      </c>
      <c r="M181" s="957" t="n"/>
      <c r="N181" s="957" t="n"/>
      <c r="O181" s="957">
        <f>'GASTOS OPERATIVOS'!G17+BUGA!O85+'CTAS EN PPACION'!O85+'COMEDORES VALLE'!O85-O85</f>
        <v/>
      </c>
      <c r="P181" s="957" t="n"/>
      <c r="Q181" s="957" t="n"/>
      <c r="R181" s="957">
        <f>'GASTOS OPERATIVOS'!H17+BUGA!R85+'CTAS EN PPACION'!R85+'COMEDORES VALLE'!R85-R85</f>
        <v/>
      </c>
      <c r="S181" s="957" t="n"/>
      <c r="T181" s="957" t="n"/>
      <c r="U181" s="957">
        <f>'GASTOS OPERATIVOS'!I17+BUGA!U85+'CTAS EN PPACION'!U85+'COMEDORES VALLE'!U85-U85</f>
        <v/>
      </c>
      <c r="V181" s="957" t="n"/>
      <c r="W181" s="957" t="n"/>
      <c r="X181" s="957">
        <f>'GASTOS OPERATIVOS'!J17+BUGA!X85+'CTAS EN PPACION'!X85+'COMEDORES VALLE'!X85-X85</f>
        <v/>
      </c>
      <c r="Y181" s="957" t="n"/>
      <c r="Z181" s="957" t="n"/>
      <c r="AA181" s="957">
        <f>'GASTOS OPERATIVOS'!K17+BUGA!AA85+'CTAS EN PPACION'!AA85+'COMEDORES VALLE'!AA85-AA85</f>
        <v/>
      </c>
      <c r="AB181" s="957" t="n"/>
      <c r="AC181" s="957" t="n"/>
      <c r="AD181" s="957">
        <f>'GASTOS OPERATIVOS'!L17+BUGA!AD85+'CTAS EN PPACION'!AD85+'COMEDORES VALLE'!AD85-AD85</f>
        <v/>
      </c>
      <c r="AE181" s="957" t="n"/>
      <c r="AF181" s="957" t="n"/>
      <c r="AG181" s="957">
        <f>'GASTOS OPERATIVOS'!M17+BUGA!AG85+'CTAS EN PPACION'!AG85+'COMEDORES VALLE'!AG85-AG85</f>
        <v/>
      </c>
      <c r="AH181" s="957" t="n"/>
      <c r="AI181" s="957" t="n"/>
      <c r="AJ181" s="957">
        <f>'GASTOS OPERATIVOS'!N17+BUGA!AJ85+'CTAS EN PPACION'!AJ85+'COMEDORES VALLE'!AJ85-AJ85</f>
        <v/>
      </c>
      <c r="AK181" s="957" t="n"/>
      <c r="AL181" s="957" t="n"/>
      <c r="AM181" s="957">
        <f>'GASTOS OPERATIVOS'!O17+BUGA!AM85+'CTAS EN PPACION'!AM85+'COMEDORES VALLE'!AM85-AM85</f>
        <v/>
      </c>
      <c r="AN181" s="1024" t="n"/>
      <c r="AO181" s="1024" t="n"/>
    </row>
    <row r="182" ht="11.1" customHeight="1" s="1016">
      <c r="B182" s="952" t="inlineStr">
        <is>
          <t>GASTOS VEHICULOS</t>
        </is>
      </c>
      <c r="C182" s="957">
        <f>'GASTOS VEHICULOS'!C25-'PYG TOTAL'!C73</f>
        <v/>
      </c>
      <c r="D182" s="957" t="n"/>
      <c r="E182" s="957" t="n"/>
      <c r="F182" s="957">
        <f>'GASTOS VEHICULOS'!D25-'PYG TOTAL'!F73</f>
        <v/>
      </c>
      <c r="G182" s="957" t="n"/>
      <c r="H182" s="957" t="n"/>
      <c r="I182" s="957">
        <f>'GASTOS VEHICULOS'!E25-'PYG TOTAL'!I73</f>
        <v/>
      </c>
      <c r="J182" s="957" t="n"/>
      <c r="K182" s="957" t="n"/>
      <c r="L182" s="957">
        <f>'GASTOS VEHICULOS'!F25-'PYG TOTAL'!L73</f>
        <v/>
      </c>
      <c r="M182" s="957" t="n"/>
      <c r="N182" s="957" t="n"/>
      <c r="O182" s="957">
        <f>'GASTOS VEHICULOS'!G25-'PYG TOTAL'!O73</f>
        <v/>
      </c>
      <c r="P182" s="957" t="n"/>
      <c r="Q182" s="957" t="n"/>
      <c r="R182" s="957">
        <f>'GASTOS VEHICULOS'!H25-'PYG TOTAL'!R73</f>
        <v/>
      </c>
      <c r="S182" s="957" t="n"/>
      <c r="T182" s="957" t="n"/>
      <c r="U182" s="957">
        <f>'GASTOS VEHICULOS'!I25-'PYG TOTAL'!U73</f>
        <v/>
      </c>
      <c r="V182" s="957" t="n"/>
      <c r="W182" s="957" t="n"/>
      <c r="X182" s="957">
        <f>'GASTOS VEHICULOS'!J25-'PYG TOTAL'!X73</f>
        <v/>
      </c>
      <c r="Y182" s="957" t="n"/>
      <c r="Z182" s="957" t="n"/>
      <c r="AA182" s="957">
        <f>'GASTOS VEHICULOS'!K25-'PYG TOTAL'!AA73</f>
        <v/>
      </c>
      <c r="AB182" s="957" t="n"/>
      <c r="AC182" s="957" t="n"/>
      <c r="AD182" s="957">
        <f>'GASTOS VEHICULOS'!L25-'PYG TOTAL'!AD73</f>
        <v/>
      </c>
      <c r="AE182" s="957" t="n"/>
      <c r="AF182" s="957" t="n"/>
      <c r="AG182" s="957">
        <f>'GASTOS VEHICULOS'!M25-'PYG TOTAL'!AG73</f>
        <v/>
      </c>
      <c r="AH182" s="957" t="n"/>
      <c r="AI182" s="957" t="n"/>
      <c r="AJ182" s="957">
        <f>'GASTOS VEHICULOS'!N25-'PYG TOTAL'!AJ73</f>
        <v/>
      </c>
      <c r="AK182" s="957" t="n"/>
      <c r="AL182" s="957" t="n"/>
      <c r="AM182" s="957">
        <f>'GASTOS VEHICULOS'!O25-'PYG TOTAL'!AM73</f>
        <v/>
      </c>
      <c r="AN182" s="1024" t="n"/>
      <c r="AO182" s="1024" t="n"/>
    </row>
    <row r="183">
      <c r="B183" s="952" t="inlineStr">
        <is>
          <t>GASTOS FINANCIEROS</t>
        </is>
      </c>
      <c r="C183" s="957">
        <f>'GASTOS ADMINISTRATIVOS'!C109-'PYG TOTAL'!C149+520117.4+29230.55+40203.2+79552.5+3501.4</f>
        <v/>
      </c>
      <c r="D183" s="957" t="n"/>
      <c r="E183" s="957" t="n"/>
      <c r="F183" s="957">
        <f>'GASTOS ADMINISTRATIVOS'!D109-'PYG TOTAL'!F149+129086.38+6000</f>
        <v/>
      </c>
      <c r="G183" s="957" t="n"/>
      <c r="H183" s="957" t="n"/>
      <c r="I183" s="957">
        <f>'GASTOS ADMINISTRATIVOS'!E109-'PYG TOTAL'!I149</f>
        <v/>
      </c>
      <c r="J183" s="957" t="n"/>
      <c r="K183" s="957" t="n"/>
      <c r="L183" s="957">
        <f>'GASTOS ADMINISTRATIVOS'!F109-'PYG TOTAL'!L149</f>
        <v/>
      </c>
      <c r="M183" s="957" t="n"/>
      <c r="N183" s="957" t="n"/>
      <c r="O183" s="957">
        <f>'GASTOS ADMINISTRATIVOS'!G109-'PYG TOTAL'!O149</f>
        <v/>
      </c>
      <c r="P183" s="957" t="n"/>
      <c r="Q183" s="957" t="n"/>
      <c r="R183" s="957">
        <f>'GASTOS ADMINISTRATIVOS'!H109-'PYG TOTAL'!R149</f>
        <v/>
      </c>
      <c r="S183" s="957" t="n"/>
      <c r="T183" s="957" t="n"/>
      <c r="U183" s="957">
        <f>'GASTOS ADMINISTRATIVOS'!I109-'PYG TOTAL'!U149</f>
        <v/>
      </c>
      <c r="V183" s="957" t="n"/>
      <c r="W183" s="957" t="n"/>
      <c r="X183" s="957">
        <f>'GASTOS ADMINISTRATIVOS'!J109-'PYG TOTAL'!X149</f>
        <v/>
      </c>
      <c r="Y183" s="957" t="n"/>
      <c r="Z183" s="957" t="n"/>
      <c r="AA183" s="957">
        <f>'GASTOS ADMINISTRATIVOS'!K109-'PYG TOTAL'!AA149</f>
        <v/>
      </c>
      <c r="AB183" s="957" t="n"/>
      <c r="AC183" s="957" t="n"/>
      <c r="AD183" s="957">
        <f>'GASTOS ADMINISTRATIVOS'!L109-'PYG TOTAL'!AD149</f>
        <v/>
      </c>
      <c r="AE183" s="957" t="n"/>
      <c r="AF183" s="957" t="n"/>
      <c r="AG183" s="957">
        <f>'GASTOS ADMINISTRATIVOS'!M109-'PYG TOTAL'!AG149</f>
        <v/>
      </c>
      <c r="AH183" s="957" t="n"/>
      <c r="AI183" s="957" t="n"/>
      <c r="AJ183" s="957">
        <f>'GASTOS ADMINISTRATIVOS'!N109-'PYG TOTAL'!AJ149</f>
        <v/>
      </c>
      <c r="AK183" s="957" t="n"/>
      <c r="AL183" s="957" t="n"/>
      <c r="AM183" s="957">
        <f>'GASTOS ADMINISTRATIVOS'!O109-'PYG TOTAL'!AM149+520117.4+29230.55+40203.2+79552.5+3501.4+129086.38+6000</f>
        <v/>
      </c>
      <c r="AN183" s="1024" t="n"/>
    </row>
    <row r="184">
      <c r="B184" s="952" t="inlineStr">
        <is>
          <t>GASTOS NO OPERACIONALES</t>
        </is>
      </c>
      <c r="C184" s="957">
        <f>'GASTOS ADMINISTRATIVOS'!C119-'PYG TOTAL'!C151</f>
        <v/>
      </c>
      <c r="D184" s="957" t="n"/>
      <c r="E184" s="957" t="n"/>
      <c r="F184" s="957">
        <f>'GASTOS ADMINISTRATIVOS'!D119-'PYG TOTAL'!F151</f>
        <v/>
      </c>
      <c r="G184" s="957" t="n"/>
      <c r="H184" s="957" t="n"/>
      <c r="I184" s="957">
        <f>'GASTOS ADMINISTRATIVOS'!E119-'PYG TOTAL'!I151</f>
        <v/>
      </c>
      <c r="J184" s="957" t="n"/>
      <c r="K184" s="957" t="n"/>
      <c r="L184" s="957">
        <f>'GASTOS ADMINISTRATIVOS'!F119-'PYG TOTAL'!L151</f>
        <v/>
      </c>
      <c r="M184" s="957" t="n"/>
      <c r="N184" s="957" t="n"/>
      <c r="O184" s="957">
        <f>'GASTOS ADMINISTRATIVOS'!G119-'PYG TOTAL'!O151</f>
        <v/>
      </c>
      <c r="P184" s="957" t="n"/>
      <c r="Q184" s="957" t="n"/>
      <c r="R184" s="957">
        <f>'GASTOS ADMINISTRATIVOS'!H119-'PYG TOTAL'!R151</f>
        <v/>
      </c>
      <c r="S184" s="957" t="n"/>
      <c r="T184" s="957" t="n"/>
      <c r="U184" s="957">
        <f>'GASTOS ADMINISTRATIVOS'!I119-'PYG TOTAL'!U151</f>
        <v/>
      </c>
      <c r="V184" s="957" t="n"/>
      <c r="W184" s="957" t="n"/>
      <c r="X184" s="957">
        <f>'GASTOS ADMINISTRATIVOS'!J119-'PYG TOTAL'!X151</f>
        <v/>
      </c>
      <c r="Y184" s="957" t="n"/>
      <c r="Z184" s="957" t="n"/>
      <c r="AA184" s="957">
        <f>'GASTOS ADMINISTRATIVOS'!K119-'PYG TOTAL'!AA151</f>
        <v/>
      </c>
      <c r="AB184" s="957" t="n"/>
      <c r="AC184" s="957" t="n"/>
      <c r="AD184" s="957">
        <f>'GASTOS ADMINISTRATIVOS'!L119-'PYG TOTAL'!AD151</f>
        <v/>
      </c>
      <c r="AE184" s="957" t="n"/>
      <c r="AF184" s="957" t="n"/>
      <c r="AG184" s="957">
        <f>'GASTOS ADMINISTRATIVOS'!M119-'PYG TOTAL'!AG151</f>
        <v/>
      </c>
      <c r="AH184" s="957" t="n"/>
      <c r="AI184" s="957" t="n"/>
      <c r="AJ184" s="957">
        <f>'GASTOS ADMINISTRATIVOS'!N119-'PYG TOTAL'!AJ151</f>
        <v/>
      </c>
      <c r="AK184" s="957" t="n"/>
      <c r="AL184" s="957" t="n"/>
      <c r="AM184" s="957">
        <f>'GASTOS ADMINISTRATIVOS'!O119-'PYG TOTAL'!AM151</f>
        <v/>
      </c>
      <c r="AN184" s="401" t="n"/>
      <c r="AO184" s="1025" t="n"/>
    </row>
    <row r="185">
      <c r="X185" s="1025" t="n"/>
      <c r="Y185" s="1267" t="n"/>
      <c r="Z185" s="1025" t="n"/>
      <c r="AA185" s="1025" t="n"/>
      <c r="AB185" s="1025" t="n"/>
      <c r="AC185" s="1025" t="n"/>
      <c r="AE185" s="1025" t="n"/>
      <c r="AF185" s="1025" t="n"/>
      <c r="AG185" s="1025" t="n"/>
      <c r="AH185" s="1025" t="n"/>
      <c r="AI185" s="1025" t="n"/>
      <c r="AJ185" s="1025" t="n"/>
      <c r="AK185" s="1025" t="n"/>
      <c r="AL185" s="1025" t="n"/>
      <c r="AM185" s="893" t="n"/>
      <c r="AN185" s="1025" t="n"/>
      <c r="AO185" s="1025" t="n"/>
    </row>
    <row r="186">
      <c r="S186" s="1207" t="n"/>
      <c r="X186" s="1025" t="n"/>
      <c r="Y186" s="1025" t="n"/>
      <c r="Z186" s="1025" t="n"/>
      <c r="AA186" s="1025" t="n"/>
      <c r="AB186" s="1267" t="n"/>
      <c r="AC186" s="1025" t="n"/>
      <c r="AD186" s="1025" t="n"/>
      <c r="AE186" s="1025" t="n"/>
      <c r="AF186" s="1025" t="n"/>
      <c r="AG186" s="1025" t="n"/>
      <c r="AH186" s="1025" t="n"/>
      <c r="AI186" s="1025" t="n"/>
      <c r="AJ186" s="1025" t="n"/>
      <c r="AK186" s="1025" t="n"/>
      <c r="AL186" s="1025" t="n"/>
      <c r="AM186" s="401" t="n"/>
      <c r="AN186" s="1025" t="n"/>
    </row>
    <row r="187">
      <c r="S187" s="1207" t="n"/>
      <c r="X187" s="1025" t="n"/>
      <c r="Y187" s="1267" t="n"/>
      <c r="Z187" s="1025" t="n"/>
      <c r="AA187" s="1025" t="n"/>
      <c r="AB187" s="1267" t="n"/>
      <c r="AC187" s="1025" t="n"/>
      <c r="AD187" s="880" t="n"/>
      <c r="AE187" s="1025" t="n"/>
      <c r="AF187" s="1025" t="n"/>
      <c r="AG187" s="611" t="n"/>
      <c r="AH187" s="1025" t="n"/>
      <c r="AI187" s="1025" t="n"/>
      <c r="AJ187" s="1025" t="n"/>
      <c r="AK187" s="1025" t="n"/>
      <c r="AL187" s="1025" t="n"/>
      <c r="AM187" s="401" t="n"/>
      <c r="AN187" s="1025" t="n"/>
      <c r="AO187" s="1025" t="n"/>
    </row>
    <row r="188">
      <c r="X188" s="1025" t="n"/>
      <c r="Y188" s="1025" t="n"/>
      <c r="Z188" s="1025" t="n"/>
      <c r="AA188" s="1025" t="n"/>
      <c r="AB188" s="1025" t="n"/>
      <c r="AC188" s="1025" t="n"/>
      <c r="AD188" s="1025" t="n"/>
      <c r="AE188" s="1025" t="n"/>
      <c r="AF188" s="1025" t="n"/>
      <c r="AG188" s="1025" t="n"/>
      <c r="AH188" s="1025" t="n"/>
      <c r="AI188" s="1025" t="n"/>
      <c r="AJ188" s="1025" t="n"/>
      <c r="AK188" s="1025" t="n"/>
      <c r="AL188" s="1025" t="n"/>
      <c r="AN188" s="1025" t="n"/>
      <c r="AO188" s="1025" t="n"/>
    </row>
    <row r="189">
      <c r="F189" s="1207" t="n"/>
      <c r="X189" s="1025" t="n"/>
      <c r="Y189" s="1025" t="n"/>
      <c r="Z189" s="1025" t="n"/>
      <c r="AA189" s="1025" t="n"/>
      <c r="AB189" s="1025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25" t="n"/>
      <c r="AO189" s="1025" t="n"/>
    </row>
    <row r="190">
      <c r="X190" s="1025" t="n"/>
      <c r="Y190" s="1025" t="n"/>
      <c r="Z190" s="1025" t="n"/>
      <c r="AA190" s="1025" t="n"/>
      <c r="AB190" s="1025" t="n"/>
      <c r="AC190" s="881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25" t="n"/>
      <c r="AO190" s="1025" t="n"/>
    </row>
    <row r="191">
      <c r="X191" s="1025" t="n"/>
      <c r="Y191" s="1025" t="n"/>
      <c r="Z191" s="1025" t="n"/>
      <c r="AA191" s="1025" t="n"/>
      <c r="AB191" s="1025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25" t="n"/>
      <c r="AO191" s="1025" t="n"/>
    </row>
    <row r="192">
      <c r="X192" s="1025" t="n"/>
      <c r="Y192" s="1025" t="n"/>
      <c r="Z192" s="1025" t="n"/>
      <c r="AA192" s="1025" t="n"/>
      <c r="AB192" s="1025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25" t="n"/>
      <c r="AO192" s="1025" t="n"/>
    </row>
    <row r="193">
      <c r="X193" s="1025" t="n"/>
      <c r="Y193" s="1025" t="n"/>
      <c r="Z193" s="1025" t="n"/>
      <c r="AA193" s="1025" t="n"/>
      <c r="AB193" s="1025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25" t="n"/>
      <c r="AO193" s="1025" t="n"/>
    </row>
    <row r="194">
      <c r="X194" s="1025" t="n"/>
      <c r="Y194" s="1025" t="n"/>
      <c r="Z194" s="1025" t="n"/>
      <c r="AA194" s="1025" t="n"/>
      <c r="AB194" s="1025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25" t="n"/>
      <c r="AO194" s="1025" t="n"/>
    </row>
    <row r="195">
      <c r="X195" s="1025" t="n"/>
      <c r="Y195" s="1025" t="n"/>
      <c r="Z195" s="1025" t="n"/>
      <c r="AA195" s="1025" t="n"/>
      <c r="AB195" s="1025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25" t="n"/>
      <c r="AO195" s="1025" t="n"/>
    </row>
    <row r="196">
      <c r="X196" s="1025" t="n"/>
      <c r="Y196" s="1025" t="n"/>
      <c r="Z196" s="1025" t="n"/>
      <c r="AA196" s="1025" t="n"/>
      <c r="AB196" s="1025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25" t="n"/>
      <c r="AO196" s="1025" t="n"/>
    </row>
    <row r="197">
      <c r="X197" s="1025" t="n"/>
      <c r="Y197" s="1025" t="n"/>
      <c r="Z197" s="1025" t="n"/>
      <c r="AA197" s="1025" t="n"/>
      <c r="AB197" s="1025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25" t="n"/>
      <c r="AO197" s="1025" t="n"/>
    </row>
    <row r="198">
      <c r="X198" s="1025" t="n"/>
      <c r="Y198" s="1025" t="n"/>
      <c r="Z198" s="1025" t="n"/>
      <c r="AA198" s="1025" t="n"/>
      <c r="AB198" s="1025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25" t="n"/>
      <c r="AO198" s="1025" t="n"/>
    </row>
    <row r="199">
      <c r="X199" s="1025" t="n"/>
      <c r="Y199" s="1025" t="n"/>
      <c r="Z199" s="1025" t="n"/>
      <c r="AA199" s="1025" t="n"/>
      <c r="AB199" s="1025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25" t="n"/>
      <c r="AO199" s="1025" t="n"/>
    </row>
    <row r="200">
      <c r="X200" s="1025" t="n"/>
      <c r="Y200" s="1025" t="n"/>
      <c r="Z200" s="1025" t="n"/>
      <c r="AA200" s="1025" t="n"/>
      <c r="AB200" s="1025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25" t="n"/>
      <c r="AO200" s="1025" t="n"/>
    </row>
    <row r="201">
      <c r="X201" s="547">
        <f>SUM(X187:X198)</f>
        <v/>
      </c>
      <c r="Y201" s="1025" t="n"/>
      <c r="Z201" s="1025" t="n"/>
      <c r="AA201" s="1025" t="n"/>
      <c r="AB201" s="1025" t="n"/>
      <c r="AC201" s="1025" t="n"/>
      <c r="AD201" s="1025" t="n"/>
      <c r="AE201" s="1025" t="n"/>
      <c r="AF201" s="1025" t="n"/>
      <c r="AG201" s="1025" t="n"/>
      <c r="AH201" s="1025" t="n"/>
      <c r="AI201" s="1025" t="n"/>
      <c r="AJ201" s="1025" t="n"/>
      <c r="AK201" s="1025" t="n"/>
      <c r="AL201" s="1025" t="n"/>
      <c r="AM201" s="1025" t="n"/>
      <c r="AN201" s="1025" t="n"/>
      <c r="AO201" s="1025" t="n"/>
    </row>
    <row r="202">
      <c r="X202" s="1025" t="n"/>
      <c r="Y202" s="1025" t="n"/>
      <c r="Z202" s="1025" t="n"/>
      <c r="AA202" s="1025" t="n"/>
      <c r="AB202" s="1025" t="n"/>
      <c r="AC202" s="1025" t="n"/>
      <c r="AD202" s="1025" t="n"/>
      <c r="AE202" s="1025" t="n"/>
      <c r="AF202" s="1025" t="n"/>
      <c r="AG202" s="1025" t="n"/>
      <c r="AH202" s="1025" t="n"/>
      <c r="AI202" s="1025" t="n"/>
      <c r="AJ202" s="1025" t="n"/>
      <c r="AK202" s="1025" t="n"/>
      <c r="AL202" s="1025" t="n"/>
      <c r="AM202" s="1025" t="n"/>
      <c r="AN202" s="1025" t="n"/>
      <c r="AO202" s="1025" t="n"/>
    </row>
    <row r="203" hidden="1" s="1016">
      <c r="I203" s="1010">
        <f>I202/15</f>
        <v/>
      </c>
      <c r="X203" s="1025" t="n"/>
      <c r="Y203" s="1025" t="n"/>
      <c r="Z203" s="1025" t="n"/>
      <c r="AA203" s="1025" t="n"/>
      <c r="AB203" s="1025" t="n"/>
      <c r="AC203" s="1025" t="n"/>
      <c r="AD203" s="1025" t="n"/>
      <c r="AE203" s="1025" t="n"/>
      <c r="AF203" s="1025" t="n"/>
      <c r="AG203" s="1025" t="n"/>
      <c r="AH203" s="1025" t="n"/>
      <c r="AI203" s="1025" t="n"/>
      <c r="AJ203" s="1025" t="n"/>
      <c r="AK203" s="1025" t="n"/>
      <c r="AL203" s="1025" t="n"/>
      <c r="AM203" s="1025" t="n"/>
      <c r="AN203" s="1025" t="n"/>
      <c r="AO203" s="1025" t="n"/>
    </row>
    <row r="204">
      <c r="S204" s="1025" t="n"/>
      <c r="T204" s="1025" t="n"/>
      <c r="U204" s="1025">
        <f>U168-#REF!</f>
        <v/>
      </c>
      <c r="V204" s="1025" t="n"/>
      <c r="W204" s="1025" t="n"/>
      <c r="X204" s="1025" t="n"/>
      <c r="Y204" s="1025" t="n"/>
      <c r="Z204" s="1025" t="n"/>
      <c r="AA204" s="1025" t="n"/>
      <c r="AB204" s="1025" t="n"/>
      <c r="AC204" s="1025" t="n"/>
      <c r="AD204" s="1025" t="n"/>
      <c r="AE204" s="1025" t="n"/>
      <c r="AF204" s="1025" t="n"/>
      <c r="AG204" s="1025" t="n"/>
      <c r="AH204" s="1025" t="n"/>
      <c r="AI204" s="1025" t="n"/>
      <c r="AJ204" s="1025" t="n"/>
      <c r="AK204" s="1025" t="n"/>
      <c r="AL204" s="1025" t="n"/>
      <c r="AM204" s="1025" t="n"/>
      <c r="AN204" s="869" t="n"/>
      <c r="AO204" s="1025" t="n"/>
    </row>
    <row r="205">
      <c r="S205" s="1025" t="n"/>
      <c r="T205" s="1025" t="inlineStr">
        <is>
          <t>MP</t>
        </is>
      </c>
      <c r="U205" s="1025">
        <f>V205*U13</f>
        <v/>
      </c>
      <c r="V205" s="1267">
        <f>#REF!-W43</f>
        <v/>
      </c>
      <c r="W205" s="1025" t="n"/>
      <c r="X205" s="1025" t="n"/>
      <c r="Y205" s="1025" t="n"/>
      <c r="Z205" s="1025" t="n"/>
      <c r="AA205" s="1025" t="n"/>
      <c r="AB205" s="1025" t="n"/>
      <c r="AC205" s="1025" t="n"/>
      <c r="AD205" s="1025" t="n"/>
      <c r="AE205" s="1025" t="n"/>
      <c r="AF205" s="1025" t="n"/>
      <c r="AG205" s="1025" t="n"/>
      <c r="AH205" s="1025" t="n"/>
      <c r="AI205" s="1025" t="n"/>
      <c r="AJ205" s="1025" t="n"/>
      <c r="AK205" s="1025" t="n"/>
      <c r="AL205" s="1025" t="n"/>
      <c r="AM205" s="401" t="n"/>
      <c r="AN205" s="1010" t="n"/>
    </row>
    <row r="206">
      <c r="S206" s="1025" t="n"/>
      <c r="T206" s="1025" t="inlineStr">
        <is>
          <t>ADMON</t>
        </is>
      </c>
      <c r="U206" s="1025">
        <f>#REF!-U148</f>
        <v/>
      </c>
      <c r="V206" s="1025" t="n"/>
      <c r="W206" s="1025" t="n"/>
      <c r="X206" s="1025" t="n"/>
      <c r="Y206" s="1025" t="n"/>
      <c r="Z206" s="1025" t="n"/>
      <c r="AA206" s="1025" t="n"/>
      <c r="AB206" s="1025" t="n"/>
      <c r="AC206" s="1025" t="n"/>
      <c r="AD206" s="1025" t="n"/>
      <c r="AE206" s="1025" t="n"/>
      <c r="AF206" s="1025" t="n"/>
      <c r="AG206" s="1025" t="n"/>
      <c r="AH206" s="1025" t="n"/>
      <c r="AI206" s="1025" t="n"/>
      <c r="AJ206" s="1025" t="n"/>
      <c r="AK206" s="1025" t="n"/>
      <c r="AL206" s="1025" t="n"/>
    </row>
    <row r="207">
      <c r="S207" s="1025" t="n"/>
      <c r="T207" s="1025" t="inlineStr">
        <is>
          <t>OPERATIVO</t>
        </is>
      </c>
      <c r="U207" s="1025">
        <f>#REF!-U85</f>
        <v/>
      </c>
      <c r="V207" s="1025" t="n"/>
      <c r="W207" s="1025" t="n"/>
      <c r="X207" s="1025" t="n"/>
      <c r="Y207" s="1025" t="n"/>
      <c r="Z207" s="1025" t="n"/>
      <c r="AA207" s="1025" t="n"/>
      <c r="AB207" s="1025" t="n"/>
      <c r="AC207" s="1025" t="n"/>
      <c r="AD207" s="1025" t="n"/>
      <c r="AE207" s="1025" t="n"/>
      <c r="AF207" s="1025" t="n"/>
      <c r="AG207" s="1025" t="n"/>
      <c r="AH207" s="1025" t="n"/>
      <c r="AI207" s="1025" t="n"/>
      <c r="AJ207" s="1025" t="n"/>
      <c r="AK207" s="1025" t="n"/>
      <c r="AL207" s="1025" t="n"/>
      <c r="AM207" s="1025">
        <f>AM204-'COMEDORES PALMIRA'!AM167</f>
        <v/>
      </c>
    </row>
    <row r="208">
      <c r="S208" s="1025" t="n"/>
      <c r="T208" s="1025" t="inlineStr">
        <is>
          <t>INV COM</t>
        </is>
      </c>
      <c r="U208" s="1025" t="n">
        <v>56000000</v>
      </c>
      <c r="V208" s="1025" t="n"/>
      <c r="W208" s="1025" t="n"/>
      <c r="X208" s="1025" t="n"/>
      <c r="Y208" s="1025" t="n"/>
      <c r="Z208" s="1025" t="n"/>
      <c r="AA208" s="1025" t="n"/>
      <c r="AB208" s="1025" t="n"/>
      <c r="AC208" s="1025" t="n"/>
      <c r="AD208" s="1025" t="n"/>
      <c r="AE208" s="1025" t="n"/>
      <c r="AF208" s="1025" t="n"/>
      <c r="AG208" s="1025" t="n"/>
      <c r="AH208" s="1025" t="n"/>
      <c r="AI208" s="1025" t="n"/>
      <c r="AJ208" s="1025" t="n"/>
      <c r="AK208" s="1025" t="n"/>
      <c r="AL208" s="1025" t="n"/>
      <c r="AM208" s="1025" t="n"/>
    </row>
    <row r="209">
      <c r="S209" s="1025" t="n"/>
      <c r="T209" s="1025" t="inlineStr">
        <is>
          <t>TRTANSP</t>
        </is>
      </c>
      <c r="U209" s="1025" t="n">
        <v>44000000</v>
      </c>
      <c r="V209" s="1025" t="n"/>
      <c r="W209" s="1025" t="n"/>
      <c r="X209" s="1025" t="n"/>
      <c r="Y209" s="1025" t="n"/>
      <c r="Z209" s="1025" t="n"/>
      <c r="AA209" s="1025" t="n"/>
      <c r="AB209" s="1025" t="n"/>
      <c r="AC209" s="1025" t="n"/>
      <c r="AD209" s="1025" t="n"/>
      <c r="AE209" s="1025" t="n"/>
      <c r="AF209" s="1025" t="n"/>
      <c r="AG209" s="1025" t="n"/>
      <c r="AH209" s="1025" t="n"/>
      <c r="AI209" s="1025" t="n"/>
      <c r="AJ209" s="1025" t="n"/>
      <c r="AK209" s="1025" t="n"/>
      <c r="AL209" s="1025" t="n"/>
      <c r="AM209" s="1025" t="n"/>
    </row>
    <row r="210">
      <c r="S210" s="1025" t="n"/>
      <c r="T210" s="1025" t="inlineStr">
        <is>
          <t>MANIP</t>
        </is>
      </c>
      <c r="U210" s="1025" t="n">
        <v>74000000</v>
      </c>
      <c r="V210" s="1025" t="n"/>
      <c r="W210" s="1025" t="n"/>
      <c r="X210" s="1025" t="n"/>
      <c r="Y210" s="1025" t="n"/>
      <c r="Z210" s="1025" t="n"/>
      <c r="AA210" s="1025" t="n"/>
      <c r="AB210" s="1025" t="n"/>
      <c r="AC210" s="1025" t="n"/>
      <c r="AD210" s="1025" t="n"/>
      <c r="AE210" s="1025" t="n"/>
      <c r="AF210" s="1025" t="n"/>
      <c r="AG210" s="1025" t="n"/>
      <c r="AH210" s="1025" t="n"/>
      <c r="AI210" s="1025" t="n"/>
      <c r="AJ210" s="1025" t="n"/>
      <c r="AK210" s="1025" t="n"/>
      <c r="AL210" s="1025" t="n"/>
      <c r="AM210" s="1025" t="n"/>
    </row>
    <row r="211">
      <c r="S211" s="1025" t="n"/>
      <c r="T211" s="1025" t="inlineStr">
        <is>
          <t>DOT Y EX</t>
        </is>
      </c>
      <c r="U211" s="1025" t="n">
        <v>43000000</v>
      </c>
      <c r="V211" s="1025" t="n"/>
      <c r="W211" s="1025" t="n"/>
      <c r="X211" s="1025" t="n"/>
      <c r="Y211" s="1025" t="n"/>
      <c r="Z211" s="1025" t="n"/>
      <c r="AA211" s="1025" t="n"/>
      <c r="AB211" s="1025" t="n"/>
      <c r="AC211" s="1025" t="n"/>
      <c r="AD211" s="1025" t="n"/>
      <c r="AE211" s="1025" t="n"/>
      <c r="AF211" s="1025" t="n"/>
      <c r="AG211" s="1025" t="n"/>
      <c r="AH211" s="1025" t="n"/>
      <c r="AI211" s="1025" t="n"/>
      <c r="AJ211" s="1025" t="n"/>
      <c r="AK211" s="1025" t="n"/>
      <c r="AL211" s="1025" t="n"/>
      <c r="AM211" s="1025" t="n"/>
    </row>
    <row r="212">
      <c r="S212" s="1025" t="n"/>
      <c r="T212" s="1025" t="n"/>
      <c r="U212" s="1025" t="n"/>
      <c r="V212" s="1025" t="n"/>
      <c r="W212" s="1025" t="n"/>
      <c r="X212" s="1025" t="n"/>
      <c r="Y212" s="1025" t="n"/>
      <c r="Z212" s="1025" t="n"/>
      <c r="AA212" s="1025" t="n"/>
      <c r="AB212" s="1025" t="n"/>
      <c r="AC212" s="1025" t="n"/>
      <c r="AD212" s="1025" t="n"/>
      <c r="AE212" s="1025" t="n"/>
      <c r="AF212" s="1025" t="n"/>
      <c r="AG212" s="1025" t="n"/>
      <c r="AH212" s="1025" t="n"/>
      <c r="AI212" s="1025" t="n"/>
      <c r="AJ212" s="1025" t="n"/>
      <c r="AK212" s="1025" t="n"/>
      <c r="AL212" s="1025" t="n"/>
      <c r="AM212" s="1025" t="n"/>
    </row>
    <row r="213">
      <c r="S213" s="1025" t="n"/>
      <c r="T213" s="1025" t="n"/>
      <c r="U213" s="1025">
        <f>SUM(U205:U212)</f>
        <v/>
      </c>
      <c r="V213" s="1025" t="n"/>
      <c r="W213" s="1025" t="n"/>
      <c r="X213" s="1025" t="n"/>
      <c r="Y213" s="1025" t="n"/>
      <c r="Z213" s="1025" t="n"/>
      <c r="AA213" s="1025" t="n"/>
      <c r="AB213" s="1025" t="n"/>
      <c r="AC213" s="1025" t="n"/>
      <c r="AD213" s="1025" t="n"/>
      <c r="AE213" s="1025" t="n"/>
      <c r="AF213" s="1025" t="n"/>
      <c r="AG213" s="1025" t="n"/>
      <c r="AH213" s="1025" t="n"/>
      <c r="AI213" s="1025" t="n"/>
      <c r="AJ213" s="1025" t="n"/>
      <c r="AK213" s="1025" t="n"/>
      <c r="AL213" s="1025" t="n"/>
      <c r="AM213" s="1025" t="n"/>
    </row>
    <row r="214">
      <c r="S214" s="1025" t="n"/>
      <c r="T214" s="1025" t="n"/>
      <c r="U214" s="1025" t="n"/>
      <c r="V214" s="1025" t="n"/>
      <c r="W214" s="1025" t="n"/>
      <c r="X214" s="1025" t="n"/>
      <c r="Y214" s="1025" t="n"/>
      <c r="Z214" s="1025" t="n"/>
      <c r="AA214" s="1025" t="n"/>
      <c r="AB214" s="1025" t="n"/>
      <c r="AC214" s="1025" t="n"/>
      <c r="AD214" s="1025" t="n"/>
      <c r="AE214" s="1025" t="n"/>
      <c r="AF214" s="1025" t="n"/>
      <c r="AG214" s="1025" t="n"/>
      <c r="AH214" s="1025" t="n"/>
      <c r="AI214" s="1025" t="n"/>
      <c r="AJ214" s="1025" t="n"/>
      <c r="AK214" s="1025" t="n"/>
      <c r="AL214" s="1025" t="n"/>
      <c r="AM214" s="1025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0" min="3" max="3"/>
    <col width="8.6640625" customWidth="1" style="1010" min="4" max="4"/>
    <col width="8.6640625" customWidth="1" style="1058" min="5" max="5"/>
    <col width="14.44140625" customWidth="1" style="1010" min="6" max="6"/>
    <col width="8.6640625" customWidth="1" style="1010" min="7" max="7"/>
    <col width="8.6640625" customWidth="1" style="1058" min="8" max="8"/>
    <col width="14.44140625" customWidth="1" style="1010" min="9" max="9"/>
    <col width="8.6640625" customWidth="1" style="1010" min="10" max="10"/>
    <col width="8.6640625" customWidth="1" style="1058" min="11" max="11"/>
    <col width="14.44140625" customWidth="1" style="1010" min="12" max="12"/>
    <col width="8.6640625" customWidth="1" style="1010" min="13" max="13"/>
    <col width="8.6640625" customWidth="1" style="1058" min="14" max="14"/>
    <col width="14.44140625" customWidth="1" style="1010" min="15" max="15"/>
    <col width="8.6640625" customWidth="1" style="1010" min="16" max="16"/>
    <col width="8.6640625" customWidth="1" style="1058" min="17" max="17"/>
    <col width="14.44140625" customWidth="1" style="1010" min="18" max="18"/>
    <col width="8.6640625" customWidth="1" style="1010" min="19" max="19"/>
    <col width="8.6640625" customWidth="1" style="1058" min="20" max="20"/>
    <col width="14.44140625" customWidth="1" style="1010" min="21" max="21"/>
    <col width="8.6640625" customWidth="1" style="1010" min="22" max="22"/>
    <col width="8.6640625" customWidth="1" style="1058" min="23" max="23"/>
    <col width="14.44140625" customWidth="1" style="1010" min="24" max="24"/>
    <col width="8.6640625" customWidth="1" style="1010" min="25" max="25"/>
    <col width="8.6640625" customWidth="1" style="1058" min="26" max="26"/>
    <col width="14.44140625" customWidth="1" style="1010" min="27" max="27"/>
    <col width="8.6640625" customWidth="1" style="1010" min="28" max="28"/>
    <col width="8.6640625" customWidth="1" style="1058" min="29" max="29"/>
    <col width="14.44140625" customWidth="1" style="1010" min="30" max="30"/>
    <col width="8.6640625" customWidth="1" style="1010" min="31" max="31"/>
    <col width="8.6640625" customWidth="1" style="1058" min="32" max="32"/>
    <col width="14.44140625" customWidth="1" style="1010" min="33" max="33"/>
    <col width="8.6640625" customWidth="1" style="1010" min="34" max="34"/>
    <col width="8.6640625" customWidth="1" style="1058" min="35" max="35"/>
    <col width="14.44140625" customWidth="1" style="1010" min="36" max="36"/>
    <col width="8.6640625" customWidth="1" style="1010" min="37" max="38"/>
    <col width="17.88671875" customWidth="1" style="1010" min="39" max="39"/>
    <col width="11.33203125" customWidth="1" style="1010" min="40" max="40"/>
    <col width="8.6640625" customWidth="1" style="1058" min="41" max="41"/>
    <col width="6.6640625" customWidth="1" style="2" min="42" max="42"/>
    <col width="11.44140625" customWidth="1" style="2" min="43" max="56"/>
    <col width="11.44140625" customWidth="1" style="2" min="57" max="16384"/>
  </cols>
  <sheetData>
    <row r="2" ht="24.9" customHeight="1" s="1016" thickBot="1">
      <c r="B2" s="236" t="inlineStr">
        <is>
          <t xml:space="preserve">CORPORACIÓN HACIA UN VALLE SOLIDARIO </t>
        </is>
      </c>
      <c r="C2" s="1008" t="inlineStr">
        <is>
          <t>PRESUPUESTO RECREARTE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59" t="n"/>
    </row>
    <row r="3" ht="21.75" customHeight="1" s="1016" thickBot="1" thickTop="1">
      <c r="B3" s="522" t="inlineStr">
        <is>
          <t xml:space="preserve">DIAS DE ATENCIÓN </t>
        </is>
      </c>
      <c r="C3" s="535" t="n"/>
      <c r="D3" s="479" t="n"/>
      <c r="E3" s="1060" t="n"/>
      <c r="F3" s="535" t="n"/>
      <c r="G3" s="479" t="n"/>
      <c r="H3" s="1060" t="n"/>
      <c r="I3" s="478" t="n"/>
      <c r="J3" s="479" t="n"/>
      <c r="K3" s="1060" t="n"/>
      <c r="L3" s="478" t="n"/>
      <c r="M3" s="479" t="n"/>
      <c r="N3" s="1060" t="n"/>
      <c r="O3" s="478" t="n"/>
      <c r="P3" s="479" t="n"/>
      <c r="Q3" s="1060" t="n"/>
      <c r="R3" s="478" t="n"/>
      <c r="S3" s="479" t="n"/>
      <c r="T3" s="1060" t="n"/>
      <c r="U3" s="478" t="n"/>
      <c r="V3" s="479" t="n"/>
      <c r="W3" s="1060" t="n"/>
      <c r="X3" s="478" t="n"/>
      <c r="Y3" s="479" t="n"/>
      <c r="Z3" s="1060" t="n"/>
      <c r="AA3" s="478" t="n"/>
      <c r="AB3" s="479" t="n"/>
      <c r="AC3" s="1060" t="n"/>
      <c r="AD3" s="478" t="n"/>
      <c r="AE3" s="479" t="n"/>
      <c r="AF3" s="1060" t="n"/>
      <c r="AG3" s="478" t="n"/>
      <c r="AH3" s="479" t="n"/>
      <c r="AI3" s="1060" t="n"/>
      <c r="AJ3" s="478" t="n"/>
      <c r="AK3" s="479" t="n"/>
      <c r="AL3" s="1060" t="n"/>
      <c r="AM3" s="571">
        <f>SUM(F3:AJ3)</f>
        <v/>
      </c>
      <c r="AN3" s="572" t="n"/>
      <c r="AO3" s="1061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83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62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62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62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62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62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62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62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62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62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62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62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63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66" t="n"/>
      <c r="F5" s="259" t="n"/>
      <c r="G5" s="260" t="n"/>
      <c r="H5" s="1066" t="n"/>
      <c r="I5" s="259" t="n"/>
      <c r="J5" s="89" t="n"/>
      <c r="K5" s="1066" t="n"/>
      <c r="L5" s="259" t="n"/>
      <c r="M5" s="89" t="n"/>
      <c r="N5" s="1066" t="n"/>
      <c r="O5" s="259" t="n"/>
      <c r="P5" s="89" t="n"/>
      <c r="Q5" s="1066" t="n"/>
      <c r="R5" s="259" t="n"/>
      <c r="S5" s="89" t="n"/>
      <c r="T5" s="1066" t="n"/>
      <c r="U5" s="259" t="n"/>
      <c r="V5" s="89" t="n"/>
      <c r="W5" s="1066" t="n"/>
      <c r="X5" s="259" t="n"/>
      <c r="Y5" s="89" t="n"/>
      <c r="Z5" s="1066" t="n"/>
      <c r="AA5" s="259" t="n"/>
      <c r="AB5" s="89" t="n"/>
      <c r="AC5" s="1066" t="n"/>
      <c r="AD5" s="259" t="n"/>
      <c r="AE5" s="89" t="n"/>
      <c r="AF5" s="1066" t="n"/>
      <c r="AG5" s="259" t="n"/>
      <c r="AH5" s="89" t="n"/>
      <c r="AI5" s="1066" t="n"/>
      <c r="AJ5" s="259" t="n"/>
      <c r="AK5" s="89" t="n"/>
      <c r="AL5" s="87" t="n"/>
      <c r="AM5" s="261">
        <f>C5+F5+I5+L5+O5+R5+U5+X5+AA5+AD5+AG5+AJ5</f>
        <v/>
      </c>
      <c r="AN5" s="89" t="n"/>
      <c r="AO5" s="1067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70" t="n"/>
      <c r="F6" s="25" t="n"/>
      <c r="G6" s="43" t="n"/>
      <c r="H6" s="1070" t="n"/>
      <c r="I6" s="25" t="n"/>
      <c r="J6" s="43" t="n"/>
      <c r="K6" s="1070" t="n"/>
      <c r="L6" s="25" t="n"/>
      <c r="M6" s="43" t="n"/>
      <c r="N6" s="1070" t="n"/>
      <c r="O6" s="25" t="n"/>
      <c r="P6" s="43" t="n"/>
      <c r="Q6" s="1070" t="n"/>
      <c r="R6" s="25" t="n"/>
      <c r="S6" s="43" t="n"/>
      <c r="T6" s="1070" t="n"/>
      <c r="U6" s="25" t="n"/>
      <c r="V6" s="43" t="n"/>
      <c r="W6" s="1070" t="n"/>
      <c r="X6" s="25" t="n"/>
      <c r="Y6" s="43" t="n"/>
      <c r="Z6" s="1070" t="n"/>
      <c r="AA6" s="25" t="n"/>
      <c r="AB6" s="43" t="n"/>
      <c r="AC6" s="1070" t="n"/>
      <c r="AD6" s="25" t="n"/>
      <c r="AE6" s="43" t="n"/>
      <c r="AF6" s="1070" t="n"/>
      <c r="AG6" s="25" t="n"/>
      <c r="AH6" s="43" t="n"/>
      <c r="AI6" s="1070" t="n"/>
      <c r="AJ6" s="25" t="n"/>
      <c r="AK6" s="43" t="n"/>
      <c r="AL6" s="57" t="n"/>
      <c r="AM6" s="205">
        <f>C6+F6+I6+L6+O6+R6+U6+X6+AA6+AD6+AG6+AJ6</f>
        <v/>
      </c>
      <c r="AN6" s="43" t="n"/>
      <c r="AO6" s="1071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70" t="n"/>
      <c r="F7" s="25" t="n"/>
      <c r="G7" s="43" t="n"/>
      <c r="H7" s="1070" t="n"/>
      <c r="I7" s="25" t="n"/>
      <c r="J7" s="43" t="n"/>
      <c r="K7" s="1070" t="n"/>
      <c r="L7" s="25" t="n"/>
      <c r="M7" s="43" t="n"/>
      <c r="N7" s="1070" t="n"/>
      <c r="O7" s="25" t="n"/>
      <c r="P7" s="43" t="n"/>
      <c r="Q7" s="1070" t="n"/>
      <c r="R7" s="25" t="n"/>
      <c r="S7" s="43" t="n"/>
      <c r="T7" s="1070" t="n"/>
      <c r="U7" s="25" t="n"/>
      <c r="V7" s="43" t="n"/>
      <c r="W7" s="1070" t="n"/>
      <c r="X7" s="25" t="n"/>
      <c r="Y7" s="43" t="n"/>
      <c r="Z7" s="1070" t="n"/>
      <c r="AA7" s="25" t="n"/>
      <c r="AB7" s="43" t="n"/>
      <c r="AC7" s="1070" t="n"/>
      <c r="AD7" s="25" t="n"/>
      <c r="AE7" s="43" t="n"/>
      <c r="AF7" s="1070" t="n"/>
      <c r="AG7" s="25" t="n"/>
      <c r="AH7" s="43" t="n"/>
      <c r="AI7" s="1070" t="n"/>
      <c r="AJ7" s="25" t="n"/>
      <c r="AK7" s="43" t="n"/>
      <c r="AL7" s="57" t="n"/>
      <c r="AM7" s="205">
        <f>C7+F7+I7+L7+O7+R7+U7+X7+AA7+AD7+AG7+AJ7</f>
        <v/>
      </c>
      <c r="AN7" s="43" t="n"/>
      <c r="AO7" s="1071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70" t="n"/>
      <c r="F8" s="74" t="n"/>
      <c r="G8" s="43" t="n"/>
      <c r="H8" s="1070" t="n"/>
      <c r="I8" s="74" t="n"/>
      <c r="J8" s="43" t="n"/>
      <c r="K8" s="1070" t="n"/>
      <c r="L8" s="74" t="n"/>
      <c r="M8" s="43" t="n"/>
      <c r="N8" s="1070" t="n"/>
      <c r="O8" s="74" t="n"/>
      <c r="P8" s="43" t="n"/>
      <c r="Q8" s="1070" t="n"/>
      <c r="R8" s="74" t="n"/>
      <c r="S8" s="43" t="n"/>
      <c r="T8" s="1070" t="n"/>
      <c r="U8" s="74" t="n"/>
      <c r="V8" s="43" t="n"/>
      <c r="W8" s="1070" t="n"/>
      <c r="X8" s="74" t="n"/>
      <c r="Y8" s="43" t="n"/>
      <c r="Z8" s="1070" t="n"/>
      <c r="AA8" s="74" t="n"/>
      <c r="AB8" s="43" t="n"/>
      <c r="AC8" s="1070" t="n"/>
      <c r="AD8" s="74" t="n"/>
      <c r="AE8" s="43" t="n"/>
      <c r="AF8" s="1070" t="n"/>
      <c r="AG8" s="74" t="n"/>
      <c r="AH8" s="43" t="n"/>
      <c r="AI8" s="1070" t="n"/>
      <c r="AJ8" s="74" t="n"/>
      <c r="AK8" s="43" t="n"/>
      <c r="AL8" s="57" t="n"/>
      <c r="AM8" s="205">
        <f>C8+F8+I8+L8+O8+R8+U8+X8+AA8+AD8+AG8+AJ8</f>
        <v/>
      </c>
      <c r="AN8" s="43" t="n"/>
      <c r="AO8" s="1071" t="n"/>
    </row>
    <row r="9" hidden="1" ht="15" customFormat="1" customHeight="1" s="223">
      <c r="A9" s="228" t="n"/>
      <c r="B9" s="14" t="n"/>
      <c r="C9" s="257" t="n"/>
      <c r="D9" s="89" t="n"/>
      <c r="E9" s="1070" t="n"/>
      <c r="F9" s="74" t="n"/>
      <c r="G9" s="43" t="n"/>
      <c r="H9" s="1070" t="n"/>
      <c r="I9" s="74" t="n"/>
      <c r="J9" s="43" t="n"/>
      <c r="K9" s="1070" t="n"/>
      <c r="L9" s="74" t="n"/>
      <c r="M9" s="43" t="n"/>
      <c r="N9" s="1070" t="n"/>
      <c r="O9" s="74" t="n"/>
      <c r="P9" s="43" t="n"/>
      <c r="Q9" s="1070" t="n"/>
      <c r="R9" s="74" t="n"/>
      <c r="S9" s="43" t="n"/>
      <c r="T9" s="1070" t="n"/>
      <c r="U9" s="74" t="n"/>
      <c r="V9" s="43" t="n"/>
      <c r="W9" s="1070" t="n"/>
      <c r="X9" s="74" t="n"/>
      <c r="Y9" s="43" t="n"/>
      <c r="Z9" s="1070" t="n"/>
      <c r="AA9" s="74" t="n"/>
      <c r="AB9" s="43" t="n"/>
      <c r="AC9" s="1070" t="n"/>
      <c r="AD9" s="74" t="n"/>
      <c r="AE9" s="43" t="n"/>
      <c r="AF9" s="1070" t="n"/>
      <c r="AG9" s="74" t="n"/>
      <c r="AH9" s="43" t="n"/>
      <c r="AI9" s="1070" t="n"/>
      <c r="AJ9" s="74" t="n"/>
      <c r="AK9" s="43" t="n"/>
      <c r="AL9" s="57" t="n"/>
      <c r="AM9" s="205">
        <f>C9+F9+I9+L9+O9+R9+U9+X9+AA9+AD9+AG9+AJ9</f>
        <v/>
      </c>
      <c r="AN9" s="43" t="n"/>
      <c r="AO9" s="1071" t="n"/>
    </row>
    <row r="10" hidden="1" ht="15" customFormat="1" customHeight="1" s="223">
      <c r="A10" s="228" t="n"/>
      <c r="B10" s="14" t="n"/>
      <c r="C10" s="74" t="n"/>
      <c r="D10" s="43" t="n"/>
      <c r="E10" s="1070" t="n"/>
      <c r="F10" s="74" t="n"/>
      <c r="G10" s="43" t="n"/>
      <c r="H10" s="1070" t="n"/>
      <c r="I10" s="74" t="n"/>
      <c r="J10" s="43" t="n"/>
      <c r="K10" s="1070" t="n"/>
      <c r="L10" s="74" t="n"/>
      <c r="M10" s="43" t="n"/>
      <c r="N10" s="1070" t="n"/>
      <c r="O10" s="74" t="n"/>
      <c r="P10" s="43" t="n"/>
      <c r="Q10" s="1070" t="n"/>
      <c r="R10" s="74" t="n"/>
      <c r="S10" s="43" t="n"/>
      <c r="T10" s="1070" t="n"/>
      <c r="U10" s="74" t="n"/>
      <c r="V10" s="43" t="n"/>
      <c r="W10" s="1070" t="n"/>
      <c r="X10" s="74" t="n"/>
      <c r="Y10" s="43" t="n"/>
      <c r="Z10" s="1070" t="n"/>
      <c r="AA10" s="74" t="n"/>
      <c r="AB10" s="43" t="n"/>
      <c r="AC10" s="1070" t="n"/>
      <c r="AD10" s="74" t="n"/>
      <c r="AE10" s="43" t="n"/>
      <c r="AF10" s="1070" t="n"/>
      <c r="AG10" s="74" t="n"/>
      <c r="AH10" s="43" t="n"/>
      <c r="AI10" s="1070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71" t="n"/>
    </row>
    <row r="11" hidden="1" ht="15" customFormat="1" customHeight="1" s="223">
      <c r="A11" s="228" t="n"/>
      <c r="B11" s="14" t="n"/>
      <c r="C11" s="102" t="n"/>
      <c r="D11" s="84" t="n"/>
      <c r="E11" s="1072" t="n"/>
      <c r="F11" s="102" t="n"/>
      <c r="G11" s="84" t="n"/>
      <c r="H11" s="1072" t="n"/>
      <c r="I11" s="102" t="n"/>
      <c r="J11" s="84" t="n"/>
      <c r="K11" s="1072" t="n"/>
      <c r="L11" s="102" t="n"/>
      <c r="M11" s="84" t="n"/>
      <c r="N11" s="1072" t="n"/>
      <c r="O11" s="102" t="n"/>
      <c r="P11" s="84" t="n"/>
      <c r="Q11" s="1072" t="n"/>
      <c r="R11" s="102" t="n"/>
      <c r="S11" s="84" t="n"/>
      <c r="T11" s="1072" t="n"/>
      <c r="U11" s="102" t="n"/>
      <c r="V11" s="84" t="n"/>
      <c r="W11" s="1072" t="n"/>
      <c r="X11" s="102" t="n"/>
      <c r="Y11" s="84" t="n"/>
      <c r="Z11" s="1072" t="n"/>
      <c r="AA11" s="102" t="n"/>
      <c r="AB11" s="84" t="n"/>
      <c r="AC11" s="1072" t="n"/>
      <c r="AD11" s="102" t="n"/>
      <c r="AE11" s="84" t="n"/>
      <c r="AF11" s="1072" t="n"/>
      <c r="AG11" s="102" t="n"/>
      <c r="AH11" s="84" t="n"/>
      <c r="AI11" s="1072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73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74" t="n"/>
      <c r="F12" s="46">
        <f>SUM(F5:F11)</f>
        <v/>
      </c>
      <c r="G12" s="47" t="n"/>
      <c r="H12" s="1074" t="n"/>
      <c r="I12" s="46">
        <f>SUM(I5:I11)</f>
        <v/>
      </c>
      <c r="J12" s="47" t="n"/>
      <c r="K12" s="1074" t="n"/>
      <c r="L12" s="46">
        <f>SUM(L5:L11)</f>
        <v/>
      </c>
      <c r="M12" s="47" t="n"/>
      <c r="N12" s="1074" t="n"/>
      <c r="O12" s="46">
        <f>SUM(O5:O11)</f>
        <v/>
      </c>
      <c r="P12" s="47" t="n"/>
      <c r="Q12" s="1074" t="n"/>
      <c r="R12" s="46">
        <f>SUM(R5:R11)</f>
        <v/>
      </c>
      <c r="S12" s="47" t="n"/>
      <c r="T12" s="1074" t="n"/>
      <c r="U12" s="46">
        <f>SUM(U5:U11)</f>
        <v/>
      </c>
      <c r="V12" s="47" t="n"/>
      <c r="W12" s="1074" t="n"/>
      <c r="X12" s="46">
        <f>SUM(X5:X11)</f>
        <v/>
      </c>
      <c r="Y12" s="47" t="n"/>
      <c r="Z12" s="1074" t="n"/>
      <c r="AA12" s="46">
        <f>SUM(AA5:AA11)</f>
        <v/>
      </c>
      <c r="AB12" s="47" t="n"/>
      <c r="AC12" s="1074" t="n"/>
      <c r="AD12" s="46">
        <f>SUM(AD5:AD11)</f>
        <v/>
      </c>
      <c r="AE12" s="47" t="n"/>
      <c r="AF12" s="1074" t="n"/>
      <c r="AG12" s="46">
        <f>SUM(AG5:AG11)</f>
        <v/>
      </c>
      <c r="AH12" s="47" t="n"/>
      <c r="AI12" s="1074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75" t="n"/>
    </row>
    <row r="13" hidden="1" ht="15" customHeight="1" s="1016">
      <c r="B13" s="19" t="inlineStr">
        <is>
          <t>INGRESOS BRUTOS</t>
        </is>
      </c>
      <c r="C13" s="48">
        <f>C14+C23</f>
        <v/>
      </c>
      <c r="D13" s="10" t="n"/>
      <c r="E13" s="1268" t="n"/>
      <c r="F13" s="48">
        <f>F14+F23</f>
        <v/>
      </c>
      <c r="G13" s="10" t="n"/>
      <c r="H13" s="1268" t="n"/>
      <c r="I13" s="48">
        <f>I14+I23</f>
        <v/>
      </c>
      <c r="J13" s="10" t="n"/>
      <c r="K13" s="1268" t="n"/>
      <c r="L13" s="48">
        <f>L14+L23</f>
        <v/>
      </c>
      <c r="M13" s="10" t="n"/>
      <c r="N13" s="1268" t="n"/>
      <c r="O13" s="48">
        <f>O14+O23</f>
        <v/>
      </c>
      <c r="P13" s="10" t="n"/>
      <c r="Q13" s="1268" t="n"/>
      <c r="R13" s="48">
        <f>R14+R23</f>
        <v/>
      </c>
      <c r="S13" s="10" t="n"/>
      <c r="T13" s="1268" t="n"/>
      <c r="U13" s="48">
        <f>U14+U23</f>
        <v/>
      </c>
      <c r="V13" s="10" t="n"/>
      <c r="W13" s="1268" t="n"/>
      <c r="X13" s="48">
        <f>X14+X23</f>
        <v/>
      </c>
      <c r="Y13" s="10" t="n"/>
      <c r="Z13" s="1268" t="n"/>
      <c r="AA13" s="48">
        <f>AA14+AA23</f>
        <v/>
      </c>
      <c r="AB13" s="10" t="n"/>
      <c r="AC13" s="1268" t="n"/>
      <c r="AD13" s="48">
        <f>AD14+AD23</f>
        <v/>
      </c>
      <c r="AE13" s="10" t="n"/>
      <c r="AF13" s="1268" t="n"/>
      <c r="AG13" s="48">
        <f>AG14+AG23</f>
        <v/>
      </c>
      <c r="AH13" s="10" t="n"/>
      <c r="AI13" s="1268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269" t="n"/>
    </row>
    <row r="14" hidden="1" ht="15" customHeight="1" s="1016">
      <c r="B14" s="16" t="inlineStr">
        <is>
          <t>OPERACIONALES</t>
        </is>
      </c>
      <c r="C14" s="49">
        <f>C15</f>
        <v/>
      </c>
      <c r="D14" s="3" t="n"/>
      <c r="E14" s="1078" t="n"/>
      <c r="F14" s="49">
        <f>F15</f>
        <v/>
      </c>
      <c r="G14" s="3" t="n"/>
      <c r="H14" s="1078" t="n"/>
      <c r="I14" s="49">
        <f>I15</f>
        <v/>
      </c>
      <c r="J14" s="3" t="n"/>
      <c r="K14" s="1078" t="n"/>
      <c r="L14" s="49">
        <f>L15</f>
        <v/>
      </c>
      <c r="M14" s="3" t="n"/>
      <c r="N14" s="1078" t="n"/>
      <c r="O14" s="49">
        <f>O15</f>
        <v/>
      </c>
      <c r="P14" s="3" t="n"/>
      <c r="Q14" s="1078" t="n"/>
      <c r="R14" s="49">
        <f>R15</f>
        <v/>
      </c>
      <c r="S14" s="3" t="n"/>
      <c r="T14" s="1078" t="n"/>
      <c r="U14" s="49">
        <f>U15</f>
        <v/>
      </c>
      <c r="V14" s="3" t="n"/>
      <c r="W14" s="1078" t="n"/>
      <c r="X14" s="49">
        <f>X15</f>
        <v/>
      </c>
      <c r="Y14" s="3" t="n"/>
      <c r="Z14" s="1078" t="n"/>
      <c r="AA14" s="49">
        <f>AA15</f>
        <v/>
      </c>
      <c r="AB14" s="3" t="n"/>
      <c r="AC14" s="1078" t="n"/>
      <c r="AD14" s="49">
        <f>AD15</f>
        <v/>
      </c>
      <c r="AE14" s="3" t="n"/>
      <c r="AF14" s="1078" t="n"/>
      <c r="AG14" s="49">
        <f>AG15</f>
        <v/>
      </c>
      <c r="AH14" s="3" t="n"/>
      <c r="AI14" s="1078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79" t="n"/>
    </row>
    <row r="15" hidden="1" ht="15" customHeight="1" s="1016">
      <c r="B15" s="16" t="inlineStr">
        <is>
          <t>INDUSTRIAS MANUFACTURERAS</t>
        </is>
      </c>
      <c r="C15" s="49">
        <f>SUM(C16:C22)</f>
        <v/>
      </c>
      <c r="D15" s="3" t="n"/>
      <c r="E15" s="1078" t="n"/>
      <c r="F15" s="49">
        <f>SUM(F16:F22)</f>
        <v/>
      </c>
      <c r="G15" s="3" t="n"/>
      <c r="H15" s="1078" t="n"/>
      <c r="I15" s="49">
        <f>SUM(I16:I22)</f>
        <v/>
      </c>
      <c r="J15" s="3" t="n"/>
      <c r="K15" s="1078" t="n"/>
      <c r="L15" s="49">
        <f>SUM(L16:L22)</f>
        <v/>
      </c>
      <c r="M15" s="3" t="n"/>
      <c r="N15" s="1078" t="n"/>
      <c r="O15" s="49">
        <f>SUM(O16:O22)</f>
        <v/>
      </c>
      <c r="P15" s="3" t="n"/>
      <c r="Q15" s="1078" t="n"/>
      <c r="R15" s="49">
        <f>SUM(R16:R22)</f>
        <v/>
      </c>
      <c r="S15" s="3" t="n"/>
      <c r="T15" s="1078" t="n"/>
      <c r="U15" s="49">
        <f>SUM(U16:U22)</f>
        <v/>
      </c>
      <c r="V15" s="3" t="n"/>
      <c r="W15" s="1078" t="n"/>
      <c r="X15" s="49">
        <f>SUM(X16:X22)</f>
        <v/>
      </c>
      <c r="Y15" s="3" t="n"/>
      <c r="Z15" s="1078">
        <f>X15/X15</f>
        <v/>
      </c>
      <c r="AA15" s="49">
        <f>SUM(AA16:AA22)</f>
        <v/>
      </c>
      <c r="AB15" s="61" t="n"/>
      <c r="AC15" s="1078">
        <f>AA15/AA15</f>
        <v/>
      </c>
      <c r="AD15" s="49">
        <f>SUM(AD16:AD22)</f>
        <v/>
      </c>
      <c r="AE15" s="61" t="n"/>
      <c r="AF15" s="1078">
        <f>AD15/AD15</f>
        <v/>
      </c>
      <c r="AG15" s="49">
        <f>SUM(AG16:AG22)</f>
        <v/>
      </c>
      <c r="AH15" s="3" t="n"/>
      <c r="AI15" s="1078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79">
        <f>AM15/AM15</f>
        <v/>
      </c>
    </row>
    <row r="16" hidden="1" ht="15" customHeight="1" s="1016">
      <c r="B16" s="262" t="inlineStr">
        <is>
          <t>COMPLEMENTO INDUSTRIALIZADO</t>
        </is>
      </c>
      <c r="C16" s="103" t="n"/>
      <c r="D16" s="79" t="n"/>
      <c r="E16" s="1080" t="n"/>
      <c r="F16" s="103" t="n"/>
      <c r="G16" s="79" t="n"/>
      <c r="H16" s="1080" t="n"/>
      <c r="I16" s="103" t="n"/>
      <c r="J16" s="79" t="n"/>
      <c r="K16" s="1080" t="n"/>
      <c r="L16" s="103" t="n"/>
      <c r="M16" s="79" t="n"/>
      <c r="N16" s="1080" t="n"/>
      <c r="O16" s="103" t="n"/>
      <c r="P16" s="79" t="n"/>
      <c r="Q16" s="1080" t="n"/>
      <c r="R16" s="103" t="n"/>
      <c r="S16" s="79" t="n"/>
      <c r="T16" s="1080" t="n"/>
      <c r="U16" s="103" t="n"/>
      <c r="V16" s="79" t="n"/>
      <c r="W16" s="1080" t="n"/>
      <c r="X16" s="103" t="n"/>
      <c r="Y16" s="79" t="n"/>
      <c r="Z16" s="1080" t="n"/>
      <c r="AA16" s="103" t="n"/>
      <c r="AB16" s="79" t="n"/>
      <c r="AC16" s="1080" t="n"/>
      <c r="AD16" s="103" t="n"/>
      <c r="AE16" s="79" t="n"/>
      <c r="AF16" s="1080" t="n"/>
      <c r="AG16" s="103" t="n"/>
      <c r="AH16" s="79" t="n"/>
      <c r="AI16" s="1080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81">
        <f>AM16/AM$13</f>
        <v/>
      </c>
    </row>
    <row r="17" hidden="1" ht="15" customHeight="1" s="1016">
      <c r="B17" s="104" t="inlineStr">
        <is>
          <t>COMPLEMENTO PREPARADO</t>
        </is>
      </c>
      <c r="C17" s="25" t="n"/>
      <c r="D17" s="43" t="n"/>
      <c r="E17" s="1070" t="n"/>
      <c r="F17" s="25" t="n"/>
      <c r="G17" s="43" t="n"/>
      <c r="H17" s="1070" t="n"/>
      <c r="I17" s="25" t="n"/>
      <c r="J17" s="43" t="n"/>
      <c r="K17" s="1070" t="n"/>
      <c r="L17" s="25" t="n"/>
      <c r="M17" s="43" t="n"/>
      <c r="N17" s="1070" t="n"/>
      <c r="O17" s="25" t="n"/>
      <c r="P17" s="43" t="n"/>
      <c r="Q17" s="1070" t="n"/>
      <c r="R17" s="25" t="n"/>
      <c r="S17" s="43" t="n"/>
      <c r="T17" s="1070" t="n"/>
      <c r="U17" s="25" t="n"/>
      <c r="V17" s="43" t="n"/>
      <c r="W17" s="1070" t="n"/>
      <c r="X17" s="25" t="n"/>
      <c r="Y17" s="43" t="n"/>
      <c r="Z17" s="1070" t="n"/>
      <c r="AA17" s="25" t="n"/>
      <c r="AB17" s="43" t="n"/>
      <c r="AC17" s="1070" t="n"/>
      <c r="AD17" s="25" t="n"/>
      <c r="AE17" s="43" t="n"/>
      <c r="AF17" s="1070" t="n"/>
      <c r="AG17" s="25" t="n"/>
      <c r="AH17" s="43" t="n"/>
      <c r="AI17" s="1070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71">
        <f>AM17/AM$13</f>
        <v/>
      </c>
    </row>
    <row r="18" hidden="1" ht="15" customHeight="1" s="1016">
      <c r="B18" s="104" t="inlineStr">
        <is>
          <t>ALMUERZO JORNADA UNICA</t>
        </is>
      </c>
      <c r="C18" s="25" t="n"/>
      <c r="D18" s="43" t="n"/>
      <c r="E18" s="1070" t="n"/>
      <c r="F18" s="25" t="n"/>
      <c r="G18" s="43" t="n"/>
      <c r="H18" s="1070" t="n"/>
      <c r="I18" s="25" t="n"/>
      <c r="J18" s="43" t="n"/>
      <c r="K18" s="1070" t="n"/>
      <c r="L18" s="25" t="n"/>
      <c r="M18" s="43" t="n"/>
      <c r="N18" s="1070" t="n"/>
      <c r="O18" s="25" t="n"/>
      <c r="P18" s="43" t="n"/>
      <c r="Q18" s="1070" t="n"/>
      <c r="R18" s="25" t="n"/>
      <c r="S18" s="43" t="n"/>
      <c r="T18" s="1070" t="n"/>
      <c r="U18" s="25" t="n"/>
      <c r="V18" s="43" t="n"/>
      <c r="W18" s="1070" t="n"/>
      <c r="X18" s="25" t="n"/>
      <c r="Y18" s="43" t="n"/>
      <c r="Z18" s="1070" t="n"/>
      <c r="AA18" s="25" t="n"/>
      <c r="AB18" s="43" t="n"/>
      <c r="AC18" s="1070" t="n"/>
      <c r="AD18" s="25" t="n"/>
      <c r="AE18" s="43" t="n"/>
      <c r="AF18" s="1070" t="n"/>
      <c r="AG18" s="25" t="n"/>
      <c r="AH18" s="43" t="n"/>
      <c r="AI18" s="1070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71">
        <f>AM18/AM$13</f>
        <v/>
      </c>
    </row>
    <row r="19" hidden="1" ht="15" customHeight="1" s="1016">
      <c r="B19" s="104" t="inlineStr">
        <is>
          <t>NOVEDADES</t>
        </is>
      </c>
      <c r="C19" s="25" t="n"/>
      <c r="D19" s="43" t="n"/>
      <c r="E19" s="1070" t="n"/>
      <c r="F19" s="25" t="n"/>
      <c r="G19" s="43" t="n"/>
      <c r="H19" s="1070" t="n"/>
      <c r="I19" s="25" t="n"/>
      <c r="J19" s="43" t="n"/>
      <c r="K19" s="1070" t="n"/>
      <c r="L19" s="12" t="n"/>
      <c r="M19" s="43" t="n"/>
      <c r="N19" s="1070" t="n"/>
      <c r="O19" s="25" t="n"/>
      <c r="P19" s="43" t="n"/>
      <c r="Q19" s="1070" t="n"/>
      <c r="R19" s="25" t="n"/>
      <c r="S19" s="43" t="n"/>
      <c r="T19" s="1070" t="n"/>
      <c r="U19" s="25" t="n"/>
      <c r="V19" s="43" t="n"/>
      <c r="W19" s="1070" t="n"/>
      <c r="X19" s="25" t="n"/>
      <c r="Y19" s="43" t="n"/>
      <c r="Z19" s="1070" t="n"/>
      <c r="AA19" s="25" t="n"/>
      <c r="AB19" s="43" t="n"/>
      <c r="AC19" s="1070" t="n"/>
      <c r="AD19" s="25" t="n"/>
      <c r="AE19" s="43" t="n"/>
      <c r="AF19" s="1070" t="n"/>
      <c r="AG19" s="25" t="n"/>
      <c r="AH19" s="43" t="n"/>
      <c r="AI19" s="1070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71" t="n"/>
    </row>
    <row r="20" hidden="1" ht="15" customHeight="1" s="1016">
      <c r="B20" s="263" t="n"/>
      <c r="C20" s="75" t="n"/>
      <c r="D20" s="43" t="n"/>
      <c r="E20" s="1070" t="n"/>
      <c r="F20" s="25" t="n"/>
      <c r="G20" s="43" t="n"/>
      <c r="H20" s="1070" t="n"/>
      <c r="I20" s="75" t="n"/>
      <c r="J20" s="43" t="n"/>
      <c r="K20" s="1070" t="n"/>
      <c r="L20" s="75" t="n"/>
      <c r="M20" s="43" t="n"/>
      <c r="N20" s="1070" t="n"/>
      <c r="O20" s="75" t="n"/>
      <c r="P20" s="43" t="n"/>
      <c r="Q20" s="1070" t="n"/>
      <c r="R20" s="75" t="n"/>
      <c r="S20" s="43" t="n"/>
      <c r="T20" s="1070" t="n"/>
      <c r="U20" s="75" t="n"/>
      <c r="V20" s="43" t="n"/>
      <c r="W20" s="1070" t="n"/>
      <c r="X20" s="75" t="n"/>
      <c r="Y20" s="43" t="n"/>
      <c r="Z20" s="1070" t="n"/>
      <c r="AA20" s="75" t="n"/>
      <c r="AB20" s="43" t="n"/>
      <c r="AC20" s="1070" t="n"/>
      <c r="AD20" s="75" t="n"/>
      <c r="AE20" s="43" t="n"/>
      <c r="AF20" s="1070" t="n"/>
      <c r="AG20" s="75" t="n"/>
      <c r="AH20" s="43" t="n"/>
      <c r="AI20" s="1070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71" t="n"/>
    </row>
    <row r="21" hidden="1" ht="15" customHeight="1" s="1016">
      <c r="B21" s="30" t="n"/>
      <c r="C21" s="75" t="n"/>
      <c r="D21" s="43" t="n"/>
      <c r="E21" s="1070" t="n"/>
      <c r="F21" s="25" t="n"/>
      <c r="G21" s="43" t="n"/>
      <c r="H21" s="1070" t="n"/>
      <c r="I21" s="75" t="n"/>
      <c r="J21" s="43" t="n"/>
      <c r="K21" s="1070" t="n"/>
      <c r="L21" s="75" t="n"/>
      <c r="M21" s="43" t="n"/>
      <c r="N21" s="1070" t="n"/>
      <c r="O21" s="75" t="n"/>
      <c r="P21" s="43" t="n"/>
      <c r="Q21" s="1070" t="n"/>
      <c r="R21" s="75" t="n"/>
      <c r="S21" s="43" t="n"/>
      <c r="T21" s="1070" t="n"/>
      <c r="U21" s="75" t="n"/>
      <c r="V21" s="43" t="n"/>
      <c r="W21" s="1070" t="n"/>
      <c r="X21" s="75" t="n"/>
      <c r="Y21" s="43" t="n"/>
      <c r="Z21" s="1070" t="n"/>
      <c r="AA21" s="75" t="n"/>
      <c r="AB21" s="43" t="n"/>
      <c r="AC21" s="1070" t="n"/>
      <c r="AD21" s="75" t="n"/>
      <c r="AE21" s="43" t="n"/>
      <c r="AF21" s="1070" t="n"/>
      <c r="AG21" s="75" t="n"/>
      <c r="AH21" s="43" t="n"/>
      <c r="AI21" s="1070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71" t="n"/>
    </row>
    <row r="22" hidden="1" ht="15" customHeight="1" s="1016">
      <c r="B22" s="30" t="n"/>
      <c r="C22" s="51" t="n"/>
      <c r="D22" s="42" t="n"/>
      <c r="E22" s="1082" t="n"/>
      <c r="F22" s="22" t="n"/>
      <c r="G22" s="42" t="n"/>
      <c r="H22" s="1082" t="n"/>
      <c r="I22" s="51" t="n"/>
      <c r="J22" s="42" t="n"/>
      <c r="K22" s="1082" t="n"/>
      <c r="L22" s="51" t="n"/>
      <c r="M22" s="42" t="n"/>
      <c r="N22" s="1082" t="n"/>
      <c r="O22" s="51" t="n"/>
      <c r="P22" s="42" t="n"/>
      <c r="Q22" s="1082" t="n"/>
      <c r="R22" s="51" t="n"/>
      <c r="S22" s="42" t="n"/>
      <c r="T22" s="1082" t="n"/>
      <c r="U22" s="51" t="n"/>
      <c r="V22" s="42" t="n"/>
      <c r="W22" s="1082" t="n"/>
      <c r="X22" s="51" t="n"/>
      <c r="Y22" s="42" t="n"/>
      <c r="Z22" s="1082" t="n"/>
      <c r="AA22" s="51" t="n"/>
      <c r="AB22" s="42" t="n"/>
      <c r="AC22" s="1082" t="n"/>
      <c r="AD22" s="51" t="n"/>
      <c r="AE22" s="42" t="n"/>
      <c r="AF22" s="1082" t="n"/>
      <c r="AG22" s="51" t="n"/>
      <c r="AH22" s="42" t="n"/>
      <c r="AI22" s="1082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83" t="n"/>
    </row>
    <row r="23" hidden="1" outlineLevel="1" ht="15" customHeight="1" s="1016">
      <c r="B23" s="16" t="inlineStr">
        <is>
          <t>NO OPERACIONALES</t>
        </is>
      </c>
      <c r="C23" s="49">
        <f>C24</f>
        <v/>
      </c>
      <c r="D23" s="3" t="n"/>
      <c r="E23" s="1078" t="n"/>
      <c r="F23" s="49">
        <f>F24</f>
        <v/>
      </c>
      <c r="G23" s="3" t="n"/>
      <c r="H23" s="1078" t="n"/>
      <c r="I23" s="49">
        <f>I24</f>
        <v/>
      </c>
      <c r="J23" s="3" t="n"/>
      <c r="K23" s="1078" t="n"/>
      <c r="L23" s="49">
        <f>L24</f>
        <v/>
      </c>
      <c r="M23" s="3" t="n"/>
      <c r="N23" s="1078" t="n"/>
      <c r="O23" s="49">
        <f>O24</f>
        <v/>
      </c>
      <c r="P23" s="3" t="n"/>
      <c r="Q23" s="1078" t="n"/>
      <c r="R23" s="49">
        <f>R24</f>
        <v/>
      </c>
      <c r="S23" s="3" t="n"/>
      <c r="T23" s="1078" t="n"/>
      <c r="U23" s="49">
        <f>U24</f>
        <v/>
      </c>
      <c r="V23" s="3" t="n"/>
      <c r="W23" s="1078" t="n"/>
      <c r="X23" s="49">
        <f>X24</f>
        <v/>
      </c>
      <c r="Y23" s="3" t="n"/>
      <c r="Z23" s="1078" t="n"/>
      <c r="AA23" s="49">
        <f>AA24</f>
        <v/>
      </c>
      <c r="AB23" s="3" t="n"/>
      <c r="AC23" s="1078" t="n"/>
      <c r="AD23" s="49" t="n"/>
      <c r="AE23" s="3" t="n"/>
      <c r="AF23" s="1078" t="n"/>
      <c r="AG23" s="49" t="n"/>
      <c r="AH23" s="3" t="n"/>
      <c r="AI23" s="1078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79" t="n"/>
    </row>
    <row r="24" hidden="1" outlineLevel="1" ht="15" customHeight="1" s="1016">
      <c r="B24" s="16" t="inlineStr">
        <is>
          <t>FINANCIEROS</t>
        </is>
      </c>
      <c r="C24" s="49">
        <f>SUM(C25:C27)</f>
        <v/>
      </c>
      <c r="D24" s="3" t="n"/>
      <c r="E24" s="1078" t="n"/>
      <c r="F24" s="49">
        <f>SUM(F25:F27)</f>
        <v/>
      </c>
      <c r="G24" s="3" t="n"/>
      <c r="H24" s="1078" t="n"/>
      <c r="I24" s="49">
        <f>SUM(I25:I27)</f>
        <v/>
      </c>
      <c r="J24" s="3" t="n"/>
      <c r="K24" s="1078" t="n"/>
      <c r="L24" s="49">
        <f>SUM(L25:L27)</f>
        <v/>
      </c>
      <c r="M24" s="3" t="n"/>
      <c r="N24" s="1078" t="n"/>
      <c r="O24" s="49">
        <f>SUM(O25:O27)</f>
        <v/>
      </c>
      <c r="P24" s="3" t="n"/>
      <c r="Q24" s="1078" t="n"/>
      <c r="R24" s="49">
        <f>SUM(R25:R27)</f>
        <v/>
      </c>
      <c r="S24" s="3" t="n"/>
      <c r="T24" s="1078" t="n"/>
      <c r="U24" s="49">
        <f>SUM(U25:U27)</f>
        <v/>
      </c>
      <c r="V24" s="3" t="n"/>
      <c r="W24" s="1078" t="n"/>
      <c r="X24" s="49">
        <f>SUM(X25:X27)</f>
        <v/>
      </c>
      <c r="Y24" s="3" t="n"/>
      <c r="Z24" s="1078" t="n"/>
      <c r="AA24" s="49">
        <f>SUM(AA25:AA27)</f>
        <v/>
      </c>
      <c r="AB24" s="3" t="n"/>
      <c r="AC24" s="1078" t="n"/>
      <c r="AD24" s="49">
        <f>SUM(AD25:AD27)</f>
        <v/>
      </c>
      <c r="AE24" s="3" t="n"/>
      <c r="AF24" s="1078" t="n"/>
      <c r="AG24" s="49">
        <f>SUM(AG25:AG27)</f>
        <v/>
      </c>
      <c r="AH24" s="3" t="n"/>
      <c r="AI24" s="1078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79" t="n"/>
    </row>
    <row r="25" hidden="1" outlineLevel="1" ht="15" customHeight="1" s="1016">
      <c r="B25" s="32" t="inlineStr">
        <is>
          <t>Intereses</t>
        </is>
      </c>
      <c r="C25" s="35" t="n"/>
      <c r="D25" s="52" t="n"/>
      <c r="E25" s="1084" t="n"/>
      <c r="F25" s="35" t="n"/>
      <c r="G25" s="52" t="n"/>
      <c r="H25" s="1084" t="n"/>
      <c r="I25" s="35" t="n"/>
      <c r="J25" s="52" t="n"/>
      <c r="K25" s="1084" t="n"/>
      <c r="L25" s="35" t="n"/>
      <c r="M25" s="52" t="n"/>
      <c r="N25" s="1084" t="n"/>
      <c r="O25" s="35" t="n"/>
      <c r="P25" s="52" t="n"/>
      <c r="Q25" s="1084" t="n"/>
      <c r="R25" s="35" t="n"/>
      <c r="S25" s="52" t="n"/>
      <c r="T25" s="1084" t="n"/>
      <c r="U25" s="35" t="n"/>
      <c r="V25" s="52" t="n"/>
      <c r="W25" s="1084" t="n"/>
      <c r="X25" s="35" t="n"/>
      <c r="Y25" s="52" t="n"/>
      <c r="Z25" s="1084" t="n"/>
      <c r="AA25" s="35" t="n"/>
      <c r="AB25" s="52" t="n"/>
      <c r="AC25" s="1084" t="n"/>
      <c r="AD25" s="35" t="n"/>
      <c r="AE25" s="52" t="n"/>
      <c r="AF25" s="1084" t="n"/>
      <c r="AG25" s="35" t="n"/>
      <c r="AH25" s="52" t="n"/>
      <c r="AI25" s="1084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85" t="n"/>
    </row>
    <row r="26" hidden="1" outlineLevel="1" ht="15" customHeight="1" s="1016">
      <c r="B26" s="32" t="inlineStr">
        <is>
          <t>Descuentos Comerciales</t>
        </is>
      </c>
      <c r="C26" s="35" t="n"/>
      <c r="D26" s="52" t="n"/>
      <c r="E26" s="1084" t="n"/>
      <c r="F26" s="35" t="n"/>
      <c r="G26" s="52" t="n"/>
      <c r="H26" s="1084" t="n"/>
      <c r="I26" s="35" t="n"/>
      <c r="J26" s="52" t="n"/>
      <c r="K26" s="1084" t="n"/>
      <c r="L26" s="35" t="n"/>
      <c r="M26" s="52" t="n"/>
      <c r="N26" s="1084" t="n"/>
      <c r="O26" s="35" t="n"/>
      <c r="P26" s="52" t="n"/>
      <c r="Q26" s="1084" t="n"/>
      <c r="R26" s="35" t="n"/>
      <c r="S26" s="52" t="n"/>
      <c r="T26" s="1084" t="n"/>
      <c r="U26" s="35" t="n"/>
      <c r="V26" s="52" t="n"/>
      <c r="W26" s="1084" t="n"/>
      <c r="X26" s="35" t="n"/>
      <c r="Y26" s="52" t="n"/>
      <c r="Z26" s="1084" t="n"/>
      <c r="AA26" s="35" t="n"/>
      <c r="AB26" s="52" t="n"/>
      <c r="AC26" s="1084" t="n"/>
      <c r="AD26" s="35" t="n"/>
      <c r="AE26" s="52" t="n"/>
      <c r="AF26" s="1084" t="n"/>
      <c r="AG26" s="35" t="n"/>
      <c r="AH26" s="52" t="n"/>
      <c r="AI26" s="1084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85" t="n"/>
    </row>
    <row r="27" hidden="1" outlineLevel="1" ht="15" customHeight="1" s="1016">
      <c r="B27" s="32" t="inlineStr">
        <is>
          <t>otros</t>
        </is>
      </c>
      <c r="C27" s="35" t="n"/>
      <c r="D27" s="52" t="n"/>
      <c r="E27" s="1084" t="n"/>
      <c r="F27" s="35" t="n"/>
      <c r="G27" s="52" t="n"/>
      <c r="H27" s="1084" t="n"/>
      <c r="I27" s="35" t="n"/>
      <c r="J27" s="52" t="n"/>
      <c r="K27" s="1084" t="n"/>
      <c r="L27" s="35" t="n"/>
      <c r="M27" s="52" t="n"/>
      <c r="N27" s="1084" t="n"/>
      <c r="O27" s="35" t="n"/>
      <c r="P27" s="52" t="n"/>
      <c r="Q27" s="1084" t="n"/>
      <c r="R27" s="35" t="n"/>
      <c r="S27" s="52" t="n"/>
      <c r="T27" s="1084" t="n"/>
      <c r="U27" s="35" t="n"/>
      <c r="V27" s="52" t="n"/>
      <c r="W27" s="1084" t="n"/>
      <c r="X27" s="35" t="n"/>
      <c r="Y27" s="52" t="n"/>
      <c r="Z27" s="1084" t="n"/>
      <c r="AA27" s="35" t="n"/>
      <c r="AB27" s="52" t="n"/>
      <c r="AC27" s="1084" t="n"/>
      <c r="AD27" s="35" t="n"/>
      <c r="AE27" s="52" t="n"/>
      <c r="AF27" s="1084" t="n"/>
      <c r="AG27" s="35" t="n"/>
      <c r="AH27" s="52" t="n"/>
      <c r="AI27" s="1084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85" t="n"/>
    </row>
    <row r="28" hidden="1" collapsed="1" ht="15" customHeight="1" s="1016">
      <c r="B28" s="16" t="inlineStr">
        <is>
          <t>DESCUENTOS - GASTO OPERACIONAL</t>
        </is>
      </c>
      <c r="C28" s="49">
        <f>+C29</f>
        <v/>
      </c>
      <c r="D28" s="3" t="n"/>
      <c r="E28" s="1078" t="n"/>
      <c r="F28" s="49">
        <f>+F29</f>
        <v/>
      </c>
      <c r="G28" s="3" t="n"/>
      <c r="H28" s="1078" t="n"/>
      <c r="I28" s="49">
        <f>+I29</f>
        <v/>
      </c>
      <c r="J28" s="3" t="n"/>
      <c r="K28" s="1078" t="n"/>
      <c r="L28" s="49">
        <f>+L29</f>
        <v/>
      </c>
      <c r="M28" s="3" t="n"/>
      <c r="N28" s="1078" t="n"/>
      <c r="O28" s="49">
        <f>+O29</f>
        <v/>
      </c>
      <c r="P28" s="3" t="n"/>
      <c r="Q28" s="1078" t="n"/>
      <c r="R28" s="49">
        <f>+R29</f>
        <v/>
      </c>
      <c r="S28" s="3" t="n"/>
      <c r="T28" s="1078" t="n"/>
      <c r="U28" s="49">
        <f>+U29</f>
        <v/>
      </c>
      <c r="V28" s="3" t="n"/>
      <c r="W28" s="1078" t="n"/>
      <c r="X28" s="49">
        <f>+X29</f>
        <v/>
      </c>
      <c r="Y28" s="3" t="n"/>
      <c r="Z28" s="1078" t="n"/>
      <c r="AA28" s="49">
        <f>+AA29</f>
        <v/>
      </c>
      <c r="AB28" s="3" t="n"/>
      <c r="AC28" s="1078" t="n"/>
      <c r="AD28" s="49">
        <f>+AD29</f>
        <v/>
      </c>
      <c r="AE28" s="3" t="n"/>
      <c r="AF28" s="1078" t="n"/>
      <c r="AG28" s="49">
        <f>+AG29</f>
        <v/>
      </c>
      <c r="AH28" s="3" t="n"/>
      <c r="AI28" s="1078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79" t="n"/>
    </row>
    <row r="29" hidden="1" ht="15" customHeight="1" s="1016">
      <c r="B29" s="16" t="inlineStr">
        <is>
          <t>OTROS</t>
        </is>
      </c>
      <c r="C29" s="49">
        <f>SUM(C30:C35)</f>
        <v/>
      </c>
      <c r="D29" s="3" t="n"/>
      <c r="E29" s="1078" t="n"/>
      <c r="F29" s="49">
        <f>SUM(F30:F35)</f>
        <v/>
      </c>
      <c r="G29" s="3" t="n"/>
      <c r="H29" s="1078">
        <f>F29/F13</f>
        <v/>
      </c>
      <c r="I29" s="49">
        <f>SUM(I30:I35)</f>
        <v/>
      </c>
      <c r="J29" s="3" t="n"/>
      <c r="K29" s="1078">
        <f>I29/I13</f>
        <v/>
      </c>
      <c r="L29" s="49">
        <f>SUM(L30:L35)</f>
        <v/>
      </c>
      <c r="M29" s="3" t="n"/>
      <c r="N29" s="1078">
        <f>L29/L13</f>
        <v/>
      </c>
      <c r="O29" s="49">
        <f>SUM(O30:O35)</f>
        <v/>
      </c>
      <c r="P29" s="3" t="n"/>
      <c r="Q29" s="1078">
        <f>O29/O13</f>
        <v/>
      </c>
      <c r="R29" s="49">
        <f>SUM(R30:R35)</f>
        <v/>
      </c>
      <c r="S29" s="3" t="n"/>
      <c r="T29" s="1078">
        <f>R29/R13</f>
        <v/>
      </c>
      <c r="U29" s="49">
        <f>SUM(U30:U35)</f>
        <v/>
      </c>
      <c r="V29" s="3" t="n"/>
      <c r="W29" s="1078">
        <f>U29/U13</f>
        <v/>
      </c>
      <c r="X29" s="49">
        <f>SUM(X30:X35)</f>
        <v/>
      </c>
      <c r="Y29" s="3" t="n"/>
      <c r="Z29" s="1078">
        <f>X29/X13</f>
        <v/>
      </c>
      <c r="AA29" s="49">
        <f>SUM(AA30:AA35)</f>
        <v/>
      </c>
      <c r="AB29" s="3" t="n"/>
      <c r="AC29" s="1078">
        <f>AA29/AA13</f>
        <v/>
      </c>
      <c r="AD29" s="49">
        <f>SUM(AD30:AD35)</f>
        <v/>
      </c>
      <c r="AE29" s="3" t="n"/>
      <c r="AF29" s="1078">
        <f>AD29/AD13</f>
        <v/>
      </c>
      <c r="AG29" s="49">
        <f>SUM(AG30:AG35)</f>
        <v/>
      </c>
      <c r="AH29" s="3" t="n"/>
      <c r="AI29" s="1078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79">
        <f>AM29/AM13</f>
        <v/>
      </c>
    </row>
    <row r="30" hidden="1" outlineLevel="1" ht="15" customHeight="1" s="1016">
      <c r="B30" s="262" t="n"/>
      <c r="C30" s="1086" t="n"/>
      <c r="D30" s="79" t="n"/>
      <c r="E30" s="1080" t="n"/>
      <c r="F30" s="1086" t="n"/>
      <c r="G30" s="79" t="n"/>
      <c r="H30" s="1080" t="n"/>
      <c r="I30" s="1086" t="n"/>
      <c r="J30" s="79" t="n"/>
      <c r="K30" s="1080" t="n"/>
      <c r="L30" s="1086" t="n"/>
      <c r="M30" s="79" t="n"/>
      <c r="N30" s="1080" t="n"/>
      <c r="O30" s="1086" t="n"/>
      <c r="P30" s="79" t="n"/>
      <c r="Q30" s="1080" t="n"/>
      <c r="R30" s="1086" t="n"/>
      <c r="S30" s="79" t="n"/>
      <c r="T30" s="1080" t="n"/>
      <c r="U30" s="1086" t="n"/>
      <c r="V30" s="79" t="n"/>
      <c r="W30" s="1080" t="n"/>
      <c r="X30" s="1086" t="n"/>
      <c r="Y30" s="79" t="n"/>
      <c r="Z30" s="1080" t="n"/>
      <c r="AA30" s="1086" t="n"/>
      <c r="AB30" s="79" t="n"/>
      <c r="AC30" s="1080" t="n"/>
      <c r="AD30" s="1086" t="n"/>
      <c r="AE30" s="79" t="n"/>
      <c r="AF30" s="1080" t="n"/>
      <c r="AG30" s="1086" t="n"/>
      <c r="AH30" s="79" t="n"/>
      <c r="AI30" s="1080" t="n"/>
      <c r="AJ30" s="1086" t="n"/>
      <c r="AK30" s="79" t="n"/>
      <c r="AL30" s="80" t="n"/>
      <c r="AM30" s="212">
        <f>C30+F30+I30+L30+O30+R30+U30+X30+AA30+AD30+AG30+AJ30</f>
        <v/>
      </c>
      <c r="AN30" s="79" t="n"/>
      <c r="AO30" s="1081" t="n"/>
    </row>
    <row r="31" hidden="1" outlineLevel="1" ht="15" customHeight="1" s="1016">
      <c r="B31" s="105" t="n"/>
      <c r="C31" s="1087" t="n"/>
      <c r="D31" s="43" t="n"/>
      <c r="E31" s="1070" t="n"/>
      <c r="F31" s="1087" t="n"/>
      <c r="G31" s="43" t="n"/>
      <c r="H31" s="1070" t="n"/>
      <c r="I31" s="1087" t="n"/>
      <c r="J31" s="43" t="n"/>
      <c r="K31" s="1070" t="n"/>
      <c r="L31" s="1087" t="n"/>
      <c r="M31" s="43" t="n"/>
      <c r="N31" s="1070" t="n"/>
      <c r="O31" s="1087" t="n"/>
      <c r="P31" s="43" t="n"/>
      <c r="Q31" s="1070" t="n"/>
      <c r="R31" s="1087" t="n"/>
      <c r="S31" s="43" t="n"/>
      <c r="T31" s="1070" t="n"/>
      <c r="U31" s="1087" t="n"/>
      <c r="V31" s="43" t="n"/>
      <c r="W31" s="1070" t="n"/>
      <c r="X31" s="1087" t="n"/>
      <c r="Y31" s="43" t="n"/>
      <c r="Z31" s="1070" t="n"/>
      <c r="AA31" s="1087" t="n"/>
      <c r="AB31" s="43" t="n"/>
      <c r="AC31" s="1070" t="n"/>
      <c r="AD31" s="1087" t="n"/>
      <c r="AE31" s="43" t="n"/>
      <c r="AF31" s="1070" t="n"/>
      <c r="AG31" s="1087" t="n"/>
      <c r="AH31" s="43" t="n"/>
      <c r="AI31" s="1070" t="n"/>
      <c r="AJ31" s="1087" t="n"/>
      <c r="AK31" s="43" t="n"/>
      <c r="AL31" s="57" t="n"/>
      <c r="AM31" s="205">
        <f>C31+F31+I31+L31+O31+R31+U31+X31+AA31+AD31+AG31+AJ31</f>
        <v/>
      </c>
      <c r="AN31" s="43" t="n"/>
      <c r="AO31" s="1071" t="n"/>
    </row>
    <row r="32" hidden="1" outlineLevel="1" ht="15" customHeight="1" s="1016">
      <c r="B32" s="105" t="n"/>
      <c r="C32" s="1087" t="n"/>
      <c r="D32" s="43" t="n"/>
      <c r="E32" s="1070" t="n"/>
      <c r="F32" s="1087" t="n"/>
      <c r="G32" s="43" t="n"/>
      <c r="H32" s="1070" t="n"/>
      <c r="I32" s="1087" t="n"/>
      <c r="J32" s="43" t="n"/>
      <c r="K32" s="1070" t="n"/>
      <c r="L32" s="1087" t="n"/>
      <c r="M32" s="43" t="n"/>
      <c r="N32" s="1070" t="n"/>
      <c r="O32" s="1087" t="n"/>
      <c r="P32" s="43" t="n"/>
      <c r="Q32" s="1070" t="n"/>
      <c r="R32" s="1087" t="n"/>
      <c r="S32" s="43" t="n"/>
      <c r="T32" s="1070" t="n"/>
      <c r="U32" s="1087" t="n"/>
      <c r="V32" s="43" t="n"/>
      <c r="W32" s="1070" t="n"/>
      <c r="X32" s="1087" t="n"/>
      <c r="Y32" s="43" t="n"/>
      <c r="Z32" s="1070" t="n"/>
      <c r="AA32" s="1087" t="n"/>
      <c r="AB32" s="43" t="n"/>
      <c r="AC32" s="1070" t="n"/>
      <c r="AD32" s="1087" t="n"/>
      <c r="AE32" s="43" t="n"/>
      <c r="AF32" s="1070" t="n"/>
      <c r="AG32" s="1087" t="n"/>
      <c r="AH32" s="43" t="n"/>
      <c r="AI32" s="1070" t="n"/>
      <c r="AJ32" s="1087" t="n"/>
      <c r="AK32" s="43" t="n"/>
      <c r="AL32" s="57" t="n"/>
      <c r="AM32" s="205">
        <f>C32+F32+I32+L32+O32+R32+U32+X32+AA32+AD32+AG32+AJ32</f>
        <v/>
      </c>
      <c r="AN32" s="43" t="n"/>
      <c r="AO32" s="1071" t="n"/>
    </row>
    <row r="33" hidden="1" outlineLevel="1" ht="15" customHeight="1" s="1016">
      <c r="B33" s="105" t="n"/>
      <c r="C33" s="205" t="n"/>
      <c r="D33" s="43" t="n"/>
      <c r="E33" s="1070" t="n"/>
      <c r="F33" s="25" t="n"/>
      <c r="G33" s="43" t="n"/>
      <c r="H33" s="1070" t="n"/>
      <c r="I33" s="25" t="n"/>
      <c r="J33" s="43" t="n"/>
      <c r="K33" s="1070" t="n"/>
      <c r="L33" s="25" t="n"/>
      <c r="M33" s="43" t="n"/>
      <c r="N33" s="1070" t="n"/>
      <c r="O33" s="25" t="n"/>
      <c r="P33" s="43" t="n"/>
      <c r="Q33" s="1070" t="n"/>
      <c r="R33" s="25" t="n"/>
      <c r="S33" s="43" t="n"/>
      <c r="T33" s="1070" t="n"/>
      <c r="U33" s="25" t="n"/>
      <c r="V33" s="43" t="n"/>
      <c r="W33" s="1070" t="n"/>
      <c r="X33" s="25" t="n"/>
      <c r="Y33" s="43" t="n"/>
      <c r="Z33" s="1070" t="n"/>
      <c r="AA33" s="25" t="n"/>
      <c r="AB33" s="43" t="n"/>
      <c r="AC33" s="1070" t="n"/>
      <c r="AD33" s="25" t="n"/>
      <c r="AE33" s="43" t="n"/>
      <c r="AF33" s="1070" t="n"/>
      <c r="AG33" s="25" t="n"/>
      <c r="AH33" s="43" t="n"/>
      <c r="AI33" s="1070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71" t="n"/>
    </row>
    <row r="34" hidden="1" outlineLevel="1" ht="15" customHeight="1" s="1016">
      <c r="B34" s="105" t="n"/>
      <c r="C34" s="25" t="n"/>
      <c r="D34" s="43" t="n"/>
      <c r="E34" s="1070" t="n"/>
      <c r="F34" s="25" t="n"/>
      <c r="G34" s="43" t="n"/>
      <c r="H34" s="1070" t="n"/>
      <c r="I34" s="25" t="n"/>
      <c r="J34" s="43" t="n"/>
      <c r="K34" s="1070" t="n"/>
      <c r="L34" s="25" t="n"/>
      <c r="M34" s="43" t="n"/>
      <c r="N34" s="1070" t="n"/>
      <c r="O34" s="25" t="n"/>
      <c r="P34" s="43" t="n"/>
      <c r="Q34" s="1070" t="n"/>
      <c r="R34" s="25" t="n"/>
      <c r="S34" s="43" t="n"/>
      <c r="T34" s="1070" t="n"/>
      <c r="U34" s="25" t="n"/>
      <c r="V34" s="43" t="n"/>
      <c r="W34" s="1070" t="n"/>
      <c r="X34" s="25" t="n"/>
      <c r="Y34" s="43" t="n"/>
      <c r="Z34" s="1070" t="n"/>
      <c r="AA34" s="25" t="n"/>
      <c r="AB34" s="43" t="n"/>
      <c r="AC34" s="1070" t="n"/>
      <c r="AD34" s="25" t="n"/>
      <c r="AE34" s="43" t="n"/>
      <c r="AF34" s="1070" t="n"/>
      <c r="AG34" s="25" t="n"/>
      <c r="AH34" s="43" t="n"/>
      <c r="AI34" s="1070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71" t="n"/>
    </row>
    <row r="35" hidden="1" outlineLevel="1" ht="15" customHeight="1" s="1016">
      <c r="B35" s="335" t="n"/>
      <c r="C35" s="91" t="n"/>
      <c r="D35" s="92" t="n"/>
      <c r="E35" s="1088" t="n"/>
      <c r="F35" s="91" t="n"/>
      <c r="G35" s="92" t="n"/>
      <c r="H35" s="1088" t="n"/>
      <c r="I35" s="91" t="n"/>
      <c r="J35" s="92" t="n"/>
      <c r="K35" s="1088" t="n"/>
      <c r="L35" s="91" t="n"/>
      <c r="M35" s="92" t="n"/>
      <c r="N35" s="1088" t="n"/>
      <c r="O35" s="91" t="n"/>
      <c r="P35" s="92" t="n"/>
      <c r="Q35" s="1088" t="n"/>
      <c r="R35" s="91" t="n"/>
      <c r="S35" s="92" t="n"/>
      <c r="T35" s="1088" t="n"/>
      <c r="U35" s="91" t="n"/>
      <c r="V35" s="92" t="n"/>
      <c r="W35" s="1088" t="n"/>
      <c r="X35" s="91" t="n"/>
      <c r="Y35" s="92" t="n"/>
      <c r="Z35" s="1088" t="n"/>
      <c r="AA35" s="91" t="n"/>
      <c r="AB35" s="92" t="n"/>
      <c r="AC35" s="1088" t="n"/>
      <c r="AD35" s="91" t="n"/>
      <c r="AE35" s="92" t="n"/>
      <c r="AF35" s="1088" t="n"/>
      <c r="AG35" s="91" t="n"/>
      <c r="AH35" s="92" t="n"/>
      <c r="AI35" s="1088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89" t="n"/>
    </row>
    <row r="36" hidden="1" outlineLevel="1" ht="15" customHeight="1" s="1016">
      <c r="B36" s="105" t="n"/>
      <c r="C36" s="25" t="n"/>
      <c r="D36" s="43" t="n"/>
      <c r="E36" s="1070" t="n"/>
      <c r="F36" s="25" t="n"/>
      <c r="G36" s="43" t="n"/>
      <c r="H36" s="1070" t="n"/>
      <c r="I36" s="25" t="n"/>
      <c r="J36" s="43" t="n"/>
      <c r="K36" s="1070" t="n"/>
      <c r="L36" s="25" t="n"/>
      <c r="M36" s="43" t="n"/>
      <c r="N36" s="1070" t="n"/>
      <c r="O36" s="25" t="n"/>
      <c r="P36" s="43" t="n"/>
      <c r="Q36" s="1070" t="n"/>
      <c r="R36" s="25" t="n"/>
      <c r="S36" s="43" t="n"/>
      <c r="T36" s="1070" t="n"/>
      <c r="U36" s="25" t="n"/>
      <c r="V36" s="43" t="n"/>
      <c r="W36" s="1070" t="n"/>
      <c r="X36" s="25" t="n"/>
      <c r="Y36" s="43" t="n"/>
      <c r="Z36" s="1070" t="n"/>
      <c r="AA36" s="25" t="n"/>
      <c r="AB36" s="43" t="n"/>
      <c r="AC36" s="1070" t="n"/>
      <c r="AD36" s="25" t="n"/>
      <c r="AE36" s="43" t="n"/>
      <c r="AF36" s="1070" t="n"/>
      <c r="AG36" s="25" t="n"/>
      <c r="AH36" s="43" t="n"/>
      <c r="AI36" s="1070" t="n"/>
      <c r="AJ36" s="25" t="n"/>
      <c r="AK36" s="43" t="n"/>
      <c r="AL36" s="57" t="n"/>
      <c r="AM36" s="205" t="n"/>
      <c r="AN36" s="43" t="n"/>
      <c r="AO36" s="1071" t="n"/>
    </row>
    <row r="37" hidden="1" outlineLevel="1" ht="15" customHeight="1" s="1016">
      <c r="B37" s="30" t="n"/>
      <c r="C37" s="22" t="n"/>
      <c r="D37" s="42" t="n"/>
      <c r="E37" s="1082" t="n"/>
      <c r="F37" s="22" t="n"/>
      <c r="G37" s="42" t="n"/>
      <c r="H37" s="1082" t="n"/>
      <c r="I37" s="22" t="n"/>
      <c r="J37" s="42" t="n"/>
      <c r="K37" s="1082" t="n"/>
      <c r="L37" s="22" t="n"/>
      <c r="M37" s="42" t="n"/>
      <c r="N37" s="1082" t="n"/>
      <c r="O37" s="22" t="n"/>
      <c r="P37" s="42" t="n"/>
      <c r="Q37" s="1082" t="n"/>
      <c r="R37" s="22" t="n"/>
      <c r="S37" s="42" t="n"/>
      <c r="T37" s="1082" t="n"/>
      <c r="U37" s="22" t="n"/>
      <c r="V37" s="42" t="n"/>
      <c r="W37" s="1082" t="n"/>
      <c r="X37" s="22" t="n"/>
      <c r="Y37" s="42" t="n"/>
      <c r="Z37" s="1082" t="n"/>
      <c r="AA37" s="22" t="n"/>
      <c r="AB37" s="42" t="n"/>
      <c r="AC37" s="1082" t="n"/>
      <c r="AD37" s="22" t="n"/>
      <c r="AE37" s="42" t="n"/>
      <c r="AF37" s="1082" t="n"/>
      <c r="AG37" s="22" t="n"/>
      <c r="AH37" s="42" t="n"/>
      <c r="AI37" s="1082" t="n"/>
      <c r="AJ37" s="22" t="n"/>
      <c r="AK37" s="42" t="n"/>
      <c r="AL37" s="56" t="n"/>
      <c r="AM37" s="97" t="n"/>
      <c r="AN37" s="42" t="n"/>
      <c r="AO37" s="1083" t="n"/>
    </row>
    <row r="38" hidden="1" outlineLevel="1" ht="15" customHeight="1" s="1016">
      <c r="B38" s="30" t="n"/>
      <c r="C38" s="22" t="n"/>
      <c r="D38" s="42" t="n"/>
      <c r="E38" s="1082" t="n"/>
      <c r="F38" s="22" t="n"/>
      <c r="G38" s="42" t="n"/>
      <c r="H38" s="1082" t="n"/>
      <c r="I38" s="22" t="n"/>
      <c r="J38" s="42" t="n"/>
      <c r="K38" s="1082" t="n"/>
      <c r="L38" s="22" t="n"/>
      <c r="M38" s="42" t="n"/>
      <c r="N38" s="1082" t="n"/>
      <c r="O38" s="22" t="n"/>
      <c r="P38" s="42" t="n"/>
      <c r="Q38" s="1082" t="n"/>
      <c r="R38" s="22" t="n"/>
      <c r="S38" s="42" t="n"/>
      <c r="T38" s="1082" t="n"/>
      <c r="U38" s="22" t="n"/>
      <c r="V38" s="42" t="n"/>
      <c r="W38" s="1082" t="n"/>
      <c r="X38" s="22" t="n"/>
      <c r="Y38" s="42" t="n"/>
      <c r="Z38" s="1082" t="n"/>
      <c r="AA38" s="22" t="n"/>
      <c r="AB38" s="42" t="n"/>
      <c r="AC38" s="1082" t="n"/>
      <c r="AD38" s="22" t="n"/>
      <c r="AE38" s="42" t="n"/>
      <c r="AF38" s="1082" t="n"/>
      <c r="AG38" s="22" t="n"/>
      <c r="AH38" s="42" t="n"/>
      <c r="AI38" s="1082" t="n"/>
      <c r="AJ38" s="22" t="n"/>
      <c r="AK38" s="42" t="n"/>
      <c r="AL38" s="56" t="n"/>
      <c r="AM38" s="97" t="n"/>
      <c r="AN38" s="42" t="n"/>
      <c r="AO38" s="1083" t="n"/>
    </row>
    <row r="39" hidden="1" outlineLevel="1" ht="15" customHeight="1" s="1016">
      <c r="B39" s="30" t="n"/>
      <c r="C39" s="22" t="n"/>
      <c r="D39" s="42" t="n"/>
      <c r="E39" s="1082" t="n"/>
      <c r="F39" s="22" t="n"/>
      <c r="G39" s="42" t="n"/>
      <c r="H39" s="1082" t="n"/>
      <c r="I39" s="22" t="n"/>
      <c r="J39" s="42" t="n"/>
      <c r="K39" s="1082" t="n"/>
      <c r="L39" s="22" t="n"/>
      <c r="M39" s="42" t="n"/>
      <c r="N39" s="1082" t="n"/>
      <c r="O39" s="22" t="n"/>
      <c r="P39" s="42" t="n"/>
      <c r="Q39" s="1082" t="n"/>
      <c r="R39" s="22" t="n"/>
      <c r="S39" s="42" t="n"/>
      <c r="T39" s="1082" t="n"/>
      <c r="U39" s="22" t="n"/>
      <c r="V39" s="42" t="n"/>
      <c r="W39" s="1082" t="n"/>
      <c r="X39" s="22" t="n"/>
      <c r="Y39" s="42" t="n"/>
      <c r="Z39" s="1082" t="n"/>
      <c r="AA39" s="22" t="n"/>
      <c r="AB39" s="42" t="n"/>
      <c r="AC39" s="1082" t="n"/>
      <c r="AD39" s="22" t="n"/>
      <c r="AE39" s="42" t="n"/>
      <c r="AF39" s="1082" t="n"/>
      <c r="AG39" s="22" t="n"/>
      <c r="AH39" s="42" t="n"/>
      <c r="AI39" s="1082" t="n"/>
      <c r="AJ39" s="22" t="n"/>
      <c r="AK39" s="42" t="n"/>
      <c r="AL39" s="56" t="n"/>
      <c r="AM39" s="97" t="n"/>
      <c r="AN39" s="42" t="n"/>
      <c r="AO39" s="1083" t="n"/>
    </row>
    <row r="40" hidden="1" outlineLevel="1" ht="15" customHeight="1" s="1016">
      <c r="B40" s="30" t="n"/>
      <c r="C40" s="22" t="n"/>
      <c r="D40" s="42" t="n"/>
      <c r="E40" s="1082" t="n"/>
      <c r="F40" s="22" t="n"/>
      <c r="G40" s="42" t="n"/>
      <c r="H40" s="1082" t="n"/>
      <c r="I40" s="22" t="n"/>
      <c r="J40" s="42" t="n"/>
      <c r="K40" s="1082" t="n"/>
      <c r="L40" s="22" t="n"/>
      <c r="M40" s="42" t="n"/>
      <c r="N40" s="1082" t="n"/>
      <c r="O40" s="22" t="n"/>
      <c r="P40" s="42" t="n"/>
      <c r="Q40" s="1082" t="n"/>
      <c r="R40" s="22" t="n"/>
      <c r="S40" s="42" t="n"/>
      <c r="T40" s="1082" t="n"/>
      <c r="U40" s="22" t="n"/>
      <c r="V40" s="42" t="n"/>
      <c r="W40" s="1082" t="n"/>
      <c r="X40" s="22" t="n"/>
      <c r="Y40" s="42" t="n"/>
      <c r="Z40" s="1082" t="n"/>
      <c r="AA40" s="22" t="n"/>
      <c r="AB40" s="42" t="n"/>
      <c r="AC40" s="1082" t="n"/>
      <c r="AD40" s="22" t="n"/>
      <c r="AE40" s="42" t="n"/>
      <c r="AF40" s="1082" t="n"/>
      <c r="AG40" s="22" t="n"/>
      <c r="AH40" s="42" t="n"/>
      <c r="AI40" s="1082" t="n"/>
      <c r="AJ40" s="22" t="n"/>
      <c r="AK40" s="42" t="n"/>
      <c r="AL40" s="56" t="n"/>
      <c r="AM40" s="97" t="n"/>
      <c r="AN40" s="42" t="n"/>
      <c r="AO40" s="1083" t="n"/>
    </row>
    <row r="41" hidden="1" outlineLevel="1" ht="15" customHeight="1" s="1016">
      <c r="B41" s="30" t="n"/>
      <c r="C41" s="22" t="n"/>
      <c r="D41" s="42" t="n"/>
      <c r="E41" s="1082" t="n"/>
      <c r="F41" s="22" t="n"/>
      <c r="G41" s="42" t="n"/>
      <c r="H41" s="1082" t="n"/>
      <c r="I41" s="22" t="n"/>
      <c r="J41" s="42" t="n"/>
      <c r="K41" s="1082" t="n"/>
      <c r="L41" s="22" t="n"/>
      <c r="M41" s="42" t="n"/>
      <c r="N41" s="1082" t="n"/>
      <c r="O41" s="22" t="n"/>
      <c r="P41" s="42" t="n"/>
      <c r="Q41" s="1082" t="n"/>
      <c r="R41" s="22" t="n"/>
      <c r="S41" s="42" t="n"/>
      <c r="T41" s="1082" t="n"/>
      <c r="U41" s="22" t="n"/>
      <c r="V41" s="42" t="n"/>
      <c r="W41" s="1082" t="n"/>
      <c r="X41" s="22" t="n"/>
      <c r="Y41" s="42" t="n"/>
      <c r="Z41" s="1082" t="n"/>
      <c r="AA41" s="22" t="n"/>
      <c r="AB41" s="42" t="n"/>
      <c r="AC41" s="1082" t="n"/>
      <c r="AD41" s="22" t="n"/>
      <c r="AE41" s="42" t="n"/>
      <c r="AF41" s="1082" t="n"/>
      <c r="AG41" s="22" t="n"/>
      <c r="AH41" s="42" t="n"/>
      <c r="AI41" s="1082" t="n"/>
      <c r="AJ41" s="22" t="n"/>
      <c r="AK41" s="42" t="n"/>
      <c r="AL41" s="56" t="n"/>
      <c r="AM41" s="97" t="n"/>
      <c r="AN41" s="42" t="n"/>
      <c r="AO41" s="1083" t="n"/>
    </row>
    <row r="42" hidden="1" collapsed="1" ht="15" customHeight="1" s="1016" thickBot="1">
      <c r="B42" s="20" t="inlineStr">
        <is>
          <t>TOTAL INGRESOS NETOS</t>
        </is>
      </c>
      <c r="C42" s="54">
        <f>+C14+C23-C28</f>
        <v/>
      </c>
      <c r="D42" s="55" t="n"/>
      <c r="E42" s="1270" t="n"/>
      <c r="F42" s="54">
        <f>+F14+F23-F28</f>
        <v/>
      </c>
      <c r="G42" s="55" t="n"/>
      <c r="H42" s="1270" t="n"/>
      <c r="I42" s="54">
        <f>+I14+I23-I28</f>
        <v/>
      </c>
      <c r="J42" s="55" t="n"/>
      <c r="K42" s="1270" t="n"/>
      <c r="L42" s="54">
        <f>+L14+L23-L28</f>
        <v/>
      </c>
      <c r="M42" s="55" t="n"/>
      <c r="N42" s="1270" t="n"/>
      <c r="O42" s="54">
        <f>+O14+O23-O28</f>
        <v/>
      </c>
      <c r="P42" s="55" t="n"/>
      <c r="Q42" s="1270" t="n"/>
      <c r="R42" s="54">
        <f>+R14+R23-R28</f>
        <v/>
      </c>
      <c r="S42" s="55" t="n"/>
      <c r="T42" s="1270" t="n"/>
      <c r="U42" s="54">
        <f>+U14+U23-U28</f>
        <v/>
      </c>
      <c r="V42" s="55" t="n"/>
      <c r="W42" s="1270" t="n"/>
      <c r="X42" s="54">
        <f>+X14+X23-X28</f>
        <v/>
      </c>
      <c r="Y42" s="55" t="n"/>
      <c r="Z42" s="1270" t="n"/>
      <c r="AA42" s="54">
        <f>+AA14+AA23-AA28</f>
        <v/>
      </c>
      <c r="AB42" s="55" t="n"/>
      <c r="AC42" s="1270" t="n"/>
      <c r="AD42" s="54">
        <f>+AD14+AD23-AD28</f>
        <v/>
      </c>
      <c r="AE42" s="55" t="n"/>
      <c r="AF42" s="1270" t="n"/>
      <c r="AG42" s="54">
        <f>+AG14+AG23-AG28</f>
        <v/>
      </c>
      <c r="AH42" s="55" t="n"/>
      <c r="AI42" s="1270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271" t="n"/>
    </row>
    <row r="43" ht="15" customHeight="1" s="1016" thickBot="1" thickTop="1">
      <c r="C43" s="2" t="n"/>
      <c r="D43" s="2" t="n"/>
      <c r="E43" s="1092" t="n"/>
      <c r="F43" s="2" t="n"/>
      <c r="G43" s="2" t="n"/>
      <c r="H43" s="1092" t="n"/>
      <c r="I43" s="2" t="n"/>
      <c r="J43" s="2" t="n"/>
      <c r="K43" s="1092" t="n"/>
      <c r="L43" s="2" t="n"/>
      <c r="M43" s="2" t="n"/>
      <c r="N43" s="1092" t="n"/>
      <c r="O43" s="2" t="n"/>
      <c r="P43" s="2" t="n"/>
      <c r="Q43" s="1092" t="n"/>
      <c r="R43" s="2" t="n"/>
      <c r="S43" s="2" t="n"/>
      <c r="T43" s="1092" t="n"/>
      <c r="U43" s="2" t="n"/>
      <c r="V43" s="2" t="n"/>
      <c r="W43" s="1092" t="n"/>
      <c r="X43" s="2" t="n"/>
      <c r="Y43" s="2" t="n"/>
      <c r="Z43" s="1093" t="n"/>
      <c r="AA43" s="2" t="n"/>
      <c r="AB43" s="2" t="n"/>
      <c r="AC43" s="1093" t="n"/>
      <c r="AD43" s="2" t="n"/>
      <c r="AE43" s="2" t="n"/>
      <c r="AF43" s="1093" t="n"/>
      <c r="AG43" s="2" t="n"/>
      <c r="AH43" s="2" t="n"/>
      <c r="AI43" s="1092" t="n"/>
      <c r="AJ43" s="2" t="n"/>
      <c r="AK43" s="2" t="n"/>
      <c r="AL43" s="2" t="n"/>
      <c r="AM43" s="136" t="n"/>
      <c r="AN43" s="2" t="n"/>
      <c r="AO43" s="1092" t="n"/>
    </row>
    <row r="44" ht="15" customHeight="1" s="1016" thickTop="1">
      <c r="B44" s="526" t="inlineStr">
        <is>
          <t>COSTOS DIRECTOS</t>
        </is>
      </c>
      <c r="C44" s="490">
        <f>+C45+C60+C78</f>
        <v/>
      </c>
      <c r="D44" s="491" t="n"/>
      <c r="E44" s="1094" t="n"/>
      <c r="F44" s="490">
        <f>+F45+F60+F78</f>
        <v/>
      </c>
      <c r="G44" s="491" t="n"/>
      <c r="H44" s="1094" t="n"/>
      <c r="I44" s="490">
        <f>+I45+I60+I78</f>
        <v/>
      </c>
      <c r="J44" s="491" t="n"/>
      <c r="K44" s="1094" t="n"/>
      <c r="L44" s="490">
        <f>+L45+L60+L78</f>
        <v/>
      </c>
      <c r="M44" s="491" t="n"/>
      <c r="N44" s="1094" t="n"/>
      <c r="O44" s="490">
        <f>+O45+O60+O78</f>
        <v/>
      </c>
      <c r="P44" s="491" t="n"/>
      <c r="Q44" s="1094" t="n"/>
      <c r="R44" s="490">
        <f>+R45+R60+R78</f>
        <v/>
      </c>
      <c r="S44" s="491" t="n"/>
      <c r="T44" s="1094" t="n"/>
      <c r="U44" s="490">
        <f>+U45+U60+U78</f>
        <v/>
      </c>
      <c r="V44" s="491" t="n"/>
      <c r="W44" s="1094" t="n"/>
      <c r="X44" s="490">
        <f>+X45+X60+X78</f>
        <v/>
      </c>
      <c r="Y44" s="491" t="n"/>
      <c r="Z44" s="1094" t="n"/>
      <c r="AA44" s="490">
        <f>+AA45+AA60+AA78</f>
        <v/>
      </c>
      <c r="AB44" s="491" t="n"/>
      <c r="AC44" s="1094" t="n"/>
      <c r="AD44" s="490">
        <f>+AD45+AD60+AD78</f>
        <v/>
      </c>
      <c r="AE44" s="491" t="n"/>
      <c r="AF44" s="1094" t="n"/>
      <c r="AG44" s="440">
        <f>+AG45+AG60+AG78</f>
        <v/>
      </c>
      <c r="AH44" s="441" t="n"/>
      <c r="AI44" s="1128" t="n"/>
      <c r="AJ44" s="440">
        <f>+AJ45+AJ60+AJ78</f>
        <v/>
      </c>
      <c r="AK44" s="441" t="n"/>
      <c r="AL44" s="1272">
        <f>AJ44/AJ$13</f>
        <v/>
      </c>
      <c r="AM44" s="581">
        <f>C44+F44+I44+L44+O44+R44+U44+X44+AA44+AD44+AG44+AJ44</f>
        <v/>
      </c>
      <c r="AN44" s="491" t="n"/>
      <c r="AO44" s="1095" t="n"/>
    </row>
    <row r="45" hidden="1" ht="15" customHeight="1" s="1016">
      <c r="B45" s="16" t="inlineStr">
        <is>
          <t>COSTOS INDUSTRIALIZADOS</t>
        </is>
      </c>
      <c r="C45" s="49">
        <f>+C46+C58+C59</f>
        <v/>
      </c>
      <c r="D45" s="3" t="n"/>
      <c r="E45" s="1078" t="n"/>
      <c r="F45" s="49">
        <f>+F46+F58+F59</f>
        <v/>
      </c>
      <c r="G45" s="3" t="n"/>
      <c r="H45" s="1078" t="n"/>
      <c r="I45" s="49">
        <f>+I46+I58+I59</f>
        <v/>
      </c>
      <c r="J45" s="3" t="n"/>
      <c r="K45" s="1078" t="n"/>
      <c r="L45" s="49">
        <f>+L46+L58+L59</f>
        <v/>
      </c>
      <c r="M45" s="3" t="n"/>
      <c r="N45" s="1078" t="n"/>
      <c r="O45" s="49">
        <f>+O46+O58+O59</f>
        <v/>
      </c>
      <c r="P45" s="3" t="n"/>
      <c r="Q45" s="1078" t="n"/>
      <c r="R45" s="49">
        <f>+R46+R58+R59</f>
        <v/>
      </c>
      <c r="S45" s="3" t="n"/>
      <c r="T45" s="1078" t="n"/>
      <c r="U45" s="49">
        <f>+U46+U58+U59</f>
        <v/>
      </c>
      <c r="V45" s="3" t="n"/>
      <c r="W45" s="1078" t="n"/>
      <c r="X45" s="49">
        <f>+X46+X58+X59</f>
        <v/>
      </c>
      <c r="Y45" s="3" t="n"/>
      <c r="Z45" s="1078" t="n"/>
      <c r="AA45" s="49">
        <f>+AA46+AA58+AA59</f>
        <v/>
      </c>
      <c r="AB45" s="3" t="n"/>
      <c r="AC45" s="1078" t="n"/>
      <c r="AD45" s="49">
        <f>+AD46+AD58+AD59</f>
        <v/>
      </c>
      <c r="AE45" s="3" t="n"/>
      <c r="AF45" s="1078" t="n"/>
      <c r="AG45" s="49">
        <f>+AG46+AG58+AG59</f>
        <v/>
      </c>
      <c r="AH45" s="3" t="n"/>
      <c r="AI45" s="1078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079" t="n"/>
    </row>
    <row r="46" hidden="1" ht="15" customHeight="1" s="1016">
      <c r="B46" s="36" t="inlineStr">
        <is>
          <t>INSUMOS</t>
        </is>
      </c>
      <c r="C46" s="37">
        <f>SUM(C47:C56)+C57</f>
        <v/>
      </c>
      <c r="D46" s="67" t="n"/>
      <c r="E46" s="1096" t="n"/>
      <c r="F46" s="37">
        <f>SUM(F47:F56)+F57</f>
        <v/>
      </c>
      <c r="G46" s="67" t="n"/>
      <c r="H46" s="1096" t="n"/>
      <c r="I46" s="37">
        <f>SUM(I47:I56)+I57</f>
        <v/>
      </c>
      <c r="J46" s="67" t="n"/>
      <c r="K46" s="1096" t="n"/>
      <c r="L46" s="37">
        <f>SUM(L47:L56)+L57</f>
        <v/>
      </c>
      <c r="M46" s="67" t="n"/>
      <c r="N46" s="1096" t="n"/>
      <c r="O46" s="37">
        <f>SUM(O47:O56)+O57</f>
        <v/>
      </c>
      <c r="P46" s="67" t="n"/>
      <c r="Q46" s="1096" t="n"/>
      <c r="R46" s="37">
        <f>SUM(R47:R56)+R57</f>
        <v/>
      </c>
      <c r="S46" s="67" t="n"/>
      <c r="T46" s="1096" t="n"/>
      <c r="U46" s="37">
        <f>SUM(U47:U56)+U57</f>
        <v/>
      </c>
      <c r="V46" s="67" t="n"/>
      <c r="W46" s="1096" t="n"/>
      <c r="X46" s="37">
        <f>SUM(X47:X56)+X57</f>
        <v/>
      </c>
      <c r="Y46" s="67" t="n"/>
      <c r="Z46" s="1096" t="n"/>
      <c r="AA46" s="37">
        <f>SUM(AA47:AA56)+AA57</f>
        <v/>
      </c>
      <c r="AB46" s="67" t="n"/>
      <c r="AC46" s="1096" t="n"/>
      <c r="AD46" s="37">
        <f>SUM(AD47:AD56)+AD57</f>
        <v/>
      </c>
      <c r="AE46" s="67" t="n"/>
      <c r="AF46" s="1096" t="n"/>
      <c r="AG46" s="37">
        <f>SUM(AG47:AG56)+AG57</f>
        <v/>
      </c>
      <c r="AH46" s="67" t="n"/>
      <c r="AI46" s="1096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097" t="n"/>
    </row>
    <row r="47" hidden="1" ht="15" customHeight="1" s="1016">
      <c r="B47" s="97" t="n"/>
      <c r="C47" s="76" t="n"/>
      <c r="D47" s="42" t="n"/>
      <c r="E47" s="1082" t="n"/>
      <c r="F47" s="76" t="n"/>
      <c r="G47" s="42" t="n"/>
      <c r="H47" s="1082" t="n"/>
      <c r="I47" s="76" t="n"/>
      <c r="J47" s="42" t="n"/>
      <c r="K47" s="1082" t="n"/>
      <c r="L47" s="76" t="n"/>
      <c r="M47" s="42" t="n"/>
      <c r="N47" s="1082" t="n"/>
      <c r="O47" s="76" t="n"/>
      <c r="P47" s="42" t="n"/>
      <c r="Q47" s="1082" t="n"/>
      <c r="R47" s="76" t="n"/>
      <c r="S47" s="42" t="n"/>
      <c r="T47" s="1082" t="n"/>
      <c r="U47" s="76" t="n"/>
      <c r="V47" s="42" t="n"/>
      <c r="W47" s="1082" t="n"/>
      <c r="X47" s="76" t="n"/>
      <c r="Y47" s="42" t="n"/>
      <c r="Z47" s="1082" t="n"/>
      <c r="AA47" s="76" t="n"/>
      <c r="AB47" s="42" t="n"/>
      <c r="AC47" s="1082" t="n"/>
      <c r="AD47" s="76" t="n"/>
      <c r="AE47" s="42" t="n"/>
      <c r="AF47" s="1082" t="n"/>
      <c r="AG47" s="76" t="n"/>
      <c r="AH47" s="42" t="n"/>
      <c r="AI47" s="1082" t="n"/>
      <c r="AJ47" s="76" t="n"/>
      <c r="AK47" s="42" t="n"/>
      <c r="AL47" s="1082" t="n"/>
      <c r="AM47" s="97" t="n"/>
      <c r="AN47" s="42">
        <f>AM47/AM5</f>
        <v/>
      </c>
      <c r="AO47" s="1083" t="n"/>
    </row>
    <row r="48" hidden="1" ht="15" customHeight="1" s="1016">
      <c r="B48" s="25" t="n"/>
      <c r="C48" s="25" t="n"/>
      <c r="D48" s="43" t="n"/>
      <c r="E48" s="1070" t="n"/>
      <c r="F48" s="25" t="n"/>
      <c r="G48" s="43" t="n"/>
      <c r="H48" s="1070" t="n"/>
      <c r="I48" s="75" t="n"/>
      <c r="J48" s="43" t="n"/>
      <c r="K48" s="1070" t="n"/>
      <c r="L48" s="75" t="n"/>
      <c r="M48" s="43" t="n"/>
      <c r="N48" s="1070" t="n"/>
      <c r="O48" s="75" t="n"/>
      <c r="P48" s="43" t="n"/>
      <c r="Q48" s="1070" t="n"/>
      <c r="R48" s="75" t="n"/>
      <c r="S48" s="43" t="n"/>
      <c r="T48" s="1070" t="n"/>
      <c r="U48" s="75" t="n"/>
      <c r="V48" s="43" t="n"/>
      <c r="W48" s="1070" t="n"/>
      <c r="X48" s="75" t="n"/>
      <c r="Y48" s="43" t="n"/>
      <c r="Z48" s="1070" t="n"/>
      <c r="AA48" s="75" t="n"/>
      <c r="AB48" s="43" t="n"/>
      <c r="AC48" s="1070" t="n"/>
      <c r="AD48" s="75" t="n"/>
      <c r="AE48" s="43" t="n"/>
      <c r="AF48" s="1070" t="n"/>
      <c r="AG48" s="75" t="n"/>
      <c r="AH48" s="43" t="n"/>
      <c r="AI48" s="1070" t="n"/>
      <c r="AJ48" s="75" t="n"/>
      <c r="AK48" s="43" t="n"/>
      <c r="AL48" s="57" t="n"/>
      <c r="AM48" s="205" t="n"/>
      <c r="AN48" s="43" t="n"/>
      <c r="AO48" s="1071" t="n"/>
    </row>
    <row r="49" hidden="1" ht="15" customHeight="1" s="1016">
      <c r="B49" s="25" t="n"/>
      <c r="C49" s="25" t="n"/>
      <c r="D49" s="43" t="n"/>
      <c r="E49" s="1070" t="n"/>
      <c r="F49" s="25" t="n"/>
      <c r="G49" s="43" t="n"/>
      <c r="H49" s="1070" t="n"/>
      <c r="I49" s="75" t="n"/>
      <c r="J49" s="43" t="n"/>
      <c r="K49" s="1070" t="n"/>
      <c r="L49" s="75" t="n"/>
      <c r="M49" s="43" t="n"/>
      <c r="N49" s="1070" t="n"/>
      <c r="O49" s="75" t="n"/>
      <c r="P49" s="43" t="n"/>
      <c r="Q49" s="1070" t="n"/>
      <c r="R49" s="75" t="n"/>
      <c r="S49" s="43" t="n"/>
      <c r="T49" s="1070" t="n"/>
      <c r="U49" s="75" t="n"/>
      <c r="V49" s="43" t="n"/>
      <c r="W49" s="1070" t="n"/>
      <c r="X49" s="75" t="n"/>
      <c r="Y49" s="43" t="n"/>
      <c r="Z49" s="1070" t="n"/>
      <c r="AA49" s="75" t="n"/>
      <c r="AB49" s="43" t="n"/>
      <c r="AC49" s="1070" t="n"/>
      <c r="AD49" s="75" t="n"/>
      <c r="AE49" s="43" t="n"/>
      <c r="AF49" s="1070" t="n"/>
      <c r="AG49" s="75" t="n"/>
      <c r="AH49" s="43" t="n"/>
      <c r="AI49" s="1070" t="n"/>
      <c r="AJ49" s="75" t="n"/>
      <c r="AK49" s="43" t="n"/>
      <c r="AL49" s="57" t="n"/>
      <c r="AM49" s="205" t="n"/>
      <c r="AN49" s="43" t="n"/>
      <c r="AO49" s="1071" t="n"/>
    </row>
    <row r="50" hidden="1" ht="15" customHeight="1" s="1016">
      <c r="B50" s="25" t="n"/>
      <c r="C50" s="25" t="n"/>
      <c r="D50" s="43" t="n"/>
      <c r="E50" s="1070" t="n"/>
      <c r="F50" s="25" t="n"/>
      <c r="G50" s="43" t="n"/>
      <c r="H50" s="1070" t="n"/>
      <c r="I50" s="25" t="n"/>
      <c r="J50" s="43" t="n"/>
      <c r="K50" s="1070" t="n"/>
      <c r="L50" s="25" t="n"/>
      <c r="M50" s="43" t="n"/>
      <c r="N50" s="1070" t="n"/>
      <c r="O50" s="25" t="n"/>
      <c r="P50" s="43" t="n"/>
      <c r="Q50" s="1070" t="n"/>
      <c r="R50" s="25" t="n"/>
      <c r="S50" s="43" t="n"/>
      <c r="T50" s="1070" t="n"/>
      <c r="U50" s="25" t="n"/>
      <c r="V50" s="43" t="n"/>
      <c r="W50" s="1070" t="n"/>
      <c r="X50" s="25" t="n"/>
      <c r="Y50" s="43" t="n"/>
      <c r="Z50" s="1070" t="n"/>
      <c r="AA50" s="25" t="n"/>
      <c r="AB50" s="43" t="n"/>
      <c r="AC50" s="1070" t="n"/>
      <c r="AD50" s="25" t="n"/>
      <c r="AE50" s="43" t="n"/>
      <c r="AF50" s="1070" t="n"/>
      <c r="AG50" s="25" t="n"/>
      <c r="AH50" s="43" t="n"/>
      <c r="AI50" s="1070" t="n"/>
      <c r="AJ50" s="25" t="n"/>
      <c r="AK50" s="43" t="n"/>
      <c r="AL50" s="57" t="n"/>
      <c r="AM50" s="205" t="n"/>
      <c r="AN50" s="43" t="n"/>
      <c r="AO50" s="1071" t="n"/>
    </row>
    <row r="51" hidden="1" ht="15" customHeight="1" s="1016">
      <c r="B51" s="25" t="n"/>
      <c r="C51" s="25" t="n"/>
      <c r="D51" s="43" t="n"/>
      <c r="E51" s="1070" t="n"/>
      <c r="F51" s="25" t="n"/>
      <c r="G51" s="43" t="n"/>
      <c r="H51" s="1070" t="n"/>
      <c r="I51" s="25" t="n"/>
      <c r="J51" s="43" t="n"/>
      <c r="K51" s="1070" t="n"/>
      <c r="L51" s="25" t="n"/>
      <c r="M51" s="43" t="n"/>
      <c r="N51" s="1070" t="n"/>
      <c r="O51" s="25" t="n"/>
      <c r="P51" s="43" t="n"/>
      <c r="Q51" s="1070" t="n"/>
      <c r="R51" s="25" t="n"/>
      <c r="S51" s="43" t="n"/>
      <c r="T51" s="1070" t="n"/>
      <c r="U51" s="25" t="n"/>
      <c r="V51" s="43" t="n"/>
      <c r="W51" s="1070" t="n"/>
      <c r="X51" s="25" t="n"/>
      <c r="Y51" s="43" t="n"/>
      <c r="Z51" s="1070" t="n"/>
      <c r="AA51" s="25" t="n"/>
      <c r="AB51" s="43" t="n"/>
      <c r="AC51" s="1070" t="n"/>
      <c r="AD51" s="25" t="n"/>
      <c r="AE51" s="43" t="n"/>
      <c r="AF51" s="1070" t="n"/>
      <c r="AG51" s="25" t="n"/>
      <c r="AH51" s="43" t="n"/>
      <c r="AI51" s="1070" t="n"/>
      <c r="AJ51" s="25" t="n"/>
      <c r="AK51" s="43" t="n"/>
      <c r="AL51" s="57" t="n"/>
      <c r="AM51" s="205" t="n"/>
      <c r="AN51" s="43" t="n"/>
      <c r="AO51" s="1071" t="n"/>
    </row>
    <row r="52" hidden="1" ht="15" customHeight="1" s="1016">
      <c r="B52" s="25" t="n"/>
      <c r="C52" s="25" t="n"/>
      <c r="D52" s="43" t="n"/>
      <c r="E52" s="1070" t="n"/>
      <c r="F52" s="25" t="n"/>
      <c r="G52" s="43" t="n"/>
      <c r="H52" s="1070" t="n"/>
      <c r="I52" s="25" t="n"/>
      <c r="J52" s="43" t="n"/>
      <c r="K52" s="1070" t="n"/>
      <c r="L52" s="25" t="n"/>
      <c r="M52" s="43" t="n"/>
      <c r="N52" s="1070" t="n"/>
      <c r="O52" s="25" t="n"/>
      <c r="P52" s="43" t="n"/>
      <c r="Q52" s="1070" t="n"/>
      <c r="R52" s="25" t="n"/>
      <c r="S52" s="43" t="n"/>
      <c r="T52" s="1070" t="n"/>
      <c r="U52" s="25" t="n"/>
      <c r="V52" s="43" t="n"/>
      <c r="W52" s="1070" t="n"/>
      <c r="X52" s="25" t="n"/>
      <c r="Y52" s="43" t="n"/>
      <c r="Z52" s="1070" t="n"/>
      <c r="AA52" s="25" t="n"/>
      <c r="AB52" s="43" t="n"/>
      <c r="AC52" s="1070" t="n"/>
      <c r="AD52" s="25" t="n"/>
      <c r="AE52" s="43" t="n"/>
      <c r="AF52" s="1070" t="n"/>
      <c r="AG52" s="25" t="n"/>
      <c r="AH52" s="43" t="n"/>
      <c r="AI52" s="1070" t="n"/>
      <c r="AJ52" s="25" t="n"/>
      <c r="AK52" s="43" t="n"/>
      <c r="AL52" s="57" t="n"/>
      <c r="AM52" s="205" t="n"/>
      <c r="AN52" s="43" t="n"/>
      <c r="AO52" s="1071" t="n"/>
    </row>
    <row r="53" hidden="1" ht="15" customHeight="1" s="1016">
      <c r="B53" s="25" t="n"/>
      <c r="C53" s="25" t="n"/>
      <c r="D53" s="43" t="n"/>
      <c r="E53" s="1070" t="n"/>
      <c r="F53" s="25" t="n"/>
      <c r="G53" s="43" t="n"/>
      <c r="H53" s="1070" t="n"/>
      <c r="I53" s="25" t="n"/>
      <c r="J53" s="43" t="n"/>
      <c r="K53" s="1070" t="n"/>
      <c r="L53" s="25" t="n"/>
      <c r="M53" s="43" t="n"/>
      <c r="N53" s="1070" t="n"/>
      <c r="O53" s="25" t="n"/>
      <c r="P53" s="43" t="n"/>
      <c r="Q53" s="1070" t="n"/>
      <c r="R53" s="25" t="n"/>
      <c r="S53" s="43" t="n"/>
      <c r="T53" s="1070" t="n"/>
      <c r="U53" s="25" t="n"/>
      <c r="V53" s="43" t="n"/>
      <c r="W53" s="1070" t="n"/>
      <c r="X53" s="25" t="n"/>
      <c r="Y53" s="43" t="n"/>
      <c r="Z53" s="1070" t="n"/>
      <c r="AA53" s="25" t="n"/>
      <c r="AB53" s="43" t="n"/>
      <c r="AC53" s="1070" t="n"/>
      <c r="AD53" s="25" t="n"/>
      <c r="AE53" s="43" t="n"/>
      <c r="AF53" s="1070" t="n"/>
      <c r="AG53" s="25" t="n"/>
      <c r="AH53" s="43" t="n"/>
      <c r="AI53" s="1070" t="n"/>
      <c r="AJ53" s="25" t="n"/>
      <c r="AK53" s="43" t="n"/>
      <c r="AL53" s="57" t="n"/>
      <c r="AM53" s="205" t="n"/>
      <c r="AN53" s="43" t="n"/>
      <c r="AO53" s="1071" t="n"/>
    </row>
    <row r="54" hidden="1" ht="15" customHeight="1" s="1016">
      <c r="B54" s="25" t="n"/>
      <c r="C54" s="25" t="n"/>
      <c r="D54" s="43" t="n"/>
      <c r="E54" s="1070" t="n"/>
      <c r="F54" s="25" t="n"/>
      <c r="G54" s="43" t="n"/>
      <c r="H54" s="1070" t="n"/>
      <c r="I54" s="25" t="n"/>
      <c r="J54" s="43" t="n"/>
      <c r="K54" s="1070" t="n"/>
      <c r="L54" s="25" t="n"/>
      <c r="M54" s="43" t="n"/>
      <c r="N54" s="1070" t="n"/>
      <c r="O54" s="25" t="n"/>
      <c r="P54" s="43" t="n"/>
      <c r="Q54" s="1070" t="n"/>
      <c r="R54" s="25" t="n"/>
      <c r="S54" s="43" t="n"/>
      <c r="T54" s="1070" t="n"/>
      <c r="U54" s="25" t="n"/>
      <c r="V54" s="43" t="n"/>
      <c r="W54" s="1070" t="n"/>
      <c r="X54" s="25" t="n"/>
      <c r="Y54" s="43" t="n"/>
      <c r="Z54" s="1070" t="n"/>
      <c r="AA54" s="25" t="n"/>
      <c r="AB54" s="43" t="n"/>
      <c r="AC54" s="1070" t="n"/>
      <c r="AD54" s="25" t="n"/>
      <c r="AE54" s="43" t="n"/>
      <c r="AF54" s="1070" t="n"/>
      <c r="AG54" s="25" t="n"/>
      <c r="AH54" s="43" t="n"/>
      <c r="AI54" s="1070" t="n"/>
      <c r="AJ54" s="25" t="n"/>
      <c r="AK54" s="43" t="n"/>
      <c r="AL54" s="57" t="n"/>
      <c r="AM54" s="205" t="n"/>
      <c r="AN54" s="43" t="n"/>
      <c r="AO54" s="1071" t="n"/>
    </row>
    <row r="55" hidden="1" ht="15" customHeight="1" s="1016">
      <c r="B55" s="25" t="n"/>
      <c r="C55" s="25" t="n"/>
      <c r="D55" s="43" t="n"/>
      <c r="E55" s="1070" t="n"/>
      <c r="F55" s="25" t="n"/>
      <c r="G55" s="43" t="n"/>
      <c r="H55" s="1070" t="n"/>
      <c r="I55" s="25" t="n"/>
      <c r="J55" s="43" t="n"/>
      <c r="K55" s="1070" t="n"/>
      <c r="L55" s="25" t="n"/>
      <c r="M55" s="43" t="n"/>
      <c r="N55" s="1070" t="n"/>
      <c r="O55" s="25" t="n"/>
      <c r="P55" s="43" t="n"/>
      <c r="Q55" s="1070" t="n"/>
      <c r="R55" s="25" t="n"/>
      <c r="S55" s="43" t="n"/>
      <c r="T55" s="1070" t="n"/>
      <c r="U55" s="25" t="n"/>
      <c r="V55" s="43" t="n"/>
      <c r="W55" s="1070" t="n"/>
      <c r="X55" s="25" t="n"/>
      <c r="Y55" s="43" t="n"/>
      <c r="Z55" s="1070" t="n"/>
      <c r="AA55" s="25" t="n"/>
      <c r="AB55" s="43" t="n"/>
      <c r="AC55" s="1070" t="n"/>
      <c r="AD55" s="25" t="n"/>
      <c r="AE55" s="43" t="n"/>
      <c r="AF55" s="1070" t="n"/>
      <c r="AG55" s="25" t="n"/>
      <c r="AH55" s="43" t="n"/>
      <c r="AI55" s="1070" t="n"/>
      <c r="AJ55" s="25" t="n"/>
      <c r="AK55" s="43" t="n"/>
      <c r="AL55" s="57" t="n"/>
      <c r="AM55" s="205" t="n"/>
      <c r="AN55" s="43" t="n"/>
      <c r="AO55" s="1071" t="n"/>
    </row>
    <row r="56" hidden="1" ht="15" customHeight="1" s="1016">
      <c r="B56" s="22" t="n"/>
      <c r="C56" s="22" t="n"/>
      <c r="D56" s="42" t="n"/>
      <c r="E56" s="1082" t="n"/>
      <c r="F56" s="22" t="n"/>
      <c r="G56" s="42" t="n"/>
      <c r="H56" s="1082" t="n"/>
      <c r="I56" s="22" t="n"/>
      <c r="J56" s="42" t="n"/>
      <c r="K56" s="1082" t="n"/>
      <c r="L56" s="22" t="n"/>
      <c r="M56" s="42" t="n"/>
      <c r="N56" s="1082" t="n"/>
      <c r="O56" s="22" t="n"/>
      <c r="P56" s="42" t="n"/>
      <c r="Q56" s="1082" t="n"/>
      <c r="R56" s="22" t="n"/>
      <c r="S56" s="42" t="n"/>
      <c r="T56" s="1082" t="n"/>
      <c r="U56" s="22" t="n"/>
      <c r="V56" s="42" t="n"/>
      <c r="W56" s="1082" t="n"/>
      <c r="X56" s="22" t="n"/>
      <c r="Y56" s="42" t="n"/>
      <c r="Z56" s="1082" t="n"/>
      <c r="AA56" s="22" t="n"/>
      <c r="AB56" s="42" t="n"/>
      <c r="AC56" s="1082" t="n"/>
      <c r="AD56" s="22" t="n"/>
      <c r="AE56" s="42" t="n"/>
      <c r="AF56" s="1082" t="n"/>
      <c r="AG56" s="22" t="n"/>
      <c r="AH56" s="42" t="n"/>
      <c r="AI56" s="1082" t="n"/>
      <c r="AJ56" s="22" t="n"/>
      <c r="AK56" s="42" t="n"/>
      <c r="AL56" s="56" t="n"/>
      <c r="AM56" s="97" t="n"/>
      <c r="AN56" s="42" t="n"/>
      <c r="AO56" s="1083" t="n"/>
    </row>
    <row r="57" hidden="1" ht="15" customHeight="1" s="1016">
      <c r="B57" s="36" t="n"/>
      <c r="C57" s="37" t="n"/>
      <c r="D57" s="67" t="n"/>
      <c r="E57" s="1096" t="n"/>
      <c r="F57" s="37" t="n"/>
      <c r="G57" s="67" t="n"/>
      <c r="H57" s="1096" t="n"/>
      <c r="I57" s="37" t="n"/>
      <c r="J57" s="67" t="n"/>
      <c r="K57" s="1096" t="n"/>
      <c r="L57" s="37" t="n"/>
      <c r="M57" s="67" t="n"/>
      <c r="N57" s="1096" t="n"/>
      <c r="O57" s="37" t="n"/>
      <c r="P57" s="67" t="n"/>
      <c r="Q57" s="1096" t="n"/>
      <c r="R57" s="37" t="n"/>
      <c r="S57" s="67" t="n"/>
      <c r="T57" s="1096" t="n"/>
      <c r="U57" s="37" t="n"/>
      <c r="V57" s="67" t="n"/>
      <c r="W57" s="1096" t="n"/>
      <c r="X57" s="37" t="n"/>
      <c r="Y57" s="67" t="n"/>
      <c r="Z57" s="1096" t="n"/>
      <c r="AA57" s="37" t="n"/>
      <c r="AB57" s="67" t="n"/>
      <c r="AC57" s="1096" t="n"/>
      <c r="AD57" s="37" t="n"/>
      <c r="AE57" s="67" t="n"/>
      <c r="AF57" s="1096" t="n"/>
      <c r="AG57" s="37" t="n"/>
      <c r="AH57" s="67" t="n"/>
      <c r="AI57" s="1096" t="n"/>
      <c r="AJ57" s="37" t="n"/>
      <c r="AK57" s="67" t="n"/>
      <c r="AL57" s="68" t="n"/>
      <c r="AM57" s="211" t="n"/>
      <c r="AN57" s="67" t="n"/>
      <c r="AO57" s="1097" t="n"/>
    </row>
    <row r="58" hidden="1" ht="15" customHeight="1" s="1016">
      <c r="B58" s="36" t="n"/>
      <c r="C58" s="37" t="n"/>
      <c r="D58" s="67" t="n"/>
      <c r="E58" s="1096" t="n"/>
      <c r="F58" s="37" t="n"/>
      <c r="G58" s="67" t="n"/>
      <c r="H58" s="1096" t="n"/>
      <c r="I58" s="37" t="n"/>
      <c r="J58" s="67" t="n"/>
      <c r="K58" s="1096" t="n"/>
      <c r="L58" s="37" t="n"/>
      <c r="M58" s="67" t="n"/>
      <c r="N58" s="1096" t="n"/>
      <c r="O58" s="37" t="n"/>
      <c r="P58" s="67" t="n"/>
      <c r="Q58" s="1096" t="n"/>
      <c r="R58" s="37" t="n"/>
      <c r="S58" s="67" t="n"/>
      <c r="T58" s="1096" t="n"/>
      <c r="U58" s="37" t="n"/>
      <c r="V58" s="67" t="n"/>
      <c r="W58" s="1096" t="n"/>
      <c r="X58" s="37" t="n"/>
      <c r="Y58" s="67" t="n"/>
      <c r="Z58" s="1096" t="n"/>
      <c r="AA58" s="37" t="n"/>
      <c r="AB58" s="67" t="n"/>
      <c r="AC58" s="1096" t="n"/>
      <c r="AD58" s="37" t="n"/>
      <c r="AE58" s="67" t="n"/>
      <c r="AF58" s="1096" t="n"/>
      <c r="AG58" s="37" t="n"/>
      <c r="AH58" s="67" t="n"/>
      <c r="AI58" s="1096" t="n"/>
      <c r="AJ58" s="37" t="n"/>
      <c r="AK58" s="67" t="n"/>
      <c r="AL58" s="68" t="n"/>
      <c r="AM58" s="211" t="n"/>
      <c r="AN58" s="67" t="n"/>
      <c r="AO58" s="1097" t="n"/>
    </row>
    <row r="59" hidden="1" ht="15" customFormat="1" customHeight="1" s="108">
      <c r="A59" s="229" t="n"/>
      <c r="B59" s="36" t="n"/>
      <c r="C59" s="37" t="n"/>
      <c r="D59" s="45" t="n"/>
      <c r="E59" s="1098" t="n"/>
      <c r="F59" s="37" t="n"/>
      <c r="G59" s="45" t="n"/>
      <c r="H59" s="1098" t="n"/>
      <c r="I59" s="37" t="n"/>
      <c r="J59" s="364" t="n"/>
      <c r="K59" s="1098" t="n"/>
      <c r="L59" s="37" t="n"/>
      <c r="M59" s="45" t="n"/>
      <c r="N59" s="1098" t="n"/>
      <c r="O59" s="37" t="n"/>
      <c r="P59" s="45" t="n"/>
      <c r="Q59" s="1098" t="n"/>
      <c r="R59" s="37" t="n"/>
      <c r="S59" s="45" t="n"/>
      <c r="T59" s="1098" t="n"/>
      <c r="U59" s="37" t="n"/>
      <c r="V59" s="45" t="n"/>
      <c r="W59" s="1098" t="n"/>
      <c r="X59" s="37" t="n"/>
      <c r="Y59" s="45" t="n"/>
      <c r="Z59" s="1098" t="n"/>
      <c r="AA59" s="37" t="n"/>
      <c r="AB59" s="45" t="n"/>
      <c r="AC59" s="1098" t="n"/>
      <c r="AD59" s="37" t="n"/>
      <c r="AE59" s="45" t="n"/>
      <c r="AF59" s="1098" t="n"/>
      <c r="AG59" s="37" t="n"/>
      <c r="AH59" s="45" t="n"/>
      <c r="AI59" s="1098" t="n"/>
      <c r="AJ59" s="37" t="n"/>
      <c r="AK59" s="45" t="n"/>
      <c r="AL59" s="1098" t="n"/>
      <c r="AM59" s="211" t="n"/>
      <c r="AN59" s="42" t="n"/>
      <c r="AO59" s="1099" t="n"/>
    </row>
    <row r="60" hidden="1" ht="15" customHeight="1" s="1016">
      <c r="B60" s="16" t="inlineStr">
        <is>
          <t>COSTOS PREPARADOS</t>
        </is>
      </c>
      <c r="C60" s="49">
        <f>+C61+C73+C74+C75+C76+C77</f>
        <v/>
      </c>
      <c r="D60" s="67" t="n"/>
      <c r="E60" s="1096" t="n"/>
      <c r="F60" s="49">
        <f>+F61+F73+F74+F75+F76+F77</f>
        <v/>
      </c>
      <c r="G60" s="3" t="n"/>
      <c r="H60" s="1078" t="n"/>
      <c r="I60" s="49">
        <f>+I61+I73+I74+I75+I76+I77</f>
        <v/>
      </c>
      <c r="J60" s="3" t="n"/>
      <c r="K60" s="1078" t="n"/>
      <c r="L60" s="49">
        <f>+L61+L73+L74+L75+L76+L77</f>
        <v/>
      </c>
      <c r="M60" s="3" t="n"/>
      <c r="N60" s="1078" t="n"/>
      <c r="O60" s="49">
        <f>+O61+O73+O74+O75+O76+O77</f>
        <v/>
      </c>
      <c r="P60" s="3" t="n"/>
      <c r="Q60" s="1078" t="n"/>
      <c r="R60" s="49">
        <f>+R61+R73+R74+R75+R76+R77</f>
        <v/>
      </c>
      <c r="S60" s="3" t="n"/>
      <c r="T60" s="1078" t="n"/>
      <c r="U60" s="49">
        <f>+U61+U73+U74+U75+U76+U77</f>
        <v/>
      </c>
      <c r="V60" s="3" t="n"/>
      <c r="W60" s="1078" t="n"/>
      <c r="X60" s="49">
        <f>+X61+X73+X74+X75+X76+X77</f>
        <v/>
      </c>
      <c r="Y60" s="3" t="n"/>
      <c r="Z60" s="1078" t="n"/>
      <c r="AA60" s="49">
        <f>+AA61+AA73+AA74+AA75+AA76+AA77</f>
        <v/>
      </c>
      <c r="AB60" s="3" t="n"/>
      <c r="AC60" s="1078" t="n"/>
      <c r="AD60" s="49">
        <f>+AD61+AD73+AD74+AD75+AD76+AD77</f>
        <v/>
      </c>
      <c r="AE60" s="3" t="n"/>
      <c r="AF60" s="1078" t="n"/>
      <c r="AG60" s="49">
        <f>+AG61+AG73+AG74+AG75+AG76+AG77</f>
        <v/>
      </c>
      <c r="AH60" s="3" t="n"/>
      <c r="AI60" s="1078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79" t="n"/>
    </row>
    <row r="61" hidden="1" ht="15" customHeight="1" s="1016">
      <c r="B61" s="36" t="inlineStr">
        <is>
          <t>INSUMOS</t>
        </is>
      </c>
      <c r="C61" s="37">
        <f>SUM(C62:C71)+C72</f>
        <v/>
      </c>
      <c r="D61" s="67" t="n"/>
      <c r="E61" s="1096" t="n"/>
      <c r="F61" s="37">
        <f>SUM(F62:F71)+F72</f>
        <v/>
      </c>
      <c r="G61" s="67" t="n"/>
      <c r="H61" s="1096" t="n"/>
      <c r="I61" s="37">
        <f>SUM(I62:I71)+I72</f>
        <v/>
      </c>
      <c r="J61" s="67" t="n"/>
      <c r="K61" s="1096" t="n"/>
      <c r="L61" s="37">
        <f>SUM(L62:L71)+L72</f>
        <v/>
      </c>
      <c r="M61" s="67" t="n"/>
      <c r="N61" s="1096" t="n"/>
      <c r="O61" s="37">
        <f>SUM(O62:O71)+O72</f>
        <v/>
      </c>
      <c r="P61" s="67" t="n"/>
      <c r="Q61" s="1096" t="n"/>
      <c r="R61" s="37">
        <f>SUM(R62:R71)+R72</f>
        <v/>
      </c>
      <c r="S61" s="67" t="n"/>
      <c r="T61" s="1096" t="n"/>
      <c r="U61" s="37">
        <f>SUM(U62:U71)+U72</f>
        <v/>
      </c>
      <c r="V61" s="67" t="n"/>
      <c r="W61" s="1096" t="n"/>
      <c r="X61" s="37">
        <f>SUM(X62:X71)+X72</f>
        <v/>
      </c>
      <c r="Y61" s="67" t="n"/>
      <c r="Z61" s="1096" t="n"/>
      <c r="AA61" s="37">
        <f>SUM(AA62:AA71)+AA72</f>
        <v/>
      </c>
      <c r="AB61" s="67" t="n"/>
      <c r="AC61" s="1096" t="n"/>
      <c r="AD61" s="37">
        <f>SUM(AD62:AD71)+AD72</f>
        <v/>
      </c>
      <c r="AE61" s="67" t="n"/>
      <c r="AF61" s="1096" t="n"/>
      <c r="AG61" s="37">
        <f>SUM(AG62:AG71)+AG72</f>
        <v/>
      </c>
      <c r="AH61" s="67" t="n"/>
      <c r="AI61" s="1096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97" t="n"/>
    </row>
    <row r="62" hidden="1" ht="15" customHeight="1" s="1016">
      <c r="B62" s="100" t="inlineStr">
        <is>
          <t>Complemento Preparado</t>
        </is>
      </c>
      <c r="C62" s="78" t="n"/>
      <c r="D62" s="79" t="n"/>
      <c r="E62" s="1080" t="n"/>
      <c r="F62" s="78" t="n"/>
      <c r="G62" s="79" t="n"/>
      <c r="H62" s="1080" t="n"/>
      <c r="I62" s="78" t="n"/>
      <c r="J62" s="79" t="n"/>
      <c r="K62" s="1080" t="n"/>
      <c r="L62" s="78" t="n"/>
      <c r="M62" s="79" t="n"/>
      <c r="N62" s="1080" t="n"/>
      <c r="O62" s="78" t="n"/>
      <c r="P62" s="79" t="n"/>
      <c r="Q62" s="1080" t="n"/>
      <c r="R62" s="78" t="n"/>
      <c r="S62" s="79" t="n"/>
      <c r="T62" s="1080" t="n"/>
      <c r="U62" s="78" t="n"/>
      <c r="V62" s="79" t="n"/>
      <c r="W62" s="1080" t="n"/>
      <c r="X62" s="78" t="n"/>
      <c r="Y62" s="79" t="n"/>
      <c r="Z62" s="1080" t="n"/>
      <c r="AA62" s="78" t="n"/>
      <c r="AB62" s="79" t="n"/>
      <c r="AC62" s="1080" t="n"/>
      <c r="AD62" s="78" t="n"/>
      <c r="AE62" s="79" t="n"/>
      <c r="AF62" s="1080" t="n"/>
      <c r="AG62" s="78" t="n"/>
      <c r="AH62" s="79" t="n"/>
      <c r="AI62" s="1080" t="n"/>
      <c r="AJ62" s="78" t="n"/>
      <c r="AK62" s="79" t="n"/>
      <c r="AL62" s="1080" t="n"/>
      <c r="AM62" s="212">
        <f>C62+F62+I62+L62+O62+R62+U62+X62+AA62+AD62+AG62+AJ62</f>
        <v/>
      </c>
      <c r="AN62" s="79">
        <f>AM62/AM6</f>
        <v/>
      </c>
      <c r="AO62" s="1080" t="n"/>
    </row>
    <row r="63" hidden="1" ht="15" customHeight="1" s="1016">
      <c r="B63" s="101" t="inlineStr">
        <is>
          <t>AlmuerzoJornada Unica</t>
        </is>
      </c>
      <c r="C63" s="25" t="n"/>
      <c r="D63" s="43" t="n"/>
      <c r="E63" s="1070" t="n"/>
      <c r="F63" s="25" t="n"/>
      <c r="G63" s="43" t="n"/>
      <c r="H63" s="1070" t="n"/>
      <c r="I63" s="25" t="n"/>
      <c r="J63" s="43" t="n"/>
      <c r="K63" s="1070" t="n"/>
      <c r="L63" s="25" t="n"/>
      <c r="M63" s="43" t="n"/>
      <c r="N63" s="1070" t="n"/>
      <c r="O63" s="25" t="n"/>
      <c r="P63" s="43" t="n"/>
      <c r="Q63" s="1070" t="n"/>
      <c r="R63" s="25" t="n"/>
      <c r="S63" s="43" t="n"/>
      <c r="T63" s="1070" t="n"/>
      <c r="U63" s="25" t="n"/>
      <c r="V63" s="43" t="n"/>
      <c r="W63" s="1070" t="n"/>
      <c r="X63" s="25" t="n"/>
      <c r="Y63" s="43" t="n"/>
      <c r="Z63" s="1070" t="n"/>
      <c r="AA63" s="25" t="n"/>
      <c r="AB63" s="43" t="n"/>
      <c r="AC63" s="1070" t="n"/>
      <c r="AD63" s="25" t="n"/>
      <c r="AE63" s="43" t="n"/>
      <c r="AF63" s="1070" t="n"/>
      <c r="AG63" s="25" t="n"/>
      <c r="AH63" s="43" t="n"/>
      <c r="AI63" s="1070" t="n"/>
      <c r="AJ63" s="25" t="n"/>
      <c r="AK63" s="43" t="n"/>
      <c r="AL63" s="1070" t="n"/>
      <c r="AM63" s="205">
        <f>C63+F63+I63+L63+O63+R63+U63+X63+AA63+AD63+AG63+AJ63</f>
        <v/>
      </c>
      <c r="AN63" s="43">
        <f>AM63/AM7</f>
        <v/>
      </c>
      <c r="AO63" s="1070" t="n"/>
    </row>
    <row r="64" hidden="1" ht="15" customHeight="1" s="1016">
      <c r="B64" s="25" t="n"/>
      <c r="C64" s="25" t="n"/>
      <c r="D64" s="43" t="n"/>
      <c r="E64" s="1070" t="n"/>
      <c r="F64" s="25" t="n"/>
      <c r="G64" s="43" t="n"/>
      <c r="H64" s="1070" t="n"/>
      <c r="I64" s="82" t="n"/>
      <c r="J64" s="43" t="n"/>
      <c r="K64" s="1070" t="n"/>
      <c r="L64" s="82" t="n"/>
      <c r="M64" s="43" t="n"/>
      <c r="N64" s="1070" t="n"/>
      <c r="O64" s="82" t="n"/>
      <c r="P64" s="43" t="n"/>
      <c r="Q64" s="1070" t="n"/>
      <c r="R64" s="82" t="n"/>
      <c r="S64" s="43" t="n"/>
      <c r="T64" s="1070" t="n"/>
      <c r="U64" s="82" t="n"/>
      <c r="V64" s="43" t="n"/>
      <c r="W64" s="1070" t="n"/>
      <c r="X64" s="82" t="n"/>
      <c r="Y64" s="43" t="n"/>
      <c r="Z64" s="1070" t="n"/>
      <c r="AA64" s="82" t="n"/>
      <c r="AB64" s="43" t="n"/>
      <c r="AC64" s="1070" t="n"/>
      <c r="AD64" s="82" t="n"/>
      <c r="AE64" s="43" t="n"/>
      <c r="AF64" s="1070" t="n"/>
      <c r="AG64" s="82" t="n"/>
      <c r="AH64" s="43" t="n"/>
      <c r="AI64" s="1070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71" t="n"/>
    </row>
    <row r="65" hidden="1" ht="15" customHeight="1" s="1016">
      <c r="B65" s="25" t="n"/>
      <c r="C65" s="25" t="n"/>
      <c r="D65" s="43" t="n"/>
      <c r="E65" s="1070" t="n"/>
      <c r="F65" s="25" t="n"/>
      <c r="G65" s="43" t="n"/>
      <c r="H65" s="1070" t="n"/>
      <c r="I65" s="25" t="n"/>
      <c r="J65" s="43" t="n"/>
      <c r="K65" s="1070" t="n"/>
      <c r="L65" s="25" t="n"/>
      <c r="M65" s="43" t="n"/>
      <c r="N65" s="1070" t="n"/>
      <c r="O65" s="25" t="n"/>
      <c r="P65" s="43" t="n"/>
      <c r="Q65" s="1070" t="n"/>
      <c r="R65" s="25" t="n"/>
      <c r="S65" s="43" t="n"/>
      <c r="T65" s="1070" t="n"/>
      <c r="U65" s="25" t="n"/>
      <c r="V65" s="43" t="n"/>
      <c r="W65" s="1070" t="n"/>
      <c r="X65" s="25" t="n"/>
      <c r="Y65" s="43" t="n"/>
      <c r="Z65" s="1070" t="n"/>
      <c r="AA65" s="25" t="n"/>
      <c r="AB65" s="43" t="n"/>
      <c r="AC65" s="1070" t="n"/>
      <c r="AD65" s="25" t="n"/>
      <c r="AE65" s="43" t="n"/>
      <c r="AF65" s="1070" t="n"/>
      <c r="AG65" s="25" t="n"/>
      <c r="AH65" s="43" t="n"/>
      <c r="AI65" s="1070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71" t="n"/>
    </row>
    <row r="66" hidden="1" ht="15" customHeight="1" s="1016">
      <c r="B66" s="25" t="n"/>
      <c r="C66" s="25" t="n"/>
      <c r="D66" s="43" t="n"/>
      <c r="E66" s="1070" t="n"/>
      <c r="F66" s="25" t="n"/>
      <c r="G66" s="43" t="n"/>
      <c r="H66" s="1070" t="n"/>
      <c r="I66" s="25" t="n"/>
      <c r="J66" s="43" t="n"/>
      <c r="K66" s="1070" t="n"/>
      <c r="L66" s="25" t="n"/>
      <c r="M66" s="43" t="n"/>
      <c r="N66" s="1070" t="n"/>
      <c r="O66" s="25" t="n"/>
      <c r="P66" s="43" t="n"/>
      <c r="Q66" s="1070" t="n"/>
      <c r="R66" s="25" t="n"/>
      <c r="S66" s="43" t="n"/>
      <c r="T66" s="1070" t="n"/>
      <c r="U66" s="25" t="n"/>
      <c r="V66" s="43" t="n"/>
      <c r="W66" s="1070" t="n"/>
      <c r="X66" s="25" t="n"/>
      <c r="Y66" s="43" t="n"/>
      <c r="Z66" s="1070" t="n"/>
      <c r="AA66" s="25" t="n"/>
      <c r="AB66" s="43" t="n"/>
      <c r="AC66" s="1070" t="n"/>
      <c r="AD66" s="25" t="n"/>
      <c r="AE66" s="43" t="n"/>
      <c r="AF66" s="1070" t="n"/>
      <c r="AG66" s="25" t="n"/>
      <c r="AH66" s="43" t="n"/>
      <c r="AI66" s="1070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71" t="n"/>
    </row>
    <row r="67" hidden="1" ht="15" customHeight="1" s="1016">
      <c r="B67" s="25" t="n"/>
      <c r="C67" s="25" t="n"/>
      <c r="D67" s="43" t="n"/>
      <c r="E67" s="1070" t="n"/>
      <c r="F67" s="25" t="n"/>
      <c r="G67" s="43" t="n"/>
      <c r="H67" s="1070" t="n"/>
      <c r="I67" s="25" t="n"/>
      <c r="J67" s="43" t="n"/>
      <c r="K67" s="1070" t="n"/>
      <c r="L67" s="25" t="n"/>
      <c r="M67" s="43" t="n"/>
      <c r="N67" s="1070" t="n"/>
      <c r="O67" s="25" t="n"/>
      <c r="P67" s="43" t="n"/>
      <c r="Q67" s="1070" t="n"/>
      <c r="R67" s="25" t="n"/>
      <c r="S67" s="43" t="n"/>
      <c r="T67" s="1070" t="n"/>
      <c r="U67" s="25" t="n"/>
      <c r="V67" s="43" t="n"/>
      <c r="W67" s="1070" t="n"/>
      <c r="X67" s="25" t="n"/>
      <c r="Y67" s="43" t="n"/>
      <c r="Z67" s="1070" t="n"/>
      <c r="AA67" s="25" t="n"/>
      <c r="AB67" s="43" t="n"/>
      <c r="AC67" s="1070" t="n"/>
      <c r="AD67" s="25" t="n"/>
      <c r="AE67" s="43" t="n"/>
      <c r="AF67" s="1070" t="n"/>
      <c r="AG67" s="25" t="n"/>
      <c r="AH67" s="43" t="n"/>
      <c r="AI67" s="1070" t="n"/>
      <c r="AJ67" s="25" t="n"/>
      <c r="AK67" s="43" t="n"/>
      <c r="AL67" s="57" t="n"/>
      <c r="AM67" s="205" t="n"/>
      <c r="AN67" s="43" t="n"/>
      <c r="AO67" s="1071" t="n"/>
    </row>
    <row r="68" hidden="1" ht="15" customHeight="1" s="1016">
      <c r="B68" s="25" t="n"/>
      <c r="C68" s="25" t="n"/>
      <c r="D68" s="43" t="n"/>
      <c r="E68" s="1070" t="n"/>
      <c r="F68" s="25" t="n"/>
      <c r="G68" s="43" t="n"/>
      <c r="H68" s="1070" t="n"/>
      <c r="I68" s="25" t="n"/>
      <c r="J68" s="43" t="n"/>
      <c r="K68" s="1070" t="n"/>
      <c r="L68" s="25" t="n"/>
      <c r="M68" s="43" t="n"/>
      <c r="N68" s="1070" t="n"/>
      <c r="O68" s="25" t="n"/>
      <c r="P68" s="43" t="n"/>
      <c r="Q68" s="1070" t="n"/>
      <c r="R68" s="25" t="n"/>
      <c r="S68" s="43" t="n"/>
      <c r="T68" s="1070" t="n"/>
      <c r="U68" s="25" t="n"/>
      <c r="V68" s="43" t="n"/>
      <c r="W68" s="1070" t="n"/>
      <c r="X68" s="25" t="n"/>
      <c r="Y68" s="43" t="n"/>
      <c r="Z68" s="1070" t="n"/>
      <c r="AA68" s="25" t="n"/>
      <c r="AB68" s="43" t="n"/>
      <c r="AC68" s="1070" t="n"/>
      <c r="AD68" s="25" t="n"/>
      <c r="AE68" s="43" t="n"/>
      <c r="AF68" s="1070" t="n"/>
      <c r="AG68" s="25" t="n"/>
      <c r="AH68" s="43" t="n"/>
      <c r="AI68" s="1070" t="n"/>
      <c r="AJ68" s="25" t="n"/>
      <c r="AK68" s="43" t="n"/>
      <c r="AL68" s="57" t="n"/>
      <c r="AM68" s="205" t="n"/>
      <c r="AN68" s="43" t="n"/>
      <c r="AO68" s="1071" t="n"/>
    </row>
    <row r="69" hidden="1" ht="15" customHeight="1" s="1016">
      <c r="B69" s="25" t="n"/>
      <c r="C69" s="25" t="n"/>
      <c r="D69" s="43" t="n"/>
      <c r="E69" s="1070" t="n"/>
      <c r="F69" s="25" t="n"/>
      <c r="G69" s="43" t="n"/>
      <c r="H69" s="1070" t="n"/>
      <c r="I69" s="25" t="n"/>
      <c r="J69" s="43" t="n"/>
      <c r="K69" s="1070" t="n"/>
      <c r="L69" s="25" t="n"/>
      <c r="M69" s="43" t="n"/>
      <c r="N69" s="1070" t="n"/>
      <c r="O69" s="25" t="n"/>
      <c r="P69" s="43" t="n"/>
      <c r="Q69" s="1070" t="n"/>
      <c r="R69" s="25" t="n"/>
      <c r="S69" s="43" t="n"/>
      <c r="T69" s="1070" t="n"/>
      <c r="U69" s="25" t="n"/>
      <c r="V69" s="43" t="n"/>
      <c r="W69" s="1070" t="n"/>
      <c r="X69" s="25" t="n"/>
      <c r="Y69" s="43" t="n"/>
      <c r="Z69" s="1070" t="n"/>
      <c r="AA69" s="25" t="n"/>
      <c r="AB69" s="43" t="n"/>
      <c r="AC69" s="1070" t="n"/>
      <c r="AD69" s="25" t="n"/>
      <c r="AE69" s="43" t="n"/>
      <c r="AF69" s="1070" t="n"/>
      <c r="AG69" s="25" t="n"/>
      <c r="AH69" s="43" t="n"/>
      <c r="AI69" s="1070" t="n"/>
      <c r="AJ69" s="25" t="n"/>
      <c r="AK69" s="43" t="n"/>
      <c r="AL69" s="57" t="n"/>
      <c r="AM69" s="205" t="n"/>
      <c r="AN69" s="43" t="n"/>
      <c r="AO69" s="1071" t="n"/>
    </row>
    <row r="70" hidden="1" ht="15" customHeight="1" s="1016">
      <c r="B70" s="91" t="inlineStr">
        <is>
          <t>REFRIGERIOS ESPECIALES</t>
        </is>
      </c>
      <c r="C70" s="91" t="n"/>
      <c r="D70" s="92" t="n"/>
      <c r="E70" s="1088" t="n"/>
      <c r="F70" s="91" t="n"/>
      <c r="G70" s="92" t="n"/>
      <c r="H70" s="1088" t="n"/>
      <c r="I70" s="91" t="n"/>
      <c r="J70" s="92" t="n"/>
      <c r="K70" s="1088" t="n"/>
      <c r="L70" s="91" t="n"/>
      <c r="M70" s="92" t="n"/>
      <c r="N70" s="1088" t="n"/>
      <c r="O70" s="91" t="n"/>
      <c r="P70" s="92" t="n"/>
      <c r="Q70" s="1088" t="n"/>
      <c r="R70" s="91" t="n"/>
      <c r="S70" s="92" t="n"/>
      <c r="T70" s="1088" t="n"/>
      <c r="U70" s="91" t="n"/>
      <c r="V70" s="92" t="n"/>
      <c r="W70" s="1088" t="n"/>
      <c r="X70" s="91" t="n"/>
      <c r="Y70" s="92" t="n"/>
      <c r="Z70" s="1088" t="n"/>
      <c r="AA70" s="91" t="n"/>
      <c r="AB70" s="92" t="n"/>
      <c r="AC70" s="1088" t="n"/>
      <c r="AD70" s="25" t="n"/>
      <c r="AE70" s="43" t="n"/>
      <c r="AF70" s="1070" t="n"/>
      <c r="AG70" s="25" t="n"/>
      <c r="AH70" s="43" t="n"/>
      <c r="AI70" s="1070" t="n"/>
      <c r="AJ70" s="25" t="n"/>
      <c r="AK70" s="43" t="n"/>
      <c r="AL70" s="57" t="n"/>
      <c r="AM70" s="205" t="n"/>
      <c r="AN70" s="43" t="n"/>
      <c r="AO70" s="1071" t="n"/>
    </row>
    <row r="71" hidden="1" ht="15" customHeight="1" s="1016">
      <c r="B71" s="83" t="n"/>
      <c r="C71" s="83" t="n"/>
      <c r="D71" s="84" t="n"/>
      <c r="E71" s="1072" t="n"/>
      <c r="F71" s="83" t="n"/>
      <c r="G71" s="84" t="n"/>
      <c r="H71" s="1072" t="n"/>
      <c r="I71" s="83" t="n"/>
      <c r="J71" s="84" t="n"/>
      <c r="K71" s="1072" t="n"/>
      <c r="L71" s="83" t="n"/>
      <c r="M71" s="84" t="n"/>
      <c r="N71" s="1072" t="n"/>
      <c r="O71" s="83" t="n"/>
      <c r="P71" s="84" t="n"/>
      <c r="Q71" s="1072" t="n"/>
      <c r="R71" s="83" t="n"/>
      <c r="S71" s="84" t="n"/>
      <c r="T71" s="1072" t="n"/>
      <c r="U71" s="83" t="n"/>
      <c r="V71" s="84" t="n"/>
      <c r="W71" s="1072" t="n"/>
      <c r="X71" s="83" t="n"/>
      <c r="Y71" s="84" t="n"/>
      <c r="Z71" s="1072" t="n"/>
      <c r="AA71" s="83" t="n"/>
      <c r="AB71" s="84" t="n"/>
      <c r="AC71" s="1072" t="n"/>
      <c r="AD71" s="83" t="n"/>
      <c r="AE71" s="84" t="n"/>
      <c r="AF71" s="1072" t="n"/>
      <c r="AG71" s="83" t="n"/>
      <c r="AH71" s="84" t="n"/>
      <c r="AI71" s="1072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73" t="n"/>
    </row>
    <row r="72" hidden="1" ht="15" customHeight="1" s="1016">
      <c r="B72" s="46" t="inlineStr">
        <is>
          <t>Transporte Materia Prima - Cavasa</t>
        </is>
      </c>
      <c r="C72" s="37" t="n"/>
      <c r="D72" s="67" t="n"/>
      <c r="E72" s="1096" t="n"/>
      <c r="F72" s="37" t="n"/>
      <c r="G72" s="67" t="n"/>
      <c r="H72" s="1096" t="n"/>
      <c r="I72" s="37" t="n"/>
      <c r="J72" s="67" t="n"/>
      <c r="K72" s="1096" t="n"/>
      <c r="L72" s="37" t="n"/>
      <c r="M72" s="67" t="n"/>
      <c r="N72" s="1096" t="n"/>
      <c r="O72" s="37" t="n"/>
      <c r="P72" s="67" t="n"/>
      <c r="Q72" s="1096" t="n"/>
      <c r="R72" s="37" t="n"/>
      <c r="S72" s="67" t="n"/>
      <c r="T72" s="1096" t="n"/>
      <c r="U72" s="37" t="n"/>
      <c r="V72" s="67" t="n"/>
      <c r="W72" s="1096" t="n"/>
      <c r="X72" s="37" t="n"/>
      <c r="Y72" s="67" t="n"/>
      <c r="Z72" s="1096" t="n"/>
      <c r="AA72" s="37" t="n"/>
      <c r="AB72" s="67" t="n"/>
      <c r="AC72" s="1096" t="n"/>
      <c r="AD72" s="37" t="n"/>
      <c r="AE72" s="67" t="n"/>
      <c r="AF72" s="1096" t="n"/>
      <c r="AG72" s="37" t="n"/>
      <c r="AH72" s="67" t="n"/>
      <c r="AI72" s="1096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97" t="n"/>
    </row>
    <row r="73" hidden="1" ht="15" customHeight="1" s="1016">
      <c r="B73" s="36" t="inlineStr">
        <is>
          <t>Flete Preparados PROPIOS</t>
        </is>
      </c>
      <c r="C73" s="37" t="n"/>
      <c r="D73" s="67" t="n"/>
      <c r="E73" s="1096" t="n"/>
      <c r="F73" s="37" t="n"/>
      <c r="G73" s="67" t="n"/>
      <c r="H73" s="1096" t="n"/>
      <c r="I73" s="37" t="n"/>
      <c r="J73" s="67" t="n"/>
      <c r="K73" s="1096" t="n"/>
      <c r="L73" s="37" t="n"/>
      <c r="M73" s="67" t="n"/>
      <c r="N73" s="1096" t="n"/>
      <c r="O73" s="37" t="n"/>
      <c r="P73" s="67" t="n"/>
      <c r="Q73" s="1096" t="n"/>
      <c r="R73" s="37" t="n"/>
      <c r="S73" s="67" t="n"/>
      <c r="T73" s="1096" t="n"/>
      <c r="U73" s="37" t="n"/>
      <c r="V73" s="67" t="n"/>
      <c r="W73" s="1096" t="n"/>
      <c r="X73" s="37" t="n"/>
      <c r="Y73" s="67" t="n"/>
      <c r="Z73" s="1096" t="n"/>
      <c r="AA73" s="37" t="n"/>
      <c r="AB73" s="67" t="n"/>
      <c r="AC73" s="1096" t="n"/>
      <c r="AD73" s="37" t="n"/>
      <c r="AE73" s="67" t="n"/>
      <c r="AF73" s="1096" t="n"/>
      <c r="AG73" s="37" t="n"/>
      <c r="AH73" s="67" t="n"/>
      <c r="AI73" s="1096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00" t="n"/>
    </row>
    <row r="74" ht="15" customHeight="1" s="1016">
      <c r="B74" s="36" t="inlineStr">
        <is>
          <t>Transporte</t>
        </is>
      </c>
      <c r="C74" s="37" t="n">
        <v>0</v>
      </c>
      <c r="D74" s="67" t="n"/>
      <c r="E74" s="1096" t="n"/>
      <c r="F74" s="37" t="n">
        <v>0</v>
      </c>
      <c r="G74" s="67" t="n"/>
      <c r="H74" s="1096" t="n"/>
      <c r="I74" s="37" t="n"/>
      <c r="J74" s="365" t="n"/>
      <c r="K74" s="1096" t="n"/>
      <c r="L74" s="37" t="n"/>
      <c r="M74" s="67" t="n"/>
      <c r="N74" s="1096" t="n"/>
      <c r="O74" s="37" t="n"/>
      <c r="P74" s="67" t="n"/>
      <c r="Q74" s="1096" t="n"/>
      <c r="R74" s="37" t="n"/>
      <c r="S74" s="67" t="n"/>
      <c r="T74" s="1096" t="n"/>
      <c r="U74" s="37" t="n"/>
      <c r="V74" s="67" t="n"/>
      <c r="W74" s="1096" t="n"/>
      <c r="X74" s="37" t="n"/>
      <c r="Y74" s="67" t="n"/>
      <c r="Z74" s="1096" t="n"/>
      <c r="AA74" s="37" t="n"/>
      <c r="AB74" s="67" t="n"/>
      <c r="AC74" s="1096" t="n"/>
      <c r="AD74" s="37" t="n"/>
      <c r="AE74" s="67" t="n"/>
      <c r="AF74" s="1096" t="n"/>
      <c r="AG74" s="37" t="n"/>
      <c r="AH74" s="67" t="n"/>
      <c r="AI74" s="1096" t="n"/>
      <c r="AJ74" s="37" t="n"/>
      <c r="AK74" s="67" t="n"/>
      <c r="AL74" s="1096" t="n"/>
      <c r="AM74" s="211">
        <f>C74+F74+I74+L74+O74+R74+U74+X74+AA74+AD74+AG74+AJ74</f>
        <v/>
      </c>
      <c r="AN74" s="67" t="n"/>
      <c r="AO74" s="1100" t="n"/>
    </row>
    <row r="75" ht="15" customHeight="1" s="1016">
      <c r="B75" s="36" t="inlineStr">
        <is>
          <t>Material de empaque</t>
        </is>
      </c>
      <c r="C75" s="37" t="n"/>
      <c r="D75" s="67" t="n"/>
      <c r="E75" s="1096" t="n"/>
      <c r="F75" s="37" t="n"/>
      <c r="G75" s="67" t="n"/>
      <c r="H75" s="1096" t="n"/>
      <c r="I75" s="37" t="n"/>
      <c r="J75" s="67" t="n"/>
      <c r="K75" s="1096" t="n"/>
      <c r="L75" s="37" t="n"/>
      <c r="M75" s="67" t="n"/>
      <c r="N75" s="1096" t="n"/>
      <c r="O75" s="37" t="n"/>
      <c r="P75" s="67" t="n"/>
      <c r="Q75" s="1096" t="n"/>
      <c r="R75" s="37" t="n"/>
      <c r="S75" s="67" t="n"/>
      <c r="T75" s="1096" t="n"/>
      <c r="U75" s="37" t="n"/>
      <c r="V75" s="67" t="n"/>
      <c r="W75" s="1096" t="n"/>
      <c r="X75" s="37" t="n"/>
      <c r="Y75" s="67" t="n"/>
      <c r="Z75" s="1096" t="n"/>
      <c r="AA75" s="37" t="n"/>
      <c r="AB75" s="67" t="n"/>
      <c r="AC75" s="1096" t="n"/>
      <c r="AD75" s="37" t="n"/>
      <c r="AE75" s="67" t="n"/>
      <c r="AF75" s="1096" t="n"/>
      <c r="AG75" s="37" t="n"/>
      <c r="AH75" s="67" t="n"/>
      <c r="AI75" s="1096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97" t="n"/>
    </row>
    <row r="76" ht="15" customHeight="1" s="1016">
      <c r="B76" s="36" t="inlineStr">
        <is>
          <t>Menaje</t>
        </is>
      </c>
      <c r="C76" s="37" t="n"/>
      <c r="D76" s="67" t="n"/>
      <c r="E76" s="1096" t="n"/>
      <c r="F76" s="37" t="n"/>
      <c r="G76" s="67" t="n"/>
      <c r="H76" s="1096" t="n"/>
      <c r="I76" s="37" t="n"/>
      <c r="J76" s="67" t="n"/>
      <c r="K76" s="1096" t="n"/>
      <c r="L76" s="37" t="n"/>
      <c r="M76" s="67" t="n"/>
      <c r="N76" s="1096" t="n"/>
      <c r="O76" s="37" t="n"/>
      <c r="P76" s="67" t="n"/>
      <c r="Q76" s="1096" t="n"/>
      <c r="R76" s="37" t="n"/>
      <c r="S76" s="67" t="n"/>
      <c r="T76" s="1096" t="n"/>
      <c r="U76" s="37" t="n"/>
      <c r="V76" s="67" t="n"/>
      <c r="W76" s="1096" t="n"/>
      <c r="X76" s="37" t="n"/>
      <c r="Y76" s="67" t="n"/>
      <c r="Z76" s="1096" t="n"/>
      <c r="AA76" s="37" t="n"/>
      <c r="AB76" s="67" t="n"/>
      <c r="AC76" s="1096" t="n"/>
      <c r="AD76" s="37" t="n"/>
      <c r="AE76" s="67" t="n"/>
      <c r="AF76" s="1096" t="n"/>
      <c r="AG76" s="37" t="n"/>
      <c r="AH76" s="67" t="n"/>
      <c r="AI76" s="1096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00" t="n"/>
    </row>
    <row r="77" ht="15" customHeight="1" s="1016">
      <c r="B77" s="66" t="inlineStr">
        <is>
          <t>Servicio de Gas</t>
        </is>
      </c>
      <c r="C77" s="28" t="n"/>
      <c r="D77" s="45" t="n"/>
      <c r="E77" s="1191" t="n"/>
      <c r="F77" s="366" t="n"/>
      <c r="G77" s="45" t="n"/>
      <c r="H77" s="1096" t="n"/>
      <c r="I77" s="28" t="n"/>
      <c r="J77" s="45" t="n"/>
      <c r="K77" s="1096" t="n"/>
      <c r="L77" s="28" t="n"/>
      <c r="M77" s="45" t="n"/>
      <c r="N77" s="1096" t="n"/>
      <c r="O77" s="28" t="n"/>
      <c r="P77" s="45" t="n"/>
      <c r="Q77" s="1096" t="n"/>
      <c r="R77" s="28" t="n"/>
      <c r="S77" s="45" t="n"/>
      <c r="T77" s="1096" t="n"/>
      <c r="U77" s="28" t="n"/>
      <c r="V77" s="45" t="n"/>
      <c r="W77" s="1096" t="n"/>
      <c r="X77" s="28" t="n"/>
      <c r="Y77" s="45" t="n"/>
      <c r="Z77" s="1096" t="n"/>
      <c r="AA77" s="28" t="n"/>
      <c r="AB77" s="45" t="n"/>
      <c r="AC77" s="1096" t="n"/>
      <c r="AD77" s="28" t="n"/>
      <c r="AE77" s="45" t="n"/>
      <c r="AF77" s="1096" t="n"/>
      <c r="AG77" s="28" t="n"/>
      <c r="AH77" s="45" t="n"/>
      <c r="AI77" s="1096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00" t="n"/>
    </row>
    <row r="78" ht="15" customHeight="1" s="1016">
      <c r="B78" s="16" t="inlineStr">
        <is>
          <t>GASTOS DE PERSONAL</t>
        </is>
      </c>
      <c r="C78" s="49">
        <f>SUM(C79:C81)</f>
        <v/>
      </c>
      <c r="D78" s="3" t="n"/>
      <c r="E78" s="1078" t="n"/>
      <c r="F78" s="49">
        <f>SUM(F79:F81)</f>
        <v/>
      </c>
      <c r="G78" s="3" t="n"/>
      <c r="H78" s="1078" t="n"/>
      <c r="I78" s="49">
        <f>SUM(I79:I81)</f>
        <v/>
      </c>
      <c r="J78" s="3" t="n"/>
      <c r="K78" s="1078" t="n"/>
      <c r="L78" s="49">
        <f>SUM(L79:L81)</f>
        <v/>
      </c>
      <c r="M78" s="3" t="n"/>
      <c r="N78" s="1078" t="n"/>
      <c r="O78" s="49">
        <f>SUM(O79:O81)</f>
        <v/>
      </c>
      <c r="P78" s="3" t="n"/>
      <c r="Q78" s="1078" t="n"/>
      <c r="R78" s="49">
        <f>SUM(R79:R81)</f>
        <v/>
      </c>
      <c r="S78" s="3" t="n"/>
      <c r="T78" s="1078" t="n"/>
      <c r="U78" s="49">
        <f>SUM(U79:U81)</f>
        <v/>
      </c>
      <c r="V78" s="3" t="n"/>
      <c r="W78" s="1078" t="n"/>
      <c r="X78" s="93">
        <f>SUM(X79:X81)</f>
        <v/>
      </c>
      <c r="Y78" s="3" t="n"/>
      <c r="Z78" s="1078" t="n"/>
      <c r="AA78" s="49">
        <f>SUM(AA79:AA81)</f>
        <v/>
      </c>
      <c r="AB78" s="3" t="n"/>
      <c r="AC78" s="1078" t="n"/>
      <c r="AD78" s="49">
        <f>SUM(AD79:AD81)</f>
        <v/>
      </c>
      <c r="AE78" s="3" t="n"/>
      <c r="AF78" s="1078" t="n"/>
      <c r="AG78" s="49">
        <f>SUM(AG79:AG81)</f>
        <v/>
      </c>
      <c r="AH78" s="3" t="n"/>
      <c r="AI78" s="1078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01" t="n"/>
    </row>
    <row r="79" ht="15" customHeight="1" s="1016">
      <c r="B79" s="39" t="inlineStr">
        <is>
          <t>Coordinacion</t>
        </is>
      </c>
      <c r="C79" s="266">
        <f>'[29]Hoja 1'!$D$42</f>
        <v/>
      </c>
      <c r="D79" s="267" t="n"/>
      <c r="E79" s="1102" t="n"/>
      <c r="F79" s="266">
        <f>'[36]Hoja 1'!$H$45</f>
        <v/>
      </c>
      <c r="G79" s="69" t="n"/>
      <c r="H79" s="1102" t="n"/>
      <c r="I79" s="266" t="n"/>
      <c r="J79" s="69" t="n"/>
      <c r="K79" s="1102" t="n"/>
      <c r="L79" s="266" t="n"/>
      <c r="M79" s="69" t="n"/>
      <c r="N79" s="1102" t="n"/>
      <c r="O79" s="266" t="n"/>
      <c r="P79" s="69" t="n"/>
      <c r="Q79" s="1102" t="n"/>
      <c r="R79" s="266" t="n"/>
      <c r="S79" s="69" t="n"/>
      <c r="T79" s="1102" t="n"/>
      <c r="U79" s="266" t="n"/>
      <c r="V79" s="69" t="n"/>
      <c r="W79" s="1102" t="n"/>
      <c r="X79" s="266" t="n"/>
      <c r="Y79" s="69" t="n"/>
      <c r="Z79" s="1102" t="n"/>
      <c r="AA79" s="266" t="n"/>
      <c r="AB79" s="69" t="n"/>
      <c r="AC79" s="1102" t="n"/>
      <c r="AD79" s="266" t="n"/>
      <c r="AE79" s="69" t="n"/>
      <c r="AF79" s="1102" t="n"/>
      <c r="AG79" s="266" t="n"/>
      <c r="AH79" s="69" t="n"/>
      <c r="AI79" s="1102" t="n"/>
      <c r="AJ79" s="266" t="n"/>
      <c r="AK79" s="69" t="n"/>
      <c r="AL79" s="1102" t="n"/>
      <c r="AM79" s="268">
        <f>C79+F79+I79+L79+O79+R79+U79+X79+AA79+AD79+AG79+AJ79</f>
        <v/>
      </c>
      <c r="AN79" s="4" t="n"/>
      <c r="AO79" s="1103" t="n"/>
      <c r="AP79" s="1093" t="n"/>
    </row>
    <row r="80" ht="15" customHeight="1" s="1016">
      <c r="B80" s="25" t="inlineStr">
        <is>
          <t xml:space="preserve">Profesores </t>
        </is>
      </c>
      <c r="C80" s="25">
        <f>'[1]Hoja 1'!$C$736</f>
        <v/>
      </c>
      <c r="D80" s="272" t="n"/>
      <c r="E80" s="1070" t="n"/>
      <c r="F80" s="25">
        <f>'[8]Hoja 1'!$C$672</f>
        <v/>
      </c>
      <c r="G80" s="43" t="n"/>
      <c r="H80" s="1070" t="n"/>
      <c r="I80" s="25" t="n"/>
      <c r="J80" s="43" t="n"/>
      <c r="K80" s="1070" t="n"/>
      <c r="L80" s="25" t="n"/>
      <c r="M80" s="43" t="n"/>
      <c r="N80" s="1070" t="n"/>
      <c r="O80" s="25" t="n"/>
      <c r="P80" s="43" t="n"/>
      <c r="Q80" s="1070" t="n"/>
      <c r="R80" s="25" t="n"/>
      <c r="S80" s="43" t="n"/>
      <c r="T80" s="1070" t="n"/>
      <c r="U80" s="25" t="n"/>
      <c r="V80" s="43" t="n"/>
      <c r="W80" s="1070" t="n"/>
      <c r="X80" s="25" t="n"/>
      <c r="Y80" s="43" t="n"/>
      <c r="Z80" s="1070" t="n"/>
      <c r="AA80" s="25" t="n"/>
      <c r="AB80" s="43" t="n"/>
      <c r="AC80" s="1070" t="n"/>
      <c r="AD80" s="25" t="n"/>
      <c r="AE80" s="43" t="n"/>
      <c r="AF80" s="1070" t="n"/>
      <c r="AG80" s="25" t="n"/>
      <c r="AH80" s="43" t="n"/>
      <c r="AI80" s="1070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71" t="n"/>
      <c r="AQ80" s="1228" t="n"/>
      <c r="AR80" s="1228" t="n"/>
    </row>
    <row r="81" ht="15" customHeight="1" s="1016" thickBot="1">
      <c r="B81" s="98" t="inlineStr">
        <is>
          <t>Servicios Generales</t>
        </is>
      </c>
      <c r="C81" s="71" t="n"/>
      <c r="D81" s="800" t="n"/>
      <c r="E81" s="1111" t="n"/>
      <c r="F81" s="71" t="n"/>
      <c r="G81" s="72" t="n"/>
      <c r="H81" s="1111" t="n"/>
      <c r="I81" s="71" t="n"/>
      <c r="J81" s="72" t="n"/>
      <c r="K81" s="1111" t="n"/>
      <c r="L81" s="71" t="n"/>
      <c r="M81" s="72" t="n"/>
      <c r="N81" s="1111" t="n"/>
      <c r="O81" s="71" t="n"/>
      <c r="P81" s="72" t="n"/>
      <c r="Q81" s="1111" t="n"/>
      <c r="R81" s="71" t="n"/>
      <c r="S81" s="72" t="n"/>
      <c r="T81" s="1111" t="n"/>
      <c r="U81" s="71" t="n"/>
      <c r="V81" s="72" t="n"/>
      <c r="W81" s="1111" t="n"/>
      <c r="X81" s="71" t="n"/>
      <c r="Y81" s="72" t="n"/>
      <c r="Z81" s="1111" t="n"/>
      <c r="AA81" s="71" t="n"/>
      <c r="AB81" s="72" t="n"/>
      <c r="AC81" s="1111" t="n"/>
      <c r="AD81" s="71" t="n"/>
      <c r="AE81" s="72" t="n"/>
      <c r="AF81" s="1111" t="n"/>
      <c r="AG81" s="71" t="n"/>
      <c r="AH81" s="72" t="n"/>
      <c r="AI81" s="1111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05" t="n"/>
    </row>
    <row r="82" ht="15" customHeight="1" s="1016" thickBot="1" thickTop="1">
      <c r="C82" s="2" t="n"/>
      <c r="D82" s="2" t="n"/>
      <c r="E82" s="1092" t="n"/>
      <c r="F82" s="2" t="n"/>
      <c r="G82" s="2" t="n"/>
      <c r="H82" s="1092" t="n"/>
      <c r="I82" s="2" t="n"/>
      <c r="J82" s="2" t="n"/>
      <c r="K82" s="1092" t="n"/>
      <c r="L82" s="2" t="n"/>
      <c r="M82" s="2" t="n"/>
      <c r="N82" s="1092" t="n"/>
      <c r="O82" s="2" t="n"/>
      <c r="P82" s="2" t="n"/>
      <c r="Q82" s="1092" t="n"/>
      <c r="R82" s="2" t="n"/>
      <c r="S82" s="2" t="n"/>
      <c r="T82" s="1092" t="n"/>
      <c r="U82" s="2" t="n"/>
      <c r="V82" s="2" t="n"/>
      <c r="W82" s="1092" t="n"/>
      <c r="X82" s="2" t="n"/>
      <c r="Y82" s="2" t="n"/>
      <c r="Z82" s="1092" t="n"/>
      <c r="AA82" s="2" t="n"/>
      <c r="AB82" s="2" t="n"/>
      <c r="AC82" s="1092" t="n"/>
      <c r="AD82" s="2" t="n"/>
      <c r="AE82" s="2" t="n"/>
      <c r="AF82" s="1092" t="n"/>
      <c r="AG82" s="2" t="n"/>
      <c r="AH82" s="2" t="n"/>
      <c r="AI82" s="1092" t="n"/>
      <c r="AJ82" s="2" t="n"/>
      <c r="AK82" s="2" t="n"/>
      <c r="AL82" s="64" t="n"/>
      <c r="AM82" s="151" t="n"/>
      <c r="AN82" s="2" t="n"/>
      <c r="AO82" s="1092" t="n"/>
    </row>
    <row r="83" ht="15" customHeight="1" s="1016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094" t="n"/>
      <c r="F83" s="490">
        <f>+F84+F88+F91+F95+F98+F108+F113+F119+F122+F126</f>
        <v/>
      </c>
      <c r="G83" s="491" t="n"/>
      <c r="H83" s="1094" t="n"/>
      <c r="I83" s="490">
        <f>+I84+I88+I91+I95+I98+I108+I113+I119+I122+I126</f>
        <v/>
      </c>
      <c r="J83" s="491" t="n"/>
      <c r="K83" s="1094" t="n"/>
      <c r="L83" s="490">
        <f>+L84+L88+L91+L95+L98+L108+L113+L119+L122+L126</f>
        <v/>
      </c>
      <c r="M83" s="491" t="n"/>
      <c r="N83" s="1094" t="n"/>
      <c r="O83" s="490">
        <f>+O84+O88+O91+O95+O98+O108+O113+O119+O122+O126</f>
        <v/>
      </c>
      <c r="P83" s="491" t="n"/>
      <c r="Q83" s="1094" t="n"/>
      <c r="R83" s="490">
        <f>+R84+R88+R91+R95+R98+R108+R113+R119+R122+R126</f>
        <v/>
      </c>
      <c r="S83" s="491" t="n"/>
      <c r="T83" s="1094" t="n"/>
      <c r="U83" s="490">
        <f>+U84+U88+U91+U95+U98+U108+U113+U119+U122+U126</f>
        <v/>
      </c>
      <c r="V83" s="491" t="n"/>
      <c r="W83" s="1094" t="n"/>
      <c r="X83" s="490">
        <f>+X84+X88+X91+X95+X98+X108+X113+X119+X122+X126</f>
        <v/>
      </c>
      <c r="Y83" s="491" t="n"/>
      <c r="Z83" s="1094" t="n"/>
      <c r="AA83" s="490">
        <f>+AA84+AA88+AA91+AA95+AA98+AA108+AA113+AA119+AA122+AA126</f>
        <v/>
      </c>
      <c r="AB83" s="491" t="n"/>
      <c r="AC83" s="1094" t="n"/>
      <c r="AD83" s="440">
        <f>+AD84+AD88+AD91+AD95+AD98+AD108+AD113+AD119+AD122+AD126</f>
        <v/>
      </c>
      <c r="AE83" s="441" t="n"/>
      <c r="AF83" s="1128" t="n"/>
      <c r="AG83" s="440">
        <f>+AG84+AG88+AG91+AG95+AG98+AG108+AG113+AG119+AG122+AG126</f>
        <v/>
      </c>
      <c r="AH83" s="441" t="n"/>
      <c r="AI83" s="1128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06" t="n"/>
    </row>
    <row r="84" ht="15" customHeight="1" s="1016">
      <c r="B84" s="16" t="inlineStr">
        <is>
          <t>COSTOS DE PERSONAL</t>
        </is>
      </c>
      <c r="C84" s="49">
        <f>SUM(C85:C87)</f>
        <v/>
      </c>
      <c r="D84" s="3" t="n"/>
      <c r="E84" s="1078" t="n"/>
      <c r="F84" s="49">
        <f>SUM(F85:F87)</f>
        <v/>
      </c>
      <c r="G84" s="3" t="n"/>
      <c r="H84" s="1078" t="n"/>
      <c r="I84" s="49">
        <f>SUM(I85:I87)</f>
        <v/>
      </c>
      <c r="J84" s="3" t="n"/>
      <c r="K84" s="1078" t="n"/>
      <c r="L84" s="49">
        <f>SUM(L85:L87)</f>
        <v/>
      </c>
      <c r="M84" s="3" t="n"/>
      <c r="N84" s="1078" t="n"/>
      <c r="O84" s="49">
        <f>SUM(O85:O87)</f>
        <v/>
      </c>
      <c r="P84" s="3" t="n"/>
      <c r="Q84" s="1078" t="n"/>
      <c r="R84" s="49">
        <f>SUM(R85:R87)</f>
        <v/>
      </c>
      <c r="S84" s="3" t="n"/>
      <c r="T84" s="1078" t="n"/>
      <c r="U84" s="49">
        <f>SUM(U85:U87)</f>
        <v/>
      </c>
      <c r="V84" s="3" t="n"/>
      <c r="W84" s="1078" t="n"/>
      <c r="X84" s="49">
        <f>SUM(X85:X87)</f>
        <v/>
      </c>
      <c r="Y84" s="3" t="n"/>
      <c r="Z84" s="1078" t="n"/>
      <c r="AA84" s="49">
        <f>SUM(AA85:AA87)</f>
        <v/>
      </c>
      <c r="AB84" s="3" t="n"/>
      <c r="AC84" s="1078" t="n"/>
      <c r="AD84" s="49">
        <f>SUM(AD85:AD87)</f>
        <v/>
      </c>
      <c r="AE84" s="3" t="n"/>
      <c r="AF84" s="1078" t="n"/>
      <c r="AG84" s="49">
        <f>SUM(AG85:AG87)</f>
        <v/>
      </c>
      <c r="AH84" s="3" t="n"/>
      <c r="AI84" s="1078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01" t="n"/>
    </row>
    <row r="85" ht="15" customHeight="1" s="1016">
      <c r="B85" s="39" t="inlineStr">
        <is>
          <t>Costos Indirectos de Personal</t>
        </is>
      </c>
      <c r="C85" s="39" t="n"/>
      <c r="D85" s="69" t="n"/>
      <c r="E85" s="1102" t="n"/>
      <c r="F85" s="353" t="n"/>
      <c r="G85" s="69" t="n"/>
      <c r="H85" s="1102" t="n"/>
      <c r="I85" s="353" t="n"/>
      <c r="J85" s="69" t="n"/>
      <c r="K85" s="1102" t="n"/>
      <c r="L85" s="39" t="n"/>
      <c r="M85" s="69" t="n"/>
      <c r="N85" s="1102" t="n"/>
      <c r="O85" s="39" t="n"/>
      <c r="P85" s="69" t="n"/>
      <c r="Q85" s="1102" t="n"/>
      <c r="R85" s="39" t="n"/>
      <c r="S85" s="69" t="n"/>
      <c r="T85" s="1102" t="n"/>
      <c r="U85" s="39" t="n"/>
      <c r="V85" s="69" t="n"/>
      <c r="W85" s="1102" t="n"/>
      <c r="X85" s="39" t="n"/>
      <c r="Y85" s="69" t="n"/>
      <c r="Z85" s="1102" t="n"/>
      <c r="AA85" s="39" t="n"/>
      <c r="AB85" s="69" t="n"/>
      <c r="AC85" s="1102" t="n"/>
      <c r="AD85" s="39" t="n"/>
      <c r="AE85" s="69" t="n"/>
      <c r="AF85" s="1102" t="n"/>
      <c r="AG85" s="39" t="n"/>
      <c r="AH85" s="69" t="n"/>
      <c r="AI85" s="1102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07" t="n"/>
    </row>
    <row r="86" ht="15" customHeight="1" s="1016">
      <c r="B86" s="25" t="inlineStr">
        <is>
          <t>Dotación y Suministros</t>
        </is>
      </c>
      <c r="C86" s="25" t="n"/>
      <c r="D86" s="43" t="n"/>
      <c r="E86" s="1070" t="n"/>
      <c r="F86" s="25" t="n"/>
      <c r="G86" s="272" t="n"/>
      <c r="H86" s="1070" t="n"/>
      <c r="I86" s="25" t="n"/>
      <c r="J86" s="43" t="n"/>
      <c r="K86" s="1070" t="n"/>
      <c r="L86" s="25" t="n"/>
      <c r="M86" s="43" t="n"/>
      <c r="N86" s="1070" t="n"/>
      <c r="O86" s="25" t="n"/>
      <c r="P86" s="43" t="n"/>
      <c r="Q86" s="1070" t="n"/>
      <c r="R86" s="25" t="n"/>
      <c r="S86" s="43" t="n"/>
      <c r="T86" s="1070" t="n"/>
      <c r="U86" s="25" t="n"/>
      <c r="V86" s="43" t="n"/>
      <c r="W86" s="1070" t="n"/>
      <c r="X86" s="25" t="n"/>
      <c r="Y86" s="43" t="n"/>
      <c r="Z86" s="1070" t="n"/>
      <c r="AA86" s="25" t="n"/>
      <c r="AB86" s="43" t="n"/>
      <c r="AC86" s="1070" t="n"/>
      <c r="AD86" s="25" t="n"/>
      <c r="AE86" s="43" t="n"/>
      <c r="AF86" s="1070" t="n"/>
      <c r="AG86" s="25" t="n"/>
      <c r="AH86" s="43" t="n"/>
      <c r="AI86" s="1070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71" t="n"/>
    </row>
    <row r="87" ht="15" customHeight="1" s="1016">
      <c r="B87" s="97" t="inlineStr">
        <is>
          <t>Gastos Medicos</t>
        </is>
      </c>
      <c r="C87" s="22" t="n"/>
      <c r="D87" s="42" t="n"/>
      <c r="E87" s="1082" t="n"/>
      <c r="F87" s="273" t="n"/>
      <c r="G87" s="146" t="n"/>
      <c r="H87" s="1082" t="n"/>
      <c r="I87" s="22" t="n"/>
      <c r="J87" s="42" t="n"/>
      <c r="K87" s="1082" t="n"/>
      <c r="L87" s="22" t="n"/>
      <c r="M87" s="42" t="n"/>
      <c r="N87" s="1082" t="n"/>
      <c r="O87" s="22" t="n"/>
      <c r="P87" s="42" t="n"/>
      <c r="Q87" s="1082" t="n"/>
      <c r="R87" s="22" t="n"/>
      <c r="S87" s="42" t="n"/>
      <c r="T87" s="1082" t="n"/>
      <c r="U87" s="22" t="n"/>
      <c r="V87" s="42" t="n"/>
      <c r="W87" s="1082" t="n"/>
      <c r="X87" s="22" t="n"/>
      <c r="Y87" s="42" t="n"/>
      <c r="Z87" s="1082" t="n"/>
      <c r="AA87" s="22" t="n"/>
      <c r="AB87" s="42" t="n"/>
      <c r="AC87" s="1082" t="n"/>
      <c r="AD87" s="22" t="n"/>
      <c r="AE87" s="42" t="n"/>
      <c r="AF87" s="1082" t="n"/>
      <c r="AG87" s="22" t="n"/>
      <c r="AH87" s="42" t="n"/>
      <c r="AI87" s="1082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083" t="n"/>
    </row>
    <row r="88" ht="15" customHeight="1" s="1016">
      <c r="B88" s="16" t="inlineStr">
        <is>
          <t>HONORARIOS</t>
        </is>
      </c>
      <c r="C88" s="49">
        <f>SUM(C89:C90)</f>
        <v/>
      </c>
      <c r="D88" s="3" t="n"/>
      <c r="E88" s="1078" t="n"/>
      <c r="F88" s="49">
        <f>SUM(F89:F90)</f>
        <v/>
      </c>
      <c r="G88" s="3" t="n"/>
      <c r="H88" s="1078" t="n"/>
      <c r="I88" s="90">
        <f>SUM(I89:I90)</f>
        <v/>
      </c>
      <c r="J88" s="3" t="n"/>
      <c r="K88" s="1078" t="n"/>
      <c r="L88" s="49">
        <f>SUM(L89:L90)</f>
        <v/>
      </c>
      <c r="M88" s="3" t="n"/>
      <c r="N88" s="1078" t="n"/>
      <c r="O88" s="49">
        <f>SUM(O89:O90)</f>
        <v/>
      </c>
      <c r="P88" s="3" t="n"/>
      <c r="Q88" s="1078" t="n"/>
      <c r="R88" s="49">
        <f>SUM(R89:R90)</f>
        <v/>
      </c>
      <c r="S88" s="3" t="n"/>
      <c r="T88" s="1078" t="n"/>
      <c r="U88" s="49">
        <f>SUM(U89:U90)</f>
        <v/>
      </c>
      <c r="V88" s="3" t="n"/>
      <c r="W88" s="1078" t="n"/>
      <c r="X88" s="49">
        <f>SUM(X89:X90)</f>
        <v/>
      </c>
      <c r="Y88" s="3" t="n"/>
      <c r="Z88" s="1078" t="n"/>
      <c r="AA88" s="49">
        <f>SUM(AA89:AA90)</f>
        <v/>
      </c>
      <c r="AB88" s="3" t="n"/>
      <c r="AC88" s="1078" t="n"/>
      <c r="AD88" s="49">
        <f>SUM(AD89:AD90)</f>
        <v/>
      </c>
      <c r="AE88" s="3" t="n"/>
      <c r="AF88" s="1078" t="n"/>
      <c r="AG88" s="49">
        <f>SUM(AG89:AG90)</f>
        <v/>
      </c>
      <c r="AH88" s="3" t="n"/>
      <c r="AI88" s="1078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01" t="n"/>
    </row>
    <row r="89" outlineLevel="1" ht="15" customHeight="1" s="1016">
      <c r="B89" s="39" t="inlineStr">
        <is>
          <t>Asesoría Juridica</t>
        </is>
      </c>
      <c r="C89" s="39" t="n"/>
      <c r="D89" s="69" t="n"/>
      <c r="E89" s="1102" t="n"/>
      <c r="F89" s="39" t="n"/>
      <c r="G89" s="69" t="n"/>
      <c r="H89" s="1102" t="n"/>
      <c r="I89" s="39" t="n"/>
      <c r="J89" s="69" t="n"/>
      <c r="K89" s="1102" t="n"/>
      <c r="L89" s="39" t="n"/>
      <c r="M89" s="69" t="n"/>
      <c r="N89" s="1102" t="n"/>
      <c r="O89" s="39" t="n"/>
      <c r="P89" s="69" t="n"/>
      <c r="Q89" s="1102" t="n"/>
      <c r="R89" s="39" t="n"/>
      <c r="S89" s="69" t="n"/>
      <c r="T89" s="1102" t="n"/>
      <c r="U89" s="39" t="n"/>
      <c r="V89" s="69" t="n"/>
      <c r="W89" s="1102" t="n"/>
      <c r="X89" s="39" t="n"/>
      <c r="Y89" s="69" t="n"/>
      <c r="Z89" s="1102" t="n"/>
      <c r="AA89" s="39" t="n"/>
      <c r="AB89" s="69" t="n"/>
      <c r="AC89" s="1102" t="n"/>
      <c r="AD89" s="39" t="n"/>
      <c r="AE89" s="69" t="n"/>
      <c r="AF89" s="1102" t="n"/>
      <c r="AG89" s="39" t="n"/>
      <c r="AH89" s="69" t="n"/>
      <c r="AI89" s="1102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07" t="n"/>
    </row>
    <row r="90" outlineLevel="1" ht="15" customHeight="1" s="1016">
      <c r="B90" s="83" t="inlineStr">
        <is>
          <t>Capacitacion</t>
        </is>
      </c>
      <c r="C90" s="83" t="n"/>
      <c r="D90" s="84" t="n"/>
      <c r="E90" s="1072" t="n"/>
      <c r="F90" s="83" t="n"/>
      <c r="G90" s="84" t="n"/>
      <c r="H90" s="1072" t="n"/>
      <c r="I90" s="83" t="n"/>
      <c r="J90" s="84" t="n"/>
      <c r="K90" s="1072" t="n"/>
      <c r="L90" s="83" t="n"/>
      <c r="M90" s="84" t="n"/>
      <c r="N90" s="1072" t="n"/>
      <c r="O90" s="83" t="n"/>
      <c r="P90" s="84" t="n"/>
      <c r="Q90" s="1072" t="n"/>
      <c r="R90" s="83" t="n"/>
      <c r="S90" s="84" t="n"/>
      <c r="T90" s="1072" t="n"/>
      <c r="U90" s="83" t="n"/>
      <c r="V90" s="84" t="n"/>
      <c r="W90" s="1072" t="n"/>
      <c r="X90" s="83" t="n"/>
      <c r="Y90" s="84" t="n"/>
      <c r="Z90" s="1072" t="n"/>
      <c r="AA90" s="83" t="n"/>
      <c r="AB90" s="84" t="n"/>
      <c r="AC90" s="1072" t="n"/>
      <c r="AD90" s="83" t="n"/>
      <c r="AE90" s="84" t="n"/>
      <c r="AF90" s="1072" t="n"/>
      <c r="AG90" s="83" t="n"/>
      <c r="AH90" s="84" t="n"/>
      <c r="AI90" s="1072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73" t="n"/>
    </row>
    <row r="91" ht="15" customHeight="1" s="1016">
      <c r="B91" s="16" t="inlineStr">
        <is>
          <t>ARRENDAMIENTOS</t>
        </is>
      </c>
      <c r="C91" s="49">
        <f>SUM(C92:C94)</f>
        <v/>
      </c>
      <c r="D91" s="3" t="n"/>
      <c r="E91" s="1078" t="n"/>
      <c r="F91" s="49">
        <f>SUM(F92:F94)</f>
        <v/>
      </c>
      <c r="G91" s="3" t="n"/>
      <c r="H91" s="1078" t="n"/>
      <c r="I91" s="90">
        <f>SUM(I92:I94)</f>
        <v/>
      </c>
      <c r="J91" s="3" t="n"/>
      <c r="K91" s="1078" t="n"/>
      <c r="L91" s="49">
        <f>SUM(L92:L94)</f>
        <v/>
      </c>
      <c r="M91" s="3" t="n"/>
      <c r="N91" s="1078" t="n"/>
      <c r="O91" s="49">
        <f>SUM(O92:O94)</f>
        <v/>
      </c>
      <c r="P91" s="3" t="n"/>
      <c r="Q91" s="1078" t="n"/>
      <c r="R91" s="49">
        <f>SUM(R92:R94)</f>
        <v/>
      </c>
      <c r="S91" s="3" t="n"/>
      <c r="T91" s="1078" t="n"/>
      <c r="U91" s="49">
        <f>SUM(U92:U94)</f>
        <v/>
      </c>
      <c r="V91" s="3" t="n"/>
      <c r="W91" s="1078" t="n"/>
      <c r="X91" s="49">
        <f>SUM(X92:X94)</f>
        <v/>
      </c>
      <c r="Y91" s="3" t="n"/>
      <c r="Z91" s="1078" t="n"/>
      <c r="AA91" s="49">
        <f>SUM(AA92:AA94)</f>
        <v/>
      </c>
      <c r="AB91" s="3" t="n"/>
      <c r="AC91" s="1078" t="n"/>
      <c r="AD91" s="49">
        <f>SUM(AD92:AD94)</f>
        <v/>
      </c>
      <c r="AE91" s="3" t="n"/>
      <c r="AF91" s="1078" t="n"/>
      <c r="AG91" s="49">
        <f>SUM(AG92:AG94)</f>
        <v/>
      </c>
      <c r="AH91" s="3" t="n"/>
      <c r="AI91" s="1078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01" t="n"/>
    </row>
    <row r="92" outlineLevel="1" ht="15" customHeight="1" s="1016">
      <c r="B92" s="39" t="inlineStr">
        <is>
          <t>Construcciones y Edificaciones</t>
        </is>
      </c>
      <c r="C92" s="39">
        <f>'[1]Hoja 1'!$C$708</f>
        <v/>
      </c>
      <c r="D92" s="69" t="n"/>
      <c r="E92" s="1102" t="n"/>
      <c r="F92" s="39" t="n"/>
      <c r="G92" s="69" t="n"/>
      <c r="H92" s="1102" t="n"/>
      <c r="I92" s="39" t="n"/>
      <c r="J92" s="69" t="n"/>
      <c r="K92" s="1102" t="n"/>
      <c r="L92" s="39" t="n"/>
      <c r="M92" s="69" t="n"/>
      <c r="N92" s="1102" t="n"/>
      <c r="O92" s="39" t="n"/>
      <c r="P92" s="69" t="n"/>
      <c r="Q92" s="1102" t="n"/>
      <c r="R92" s="39" t="n"/>
      <c r="S92" s="69" t="n"/>
      <c r="T92" s="1102" t="n"/>
      <c r="U92" s="39" t="n"/>
      <c r="V92" s="69" t="n"/>
      <c r="W92" s="1102" t="n"/>
      <c r="X92" s="39" t="n"/>
      <c r="Y92" s="69" t="n"/>
      <c r="Z92" s="1102" t="n"/>
      <c r="AA92" s="39" t="n"/>
      <c r="AB92" s="69" t="n"/>
      <c r="AC92" s="1102" t="n"/>
      <c r="AD92" s="39" t="n"/>
      <c r="AE92" s="69" t="n"/>
      <c r="AF92" s="1102" t="n"/>
      <c r="AG92" s="39" t="n"/>
      <c r="AH92" s="69" t="n"/>
      <c r="AI92" s="1102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07" t="n"/>
    </row>
    <row r="93" outlineLevel="1" ht="15" customHeight="1" s="1016">
      <c r="B93" s="25" t="inlineStr">
        <is>
          <t>Maquinaria y Equipo</t>
        </is>
      </c>
      <c r="C93" s="25" t="n"/>
      <c r="D93" s="43" t="n"/>
      <c r="E93" s="1070" t="n"/>
      <c r="F93" s="25" t="n"/>
      <c r="G93" s="43" t="n"/>
      <c r="H93" s="1070" t="n"/>
      <c r="I93" s="25" t="n"/>
      <c r="J93" s="43" t="n"/>
      <c r="K93" s="1070" t="n"/>
      <c r="L93" s="25" t="n"/>
      <c r="M93" s="43" t="n"/>
      <c r="N93" s="1070" t="n"/>
      <c r="O93" s="25" t="n"/>
      <c r="P93" s="43" t="n"/>
      <c r="Q93" s="1070" t="n"/>
      <c r="R93" s="25" t="n"/>
      <c r="S93" s="43" t="n"/>
      <c r="T93" s="1070" t="n"/>
      <c r="U93" s="25" t="n"/>
      <c r="V93" s="43" t="n"/>
      <c r="W93" s="1070" t="n"/>
      <c r="X93" s="25" t="n"/>
      <c r="Y93" s="43" t="n"/>
      <c r="Z93" s="1070" t="n"/>
      <c r="AA93" s="25" t="n"/>
      <c r="AB93" s="43" t="n"/>
      <c r="AC93" s="1070" t="n"/>
      <c r="AD93" s="25" t="n"/>
      <c r="AE93" s="43" t="n"/>
      <c r="AF93" s="1070" t="n"/>
      <c r="AG93" s="25" t="n"/>
      <c r="AH93" s="43" t="n"/>
      <c r="AI93" s="1070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71" t="n"/>
    </row>
    <row r="94" outlineLevel="1" ht="15" customHeight="1" s="1016">
      <c r="B94" s="28" t="inlineStr">
        <is>
          <t>Equipo de Oficina</t>
        </is>
      </c>
      <c r="C94" s="28" t="n"/>
      <c r="D94" s="45" t="n"/>
      <c r="E94" s="1098" t="n"/>
      <c r="F94" s="28" t="n"/>
      <c r="G94" s="45" t="n"/>
      <c r="H94" s="1098" t="n"/>
      <c r="I94" s="28" t="n"/>
      <c r="J94" s="45" t="n"/>
      <c r="K94" s="1098" t="n"/>
      <c r="L94" s="28" t="n"/>
      <c r="M94" s="45" t="n"/>
      <c r="N94" s="1098" t="n"/>
      <c r="O94" s="28" t="n"/>
      <c r="P94" s="45" t="n"/>
      <c r="Q94" s="1098" t="n"/>
      <c r="R94" s="28" t="n"/>
      <c r="S94" s="45" t="n"/>
      <c r="T94" s="1098" t="n"/>
      <c r="U94" s="28" t="n"/>
      <c r="V94" s="45" t="n"/>
      <c r="W94" s="1098" t="n"/>
      <c r="X94" s="28" t="n"/>
      <c r="Y94" s="45" t="n"/>
      <c r="Z94" s="1098" t="n"/>
      <c r="AA94" s="28" t="n"/>
      <c r="AB94" s="45" t="n"/>
      <c r="AC94" s="1098" t="n"/>
      <c r="AD94" s="28" t="n"/>
      <c r="AE94" s="45" t="n"/>
      <c r="AF94" s="1098" t="n"/>
      <c r="AG94" s="28" t="n"/>
      <c r="AH94" s="45" t="n"/>
      <c r="AI94" s="1098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08" t="n"/>
    </row>
    <row r="95" hidden="1" ht="15" customHeight="1" s="1016">
      <c r="B95" s="106" t="inlineStr">
        <is>
          <t>SEGUROS</t>
        </is>
      </c>
      <c r="C95" s="49">
        <f>SUM(C96:C97)</f>
        <v/>
      </c>
      <c r="D95" s="3" t="n"/>
      <c r="E95" s="1078" t="n"/>
      <c r="F95" s="49">
        <f>SUM(F96:F97)</f>
        <v/>
      </c>
      <c r="G95" s="3" t="n"/>
      <c r="H95" s="1078" t="n"/>
      <c r="I95" s="90">
        <f>SUM(I96:I97)</f>
        <v/>
      </c>
      <c r="J95" s="3" t="n"/>
      <c r="K95" s="1078" t="n"/>
      <c r="L95" s="49">
        <f>SUM(L96:L97)</f>
        <v/>
      </c>
      <c r="M95" s="3" t="n"/>
      <c r="N95" s="1078" t="n"/>
      <c r="O95" s="49">
        <f>SUM(O96:O97)</f>
        <v/>
      </c>
      <c r="P95" s="3" t="n"/>
      <c r="Q95" s="1078" t="n"/>
      <c r="R95" s="49">
        <f>SUM(R96:R97)</f>
        <v/>
      </c>
      <c r="S95" s="3" t="n"/>
      <c r="T95" s="1078" t="n"/>
      <c r="U95" s="49">
        <f>SUM(U96:U97)</f>
        <v/>
      </c>
      <c r="V95" s="3" t="n"/>
      <c r="W95" s="1078" t="n"/>
      <c r="X95" s="49">
        <f>SUM(X96:X97)</f>
        <v/>
      </c>
      <c r="Y95" s="3" t="n"/>
      <c r="Z95" s="1078">
        <f>X95/(X$13)</f>
        <v/>
      </c>
      <c r="AA95" s="49">
        <f>SUM(AA96:AA97)</f>
        <v/>
      </c>
      <c r="AB95" s="3" t="n"/>
      <c r="AC95" s="1078" t="n"/>
      <c r="AD95" s="49">
        <f>SUM(AD96:AD97)</f>
        <v/>
      </c>
      <c r="AE95" s="3" t="n"/>
      <c r="AF95" s="1078" t="n"/>
      <c r="AG95" s="49">
        <f>SUM(AG96:AG97)</f>
        <v/>
      </c>
      <c r="AH95" s="3" t="n"/>
      <c r="AI95" s="1078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01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02" t="n"/>
      <c r="F96" s="39" t="n"/>
      <c r="G96" s="69" t="n"/>
      <c r="H96" s="1102" t="n"/>
      <c r="I96" s="39" t="n"/>
      <c r="J96" s="69" t="n"/>
      <c r="K96" s="1102" t="n"/>
      <c r="L96" s="353" t="n"/>
      <c r="M96" s="69" t="n"/>
      <c r="N96" s="1102" t="n"/>
      <c r="O96" s="39" t="n"/>
      <c r="P96" s="69" t="n"/>
      <c r="Q96" s="1102" t="n"/>
      <c r="R96" s="39" t="n"/>
      <c r="S96" s="69" t="n"/>
      <c r="T96" s="1102" t="n"/>
      <c r="U96" s="39" t="n"/>
      <c r="V96" s="69" t="n"/>
      <c r="W96" s="1102" t="n"/>
      <c r="X96" s="39" t="n"/>
      <c r="Y96" s="69" t="n"/>
      <c r="Z96" s="1102" t="n"/>
      <c r="AA96" s="39" t="n"/>
      <c r="AB96" s="69" t="n"/>
      <c r="AC96" s="1102" t="n"/>
      <c r="AD96" s="39" t="n"/>
      <c r="AE96" s="69" t="n"/>
      <c r="AF96" s="1102" t="n"/>
      <c r="AG96" s="39" t="n"/>
      <c r="AH96" s="69" t="n"/>
      <c r="AI96" s="1102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07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09" t="n"/>
      <c r="F97" s="275" t="n"/>
      <c r="G97" s="276" t="n"/>
      <c r="H97" s="1109" t="n"/>
      <c r="I97" s="275" t="n"/>
      <c r="J97" s="276" t="n"/>
      <c r="K97" s="1109" t="n"/>
      <c r="L97" s="275" t="n"/>
      <c r="M97" s="276" t="n"/>
      <c r="N97" s="1109" t="n"/>
      <c r="O97" s="275" t="n"/>
      <c r="P97" s="276" t="n"/>
      <c r="Q97" s="1109" t="n"/>
      <c r="R97" s="275" t="n"/>
      <c r="S97" s="276" t="n"/>
      <c r="T97" s="1109" t="n"/>
      <c r="U97" s="275" t="n"/>
      <c r="V97" s="276" t="n"/>
      <c r="W97" s="1109" t="n"/>
      <c r="X97" s="275" t="n"/>
      <c r="Y97" s="276" t="n"/>
      <c r="Z97" s="1109" t="n"/>
      <c r="AA97" s="275" t="n"/>
      <c r="AB97" s="276" t="n"/>
      <c r="AC97" s="1109" t="n"/>
      <c r="AD97" s="275" t="n"/>
      <c r="AE97" s="276" t="n"/>
      <c r="AF97" s="1109" t="n"/>
      <c r="AG97" s="275" t="n"/>
      <c r="AH97" s="276" t="n"/>
      <c r="AI97" s="1109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10" t="n"/>
    </row>
    <row r="98" collapsed="1" ht="15" customHeight="1" s="1016">
      <c r="B98" s="16" t="inlineStr">
        <is>
          <t>SERVICIOS</t>
        </is>
      </c>
      <c r="C98" s="49">
        <f>SUM(C99:C107)</f>
        <v/>
      </c>
      <c r="D98" s="3" t="n"/>
      <c r="E98" s="1078" t="n"/>
      <c r="F98" s="90">
        <f>SUM(F99:F107)</f>
        <v/>
      </c>
      <c r="G98" s="3" t="n"/>
      <c r="H98" s="1078" t="n"/>
      <c r="I98" s="90">
        <f>SUM(I99:I107)</f>
        <v/>
      </c>
      <c r="J98" s="3" t="n"/>
      <c r="K98" s="1078" t="n"/>
      <c r="L98" s="49">
        <f>SUM(L99:L107)</f>
        <v/>
      </c>
      <c r="M98" s="3" t="n"/>
      <c r="N98" s="1078" t="n"/>
      <c r="O98" s="49">
        <f>SUM(O99:O107)</f>
        <v/>
      </c>
      <c r="P98" s="3" t="n"/>
      <c r="Q98" s="1078" t="n"/>
      <c r="R98" s="49">
        <f>SUM(R99:R107)</f>
        <v/>
      </c>
      <c r="S98" s="3" t="n"/>
      <c r="T98" s="1078" t="n"/>
      <c r="U98" s="49">
        <f>SUM(U99:U107)</f>
        <v/>
      </c>
      <c r="V98" s="3" t="n"/>
      <c r="W98" s="1078" t="n"/>
      <c r="X98" s="49">
        <f>SUM(X99:X107)</f>
        <v/>
      </c>
      <c r="Y98" s="3" t="n"/>
      <c r="Z98" s="1078" t="n"/>
      <c r="AA98" s="49">
        <f>SUM(AA99:AA107)</f>
        <v/>
      </c>
      <c r="AB98" s="3" t="n"/>
      <c r="AC98" s="1078" t="n"/>
      <c r="AD98" s="49">
        <f>SUM(AD99:AD107)</f>
        <v/>
      </c>
      <c r="AE98" s="3" t="n"/>
      <c r="AF98" s="1078" t="n"/>
      <c r="AG98" s="49">
        <f>SUM(AG99:AG107)</f>
        <v/>
      </c>
      <c r="AH98" s="3" t="n"/>
      <c r="AI98" s="1078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01" t="n"/>
    </row>
    <row r="99" outlineLevel="1" ht="15" customHeight="1" s="1016">
      <c r="B99" s="39" t="inlineStr">
        <is>
          <t>Aseo y Vigilancia</t>
        </is>
      </c>
      <c r="C99" s="39" t="n"/>
      <c r="D99" s="69" t="n"/>
      <c r="E99" s="1102" t="n"/>
      <c r="F99" s="39" t="n"/>
      <c r="G99" s="69" t="n"/>
      <c r="H99" s="1102" t="n"/>
      <c r="I99" s="39" t="n"/>
      <c r="J99" s="69" t="n"/>
      <c r="K99" s="1102" t="n"/>
      <c r="L99" s="39" t="n"/>
      <c r="M99" s="69" t="n"/>
      <c r="N99" s="1102" t="n"/>
      <c r="O99" s="39" t="n"/>
      <c r="P99" s="69" t="n"/>
      <c r="Q99" s="1102" t="n"/>
      <c r="R99" s="39" t="n"/>
      <c r="S99" s="69" t="n"/>
      <c r="T99" s="1102" t="n"/>
      <c r="U99" s="39" t="n"/>
      <c r="V99" s="69" t="n"/>
      <c r="W99" s="1102" t="n"/>
      <c r="X99" s="39" t="n"/>
      <c r="Y99" s="69" t="n"/>
      <c r="Z99" s="1102" t="n"/>
      <c r="AA99" s="39" t="n"/>
      <c r="AB99" s="69" t="n"/>
      <c r="AC99" s="1102" t="n"/>
      <c r="AD99" s="39" t="n"/>
      <c r="AE99" s="69" t="n"/>
      <c r="AF99" s="1102" t="n"/>
      <c r="AG99" s="39" t="n"/>
      <c r="AH99" s="69" t="n"/>
      <c r="AI99" s="1102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07" t="n"/>
    </row>
    <row r="100" outlineLevel="1" ht="15" customHeight="1" s="1016">
      <c r="B100" s="25" t="inlineStr">
        <is>
          <t>Temporales</t>
        </is>
      </c>
      <c r="C100" s="25" t="n"/>
      <c r="D100" s="43" t="n"/>
      <c r="E100" s="1070" t="n"/>
      <c r="F100" s="25" t="n"/>
      <c r="G100" s="43" t="n"/>
      <c r="H100" s="1070" t="n"/>
      <c r="I100" s="25" t="n"/>
      <c r="J100" s="43" t="n"/>
      <c r="K100" s="1070" t="n"/>
      <c r="L100" s="25" t="n"/>
      <c r="M100" s="43" t="n"/>
      <c r="N100" s="1070" t="n"/>
      <c r="O100" s="25" t="n"/>
      <c r="P100" s="43" t="n"/>
      <c r="Q100" s="1070" t="n"/>
      <c r="R100" s="25" t="n"/>
      <c r="S100" s="43" t="n"/>
      <c r="T100" s="1070" t="n"/>
      <c r="U100" s="25" t="n"/>
      <c r="V100" s="43" t="n"/>
      <c r="W100" s="1070" t="n"/>
      <c r="X100" s="25" t="n"/>
      <c r="Y100" s="43" t="n"/>
      <c r="Z100" s="1070" t="n"/>
      <c r="AA100" s="25" t="n"/>
      <c r="AB100" s="43" t="n"/>
      <c r="AC100" s="1070" t="n"/>
      <c r="AD100" s="25" t="n"/>
      <c r="AE100" s="43" t="n"/>
      <c r="AF100" s="1070" t="n"/>
      <c r="AG100" s="25" t="n"/>
      <c r="AH100" s="43" t="n"/>
      <c r="AI100" s="1070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71" t="n"/>
    </row>
    <row r="101" outlineLevel="1" ht="15" customHeight="1" s="1016">
      <c r="B101" s="25" t="inlineStr">
        <is>
          <t>Mensajeria</t>
        </is>
      </c>
      <c r="C101" s="25" t="n"/>
      <c r="D101" s="43" t="n"/>
      <c r="E101" s="1070" t="n"/>
      <c r="F101" s="25" t="n"/>
      <c r="G101" s="43" t="n"/>
      <c r="H101" s="1070" t="n"/>
      <c r="I101" s="25" t="n"/>
      <c r="J101" s="43" t="n"/>
      <c r="K101" s="1070" t="n"/>
      <c r="L101" s="25" t="n"/>
      <c r="M101" s="43" t="n"/>
      <c r="N101" s="1070" t="n"/>
      <c r="O101" s="25" t="n"/>
      <c r="P101" s="43" t="n"/>
      <c r="Q101" s="1070" t="n"/>
      <c r="R101" s="25" t="n"/>
      <c r="S101" s="43" t="n"/>
      <c r="T101" s="1070" t="n"/>
      <c r="U101" s="25" t="n"/>
      <c r="V101" s="43" t="n"/>
      <c r="W101" s="1070" t="n"/>
      <c r="X101" s="25" t="n"/>
      <c r="Y101" s="43" t="n"/>
      <c r="Z101" s="1070" t="n"/>
      <c r="AA101" s="25" t="n"/>
      <c r="AB101" s="43" t="n"/>
      <c r="AC101" s="1070" t="n"/>
      <c r="AD101" s="25" t="n"/>
      <c r="AE101" s="43" t="n"/>
      <c r="AF101" s="1070" t="n"/>
      <c r="AG101" s="25" t="n"/>
      <c r="AH101" s="43" t="n"/>
      <c r="AI101" s="1070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71" t="n"/>
    </row>
    <row r="102" outlineLevel="1" ht="15" customHeight="1" s="1016">
      <c r="B102" s="25" t="inlineStr">
        <is>
          <t>Laboratorio</t>
        </is>
      </c>
      <c r="C102" s="281" t="n"/>
      <c r="D102" s="43" t="n"/>
      <c r="E102" s="1070" t="n"/>
      <c r="F102" s="25" t="n"/>
      <c r="G102" s="43" t="n"/>
      <c r="H102" s="1070" t="n"/>
      <c r="I102" s="25" t="n"/>
      <c r="J102" s="43" t="n"/>
      <c r="K102" s="1070" t="n"/>
      <c r="L102" s="25" t="n"/>
      <c r="M102" s="43" t="n"/>
      <c r="N102" s="1070" t="n"/>
      <c r="O102" s="25" t="n"/>
      <c r="P102" s="43" t="n"/>
      <c r="Q102" s="1070" t="n"/>
      <c r="R102" s="25" t="n"/>
      <c r="S102" s="43" t="n"/>
      <c r="T102" s="1070" t="n"/>
      <c r="U102" s="25" t="n"/>
      <c r="V102" s="43" t="n"/>
      <c r="W102" s="1070" t="n"/>
      <c r="X102" s="25" t="n"/>
      <c r="Y102" s="43" t="n"/>
      <c r="Z102" s="1070" t="n"/>
      <c r="AA102" s="25" t="n"/>
      <c r="AB102" s="43" t="n"/>
      <c r="AC102" s="1070" t="n"/>
      <c r="AD102" s="25" t="n"/>
      <c r="AE102" s="43" t="n"/>
      <c r="AF102" s="1070" t="n"/>
      <c r="AG102" s="25" t="n"/>
      <c r="AH102" s="43" t="n"/>
      <c r="AI102" s="1070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71" t="n"/>
    </row>
    <row r="103" outlineLevel="1" ht="15" customHeight="1" s="1016">
      <c r="B103" s="25" t="inlineStr">
        <is>
          <t>Fumigacion</t>
        </is>
      </c>
      <c r="C103" s="281" t="n"/>
      <c r="D103" s="43" t="n"/>
      <c r="E103" s="1070" t="n"/>
      <c r="F103" s="25" t="n"/>
      <c r="G103" s="43" t="n"/>
      <c r="H103" s="1070" t="n"/>
      <c r="I103" s="25" t="n"/>
      <c r="J103" s="43" t="n"/>
      <c r="K103" s="1070" t="n"/>
      <c r="L103" s="25" t="n"/>
      <c r="M103" s="43" t="n"/>
      <c r="N103" s="1070" t="n"/>
      <c r="O103" s="25" t="n"/>
      <c r="P103" s="43" t="n"/>
      <c r="Q103" s="1070" t="n"/>
      <c r="R103" s="25" t="n"/>
      <c r="S103" s="43" t="n"/>
      <c r="T103" s="1070" t="n"/>
      <c r="U103" s="25" t="n"/>
      <c r="V103" s="43" t="n"/>
      <c r="W103" s="1070" t="n"/>
      <c r="X103" s="25" t="n"/>
      <c r="Y103" s="43" t="n"/>
      <c r="Z103" s="1070" t="n"/>
      <c r="AA103" s="25" t="n"/>
      <c r="AB103" s="43" t="n"/>
      <c r="AC103" s="1070" t="n"/>
      <c r="AD103" s="25" t="n"/>
      <c r="AE103" s="43" t="n"/>
      <c r="AF103" s="1070" t="n"/>
      <c r="AG103" s="25" t="n"/>
      <c r="AH103" s="43" t="n"/>
      <c r="AI103" s="1070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71" t="n"/>
    </row>
    <row r="104" outlineLevel="1" ht="15" customHeight="1" s="1016">
      <c r="B104" s="25" t="inlineStr">
        <is>
          <t>Acueducto y Alcantarillado</t>
        </is>
      </c>
      <c r="C104" s="25" t="n"/>
      <c r="D104" s="43" t="n"/>
      <c r="E104" s="1070" t="n"/>
      <c r="F104" s="25" t="n"/>
      <c r="G104" s="43" t="n"/>
      <c r="H104" s="1070" t="n"/>
      <c r="I104" s="25" t="n"/>
      <c r="J104" s="43" t="n"/>
      <c r="K104" s="1070" t="n"/>
      <c r="L104" s="25" t="n"/>
      <c r="M104" s="43" t="n"/>
      <c r="N104" s="1070" t="n"/>
      <c r="O104" s="25" t="n"/>
      <c r="P104" s="43" t="n"/>
      <c r="Q104" s="1070" t="n"/>
      <c r="R104" s="25" t="n"/>
      <c r="S104" s="43" t="n"/>
      <c r="T104" s="1070" t="n"/>
      <c r="U104" s="25" t="n"/>
      <c r="V104" s="43" t="n"/>
      <c r="W104" s="1070" t="n"/>
      <c r="X104" s="25" t="n"/>
      <c r="Y104" s="43" t="n"/>
      <c r="Z104" s="1070" t="n"/>
      <c r="AA104" s="25" t="n"/>
      <c r="AB104" s="43" t="n"/>
      <c r="AC104" s="1070" t="n"/>
      <c r="AD104" s="25" t="n"/>
      <c r="AE104" s="43" t="n"/>
      <c r="AF104" s="1070" t="n"/>
      <c r="AG104" s="25" t="n"/>
      <c r="AH104" s="43" t="n"/>
      <c r="AI104" s="1070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71" t="n"/>
    </row>
    <row r="105" outlineLevel="1" ht="15" customHeight="1" s="1016">
      <c r="B105" s="25" t="inlineStr">
        <is>
          <t>Energia</t>
        </is>
      </c>
      <c r="C105" s="25" t="n"/>
      <c r="D105" s="43" t="n"/>
      <c r="E105" s="1070" t="n"/>
      <c r="F105" s="25" t="n"/>
      <c r="G105" s="43" t="n"/>
      <c r="H105" s="1070" t="n"/>
      <c r="I105" s="25" t="n"/>
      <c r="J105" s="43" t="n"/>
      <c r="K105" s="1070" t="n"/>
      <c r="L105" s="274" t="n"/>
      <c r="M105" s="43" t="n"/>
      <c r="N105" s="1070" t="n"/>
      <c r="O105" s="274" t="n"/>
      <c r="P105" s="43" t="n"/>
      <c r="Q105" s="1070" t="n"/>
      <c r="R105" s="274" t="n"/>
      <c r="S105" s="43" t="n"/>
      <c r="T105" s="1070" t="n"/>
      <c r="U105" s="274" t="n"/>
      <c r="V105" s="43" t="n"/>
      <c r="W105" s="1070" t="n"/>
      <c r="X105" s="274" t="n"/>
      <c r="Y105" s="43" t="n"/>
      <c r="Z105" s="1070" t="n"/>
      <c r="AA105" s="274" t="n"/>
      <c r="AB105" s="43" t="n"/>
      <c r="AC105" s="1070" t="n"/>
      <c r="AD105" s="282" t="n"/>
      <c r="AE105" s="43" t="n"/>
      <c r="AF105" s="1070" t="n"/>
      <c r="AG105" s="283" t="n"/>
      <c r="AH105" s="43" t="n"/>
      <c r="AI105" s="1070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71" t="n"/>
    </row>
    <row r="106" outlineLevel="1" ht="15" customHeight="1" s="1016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70" t="n"/>
      <c r="F106" s="25" t="n"/>
      <c r="G106" s="43" t="n"/>
      <c r="H106" s="1070" t="n"/>
      <c r="I106" s="25" t="n"/>
      <c r="J106" s="43" t="n"/>
      <c r="K106" s="1070" t="n"/>
      <c r="L106" s="274" t="n"/>
      <c r="M106" s="43" t="n"/>
      <c r="N106" s="1070" t="n"/>
      <c r="O106" s="274" t="n"/>
      <c r="P106" s="43" t="n"/>
      <c r="Q106" s="1070" t="n"/>
      <c r="R106" s="274" t="n"/>
      <c r="S106" s="43" t="n"/>
      <c r="T106" s="1070" t="n"/>
      <c r="U106" s="274" t="n"/>
      <c r="V106" s="43" t="n"/>
      <c r="W106" s="1070" t="n"/>
      <c r="X106" s="274" t="n"/>
      <c r="Y106" s="43" t="n"/>
      <c r="Z106" s="1070" t="n"/>
      <c r="AA106" s="274" t="n"/>
      <c r="AB106" s="43" t="n"/>
      <c r="AC106" s="1070" t="n"/>
      <c r="AD106" s="282" t="n"/>
      <c r="AE106" s="43" t="n"/>
      <c r="AF106" s="1070" t="n"/>
      <c r="AG106" s="283" t="n"/>
      <c r="AH106" s="43" t="n"/>
      <c r="AI106" s="1070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71" t="n"/>
    </row>
    <row r="107" outlineLevel="1" ht="15" customHeight="1" s="1016">
      <c r="B107" s="349" t="inlineStr">
        <is>
          <t>Transporte</t>
        </is>
      </c>
      <c r="C107" s="22" t="n"/>
      <c r="D107" s="42" t="n"/>
      <c r="E107" s="1082" t="n"/>
      <c r="F107" s="380" t="n"/>
      <c r="G107" s="42" t="n"/>
      <c r="H107" s="1082" t="n"/>
      <c r="I107" s="2" t="n"/>
      <c r="J107" s="42" t="n"/>
      <c r="K107" s="1082" t="n"/>
      <c r="L107" s="2" t="n"/>
      <c r="M107" s="42" t="n"/>
      <c r="N107" s="1082" t="n"/>
      <c r="O107" s="2" t="n"/>
      <c r="P107" s="42" t="n"/>
      <c r="Q107" s="1082" t="n"/>
      <c r="R107" s="2" t="n"/>
      <c r="S107" s="42" t="n"/>
      <c r="T107" s="1082" t="n"/>
      <c r="U107" s="2" t="n"/>
      <c r="V107" s="42" t="n"/>
      <c r="W107" s="1082" t="n"/>
      <c r="X107" s="2" t="n"/>
      <c r="Y107" s="42" t="n"/>
      <c r="Z107" s="1082" t="n"/>
      <c r="AA107" s="2" t="n"/>
      <c r="AB107" s="42" t="n"/>
      <c r="AC107" s="1082" t="n"/>
      <c r="AD107" s="2" t="n"/>
      <c r="AE107" s="42" t="n"/>
      <c r="AF107" s="1082" t="n"/>
      <c r="AG107" s="2" t="n"/>
      <c r="AH107" s="42" t="n"/>
      <c r="AI107" s="1082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083" t="n"/>
    </row>
    <row r="108" ht="15" customHeight="1" s="1016">
      <c r="B108" s="16" t="inlineStr">
        <is>
          <t>GASTOS LEGALES</t>
        </is>
      </c>
      <c r="C108" s="49">
        <f>SUM(C109:C112)</f>
        <v/>
      </c>
      <c r="D108" s="3" t="n"/>
      <c r="E108" s="1078" t="n"/>
      <c r="F108" s="49">
        <f>SUM(F109:F112)</f>
        <v/>
      </c>
      <c r="G108" s="3" t="n"/>
      <c r="H108" s="1078" t="n"/>
      <c r="I108" s="90">
        <f>SUM(I109:I112)</f>
        <v/>
      </c>
      <c r="J108" s="3" t="n"/>
      <c r="K108" s="1078" t="n"/>
      <c r="L108" s="49">
        <f>SUM(L109:L112)</f>
        <v/>
      </c>
      <c r="M108" s="3" t="n"/>
      <c r="N108" s="1078" t="n"/>
      <c r="O108" s="49">
        <f>SUM(O109:O112)</f>
        <v/>
      </c>
      <c r="P108" s="3" t="n"/>
      <c r="Q108" s="1078" t="n"/>
      <c r="R108" s="49">
        <f>SUM(R109:R112)</f>
        <v/>
      </c>
      <c r="S108" s="3" t="n"/>
      <c r="T108" s="1078" t="n"/>
      <c r="U108" s="49">
        <f>SUM(U109:U112)</f>
        <v/>
      </c>
      <c r="V108" s="3" t="n"/>
      <c r="W108" s="1078" t="n"/>
      <c r="X108" s="49">
        <f>SUM(X109:X112)</f>
        <v/>
      </c>
      <c r="Y108" s="3" t="n"/>
      <c r="Z108" s="1078">
        <f>X108/(X$13)</f>
        <v/>
      </c>
      <c r="AA108" s="49">
        <f>SUM(AA109:AA112)</f>
        <v/>
      </c>
      <c r="AB108" s="3" t="n"/>
      <c r="AC108" s="1078">
        <f>AA108/(AA$13)</f>
        <v/>
      </c>
      <c r="AD108" s="49">
        <f>SUM(AD109:AD112)</f>
        <v/>
      </c>
      <c r="AE108" s="3" t="n"/>
      <c r="AF108" s="1078" t="n"/>
      <c r="AG108" s="49">
        <f>SUM(AG109:AG112)</f>
        <v/>
      </c>
      <c r="AH108" s="3" t="n"/>
      <c r="AI108" s="1078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01" t="n"/>
    </row>
    <row r="109" outlineLevel="1" ht="15" customHeight="1" s="1016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02" t="n"/>
      <c r="F109" s="39" t="n"/>
      <c r="G109" s="69" t="n"/>
      <c r="H109" s="1102" t="n"/>
      <c r="I109" s="39" t="n"/>
      <c r="J109" s="69" t="n"/>
      <c r="K109" s="1102" t="n"/>
      <c r="L109" s="39" t="n"/>
      <c r="M109" s="69" t="n"/>
      <c r="N109" s="1102" t="n"/>
      <c r="O109" s="39" t="n"/>
      <c r="P109" s="69" t="n"/>
      <c r="Q109" s="1102" t="n"/>
      <c r="R109" s="39" t="n"/>
      <c r="S109" s="69" t="n"/>
      <c r="T109" s="1102" t="n"/>
      <c r="U109" s="39" t="n"/>
      <c r="V109" s="69" t="n"/>
      <c r="W109" s="1102" t="n"/>
      <c r="X109" s="39" t="n"/>
      <c r="Y109" s="69" t="n"/>
      <c r="Z109" s="1102" t="n"/>
      <c r="AA109" s="39" t="n"/>
      <c r="AB109" s="69" t="n"/>
      <c r="AC109" s="1102" t="n"/>
      <c r="AD109" s="39" t="n"/>
      <c r="AE109" s="69" t="n"/>
      <c r="AF109" s="1102" t="n"/>
      <c r="AG109" s="39" t="n"/>
      <c r="AH109" s="69" t="n"/>
      <c r="AI109" s="1102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07" t="n"/>
    </row>
    <row r="110" outlineLevel="1" ht="15" customHeight="1" s="1016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70" t="n"/>
      <c r="F110" s="25" t="n"/>
      <c r="G110" s="43" t="n"/>
      <c r="H110" s="1070" t="n"/>
      <c r="I110" s="25" t="n"/>
      <c r="J110" s="43" t="n"/>
      <c r="K110" s="1070" t="n"/>
      <c r="L110" s="25" t="n"/>
      <c r="M110" s="43" t="n"/>
      <c r="N110" s="1070" t="n"/>
      <c r="O110" s="25" t="n"/>
      <c r="P110" s="43" t="n"/>
      <c r="Q110" s="1070" t="n"/>
      <c r="R110" s="25" t="n"/>
      <c r="S110" s="43" t="n"/>
      <c r="T110" s="1070" t="n"/>
      <c r="U110" s="25" t="n"/>
      <c r="V110" s="43" t="n"/>
      <c r="W110" s="1070" t="n"/>
      <c r="X110" s="25" t="n"/>
      <c r="Y110" s="43" t="n"/>
      <c r="Z110" s="1070" t="n"/>
      <c r="AA110" s="25" t="n"/>
      <c r="AB110" s="43" t="n"/>
      <c r="AC110" s="1070" t="n"/>
      <c r="AD110" s="25" t="n"/>
      <c r="AE110" s="43" t="n"/>
      <c r="AF110" s="1070" t="n"/>
      <c r="AG110" s="25" t="n"/>
      <c r="AH110" s="43" t="n"/>
      <c r="AI110" s="1070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71" t="n"/>
    </row>
    <row r="111" outlineLevel="1" ht="15" customHeight="1" s="1016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70" t="n"/>
      <c r="F111" s="25" t="n"/>
      <c r="G111" s="43" t="n"/>
      <c r="H111" s="1070" t="n"/>
      <c r="I111" s="25" t="n"/>
      <c r="J111" s="43" t="n"/>
      <c r="K111" s="1070" t="n"/>
      <c r="L111" s="25" t="n"/>
      <c r="M111" s="43" t="n"/>
      <c r="N111" s="1070" t="n"/>
      <c r="O111" s="25" t="n"/>
      <c r="P111" s="43" t="n"/>
      <c r="Q111" s="1070" t="n"/>
      <c r="R111" s="25" t="n"/>
      <c r="S111" s="43" t="n"/>
      <c r="T111" s="1070" t="n"/>
      <c r="U111" s="25" t="n"/>
      <c r="V111" s="43" t="n"/>
      <c r="W111" s="1070" t="n"/>
      <c r="X111" s="25" t="n"/>
      <c r="Y111" s="43" t="n"/>
      <c r="Z111" s="1070" t="n"/>
      <c r="AA111" s="25" t="n"/>
      <c r="AB111" s="43" t="n"/>
      <c r="AC111" s="1070" t="n"/>
      <c r="AD111" s="25" t="n"/>
      <c r="AE111" s="43" t="n"/>
      <c r="AF111" s="1070" t="n"/>
      <c r="AG111" s="25" t="n"/>
      <c r="AH111" s="43" t="n"/>
      <c r="AI111" s="1070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71" t="n"/>
    </row>
    <row r="112" outlineLevel="1" ht="15" customHeight="1" s="1016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098" t="n"/>
      <c r="F112" s="28" t="n"/>
      <c r="G112" s="45" t="n"/>
      <c r="H112" s="1098" t="n"/>
      <c r="I112" s="28" t="n"/>
      <c r="J112" s="45" t="n"/>
      <c r="K112" s="1098" t="n"/>
      <c r="L112" s="28" t="n"/>
      <c r="M112" s="45" t="n"/>
      <c r="N112" s="1098" t="n"/>
      <c r="O112" s="28" t="n"/>
      <c r="P112" s="45" t="n"/>
      <c r="Q112" s="1098" t="n"/>
      <c r="R112" s="28" t="n"/>
      <c r="S112" s="45" t="n"/>
      <c r="T112" s="1098" t="n"/>
      <c r="U112" s="28" t="n"/>
      <c r="V112" s="45" t="n"/>
      <c r="W112" s="1098" t="n"/>
      <c r="X112" s="28" t="n"/>
      <c r="Y112" s="45" t="n"/>
      <c r="Z112" s="1098" t="n"/>
      <c r="AA112" s="28" t="n"/>
      <c r="AB112" s="45" t="n"/>
      <c r="AC112" s="1098" t="n"/>
      <c r="AD112" s="28" t="n"/>
      <c r="AE112" s="45" t="n"/>
      <c r="AF112" s="1098" t="n"/>
      <c r="AG112" s="28" t="n"/>
      <c r="AH112" s="45" t="n"/>
      <c r="AI112" s="1098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08" t="n"/>
    </row>
    <row r="113" ht="15" customHeight="1" s="1016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078" t="n"/>
      <c r="F113" s="90">
        <f>SUM(F114:F118)</f>
        <v/>
      </c>
      <c r="G113" s="3" t="n"/>
      <c r="H113" s="1078" t="n"/>
      <c r="I113" s="90">
        <f>SUM(I114:I118)</f>
        <v/>
      </c>
      <c r="J113" s="3" t="n"/>
      <c r="K113" s="1078" t="n"/>
      <c r="L113" s="90">
        <f>SUM(L114:L118)</f>
        <v/>
      </c>
      <c r="M113" s="3" t="n"/>
      <c r="N113" s="1078" t="n"/>
      <c r="O113" s="90">
        <f>SUM(O114:O118)</f>
        <v/>
      </c>
      <c r="P113" s="3" t="n"/>
      <c r="Q113" s="1078" t="n"/>
      <c r="R113" s="90">
        <f>SUM(R114:R118)</f>
        <v/>
      </c>
      <c r="S113" s="3" t="n"/>
      <c r="T113" s="1078" t="n"/>
      <c r="U113" s="90">
        <f>SUM(U114:U118)</f>
        <v/>
      </c>
      <c r="V113" s="3" t="n"/>
      <c r="W113" s="1078" t="n"/>
      <c r="X113" s="90">
        <f>SUM(X114:X118)</f>
        <v/>
      </c>
      <c r="Y113" s="3" t="n"/>
      <c r="Z113" s="1078">
        <f>X113/(X$13)</f>
        <v/>
      </c>
      <c r="AA113" s="90">
        <f>SUM(AA114:AA118)</f>
        <v/>
      </c>
      <c r="AB113" s="3" t="n"/>
      <c r="AC113" s="1078">
        <f>AA113/(AA$13)</f>
        <v/>
      </c>
      <c r="AD113" s="90">
        <f>SUM(AD114:AD118)</f>
        <v/>
      </c>
      <c r="AE113" s="3" t="n"/>
      <c r="AF113" s="1078" t="n"/>
      <c r="AG113" s="90">
        <f>SUM(AG114:AG118)</f>
        <v/>
      </c>
      <c r="AH113" s="3" t="n"/>
      <c r="AI113" s="1078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01" t="n"/>
    </row>
    <row r="114" outlineLevel="1" ht="15" customHeight="1" s="1016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02" t="n"/>
      <c r="F114" s="39" t="n"/>
      <c r="G114" s="69" t="n"/>
      <c r="H114" s="1102" t="n"/>
      <c r="I114" s="39" t="n"/>
      <c r="J114" s="69" t="n"/>
      <c r="K114" s="1102" t="n"/>
      <c r="L114" s="39" t="n"/>
      <c r="M114" s="69" t="n"/>
      <c r="N114" s="1102" t="n"/>
      <c r="O114" s="39" t="n"/>
      <c r="P114" s="69" t="n"/>
      <c r="Q114" s="1102" t="n"/>
      <c r="R114" s="39" t="n"/>
      <c r="S114" s="69" t="n"/>
      <c r="T114" s="1102" t="n"/>
      <c r="U114" s="39" t="n"/>
      <c r="V114" s="69" t="n"/>
      <c r="W114" s="1102" t="n"/>
      <c r="X114" s="39" t="n"/>
      <c r="Y114" s="69" t="n"/>
      <c r="Z114" s="1102" t="n"/>
      <c r="AA114" s="39" t="n"/>
      <c r="AB114" s="69" t="n"/>
      <c r="AC114" s="1102" t="n"/>
      <c r="AD114" s="39" t="n"/>
      <c r="AE114" s="69" t="n"/>
      <c r="AF114" s="1102" t="n"/>
      <c r="AG114" s="39" t="n"/>
      <c r="AH114" s="69" t="n"/>
      <c r="AI114" s="1102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07" t="n"/>
    </row>
    <row r="115" outlineLevel="1" ht="15" customHeight="1" s="1016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70" t="n"/>
      <c r="F115" s="25" t="n"/>
      <c r="G115" s="43" t="n"/>
      <c r="H115" s="1070" t="n"/>
      <c r="I115" s="25" t="n"/>
      <c r="J115" s="43" t="n"/>
      <c r="K115" s="1070" t="n"/>
      <c r="L115" s="25" t="n"/>
      <c r="M115" s="43" t="n"/>
      <c r="N115" s="1070" t="n"/>
      <c r="O115" s="25" t="n"/>
      <c r="P115" s="43" t="n"/>
      <c r="Q115" s="1070" t="n"/>
      <c r="R115" s="25" t="n"/>
      <c r="S115" s="43" t="n"/>
      <c r="T115" s="1070" t="n"/>
      <c r="U115" s="25" t="n"/>
      <c r="V115" s="43" t="n"/>
      <c r="W115" s="1070" t="n"/>
      <c r="X115" s="25" t="n"/>
      <c r="Y115" s="43" t="n"/>
      <c r="Z115" s="1070" t="n"/>
      <c r="AA115" s="25" t="n"/>
      <c r="AB115" s="43" t="n"/>
      <c r="AC115" s="1070" t="n"/>
      <c r="AD115" s="25" t="n"/>
      <c r="AE115" s="43" t="n"/>
      <c r="AF115" s="1070" t="n"/>
      <c r="AG115" s="25" t="n"/>
      <c r="AH115" s="43" t="n"/>
      <c r="AI115" s="1070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71" t="n"/>
    </row>
    <row r="116" outlineLevel="1" ht="15" customHeight="1" s="1016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70" t="n"/>
      <c r="F116" s="25" t="n"/>
      <c r="G116" s="43" t="n"/>
      <c r="H116" s="1070" t="n"/>
      <c r="I116" s="25" t="n"/>
      <c r="J116" s="43" t="n"/>
      <c r="K116" s="1070" t="n"/>
      <c r="L116" s="25" t="n"/>
      <c r="M116" s="43" t="n"/>
      <c r="N116" s="1070" t="n"/>
      <c r="O116" s="25" t="n"/>
      <c r="P116" s="43" t="n"/>
      <c r="Q116" s="1070" t="n"/>
      <c r="R116" s="25" t="n"/>
      <c r="S116" s="43" t="n"/>
      <c r="T116" s="1070" t="n"/>
      <c r="U116" s="25" t="n"/>
      <c r="V116" s="43" t="n"/>
      <c r="W116" s="1070" t="n"/>
      <c r="X116" s="25" t="n"/>
      <c r="Y116" s="43" t="n"/>
      <c r="Z116" s="1070" t="n"/>
      <c r="AA116" s="25" t="n"/>
      <c r="AB116" s="43" t="n"/>
      <c r="AC116" s="1070" t="n"/>
      <c r="AD116" s="25" t="n"/>
      <c r="AE116" s="43" t="n"/>
      <c r="AF116" s="1070" t="n"/>
      <c r="AG116" s="25" t="n"/>
      <c r="AH116" s="43" t="n"/>
      <c r="AI116" s="1070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71" t="n"/>
    </row>
    <row r="117" outlineLevel="1" ht="15" customHeight="1" s="1016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70" t="n"/>
      <c r="F117" s="25" t="n"/>
      <c r="G117" s="43" t="n"/>
      <c r="H117" s="1070" t="n"/>
      <c r="I117" s="25" t="n"/>
      <c r="J117" s="43" t="n"/>
      <c r="K117" s="1070" t="n"/>
      <c r="L117" s="25" t="n"/>
      <c r="M117" s="43" t="n"/>
      <c r="N117" s="1070" t="n"/>
      <c r="O117" s="25" t="n"/>
      <c r="P117" s="43" t="n"/>
      <c r="Q117" s="1070" t="n"/>
      <c r="R117" s="25" t="n"/>
      <c r="S117" s="43" t="n"/>
      <c r="T117" s="1070" t="n"/>
      <c r="U117" s="25" t="n"/>
      <c r="V117" s="43" t="n"/>
      <c r="W117" s="1070" t="n"/>
      <c r="X117" s="25" t="n"/>
      <c r="Y117" s="43" t="n"/>
      <c r="Z117" s="1070" t="n"/>
      <c r="AA117" s="25" t="n"/>
      <c r="AB117" s="43" t="n"/>
      <c r="AC117" s="1070" t="n"/>
      <c r="AD117" s="25" t="n"/>
      <c r="AE117" s="43" t="n"/>
      <c r="AF117" s="1070" t="n"/>
      <c r="AG117" s="25" t="n"/>
      <c r="AH117" s="43" t="n"/>
      <c r="AI117" s="1070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71" t="n"/>
    </row>
    <row r="118" outlineLevel="1" ht="15" customHeight="1" s="1016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082" t="n"/>
      <c r="F118" s="22" t="n"/>
      <c r="G118" s="42" t="n"/>
      <c r="H118" s="1082" t="n"/>
      <c r="I118" s="22" t="n"/>
      <c r="J118" s="42" t="n"/>
      <c r="K118" s="1082" t="n"/>
      <c r="L118" s="22" t="n"/>
      <c r="M118" s="42" t="n"/>
      <c r="N118" s="1082" t="n"/>
      <c r="O118" s="22" t="n"/>
      <c r="P118" s="42" t="n"/>
      <c r="Q118" s="1082" t="n"/>
      <c r="R118" s="22" t="n"/>
      <c r="S118" s="42" t="n"/>
      <c r="T118" s="1082" t="n"/>
      <c r="U118" s="22" t="n"/>
      <c r="V118" s="42" t="n"/>
      <c r="W118" s="1082" t="n"/>
      <c r="X118" s="22" t="n"/>
      <c r="Y118" s="42" t="n"/>
      <c r="Z118" s="1082" t="n"/>
      <c r="AA118" s="22" t="n"/>
      <c r="AB118" s="42" t="n"/>
      <c r="AC118" s="1082" t="n"/>
      <c r="AD118" s="22" t="n"/>
      <c r="AE118" s="42" t="n"/>
      <c r="AF118" s="1082" t="n"/>
      <c r="AG118" s="22" t="n"/>
      <c r="AH118" s="42" t="n"/>
      <c r="AI118" s="1082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083" t="n"/>
    </row>
    <row r="119" ht="15" customHeight="1" s="1016">
      <c r="B119" s="16" t="inlineStr">
        <is>
          <t>ADECUACIONES E INSTALACIONES</t>
        </is>
      </c>
      <c r="C119" s="49">
        <f>SUM(C120:C121)</f>
        <v/>
      </c>
      <c r="D119" s="3" t="n"/>
      <c r="E119" s="1078" t="n"/>
      <c r="F119" s="49">
        <f>SUM(F120)</f>
        <v/>
      </c>
      <c r="G119" s="3" t="n"/>
      <c r="H119" s="1078" t="n"/>
      <c r="I119" s="90">
        <f>SUM(I120)</f>
        <v/>
      </c>
      <c r="J119" s="3" t="n"/>
      <c r="K119" s="1078" t="n"/>
      <c r="L119" s="49">
        <f>SUM(L120)</f>
        <v/>
      </c>
      <c r="M119" s="3" t="n"/>
      <c r="N119" s="1078" t="n"/>
      <c r="O119" s="49">
        <f>SUM(O120)</f>
        <v/>
      </c>
      <c r="P119" s="3" t="n"/>
      <c r="Q119" s="1078" t="n"/>
      <c r="R119" s="49">
        <f>SUM(R120:R121)</f>
        <v/>
      </c>
      <c r="S119" s="3" t="n"/>
      <c r="T119" s="1078" t="n"/>
      <c r="U119" s="49">
        <f>SUM(U120:U121)</f>
        <v/>
      </c>
      <c r="V119" s="3" t="n"/>
      <c r="W119" s="1078" t="n"/>
      <c r="X119" s="49">
        <f>SUM(X120:X121)</f>
        <v/>
      </c>
      <c r="Y119" s="3" t="n"/>
      <c r="Z119" s="1078">
        <f>X119/(X$13)</f>
        <v/>
      </c>
      <c r="AA119" s="49">
        <f>SUM(AA120)</f>
        <v/>
      </c>
      <c r="AB119" s="3" t="n"/>
      <c r="AC119" s="1078">
        <f>AA119/(AA$13)</f>
        <v/>
      </c>
      <c r="AD119" s="49">
        <f>SUM(AD120)</f>
        <v/>
      </c>
      <c r="AE119" s="3" t="n"/>
      <c r="AF119" s="1078" t="n"/>
      <c r="AG119" s="49">
        <f>SUM(AG120)</f>
        <v/>
      </c>
      <c r="AH119" s="3" t="n"/>
      <c r="AI119" s="1078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01" t="n"/>
    </row>
    <row r="120" ht="15" customHeight="1" s="1016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02" t="n"/>
      <c r="F120" s="39" t="n"/>
      <c r="G120" s="69" t="n"/>
      <c r="H120" s="1102" t="n"/>
      <c r="I120" s="39" t="n"/>
      <c r="J120" s="69" t="n"/>
      <c r="K120" s="1102" t="n"/>
      <c r="L120" s="39" t="n"/>
      <c r="M120" s="69" t="n"/>
      <c r="N120" s="1102" t="n"/>
      <c r="O120" s="39" t="n"/>
      <c r="P120" s="69" t="n"/>
      <c r="Q120" s="1102" t="n"/>
      <c r="R120" s="39" t="n"/>
      <c r="S120" s="69" t="n"/>
      <c r="T120" s="1102" t="n"/>
      <c r="U120" s="39" t="n"/>
      <c r="V120" s="69" t="n"/>
      <c r="W120" s="1102" t="n"/>
      <c r="X120" s="39" t="n"/>
      <c r="Y120" s="69" t="n"/>
      <c r="Z120" s="1102" t="n"/>
      <c r="AA120" s="39" t="n"/>
      <c r="AB120" s="69" t="n"/>
      <c r="AC120" s="1102" t="n"/>
      <c r="AD120" s="39" t="n"/>
      <c r="AE120" s="69" t="n"/>
      <c r="AF120" s="1102" t="n"/>
      <c r="AG120" s="39" t="n"/>
      <c r="AH120" s="69" t="n"/>
      <c r="AI120" s="1102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07" t="n"/>
    </row>
    <row r="121" ht="15" customHeight="1" s="1016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11" t="n"/>
      <c r="F121" s="71" t="n"/>
      <c r="G121" s="72" t="n"/>
      <c r="H121" s="1111" t="n"/>
      <c r="I121" s="71" t="n"/>
      <c r="J121" s="72" t="n"/>
      <c r="K121" s="1111" t="n"/>
      <c r="L121" s="71" t="n"/>
      <c r="M121" s="72" t="n"/>
      <c r="N121" s="1111" t="n"/>
      <c r="O121" s="71" t="n"/>
      <c r="P121" s="72" t="n"/>
      <c r="Q121" s="1111" t="n"/>
      <c r="R121" s="71" t="n"/>
      <c r="S121" s="72" t="n"/>
      <c r="T121" s="1111" t="n"/>
      <c r="U121" s="71" t="n"/>
      <c r="V121" s="72" t="n"/>
      <c r="W121" s="1111" t="n"/>
      <c r="X121" s="71" t="n"/>
      <c r="Y121" s="72" t="n"/>
      <c r="Z121" s="1111" t="n"/>
      <c r="AA121" s="71" t="n"/>
      <c r="AB121" s="72" t="n"/>
      <c r="AC121" s="1111" t="n"/>
      <c r="AD121" s="71" t="n"/>
      <c r="AE121" s="72" t="n"/>
      <c r="AF121" s="1111" t="n"/>
      <c r="AG121" s="71" t="n"/>
      <c r="AH121" s="72" t="n"/>
      <c r="AI121" s="1111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12" t="n"/>
    </row>
    <row r="122" ht="15" customHeight="1" s="1016" thickTop="1">
      <c r="B122" s="381" t="inlineStr">
        <is>
          <t>GASTOS DE VIAJE</t>
        </is>
      </c>
      <c r="C122" s="382">
        <f>SUM(C123:C125)</f>
        <v/>
      </c>
      <c r="D122" s="383" t="n"/>
      <c r="E122" s="1113" t="n"/>
      <c r="F122" s="382">
        <f>SUM(F123:F125)</f>
        <v/>
      </c>
      <c r="G122" s="383" t="n"/>
      <c r="H122" s="1113" t="n"/>
      <c r="I122" s="385">
        <f>SUM(I123:I125)</f>
        <v/>
      </c>
      <c r="J122" s="383" t="n"/>
      <c r="K122" s="1113" t="n"/>
      <c r="L122" s="382">
        <f>SUM(L123:L125)</f>
        <v/>
      </c>
      <c r="M122" s="383" t="n"/>
      <c r="N122" s="1113" t="n"/>
      <c r="O122" s="382">
        <f>SUM(O123:O125)</f>
        <v/>
      </c>
      <c r="P122" s="383" t="n"/>
      <c r="Q122" s="1113" t="n"/>
      <c r="R122" s="382">
        <f>SUM(R123:R125)</f>
        <v/>
      </c>
      <c r="S122" s="383" t="n"/>
      <c r="T122" s="1113" t="n"/>
      <c r="U122" s="382">
        <f>SUM(U123:U125)</f>
        <v/>
      </c>
      <c r="V122" s="383" t="n"/>
      <c r="W122" s="1113" t="n"/>
      <c r="X122" s="382">
        <f>SUM(X123:X125)</f>
        <v/>
      </c>
      <c r="Y122" s="383" t="n"/>
      <c r="Z122" s="1113">
        <f>X122/(X$13)</f>
        <v/>
      </c>
      <c r="AA122" s="382">
        <f>SUM(AA123:AA125)</f>
        <v/>
      </c>
      <c r="AB122" s="383" t="n"/>
      <c r="AC122" s="1113">
        <f>AA122/(AA$13)</f>
        <v/>
      </c>
      <c r="AD122" s="382" t="n"/>
      <c r="AE122" s="383" t="n"/>
      <c r="AF122" s="1113" t="n"/>
      <c r="AG122" s="382">
        <f>SUM(AG123:AG125)</f>
        <v/>
      </c>
      <c r="AH122" s="383" t="n"/>
      <c r="AI122" s="1113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14" t="n"/>
    </row>
    <row r="123" outlineLevel="1" ht="15" customHeight="1" s="1016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02" t="n"/>
      <c r="F123" s="39" t="n"/>
      <c r="G123" s="69" t="n"/>
      <c r="H123" s="1102" t="n"/>
      <c r="I123" s="39" t="n"/>
      <c r="J123" s="69" t="n"/>
      <c r="K123" s="1102" t="n"/>
      <c r="L123" s="39" t="n"/>
      <c r="M123" s="69" t="n"/>
      <c r="N123" s="1102" t="n"/>
      <c r="O123" s="39" t="n"/>
      <c r="P123" s="69" t="n"/>
      <c r="Q123" s="1102" t="n"/>
      <c r="R123" s="39" t="n"/>
      <c r="S123" s="69" t="n"/>
      <c r="T123" s="1102" t="n"/>
      <c r="U123" s="39" t="n"/>
      <c r="V123" s="69" t="n"/>
      <c r="W123" s="1102" t="n"/>
      <c r="X123" s="39" t="n"/>
      <c r="Y123" s="69" t="n"/>
      <c r="Z123" s="1102" t="n"/>
      <c r="AA123" s="39" t="n"/>
      <c r="AB123" s="69" t="n"/>
      <c r="AC123" s="1102" t="n"/>
      <c r="AD123" s="39" t="n"/>
      <c r="AE123" s="69" t="n"/>
      <c r="AF123" s="1102" t="n"/>
      <c r="AG123" s="39" t="n"/>
      <c r="AH123" s="69" t="n"/>
      <c r="AI123" s="1102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07" t="n"/>
    </row>
    <row r="124" outlineLevel="1" ht="15" customHeight="1" s="1016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70" t="n"/>
      <c r="F124" s="25" t="n"/>
      <c r="G124" s="43" t="n"/>
      <c r="H124" s="1070" t="n"/>
      <c r="I124" s="25" t="n"/>
      <c r="J124" s="43" t="n"/>
      <c r="K124" s="1070" t="n"/>
      <c r="L124" s="25" t="n"/>
      <c r="M124" s="43" t="n"/>
      <c r="N124" s="1070" t="n"/>
      <c r="O124" s="25" t="n"/>
      <c r="P124" s="43" t="n"/>
      <c r="Q124" s="1070" t="n"/>
      <c r="R124" s="25" t="n"/>
      <c r="S124" s="43" t="n"/>
      <c r="T124" s="1070" t="n"/>
      <c r="U124" s="25" t="n"/>
      <c r="V124" s="43" t="n"/>
      <c r="W124" s="1070" t="n"/>
      <c r="X124" s="25" t="n"/>
      <c r="Y124" s="43" t="n"/>
      <c r="Z124" s="1070" t="n"/>
      <c r="AA124" s="25" t="n"/>
      <c r="AB124" s="43" t="n"/>
      <c r="AC124" s="1070" t="n"/>
      <c r="AD124" s="25" t="n"/>
      <c r="AE124" s="43" t="n"/>
      <c r="AF124" s="1070" t="n"/>
      <c r="AG124" s="25" t="n"/>
      <c r="AH124" s="43" t="n"/>
      <c r="AI124" s="1070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71" t="n"/>
    </row>
    <row r="125" outlineLevel="1" ht="15" customHeight="1" s="1016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098" t="n"/>
      <c r="F125" s="28" t="n"/>
      <c r="G125" s="45" t="n"/>
      <c r="H125" s="1098" t="n"/>
      <c r="I125" s="28" t="n"/>
      <c r="J125" s="45" t="n"/>
      <c r="K125" s="1098" t="n"/>
      <c r="L125" s="28" t="n"/>
      <c r="M125" s="45" t="n"/>
      <c r="N125" s="1098" t="n"/>
      <c r="O125" s="28" t="n"/>
      <c r="P125" s="45" t="n"/>
      <c r="Q125" s="1098" t="n"/>
      <c r="R125" s="28" t="n"/>
      <c r="S125" s="45" t="n"/>
      <c r="T125" s="1098" t="n"/>
      <c r="U125" s="28" t="n"/>
      <c r="V125" s="45" t="n"/>
      <c r="W125" s="1098" t="n"/>
      <c r="X125" s="28" t="n"/>
      <c r="Y125" s="45" t="n"/>
      <c r="Z125" s="1098" t="n"/>
      <c r="AA125" s="28" t="n"/>
      <c r="AB125" s="45" t="n"/>
      <c r="AC125" s="1098" t="n"/>
      <c r="AD125" s="28" t="n"/>
      <c r="AE125" s="45" t="n"/>
      <c r="AF125" s="1098" t="n"/>
      <c r="AG125" s="28" t="n"/>
      <c r="AH125" s="45" t="n"/>
      <c r="AI125" s="1098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08" t="n"/>
    </row>
    <row r="126" ht="15" customHeight="1" s="1016">
      <c r="B126" s="16" t="inlineStr">
        <is>
          <t>DIVERSOS</t>
        </is>
      </c>
      <c r="C126" s="49">
        <f>SUM(C127:C139)</f>
        <v/>
      </c>
      <c r="D126" s="3" t="n"/>
      <c r="E126" s="1078" t="n"/>
      <c r="F126" s="49">
        <f>SUM(F127:F139)</f>
        <v/>
      </c>
      <c r="G126" s="3" t="n"/>
      <c r="H126" s="1078" t="n"/>
      <c r="I126" s="90">
        <f>SUM(I127:I139)</f>
        <v/>
      </c>
      <c r="J126" s="3" t="n"/>
      <c r="K126" s="1078" t="n"/>
      <c r="L126" s="49">
        <f>SUM(L127:L139)</f>
        <v/>
      </c>
      <c r="M126" s="3" t="n"/>
      <c r="N126" s="1078" t="n"/>
      <c r="O126" s="49">
        <f>SUM(O127:O139)</f>
        <v/>
      </c>
      <c r="P126" s="3" t="n"/>
      <c r="Q126" s="1078" t="n"/>
      <c r="R126" s="49">
        <f>SUM(R127:R139)</f>
        <v/>
      </c>
      <c r="S126" s="3" t="n"/>
      <c r="T126" s="1078" t="n"/>
      <c r="U126" s="49">
        <f>SUM(U127:U139)</f>
        <v/>
      </c>
      <c r="V126" s="3" t="n"/>
      <c r="W126" s="1078" t="n"/>
      <c r="X126" s="49">
        <f>SUM(X127:X139)</f>
        <v/>
      </c>
      <c r="Y126" s="3" t="n"/>
      <c r="Z126" s="1078" t="n"/>
      <c r="AA126" s="49">
        <f>SUM(AA127:AA139)</f>
        <v/>
      </c>
      <c r="AB126" s="3" t="n"/>
      <c r="AC126" s="1078" t="n"/>
      <c r="AD126" s="49">
        <f>SUM(AD127:AD139)</f>
        <v/>
      </c>
      <c r="AE126" s="3" t="n"/>
      <c r="AF126" s="1078" t="n"/>
      <c r="AG126" s="49">
        <f>SUM(AG127:AG139)</f>
        <v/>
      </c>
      <c r="AH126" s="3" t="n"/>
      <c r="AI126" s="1078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01" t="n"/>
    </row>
    <row r="127" outlineLevel="1" ht="15" customHeight="1" s="1016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02" t="n"/>
      <c r="F127" s="39" t="n"/>
      <c r="G127" s="69" t="n"/>
      <c r="H127" s="1102" t="n"/>
      <c r="I127" s="39" t="n"/>
      <c r="J127" s="69" t="n"/>
      <c r="K127" s="1102" t="n"/>
      <c r="L127" s="39" t="n"/>
      <c r="M127" s="69" t="n"/>
      <c r="N127" s="1102" t="n"/>
      <c r="O127" s="39" t="n"/>
      <c r="P127" s="69" t="n"/>
      <c r="Q127" s="1102" t="n"/>
      <c r="R127" s="39" t="n"/>
      <c r="S127" s="69" t="n"/>
      <c r="T127" s="1102" t="n"/>
      <c r="U127" s="39" t="n"/>
      <c r="V127" s="69" t="n"/>
      <c r="W127" s="1102" t="n"/>
      <c r="X127" s="39" t="n"/>
      <c r="Y127" s="69" t="n"/>
      <c r="Z127" s="1102" t="n"/>
      <c r="AA127" s="39" t="n"/>
      <c r="AB127" s="69" t="n"/>
      <c r="AC127" s="1102" t="n"/>
      <c r="AD127" s="39" t="n"/>
      <c r="AE127" s="69" t="n"/>
      <c r="AF127" s="1102" t="n"/>
      <c r="AG127" s="39" t="n"/>
      <c r="AH127" s="69" t="n"/>
      <c r="AI127" s="1102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15" t="n"/>
    </row>
    <row r="128" outlineLevel="1" ht="15" customHeight="1" s="1016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70" t="n"/>
      <c r="F128" s="25" t="n"/>
      <c r="G128" s="43" t="n"/>
      <c r="H128" s="1070" t="n"/>
      <c r="I128" s="25" t="n"/>
      <c r="J128" s="43" t="n"/>
      <c r="K128" s="1070" t="n"/>
      <c r="L128" s="25" t="n"/>
      <c r="M128" s="43" t="n"/>
      <c r="N128" s="1070" t="n"/>
      <c r="O128" s="25" t="n"/>
      <c r="P128" s="43" t="n"/>
      <c r="Q128" s="1070" t="n"/>
      <c r="R128" s="25" t="n"/>
      <c r="S128" s="43" t="n"/>
      <c r="T128" s="1070" t="n"/>
      <c r="U128" s="25" t="n"/>
      <c r="V128" s="43" t="n"/>
      <c r="W128" s="1070" t="n"/>
      <c r="X128" s="25" t="n"/>
      <c r="Y128" s="43" t="n"/>
      <c r="Z128" s="1070" t="n"/>
      <c r="AA128" s="25" t="n"/>
      <c r="AB128" s="43" t="n"/>
      <c r="AC128" s="1070" t="n"/>
      <c r="AD128" s="25" t="n"/>
      <c r="AE128" s="43" t="n"/>
      <c r="AF128" s="1070" t="n"/>
      <c r="AG128" s="25" t="n"/>
      <c r="AH128" s="43" t="n"/>
      <c r="AI128" s="1070" t="n"/>
      <c r="AJ128" s="25" t="n"/>
      <c r="AK128" s="43" t="n"/>
      <c r="AL128" s="57" t="n"/>
      <c r="AM128" s="205" t="n"/>
      <c r="AN128" s="43" t="n"/>
      <c r="AO128" s="1116" t="n"/>
    </row>
    <row r="129" outlineLevel="1" ht="15" customHeight="1" s="1016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70" t="n"/>
      <c r="F129" s="25" t="n"/>
      <c r="G129" s="43" t="n"/>
      <c r="H129" s="1070" t="n"/>
      <c r="I129" s="25" t="n"/>
      <c r="J129" s="43" t="n"/>
      <c r="K129" s="1070" t="n"/>
      <c r="L129" s="25" t="n"/>
      <c r="M129" s="43" t="n"/>
      <c r="N129" s="1070" t="n"/>
      <c r="O129" s="25" t="n"/>
      <c r="P129" s="43" t="n"/>
      <c r="Q129" s="1070" t="n"/>
      <c r="R129" s="25" t="n"/>
      <c r="S129" s="43" t="n"/>
      <c r="T129" s="1070" t="n"/>
      <c r="U129" s="25" t="n"/>
      <c r="V129" s="43" t="n"/>
      <c r="W129" s="1070" t="n"/>
      <c r="X129" s="25" t="n"/>
      <c r="Y129" s="43" t="n"/>
      <c r="Z129" s="1070" t="n"/>
      <c r="AA129" s="25" t="n"/>
      <c r="AB129" s="43" t="n"/>
      <c r="AC129" s="1070" t="n"/>
      <c r="AD129" s="25" t="n"/>
      <c r="AE129" s="43" t="n"/>
      <c r="AF129" s="1070" t="n"/>
      <c r="AG129" s="25" t="n"/>
      <c r="AH129" s="43" t="n"/>
      <c r="AI129" s="1070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16" t="n"/>
    </row>
    <row r="130" outlineLevel="1" ht="15" customHeight="1" s="1016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70" t="n"/>
      <c r="F130" s="25">
        <f>'[8]Hoja 1'!$C$677</f>
        <v/>
      </c>
      <c r="G130" s="43" t="n"/>
      <c r="H130" s="1070" t="n"/>
      <c r="I130" s="25" t="n"/>
      <c r="J130" s="43" t="n"/>
      <c r="K130" s="1070" t="n"/>
      <c r="L130" s="25" t="n"/>
      <c r="M130" s="43" t="n"/>
      <c r="N130" s="1070" t="n"/>
      <c r="O130" s="25" t="n"/>
      <c r="P130" s="43" t="n"/>
      <c r="Q130" s="1070" t="n"/>
      <c r="R130" s="25" t="n"/>
      <c r="S130" s="43" t="n"/>
      <c r="T130" s="1070" t="n"/>
      <c r="U130" s="25" t="n"/>
      <c r="V130" s="43" t="n"/>
      <c r="W130" s="1070" t="n"/>
      <c r="X130" s="25" t="n"/>
      <c r="Y130" s="43" t="n"/>
      <c r="Z130" s="1070" t="n"/>
      <c r="AA130" s="25" t="n"/>
      <c r="AB130" s="43" t="n"/>
      <c r="AC130" s="1070" t="n"/>
      <c r="AD130" s="25" t="n"/>
      <c r="AE130" s="43" t="n"/>
      <c r="AF130" s="1070" t="n"/>
      <c r="AG130" s="25" t="n"/>
      <c r="AH130" s="43" t="n"/>
      <c r="AI130" s="1070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16" t="n"/>
      <c r="AP130" s="1124" t="n"/>
    </row>
    <row r="131" outlineLevel="1" ht="15" customHeight="1" s="1016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70" t="n"/>
      <c r="F131" s="25" t="n"/>
      <c r="G131" s="43" t="n"/>
      <c r="H131" s="1070" t="n"/>
      <c r="I131" s="25" t="n"/>
      <c r="J131" s="43" t="n"/>
      <c r="K131" s="1070" t="n"/>
      <c r="L131" s="25" t="n"/>
      <c r="M131" s="43" t="n"/>
      <c r="N131" s="1070" t="n"/>
      <c r="O131" s="25" t="n"/>
      <c r="P131" s="43" t="n"/>
      <c r="Q131" s="1070" t="n"/>
      <c r="R131" s="25" t="n"/>
      <c r="S131" s="43" t="n"/>
      <c r="T131" s="1070" t="n"/>
      <c r="U131" s="25" t="n"/>
      <c r="V131" s="43" t="n"/>
      <c r="W131" s="1070" t="n"/>
      <c r="X131" s="25" t="n"/>
      <c r="Y131" s="43" t="n"/>
      <c r="Z131" s="1070" t="n"/>
      <c r="AA131" s="25" t="n"/>
      <c r="AB131" s="43" t="n"/>
      <c r="AC131" s="1070" t="n"/>
      <c r="AD131" s="25" t="n"/>
      <c r="AE131" s="43" t="n"/>
      <c r="AF131" s="1070" t="n"/>
      <c r="AG131" s="25" t="n"/>
      <c r="AH131" s="43" t="n"/>
      <c r="AI131" s="1070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71" t="n"/>
      <c r="AP131" s="1124" t="n"/>
    </row>
    <row r="132" outlineLevel="1" ht="15" customHeight="1" s="1016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70" t="n"/>
      <c r="F132" s="25" t="n"/>
      <c r="G132" s="43" t="n"/>
      <c r="H132" s="1070" t="n"/>
      <c r="I132" s="25" t="n"/>
      <c r="J132" s="43" t="n"/>
      <c r="K132" s="1070" t="n"/>
      <c r="L132" s="25" t="n"/>
      <c r="M132" s="43" t="n"/>
      <c r="N132" s="1070" t="n"/>
      <c r="O132" s="25" t="n"/>
      <c r="P132" s="43" t="n"/>
      <c r="Q132" s="1070" t="n"/>
      <c r="R132" s="25" t="n"/>
      <c r="S132" s="43" t="n"/>
      <c r="T132" s="1070" t="n"/>
      <c r="U132" s="25" t="n"/>
      <c r="V132" s="43" t="n"/>
      <c r="W132" s="1070" t="n"/>
      <c r="X132" s="25" t="n"/>
      <c r="Y132" s="43" t="n"/>
      <c r="Z132" s="1070" t="n"/>
      <c r="AA132" s="25" t="n"/>
      <c r="AB132" s="43" t="n"/>
      <c r="AC132" s="1070" t="n"/>
      <c r="AD132" s="25" t="n"/>
      <c r="AE132" s="43" t="n"/>
      <c r="AF132" s="1070" t="n"/>
      <c r="AG132" s="25" t="n"/>
      <c r="AH132" s="43" t="n"/>
      <c r="AI132" s="1070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71" t="n"/>
    </row>
    <row r="133" outlineLevel="1" ht="15" customHeight="1" s="1016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70" t="n"/>
      <c r="F133" s="25" t="n"/>
      <c r="G133" s="43" t="n"/>
      <c r="H133" s="1070" t="n"/>
      <c r="I133" s="25" t="n"/>
      <c r="J133" s="43" t="n"/>
      <c r="K133" s="1070" t="n"/>
      <c r="L133" s="25" t="n"/>
      <c r="M133" s="43" t="n"/>
      <c r="N133" s="1070" t="n"/>
      <c r="O133" s="25" t="n"/>
      <c r="P133" s="43" t="n"/>
      <c r="Q133" s="1070" t="n"/>
      <c r="R133" s="25" t="n"/>
      <c r="S133" s="43" t="n"/>
      <c r="T133" s="1070" t="n"/>
      <c r="U133" s="25" t="n"/>
      <c r="V133" s="43" t="n"/>
      <c r="W133" s="1070" t="n"/>
      <c r="X133" s="25" t="n"/>
      <c r="Y133" s="43" t="n"/>
      <c r="Z133" s="1070" t="n"/>
      <c r="AA133" s="25" t="n"/>
      <c r="AB133" s="43" t="n"/>
      <c r="AC133" s="1070" t="n"/>
      <c r="AD133" s="25" t="n"/>
      <c r="AE133" s="43" t="n"/>
      <c r="AF133" s="1070" t="n"/>
      <c r="AG133" s="25" t="n"/>
      <c r="AH133" s="43" t="n"/>
      <c r="AI133" s="1070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71" t="n"/>
      <c r="AQ133" s="1124" t="n"/>
      <c r="AR133" s="1124" t="n"/>
    </row>
    <row r="134" outlineLevel="1" ht="15" customHeight="1" s="1016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70" t="n"/>
      <c r="F134" s="25" t="n"/>
      <c r="G134" s="43" t="n"/>
      <c r="H134" s="1070" t="n"/>
      <c r="I134" s="25" t="n"/>
      <c r="J134" s="43" t="n"/>
      <c r="K134" s="1070" t="n"/>
      <c r="L134" s="25" t="n"/>
      <c r="M134" s="43" t="n"/>
      <c r="N134" s="1070" t="n"/>
      <c r="O134" s="25" t="n"/>
      <c r="P134" s="43" t="n"/>
      <c r="Q134" s="1070" t="n"/>
      <c r="R134" s="25" t="n"/>
      <c r="S134" s="43" t="n"/>
      <c r="T134" s="1070" t="n"/>
      <c r="U134" s="25" t="n"/>
      <c r="V134" s="43" t="n"/>
      <c r="W134" s="1070" t="n"/>
      <c r="X134" s="25" t="n"/>
      <c r="Y134" s="43" t="n"/>
      <c r="Z134" s="1070" t="n"/>
      <c r="AA134" s="25" t="n"/>
      <c r="AB134" s="43" t="n"/>
      <c r="AC134" s="1070" t="n"/>
      <c r="AD134" s="25" t="n"/>
      <c r="AE134" s="43" t="n"/>
      <c r="AF134" s="1070" t="n"/>
      <c r="AG134" s="25" t="n"/>
      <c r="AH134" s="43" t="n"/>
      <c r="AI134" s="1070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71" t="n"/>
    </row>
    <row r="135" outlineLevel="1" ht="15" customHeight="1" s="1016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70" t="n"/>
      <c r="F135" s="25" t="n"/>
      <c r="G135" s="43" t="n"/>
      <c r="H135" s="1070" t="n"/>
      <c r="I135" s="25" t="n"/>
      <c r="J135" s="43" t="n"/>
      <c r="K135" s="1070" t="n"/>
      <c r="L135" s="25" t="n"/>
      <c r="M135" s="43" t="n"/>
      <c r="N135" s="1070" t="n"/>
      <c r="O135" s="25" t="n"/>
      <c r="P135" s="43" t="n"/>
      <c r="Q135" s="1070" t="n"/>
      <c r="R135" s="25" t="n"/>
      <c r="S135" s="43" t="n"/>
      <c r="T135" s="1070" t="n"/>
      <c r="U135" s="25" t="n"/>
      <c r="V135" s="43" t="n"/>
      <c r="W135" s="1070" t="n"/>
      <c r="X135" s="25" t="n"/>
      <c r="Y135" s="43" t="n"/>
      <c r="Z135" s="1070" t="n"/>
      <c r="AA135" s="25" t="n"/>
      <c r="AB135" s="43" t="n"/>
      <c r="AC135" s="1070" t="n"/>
      <c r="AD135" s="25" t="n"/>
      <c r="AE135" s="43" t="n"/>
      <c r="AF135" s="1070" t="n"/>
      <c r="AG135" s="25" t="n"/>
      <c r="AH135" s="43" t="n"/>
      <c r="AI135" s="1070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71" t="n"/>
    </row>
    <row r="136" outlineLevel="1" ht="15" customHeight="1" s="1016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70" t="n"/>
      <c r="F136" s="25" t="n"/>
      <c r="G136" s="43" t="n"/>
      <c r="H136" s="1070" t="n"/>
      <c r="I136" s="25" t="n"/>
      <c r="J136" s="43" t="n"/>
      <c r="K136" s="1070" t="n"/>
      <c r="L136" s="25" t="n"/>
      <c r="M136" s="43" t="n"/>
      <c r="N136" s="1070" t="n"/>
      <c r="O136" s="25" t="n"/>
      <c r="P136" s="43" t="n"/>
      <c r="Q136" s="1070" t="n"/>
      <c r="R136" s="25" t="n"/>
      <c r="S136" s="43" t="n"/>
      <c r="T136" s="1070" t="n"/>
      <c r="U136" s="25" t="n"/>
      <c r="V136" s="43" t="n"/>
      <c r="W136" s="1070" t="n"/>
      <c r="X136" s="25" t="n"/>
      <c r="Y136" s="43" t="n"/>
      <c r="Z136" s="1070" t="n"/>
      <c r="AA136" s="25" t="n"/>
      <c r="AB136" s="43" t="n"/>
      <c r="AC136" s="1070" t="n"/>
      <c r="AD136" s="25" t="n"/>
      <c r="AE136" s="43" t="n"/>
      <c r="AF136" s="1070" t="n"/>
      <c r="AG136" s="25" t="n"/>
      <c r="AH136" s="43" t="n"/>
      <c r="AI136" s="1070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71" t="n"/>
    </row>
    <row r="137" outlineLevel="1" ht="15" customHeight="1" s="1016">
      <c r="B137" s="25" t="inlineStr">
        <is>
          <t>Compra Instrumentos</t>
        </is>
      </c>
      <c r="C137" s="25" t="n"/>
      <c r="D137" s="43" t="n"/>
      <c r="E137" s="1070" t="n"/>
      <c r="F137" s="25" t="n"/>
      <c r="G137" s="43" t="n"/>
      <c r="H137" s="1070" t="n"/>
      <c r="I137" s="25" t="n"/>
      <c r="J137" s="43" t="n"/>
      <c r="K137" s="1070" t="n"/>
      <c r="L137" s="25" t="n"/>
      <c r="M137" s="43" t="n"/>
      <c r="N137" s="1070" t="n"/>
      <c r="O137" s="25" t="n"/>
      <c r="P137" s="43" t="n"/>
      <c r="Q137" s="1070" t="n"/>
      <c r="R137" s="950" t="n"/>
      <c r="S137" s="43" t="n"/>
      <c r="T137" s="1070" t="n"/>
      <c r="U137" s="25" t="n"/>
      <c r="V137" s="43" t="n"/>
      <c r="W137" s="1070" t="n"/>
      <c r="X137" s="25" t="n"/>
      <c r="Y137" s="43" t="n"/>
      <c r="Z137" s="1070" t="n"/>
      <c r="AA137" s="25" t="n"/>
      <c r="AB137" s="43" t="n"/>
      <c r="AC137" s="1070" t="n"/>
      <c r="AD137" s="25" t="n"/>
      <c r="AE137" s="43" t="n"/>
      <c r="AF137" s="1070" t="n"/>
      <c r="AG137" s="25" t="n"/>
      <c r="AH137" s="43" t="n"/>
      <c r="AI137" s="1070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71" t="n"/>
    </row>
    <row r="138" outlineLevel="1" ht="15" customHeight="1" s="1016">
      <c r="B138" s="25" t="inlineStr">
        <is>
          <t>Herramienrtas y Articulos de ferreteria</t>
        </is>
      </c>
      <c r="C138" s="25" t="n"/>
      <c r="D138" s="43" t="n"/>
      <c r="E138" s="1070" t="n"/>
      <c r="F138" s="25" t="n"/>
      <c r="G138" s="43" t="n"/>
      <c r="H138" s="1070" t="n"/>
      <c r="I138" s="25" t="n"/>
      <c r="J138" s="43" t="n"/>
      <c r="K138" s="1070" t="n"/>
      <c r="L138" s="25" t="n"/>
      <c r="M138" s="43" t="n"/>
      <c r="N138" s="1070" t="n"/>
      <c r="O138" s="25" t="n"/>
      <c r="P138" s="43" t="n"/>
      <c r="Q138" s="1070" t="n"/>
      <c r="R138" s="25" t="n"/>
      <c r="S138" s="43" t="n"/>
      <c r="T138" s="1070" t="n"/>
      <c r="U138" s="25" t="n"/>
      <c r="V138" s="43" t="n"/>
      <c r="W138" s="1070" t="n"/>
      <c r="X138" s="25" t="n"/>
      <c r="Y138" s="43" t="n"/>
      <c r="Z138" s="1070" t="n"/>
      <c r="AA138" s="25" t="n"/>
      <c r="AB138" s="43" t="n"/>
      <c r="AC138" s="1070" t="n"/>
      <c r="AD138" s="25" t="n"/>
      <c r="AE138" s="43" t="n"/>
      <c r="AF138" s="1070" t="n"/>
      <c r="AG138" s="25" t="n"/>
      <c r="AH138" s="43" t="n"/>
      <c r="AI138" s="1070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71" t="n"/>
    </row>
    <row r="139" outlineLevel="1" ht="15" customHeight="1" s="1016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'[1]Hoja 1'!$C$741</f>
        <v/>
      </c>
      <c r="D139" s="214" t="n"/>
      <c r="E139" s="1104" t="n"/>
      <c r="F139" s="269" t="n"/>
      <c r="G139" s="214" t="n"/>
      <c r="H139" s="1104" t="n"/>
      <c r="I139" s="269" t="n"/>
      <c r="J139" s="214" t="n"/>
      <c r="K139" s="1104" t="n"/>
      <c r="L139" s="269" t="n"/>
      <c r="M139" s="214" t="n"/>
      <c r="N139" s="1104" t="n"/>
      <c r="O139" s="269" t="n"/>
      <c r="P139" s="214" t="n"/>
      <c r="Q139" s="1104" t="n"/>
      <c r="R139" s="269" t="n"/>
      <c r="S139" s="214" t="n"/>
      <c r="T139" s="1104" t="n"/>
      <c r="U139" s="269" t="n"/>
      <c r="V139" s="214" t="n"/>
      <c r="W139" s="1104" t="n"/>
      <c r="X139" s="269" t="n"/>
      <c r="Y139" s="214" t="n"/>
      <c r="Z139" s="1104" t="n"/>
      <c r="AA139" s="269" t="n"/>
      <c r="AB139" s="214" t="n"/>
      <c r="AC139" s="1104" t="n"/>
      <c r="AD139" s="269" t="n"/>
      <c r="AE139" s="214" t="n"/>
      <c r="AF139" s="1104" t="n"/>
      <c r="AG139" s="269" t="n"/>
      <c r="AH139" s="214" t="n"/>
      <c r="AI139" s="1104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17" t="n"/>
    </row>
    <row r="140" ht="15" customHeight="1" s="1016" thickBot="1" thickTop="1">
      <c r="C140" s="2" t="n"/>
      <c r="D140" s="2" t="n"/>
      <c r="E140" s="1092" t="n"/>
      <c r="F140" s="2" t="n"/>
      <c r="G140" s="2" t="n"/>
      <c r="H140" s="1092" t="n"/>
      <c r="I140" s="2" t="n"/>
      <c r="J140" s="2" t="n"/>
      <c r="K140" s="1092" t="n"/>
      <c r="L140" s="2" t="n"/>
      <c r="M140" s="2" t="n"/>
      <c r="N140" s="1092" t="n"/>
      <c r="O140" s="2" t="n"/>
      <c r="P140" s="2" t="n"/>
      <c r="Q140" s="1092" t="n"/>
      <c r="R140" s="2" t="n"/>
      <c r="S140" s="2" t="n"/>
      <c r="T140" s="1092" t="n"/>
      <c r="U140" s="2" t="n"/>
      <c r="V140" s="2" t="n"/>
      <c r="W140" s="1092" t="n"/>
      <c r="X140" s="2" t="n"/>
      <c r="Y140" s="2" t="n"/>
      <c r="Z140" s="1092" t="n"/>
      <c r="AA140" s="2" t="n"/>
      <c r="AB140" s="2" t="n"/>
      <c r="AC140" s="1092" t="n"/>
      <c r="AD140" s="2" t="n"/>
      <c r="AE140" s="2" t="n"/>
      <c r="AF140" s="1092" t="n"/>
      <c r="AG140" s="2" t="n"/>
      <c r="AH140" s="2" t="n"/>
      <c r="AI140" s="1092" t="n"/>
      <c r="AJ140" s="2" t="n"/>
      <c r="AK140" s="2" t="n"/>
      <c r="AL140" s="64" t="n"/>
      <c r="AM140" s="151" t="n"/>
      <c r="AN140" s="2" t="n"/>
      <c r="AO140" s="1092" t="n"/>
    </row>
    <row r="141" ht="15" customHeight="1" s="1016" thickBot="1" thickTop="1">
      <c r="B141" s="525" t="inlineStr">
        <is>
          <t>TOTAL GASTOS</t>
        </is>
      </c>
      <c r="C141" s="493">
        <f>C44+C83</f>
        <v/>
      </c>
      <c r="D141" s="494" t="n"/>
      <c r="E141" s="1153" t="n"/>
      <c r="F141" s="493">
        <f>F44+F83</f>
        <v/>
      </c>
      <c r="G141" s="494" t="n"/>
      <c r="H141" s="1153" t="n"/>
      <c r="I141" s="493">
        <f>I44+I83</f>
        <v/>
      </c>
      <c r="J141" s="494" t="n"/>
      <c r="K141" s="1153" t="n"/>
      <c r="L141" s="493">
        <f>L44+L83</f>
        <v/>
      </c>
      <c r="M141" s="494" t="n"/>
      <c r="N141" s="1153" t="n"/>
      <c r="O141" s="493">
        <f>O44+O83</f>
        <v/>
      </c>
      <c r="P141" s="494" t="n"/>
      <c r="Q141" s="1153" t="n"/>
      <c r="R141" s="493">
        <f>R44+R83</f>
        <v/>
      </c>
      <c r="S141" s="494" t="n"/>
      <c r="T141" s="1153" t="n"/>
      <c r="U141" s="493">
        <f>U44+U83</f>
        <v/>
      </c>
      <c r="V141" s="494" t="n"/>
      <c r="W141" s="1153" t="n"/>
      <c r="X141" s="493">
        <f>X44+X83</f>
        <v/>
      </c>
      <c r="Y141" s="494" t="n"/>
      <c r="Z141" s="1153" t="n"/>
      <c r="AA141" s="493">
        <f>AA44+AA83</f>
        <v/>
      </c>
      <c r="AB141" s="494" t="n"/>
      <c r="AC141" s="1153" t="n"/>
      <c r="AD141" s="493">
        <f>AD44+AD83</f>
        <v/>
      </c>
      <c r="AE141" s="494" t="n"/>
      <c r="AF141" s="1153" t="n"/>
      <c r="AG141" s="493">
        <f>AG44+AG83</f>
        <v/>
      </c>
      <c r="AH141" s="494" t="n"/>
      <c r="AI141" s="1153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54" t="n"/>
    </row>
    <row r="142" ht="15" customHeight="1" s="1016" thickBot="1" thickTop="1">
      <c r="B142" s="193" t="n"/>
      <c r="C142" s="496">
        <f>IFERROR(C141/C13," ")</f>
        <v/>
      </c>
      <c r="D142" s="488" t="n"/>
      <c r="E142" s="1090" t="n"/>
      <c r="F142" s="496">
        <f>IFERROR(F141/F13," ")</f>
        <v/>
      </c>
      <c r="G142" s="488" t="n"/>
      <c r="H142" s="1090" t="n"/>
      <c r="I142" s="496">
        <f>IFERROR(I141/I13," ")</f>
        <v/>
      </c>
      <c r="J142" s="488" t="n"/>
      <c r="K142" s="1090" t="n"/>
      <c r="L142" s="496">
        <f>IFERROR(L141/L13," ")</f>
        <v/>
      </c>
      <c r="M142" s="488" t="n"/>
      <c r="N142" s="1090" t="n"/>
      <c r="O142" s="496">
        <f>IFERROR(O141/O13," ")</f>
        <v/>
      </c>
      <c r="P142" s="488" t="n"/>
      <c r="Q142" s="1090" t="n"/>
      <c r="R142" s="496">
        <f>IFERROR(R141/R13," ")</f>
        <v/>
      </c>
      <c r="S142" s="488" t="n"/>
      <c r="T142" s="1090" t="n"/>
      <c r="U142" s="496">
        <f>IFERROR(U141/U13," ")</f>
        <v/>
      </c>
      <c r="V142" s="488" t="n"/>
      <c r="W142" s="1090" t="n"/>
      <c r="X142" s="496">
        <f>IFERROR(X141/X13," ")</f>
        <v/>
      </c>
      <c r="Y142" s="488" t="n"/>
      <c r="Z142" s="1090" t="n"/>
      <c r="AA142" s="496">
        <f>IFERROR(AA141/AA13," ")</f>
        <v/>
      </c>
      <c r="AB142" s="488" t="n"/>
      <c r="AC142" s="1090" t="n"/>
      <c r="AD142" s="496">
        <f>IFERROR(AD141/AD13," ")</f>
        <v/>
      </c>
      <c r="AE142" s="488" t="n"/>
      <c r="AF142" s="1090" t="n"/>
      <c r="AG142" s="496">
        <f>IFERROR(AG141/AG13," ")</f>
        <v/>
      </c>
      <c r="AH142" s="488" t="n"/>
      <c r="AI142" s="1090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091" t="n"/>
    </row>
    <row r="143" ht="10.8" customHeight="1" s="1016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'[1]Hoja 1'!$C$702-'[1]Hoja 1'!$C$738</f>
        <v/>
      </c>
      <c r="F146" s="611">
        <f>'[8]Hoja 1'!$C$642-'[8]Hoja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10">
        <f>C145-C146</f>
        <v/>
      </c>
      <c r="F147" s="1010">
        <f>F145-F146</f>
        <v/>
      </c>
      <c r="I147" s="1010">
        <f>I145-I146</f>
        <v/>
      </c>
      <c r="L147" s="1010">
        <f>L145-L146</f>
        <v/>
      </c>
      <c r="O147" s="1010">
        <f>O145-O146</f>
        <v/>
      </c>
      <c r="R147" s="1010">
        <f>R145-R146</f>
        <v/>
      </c>
      <c r="U147" s="1010">
        <f>U145-U146</f>
        <v/>
      </c>
      <c r="X147" s="1010">
        <f>X145-X146</f>
        <v/>
      </c>
      <c r="AA147" s="1010">
        <f>AA145-AA146</f>
        <v/>
      </c>
      <c r="AD147" s="1010">
        <f>AD145-AD146</f>
        <v/>
      </c>
      <c r="AG147" s="1010">
        <f>AG145-AG146</f>
        <v/>
      </c>
      <c r="AJ147" s="1010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2026-03-30T20:03:39Z</dcterms:modified>
  <cp:lastModifiedBy>diego lopez</cp:lastModifiedBy>
  <cp:lastPrinted>2025-03-07T14:18:05Z</cp:lastPrinted>
</cp:coreProperties>
</file>