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04" yWindow="2304" windowWidth="15576" windowHeight="8880" tabRatio="600" firstSheet="0" activeTab="0" autoFilterDateGrouping="1"/>
  </bookViews>
  <sheets>
    <sheet xmlns:r="http://schemas.openxmlformats.org/officeDocument/2006/relationships" name="GASTOS ADMINISTRATIVOS 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</externalReferences>
  <definedNames>
    <definedName name="AUMENTO">'GASTOS ADMINISTRATIVOS '!#REF!</definedName>
    <definedName name="FACT">'[1]COMEDORES VALLE'!#REF!</definedName>
    <definedName name="INCREMENTO">'GASTOS ADMINISTRATIVOS '!#REF!</definedName>
    <definedName name="Total_Acqui">#REF!</definedName>
    <definedName name="Total_Bogotá">#REF!</definedName>
    <definedName name="Total_Pari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0.0%"/>
    <numFmt numFmtId="166" formatCode="_-* #,##0.00_-;\-* #,##0.00_-;_-* &quot;-&quot;??_-;_-@_-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ahoma"/>
      <family val="2"/>
      <sz val="7"/>
    </font>
    <font>
      <name val="Tahoma"/>
      <family val="2"/>
      <b val="1"/>
      <color theme="1"/>
      <sz val="9"/>
    </font>
    <font>
      <name val="Tahoma"/>
      <family val="2"/>
      <b val="1"/>
      <color theme="1"/>
      <sz val="11"/>
    </font>
    <font>
      <name val="Tahoma"/>
      <family val="2"/>
      <color theme="0"/>
      <sz val="8"/>
    </font>
    <font>
      <name val="Tahoma"/>
      <family val="2"/>
      <color theme="1"/>
      <sz val="9"/>
    </font>
    <font>
      <name val="Tahoma"/>
      <family val="2"/>
      <b val="1"/>
      <sz val="7"/>
    </font>
    <font>
      <name val="Tahoma"/>
      <family val="2"/>
      <b val="1"/>
      <color theme="0"/>
      <sz val="8"/>
    </font>
    <font>
      <name val="Tahoma"/>
      <family val="2"/>
      <sz val="9"/>
    </font>
    <font>
      <name val="Calibri"/>
      <family val="2"/>
      <color theme="10"/>
      <sz val="11"/>
      <u val="single"/>
    </font>
    <font>
      <name val="Tahoma"/>
      <family val="2"/>
      <color theme="10"/>
      <sz val="9"/>
      <u val="single"/>
    </font>
    <font>
      <name val="Tahoma"/>
      <family val="2"/>
      <color rgb="FF0070C0"/>
      <sz val="8"/>
    </font>
    <font>
      <name val="Tahoma"/>
      <family val="2"/>
      <color rgb="FFFF0000"/>
      <sz val="9"/>
    </font>
    <font>
      <name val="Tahoma"/>
      <family val="2"/>
      <sz val="8"/>
    </font>
    <font>
      <name val="Tahoma"/>
      <family val="2"/>
      <b val="1"/>
      <sz val="8"/>
    </font>
    <font>
      <name val="Tahoma"/>
      <family val="2"/>
      <b val="1"/>
      <sz val="9"/>
    </font>
    <font>
      <name val="Tahoma"/>
      <family val="2"/>
      <color theme="10"/>
      <sz val="9"/>
      <u val="singleAccounting"/>
    </font>
    <font>
      <name val="Tahoma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theme="0" tint="-0.1498764000366222"/>
      </left>
      <right/>
      <top style="thin">
        <color theme="0" tint="-0.1498764000366222"/>
      </top>
      <bottom style="thin">
        <color theme="0" tint="-0.14987640003662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9" fontId="1" fillId="0" borderId="0"/>
    <xf numFmtId="0" fontId="10" fillId="0" borderId="0" applyAlignment="1" applyProtection="1">
      <alignment vertical="top"/>
      <protection locked="0" hidden="0"/>
    </xf>
  </cellStyleXfs>
  <cellXfs count="139">
    <xf numFmtId="0" fontId="0" fillId="0" borderId="0" pivotButton="0" quotePrefix="0" xfId="0"/>
    <xf numFmtId="4" fontId="5" fillId="2" borderId="0" applyAlignment="1" pivotButton="0" quotePrefix="0" xfId="0">
      <alignment horizontal="center"/>
    </xf>
    <xf numFmtId="0" fontId="6" fillId="2" borderId="0" pivotButton="0" quotePrefix="0" xfId="0"/>
    <xf numFmtId="0" fontId="3" fillId="3" borderId="1" applyAlignment="1" pivotButton="0" quotePrefix="0" xfId="0">
      <alignment horizontal="right" vertical="center"/>
    </xf>
    <xf numFmtId="164" fontId="3" fillId="3" borderId="1" applyAlignment="1" pivotButton="0" quotePrefix="0" xfId="1">
      <alignment horizontal="center" vertical="center"/>
    </xf>
    <xf numFmtId="164" fontId="3" fillId="3" borderId="1" applyAlignment="1" pivotButton="0" quotePrefix="0" xfId="0">
      <alignment horizontal="center" vertical="center"/>
    </xf>
    <xf numFmtId="4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164" fontId="3" fillId="0" borderId="1" applyAlignment="1" pivotButton="0" quotePrefix="0" xfId="1">
      <alignment vertical="center"/>
    </xf>
    <xf numFmtId="4" fontId="8" fillId="2" borderId="0" applyAlignment="1" pivotButton="0" quotePrefix="0" xfId="0">
      <alignment horizontal="center"/>
    </xf>
    <xf numFmtId="0" fontId="3" fillId="2" borderId="0" pivotButton="0" quotePrefix="0" xfId="0"/>
    <xf numFmtId="164" fontId="9" fillId="0" borderId="4" applyAlignment="1" pivotButton="0" quotePrefix="0" xfId="1">
      <alignment vertical="center"/>
    </xf>
    <xf numFmtId="164" fontId="6" fillId="0" borderId="5" applyAlignment="1" pivotButton="0" quotePrefix="0" xfId="1">
      <alignment vertical="center"/>
    </xf>
    <xf numFmtId="4" fontId="5" fillId="2" borderId="0" applyAlignment="1" pivotButton="0" quotePrefix="0" xfId="2">
      <alignment horizontal="center"/>
    </xf>
    <xf numFmtId="164" fontId="9" fillId="0" borderId="6" applyAlignment="1" pivotButton="0" quotePrefix="0" xfId="1">
      <alignment vertical="center"/>
    </xf>
    <xf numFmtId="164" fontId="6" fillId="0" borderId="7" applyAlignment="1" pivotButton="0" quotePrefix="0" xfId="1">
      <alignment vertical="center"/>
    </xf>
    <xf numFmtId="164" fontId="11" fillId="0" borderId="6" applyAlignment="1" pivotButton="0" quotePrefix="0" xfId="3">
      <alignment vertical="center"/>
    </xf>
    <xf numFmtId="164" fontId="9" fillId="0" borderId="8" applyAlignment="1" pivotButton="0" quotePrefix="0" xfId="1">
      <alignment vertical="center"/>
    </xf>
    <xf numFmtId="4" fontId="12" fillId="2" borderId="0" applyAlignment="1" pivotButton="0" quotePrefix="0" xfId="2">
      <alignment horizontal="center"/>
    </xf>
    <xf numFmtId="164" fontId="6" fillId="0" borderId="4" applyAlignment="1" pivotButton="0" quotePrefix="0" xfId="1">
      <alignment vertical="center"/>
    </xf>
    <xf numFmtId="164" fontId="6" fillId="0" borderId="6" applyAlignment="1" pivotButton="0" quotePrefix="0" xfId="1">
      <alignment vertical="center"/>
    </xf>
    <xf numFmtId="164" fontId="6" fillId="0" borderId="9" applyAlignment="1" pivotButton="0" quotePrefix="0" xfId="1">
      <alignment vertical="center"/>
    </xf>
    <xf numFmtId="164" fontId="3" fillId="2" borderId="1" applyAlignment="1" pivotButton="0" quotePrefix="0" xfId="1">
      <alignment vertical="center"/>
    </xf>
    <xf numFmtId="164" fontId="6" fillId="0" borderId="11" applyAlignment="1" pivotButton="0" quotePrefix="0" xfId="1">
      <alignment vertical="center"/>
    </xf>
    <xf numFmtId="164" fontId="6" fillId="0" borderId="8" applyAlignment="1" pivotButton="0" quotePrefix="0" xfId="1">
      <alignment vertical="center"/>
    </xf>
    <xf numFmtId="4" fontId="14" fillId="2" borderId="0" applyAlignment="1" pivotButton="0" quotePrefix="0" xfId="1">
      <alignment horizontal="center"/>
    </xf>
    <xf numFmtId="164" fontId="6" fillId="2" borderId="9" applyAlignment="1" pivotButton="0" quotePrefix="0" xfId="1">
      <alignment vertical="center"/>
    </xf>
    <xf numFmtId="164" fontId="6" fillId="2" borderId="5" applyAlignment="1" pivotButton="0" quotePrefix="0" xfId="1">
      <alignment vertical="center"/>
    </xf>
    <xf numFmtId="164" fontId="6" fillId="2" borderId="7" applyAlignment="1" pivotButton="0" quotePrefix="0" xfId="1">
      <alignment vertical="center"/>
    </xf>
    <xf numFmtId="4" fontId="5" fillId="0" borderId="0" applyAlignment="1" pivotButton="0" quotePrefix="0" xfId="2">
      <alignment horizontal="center"/>
    </xf>
    <xf numFmtId="0" fontId="3" fillId="0" borderId="0" pivotButton="0" quotePrefix="0" xfId="0"/>
    <xf numFmtId="164" fontId="10" fillId="0" borderId="6" applyAlignment="1" pivotButton="0" quotePrefix="0" xfId="3">
      <alignment vertical="center"/>
    </xf>
    <xf numFmtId="164" fontId="3" fillId="0" borderId="16" applyAlignment="1" pivotButton="0" quotePrefix="0" xfId="1">
      <alignment vertical="center"/>
    </xf>
    <xf numFmtId="164" fontId="6" fillId="0" borderId="17" applyAlignment="1" pivotButton="0" quotePrefix="0" xfId="1">
      <alignment vertical="center"/>
    </xf>
    <xf numFmtId="164" fontId="6" fillId="0" borderId="14" applyAlignment="1" pivotButton="0" quotePrefix="0" xfId="1">
      <alignment vertical="center"/>
    </xf>
    <xf numFmtId="164" fontId="6" fillId="0" borderId="3" applyAlignment="1" pivotButton="0" quotePrefix="0" xfId="1">
      <alignment vertical="center"/>
    </xf>
    <xf numFmtId="164" fontId="10" fillId="0" borderId="4" applyAlignment="1" pivotButton="0" quotePrefix="0" xfId="3">
      <alignment vertical="center"/>
    </xf>
    <xf numFmtId="4" fontId="15" fillId="2" borderId="0" applyAlignment="1" pivotButton="0" quotePrefix="0" xfId="1">
      <alignment horizontal="center"/>
    </xf>
    <xf numFmtId="164" fontId="16" fillId="0" borderId="1" applyAlignment="1" pivotButton="0" quotePrefix="0" xfId="1">
      <alignment vertical="center"/>
    </xf>
    <xf numFmtId="0" fontId="6" fillId="0" borderId="0" pivotButton="0" quotePrefix="0" xfId="0"/>
    <xf numFmtId="164" fontId="3" fillId="0" borderId="6" applyAlignment="1" pivotButton="0" quotePrefix="0" xfId="1">
      <alignment vertical="center"/>
    </xf>
    <xf numFmtId="164" fontId="9" fillId="0" borderId="18" applyAlignment="1" pivotButton="0" quotePrefix="0" xfId="1">
      <alignment vertical="center"/>
    </xf>
    <xf numFmtId="164" fontId="17" fillId="0" borderId="6" applyAlignment="1" pivotButton="0" quotePrefix="0" xfId="3">
      <alignment vertical="center"/>
    </xf>
    <xf numFmtId="164" fontId="6" fillId="0" borderId="18" applyAlignment="1" pivotButton="0" quotePrefix="0" xfId="1">
      <alignment vertical="center"/>
    </xf>
    <xf numFmtId="164" fontId="11" fillId="0" borderId="18" applyAlignment="1" pivotButton="0" quotePrefix="0" xfId="3">
      <alignment vertical="center"/>
    </xf>
    <xf numFmtId="164" fontId="6" fillId="0" borderId="18" applyAlignment="1" pivotButton="0" quotePrefix="0" xfId="1">
      <alignment horizontal="center" vertical="center"/>
    </xf>
    <xf numFmtId="164" fontId="6" fillId="0" borderId="20" applyAlignment="1" pivotButton="0" quotePrefix="0" xfId="1">
      <alignment vertical="center"/>
    </xf>
    <xf numFmtId="164" fontId="18" fillId="3" borderId="22" applyAlignment="1" pivotButton="0" quotePrefix="0" xfId="1">
      <alignment vertical="center"/>
    </xf>
    <xf numFmtId="164" fontId="6" fillId="0" borderId="23" applyAlignment="1" pivotButton="0" quotePrefix="0" xfId="1">
      <alignment vertical="center"/>
    </xf>
    <xf numFmtId="164" fontId="3" fillId="3" borderId="1" applyAlignment="1" pivotButton="0" quotePrefix="0" xfId="1">
      <alignment vertical="center"/>
    </xf>
    <xf numFmtId="164" fontId="16" fillId="0" borderId="6" applyAlignment="1" pivotButton="0" quotePrefix="0" xfId="1">
      <alignment vertical="center"/>
    </xf>
    <xf numFmtId="164" fontId="3" fillId="0" borderId="22" applyAlignment="1" pivotButton="0" quotePrefix="0" xfId="1">
      <alignment vertical="center"/>
    </xf>
    <xf numFmtId="164" fontId="6" fillId="2" borderId="0" applyAlignment="1" pivotButton="0" quotePrefix="0" xfId="1">
      <alignment vertical="center"/>
    </xf>
    <xf numFmtId="164" fontId="6" fillId="2" borderId="0" applyAlignment="1" pivotButton="0" quotePrefix="0" xfId="0">
      <alignment vertical="center"/>
    </xf>
    <xf numFmtId="164" fontId="6" fillId="2" borderId="0" pivotButton="0" quotePrefix="0" xfId="1"/>
    <xf numFmtId="164" fontId="13" fillId="2" borderId="0" pivotButton="0" quotePrefix="0" xfId="1"/>
    <xf numFmtId="164" fontId="6" fillId="2" borderId="0" pivotButton="0" quotePrefix="0" xfId="0"/>
    <xf numFmtId="164" fontId="13" fillId="2" borderId="0" pivotButton="0" quotePrefix="0" xfId="0"/>
    <xf numFmtId="164" fontId="13" fillId="2" borderId="0" applyAlignment="1" pivotButton="0" quotePrefix="0" xfId="1">
      <alignment vertical="center"/>
    </xf>
    <xf numFmtId="164" fontId="13" fillId="2" borderId="0" applyAlignment="1" pivotButton="0" quotePrefix="0" xfId="1">
      <alignment horizontal="center" vertical="center"/>
    </xf>
    <xf numFmtId="165" fontId="6" fillId="2" borderId="0" pivotButton="0" quotePrefix="0" xfId="2"/>
    <xf numFmtId="164" fontId="13" fillId="2" borderId="0" applyAlignment="1" pivotButton="0" quotePrefix="0" xfId="1">
      <alignment horizontal="center"/>
    </xf>
    <xf numFmtId="164" fontId="6" fillId="4" borderId="4" applyAlignment="1" pivotButton="0" quotePrefix="0" xfId="1">
      <alignment vertical="center"/>
    </xf>
    <xf numFmtId="164" fontId="6" fillId="4" borderId="5" applyAlignment="1" pivotButton="0" quotePrefix="0" xfId="1">
      <alignment vertical="center"/>
    </xf>
    <xf numFmtId="4" fontId="5" fillId="4" borderId="0" applyAlignment="1" pivotButton="0" quotePrefix="0" xfId="2">
      <alignment horizontal="center"/>
    </xf>
    <xf numFmtId="0" fontId="3" fillId="4" borderId="0" pivotButton="0" quotePrefix="0" xfId="0"/>
    <xf numFmtId="164" fontId="6" fillId="4" borderId="6" applyAlignment="1" pivotButton="0" quotePrefix="0" xfId="1">
      <alignment vertical="center"/>
    </xf>
    <xf numFmtId="164" fontId="6" fillId="4" borderId="7" applyAlignment="1" pivotButton="0" quotePrefix="0" xfId="1">
      <alignment vertical="center"/>
    </xf>
    <xf numFmtId="0" fontId="6" fillId="4" borderId="0" pivotButton="0" quotePrefix="0" xfId="0"/>
    <xf numFmtId="164" fontId="6" fillId="4" borderId="8" applyAlignment="1" pivotButton="0" quotePrefix="0" xfId="1">
      <alignment vertical="center"/>
    </xf>
    <xf numFmtId="164" fontId="6" fillId="4" borderId="9" applyAlignment="1" pivotButton="0" quotePrefix="0" xfId="1">
      <alignment vertical="center"/>
    </xf>
    <xf numFmtId="4" fontId="14" fillId="4" borderId="0" applyAlignment="1" pivotButton="0" quotePrefix="0" xfId="1">
      <alignment horizontal="center"/>
    </xf>
    <xf numFmtId="164" fontId="11" fillId="4" borderId="6" applyAlignment="1" pivotButton="0" quotePrefix="0" xfId="3">
      <alignment vertical="center"/>
    </xf>
    <xf numFmtId="164" fontId="9" fillId="4" borderId="6" applyAlignment="1" pivotButton="0" quotePrefix="0" xfId="1">
      <alignment vertical="center"/>
    </xf>
    <xf numFmtId="164" fontId="6" fillId="5" borderId="1" applyAlignment="1" pivotButton="0" quotePrefix="0" xfId="1">
      <alignment vertical="center"/>
    </xf>
    <xf numFmtId="164" fontId="11" fillId="5" borderId="1" applyAlignment="1" pivotButton="0" quotePrefix="0" xfId="3">
      <alignment vertical="center"/>
    </xf>
    <xf numFmtId="164" fontId="6" fillId="5" borderId="8" applyAlignment="1" pivotButton="0" quotePrefix="0" xfId="1">
      <alignment vertical="center"/>
    </xf>
    <xf numFmtId="4" fontId="5" fillId="5" borderId="0" applyAlignment="1" pivotButton="0" quotePrefix="0" xfId="2">
      <alignment horizontal="center"/>
    </xf>
    <xf numFmtId="0" fontId="6" fillId="5" borderId="0" pivotButton="0" quotePrefix="0" xfId="0"/>
    <xf numFmtId="164" fontId="6" fillId="4" borderId="16" applyAlignment="1" pivotButton="0" quotePrefix="0" xfId="1">
      <alignment vertical="center"/>
    </xf>
    <xf numFmtId="0" fontId="6" fillId="0" borderId="3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4" fontId="9" fillId="0" borderId="11" applyAlignment="1" pivotButton="0" quotePrefix="0" xfId="1">
      <alignment vertical="center"/>
    </xf>
    <xf numFmtId="164" fontId="13" fillId="0" borderId="11" applyAlignment="1" pivotButton="0" quotePrefix="0" xfId="1">
      <alignment vertical="center"/>
    </xf>
    <xf numFmtId="0" fontId="6" fillId="0" borderId="8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6" fillId="0" borderId="13" applyAlignment="1" pivotButton="0" quotePrefix="0" xfId="0">
      <alignment vertical="center"/>
    </xf>
    <xf numFmtId="0" fontId="6" fillId="0" borderId="14" applyAlignment="1" pivotButton="0" quotePrefix="0" xfId="0">
      <alignment vertical="center"/>
    </xf>
    <xf numFmtId="0" fontId="6" fillId="0" borderId="17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164" fontId="6" fillId="0" borderId="0" pivotButton="0" quotePrefix="0" xfId="1"/>
    <xf numFmtId="0" fontId="6" fillId="0" borderId="19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164" fontId="18" fillId="0" borderId="22" applyAlignment="1" pivotButton="0" quotePrefix="0" xfId="1">
      <alignment vertical="center"/>
    </xf>
    <xf numFmtId="0" fontId="3" fillId="0" borderId="23" applyAlignment="1" pivotButton="0" quotePrefix="0" xfId="0">
      <alignment vertical="center"/>
    </xf>
    <xf numFmtId="164" fontId="9" fillId="0" borderId="23" applyAlignment="1" pivotButton="0" quotePrefix="0" xfId="1">
      <alignment vertical="center"/>
    </xf>
    <xf numFmtId="0" fontId="9" fillId="0" borderId="17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6" fillId="0" borderId="0" applyAlignment="1" pivotButton="0" quotePrefix="0" xfId="1">
      <alignment vertical="center"/>
    </xf>
    <xf numFmtId="164" fontId="13" fillId="0" borderId="0" pivotButton="0" quotePrefix="0" xfId="1"/>
    <xf numFmtId="0" fontId="2" fillId="2" borderId="0" applyAlignment="1" pivotButton="0" quotePrefix="0" xfId="0">
      <alignment horizontal="right"/>
    </xf>
    <xf numFmtId="0" fontId="2" fillId="2" borderId="0" applyAlignment="1" pivotButton="0" quotePrefix="0" xfId="0">
      <alignment horizontal="right" vertical="center"/>
    </xf>
    <xf numFmtId="0" fontId="7" fillId="2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right"/>
    </xf>
    <xf numFmtId="0" fontId="2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right" vertical="center"/>
    </xf>
    <xf numFmtId="0" fontId="2" fillId="0" borderId="15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1" xfId="0">
      <alignment horizontal="right" vertical="center"/>
    </xf>
    <xf numFmtId="0" fontId="2" fillId="6" borderId="2" applyAlignment="1" pivotButton="0" quotePrefix="0" xfId="0">
      <alignment horizontal="right" vertical="center"/>
    </xf>
    <xf numFmtId="0" fontId="6" fillId="6" borderId="10" applyAlignment="1" pivotButton="0" quotePrefix="0" xfId="0">
      <alignment vertical="center"/>
    </xf>
    <xf numFmtId="0" fontId="6" fillId="6" borderId="8" applyAlignment="1" pivotButton="0" quotePrefix="0" xfId="0">
      <alignment vertical="center"/>
    </xf>
    <xf numFmtId="0" fontId="6" fillId="6" borderId="6" applyAlignment="1" pivotButton="0" quotePrefix="0" xfId="0">
      <alignment vertical="center"/>
    </xf>
    <xf numFmtId="0" fontId="6" fillId="6" borderId="13" applyAlignment="1" pivotButton="0" quotePrefix="0" xfId="0">
      <alignment vertical="center"/>
    </xf>
    <xf numFmtId="0" fontId="6" fillId="6" borderId="17" applyAlignment="1" pivotButton="0" quotePrefix="0" xfId="0">
      <alignment vertical="center"/>
    </xf>
    <xf numFmtId="164" fontId="6" fillId="6" borderId="4" applyAlignment="1" pivotButton="0" quotePrefix="0" xfId="1">
      <alignment vertical="center"/>
    </xf>
    <xf numFmtId="164" fontId="6" fillId="6" borderId="6" applyAlignment="1" pivotButton="0" quotePrefix="0" xfId="1">
      <alignment vertical="center"/>
    </xf>
    <xf numFmtId="164" fontId="6" fillId="6" borderId="3" applyAlignment="1" pivotButton="0" quotePrefix="0" xfId="1">
      <alignment vertical="center"/>
    </xf>
    <xf numFmtId="164" fontId="6" fillId="6" borderId="8" applyAlignment="1" pivotButton="0" quotePrefix="0" xfId="1">
      <alignment vertical="center"/>
    </xf>
    <xf numFmtId="0" fontId="2" fillId="7" borderId="2" applyAlignment="1" pivotButton="0" quotePrefix="0" xfId="0">
      <alignment horizontal="right" vertical="center"/>
    </xf>
    <xf numFmtId="0" fontId="6" fillId="7" borderId="13" applyAlignment="1" pivotButton="0" quotePrefix="0" xfId="0">
      <alignment vertical="center"/>
    </xf>
    <xf numFmtId="164" fontId="6" fillId="7" borderId="4" applyAlignment="1" pivotButton="0" quotePrefix="0" xfId="1">
      <alignment vertical="center"/>
    </xf>
    <xf numFmtId="164" fontId="6" fillId="7" borderId="5" applyAlignment="1" pivotButton="0" quotePrefix="0" xfId="1">
      <alignment vertical="center"/>
    </xf>
    <xf numFmtId="4" fontId="5" fillId="7" borderId="0" applyAlignment="1" pivotButton="0" quotePrefix="0" xfId="2">
      <alignment horizontal="center"/>
    </xf>
    <xf numFmtId="0" fontId="6" fillId="7" borderId="0" pivotButton="0" quotePrefix="0" xfId="0"/>
    <xf numFmtId="0" fontId="6" fillId="7" borderId="17" applyAlignment="1" pivotButton="0" quotePrefix="0" xfId="0">
      <alignment vertical="center"/>
    </xf>
    <xf numFmtId="164" fontId="6" fillId="7" borderId="6" applyAlignment="1" pivotButton="0" quotePrefix="0" xfId="1">
      <alignment vertical="center"/>
    </xf>
    <xf numFmtId="164" fontId="6" fillId="7" borderId="0" pivotButton="0" quotePrefix="0" xfId="1"/>
    <xf numFmtId="164" fontId="6" fillId="7" borderId="7" applyAlignment="1" pivotButton="0" quotePrefix="0" xfId="1">
      <alignment vertical="center"/>
    </xf>
    <xf numFmtId="164" fontId="6" fillId="7" borderId="1" applyAlignment="1" pivotButton="0" quotePrefix="0" xfId="1">
      <alignment vertical="center"/>
    </xf>
    <xf numFmtId="164" fontId="4" fillId="2" borderId="0" applyAlignment="1" pivotButton="0" quotePrefix="0" xfId="1">
      <alignment horizontal="center" vertical="center" wrapText="1"/>
    </xf>
    <xf numFmtId="164" fontId="6" fillId="2" borderId="0" pivotButton="0" quotePrefix="0" xfId="1"/>
    <xf numFmtId="164" fontId="6" fillId="2" borderId="0" pivotButton="0" quotePrefix="0" xfId="0"/>
    <xf numFmtId="166" fontId="3" fillId="2" borderId="0" applyAlignment="1" pivotButton="0" quotePrefix="0" xfId="1">
      <alignment horizontal="center" vertical="center" wrapText="1"/>
    </xf>
    <xf numFmtId="0" fontId="6" fillId="2" borderId="0" pivotButton="0" quotePrefix="0" xfId="0"/>
    <xf numFmtId="166" fontId="3" fillId="2" borderId="0" applyAlignment="1" pivotButton="0" quotePrefix="0" xfId="1">
      <alignment horizontal="center" vertical="center" wrapText="1"/>
    </xf>
  </cellXfs>
  <cellStyles count="4">
    <cellStyle name="Normal" xfId="0" builtinId="0"/>
    <cellStyle name="Millares" xfId="1" builtinId="3"/>
    <cellStyle name="Porcentaje" xfId="2" builtinId="5"/>
    <cellStyle name="Hipervínculo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externalLink" Target="/xl/externalLinks/externalLink11.xml" Id="rId12"/><Relationship Type="http://schemas.openxmlformats.org/officeDocument/2006/relationships/externalLink" Target="/xl/externalLinks/externalLink12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Script</author>
    <author>USER</author>
    <author>Adriana Becerra</author>
  </authors>
  <commentList>
    <comment ref="D6" authorId="0" shapeId="0">
      <text>
        <t>Archivo: 5105_CHVS_FEB_2026-DL.xls
  Total 5105: $241,842,440  (celda J19)
  - 010103: $55,134,543  (celda J21)
  - 010303: $4,115,810  (celda J26)
  - 010501: $19,090,050  (celda J33)
  Neto: $163,502,037
Archivo: 5105_CONS ALIM CALI2026_FEB_2026-DL.xls
  Total 5105: $15,337,212  (celda J19)
  - 010303: $3,014,328  (celda J22)
  Neto: $12,322,884
Archivo: 5105_UT ALIM BUGA2026_FEB_2026-DL.xls
  Total 5105: $41,746,824  (celda J19)
  Neto: $41,746,824
Archivo: 5105_UT ALIM YUMBO2025_FEB_2026-DL.xls
  Total 5105: $0  (celda J19)
  - 010303: $0  (celda J24)
  Neto: $0
Archivo: 5105_UT ALIM YUMBO2026_FEB_2026-DL.xls
  Total 5105: $13,995,067  (celda J19)
  - 010303: $3,327,240  (celda J21)
  Neto: $10,667,827
Archivo: 5105_UT BUGA2025_FEB_2026-DL.xls
  Codigo 010403: $321,319  (celda J22)
------------------------------
Total: $228,560,891
Generado: 2026-03-26</t>
      </text>
    </comment>
    <comment ref="E6" authorId="0" shapeId="0">
      <text>
        <t>Archivo: 5105_CHVS_MAR_2026.xls
  Codigos: 99 GENERAL
  Celdas:  J18
  Valor:   $241,842,440
Archivo: 5105_CHVS_MAR_2026.xls
  Codigos: 010102           GERENCIA
  Celdas:  J20
  Valor:   $23,992,227
------------------------------
Total: $265,834,667
Generado: 2026-03-26</t>
      </text>
    </comment>
    <comment ref="F6" authorId="0" shapeId="0">
      <text>
        <t>Archivo: 5105_CHVS_ABR_2026.xls
  Codigos: 99 GENERAL
  Celdas:  J18
  Valor:   $241,842,440
------------------------------
Total: $241,842,440
Generado: 2026-03-26</t>
      </text>
    </comment>
    <comment ref="G6" authorId="0" shapeId="0">
      <text>
        <t>Archivo: 5105_CHVS_MAY_2026.xls
  Codigos: 99 GENERAL
  Celdas:  J18
  Valor:   $241,842,440
Op fija: + $100,000  → subtotal $241,942,440
Op fija: - $5  → subtotal $241,942,435
------------------------------
Total: $241,942,435
Generado: 2026-03-26</t>
      </text>
    </comment>
    <comment ref="H6" authorId="1" shapeId="0">
      <text>
        <t xml:space="preserve">$15,481,270 personal pens
</t>
      </text>
    </comment>
    <comment ref="D7" authorId="0" shapeId="0">
      <text>
        <t>Archivo: 5105_CHVS_FEB_2026-DL.xls
  Codigos: 010501
  Celdas:  J33
  Valor:   $19,090,050
------------------------------
Total: $19,090,050
Generado: 2026-03-26</t>
      </text>
    </comment>
    <comment ref="E7" authorId="0" shapeId="0">
      <text>
        <t>Archivo: 5105_CHVS_MAR_2026.xls
  Codigos: 010501
  Celdas:  J33
  Valor:   $19,090,050
------------------------------
Total: $19,090,050
Generado: 2026-03-26</t>
      </text>
    </comment>
    <comment ref="F7" authorId="0" shapeId="0">
      <text>
        <t>Archivo: 5105_CHVS_ABR_2026.xls
  Codigos: 010501
  Celdas:  J33
  Valor:   $19,090,050
------------------------------
Total: $19,090,050
Generado: 2026-03-26</t>
      </text>
    </comment>
    <comment ref="G7" authorId="0" shapeId="0">
      <text>
        <t>Archivo: 5105_CHVS_MAY_2026.xls
  Codigos: 010501
  Celdas:  J33
  Valor:   $19,090,050
------------------------------
Total: $19,090,050
Generado: 2026-03-26</t>
      </text>
    </comment>
    <comment ref="D8" authorId="0" shapeId="0">
      <text>
        <t>Archivo: ESTADO DE RESULTADOS_CHVS_FEB_2026-DL.xls
  Codigos: 51055101
  Celdas:  J67
  Valor:   $6,758,341
------------------------------
Total: $6,758,341
Generado: 2026-03-26</t>
      </text>
    </comment>
    <comment ref="E8" authorId="0" shapeId="0">
      <text>
        <t>Archivo: ESTADO DE RESULTADOS_CHVS_MAR_2026.xls
  Codigos: 51055101
  Celdas:  J67
  Valor:   $6,758,341
------------------------------
Total: $6,758,341
Generado: 2026-03-26</t>
      </text>
    </comment>
    <comment ref="F8" authorId="0" shapeId="0">
      <text>
        <t>Archivo: ESTADO DE RESULTADOS_CHVS_ABR_2026.xls
  Codigos: 51055101
  Celdas:  J67
  Valor:   $6,758,341
------------------------------
Total: $6,758,341
Generado: 2026-03-26</t>
      </text>
    </comment>
    <comment ref="G8" authorId="0" shapeId="0">
      <text>
        <t>Archivo: ESTADO DE RESULTADOS_CHVS_MAY_2026.xls
  Codigos: 51055101
  Celdas:  J67
  Valor:   $6,758,341
------------------------------
Total: $6,758,341
Generado: 2026-03-26</t>
      </text>
    </comment>
    <comment ref="C10" authorId="1" shapeId="0">
      <text>
        <t xml:space="preserve">$2,397,200 Michael V
$6,273,000 Carlos O
</t>
      </text>
    </comment>
    <comment ref="D10" authorId="0" shapeId="0">
      <text>
        <t>Archivo: ESTADO DE RESULTADOS_CHVS_FEB_2026-DL.xls
  Codigos: 51056301
  Celdas:  J69
  Valor:   $10,288,035
------------------------------
Total: $10,288,035
Generado: 2026-03-26</t>
      </text>
    </comment>
    <comment ref="E10" authorId="0" shapeId="0">
      <text>
        <t>Archivo: ESTADO DE RESULTADOS_CHVS_MAR_2026.xls
  Codigos: 51056301
  Celdas:  J69
  Valor:   $10,288,035
------------------------------
Total: $10,288,035
Generado: 2026-03-26</t>
      </text>
    </comment>
    <comment ref="F10" authorId="0" shapeId="0">
      <text>
        <t>Archivo: ESTADO DE RESULTADOS_CHVS_ABR_2026.xls
  Codigos: 51056301
  Celdas:  J69
  Valor:   $10,288,035
------------------------------
Total: $10,288,035
Generado: 2026-03-26</t>
      </text>
    </comment>
    <comment ref="G10" authorId="0" shapeId="0">
      <text>
        <t>Archivo: ESTADO DE RESULTADOS_CHVS_MAY_2026.xls
  Codigos: 51056301
  Celdas:  J69
  Valor:   $10,288,035
------------------------------
Total: $10,288,035
Generado: 2026-03-26</t>
      </text>
    </comment>
    <comment ref="D11" authorId="0" shapeId="0">
      <text>
        <t>Archivo: ESTADO DE RESULTADOS_CHVS_FEB_2026-DL.xls
  Codigos: 51058401
  Celdas:  J83
  Valor:   $1,826,000
------------------------------
Total: $1,826,000
Generado: 2026-03-26</t>
      </text>
    </comment>
    <comment ref="E11" authorId="0" shapeId="0">
      <text>
        <t>Archivo: ESTADO DE RESULTADOS_CHVS_MAR_2026.xls
  Codigos: 51058401
  Celdas:  J83
  Valor:   $1,826,000
------------------------------
Total: $1,826,000
Generado: 2026-03-26</t>
      </text>
    </comment>
    <comment ref="F11" authorId="0" shapeId="0">
      <text>
        <t>Archivo: ESTADO DE RESULTADOS_CHVS_ABR_2026.xls
  Codigos: 51058401
  Celdas:  J83
  Valor:   $1,826,000
------------------------------
Total: $1,826,000
Generado: 2026-03-26</t>
      </text>
    </comment>
    <comment ref="G11" authorId="0" shapeId="0">
      <text>
        <t>Archivo: ESTADO DE RESULTADOS_CHVS_MAY_2026.xls
  Codigos: 51058401
  Celdas:  J83
  Valor:   $1,826,000
------------------------------
Total: $1,826,000
Generado: 2026-03-26</t>
      </text>
    </comment>
    <comment ref="D12" authorId="0" shapeId="0">
      <text>
        <t>Archivo: ESTADO DE RESULTADOS_UT ALIM YUMBO2025_FEB_2026-DL.xls
  Codigos: 53954002
  Celdas:  J42
  Valor:   $1,634,178
------------------------------
Total: $1,634,178
Generado: 2026-03-26</t>
      </text>
    </comment>
    <comment ref="E12" authorId="0" shapeId="0">
      <text>
        <t>Archivo: ESTADO DE RESULTADOS_UT ALIM YUMBO2025_MAR_2026.xls
  Codigos: 53954002
  Celdas:  J42
  Valor:   $1,634,178
------------------------------
Total: $1,634,178
Generado: 2026-03-26</t>
      </text>
    </comment>
    <comment ref="F12" authorId="0" shapeId="0">
      <text>
        <t>Archivo: ESTADO DE RESULTADOS_UT ALIM YUMBO2025_ABR_2026.xls
  Codigos: 53954002
  Celdas:  J42
  Valor:   $1,634,178
------------------------------
Total: $1,634,178
Generado: 2026-03-26</t>
      </text>
    </comment>
    <comment ref="G12" authorId="0" shapeId="0">
      <text>
        <t>Archivo: ESTADO DE RESULTADOS_UT ALIM YUMBO2025_MAY_2026.xls
  Codigos: 53954002
  Celdas:  J42
  Valor:   $1,634,178
------------------------------
Total: $1,634,178
Generado: 2026-03-26</t>
      </text>
    </comment>
    <comment ref="D14" authorId="0" shapeId="0">
      <text>
        <t>Archivo: ESTADO DE RESULTADOS_CHVS_FEB_2026-DL.xls
  Codigos: 51101001
  Celdas:  J86
  Valor:   $2,896,000
------------------------------
Total: $2,896,000
Generado: 2026-03-26</t>
      </text>
    </comment>
    <comment ref="E14" authorId="0" shapeId="0">
      <text>
        <t>Archivo: ESTADO DE RESULTADOS_CHVS_MAR_2026.xls
  Codigos: 51101001
  Celdas:  J86
  Valor:   $2,896,000
------------------------------
Total: $2,896,000
Generado: 2026-03-26</t>
      </text>
    </comment>
    <comment ref="F14" authorId="0" shapeId="0">
      <text>
        <t>Archivo: ESTADO DE RESULTADOS_CHVS_ABR_2026.xls
  Codigos: 51101001
  Celdas:  J86
  Valor:   $2,896,000
------------------------------
Total: $2,896,000
Generado: 2026-03-26</t>
      </text>
    </comment>
    <comment ref="G14" authorId="0" shapeId="0">
      <text>
        <t>Archivo: ESTADO DE RESULTADOS_CHVS_MAY_2026.xls
  Codigos: 51101001
  Celdas:  J86
  Valor:   $2,896,000
------------------------------
Total: $2,896,000
Generado: 2026-03-26</t>
      </text>
    </comment>
    <comment ref="D16" authorId="0" shapeId="0">
      <text>
        <t>Archivo: ESTADO DE RESULTADOS_CHVS_FEB_2026-DL.xls
  Codigos: 511025
  Celdas:  J87
  Valor:   $2,912,968
Archivo: 51355001_CHVS_FEB_2026-DL.xls
  Codigos: 16673822
  Celdas:  J24
  Valor:   $3,572,800
------------------------------
Total: $6,485,768
Generado: 2026-03-26</t>
      </text>
    </comment>
    <comment ref="E16" authorId="0" shapeId="0">
      <text>
        <t>Archivo: ESTADO DE RESULTADOS_CHVS_MAR_2026.xls
  Codigos: 511025
  Celdas:  J87
  Valor:   $2,912,968
Archivo: 51355001_CHVS_MAR_2026.xls
  Codigos: 16673822
  Celdas:  J24
  Valor:   $3,572,800
------------------------------
Total: $6,485,768
Generado: 2026-03-26</t>
      </text>
    </comment>
    <comment ref="F16" authorId="0" shapeId="0">
      <text>
        <t>Archivo: ESTADO DE RESULTADOS_CHVS_ABR_2026.xls
  Codigos: 511025
  Celdas:  J87
  Valor:   $2,912,968
Archivo: 51355001_CHVS_ABR_2026.xls
  Codigos: 16673822
  Celdas:  J24
  Valor:   $3,572,800
------------------------------
Total: $6,485,768
Generado: 2026-03-26</t>
      </text>
    </comment>
    <comment ref="G16" authorId="0" shapeId="0">
      <text>
        <t>Archivo: ESTADO DE RESULTADOS_CHVS_MAY_2026.xls
  Codigos: 511025
  Celdas:  J87
  Valor:   $2,912,968
Archivo: 51355001_CHVS_MAY_2026.xls
  Codigos: 16673822
  Celdas:  J24
  Valor:   $3,572,800
------------------------------
Total: $6,485,768
Generado: 2026-03-26</t>
      </text>
    </comment>
    <comment ref="C18" authorId="1" shapeId="0">
      <text>
        <t xml:space="preserve">$2,000,000 Jhdez
$1,037,680 Auditorias SST
</t>
      </text>
    </comment>
    <comment ref="D18" authorId="0" shapeId="0">
      <text>
        <t>Archivo: ESTADO DE RESULTADOS_CHVS_FEB_2026-DL.xls
  Codigos: 511035
  Celdas:  J89
  Valor:   $10,377,680
------------------------------
Total: $10,377,680
Generado: 2026-03-26</t>
      </text>
    </comment>
    <comment ref="E18" authorId="0" shapeId="0">
      <text>
        <t>Archivo: ESTADO DE RESULTADOS_CHVS_MAR_2026.xls
  Codigos: 511035
  Celdas:  J89
  Valor:   $10,377,680
------------------------------
Total: $10,377,680
Generado: 2026-03-26</t>
      </text>
    </comment>
    <comment ref="F18" authorId="0" shapeId="0">
      <text>
        <t>Archivo: ESTADO DE RESULTADOS_CHVS_ABR_2026.xls
  Codigos: 511035
  Celdas:  J89
  Valor:   $10,377,680
------------------------------
Total: $10,377,680
Generado: 2026-03-26</t>
      </text>
    </comment>
    <comment ref="G18" authorId="0" shapeId="0">
      <text>
        <t>Archivo: ESTADO DE RESULTADOS_CHVS_MAY_2026.xls
  Codigos: 511035
  Celdas:  J89
  Valor:   $10,377,680
------------------------------
Total: $10,377,680
Generado: 2026-03-26</t>
      </text>
    </comment>
    <comment ref="C21" authorId="1" shapeId="0">
      <text>
        <t xml:space="preserve">Pico y placa DTO
</t>
      </text>
    </comment>
    <comment ref="C23" authorId="1" shapeId="0">
      <text>
        <t xml:space="preserve">Arrend Bod $43,506,400
Admon: $1,205,957
Admon: $533,224
</t>
      </text>
    </comment>
    <comment ref="D23" authorId="0" shapeId="0">
      <text>
        <t>Archivo: ESTADO DE RESULTADOS_CHVS_FEB_2026-DL.xls
  Codigos: 51201001
  Celdas:  J97
  Valor:   $37,439,181
Archivo: 51355001_CHVS_FEB_2026-DL.xls
  Codigos: 900051349, 901191316
  Celdas:  J26, J28
  Valor:   $67,164,671
------------------------------
Total: $104,603,852
Generado: 2026-03-26</t>
      </text>
    </comment>
    <comment ref="E23" authorId="0" shapeId="0">
      <text>
        <t>Archivo: ESTADO DE RESULTADOS_CHVS_MAR_2026.xls
  Codigos: 51201001
  Celdas:  J97
  Valor:   $37,439,181
Archivo: 51355001_CHVS_MAR_2026.xls
  Codigos: 900051349, 901191316
  Celdas:  J26, J28
  Valor:   $67,164,671
------------------------------
Total: $104,603,852
Generado: 2026-03-26</t>
      </text>
    </comment>
    <comment ref="F23" authorId="0" shapeId="0">
      <text>
        <t>Archivo: ESTADO DE RESULTADOS_CHVS_ABR_2026.xls
  Codigos: 51201001
  Celdas:  J97
  Valor:   $37,439,181
Archivo: 51355001_CHVS_ABR_2026.xls
  Codigos: 900051349, 901191316
  Celdas:  J26, J28
  Valor:   $67,164,671
------------------------------
Total: $104,603,852
Generado: 2026-03-26</t>
      </text>
    </comment>
    <comment ref="G23" authorId="0" shapeId="0">
      <text>
        <t>Archivo: ESTADO DE RESULTADOS_CHVS_MAY_2026.xls
  Codigos: 51201001
  Celdas:  J97
  Valor:   $37,439,181
Archivo: 51355001_CHVS_MAY_2026.xls
  Codigos: 900051349, 901191316
  Celdas:  J26, J28
  Valor:   $67,164,671
------------------------------
Total: $104,603,852
Generado: 2026-03-26</t>
      </text>
    </comment>
    <comment ref="D24" authorId="0" shapeId="0">
      <text>
        <t>Archivo: ESTADO DE RESULTADOS_CHVS_FEB_2026-DL.xls
  Codigos: 51201501, 73201501
  Celdas:  J99
  Valor:   $10,606,021
------------------------------
Total: $10,606,021
Generado: 2026-03-26</t>
      </text>
    </comment>
    <comment ref="E24" authorId="0" shapeId="0">
      <text>
        <t>Archivo: ESTADO DE RESULTADOS_CHVS_MAR_2026.xls
  Codigos: 51201501, 73201501
  Celdas:  J99
  Valor:   $10,606,021
------------------------------
Total: $10,606,021
Generado: 2026-03-26</t>
      </text>
    </comment>
    <comment ref="F24" authorId="0" shapeId="0">
      <text>
        <t>Archivo: ESTADO DE RESULTADOS_CHVS_ABR_2026.xls
  Codigos: 51201501, 73201501
  Celdas:  J99
  Valor:   $10,606,021
------------------------------
Total: $10,606,021
Generado: 2026-03-26</t>
      </text>
    </comment>
    <comment ref="G24" authorId="0" shapeId="0">
      <text>
        <t>Archivo: ESTADO DE RESULTADOS_CHVS_MAY_2026.xls
  Codigos: 51201501, 73201501
  Celdas:  J99
  Valor:   $10,606,021
------------------------------
Total: $10,606,021
Generado: 2026-03-26</t>
      </text>
    </comment>
    <comment ref="D25" authorId="0" shapeId="0">
      <text>
        <t>Archivo: ESTADO DE RESULTADOS_CHVS_FEB_2026-DL.xls
  Codigos: 51202001
  Celdas:  J101
  Valor:   $3,236,110
------------------------------
Total: $3,236,110
Generado: 2026-03-26</t>
      </text>
    </comment>
    <comment ref="E25" authorId="0" shapeId="0">
      <text>
        <t>Archivo: ESTADO DE RESULTADOS_CHVS_MAR_2026.xls
  Codigos: 51202001
  Celdas:  J101
  Valor:   $3,236,110
------------------------------
Total: $3,236,110
Generado: 2026-03-26</t>
      </text>
    </comment>
    <comment ref="F25" authorId="0" shapeId="0">
      <text>
        <t>Archivo: ESTADO DE RESULTADOS_CHVS_ABR_2026.xls
  Codigos: 51202001
  Celdas:  J101
  Valor:   $3,236,110
------------------------------
Total: $3,236,110
Generado: 2026-03-26</t>
      </text>
    </comment>
    <comment ref="G25" authorId="0" shapeId="0">
      <text>
        <t>Archivo: ESTADO DE RESULTADOS_CHVS_MAY_2026.xls
  Codigos: 51202001
  Celdas:  J101
  Valor:   $3,236,110
------------------------------
Total: $3,236,110
Generado: 2026-03-26</t>
      </text>
    </comment>
    <comment ref="D26" authorId="0" shapeId="0">
      <text>
        <t>Archivo: ESTADO DE RESULTADOS_CHVS_FEB_2026-DL.xls
  Codigos: 512025
  Celdas:  J102
  Valor:   $8,139,600
------------------------------
Total: $8,139,600
Generado: 2026-03-26</t>
      </text>
    </comment>
    <comment ref="E26" authorId="0" shapeId="0">
      <text>
        <t>Archivo: ESTADO DE RESULTADOS_CHVS_MAR_2026.xls
  Codigos: 512025
  Celdas:  J102
  Valor:   $8,139,600
------------------------------
Total: $8,139,600
Generado: 2026-03-26</t>
      </text>
    </comment>
    <comment ref="F26" authorId="0" shapeId="0">
      <text>
        <t>Archivo: ESTADO DE RESULTADOS_CHVS_ABR_2026.xls
  Codigos: 512025
  Celdas:  J102
  Valor:   $8,139,600
------------------------------
Total: $8,139,600
Generado: 2026-03-26</t>
      </text>
    </comment>
    <comment ref="G26" authorId="0" shapeId="0">
      <text>
        <t>Archivo: ESTADO DE RESULTADOS_CHVS_MAY_2026.xls
  Codigos: 512025
  Celdas:  J102
  Valor:   $8,139,600
------------------------------
Total: $8,139,600
Generado: 2026-03-26</t>
      </text>
    </comment>
    <comment ref="D31" authorId="0" shapeId="0">
      <text>
        <t>Archivo: ESTADO DE RESULTADOS_CHVS_FEB_2026-DL.xls
  Codigos: 513095
  Celdas:  J107
  Valor:   $8,584,300
------------------------------
Total: $8,584,300
Generado: 2026-03-26</t>
      </text>
    </comment>
    <comment ref="E31" authorId="0" shapeId="0">
      <text>
        <t>Archivo: ESTADO DE RESULTADOS_CHVS_MAR_2026.xls
  Codigos: 513095
  Celdas:  J107
  Valor:   $8,584,300
------------------------------
Total: $8,584,300
Generado: 2026-03-26</t>
      </text>
    </comment>
    <comment ref="F31" authorId="0" shapeId="0">
      <text>
        <t>Archivo: ESTADO DE RESULTADOS_CHVS_ABR_2026.xls
  Codigos: 513095
  Celdas:  J107
  Valor:   $8,584,300
------------------------------
Total: $8,584,300
Generado: 2026-03-26</t>
      </text>
    </comment>
    <comment ref="G31" authorId="0" shapeId="0">
      <text>
        <t>Archivo: ESTADO DE RESULTADOS_CHVS_MAY_2026.xls
  Codigos: 513095
  Celdas:  J107
  Valor:   $8,584,300
------------------------------
Total: $8,584,300
Generado: 2026-03-26</t>
      </text>
    </comment>
    <comment ref="C33" authorId="1" shapeId="0">
      <text>
        <t xml:space="preserve">Escolta
</t>
      </text>
    </comment>
    <comment ref="D34" authorId="0" shapeId="0">
      <text>
        <t>Archivo: ESTADO DE RESULTADOS_CHVS_FEB_2026-DL.xls
  Codigos: 51351001, 51351004
  Celdas:  J113, J114
  Valor:   $3,807,000
------------------------------
Total: $3,807,000
Generado: 2026-03-26</t>
      </text>
    </comment>
    <comment ref="E34" authorId="0" shapeId="0">
      <text>
        <t>Archivo: ESTADO DE RESULTADOS_CHVS_MAR_2026.xls
  Codigos: 51351001, 51351004
  Celdas:  J113, J114
  Valor:   $3,807,000
------------------------------
Total: $3,807,000
Generado: 2026-03-26</t>
      </text>
    </comment>
    <comment ref="F34" authorId="0" shapeId="0">
      <text>
        <t>Archivo: ESTADO DE RESULTADOS_CHVS_ABR_2026.xls
  Codigos: 51351001, 51351004
  Celdas:  J113, J114
  Valor:   $3,807,000
------------------------------
Total: $3,807,000
Generado: 2026-03-26</t>
      </text>
    </comment>
    <comment ref="G34" authorId="0" shapeId="0">
      <text>
        <t>Archivo: ESTADO DE RESULTADOS_CHVS_MAY_2026.xls
  Codigos: 51351001, 51351004
  Celdas:  J113, J114
  Valor:   $3,807,000
------------------------------
Total: $3,807,000
Generado: 2026-03-26</t>
      </text>
    </comment>
    <comment ref="D36" authorId="0" shapeId="0">
      <text>
        <t>Archivo: ESTADO DE RESULTADOS_CHVS_FEB_2026-DL.xls
  Codigos: 51351502
  Celdas:  J116
  Valor:   $789,106
------------------------------
Total: $789,106
Generado: 2026-03-26</t>
      </text>
    </comment>
    <comment ref="E36" authorId="0" shapeId="0">
      <text>
        <t>Archivo: ESTADO DE RESULTADOS_CHVS_MAR_2026.xls
  Codigos: 51351502
  Celdas:  J116
  Valor:   $789,106
------------------------------
Total: $789,106
Generado: 2026-03-26</t>
      </text>
    </comment>
    <comment ref="F36" authorId="0" shapeId="0">
      <text>
        <t>Archivo: ESTADO DE RESULTADOS_CHVS_ABR_2026.xls
  Codigos: 51351502
  Celdas:  J116
  Valor:   $789,106
------------------------------
Total: $789,106
Generado: 2026-03-26</t>
      </text>
    </comment>
    <comment ref="G36" authorId="0" shapeId="0">
      <text>
        <t>Archivo: ESTADO DE RESULTADOS_CHVS_MAY_2026.xls
  Codigos: 51351502
  Celdas:  J116
  Valor:   $789,106
------------------------------
Total: $789,106
Generado: 2026-03-26</t>
      </text>
    </comment>
    <comment ref="D37" authorId="0" shapeId="0">
      <text>
        <t>Archivo: ESTADO DE RESULTADOS_CHVS_FEB_2026-DL.xls
  Codigos: 51351503
  Celdas:  J117
  Valor:   $1,261,676
------------------------------
Total: $1,261,676
Generado: 2026-03-26</t>
      </text>
    </comment>
    <comment ref="E37" authorId="0" shapeId="0">
      <text>
        <t>Archivo: ESTADO DE RESULTADOS_CHVS_MAR_2026.xls
  Codigos: 51351503
  Celdas:  J117
  Valor:   $1,261,676
------------------------------
Total: $1,261,676
Generado: 2026-03-26</t>
      </text>
    </comment>
    <comment ref="F37" authorId="0" shapeId="0">
      <text>
        <t>Archivo: ESTADO DE RESULTADOS_CHVS_ABR_2026.xls
  Codigos: 51351503
  Celdas:  J117
  Valor:   $1,261,676
------------------------------
Total: $1,261,676
Generado: 2026-03-26</t>
      </text>
    </comment>
    <comment ref="G37" authorId="0" shapeId="0">
      <text>
        <t>Archivo: ESTADO DE RESULTADOS_CHVS_MAY_2026.xls
  Codigos: 51351503
  Celdas:  J117
  Valor:   $1,261,676
------------------------------
Total: $1,261,676
Generado: 2026-03-26</t>
      </text>
    </comment>
    <comment ref="D38" authorId="0" shapeId="0">
      <text>
        <t>Archivo: ESTADO DE RESULTADOS_CHVS_FEB_2026-DL.xls
  Codigos: 51352501
  Celdas:  J119
  Valor:   $735,768
------------------------------
Total: $735,768
Generado: 2026-03-26</t>
      </text>
    </comment>
    <comment ref="E38" authorId="0" shapeId="0">
      <text>
        <t>Archivo: ESTADO DE RESULTADOS_CHVS_MAR_2026.xls
  Codigos: 51352501
  Celdas:  J119
  Valor:   $735,768
------------------------------
Total: $735,768
Generado: 2026-03-26</t>
      </text>
    </comment>
    <comment ref="F38" authorId="0" shapeId="0">
      <text>
        <t>Archivo: ESTADO DE RESULTADOS_CHVS_ABR_2026.xls
  Codigos: 51352501
  Celdas:  J119
  Valor:   $735,768
------------------------------
Total: $735,768
Generado: 2026-03-26</t>
      </text>
    </comment>
    <comment ref="G38" authorId="0" shapeId="0">
      <text>
        <t>Archivo: ESTADO DE RESULTADOS_CHVS_MAY_2026.xls
  Codigos: 51352501
  Celdas:  J119
  Valor:   $735,768
------------------------------
Total: $735,768
Generado: 2026-03-26</t>
      </text>
    </comment>
    <comment ref="D39" authorId="0" shapeId="0">
      <text>
        <t>Archivo: ESTADO DE RESULTADOS_CHVS_FEB_2026-DL.xls
  Codigos: 51353001
  Celdas:  J121
  Valor:   $2,472,150
------------------------------
Total: $2,472,150
Generado: 2026-03-26</t>
      </text>
    </comment>
    <comment ref="E39" authorId="0" shapeId="0">
      <text>
        <t>Archivo: ESTADO DE RESULTADOS_CHVS_MAR_2026.xls
  Codigos: 51353001
  Celdas:  J121
  Valor:   $2,472,150
------------------------------
Total: $2,472,150
Generado: 2026-03-26</t>
      </text>
    </comment>
    <comment ref="F39" authorId="0" shapeId="0">
      <text>
        <t>Archivo: ESTADO DE RESULTADOS_CHVS_ABR_2026.xls
  Codigos: 51353001
  Celdas:  J121
  Valor:   $2,472,150
------------------------------
Total: $2,472,150
Generado: 2026-03-26</t>
      </text>
    </comment>
    <comment ref="G39" authorId="0" shapeId="0">
      <text>
        <t>Archivo: ESTADO DE RESULTADOS_CHVS_MAY_2026.xls
  Codigos: 51353001
  Celdas:  J121
  Valor:   $2,472,150
------------------------------
Total: $2,472,150
Generado: 2026-03-26</t>
      </text>
    </comment>
    <comment ref="D40" authorId="0" shapeId="0">
      <text>
        <t>Archivo: ESTADO DE RESULTADOS_CHVS_FEB_2026-DL.xls
  Codigos: 51353501
  Celdas:  J123
  Valor:   $6,615,902
------------------------------
Total: $6,615,902
Generado: 2026-03-26</t>
      </text>
    </comment>
    <comment ref="E40" authorId="0" shapeId="0">
      <text>
        <t>Archivo: ESTADO DE RESULTADOS_CHVS_MAR_2026.xls
  Codigos: 51353501
  Celdas:  J123
  Valor:   $6,615,902
------------------------------
Total: $6,615,902
Generado: 2026-03-26</t>
      </text>
    </comment>
    <comment ref="F40" authorId="0" shapeId="0">
      <text>
        <t>Archivo: ESTADO DE RESULTADOS_CHVS_ABR_2026.xls
  Codigos: 51353501
  Celdas:  J123
  Valor:   $6,615,902
------------------------------
Total: $6,615,902
Generado: 2026-03-26</t>
      </text>
    </comment>
    <comment ref="G40" authorId="0" shapeId="0">
      <text>
        <t>Archivo: ESTADO DE RESULTADOS_CHVS_MAY_2026.xls
  Codigos: 51353501
  Celdas:  J123
  Valor:   $6,615,902
------------------------------
Total: $6,615,902
Generado: 2026-03-26</t>
      </text>
    </comment>
    <comment ref="D41" authorId="0" shapeId="0">
      <text>
        <t>Archivo: ESTADO DE RESULTADOS_CHVS_FEB_2026-DL.xls
  Codigos: 51353502
  Celdas:  J124
  Valor:   $477,584
------------------------------
Total: $477,584
Generado: 2026-03-26</t>
      </text>
    </comment>
    <comment ref="E41" authorId="0" shapeId="0">
      <text>
        <t>Archivo: ESTADO DE RESULTADOS_CHVS_MAR_2026.xls
  Codigos: 51353502
  Celdas:  J124
  Valor:   $477,584
------------------------------
Total: $477,584
Generado: 2026-03-26</t>
      </text>
    </comment>
    <comment ref="F41" authorId="0" shapeId="0">
      <text>
        <t>Archivo: ESTADO DE RESULTADOS_CHVS_ABR_2026.xls
  Codigos: 51353502
  Celdas:  J124
  Valor:   $477,584
------------------------------
Total: $477,584
Generado: 2026-03-26</t>
      </text>
    </comment>
    <comment ref="G41" authorId="0" shapeId="0">
      <text>
        <t>Archivo: ESTADO DE RESULTADOS_CHVS_MAY_2026.xls
  Codigos: 51353502
  Celdas:  J124
  Valor:   $477,584
------------------------------
Total: $477,584
Generado: 2026-03-26</t>
      </text>
    </comment>
    <comment ref="D42" authorId="0" shapeId="0">
      <text>
        <t>Archivo: ESTADO DE RESULTADOS_CHVS_FEB_2026-DL.xls
  Codigos: 51354001
  Celdas:  J126
  Valor:   $37,400
------------------------------
Total: $37,400
Generado: 2026-03-26</t>
      </text>
    </comment>
    <comment ref="E42" authorId="0" shapeId="0">
      <text>
        <t>Archivo: ESTADO DE RESULTADOS_CHVS_MAR_2026.xls
  Codigos: 51354001
  Celdas:  J126
  Valor:   $37,400
------------------------------
Total: $37,400
Generado: 2026-03-26</t>
      </text>
    </comment>
    <comment ref="F42" authorId="0" shapeId="0">
      <text>
        <t>Archivo: ESTADO DE RESULTADOS_CHVS_ABR_2026.xls
  Codigos: 51354001
  Celdas:  J126
  Valor:   $37,400
------------------------------
Total: $37,400
Generado: 2026-03-26</t>
      </text>
    </comment>
    <comment ref="G42" authorId="0" shapeId="0">
      <text>
        <t>Archivo: ESTADO DE RESULTADOS_CHVS_MAY_2026.xls
  Codigos: 51354001
  Celdas:  J126
  Valor:   $37,400
------------------------------
Total: $37,400
Generado: 2026-03-26</t>
      </text>
    </comment>
    <comment ref="C43" authorId="1" shapeId="0">
      <text>
        <t xml:space="preserve">Transporte Almuerzos
</t>
      </text>
    </comment>
    <comment ref="D43" authorId="0" shapeId="0">
      <text>
        <t>Archivo: 51355001_CHVS_FEB_2026-DL.xls
  Codigos: 1069174807
  Celdas:  J21
  Valor:   $404,040
------------------------------
Total: $404,040
Generado: 2026-03-26</t>
      </text>
    </comment>
    <comment ref="E43" authorId="0" shapeId="0">
      <text>
        <t>Archivo: 51355001_CHVS_MAR_2026.xls
  Codigos: 1069174807
  Celdas:  J21
  Valor:   $404,040
------------------------------
Total: $404,040
Generado: 2026-03-26</t>
      </text>
    </comment>
    <comment ref="F43" authorId="0" shapeId="0">
      <text>
        <t>Archivo: 51355001_CHVS_ABR_2026.xls
  Codigos: 1069174807
  Celdas:  J21
  Valor:   $404,040
------------------------------
Total: $404,040
Generado: 2026-03-26</t>
      </text>
    </comment>
    <comment ref="G43" authorId="0" shapeId="0">
      <text>
        <t>Archivo: 51355001_CHVS_MAY_2026.xls
  Codigos: 1069174807
  Celdas:  J21
  Valor:   $404,040
------------------------------
Total: $404,040
Generado: 2026-03-26</t>
      </text>
    </comment>
    <comment ref="C45" authorId="1" shapeId="0">
      <text>
        <t xml:space="preserve">$8,589,420 Factura anual Siesa
</t>
      </text>
    </comment>
    <comment ref="D45" authorId="0" shapeId="0">
      <text>
        <t>Archivo: ESTADO DE RESULTADOS_CHVS_FEB_2026-DL.xls
  Codigos: 51356501
  Celdas:  J130
  Valor:   $5,741,346
Archivo: ESTADO DE RESULTADOS_CHVS_FEB_2026-DL.xls
  Codigos: 733565
  Celdas:  J333
  Valor:   $100,000
Archivo: ESTADO DE RESULTADOS_UT ALIM YUMBO2026_FEB_2026-DL.xls
  Codigos: 733565
  Celdas:  J104
  Valor:   $959,180
Archivo: ESTADO DE RESULTADOS_UT ALIM BUGA2026_FEB_2026-DL.xls
  Codigos: 733565
  Celdas:  J102
  Valor:   $959,180
Archivo: ESTADO DE RESULTADOS_CONS ALIM CALI2026_FEB_2026-DL.xls
  Codigos: 733565
  Celdas:  J106
  Valor:   $959,180
------------------------------
Total: $8,718,886
Generado: 2026-03-26</t>
      </text>
    </comment>
    <comment ref="E45" authorId="0" shapeId="0">
      <text>
        <t>Archivo: ESTADO DE RESULTADOS_CHVS_MAR_2026.xls
  Codigos: 51356501
  Celdas:  J130
  Valor:   $5,741,346
Archivo: ESTADO DE RESULTADOS_CHVS_MAR_2026.xls
  Codigos: 733565
  Celdas:  J333
  Valor:   $100,000
Archivo: ESTADO DE RESULTADOS_UT ALIM YUMBO2026_MAR_2026.xls
  Codigos: 733565
  Celdas:  J104
  Valor:   $959,180
Archivo: ESTADO DE RESULTADOS_UT ALIM BUGA2026_MAR_2026.xls
  Codigos: 733565
  Celdas:  J102
  Valor:   $959,180
Archivo: ESTADO DE RESULTADOS_CONS ALIM CALI2026_MAR_2026.xls
  Codigos: 733565
  Celdas:  J106
  Valor:   $959,180
------------------------------
Total: $8,718,886
Generado: 2026-03-26</t>
      </text>
    </comment>
    <comment ref="F45" authorId="0" shapeId="0">
      <text>
        <t>Archivo: ESTADO DE RESULTADOS_CHVS_ABR_2026.xls
  Codigos: 51356501
  Celdas:  J130
  Valor:   $5,741,346
Archivo: ESTADO DE RESULTADOS_CHVS_ABR_2026.xls
  Codigos: 733565
  Celdas:  J333
  Valor:   $100,000
Archivo: ESTADO DE RESULTADOS_UT ALIM YUMBO2026_ABR_2026.xls
  Codigos: 733565
  Celdas:  J104
  Valor:   $959,180
Archivo: ESTADO DE RESULTADOS_UT ALIM BUGA2026_ABR_2026.xls
  Codigos: 733565
  Celdas:  J102
  Valor:   $959,180
Archivo: ESTADO DE RESULTADOS_CONS ALIM CALI2026_ABR_2026.xls
  Codigos: 733565
  Celdas:  J106
  Valor:   $959,180
------------------------------
Total: $8,718,886
Generado: 2026-03-26</t>
      </text>
    </comment>
    <comment ref="G45" authorId="0" shapeId="0">
      <text>
        <t>Archivo: ESTADO DE RESULTADOS_CHVS_MAY_2026.xls
  Codigos: 51356501
  Celdas:  J130
  Valor:   $5,741,346
Archivo: ESTADO DE RESULTADOS_CHVS_MAY_2026.xls
  Codigos: 733565
  Celdas:  J333
  Valor:   $100,000
Archivo: ESTADO DE RESULTADOS_UT ALIM YUMBO2026_MAY_2026.xls
  Codigos: 733565
  Celdas:  J104
  Valor:   $959,180
Archivo: ESTADO DE RESULTADOS_UT ALIM BUGA2026_MAY_2026.xls
  Codigos: 733565
  Celdas:  J102
  Valor:   $959,180
Archivo: ESTADO DE RESULTADOS_CONS ALIM CALI2026_MAY_2026.xls
  Codigos: 733565
  Celdas:  J106
  Valor:   $959,180
------------------------------
Total: $8,718,886
Generado: 2026-03-26</t>
      </text>
    </comment>
    <comment ref="D48" authorId="0" shapeId="0">
      <text>
        <t>Archivo: ESTADO DE RESULTADOS_CHVS_FEB_2026-DL.xls
  Codigos: 51401001
  Celdas:  J133
  Valor:   $7,663,600
------------------------------
Total: $7,663,600
Generado: 2026-03-26</t>
      </text>
    </comment>
    <comment ref="E48" authorId="0" shapeId="0">
      <text>
        <t>Archivo: ESTADO DE RESULTADOS_CHVS_MAR_2026.xls
  Codigos: 51401001
  Celdas:  J133
  Valor:   $7,663,600
------------------------------
Total: $7,663,600
Generado: 2026-03-26</t>
      </text>
    </comment>
    <comment ref="F48" authorId="0" shapeId="0">
      <text>
        <t>Archivo: ESTADO DE RESULTADOS_CHVS_ABR_2026.xls
  Codigos: 51401001
  Celdas:  J133
  Valor:   $7,663,600
------------------------------
Total: $7,663,600
Generado: 2026-03-26</t>
      </text>
    </comment>
    <comment ref="G48" authorId="0" shapeId="0">
      <text>
        <t>Archivo: ESTADO DE RESULTADOS_CHVS_MAY_2026.xls
  Codigos: 51401001
  Celdas:  J133
  Valor:   $7,663,600
------------------------------
Total: $7,663,600
Generado: 2026-03-26</t>
      </text>
    </comment>
    <comment ref="D51" authorId="0" shapeId="0">
      <text>
        <t>Archivo: ESTADO DE RESULTADOS_CHVS_FEB_2026-DL.xls
  Codigos: 514095
  Celdas:  J134
  Valor:   $183,400
------------------------------
Total: $183,400
Generado: 2026-03-26</t>
      </text>
    </comment>
    <comment ref="E51" authorId="0" shapeId="0">
      <text>
        <t>Archivo: ESTADO DE RESULTADOS_CHVS_MAR_2026.xls
  Codigos: 514095
  Celdas:  J134
  Valor:   $183,400
------------------------------
Total: $183,400
Generado: 2026-03-26</t>
      </text>
    </comment>
    <comment ref="F51" authorId="0" shapeId="0">
      <text>
        <t>Archivo: ESTADO DE RESULTADOS_CHVS_ABR_2026.xls
  Codigos: 514095
  Celdas:  J134
  Valor:   $183,400
------------------------------
Total: $183,400
Generado: 2026-03-26</t>
      </text>
    </comment>
    <comment ref="G51" authorId="0" shapeId="0">
      <text>
        <t>Archivo: ESTADO DE RESULTADOS_CHVS_MAY_2026.xls
  Codigos: 514095
  Celdas:  J134
  Valor:   $183,400
------------------------------
Total: $183,400
Generado: 2026-03-26</t>
      </text>
    </comment>
    <comment ref="C53" authorId="1" shapeId="0">
      <text>
        <t xml:space="preserve">Mtto AA
Mtto Cuartos frios
</t>
      </text>
    </comment>
    <comment ref="D53" authorId="0" shapeId="0">
      <text>
        <t>Archivo: ESTADO DE RESULTADOS_CHVS_FEB_2026-DL.xls
  Codigos: 51451001
  Celdas:  J139
  Valor:   $1,894,710
------------------------------
Total: $1,894,710
Generado: 2026-03-26</t>
      </text>
    </comment>
    <comment ref="E53" authorId="0" shapeId="0">
      <text>
        <t>Archivo: ESTADO DE RESULTADOS_CHVS_MAR_2026.xls
  Codigos: 51451001
  Celdas:  J139
  Valor:   $1,894,710
------------------------------
Total: $1,894,710
Generado: 2026-03-26</t>
      </text>
    </comment>
    <comment ref="F53" authorId="0" shapeId="0">
      <text>
        <t>Archivo: ESTADO DE RESULTADOS_CHVS_ABR_2026.xls
  Codigos: 51451001
  Celdas:  J139
  Valor:   $1,894,710
------------------------------
Total: $1,894,710
Generado: 2026-03-26</t>
      </text>
    </comment>
    <comment ref="G53" authorId="0" shapeId="0">
      <text>
        <t>Archivo: ESTADO DE RESULTADOS_CHVS_MAY_2026.xls
  Codigos: 51451001
  Celdas:  J139
  Valor:   $1,894,710
------------------------------
Total: $1,894,710
Generado: 2026-03-26</t>
      </text>
    </comment>
    <comment ref="D54" authorId="1" shapeId="0">
      <text>
        <t xml:space="preserve">Mtto Basculas + Cuarto Frio
</t>
      </text>
    </comment>
    <comment ref="C56" authorId="1" shapeId="0">
      <text>
        <t xml:space="preserve">Medidor PH y Cuchillos
</t>
      </text>
    </comment>
    <comment ref="D56" authorId="1" shapeId="0">
      <text>
        <t xml:space="preserve">Cert ONAC Balanza dig
</t>
      </text>
    </comment>
    <comment ref="C58" authorId="1" shapeId="0">
      <text>
        <t xml:space="preserve">Recarga de extintores
</t>
      </text>
    </comment>
    <comment ref="D58" authorId="0" shapeId="0">
      <text>
        <t>Archivo: ESTADO DE RESULTADOS_CHVS_FEB_2026-DL.xls
  Codigos: 51451501
  Celdas:  J141
  Valor:   $2,062,464
------------------------------
Total: $2,062,464
Generado: 2026-03-26</t>
      </text>
    </comment>
    <comment ref="E58" authorId="0" shapeId="0">
      <text>
        <t>Archivo: ESTADO DE RESULTADOS_CHVS_MAR_2026.xls
  Codigos: 51451501
  Celdas:  J141
  Valor:   $2,062,464
------------------------------
Total: $2,062,464
Generado: 2026-03-26</t>
      </text>
    </comment>
    <comment ref="F58" authorId="0" shapeId="0">
      <text>
        <t>Archivo: ESTADO DE RESULTADOS_CHVS_ABR_2026.xls
  Codigos: 51451501
  Celdas:  J141
  Valor:   $2,062,464
------------------------------
Total: $2,062,464
Generado: 2026-03-26</t>
      </text>
    </comment>
    <comment ref="G58" authorId="0" shapeId="0">
      <text>
        <t>Archivo: ESTADO DE RESULTADOS_CHVS_MAY_2026.xls
  Codigos: 51451501
  Celdas:  J141
  Valor:   $2,062,464
------------------------------
Total: $2,062,464
Generado: 2026-03-26</t>
      </text>
    </comment>
    <comment ref="C67" authorId="1" shapeId="0">
      <text>
        <t xml:space="preserve">DGNET Premium
</t>
      </text>
    </comment>
    <comment ref="D67" authorId="0" shapeId="0">
      <text>
        <t>Archivo: ESTADO DE RESULTADOS_CHVS_FEB_2026-DL.xls
  Codigos: 51951001
  Celdas:  J148
  Valor:   $1,900,000
------------------------------
Total: $1,900,000
Generado: 2026-03-26</t>
      </text>
    </comment>
    <comment ref="E67" authorId="0" shapeId="0">
      <text>
        <t>Archivo: ESTADO DE RESULTADOS_CHVS_MAR_2026.xls
  Codigos: 51951001
  Celdas:  J148
  Valor:   $1,900,000
------------------------------
Total: $1,900,000
Generado: 2026-03-26</t>
      </text>
    </comment>
    <comment ref="F67" authorId="0" shapeId="0">
      <text>
        <t>Archivo: ESTADO DE RESULTADOS_CHVS_ABR_2026.xls
  Codigos: 51951001
  Celdas:  J148
  Valor:   $1,900,000
------------------------------
Total: $1,900,000
Generado: 2026-03-26</t>
      </text>
    </comment>
    <comment ref="G67" authorId="0" shapeId="0">
      <text>
        <t>Archivo: ESTADO DE RESULTADOS_CHVS_MAY_2026.xls
  Codigos: 51951001
  Celdas:  J148
  Valor:   $1,900,000
------------------------------
Total: $1,900,000
Generado: 2026-03-26</t>
      </text>
    </comment>
    <comment ref="D69" authorId="0" shapeId="0">
      <text>
        <t>Archivo: ESTADO DE RESULTADOS_CHVS_FEB_2026-DL.xls
  Codigos: 51952501
  Celdas:  J150
  Valor:   $90,000
------------------------------
Total: $90,000
Generado: 2026-03-26</t>
      </text>
    </comment>
    <comment ref="E69" authorId="0" shapeId="0">
      <text>
        <t>Archivo: ESTADO DE RESULTADOS_CHVS_MAR_2026.xls
  Codigos: 51952501
  Celdas:  J150
  Valor:   $90,000
------------------------------
Total: $90,000
Generado: 2026-03-26</t>
      </text>
    </comment>
    <comment ref="F69" authorId="0" shapeId="0">
      <text>
        <t>Archivo: ESTADO DE RESULTADOS_CHVS_ABR_2026.xls
  Codigos: 51952501
  Celdas:  J150
  Valor:   $90,000
------------------------------
Total: $90,000
Generado: 2026-03-26</t>
      </text>
    </comment>
    <comment ref="G69" authorId="0" shapeId="0">
      <text>
        <t>Archivo: ESTADO DE RESULTADOS_CHVS_MAY_2026.xls
  Codigos: 51952501
  Celdas:  J150
  Valor:   $90,000
------------------------------
Total: $90,000
Generado: 2026-03-26</t>
      </text>
    </comment>
    <comment ref="D70" authorId="0" shapeId="0">
      <text>
        <t>Archivo: ESTADO DE RESULTADOS_CHVS_FEB_2026-DL.xls
  Codigos: 51953001
  Celdas:  J152
  Valor:   $15,441,534
------------------------------
Total: $15,441,534
Generado: 2026-03-26</t>
      </text>
    </comment>
    <comment ref="E70" authorId="0" shapeId="0">
      <text>
        <t>Archivo: ESTADO DE RESULTADOS_CHVS_MAR_2026.xls
  Codigos: 51953001
  Celdas:  J152
  Valor:   $15,441,534
------------------------------
Total: $15,441,534
Generado: 2026-03-26</t>
      </text>
    </comment>
    <comment ref="F70" authorId="0" shapeId="0">
      <text>
        <t>Archivo: ESTADO DE RESULTADOS_CHVS_ABR_2026.xls
  Codigos: 51953001
  Celdas:  J152
  Valor:   $15,441,534
------------------------------
Total: $15,441,534
Generado: 2026-03-26</t>
      </text>
    </comment>
    <comment ref="G70" authorId="0" shapeId="0">
      <text>
        <t>Archivo: ESTADO DE RESULTADOS_CHVS_MAY_2026.xls
  Codigos: 51953001
  Celdas:  J152
  Valor:   $15,441,534
------------------------------
Total: $15,441,534
Generado: 2026-03-26</t>
      </text>
    </comment>
    <comment ref="D73" authorId="0" shapeId="0">
      <text>
        <t>Archivo: ESTADO DE RESULTADOS_CHVS_FEB_2026-DL.xls
  Codigos: 51954001, 71100501
  Celdas:  J156
  Valor:   $1,273,497
------------------------------
Total: $1,273,497
Generado: 2026-03-26</t>
      </text>
    </comment>
    <comment ref="E73" authorId="0" shapeId="0">
      <text>
        <t>Archivo: ESTADO DE RESULTADOS_CHVS_MAR_2026.xls
  Codigos: 51954001, 71100501
  Celdas:  J156
  Valor:   $1,273,497
------------------------------
Total: $1,273,497
Generado: 2026-03-26</t>
      </text>
    </comment>
    <comment ref="F73" authorId="0" shapeId="0">
      <text>
        <t>Archivo: ESTADO DE RESULTADOS_CHVS_ABR_2026.xls
  Codigos: 51954001, 71100501
  Celdas:  J156
  Valor:   $1,273,497
------------------------------
Total: $1,273,497
Generado: 2026-03-26</t>
      </text>
    </comment>
    <comment ref="G73" authorId="0" shapeId="0">
      <text>
        <t>Archivo: ESTADO DE RESULTADOS_CHVS_MAY_2026.xls
  Codigos: 51954001, 71100501
  Celdas:  J156
  Valor:   $1,273,497
------------------------------
Total: $1,273,497
Generado: 2026-03-26</t>
      </text>
    </comment>
    <comment ref="D74" authorId="0" shapeId="0">
      <text>
        <t>Archivo: ESTADO DE RESULTADOS_CHVS_FEB_2026-DL.xls
  Codigos: 51954501
  Celdas:  J158
  Valor:   $679,316
------------------------------
Total: $679,316
Generado: 2026-03-26</t>
      </text>
    </comment>
    <comment ref="E74" authorId="0" shapeId="0">
      <text>
        <t>Archivo: ESTADO DE RESULTADOS_CHVS_MAR_2026.xls
  Codigos: 51954501
  Celdas:  J158
  Valor:   $679,316
------------------------------
Total: $679,316
Generado: 2026-03-26</t>
      </text>
    </comment>
    <comment ref="F74" authorId="0" shapeId="0">
      <text>
        <t>Archivo: ESTADO DE RESULTADOS_CHVS_ABR_2026.xls
  Codigos: 51954501
  Celdas:  J158
  Valor:   $679,316
------------------------------
Total: $679,316
Generado: 2026-03-26</t>
      </text>
    </comment>
    <comment ref="G74" authorId="0" shapeId="0">
      <text>
        <t>Archivo: ESTADO DE RESULTADOS_CHVS_MAY_2026.xls
  Codigos: 51954501
  Celdas:  J158
  Valor:   $679,316
------------------------------
Total: $679,316
Generado: 2026-03-26</t>
      </text>
    </comment>
    <comment ref="D75" authorId="0" shapeId="0">
      <text>
        <t>Archivo: ESTADO DE RESULTADOS_CHVS_FEB_2026-DL.xls
  Codigos: 51956001
  Celdas:  J160
  Valor:   $2,294,195
------------------------------
Total: $2,294,195
Generado: 2026-03-26</t>
      </text>
    </comment>
    <comment ref="E75" authorId="0" shapeId="0">
      <text>
        <t>Archivo: ESTADO DE RESULTADOS_CHVS_MAR_2026.xls
  Codigos: 51956001
  Celdas:  J160
  Valor:   $2,294,195
------------------------------
Total: $2,294,195
Generado: 2026-03-26</t>
      </text>
    </comment>
    <comment ref="F75" authorId="0" shapeId="0">
      <text>
        <t>Archivo: ESTADO DE RESULTADOS_CHVS_ABR_2026.xls
  Codigos: 51956001
  Celdas:  J160
  Valor:   $2,294,195
------------------------------
Total: $2,294,195
Generado: 2026-03-26</t>
      </text>
    </comment>
    <comment ref="G75" authorId="0" shapeId="0">
      <text>
        <t>Archivo: ESTADO DE RESULTADOS_CHVS_MAY_2026.xls
  Codigos: 51956001
  Celdas:  J160
  Valor:   $2,294,195
------------------------------
Total: $2,294,195
Generado: 2026-03-26</t>
      </text>
    </comment>
    <comment ref="D76" authorId="0" shapeId="0">
      <text>
        <t>Archivo: ESTADO DE RESULTADOS_CHVS_FEB_2026-DL.xls
  Codigos: 51956501
  Celdas:  J163
  Valor:   $27,100
------------------------------
Total: $27,100
Generado: 2026-03-26</t>
      </text>
    </comment>
    <comment ref="E76" authorId="0" shapeId="0">
      <text>
        <t>Archivo: ESTADO DE RESULTADOS_CHVS_MAR_2026.xls
  Codigos: 51956501
  Celdas:  J163
  Valor:   $27,100
------------------------------
Total: $27,100
Generado: 2026-03-26</t>
      </text>
    </comment>
    <comment ref="F76" authorId="0" shapeId="0">
      <text>
        <t>Archivo: ESTADO DE RESULTADOS_CHVS_ABR_2026.xls
  Codigos: 51956501
  Celdas:  J163
  Valor:   $27,100
------------------------------
Total: $27,100
Generado: 2026-03-26</t>
      </text>
    </comment>
    <comment ref="G76" authorId="0" shapeId="0">
      <text>
        <t>Archivo: ESTADO DE RESULTADOS_CHVS_MAY_2026.xls
  Codigos: 51956501
  Celdas:  J163
  Valor:   $27,100
------------------------------
Total: $27,100
Generado: 2026-03-26</t>
      </text>
    </comment>
    <comment ref="D77" authorId="0" shapeId="0">
      <text>
        <t>Archivo: ESTADO DE RESULTADOS_CHVS_FEB_2026-DL.xls
  Codigos: 51956601
  Celdas:  J165
  Valor:   $2,456,900
------------------------------
Total: $2,456,900
Generado: 2026-03-26</t>
      </text>
    </comment>
    <comment ref="E77" authorId="0" shapeId="0">
      <text>
        <t>Archivo: ESTADO DE RESULTADOS_CHVS_MAR_2026.xls
  Codigos: 51956601
  Celdas:  J165
  Valor:   $2,456,900
------------------------------
Total: $2,456,900
Generado: 2026-03-26</t>
      </text>
    </comment>
    <comment ref="F77" authorId="0" shapeId="0">
      <text>
        <t>Archivo: ESTADO DE RESULTADOS_CHVS_ABR_2026.xls
  Codigos: 51956601
  Celdas:  J165
  Valor:   $2,456,900
------------------------------
Total: $2,456,900
Generado: 2026-03-26</t>
      </text>
    </comment>
    <comment ref="G77" authorId="0" shapeId="0">
      <text>
        <t>Archivo: ESTADO DE RESULTADOS_CHVS_MAY_2026.xls
  Codigos: 51956601
  Celdas:  J165
  Valor:   $2,456,900
------------------------------
Total: $2,456,900
Generado: 2026-03-26</t>
      </text>
    </comment>
    <comment ref="C78" authorId="1" shapeId="0">
      <text>
        <t>$3,949,000 Elementos cuarto de bienestar</t>
      </text>
    </comment>
    <comment ref="D78" authorId="0" shapeId="0">
      <text>
        <t>Archivo: ESTADO DE RESULTADOS_CHVS_FEB_2026-DL.xls
  Codigos: 51959501
  Celdas:  J167
  Valor:   $508,300
------------------------------
Total: $508,300
Generado: 2026-03-26</t>
      </text>
    </comment>
    <comment ref="E78" authorId="0" shapeId="0">
      <text>
        <t>Archivo: ESTADO DE RESULTADOS_CHVS_MAR_2026.xls
  Codigos: 51959501
  Celdas:  J167
  Valor:   $508,300
------------------------------
Total: $508,300
Generado: 2026-03-26</t>
      </text>
    </comment>
    <comment ref="F78" authorId="0" shapeId="0">
      <text>
        <t>Archivo: ESTADO DE RESULTADOS_CHVS_ABR_2026.xls
  Codigos: 51959501
  Celdas:  J167
  Valor:   $508,300
------------------------------
Total: $508,300
Generado: 2026-03-26</t>
      </text>
    </comment>
    <comment ref="G78" authorId="0" shapeId="0">
      <text>
        <t>Archivo: ESTADO DE RESULTADOS_CHVS_MAY_2026.xls
  Codigos: 51959501
  Celdas:  J167
  Valor:   $508,300
------------------------------
Total: $508,300
Generado: 2026-03-26</t>
      </text>
    </comment>
    <comment ref="C79" authorId="1" shapeId="0">
      <text>
        <t xml:space="preserve">Estanteria
</t>
      </text>
    </comment>
    <comment ref="D79" authorId="0" shapeId="0">
      <text>
        <t>Archivo: ESTADO DE RESULTADOS_CHVS_FEB_2026-DL.xls
  Codigos: 51959502
  Celdas:  J168
  Valor:   $319,799
------------------------------
Total: $319,799
Generado: 2026-03-26</t>
      </text>
    </comment>
    <comment ref="E79" authorId="0" shapeId="0">
      <text>
        <t>Archivo: ESTADO DE RESULTADOS_CHVS_MAR_2026.xls
  Codigos: 51959502
  Celdas:  J168
  Valor:   $319,799
------------------------------
Total: $319,799
Generado: 2026-03-26</t>
      </text>
    </comment>
    <comment ref="F79" authorId="0" shapeId="0">
      <text>
        <t>Archivo: ESTADO DE RESULTADOS_CHVS_ABR_2026.xls
  Codigos: 51959502
  Celdas:  J168
  Valor:   $319,799
------------------------------
Total: $319,799
Generado: 2026-03-26</t>
      </text>
    </comment>
    <comment ref="G79" authorId="0" shapeId="0">
      <text>
        <t>Archivo: ESTADO DE RESULTADOS_CHVS_MAY_2026.xls
  Codigos: 51959502
  Celdas:  J168
  Valor:   $319,799
------------------------------
Total: $319,799
Generado: 2026-03-26</t>
      </text>
    </comment>
    <comment ref="D80" authorId="0" shapeId="0">
      <text>
        <t>Archivo: ESTADO DE RESULTADOS_CHVS_FEB_2026-DL.xls
  Codigos: 51959503
  Celdas:  J169
  Valor:   $800,000
------------------------------
Total: $800,000
Generado: 2026-03-26</t>
      </text>
    </comment>
    <comment ref="E80" authorId="0" shapeId="0">
      <text>
        <t>Archivo: ESTADO DE RESULTADOS_CHVS_MAR_2026.xls
  Codigos: 51959503
  Celdas:  J169
  Valor:   $800,000
------------------------------
Total: $800,000
Generado: 2026-03-26</t>
      </text>
    </comment>
    <comment ref="F80" authorId="0" shapeId="0">
      <text>
        <t>Archivo: ESTADO DE RESULTADOS_CHVS_ABR_2026.xls
  Codigos: 51959503
  Celdas:  J169
  Valor:   $800,000
------------------------------
Total: $800,000
Generado: 2026-03-26</t>
      </text>
    </comment>
    <comment ref="G80" authorId="0" shapeId="0">
      <text>
        <t>Archivo: ESTADO DE RESULTADOS_CHVS_MAY_2026.xls
  Codigos: 51959503
  Celdas:  J169
  Valor:   $800,000
------------------------------
Total: $800,000
Generado: 2026-03-26</t>
      </text>
    </comment>
    <comment ref="D81" authorId="0" shapeId="0">
      <text>
        <t>Archivo: ESTADO DE RESULTADOS_CHVS_FEB_2026-DL.xls
  Codigos: 51959510
  Celdas:  J172
  Valor:   $4,623,150
------------------------------
Total: $4,623,150
Generado: 2026-03-26</t>
      </text>
    </comment>
    <comment ref="E81" authorId="0" shapeId="0">
      <text>
        <t>Archivo: ESTADO DE RESULTADOS_CHVS_MAR_2026.xls
  Codigos: 51959510
  Celdas:  J172
  Valor:   $4,623,150
------------------------------
Total: $4,623,150
Generado: 2026-03-26</t>
      </text>
    </comment>
    <comment ref="F81" authorId="0" shapeId="0">
      <text>
        <t>Archivo: ESTADO DE RESULTADOS_CHVS_ABR_2026.xls
  Codigos: 51959510
  Celdas:  J172
  Valor:   $4,623,150
------------------------------
Total: $4,623,150
Generado: 2026-03-26</t>
      </text>
    </comment>
    <comment ref="G81" authorId="0" shapeId="0">
      <text>
        <t>Archivo: ESTADO DE RESULTADOS_CHVS_MAY_2026.xls
  Codigos: 51959510
  Celdas:  J172
  Valor:   $4,623,150
------------------------------
Total: $4,623,150
Generado: 2026-03-26</t>
      </text>
    </comment>
    <comment ref="D82" authorId="0" shapeId="0">
      <text>
        <t>Archivo: ESTADO DE RESULTADOS_CHVS_FEB_2026-DL.xls
  Codigos: 51959512
  Celdas:  J173
  Valor:   $10,566,388
------------------------------
Total: $10,566,388
Generado: 2026-03-26</t>
      </text>
    </comment>
    <comment ref="E82" authorId="0" shapeId="0">
      <text>
        <t>Archivo: ESTADO DE RESULTADOS_CHVS_MAR_2026.xls
  Codigos: 51959512
  Celdas:  J173
  Valor:   $10,566,388
------------------------------
Total: $10,566,388
Generado: 2026-03-26</t>
      </text>
    </comment>
    <comment ref="F82" authorId="0" shapeId="0">
      <text>
        <t>Archivo: ESTADO DE RESULTADOS_CHVS_ABR_2026.xls
  Codigos: 51959512
  Celdas:  J173
  Valor:   $10,566,388
------------------------------
Total: $10,566,388
Generado: 2026-03-26</t>
      </text>
    </comment>
    <comment ref="G82" authorId="0" shapeId="0">
      <text>
        <t>Archivo: ESTADO DE RESULTADOS_CHVS_MAY_2026.xls
  Codigos: 51959512
  Celdas:  J173
  Valor:   $10,566,388
------------------------------
Total: $10,566,388
Generado: 2026-03-26</t>
      </text>
    </comment>
    <comment ref="D83" authorId="0" shapeId="0">
      <text>
        <t>Archivo: ESTADO DE RESULTADOS_CHVS_FEB_2026-DL.xls
  Codigos: 51959514
  Celdas:  J174
  Valor:   $5,834,000
------------------------------
Total: $5,834,000
Generado: 2026-03-26</t>
      </text>
    </comment>
    <comment ref="E83" authorId="0" shapeId="0">
      <text>
        <t>Archivo: ESTADO DE RESULTADOS_CHVS_MAR_2026.xls
  Codigos: 51959514
  Celdas:  J174
  Valor:   $5,834,000
------------------------------
Total: $5,834,000
Generado: 2026-03-26</t>
      </text>
    </comment>
    <comment ref="F83" authorId="0" shapeId="0">
      <text>
        <t>Archivo: ESTADO DE RESULTADOS_CHVS_ABR_2026.xls
  Codigos: 51959514
  Celdas:  J174
  Valor:   $5,834,000
------------------------------
Total: $5,834,000
Generado: 2026-03-26</t>
      </text>
    </comment>
    <comment ref="G83" authorId="0" shapeId="0">
      <text>
        <t>Archivo: ESTADO DE RESULTADOS_CHVS_MAY_2026.xls
  Codigos: 51959514
  Celdas:  J174
  Valor:   $5,834,000
------------------------------
Total: $5,834,000
Generado: 2026-03-26</t>
      </text>
    </comment>
    <comment ref="C84" authorId="1" shapeId="0">
      <text>
        <t xml:space="preserve">$12,544,460 Compra Equipos
$8,258,600 Impresoras Wms
</t>
      </text>
    </comment>
    <comment ref="D84" authorId="0" shapeId="0">
      <text>
        <t>Archivo: ESTADO DE RESULTADOS_CHVS_FEB_2026-DL.xls
  Codigos: 51959515
  Celdas:  J175
  Valor:   $34,962,540
------------------------------
Total: $34,962,540
Generado: 2026-03-26</t>
      </text>
    </comment>
    <comment ref="E84" authorId="0" shapeId="0">
      <text>
        <t>Archivo: ESTADO DE RESULTADOS_CHVS_MAR_2026.xls
  Codigos: 51959515
  Celdas:  J175
  Valor:   $34,962,540
------------------------------
Total: $34,962,540
Generado: 2026-03-26</t>
      </text>
    </comment>
    <comment ref="F84" authorId="0" shapeId="0">
      <text>
        <t>Archivo: ESTADO DE RESULTADOS_CHVS_ABR_2026.xls
  Codigos: 51959515
  Celdas:  J175
  Valor:   $34,962,540
------------------------------
Total: $34,962,540
Generado: 2026-03-26</t>
      </text>
    </comment>
    <comment ref="G84" authorId="0" shapeId="0">
      <text>
        <t>Archivo: ESTADO DE RESULTADOS_CHVS_MAY_2026.xls
  Codigos: 51959515
  Celdas:  J175
  Valor:   $34,962,540
------------------------------
Total: $34,962,540
Generado: 2026-03-26</t>
      </text>
    </comment>
    <comment ref="D85" authorId="0" shapeId="0">
      <text>
        <t>Archivo: ESTADO DE RESULTADOS_CHVS_FEB_2026-DL.xls
  Codigos: 51959504
  Celdas:  J170
  Valor:   $3,939,537
------------------------------
Total: $3,939,537
Generado: 2026-03-26</t>
      </text>
    </comment>
    <comment ref="E85" authorId="0" shapeId="0">
      <text>
        <t>Archivo: ESTADO DE RESULTADOS_CHVS_MAR_2026.xls
  Codigos: 51959504
  Celdas:  J170
  Valor:   $3,939,537
------------------------------
Total: $3,939,537
Generado: 2026-03-26</t>
      </text>
    </comment>
    <comment ref="F85" authorId="0" shapeId="0">
      <text>
        <t>Archivo: ESTADO DE RESULTADOS_CHVS_ABR_2026.xls
  Codigos: 51959504
  Celdas:  J170
  Valor:   $3,939,537
------------------------------
Total: $3,939,537
Generado: 2026-03-26</t>
      </text>
    </comment>
    <comment ref="G85" authorId="0" shapeId="0">
      <text>
        <t>Archivo: ESTADO DE RESULTADOS_CHVS_MAY_2026.xls
  Codigos: 51959504
  Celdas:  J170
  Valor:   $3,939,537
------------------------------
Total: $3,939,537
Generado: 2026-03-26</t>
      </text>
    </comment>
    <comment ref="D87" authorId="0" shapeId="0">
      <text>
        <t>Archivo: ESTADO DE RESULTADOS_CHVS_FEB_2026-DL.xls
  Codigos: 51959518
  Celdas:  J177
  Valor:   $1,751,694
------------------------------
Total: $1,751,694
Generado: 2026-03-26</t>
      </text>
    </comment>
    <comment ref="E87" authorId="0" shapeId="0">
      <text>
        <t>Archivo: ESTADO DE RESULTADOS_CHVS_MAR_2026.xls
  Codigos: 51959518
  Celdas:  J177
  Valor:   $1,751,694
------------------------------
Total: $1,751,694
Generado: 2026-03-26</t>
      </text>
    </comment>
    <comment ref="F87" authorId="0" shapeId="0">
      <text>
        <t>Archivo: ESTADO DE RESULTADOS_CHVS_ABR_2026.xls
  Codigos: 51959518
  Celdas:  J177
  Valor:   $1,751,694
------------------------------
Total: $1,751,694
Generado: 2026-03-26</t>
      </text>
    </comment>
    <comment ref="G87" authorId="0" shapeId="0">
      <text>
        <t>Archivo: ESTADO DE RESULTADOS_CHVS_MAY_2026.xls
  Codigos: 51959518
  Celdas:  J177
  Valor:   $1,751,694
------------------------------
Total: $1,751,694
Generado: 2026-03-26</t>
      </text>
    </comment>
    <comment ref="D88" authorId="0" shapeId="0">
      <text>
        <t>Archivo: ESTADO DE RESULTADOS_CHVS_FEB_2026-DL.xls
  Codigos: 51959517
  Celdas:  J176
  Valor:   $643,578
------------------------------
Total: $643,578
Generado: 2026-03-26</t>
      </text>
    </comment>
    <comment ref="E88" authorId="0" shapeId="0">
      <text>
        <t>Archivo: ESTADO DE RESULTADOS_CHVS_MAR_2026.xls
  Codigos: 51959517
  Celdas:  J176
  Valor:   $643,578
------------------------------
Total: $643,578
Generado: 2026-03-26</t>
      </text>
    </comment>
    <comment ref="F88" authorId="0" shapeId="0">
      <text>
        <t>Archivo: ESTADO DE RESULTADOS_CHVS_ABR_2026.xls
  Codigos: 51959517
  Celdas:  J176
  Valor:   $643,578
------------------------------
Total: $643,578
Generado: 2026-03-26</t>
      </text>
    </comment>
    <comment ref="G88" authorId="0" shapeId="0">
      <text>
        <t>Archivo: ESTADO DE RESULTADOS_CHVS_MAY_2026.xls
  Codigos: 51959517
  Celdas:  J176
  Valor:   $643,578
------------------------------
Total: $643,578
Generado: 2026-03-26</t>
      </text>
    </comment>
    <comment ref="C93" authorId="1" shapeId="0">
      <text>
        <t xml:space="preserve">Multa Vehiculo VCO 277
</t>
      </text>
    </comment>
    <comment ref="D93" authorId="0" shapeId="0">
      <text>
        <t>Archivo: ESTADO DE RESULTADOS_CHVS_FEB_2026-DL.xls
  Codigos: 53150501
  Celdas:  J199
  Valor:   $5,000,000
------------------------------
Total: $5,000,000
Generado: 2026-03-26</t>
      </text>
    </comment>
    <comment ref="E93" authorId="0" shapeId="0">
      <text>
        <t>Archivo: ESTADO DE RESULTADOS_CHVS_MAR_2026.xls
  Codigos: 53150501
  Celdas:  J199
  Valor:   $5,000,000
------------------------------
Total: $5,000,000
Generado: 2026-03-26</t>
      </text>
    </comment>
    <comment ref="F93" authorId="0" shapeId="0">
      <text>
        <t>Archivo: ESTADO DE RESULTADOS_CHVS_ABR_2026.xls
  Codigos: 53150501
  Celdas:  J199
  Valor:   $5,000,000
------------------------------
Total: $5,000,000
Generado: 2026-03-26</t>
      </text>
    </comment>
    <comment ref="G93" authorId="0" shapeId="0">
      <text>
        <t>Archivo: ESTADO DE RESULTADOS_CHVS_MAY_2026.xls
  Codigos: 53150501
  Celdas:  J199
  Valor:   $5,000,000
------------------------------
Total: $5,000,000
Generado: 2026-03-26</t>
      </text>
    </comment>
    <comment ref="D94" authorId="0" shapeId="0">
      <text>
        <t>Archivo: ESTADO DE RESULTADOS_CHVS_FEB_2026-DL.xls
  Codigos: 51956002
  Celdas:  J161
  Valor:   $9,270,041
------------------------------
Total: $9,270,041
Generado: 2026-03-26</t>
      </text>
    </comment>
    <comment ref="E94" authorId="0" shapeId="0">
      <text>
        <t>Archivo: ESTADO DE RESULTADOS_CHVS_MAR_2026.xls
  Codigos: 51956002
  Celdas:  J161
  Valor:   $9,270,041
------------------------------
Total: $9,270,041
Generado: 2026-03-26</t>
      </text>
    </comment>
    <comment ref="F94" authorId="0" shapeId="0">
      <text>
        <t>Archivo: ESTADO DE RESULTADOS_CHVS_ABR_2026.xls
  Codigos: 51956002
  Celdas:  J161
  Valor:   $9,270,041
------------------------------
Total: $9,270,041
Generado: 2026-03-26</t>
      </text>
    </comment>
    <comment ref="G94" authorId="0" shapeId="0">
      <text>
        <t>Archivo: ESTADO DE RESULTADOS_CHVS_MAY_2026.xls
  Codigos: 51956002
  Celdas:  J161
  Valor:   $9,270,041
------------------------------
Total: $9,270,041
Generado: 2026-03-26</t>
      </text>
    </comment>
    <comment ref="D95" authorId="0" shapeId="0">
      <text>
        <t>Archivo: ESTADO DE RESULTADOS_CHVS_FEB_2026-DL.xls
  Codigos: 53954001
  Celdas:  J202
  Valor:   $178
------------------------------
Total: $178
Generado: 2026-03-26</t>
      </text>
    </comment>
    <comment ref="E95" authorId="0" shapeId="0">
      <text>
        <t>Archivo: ESTADO DE RESULTADOS_CHVS_MAR_2026.xls
  Codigos: 53954001
  Celdas:  J202
  Valor:   $178
------------------------------
Total: $178
Generado: 2026-03-26</t>
      </text>
    </comment>
    <comment ref="F95" authorId="0" shapeId="0">
      <text>
        <t>Archivo: ESTADO DE RESULTADOS_CHVS_ABR_2026.xls
  Codigos: 53954001
  Celdas:  J202
  Valor:   $178
------------------------------
Total: $178
Generado: 2026-03-26</t>
      </text>
    </comment>
    <comment ref="G95" authorId="0" shapeId="0">
      <text>
        <t>Archivo: ESTADO DE RESULTADOS_CHVS_MAY_2026.xls
  Codigos: 53954001
  Celdas:  J202
  Valor:   $178
------------------------------
Total: $178
Generado: 2026-03-26</t>
      </text>
    </comment>
    <comment ref="D99" authorId="0" shapeId="0">
      <text>
        <t>Archivo: ESTADO DE RESULTADOS_CHVS_FEB_2026-DL.xls
  Codigos: 530505
  Celdas:  J180
  Valor:   $721,868
------------------------------
Total: $721,868
Generado: 2026-03-26</t>
      </text>
    </comment>
    <comment ref="E99" authorId="0" shapeId="0">
      <text>
        <t>Archivo: ESTADO DE RESULTADOS_CHVS_MAR_2026.xls
  Codigos: 530505
  Celdas:  J180
  Valor:   $721,868
------------------------------
Total: $721,868
Generado: 2026-03-26</t>
      </text>
    </comment>
    <comment ref="F99" authorId="0" shapeId="0">
      <text>
        <t>Archivo: ESTADO DE RESULTADOS_CHVS_ABR_2026.xls
  Codigos: 530505
  Celdas:  J180
  Valor:   $721,868
------------------------------
Total: $721,868
Generado: 2026-03-26</t>
      </text>
    </comment>
    <comment ref="G99" authorId="0" shapeId="0">
      <text>
        <t>Archivo: ESTADO DE RESULTADOS_CHVS_MAY_2026.xls
  Codigos: 530505
  Celdas:  J180
  Valor:   $721,868
------------------------------
Total: $721,868
Generado: 2026-03-26</t>
      </text>
    </comment>
    <comment ref="D100" authorId="0" shapeId="0">
      <text>
        <t>Archivo: ESTADO DE RESULTADOS_CHVS_FEB_2026-DL.xls
  Codigos: 530515
  Celdas:  J183
  Valor:   $2,541,356
------------------------------
Total: $2,541,356
Generado: 2026-03-26</t>
      </text>
    </comment>
    <comment ref="E100" authorId="0" shapeId="0">
      <text>
        <t>Archivo: ESTADO DE RESULTADOS_CHVS_MAR_2026.xls
  Codigos: 530515
  Celdas:  J183
  Valor:   $2,541,356
------------------------------
Total: $2,541,356
Generado: 2026-03-26</t>
      </text>
    </comment>
    <comment ref="F100" authorId="0" shapeId="0">
      <text>
        <t>Archivo: ESTADO DE RESULTADOS_CHVS_ABR_2026.xls
  Codigos: 530515
  Celdas:  J183
  Valor:   $2,541,356
------------------------------
Total: $2,541,356
Generado: 2026-03-26</t>
      </text>
    </comment>
    <comment ref="G100" authorId="0" shapeId="0">
      <text>
        <t>Archivo: ESTADO DE RESULTADOS_CHVS_MAY_2026.xls
  Codigos: 530515
  Celdas:  J183
  Valor:   $2,541,356
------------------------------
Total: $2,541,356
Generado: 2026-03-26</t>
      </text>
    </comment>
    <comment ref="D101" authorId="0" shapeId="0">
      <text>
        <t>Archivo: ESTADO DE RESULTADOS_CHVS_FEB_2026-DL.xls
  Codigos: 53052001
  Celdas:  J188
  Valor:   $2,367,763
------------------------------
Total: $2,367,763
Generado: 2026-03-26</t>
      </text>
    </comment>
    <comment ref="E101" authorId="0" shapeId="0">
      <text>
        <t>Archivo: ESTADO DE RESULTADOS_CHVS_MAR_2026.xls
  Codigos: 53052001
  Celdas:  J188
  Valor:   $2,367,763
------------------------------
Total: $2,367,763
Generado: 2026-03-26</t>
      </text>
    </comment>
    <comment ref="F101" authorId="0" shapeId="0">
      <text>
        <t>Archivo: ESTADO DE RESULTADOS_CHVS_ABR_2026.xls
  Codigos: 53052001
  Celdas:  J188
  Valor:   $2,367,763
------------------------------
Total: $2,367,763
Generado: 2026-03-26</t>
      </text>
    </comment>
    <comment ref="G101" authorId="0" shapeId="0">
      <text>
        <t>Archivo: ESTADO DE RESULTADOS_CHVS_MAY_2026.xls
  Codigos: 53052001
  Celdas:  J188
  Valor:   $2,367,763
------------------------------
Total: $2,367,763
Generado: 2026-03-26</t>
      </text>
    </comment>
    <comment ref="D102" authorId="0" shapeId="0">
      <text>
        <t>Archivo: ESTADO DE RESULTADOS_CHVS_FEB_2026-DL.xls
  Codigos: 53052002
  Celdas:  J189
  Valor:   $2,200
Archivo: ESTADO DE RESULTADOS_UT ALIM YUMBO2025_FEB_2026-DL.xls
  Codigos: 53052002
  Celdas:  J39
  Valor:   $36,700
------------------------------
Total: $38,900
Generado: 2026-03-26</t>
      </text>
    </comment>
    <comment ref="E102" authorId="0" shapeId="0">
      <text>
        <t>Archivo: ESTADO DE RESULTADOS_CHVS_MAR_2026.xls
  Codigos: 53052002
  Celdas:  J189
  Valor:   $2,200
Archivo: ESTADO DE RESULTADOS_UT ALIM YUMBO2025_MAR_2026.xls
  Codigos: 53052002
  Celdas:  J39
  Valor:   $36,700
------------------------------
Total: $38,900
Generado: 2026-03-26</t>
      </text>
    </comment>
    <comment ref="F102" authorId="0" shapeId="0">
      <text>
        <t>Archivo: ESTADO DE RESULTADOS_CHVS_ABR_2026.xls
  Codigos: 53052002
  Celdas:  J189
  Valor:   $2,200
Archivo: ESTADO DE RESULTADOS_UT ALIM YUMBO2025_ABR_2026.xls
  Codigos: 53052002
  Celdas:  J39
  Valor:   $36,700
------------------------------
Total: $38,900
Generado: 2026-03-26</t>
      </text>
    </comment>
    <comment ref="G102" authorId="0" shapeId="0">
      <text>
        <t>Archivo: ESTADO DE RESULTADOS_CHVS_MAY_2026.xls
  Codigos: 53052002
  Celdas:  J189
  Valor:   $2,200
Archivo: ESTADO DE RESULTADOS_UT ALIM YUMBO2025_MAY_2026.xls
  Codigos: 53052002
  Celdas:  J39
  Valor:   $36,700
------------------------------
Total: $38,900
Generado: 2026-03-26</t>
      </text>
    </comment>
    <comment ref="D104" authorId="0" shapeId="0">
      <text>
        <t>Archivo: ESTADO DE RESULTADOS_CHVS_FEB_2026-DL.xls
  Codigos: 53052004
  Celdas:  J190
  Valor:   $3,769,285
------------------------------
Total: $3,769,285
Generado: 2026-03-26</t>
      </text>
    </comment>
    <comment ref="E104" authorId="0" shapeId="0">
      <text>
        <t>Archivo: ESTADO DE RESULTADOS_CHVS_MAR_2026.xls
  Codigos: 53052004
  Celdas:  J190
  Valor:   $3,769,285
------------------------------
Total: $3,769,285
Generado: 2026-03-26</t>
      </text>
    </comment>
    <comment ref="F104" authorId="0" shapeId="0">
      <text>
        <t>Archivo: ESTADO DE RESULTADOS_CHVS_ABR_2026.xls
  Codigos: 53052004
  Celdas:  J190
  Valor:   $3,769,285
------------------------------
Total: $3,769,285
Generado: 2026-03-26</t>
      </text>
    </comment>
    <comment ref="G104" authorId="0" shapeId="0">
      <text>
        <t>Archivo: ESTADO DE RESULTADOS_CHVS_MAY_2026.xls
  Codigos: 53052004
  Celdas:  J190
  Valor:   $3,769,285
------------------------------
Total: $3,769,285
Generado: 2026-03-26</t>
      </text>
    </comment>
    <comment ref="D106" authorId="0" shapeId="0">
      <text>
        <t>Archivo: ESTADO DE RESULTADOS_CHVS_FEB_2026-DL.xls
  Codigos: 51159502, 53055001
  Celdas:  J94, J194
  Valor:   $24,168,220
------------------------------
Total: $24,168,220
Generado: 2026-03-26</t>
      </text>
    </comment>
    <comment ref="E106" authorId="0" shapeId="0">
      <text>
        <t>Archivo: ESTADO DE RESULTADOS_CHVS_MAR_2026.xls
  Codigos: 51159502, 53055001
  Celdas:  J94, J194
  Valor:   $24,168,220
------------------------------
Total: $24,168,220
Generado: 2026-03-26</t>
      </text>
    </comment>
    <comment ref="F106" authorId="0" shapeId="0">
      <text>
        <t>Archivo: ESTADO DE RESULTADOS_CHVS_ABR_2026.xls
  Codigos: 51159502, 53055001
  Celdas:  J94, J194
  Valor:   $24,168,220
------------------------------
Total: $24,168,220
Generado: 2026-03-26</t>
      </text>
    </comment>
    <comment ref="G106" authorId="0" shapeId="0">
      <text>
        <t>Archivo: ESTADO DE RESULTADOS_CHVS_MAY_2026.xls
  Codigos: 51159502, 53055001
  Celdas:  J94, J194
  Valor:   $24,168,220
------------------------------
Total: $24,168,220
Generado: 2026-03-26</t>
      </text>
    </comment>
    <comment ref="B111" authorId="2" shapeId="0">
      <text>
        <t xml:space="preserve">Junta Directiva
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V&#237;nculoExternoRecuperado1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V&#237;nculoExternoRecuperado2" TargetMode="External" Id="rId1"/></Relationships>
</file>

<file path=xl/externalLinks/_rels/externalLink3.xml.rels><Relationships xmlns="http://schemas.openxmlformats.org/package/2006/relationships"><Relationship Type="http://schemas.microsoft.com/office/2006/relationships/xlExternalLinkPath/xlPathMissing" Target="V&#237;nculoExternoRecuperado3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V&#237;nculoExternoRecuperado4" TargetMode="External" Id="rId1"/></Relationships>
</file>

<file path=xl/externalLinks/_rels/externalLink5.xml.rels><Relationships xmlns="http://schemas.openxmlformats.org/package/2006/relationships"><Relationship Type="http://schemas.microsoft.com/office/2006/relationships/xlExternalLinkPath/xlPathMissing" Target="V&#237;nculoExternoRecuperado10" TargetMode="External" Id="rId1"/></Relationships>
</file>

<file path=xl/externalLinks/_rels/externalLink6.xml.rels><Relationships xmlns="http://schemas.openxmlformats.org/package/2006/relationships"><Relationship Type="http://schemas.microsoft.com/office/2006/relationships/xlExternalLinkPath/xlPathMissing" Target="V&#237;nculoExternoRecuperado13" TargetMode="External" Id="rId1"/></Relationships>
</file>

<file path=xl/externalLinks/_rels/externalLink7.xml.rels><Relationships xmlns="http://schemas.openxmlformats.org/package/2006/relationships"><Relationship Type="http://schemas.microsoft.com/office/2006/relationships/xlExternalLinkPath/xlPathMissing" Target="V&#237;nculoExternoRecuperado14" TargetMode="External" Id="rId1"/></Relationships>
</file>

<file path=xl/externalLinks/_rels/externalLink8.xml.rels><Relationships xmlns="http://schemas.openxmlformats.org/package/2006/relationships"><Relationship Type="http://schemas.microsoft.com/office/2006/relationships/xlExternalLinkPath/xlPathMissing" Target="V&#237;nculoExternoRecuperado15" TargetMode="External" Id="rId1"/></Relationships>
</file>

<file path=xl/externalLinks/_rels/externalLink9.xml.rels><Relationships xmlns="http://schemas.openxmlformats.org/package/2006/relationships"><Relationship Type="http://schemas.microsoft.com/office/2006/relationships/xlExternalLinkPath/xlPathMissing" Target="V&#237;nculoExternoRecuperado16" TargetMode="External" Id="rId1"/></Relationships>
</file>

<file path=xl/externalLinks/_rels/externalLink10.xml.rels><Relationships xmlns="http://schemas.openxmlformats.org/package/2006/relationships"><Relationship Type="http://schemas.microsoft.com/office/2006/relationships/xlExternalLinkPath/xlPathMissing" Target="V&#237;nculoExternoRecuperado17" TargetMode="External" Id="rId1"/></Relationships>
</file>

<file path=xl/externalLinks/_rels/externalLink11.xml.rels><Relationships xmlns="http://schemas.openxmlformats.org/package/2006/relationships"><Relationship Type="http://schemas.microsoft.com/office/2006/relationships/xlExternalLinkPath/xlPathMissing" Target="V&#237;nculoExternoRecuperado18" TargetMode="External" Id="rId1"/></Relationships>
</file>

<file path=xl/externalLinks/_rels/externalLink12.xml.rels><Relationships xmlns="http://schemas.openxmlformats.org/package/2006/relationships"><Relationship Type="http://schemas.microsoft.com/office/2006/relationships/xlExternalLinkPath/xlPathMissing" Target="V&#237;nculoExternoRecuperado1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ASTOS ADMINISTRATIVOS "/>
      <sheetName val="GASTOS OPERATIVOS"/>
      <sheetName val="GASTOS VEHICULOS"/>
      <sheetName val="%DIST"/>
      <sheetName val="CASINO"/>
      <sheetName val="HUNGRIA"/>
      <sheetName val="CALI"/>
      <sheetName val="YUMBO"/>
      <sheetName val="BUGA"/>
      <sheetName val="IMDERTY"/>
      <sheetName val="COMEDORES CALI"/>
      <sheetName val="CTAS EN PPACION"/>
      <sheetName val="COMEDORES PALMIRA"/>
      <sheetName val="COMEDORES VALLE"/>
      <sheetName val="ADULTO MAYOR"/>
      <sheetName val="PYG TOTAL"/>
      <sheetName val="RECREARTE"/>
    </sheetNames>
    <sheetDataSet>
      <sheetData sheetId="0"/>
      <sheetData sheetId="1">
        <row r="17">
          <cell r="D17">
            <v>334817612.00999999</v>
          </cell>
        </row>
      </sheetData>
      <sheetData sheetId="2">
        <row r="25">
          <cell r="D25">
            <v>85111503</v>
          </cell>
        </row>
      </sheetData>
      <sheetData sheetId="3"/>
      <sheetData sheetId="4">
        <row r="144">
          <cell r="C144">
            <v>26472126.799999997</v>
          </cell>
          <cell r="F144">
            <v>29999600.399999999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41">
          <cell r="C141">
            <v>15474654</v>
          </cell>
          <cell r="F141">
            <v>-1777321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 refreshError="1">
        <row r="9">
          <cell r="I9">
            <v>135991784</v>
          </cell>
        </row>
        <row r="12">
          <cell r="I12">
            <v>19735184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 refreshError="1">
        <row r="9">
          <cell r="I9">
            <v>42456276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 refreshError="1">
        <row r="8">
          <cell r="D8">
            <v>13055991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 refreshError="1">
        <row r="24">
          <cell r="E24">
            <v>1093270</v>
          </cell>
        </row>
        <row r="54">
          <cell r="C54">
            <v>1887131</v>
          </cell>
        </row>
        <row r="56">
          <cell r="C56">
            <v>8670200</v>
          </cell>
        </row>
        <row r="70">
          <cell r="C70">
            <v>96200</v>
          </cell>
        </row>
        <row r="73">
          <cell r="C73">
            <v>2896000</v>
          </cell>
        </row>
        <row r="75">
          <cell r="C75">
            <v>2912968</v>
          </cell>
        </row>
        <row r="77">
          <cell r="C77">
            <v>3037680</v>
          </cell>
        </row>
        <row r="82">
          <cell r="C82">
            <v>10286350.550000001</v>
          </cell>
        </row>
        <row r="85">
          <cell r="C85">
            <v>45245581</v>
          </cell>
        </row>
        <row r="87">
          <cell r="C87">
            <v>9106621</v>
          </cell>
        </row>
        <row r="89">
          <cell r="C89">
            <v>3236110</v>
          </cell>
        </row>
        <row r="97">
          <cell r="C97">
            <v>2500000</v>
          </cell>
        </row>
        <row r="99">
          <cell r="C99">
            <v>1261676</v>
          </cell>
        </row>
        <row r="101">
          <cell r="C101">
            <v>1110507</v>
          </cell>
        </row>
        <row r="103">
          <cell r="C103">
            <v>2061530</v>
          </cell>
        </row>
        <row r="105">
          <cell r="C105">
            <v>5133313</v>
          </cell>
        </row>
        <row r="106">
          <cell r="C106">
            <v>477584</v>
          </cell>
        </row>
        <row r="108">
          <cell r="C108">
            <v>44800</v>
          </cell>
        </row>
        <row r="112">
          <cell r="C112">
            <v>14481975</v>
          </cell>
        </row>
        <row r="115">
          <cell r="C115">
            <v>12852</v>
          </cell>
        </row>
        <row r="117">
          <cell r="C117">
            <v>16800</v>
          </cell>
        </row>
        <row r="118">
          <cell r="C118">
            <v>296500</v>
          </cell>
        </row>
        <row r="123">
          <cell r="C123">
            <v>5372255</v>
          </cell>
        </row>
        <row r="125">
          <cell r="C125">
            <v>275000</v>
          </cell>
        </row>
        <row r="127">
          <cell r="C127">
            <v>3115080</v>
          </cell>
        </row>
        <row r="133">
          <cell r="C133">
            <v>5120451</v>
          </cell>
        </row>
        <row r="135">
          <cell r="C135">
            <v>3232020.85</v>
          </cell>
        </row>
        <row r="137">
          <cell r="C137">
            <v>1032705</v>
          </cell>
        </row>
        <row r="141">
          <cell r="C141">
            <v>1213800</v>
          </cell>
        </row>
        <row r="143">
          <cell r="C143">
            <v>485159</v>
          </cell>
        </row>
        <row r="145">
          <cell r="C145">
            <v>882585</v>
          </cell>
        </row>
        <row r="146">
          <cell r="C146">
            <v>7300083.1900000004</v>
          </cell>
        </row>
        <row r="148">
          <cell r="C148">
            <v>33900</v>
          </cell>
        </row>
        <row r="150">
          <cell r="C150">
            <v>1927200</v>
          </cell>
        </row>
        <row r="152">
          <cell r="C152">
            <v>5349907</v>
          </cell>
        </row>
        <row r="153">
          <cell r="C153">
            <v>3927000</v>
          </cell>
        </row>
        <row r="154">
          <cell r="C154">
            <v>800000</v>
          </cell>
        </row>
        <row r="155">
          <cell r="C155">
            <v>4464808</v>
          </cell>
        </row>
        <row r="156">
          <cell r="C156">
            <v>2178708</v>
          </cell>
        </row>
        <row r="157">
          <cell r="C157">
            <v>2519100</v>
          </cell>
        </row>
        <row r="158">
          <cell r="C158">
            <v>253040</v>
          </cell>
        </row>
        <row r="159">
          <cell r="C159">
            <v>342720</v>
          </cell>
        </row>
        <row r="160">
          <cell r="C160">
            <v>22363060</v>
          </cell>
        </row>
        <row r="161">
          <cell r="C161">
            <v>643578</v>
          </cell>
        </row>
        <row r="164">
          <cell r="C164">
            <v>489046.66</v>
          </cell>
        </row>
        <row r="167">
          <cell r="C167">
            <v>1697707.56</v>
          </cell>
        </row>
        <row r="172">
          <cell r="C172">
            <v>6444863.9500000002</v>
          </cell>
        </row>
        <row r="173">
          <cell r="C173">
            <v>84553</v>
          </cell>
        </row>
        <row r="175">
          <cell r="C175">
            <v>88786</v>
          </cell>
        </row>
        <row r="177">
          <cell r="C177">
            <v>67245.78</v>
          </cell>
        </row>
        <row r="180">
          <cell r="C180">
            <v>929031</v>
          </cell>
        </row>
        <row r="182">
          <cell r="C182">
            <v>32.21</v>
          </cell>
        </row>
        <row r="402">
          <cell r="C402">
            <v>95701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1">
          <cell r="G11">
            <v>318182</v>
          </cell>
        </row>
        <row r="13">
          <cell r="G13">
            <v>3572800</v>
          </cell>
        </row>
        <row r="15">
          <cell r="G15">
            <v>850000</v>
          </cell>
        </row>
        <row r="17">
          <cell r="G17">
            <v>36560000</v>
          </cell>
        </row>
        <row r="22">
          <cell r="G22">
            <v>3084632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  <sheetName val="Hoja 1 (2)"/>
    </sheetNames>
    <sheetDataSet>
      <sheetData sheetId="0">
        <row r="11">
          <cell r="G11">
            <v>404040</v>
          </cell>
        </row>
        <row r="23">
          <cell r="G23">
            <v>4014671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5">
          <cell r="C15">
            <v>145591814</v>
          </cell>
        </row>
        <row r="70">
          <cell r="C70">
            <v>394000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7">
          <cell r="C17">
            <v>231151715</v>
          </cell>
        </row>
        <row r="109">
          <cell r="C109">
            <v>394000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F23">
            <v>42350</v>
          </cell>
        </row>
        <row r="133">
          <cell r="D133">
            <v>394000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4">
          <cell r="E24">
            <v>28490</v>
          </cell>
        </row>
        <row r="101">
          <cell r="C101">
            <v>95000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E23">
            <v>49000</v>
          </cell>
        </row>
        <row r="28">
          <cell r="E28">
            <v>514.78</v>
          </cell>
        </row>
        <row r="30">
          <cell r="C30">
            <v>606365627.59000003</v>
          </cell>
        </row>
        <row r="128">
          <cell r="C128">
            <v>2062464</v>
          </cell>
        </row>
        <row r="129">
          <cell r="C129">
            <v>370000</v>
          </cell>
        </row>
        <row r="199">
          <cell r="C199">
            <v>5410656.4100000001</v>
          </cell>
        </row>
        <row r="204">
          <cell r="C204">
            <v>64611540</v>
          </cell>
        </row>
        <row r="240">
          <cell r="C240">
            <v>1755335.6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INFO\PRESUPUESTO%20GASTOS%20FINANCIEROS_2021.xlsx" TargetMode="External" Id="rId1"/><Relationship Type="http://schemas.openxmlformats.org/officeDocument/2006/relationships/hyperlink" Target="INFO\PRESUPUESTO%20GASTOS%20FINANCIEROS_2021.xlsx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34"/>
  <sheetViews>
    <sheetView tabSelected="1" topLeftCell="B1" zoomScale="85" zoomScaleNormal="85" workbookViewId="0">
      <selection activeCell="H8" sqref="H8"/>
    </sheetView>
  </sheetViews>
  <sheetFormatPr baseColWidth="10" defaultColWidth="11.44140625" defaultRowHeight="15" customHeight="1"/>
  <cols>
    <col width="23.109375" customWidth="1" style="102" min="1" max="1"/>
    <col width="50.33203125" customWidth="1" style="137" min="2" max="2"/>
    <col width="15.33203125" customWidth="1" style="134" min="3" max="7"/>
    <col width="15.33203125" customWidth="1" style="135" min="8" max="13"/>
    <col width="16.6640625" customWidth="1" style="135" min="14" max="14"/>
    <col width="17.88671875" customWidth="1" style="134" min="15" max="15"/>
    <col width="6" customWidth="1" style="1" min="16" max="16"/>
    <col width="11.44140625" customWidth="1" style="137" min="17" max="30"/>
    <col width="11.44140625" customWidth="1" style="137" min="31" max="16384"/>
  </cols>
  <sheetData>
    <row r="1" ht="11.4" customHeight="1"/>
    <row r="2" ht="14.25" customHeight="1">
      <c r="B2" s="138" t="inlineStr">
        <is>
          <t xml:space="preserve">CORPORACIÓN HACIA UN VALLE SOLIDARIO </t>
        </is>
      </c>
      <c r="C2" s="133" t="inlineStr">
        <is>
          <t>GASTOS ADMINISTRATIVOS 2026</t>
        </is>
      </c>
    </row>
    <row r="3" ht="24" customHeight="1"/>
    <row r="4" ht="24.9" customFormat="1" customHeight="1" s="7">
      <c r="A4" s="103" t="n"/>
      <c r="B4" s="3" t="n"/>
      <c r="C4" s="4" t="inlineStr">
        <is>
          <t>ENE</t>
        </is>
      </c>
      <c r="D4" s="4" t="inlineStr">
        <is>
          <t>FEB</t>
        </is>
      </c>
      <c r="E4" s="4" t="inlineStr">
        <is>
          <t>MAR</t>
        </is>
      </c>
      <c r="F4" s="4" t="inlineStr">
        <is>
          <t>ABR</t>
        </is>
      </c>
      <c r="G4" s="4" t="inlineStr">
        <is>
          <t>MAY</t>
        </is>
      </c>
      <c r="H4" s="4" t="inlineStr">
        <is>
          <t>JUN</t>
        </is>
      </c>
      <c r="I4" s="5" t="inlineStr">
        <is>
          <t>JUL</t>
        </is>
      </c>
      <c r="J4" s="5" t="inlineStr">
        <is>
          <t>AGO</t>
        </is>
      </c>
      <c r="K4" s="5" t="inlineStr">
        <is>
          <t>SEP</t>
        </is>
      </c>
      <c r="L4" s="5" t="inlineStr">
        <is>
          <t>OCT</t>
        </is>
      </c>
      <c r="M4" s="5" t="inlineStr">
        <is>
          <t>NOV</t>
        </is>
      </c>
      <c r="N4" s="5" t="inlineStr">
        <is>
          <t>DIC</t>
        </is>
      </c>
      <c r="O4" s="4" t="inlineStr">
        <is>
          <t>ACUMULADO</t>
        </is>
      </c>
      <c r="P4" s="6" t="n"/>
    </row>
    <row r="5" ht="15" customFormat="1" customHeight="1" s="11">
      <c r="A5" s="104" t="n"/>
      <c r="B5" s="8" t="inlineStr">
        <is>
          <t>GASTOS DE PERSONAL</t>
        </is>
      </c>
      <c r="C5" s="9">
        <f>SUM(C6:C12)</f>
        <v/>
      </c>
      <c r="D5" s="9">
        <f>SUM(D6:D12)</f>
        <v/>
      </c>
      <c r="E5" s="9">
        <f>SUM(E6:E12)</f>
        <v/>
      </c>
      <c r="F5" s="9">
        <f>SUM(F6:F12)</f>
        <v/>
      </c>
      <c r="G5" s="9">
        <f>SUM(G6:G12)</f>
        <v/>
      </c>
      <c r="H5" s="9">
        <f>SUM(H6:H12)</f>
        <v/>
      </c>
      <c r="I5" s="9">
        <f>SUM(I6:I12)</f>
        <v/>
      </c>
      <c r="J5" s="9">
        <f>SUM(J6:J12)</f>
        <v/>
      </c>
      <c r="K5" s="9">
        <f>SUM(K6:K12)</f>
        <v/>
      </c>
      <c r="L5" s="9">
        <f>SUM(L6:L12)</f>
        <v/>
      </c>
      <c r="M5" s="9">
        <f>SUM(M6:M12)</f>
        <v/>
      </c>
      <c r="N5" s="9">
        <f>SUM(N6:N12)</f>
        <v/>
      </c>
      <c r="O5" s="9">
        <f>SUM(O6:O12)</f>
        <v/>
      </c>
      <c r="P5" s="10" t="n"/>
    </row>
    <row r="6" ht="12.9" customHeight="1">
      <c r="A6" s="105" t="inlineStr">
        <is>
          <t>5105</t>
        </is>
      </c>
      <c r="B6" s="81" t="inlineStr">
        <is>
          <t>Salarios</t>
        </is>
      </c>
      <c r="C6" s="12">
        <f>'[2]Hoja 1'!$I$9-921014+'[3]Hoja 1'!$I$9+'[4]Hoja 1'!$D$8</f>
        <v/>
      </c>
      <c r="D6" s="12" t="n">
        <v>228560891</v>
      </c>
      <c r="E6" s="12" t="n">
        <v>265834667</v>
      </c>
      <c r="F6" s="12" t="n">
        <v>241842440</v>
      </c>
      <c r="G6" s="12" t="n">
        <v>241942435</v>
      </c>
      <c r="H6" s="12" t="n"/>
      <c r="I6" s="12" t="n"/>
      <c r="J6" s="12" t="n"/>
      <c r="K6" s="12" t="n"/>
      <c r="L6" s="12" t="n"/>
      <c r="M6" s="12" t="n"/>
      <c r="N6" s="12" t="n"/>
      <c r="O6" s="13">
        <f>+SUM(C6:N6)</f>
        <v/>
      </c>
      <c r="P6" s="14" t="n"/>
    </row>
    <row r="7" ht="12.9" customFormat="1" customHeight="1" s="69">
      <c r="A7" s="105" t="inlineStr">
        <is>
          <t>10501</t>
        </is>
      </c>
      <c r="B7" s="82" t="inlineStr">
        <is>
          <t>Personal Decreto 1860/21</t>
        </is>
      </c>
      <c r="C7" s="15">
        <f>'[2]Hoja 1'!$I$12</f>
        <v/>
      </c>
      <c r="D7" s="15" t="n">
        <v>19090050</v>
      </c>
      <c r="E7" s="15" t="n">
        <v>19090050</v>
      </c>
      <c r="F7" s="15" t="n">
        <v>19090050</v>
      </c>
      <c r="G7" s="74" t="n">
        <v>19090050</v>
      </c>
      <c r="H7" s="74" t="n"/>
      <c r="I7" s="74" t="n"/>
      <c r="J7" s="74" t="n"/>
      <c r="K7" s="74" t="n"/>
      <c r="L7" s="74" t="n"/>
      <c r="M7" s="74" t="n"/>
      <c r="N7" s="74" t="n"/>
      <c r="O7" s="68">
        <f>+SUM(C7:N7)</f>
        <v/>
      </c>
      <c r="P7" s="65" t="n"/>
    </row>
    <row r="8" ht="12.9" customHeight="1">
      <c r="A8" s="105" t="inlineStr">
        <is>
          <t>51055101</t>
        </is>
      </c>
      <c r="B8" s="82" t="inlineStr">
        <is>
          <t>Dotacion y Suministro</t>
        </is>
      </c>
      <c r="C8" s="15">
        <f>'[5]Hoja 1'!$C$54-225638</f>
        <v/>
      </c>
      <c r="D8" s="15" t="n">
        <v>6758341</v>
      </c>
      <c r="E8" s="15" t="n">
        <v>6758341</v>
      </c>
      <c r="F8" s="15" t="n">
        <v>6758341</v>
      </c>
      <c r="G8" s="15" t="n">
        <v>6758341</v>
      </c>
      <c r="H8" s="17" t="n"/>
      <c r="I8" s="15" t="n"/>
      <c r="J8" s="15" t="n"/>
      <c r="K8" s="15" t="n"/>
      <c r="L8" s="15" t="n"/>
      <c r="M8" s="15" t="n"/>
      <c r="N8" s="15" t="n"/>
      <c r="O8" s="16">
        <f>+SUM(C8:N8)</f>
        <v/>
      </c>
      <c r="P8" s="14" t="n"/>
    </row>
    <row r="9" ht="12.9" customHeight="1">
      <c r="A9" s="106" t="n"/>
      <c r="B9" s="82" t="inlineStr">
        <is>
          <t>Bonificaciones</t>
        </is>
      </c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6">
        <f>+SUM(C9:N9)</f>
        <v/>
      </c>
      <c r="P9" s="14" t="n"/>
    </row>
    <row r="10" ht="12.9" customHeight="1">
      <c r="A10" s="106" t="inlineStr">
        <is>
          <t>51056301</t>
        </is>
      </c>
      <c r="B10" s="82" t="inlineStr">
        <is>
          <t>Capacitacion</t>
        </is>
      </c>
      <c r="C10" s="15">
        <f>'[5]Hoja 1'!$C$56</f>
        <v/>
      </c>
      <c r="D10" s="15" t="n">
        <v>10288035</v>
      </c>
      <c r="E10" s="15" t="n">
        <v>10288035</v>
      </c>
      <c r="F10" s="15" t="n">
        <v>10288035</v>
      </c>
      <c r="G10" s="15" t="n">
        <v>10288035</v>
      </c>
      <c r="H10" s="15" t="n"/>
      <c r="I10" s="15" t="n"/>
      <c r="J10" s="15" t="n"/>
      <c r="K10" s="15" t="n"/>
      <c r="L10" s="15" t="n"/>
      <c r="M10" s="17" t="n"/>
      <c r="N10" s="15" t="n"/>
      <c r="O10" s="16">
        <f>+SUM(C10:N10)</f>
        <v/>
      </c>
      <c r="P10" s="14" t="n"/>
    </row>
    <row r="11" ht="12.9" customHeight="1">
      <c r="A11" s="106" t="inlineStr">
        <is>
          <t>51058401</t>
        </is>
      </c>
      <c r="B11" s="82" t="inlineStr">
        <is>
          <t>Gastos Medicos</t>
        </is>
      </c>
      <c r="C11" s="15">
        <f>'[5]Hoja 1'!$C$70</f>
        <v/>
      </c>
      <c r="D11" s="15" t="n">
        <v>1826000</v>
      </c>
      <c r="E11" s="15" t="n">
        <v>1826000</v>
      </c>
      <c r="F11" s="15" t="n">
        <v>1826000</v>
      </c>
      <c r="G11" s="15" t="n">
        <v>1826000</v>
      </c>
      <c r="H11" s="15" t="n"/>
      <c r="I11" s="15" t="n"/>
      <c r="J11" s="15" t="n"/>
      <c r="K11" s="15" t="n"/>
      <c r="L11" s="15" t="n"/>
      <c r="M11" s="15" t="n"/>
      <c r="N11" s="15" t="n"/>
      <c r="O11" s="16">
        <f>+SUM(C11:N11)</f>
        <v/>
      </c>
      <c r="P11" s="14" t="n"/>
    </row>
    <row r="12" ht="12.9" customHeight="1">
      <c r="A12" s="106" t="inlineStr">
        <is>
          <t>53954002</t>
        </is>
      </c>
      <c r="B12" s="82" t="inlineStr">
        <is>
          <t>Incapacidades</t>
        </is>
      </c>
      <c r="C12" s="18" t="n"/>
      <c r="D12" s="18" t="n">
        <v>1634178</v>
      </c>
      <c r="E12" s="18" t="n">
        <v>1634178</v>
      </c>
      <c r="F12" s="18" t="n">
        <v>1634178</v>
      </c>
      <c r="G12" s="18" t="n">
        <v>1634178</v>
      </c>
      <c r="H12" s="18" t="n"/>
      <c r="I12" s="18" t="n"/>
      <c r="J12" s="18" t="n"/>
      <c r="K12" s="18" t="n"/>
      <c r="L12" s="18" t="n"/>
      <c r="M12" s="18" t="n"/>
      <c r="N12" s="18" t="n"/>
      <c r="O12" s="16">
        <f>+SUM(C12:N12)</f>
        <v/>
      </c>
      <c r="P12" s="14" t="n"/>
    </row>
    <row r="13" ht="15" customFormat="1" customHeight="1" s="11">
      <c r="A13" s="107" t="n"/>
      <c r="B13" s="83" t="inlineStr">
        <is>
          <t>HONORARIOS</t>
        </is>
      </c>
      <c r="C13" s="9">
        <f>SUM(C14:C18)</f>
        <v/>
      </c>
      <c r="D13" s="9">
        <f>SUM(D14:D18)</f>
        <v/>
      </c>
      <c r="E13" s="9">
        <f>SUM(E14:E18)</f>
        <v/>
      </c>
      <c r="F13" s="9">
        <f>SUM(F14:F18)</f>
        <v/>
      </c>
      <c r="G13" s="9">
        <f>SUM(G14:G18)</f>
        <v/>
      </c>
      <c r="H13" s="9">
        <f>SUM(H14:H18)</f>
        <v/>
      </c>
      <c r="I13" s="9">
        <f>SUM(I14:I18)</f>
        <v/>
      </c>
      <c r="J13" s="9">
        <f>SUM(J14:J18)</f>
        <v/>
      </c>
      <c r="K13" s="9">
        <f>SUM(K14:K18)</f>
        <v/>
      </c>
      <c r="L13" s="9">
        <f>SUM(L14:L18)</f>
        <v/>
      </c>
      <c r="M13" s="9">
        <f>SUM(M14:M18)</f>
        <v/>
      </c>
      <c r="N13" s="9">
        <f>SUM(N14:N18)</f>
        <v/>
      </c>
      <c r="O13" s="9">
        <f>SUM(O14:O18)</f>
        <v/>
      </c>
      <c r="P13" s="19" t="n"/>
    </row>
    <row r="14" ht="12.9" customFormat="1" customHeight="1" s="11">
      <c r="A14" s="106" t="inlineStr">
        <is>
          <t>51101001</t>
        </is>
      </c>
      <c r="B14" s="82" t="inlineStr">
        <is>
          <t>Revisoria Fiscal</t>
        </is>
      </c>
      <c r="C14" s="20">
        <f>'[5]Hoja 1'!$C$73</f>
        <v/>
      </c>
      <c r="D14" s="20" t="n">
        <v>2896000</v>
      </c>
      <c r="E14" s="20" t="n">
        <v>2896000</v>
      </c>
      <c r="F14" s="20" t="n">
        <v>2896000</v>
      </c>
      <c r="G14" s="20" t="n">
        <v>2896000</v>
      </c>
      <c r="H14" s="20" t="n"/>
      <c r="I14" s="20" t="n"/>
      <c r="J14" s="20" t="n"/>
      <c r="K14" s="20" t="n"/>
      <c r="L14" s="20" t="n"/>
      <c r="M14" s="20" t="n"/>
      <c r="N14" s="20" t="n"/>
      <c r="O14" s="13">
        <f>+SUM(C14:N14)</f>
        <v/>
      </c>
      <c r="P14" s="14" t="n"/>
    </row>
    <row r="15" ht="12.9" customFormat="1" customHeight="1" s="11">
      <c r="A15" s="106" t="n"/>
      <c r="B15" s="82" t="inlineStr">
        <is>
          <t>Avaluos</t>
        </is>
      </c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16">
        <f>+SUM(C15:N15)</f>
        <v/>
      </c>
      <c r="P15" s="14" t="n"/>
    </row>
    <row r="16" ht="12.9" customHeight="1">
      <c r="A16" s="106" t="inlineStr">
        <is>
          <t>51102001</t>
        </is>
      </c>
      <c r="B16" s="82" t="inlineStr">
        <is>
          <t>Asesoria Juridica</t>
        </is>
      </c>
      <c r="C16" s="21">
        <f>'[5]Hoja 1'!$C$75+'[6]Hoja 1'!$G$13</f>
        <v/>
      </c>
      <c r="D16" s="21" t="n">
        <v>6485768</v>
      </c>
      <c r="E16" s="21" t="n">
        <v>6485768</v>
      </c>
      <c r="F16" s="21" t="n">
        <v>6485768</v>
      </c>
      <c r="G16" s="21" t="n">
        <v>6485768</v>
      </c>
      <c r="H16" s="21" t="n"/>
      <c r="I16" s="21" t="n"/>
      <c r="J16" s="21" t="n"/>
      <c r="K16" s="21" t="n"/>
      <c r="L16" s="21" t="n"/>
      <c r="M16" s="21" t="n"/>
      <c r="N16" s="21" t="n"/>
      <c r="O16" s="16">
        <f>+SUM(C16:N16)</f>
        <v/>
      </c>
      <c r="P16" s="14" t="n"/>
    </row>
    <row r="17" ht="12.9" customHeight="1">
      <c r="A17" s="106" t="inlineStr">
        <is>
          <t>51103001</t>
        </is>
      </c>
      <c r="B17" s="82" t="inlineStr">
        <is>
          <t>Asesoria Financiera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16">
        <f>+SUM(C17:N17)</f>
        <v/>
      </c>
      <c r="P17" s="14" t="n"/>
    </row>
    <row r="18" ht="12.9" customHeight="1">
      <c r="A18" s="106" t="inlineStr">
        <is>
          <t>51103508</t>
        </is>
      </c>
      <c r="B18" s="82" t="inlineStr">
        <is>
          <t>Asesoría Técnica</t>
        </is>
      </c>
      <c r="C18" s="21">
        <f>'[5]Hoja 1'!$C$77</f>
        <v/>
      </c>
      <c r="D18" s="21" t="n">
        <v>10377680</v>
      </c>
      <c r="E18" s="21" t="n">
        <v>10377680</v>
      </c>
      <c r="F18" s="21" t="n">
        <v>10377680</v>
      </c>
      <c r="G18" s="21" t="n">
        <v>10377680</v>
      </c>
      <c r="H18" s="21" t="n"/>
      <c r="I18" s="21" t="n"/>
      <c r="J18" s="21" t="n"/>
      <c r="K18" s="21" t="n"/>
      <c r="L18" s="21" t="n"/>
      <c r="M18" s="21" t="n"/>
      <c r="N18" s="21" t="n"/>
      <c r="O18" s="22">
        <f>+SUM(C18:N18)</f>
        <v/>
      </c>
      <c r="P18" s="14" t="n"/>
    </row>
    <row r="19" ht="15" customFormat="1" customHeight="1" s="11">
      <c r="A19" s="107" t="n"/>
      <c r="B19" s="83" t="inlineStr">
        <is>
          <t>IMPUESTOS</t>
        </is>
      </c>
      <c r="C19" s="9">
        <f>SUM(C20:C21)</f>
        <v/>
      </c>
      <c r="D19" s="9">
        <f>SUM(D20:D21)</f>
        <v/>
      </c>
      <c r="E19" s="9">
        <f>SUM(E20:E21)</f>
        <v/>
      </c>
      <c r="F19" s="9">
        <f>SUM(F20:F21)</f>
        <v/>
      </c>
      <c r="G19" s="9">
        <f>SUM(G20:G21)</f>
        <v/>
      </c>
      <c r="H19" s="9">
        <f>SUM(H20:H21)</f>
        <v/>
      </c>
      <c r="I19" s="9">
        <f>SUM(I20:I21)</f>
        <v/>
      </c>
      <c r="J19" s="9">
        <f>SUM(J20:J21)</f>
        <v/>
      </c>
      <c r="K19" s="9">
        <f>SUM(K20:K21)</f>
        <v/>
      </c>
      <c r="L19" s="9">
        <f>SUM(L20:L21)</f>
        <v/>
      </c>
      <c r="M19" s="9">
        <f>SUM(M20:M21)</f>
        <v/>
      </c>
      <c r="N19" s="9">
        <f>SUM(N20:N21)</f>
        <v/>
      </c>
      <c r="O19" s="23">
        <f>SUM(O20:O21)</f>
        <v/>
      </c>
      <c r="P19" s="14" t="n"/>
    </row>
    <row r="20" ht="12.9" customHeight="1">
      <c r="A20" s="112" t="n"/>
      <c r="B20" s="113" t="inlineStr">
        <is>
          <t>Predial</t>
        </is>
      </c>
      <c r="C20" s="84" t="n"/>
      <c r="D20" s="85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>
        <f>+SUM(C20:N20)</f>
        <v/>
      </c>
      <c r="P20" s="14" t="n"/>
    </row>
    <row r="21" ht="12.9" customHeight="1">
      <c r="A21" s="112" t="n"/>
      <c r="B21" s="114" t="inlineStr">
        <is>
          <t>Impuestos vehiculos</t>
        </is>
      </c>
      <c r="C21" s="25" t="n">
        <v>2676712</v>
      </c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>
        <f>+SUM(C21:N21)</f>
        <v/>
      </c>
      <c r="P21" s="14" t="n"/>
    </row>
    <row r="22" ht="15" customFormat="1" customHeight="1" s="11">
      <c r="A22" s="107" t="n"/>
      <c r="B22" s="87" t="inlineStr">
        <is>
          <t>ARRENDAMIENTOS</t>
        </is>
      </c>
      <c r="C22" s="9">
        <f>SUM(C23:C27)</f>
        <v/>
      </c>
      <c r="D22" s="9">
        <f>SUM(D23:D27)</f>
        <v/>
      </c>
      <c r="E22" s="9">
        <f>SUM(E23:E27)</f>
        <v/>
      </c>
      <c r="F22" s="9">
        <f>SUM(F23:F27)</f>
        <v/>
      </c>
      <c r="G22" s="9">
        <f>SUM(G23:G27)</f>
        <v/>
      </c>
      <c r="H22" s="9">
        <f>SUM(H23:H27)</f>
        <v/>
      </c>
      <c r="I22" s="9">
        <f>SUM(I23:I27)</f>
        <v/>
      </c>
      <c r="J22" s="9">
        <f>SUM(J23:J27)</f>
        <v/>
      </c>
      <c r="K22" s="9">
        <f>SUM(K23:K27)</f>
        <v/>
      </c>
      <c r="L22" s="9">
        <f>SUM(L23:L27)</f>
        <v/>
      </c>
      <c r="M22" s="9">
        <f>SUM(M23:M27)</f>
        <v/>
      </c>
      <c r="N22" s="9">
        <f>SUM(N23:N27)</f>
        <v/>
      </c>
      <c r="O22" s="23">
        <f>SUM(O23:O27)</f>
        <v/>
      </c>
      <c r="P22" s="19" t="n"/>
    </row>
    <row r="23" ht="12.9" customFormat="1" customHeight="1" s="66">
      <c r="A23" s="106" t="inlineStr">
        <is>
          <t>51201001 - 51355001</t>
        </is>
      </c>
      <c r="B23" s="82" t="inlineStr">
        <is>
          <t>Construcciones y Edificaciones</t>
        </is>
      </c>
      <c r="C23" s="20">
        <f>'[5]Hoja 1'!$C$85+'[6]Hoja 1'!$G$15+'[6]Hoja 1'!$G$17</f>
        <v/>
      </c>
      <c r="D23" s="20" t="n">
        <v>104603852</v>
      </c>
      <c r="E23" s="20" t="n">
        <v>104603852</v>
      </c>
      <c r="F23" s="20" t="n">
        <v>104603852</v>
      </c>
      <c r="G23" s="63" t="n">
        <v>104603852</v>
      </c>
      <c r="H23" s="63" t="n"/>
      <c r="I23" s="63" t="n"/>
      <c r="J23" s="63" t="n"/>
      <c r="K23" s="63" t="n"/>
      <c r="L23" s="63" t="n"/>
      <c r="M23" s="63" t="n"/>
      <c r="N23" s="63" t="n"/>
      <c r="O23" s="64">
        <f>+SUM(C23:N23)</f>
        <v/>
      </c>
      <c r="P23" s="65" t="n"/>
    </row>
    <row r="24" ht="12.9" customHeight="1">
      <c r="A24" s="106" t="inlineStr">
        <is>
          <t>51201501 - 73201501</t>
        </is>
      </c>
      <c r="B24" s="82" t="inlineStr">
        <is>
          <t>Maquinaria y Equipo</t>
        </is>
      </c>
      <c r="C24" s="21">
        <f>'[5]Hoja 1'!$C$87</f>
        <v/>
      </c>
      <c r="D24" s="21" t="n">
        <v>10606021</v>
      </c>
      <c r="E24" s="21" t="n">
        <v>10606021</v>
      </c>
      <c r="F24" s="21" t="n">
        <v>10606021</v>
      </c>
      <c r="G24" s="21" t="n">
        <v>10606021</v>
      </c>
      <c r="H24" s="21" t="n"/>
      <c r="I24" s="21" t="n"/>
      <c r="J24" s="21" t="n"/>
      <c r="K24" s="21" t="n"/>
      <c r="L24" s="21" t="n"/>
      <c r="M24" s="21" t="n"/>
      <c r="N24" s="17" t="n"/>
      <c r="O24" s="16">
        <f>+SUM(C24:N24)</f>
        <v/>
      </c>
      <c r="P24" s="14" t="n"/>
    </row>
    <row r="25" ht="12.9" customHeight="1">
      <c r="A25" s="106" t="inlineStr">
        <is>
          <t>51202001</t>
        </is>
      </c>
      <c r="B25" s="82" t="inlineStr">
        <is>
          <t>Equipo de Oficina</t>
        </is>
      </c>
      <c r="C25" s="21">
        <f>'[5]Hoja 1'!$C$89</f>
        <v/>
      </c>
      <c r="D25" s="21" t="n">
        <v>3236110</v>
      </c>
      <c r="E25" s="21" t="n">
        <v>3236110</v>
      </c>
      <c r="F25" s="21" t="n">
        <v>3236110</v>
      </c>
      <c r="G25" s="21" t="n">
        <v>3236110</v>
      </c>
      <c r="H25" s="21" t="n"/>
      <c r="I25" s="21" t="n"/>
      <c r="J25" s="21" t="n"/>
      <c r="K25" s="21" t="n"/>
      <c r="L25" s="21" t="n"/>
      <c r="M25" s="21" t="n"/>
      <c r="N25" s="21" t="n"/>
      <c r="O25" s="16">
        <f>+SUM(C25:N25)</f>
        <v/>
      </c>
      <c r="P25" s="26" t="n"/>
    </row>
    <row r="26" ht="12.9" customFormat="1" customHeight="1" s="69">
      <c r="A26" s="106" t="inlineStr">
        <is>
          <t>512025</t>
        </is>
      </c>
      <c r="B26" s="82" t="inlineStr">
        <is>
          <t>Equipo de Computacion y comunicaciones</t>
        </is>
      </c>
      <c r="C26" s="21" t="n"/>
      <c r="D26" s="21" t="n">
        <v>8139600</v>
      </c>
      <c r="E26" s="21" t="n">
        <v>8139600</v>
      </c>
      <c r="F26" s="21" t="n">
        <v>8139600</v>
      </c>
      <c r="G26" s="67" t="n">
        <v>8139600</v>
      </c>
      <c r="H26" s="67" t="n"/>
      <c r="I26" s="67" t="n"/>
      <c r="J26" s="67" t="n"/>
      <c r="K26" s="67" t="n"/>
      <c r="L26" s="67" t="n"/>
      <c r="M26" s="67" t="n"/>
      <c r="N26" s="67" t="n"/>
      <c r="O26" s="68">
        <f>+SUM(C26:N26)</f>
        <v/>
      </c>
      <c r="P26" s="65" t="n"/>
    </row>
    <row r="27" ht="12.9" customHeight="1">
      <c r="A27" s="106" t="n"/>
      <c r="B27" s="82" t="inlineStr">
        <is>
          <t>Flota y Equipo de Transporte</t>
        </is>
      </c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7">
        <f>+SUM(C27:N27)</f>
        <v/>
      </c>
      <c r="P27" s="14" t="n"/>
    </row>
    <row r="28" ht="15" customFormat="1" customHeight="1" s="11">
      <c r="A28" s="107" t="n"/>
      <c r="B28" s="87" t="inlineStr">
        <is>
          <t>SEGUROS</t>
        </is>
      </c>
      <c r="C28" s="9">
        <f>SUM(C29:C31)</f>
        <v/>
      </c>
      <c r="D28" s="9">
        <f>SUM(D29:D31)</f>
        <v/>
      </c>
      <c r="E28" s="9">
        <f>SUM(E29:E31)</f>
        <v/>
      </c>
      <c r="F28" s="9">
        <f>SUM(F29:F31)</f>
        <v/>
      </c>
      <c r="G28" s="9">
        <f>SUM(G29:G31)</f>
        <v/>
      </c>
      <c r="H28" s="9">
        <f>SUM(H29:H31)</f>
        <v/>
      </c>
      <c r="I28" s="9">
        <f>SUM(I29:I31)</f>
        <v/>
      </c>
      <c r="J28" s="9">
        <f>SUM(J29:J31)</f>
        <v/>
      </c>
      <c r="K28" s="9">
        <f>SUM(K29:K31)</f>
        <v/>
      </c>
      <c r="L28" s="9">
        <f>SUM(L29:L31)</f>
        <v/>
      </c>
      <c r="M28" s="9">
        <f>SUM(M29:M31)</f>
        <v/>
      </c>
      <c r="N28" s="9">
        <f>SUM(N29:N31)</f>
        <v/>
      </c>
      <c r="O28" s="23">
        <f>SUM(O29:O31)</f>
        <v/>
      </c>
      <c r="P28" s="14" t="n"/>
    </row>
    <row r="29" ht="12.9" customHeight="1">
      <c r="A29" s="106" t="n"/>
      <c r="B29" s="88" t="inlineStr">
        <is>
          <t>Cumplimiento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8">
        <f>+SUM(C29:N29)</f>
        <v/>
      </c>
      <c r="P29" s="14" t="n"/>
    </row>
    <row r="30" ht="12.9" customHeight="1">
      <c r="A30" s="106" t="n"/>
      <c r="B30" s="82" t="inlineStr">
        <is>
          <t>Responsabilidad Civil y Extracontractual</t>
        </is>
      </c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9">
        <f>+SUM(C30:N30)</f>
        <v/>
      </c>
      <c r="P30" s="14" t="n"/>
    </row>
    <row r="31" ht="12.9" customFormat="1" customHeight="1" s="69">
      <c r="A31" s="106" t="inlineStr">
        <is>
          <t>513095</t>
        </is>
      </c>
      <c r="B31" s="89" t="inlineStr">
        <is>
          <t>OTROS - Funerarios</t>
        </is>
      </c>
      <c r="C31" s="25" t="n"/>
      <c r="D31" s="25" t="n">
        <v>8584300</v>
      </c>
      <c r="E31" s="25" t="n">
        <v>8584300</v>
      </c>
      <c r="F31" s="25" t="n">
        <v>8584300</v>
      </c>
      <c r="G31" s="70" t="n">
        <v>8584300</v>
      </c>
      <c r="H31" s="70" t="n"/>
      <c r="I31" s="70" t="n"/>
      <c r="J31" s="70" t="n"/>
      <c r="K31" s="70" t="n"/>
      <c r="L31" s="70" t="n"/>
      <c r="M31" s="70" t="n"/>
      <c r="N31" s="70" t="n"/>
      <c r="O31" s="71">
        <f>+SUM(C31:N31)</f>
        <v/>
      </c>
      <c r="P31" s="65" t="n"/>
    </row>
    <row r="32" ht="15" customFormat="1" customHeight="1" s="11">
      <c r="A32" s="107" t="n"/>
      <c r="B32" s="83" t="inlineStr">
        <is>
          <t>SERVICIOS</t>
        </is>
      </c>
      <c r="C32" s="9">
        <f>SUM(C33:C45)</f>
        <v/>
      </c>
      <c r="D32" s="9">
        <f>SUM(D33:D45)</f>
        <v/>
      </c>
      <c r="E32" s="9">
        <f>SUM(E33:E45)</f>
        <v/>
      </c>
      <c r="F32" s="9">
        <f>SUM(F33:F45)</f>
        <v/>
      </c>
      <c r="G32" s="9">
        <f>SUM(G33:G45)</f>
        <v/>
      </c>
      <c r="H32" s="9">
        <f>SUM(H33:H45)</f>
        <v/>
      </c>
      <c r="I32" s="9">
        <f>SUM(I33:I45)</f>
        <v/>
      </c>
      <c r="J32" s="9">
        <f>SUM(J33:J45)</f>
        <v/>
      </c>
      <c r="K32" s="9">
        <f>SUM(K33:K45)</f>
        <v/>
      </c>
      <c r="L32" s="9">
        <f>SUM(L33:L45)</f>
        <v/>
      </c>
      <c r="M32" s="9">
        <f>SUM(M33:M45)</f>
        <v/>
      </c>
      <c r="N32" s="9">
        <f>SUM(N33:N45)</f>
        <v/>
      </c>
      <c r="O32" s="23">
        <f>SUM(O33:O45)</f>
        <v/>
      </c>
      <c r="P32" s="14" t="n"/>
    </row>
    <row r="33" ht="12.9" customFormat="1" customHeight="1" s="66">
      <c r="A33" s="112" t="n"/>
      <c r="B33" s="115" t="inlineStr">
        <is>
          <t>Aseo y Vigilancia</t>
        </is>
      </c>
      <c r="C33" s="20">
        <f>'[6]Hoja 1'!$G$22</f>
        <v/>
      </c>
      <c r="D33" s="20">
        <f>'[7]Hoja 1'!$G$23</f>
        <v/>
      </c>
      <c r="E33" s="20" t="n"/>
      <c r="F33" s="20" t="n"/>
      <c r="G33" s="63" t="inlineStr">
        <is>
          <t>?????????</t>
        </is>
      </c>
      <c r="H33" s="63" t="n"/>
      <c r="I33" s="63" t="n"/>
      <c r="J33" s="63" t="n"/>
      <c r="K33" s="63" t="n"/>
      <c r="L33" s="63" t="n"/>
      <c r="M33" s="63" t="n"/>
      <c r="N33" s="63" t="n"/>
      <c r="O33" s="64">
        <f>+SUM(C33:N33)</f>
        <v/>
      </c>
      <c r="P33" s="72" t="n"/>
    </row>
    <row r="34" ht="12.9" customFormat="1" customHeight="1" s="31">
      <c r="A34" s="108" t="inlineStr">
        <is>
          <t>51351001 - 51351004</t>
        </is>
      </c>
      <c r="B34" s="82" t="inlineStr">
        <is>
          <t>Temporales</t>
        </is>
      </c>
      <c r="C34" s="21">
        <f>'[5]Hoja 1'!$C$97</f>
        <v/>
      </c>
      <c r="D34" s="21" t="n">
        <v>3807000</v>
      </c>
      <c r="E34" s="21" t="n">
        <v>3807000</v>
      </c>
      <c r="F34" s="21" t="n">
        <v>3807000</v>
      </c>
      <c r="G34" s="21" t="n">
        <v>3807000</v>
      </c>
      <c r="H34" s="21" t="n"/>
      <c r="I34" s="21" t="n"/>
      <c r="J34" s="21" t="n"/>
      <c r="K34" s="21" t="n"/>
      <c r="L34" s="21" t="n"/>
      <c r="M34" s="21" t="n"/>
      <c r="N34" s="21" t="n"/>
      <c r="O34" s="16">
        <f>+SUM(C34:N34)</f>
        <v/>
      </c>
      <c r="P34" s="30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  <c r="AR34" s="11" t="n"/>
      <c r="AS34" s="11" t="n"/>
      <c r="AT34" s="11" t="n"/>
      <c r="AU34" s="11" t="n"/>
      <c r="AV34" s="11" t="n"/>
      <c r="AW34" s="11" t="n"/>
      <c r="AX34" s="11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  <c r="BK34" s="11" t="n"/>
      <c r="BL34" s="11" t="n"/>
      <c r="BM34" s="11" t="n"/>
      <c r="BN34" s="11" t="n"/>
      <c r="BO34" s="11" t="n"/>
      <c r="BP34" s="11" t="n"/>
      <c r="BQ34" s="11" t="n"/>
      <c r="BR34" s="11" t="n"/>
      <c r="BS34" s="11" t="n"/>
      <c r="BT34" s="11" t="n"/>
      <c r="BU34" s="11" t="n"/>
      <c r="BV34" s="11" t="n"/>
      <c r="BW34" s="11" t="n"/>
      <c r="BX34" s="11" t="n"/>
      <c r="BY34" s="11" t="n"/>
      <c r="BZ34" s="11" t="n"/>
      <c r="CA34" s="11" t="n"/>
      <c r="CB34" s="11" t="n"/>
    </row>
    <row r="35" ht="12.9" customFormat="1" customHeight="1" s="31">
      <c r="A35" s="106" t="n"/>
      <c r="B35" s="82" t="inlineStr">
        <is>
          <t>Comunicaciones</t>
        </is>
      </c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32" t="n"/>
      <c r="O35" s="16">
        <f>+SUM(C35:N35)</f>
        <v/>
      </c>
      <c r="P35" s="30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</row>
    <row r="36" ht="12.9" customHeight="1">
      <c r="A36" s="106" t="inlineStr">
        <is>
          <t>51351502</t>
        </is>
      </c>
      <c r="B36" s="82" t="inlineStr">
        <is>
          <t>Laboratorio</t>
        </is>
      </c>
      <c r="C36" s="21" t="n"/>
      <c r="D36" s="21" t="n">
        <v>789106</v>
      </c>
      <c r="E36" s="21" t="n">
        <v>789106</v>
      </c>
      <c r="F36" s="21" t="n">
        <v>789106</v>
      </c>
      <c r="G36" s="21" t="n">
        <v>789106</v>
      </c>
      <c r="H36" s="21" t="n"/>
      <c r="I36" s="21" t="n"/>
      <c r="J36" s="21" t="n"/>
      <c r="K36" s="21" t="n"/>
      <c r="L36" s="21" t="n"/>
      <c r="M36" s="16" t="n"/>
      <c r="N36" s="17" t="n"/>
      <c r="O36" s="16">
        <f>+SUM(C36:N36)</f>
        <v/>
      </c>
      <c r="P36" s="14" t="n"/>
    </row>
    <row r="37" ht="12.9" customHeight="1">
      <c r="A37" s="106" t="inlineStr">
        <is>
          <t>51351503</t>
        </is>
      </c>
      <c r="B37" s="82" t="inlineStr">
        <is>
          <t>Fumigacion</t>
        </is>
      </c>
      <c r="C37" s="21">
        <f>'[5]Hoja 1'!$C$99</f>
        <v/>
      </c>
      <c r="D37" s="21" t="n">
        <v>1261676</v>
      </c>
      <c r="E37" s="21" t="n">
        <v>1261676</v>
      </c>
      <c r="F37" s="21" t="n">
        <v>1261676</v>
      </c>
      <c r="G37" s="21" t="n">
        <v>1261676</v>
      </c>
      <c r="H37" s="21" t="n"/>
      <c r="I37" s="21" t="n"/>
      <c r="J37" s="21" t="n"/>
      <c r="K37" s="21" t="n"/>
      <c r="L37" s="21" t="n"/>
      <c r="M37" s="21" t="n"/>
      <c r="N37" s="17" t="n"/>
      <c r="O37" s="16">
        <f>+SUM(C37:N37)</f>
        <v/>
      </c>
      <c r="P37" s="14" t="n"/>
    </row>
    <row r="38" ht="12.9" customHeight="1">
      <c r="A38" s="106" t="inlineStr">
        <is>
          <t>51352501</t>
        </is>
      </c>
      <c r="B38" s="82" t="inlineStr">
        <is>
          <t>Acueducto y Alcantarillado</t>
        </is>
      </c>
      <c r="C38" s="21">
        <f>'[5]Hoja 1'!$C$101</f>
        <v/>
      </c>
      <c r="D38" s="21" t="n">
        <v>735768</v>
      </c>
      <c r="E38" s="21" t="n">
        <v>735768</v>
      </c>
      <c r="F38" s="21" t="n">
        <v>735768</v>
      </c>
      <c r="G38" s="21" t="n">
        <v>735768</v>
      </c>
      <c r="H38" s="21" t="n"/>
      <c r="I38" s="21" t="n"/>
      <c r="J38" s="21" t="n"/>
      <c r="K38" s="21" t="n"/>
      <c r="L38" s="21" t="n"/>
      <c r="M38" s="21" t="n"/>
      <c r="N38" s="21" t="n"/>
      <c r="O38" s="16">
        <f>+SUM(C38:N38)</f>
        <v/>
      </c>
      <c r="P38" s="14" t="n"/>
    </row>
    <row r="39" ht="12.9" customHeight="1">
      <c r="A39" s="106" t="inlineStr">
        <is>
          <t>51353001</t>
        </is>
      </c>
      <c r="B39" s="82" t="inlineStr">
        <is>
          <t>Energía Electrica</t>
        </is>
      </c>
      <c r="C39" s="21">
        <f>'[5]Hoja 1'!$C$103</f>
        <v/>
      </c>
      <c r="D39" s="21" t="n">
        <v>2472150</v>
      </c>
      <c r="E39" s="21" t="n">
        <v>2472150</v>
      </c>
      <c r="F39" s="21" t="n">
        <v>2472150</v>
      </c>
      <c r="G39" s="21" t="n">
        <v>2472150</v>
      </c>
      <c r="H39" s="21" t="n"/>
      <c r="I39" s="21" t="n"/>
      <c r="J39" s="21" t="n"/>
      <c r="K39" s="21" t="n"/>
      <c r="L39" s="21" t="n"/>
      <c r="M39" s="21" t="n"/>
      <c r="N39" s="21" t="n"/>
      <c r="O39" s="16">
        <f>+SUM(C39:N39)</f>
        <v/>
      </c>
      <c r="P39" s="14" t="n"/>
    </row>
    <row r="40" ht="12.9" customHeight="1">
      <c r="A40" s="106" t="inlineStr">
        <is>
          <t>51353501</t>
        </is>
      </c>
      <c r="B40" s="82" t="inlineStr">
        <is>
          <t>Telefono</t>
        </is>
      </c>
      <c r="C40" s="21">
        <f>'[5]Hoja 1'!C105</f>
        <v/>
      </c>
      <c r="D40" s="21" t="n">
        <v>6615902</v>
      </c>
      <c r="E40" s="21" t="n">
        <v>6615902</v>
      </c>
      <c r="F40" s="21" t="n">
        <v>6615902</v>
      </c>
      <c r="G40" s="21" t="n">
        <v>6615902</v>
      </c>
      <c r="H40" s="21" t="n"/>
      <c r="I40" s="21" t="n"/>
      <c r="J40" s="21" t="n"/>
      <c r="K40" s="21" t="n"/>
      <c r="L40" s="21" t="n"/>
      <c r="M40" s="21" t="n"/>
      <c r="N40" s="21" t="n"/>
      <c r="O40" s="16">
        <f>+SUM(C40:N40)</f>
        <v/>
      </c>
      <c r="P40" s="14" t="n"/>
    </row>
    <row r="41" ht="12.9" customHeight="1">
      <c r="A41" s="106" t="inlineStr">
        <is>
          <t>51353502</t>
        </is>
      </c>
      <c r="B41" s="82" t="inlineStr">
        <is>
          <t>Internet</t>
        </is>
      </c>
      <c r="C41" s="21">
        <f>'[5]Hoja 1'!C106</f>
        <v/>
      </c>
      <c r="D41" s="21" t="n">
        <v>477584</v>
      </c>
      <c r="E41" s="21" t="n">
        <v>477584</v>
      </c>
      <c r="F41" s="21" t="n">
        <v>477584</v>
      </c>
      <c r="G41" s="21" t="n">
        <v>477584</v>
      </c>
      <c r="H41" s="21" t="n"/>
      <c r="I41" s="21" t="n"/>
      <c r="J41" s="21" t="n"/>
      <c r="K41" s="21" t="n"/>
      <c r="L41" s="21" t="n"/>
      <c r="M41" s="21" t="n"/>
      <c r="N41" s="21" t="n"/>
      <c r="O41" s="16">
        <f>+SUM(C41:N41)</f>
        <v/>
      </c>
      <c r="P41" s="14" t="n"/>
    </row>
    <row r="42" ht="12.9" customHeight="1">
      <c r="A42" s="106" t="inlineStr">
        <is>
          <t>51354001</t>
        </is>
      </c>
      <c r="B42" s="82" t="inlineStr">
        <is>
          <t>Correo, Portes, telegramas</t>
        </is>
      </c>
      <c r="C42" s="21">
        <f>'[5]Hoja 1'!$C$108</f>
        <v/>
      </c>
      <c r="D42" s="21" t="n">
        <v>37400</v>
      </c>
      <c r="E42" s="21" t="n">
        <v>37400</v>
      </c>
      <c r="F42" s="21" t="n">
        <v>37400</v>
      </c>
      <c r="G42" s="21" t="n">
        <v>37400</v>
      </c>
      <c r="H42" s="21" t="n"/>
      <c r="I42" s="21" t="n"/>
      <c r="J42" s="21" t="n"/>
      <c r="K42" s="21" t="n"/>
      <c r="L42" s="21" t="n"/>
      <c r="M42" s="21" t="n"/>
      <c r="N42" s="21" t="n"/>
      <c r="O42" s="16">
        <f>+SUM(C42:N42)</f>
        <v/>
      </c>
      <c r="P42" s="14" t="n"/>
    </row>
    <row r="43" ht="12.9" customHeight="1">
      <c r="A43" s="106" t="inlineStr">
        <is>
          <t>51355001</t>
        </is>
      </c>
      <c r="B43" s="82" t="inlineStr">
        <is>
          <t>Transporte, fletes y acarreos</t>
        </is>
      </c>
      <c r="C43" s="21">
        <f>'[6]Hoja 1'!$G$11</f>
        <v/>
      </c>
      <c r="D43" s="21" t="n">
        <v>404040</v>
      </c>
      <c r="E43" s="21" t="n">
        <v>404040</v>
      </c>
      <c r="F43" s="21" t="n">
        <v>404040</v>
      </c>
      <c r="G43" s="21" t="n">
        <v>404040</v>
      </c>
      <c r="H43" s="21" t="n"/>
      <c r="I43" s="21" t="n"/>
      <c r="J43" s="21" t="n"/>
      <c r="K43" s="21" t="n"/>
      <c r="L43" s="21" t="n"/>
      <c r="M43" s="21" t="n"/>
      <c r="N43" s="21" t="n"/>
      <c r="O43" s="16">
        <f>+SUM(C43:N43)</f>
        <v/>
      </c>
      <c r="P43" s="14" t="n"/>
    </row>
    <row r="44" ht="12.9" customHeight="1">
      <c r="A44" s="106" t="n"/>
      <c r="B44" s="82" t="inlineStr">
        <is>
          <t>Gas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16">
        <f>+SUM(C44:N44)</f>
        <v/>
      </c>
      <c r="P44" s="14" t="n"/>
    </row>
    <row r="45" ht="12.9" customHeight="1">
      <c r="A45" s="106" t="inlineStr">
        <is>
          <t>51356501</t>
        </is>
      </c>
      <c r="B45" s="82" t="inlineStr">
        <is>
          <t>Servicio Web-Hosting-Nube- Licencias Siesa y planeacion</t>
        </is>
      </c>
      <c r="C45" s="25">
        <f>'[5]Hoja 1'!$C$112+'[8]Hoja 1'!$C$70+'[9]Hoja 1'!$C$109+'[10]Hoja 1'!$D$133+'[11]Hoja 1'!$C$101</f>
        <v/>
      </c>
      <c r="D45" s="25" t="n">
        <v>8718886</v>
      </c>
      <c r="E45" s="25" t="n">
        <v>8718886</v>
      </c>
      <c r="F45" s="25" t="n">
        <v>8718886</v>
      </c>
      <c r="G45" s="25" t="n">
        <v>8718886</v>
      </c>
      <c r="H45" s="25" t="n"/>
      <c r="I45" s="25" t="n"/>
      <c r="J45" s="25" t="n"/>
      <c r="K45" s="25" t="n"/>
      <c r="L45" s="25" t="n"/>
      <c r="M45" s="25" t="n"/>
      <c r="N45" s="25" t="n"/>
      <c r="O45" s="16">
        <f>+SUM(C45:N45)</f>
        <v/>
      </c>
      <c r="P45" s="14" t="n"/>
    </row>
    <row r="46" ht="15" customFormat="1" customHeight="1" s="11">
      <c r="A46" s="107" t="n"/>
      <c r="B46" s="87" t="inlineStr">
        <is>
          <t>GASTOS LEGALES</t>
        </is>
      </c>
      <c r="C46" s="33">
        <f>SUM(C47:C51)</f>
        <v/>
      </c>
      <c r="D46" s="33">
        <f>SUM(D47:D51)</f>
        <v/>
      </c>
      <c r="E46" s="33">
        <f>SUM(E47:E51)</f>
        <v/>
      </c>
      <c r="F46" s="33">
        <f>SUM(F47:F51)</f>
        <v/>
      </c>
      <c r="G46" s="33">
        <f>SUM(G47:G51)</f>
        <v/>
      </c>
      <c r="H46" s="33">
        <f>SUM(H47:H51)</f>
        <v/>
      </c>
      <c r="I46" s="33">
        <f>SUM(I47:I51)</f>
        <v/>
      </c>
      <c r="J46" s="33">
        <f>SUM(J47:J51)</f>
        <v/>
      </c>
      <c r="K46" s="33">
        <f>SUM(K47:K51)</f>
        <v/>
      </c>
      <c r="L46" s="33">
        <f>SUM(L47:L51)</f>
        <v/>
      </c>
      <c r="M46" s="33">
        <f>SUM(M47:M51)</f>
        <v/>
      </c>
      <c r="N46" s="33">
        <f>SUM(N47:N51)</f>
        <v/>
      </c>
      <c r="O46" s="33">
        <f>SUM(O47:O51)</f>
        <v/>
      </c>
      <c r="P46" s="14" t="n"/>
    </row>
    <row r="47" ht="12.9" customFormat="1" customHeight="1" s="69">
      <c r="A47" s="112" t="inlineStr">
        <is>
          <t>para febero no puedo seguir por q no hay</t>
        </is>
      </c>
      <c r="B47" s="116" t="inlineStr">
        <is>
          <t>Notariales</t>
        </is>
      </c>
      <c r="C47" s="20">
        <f>'[5]Hoja 1'!$C$115</f>
        <v/>
      </c>
      <c r="D47" s="20" t="n"/>
      <c r="E47" s="20" t="n"/>
      <c r="F47" s="20" t="n"/>
      <c r="G47" s="63" t="n"/>
      <c r="H47" s="63" t="n"/>
      <c r="I47" s="63" t="n"/>
      <c r="J47" s="63" t="n"/>
      <c r="K47" s="63" t="n"/>
      <c r="L47" s="63" t="n"/>
      <c r="M47" s="63" t="n"/>
      <c r="N47" s="63" t="n"/>
      <c r="O47" s="80">
        <f>+SUM(C47:N47)</f>
        <v/>
      </c>
      <c r="P47" s="65" t="n"/>
    </row>
    <row r="48" ht="12.9" customFormat="1" customHeight="1" s="69">
      <c r="A48" s="106" t="inlineStr">
        <is>
          <t>51401001</t>
        </is>
      </c>
      <c r="B48" s="90" t="inlineStr">
        <is>
          <t>Registro Mercantil y proponentes</t>
        </is>
      </c>
      <c r="C48" s="21" t="n"/>
      <c r="D48" s="21" t="n">
        <v>7663600</v>
      </c>
      <c r="E48" s="21" t="n">
        <v>7663600</v>
      </c>
      <c r="F48" s="21" t="n">
        <v>7663600</v>
      </c>
      <c r="G48" s="67" t="n">
        <v>7663600</v>
      </c>
      <c r="H48" s="67" t="n"/>
      <c r="I48" s="67" t="n"/>
      <c r="J48" s="67" t="n"/>
      <c r="K48" s="67" t="n"/>
      <c r="L48" s="67" t="n"/>
      <c r="M48" s="67" t="n"/>
      <c r="N48" s="67" t="n"/>
      <c r="O48" s="67">
        <f>+SUM(C48:N48)</f>
        <v/>
      </c>
      <c r="P48" s="65" t="n"/>
    </row>
    <row r="49" ht="12.9" customFormat="1" customHeight="1" s="69">
      <c r="A49" s="112" t="inlineStr">
        <is>
          <t>para febero no puedo seguir por q no hay</t>
        </is>
      </c>
      <c r="B49" s="117" t="inlineStr">
        <is>
          <t>Tramites y Licencias</t>
        </is>
      </c>
      <c r="C49" s="21">
        <f>'[5]Hoja 1'!$C$117</f>
        <v/>
      </c>
      <c r="D49" s="21" t="n"/>
      <c r="E49" s="21" t="n"/>
      <c r="F49" s="21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>
        <f>+SUM(C49:N49)</f>
        <v/>
      </c>
      <c r="P49" s="65" t="n"/>
    </row>
    <row r="50" ht="12.9" customHeight="1">
      <c r="A50" s="106" t="n"/>
      <c r="B50" s="82" t="inlineStr">
        <is>
          <t>Servicio de Registro BMC</t>
        </is>
      </c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21">
        <f>+SUM(C50:N50)</f>
        <v/>
      </c>
      <c r="P50" s="14" t="n"/>
    </row>
    <row r="51" ht="12.9" customHeight="1">
      <c r="A51" s="106" t="inlineStr">
        <is>
          <t>514095</t>
        </is>
      </c>
      <c r="B51" s="86" t="inlineStr">
        <is>
          <t>Certificados Camara Comercio , proponentes y tradicion, JCC</t>
        </is>
      </c>
      <c r="C51" s="35">
        <f>'[5]Hoja 1'!$C$118</f>
        <v/>
      </c>
      <c r="D51" s="35" t="n">
        <v>183400</v>
      </c>
      <c r="E51" s="35" t="n">
        <v>183400</v>
      </c>
      <c r="F51" s="35" t="n">
        <v>183400</v>
      </c>
      <c r="G51" s="35" t="n">
        <v>183400</v>
      </c>
      <c r="H51" s="35" t="n"/>
      <c r="I51" s="35" t="n"/>
      <c r="J51" s="35" t="n"/>
      <c r="K51" s="35" t="n"/>
      <c r="L51" s="35" t="n"/>
      <c r="M51" s="35" t="n"/>
      <c r="N51" s="35" t="n"/>
      <c r="O51" s="36">
        <f>+SUM(C51:N51)</f>
        <v/>
      </c>
      <c r="P51" s="14" t="n"/>
    </row>
    <row r="52" ht="15" customFormat="1" customHeight="1" s="11">
      <c r="A52" s="107" t="n"/>
      <c r="B52" s="83" t="inlineStr">
        <is>
          <t>MANTENIMIENTO Y REPARACIONES</t>
        </is>
      </c>
      <c r="C52" s="9">
        <f>SUM(C53:C58)</f>
        <v/>
      </c>
      <c r="D52" s="9">
        <f>SUM(D53:D58)</f>
        <v/>
      </c>
      <c r="E52" s="9">
        <f>SUM(E53:E58)</f>
        <v/>
      </c>
      <c r="F52" s="9">
        <f>SUM(F53:F58)</f>
        <v/>
      </c>
      <c r="G52" s="9">
        <f>SUM(G53:G58)</f>
        <v/>
      </c>
      <c r="H52" s="9">
        <f>SUM(H53:H58)</f>
        <v/>
      </c>
      <c r="I52" s="9">
        <f>SUM(I53:I58)</f>
        <v/>
      </c>
      <c r="J52" s="9">
        <f>SUM(J53:J58)</f>
        <v/>
      </c>
      <c r="K52" s="9">
        <f>SUM(K53:K58)</f>
        <v/>
      </c>
      <c r="L52" s="9">
        <f>SUM(L53:L58)</f>
        <v/>
      </c>
      <c r="M52" s="9">
        <f>SUM(M53:M58)</f>
        <v/>
      </c>
      <c r="N52" s="9">
        <f>SUM(N53:N58)</f>
        <v/>
      </c>
      <c r="O52" s="9">
        <f>SUM(O53:O58)</f>
        <v/>
      </c>
      <c r="P52" s="14" t="n"/>
    </row>
    <row r="53" ht="12.9" customHeight="1">
      <c r="A53" s="112" t="inlineStr">
        <is>
          <t>51451001</t>
        </is>
      </c>
      <c r="B53" s="115" t="inlineStr">
        <is>
          <t>Construcciones y Edificaciones</t>
        </is>
      </c>
      <c r="C53" s="118">
        <f>'[5]Hoja 1'!$C$123</f>
        <v/>
      </c>
      <c r="D53" s="118" t="n">
        <v>1894710</v>
      </c>
      <c r="E53" s="118" t="n">
        <v>1894710</v>
      </c>
      <c r="F53" s="118" t="n">
        <v>1894710</v>
      </c>
      <c r="G53" s="20" t="n">
        <v>1894710</v>
      </c>
      <c r="H53" s="20" t="n"/>
      <c r="I53" s="20" t="n"/>
      <c r="J53" s="20" t="n"/>
      <c r="K53" s="20" t="n"/>
      <c r="L53" s="20" t="n"/>
      <c r="M53" s="20" t="n"/>
      <c r="N53" s="37" t="n"/>
      <c r="O53" s="21">
        <f>+SUM(C53:N53)</f>
        <v/>
      </c>
      <c r="P53" s="14" t="n"/>
    </row>
    <row r="54" ht="12.9" customFormat="1" customHeight="1" s="69">
      <c r="A54" s="112" t="inlineStr">
        <is>
          <t>51451501</t>
        </is>
      </c>
      <c r="B54" s="115" t="inlineStr">
        <is>
          <t>Maquinaria y Equipo</t>
        </is>
      </c>
      <c r="C54" s="119" t="n"/>
      <c r="D54" s="119">
        <f>'[12]Hoja 1'!$C$128-318000+'[12]Hoja 1'!$C$129</f>
        <v/>
      </c>
      <c r="E54" s="119" t="n"/>
      <c r="F54" s="119" t="n"/>
      <c r="G54" s="67" t="n"/>
      <c r="H54" s="67" t="n"/>
      <c r="I54" s="67" t="n"/>
      <c r="J54" s="67" t="n"/>
      <c r="K54" s="67" t="n"/>
      <c r="L54" s="67" t="n"/>
      <c r="M54" s="67" t="n"/>
      <c r="N54" s="73" t="n"/>
      <c r="O54" s="67">
        <f>+SUM(C54:N54)</f>
        <v/>
      </c>
      <c r="P54" s="65" t="n"/>
    </row>
    <row r="55" ht="12.9" customHeight="1">
      <c r="A55" s="112" t="n"/>
      <c r="B55" s="115" t="inlineStr">
        <is>
          <t>Equipo de Oficina</t>
        </is>
      </c>
      <c r="C55" s="119" t="n"/>
      <c r="D55" s="119" t="n"/>
      <c r="E55" s="119" t="n"/>
      <c r="F55" s="119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>
        <f>+SUM(C55:N55)</f>
        <v/>
      </c>
      <c r="P55" s="14" t="n"/>
    </row>
    <row r="56" ht="12.9" customFormat="1" customHeight="1" s="69">
      <c r="A56" s="112" t="inlineStr">
        <is>
          <t>51451001 - 51451501</t>
        </is>
      </c>
      <c r="B56" s="115" t="inlineStr">
        <is>
          <t>Planta Plan Basico de Saneamiento</t>
        </is>
      </c>
      <c r="C56" s="119">
        <f>'[5]Hoja 1'!$C$158</f>
        <v/>
      </c>
      <c r="D56" s="119" t="n">
        <v>318000</v>
      </c>
      <c r="E56" s="119" t="n"/>
      <c r="F56" s="119" t="n"/>
      <c r="G56" s="67" t="n"/>
      <c r="H56" s="67" t="n"/>
      <c r="I56" s="67" t="n"/>
      <c r="J56" s="67" t="n"/>
      <c r="K56" s="67" t="n"/>
      <c r="L56" s="67" t="n"/>
      <c r="M56" s="67" t="n"/>
      <c r="N56" s="73" t="n"/>
      <c r="O56" s="67">
        <f>+SUM(C56:N56)</f>
        <v/>
      </c>
      <c r="P56" s="65" t="n"/>
    </row>
    <row r="57" ht="12.9" customHeight="1">
      <c r="A57" s="112" t="inlineStr">
        <is>
          <t>51452501</t>
        </is>
      </c>
      <c r="B57" s="115" t="inlineStr">
        <is>
          <t>Equipo de Computacion y Comunic</t>
        </is>
      </c>
      <c r="C57" s="120">
        <f>'[5]Hoja 1'!$C$127</f>
        <v/>
      </c>
      <c r="D57" s="120" t="n"/>
      <c r="E57" s="120" t="n"/>
      <c r="F57" s="120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21">
        <f>+SUM(C57:N57)</f>
        <v/>
      </c>
      <c r="P57" s="38" t="n"/>
    </row>
    <row r="58" ht="12.9" customHeight="1">
      <c r="A58" s="112" t="inlineStr">
        <is>
          <t>51451501</t>
        </is>
      </c>
      <c r="B58" s="115" t="inlineStr">
        <is>
          <t>Plan SST</t>
        </is>
      </c>
      <c r="C58" s="121">
        <f>'[5]Hoja 1'!$C$125</f>
        <v/>
      </c>
      <c r="D58" s="121" t="n">
        <v>2062464</v>
      </c>
      <c r="E58" s="121" t="n">
        <v>2062464</v>
      </c>
      <c r="F58" s="121" t="n">
        <v>2062464</v>
      </c>
      <c r="G58" s="25" t="n">
        <v>2062464</v>
      </c>
      <c r="H58" s="25" t="n"/>
      <c r="I58" s="25" t="n"/>
      <c r="J58" s="25" t="n"/>
      <c r="K58" s="25" t="n"/>
      <c r="L58" s="25" t="n"/>
      <c r="M58" s="25" t="n"/>
      <c r="N58" s="25" t="n"/>
      <c r="O58" s="21">
        <f>+SUM(C58:N58)</f>
        <v/>
      </c>
      <c r="P58" s="14" t="n"/>
    </row>
    <row r="59" ht="15" customHeight="1">
      <c r="A59" s="107" t="n"/>
      <c r="B59" s="83" t="inlineStr">
        <is>
          <t>ADECUACIONES E INSTALACIONES</t>
        </is>
      </c>
      <c r="C59" s="39">
        <f>SUM(C60:C61)</f>
        <v/>
      </c>
      <c r="D59" s="39">
        <f>SUM(D60:D61)</f>
        <v/>
      </c>
      <c r="E59" s="39">
        <f>SUM(E60:E61)</f>
        <v/>
      </c>
      <c r="F59" s="39">
        <f>SUM(F60:F61)</f>
        <v/>
      </c>
      <c r="G59" s="39">
        <f>SUM(G60:G61)</f>
        <v/>
      </c>
      <c r="H59" s="39">
        <f>SUM(H60:H61)</f>
        <v/>
      </c>
      <c r="I59" s="39">
        <f>SUM(I60:I61)</f>
        <v/>
      </c>
      <c r="J59" s="39">
        <f>SUM(J60:J61)</f>
        <v/>
      </c>
      <c r="K59" s="39">
        <f>SUM(K60:K61)</f>
        <v/>
      </c>
      <c r="L59" s="39">
        <f>SUM(L60:L61)</f>
        <v/>
      </c>
      <c r="M59" s="39">
        <f>SUM(M60:M61)</f>
        <v/>
      </c>
      <c r="N59" s="39">
        <f>SUM(N60:N61)</f>
        <v/>
      </c>
      <c r="O59" s="39">
        <f>SUM(O60:O61)</f>
        <v/>
      </c>
      <c r="P59" s="14" t="n"/>
    </row>
    <row r="60" ht="12.9" customFormat="1" customHeight="1" s="40">
      <c r="A60" s="106" t="n"/>
      <c r="B60" s="91" t="inlineStr">
        <is>
          <t>Inversion infraestructura</t>
        </is>
      </c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21">
        <f>+SUM(C60:N60)</f>
        <v/>
      </c>
      <c r="P60" s="30" t="n"/>
      <c r="Q60" s="137" t="n"/>
      <c r="R60" s="137" t="n"/>
      <c r="S60" s="137" t="n"/>
      <c r="T60" s="137" t="n"/>
      <c r="U60" s="137" t="n"/>
      <c r="V60" s="137" t="n"/>
      <c r="W60" s="137" t="n"/>
      <c r="X60" s="137" t="n"/>
      <c r="Y60" s="137" t="n"/>
    </row>
    <row r="61" ht="12.9" customFormat="1" customHeight="1" s="40">
      <c r="A61" s="106" t="n"/>
      <c r="B61" s="89" t="inlineStr">
        <is>
          <t>Reparaciones Locativas</t>
        </is>
      </c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21">
        <f>+SUM(C61:N61)</f>
        <v/>
      </c>
      <c r="P61" s="30" t="n"/>
      <c r="Q61" s="137" t="n"/>
      <c r="R61" s="137" t="n"/>
      <c r="S61" s="137" t="n"/>
      <c r="T61" s="137" t="n"/>
      <c r="U61" s="137" t="n"/>
      <c r="V61" s="137" t="n"/>
      <c r="W61" s="137" t="n"/>
      <c r="X61" s="137" t="n"/>
      <c r="Y61" s="137" t="n"/>
    </row>
    <row r="62" ht="15" customFormat="1" customHeight="1" s="11">
      <c r="A62" s="107" t="n"/>
      <c r="B62" s="87" t="inlineStr">
        <is>
          <t>GASTOS DE VIAJE</t>
        </is>
      </c>
      <c r="C62" s="9">
        <f>SUM(C63:C65)</f>
        <v/>
      </c>
      <c r="D62" s="9">
        <f t="array" ref="D62">+D58+D62:D76+D62:D62:D88</f>
        <v/>
      </c>
      <c r="E62" s="9">
        <f>SUM(E63:E65)</f>
        <v/>
      </c>
      <c r="F62" s="9">
        <f>SUM(F63:F65)</f>
        <v/>
      </c>
      <c r="G62" s="9">
        <f>SUM(G63:G65)</f>
        <v/>
      </c>
      <c r="H62" s="9">
        <f>SUM(H63:H65)</f>
        <v/>
      </c>
      <c r="I62" s="9">
        <f>SUM(I63:I65)</f>
        <v/>
      </c>
      <c r="J62" s="9">
        <f>SUM(J63:J65)</f>
        <v/>
      </c>
      <c r="K62" s="9">
        <f>SUM(K63:K65)</f>
        <v/>
      </c>
      <c r="L62" s="9">
        <f>SUM(L63:L65)</f>
        <v/>
      </c>
      <c r="M62" s="9">
        <f>SUM(M63:M65)</f>
        <v/>
      </c>
      <c r="N62" s="9">
        <f>SUM(N63:N65)</f>
        <v/>
      </c>
      <c r="O62" s="9">
        <f>SUM(O63:O65)</f>
        <v/>
      </c>
      <c r="P62" s="14" t="n"/>
    </row>
    <row r="63" ht="12.9" customFormat="1" customHeight="1" s="127">
      <c r="A63" s="122" t="inlineStr">
        <is>
          <t>51550501</t>
        </is>
      </c>
      <c r="B63" s="123" t="inlineStr">
        <is>
          <t>Alojamiento y Manutencion</t>
        </is>
      </c>
      <c r="C63" s="124" t="inlineStr">
        <is>
          <t>estos tiene codigo pero no valores para enero y febrero</t>
        </is>
      </c>
      <c r="D63" s="124" t="n"/>
      <c r="E63" s="124" t="n"/>
      <c r="F63" s="124" t="n"/>
      <c r="G63" s="124" t="n"/>
      <c r="H63" s="124" t="n"/>
      <c r="I63" s="124" t="n"/>
      <c r="J63" s="124" t="n"/>
      <c r="K63" s="124" t="n"/>
      <c r="L63" s="124" t="n"/>
      <c r="M63" s="124" t="n"/>
      <c r="N63" s="124" t="n"/>
      <c r="O63" s="125">
        <f>+SUM(C63:N63)</f>
        <v/>
      </c>
      <c r="P63" s="126" t="n"/>
    </row>
    <row r="64" ht="12.9" customFormat="1" customHeight="1" s="127">
      <c r="A64" s="122" t="inlineStr">
        <is>
          <t>51551501</t>
        </is>
      </c>
      <c r="B64" s="128" t="inlineStr">
        <is>
          <t>Pasajes Aereos</t>
        </is>
      </c>
      <c r="C64" s="124" t="inlineStr">
        <is>
          <t>estos tiene codigo pero no valores para enero y febrero</t>
        </is>
      </c>
      <c r="D64" s="129" t="n"/>
      <c r="E64" s="130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31">
        <f>+SUM(C64:N64)</f>
        <v/>
      </c>
      <c r="P64" s="126" t="n"/>
    </row>
    <row r="65" ht="12.9" customHeight="1">
      <c r="A65" s="106" t="n"/>
      <c r="B65" s="89" t="inlineStr">
        <is>
          <t>Pasajes Terrestres</t>
        </is>
      </c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2" t="n"/>
      <c r="N65" s="22" t="n"/>
      <c r="O65" s="22">
        <f>+SUM(C65:N65)</f>
        <v/>
      </c>
      <c r="P65" s="14" t="n"/>
    </row>
    <row r="66" ht="15" customFormat="1" customHeight="1" s="11">
      <c r="A66" s="107" t="n"/>
      <c r="B66" s="87" t="inlineStr">
        <is>
          <t>DIVERSOS</t>
        </is>
      </c>
      <c r="C66" s="9">
        <f>SUM(C67:C88)</f>
        <v/>
      </c>
      <c r="D66" s="9">
        <f>SUM(D67:D88)</f>
        <v/>
      </c>
      <c r="E66" s="9">
        <f>SUM(E67:E88)</f>
        <v/>
      </c>
      <c r="F66" s="9">
        <f>SUM(F67:F88)</f>
        <v/>
      </c>
      <c r="G66" s="9">
        <f>SUM(G67:G88)</f>
        <v/>
      </c>
      <c r="H66" s="9">
        <f>SUM(H67:H88)</f>
        <v/>
      </c>
      <c r="I66" s="9">
        <f>SUM(I67:I88)</f>
        <v/>
      </c>
      <c r="J66" s="9">
        <f>SUM(J67:J88)</f>
        <v/>
      </c>
      <c r="K66" s="9">
        <f>SUM(K67:K88)</f>
        <v/>
      </c>
      <c r="L66" s="9">
        <f>SUM(L67:L88)</f>
        <v/>
      </c>
      <c r="M66" s="9">
        <f>SUM(M67:M88)</f>
        <v/>
      </c>
      <c r="N66" s="9">
        <f>SUM(N67:N88)</f>
        <v/>
      </c>
      <c r="O66" s="9">
        <f>SUM(O67:O88)</f>
        <v/>
      </c>
      <c r="P66" s="14" t="n"/>
    </row>
    <row r="67" ht="12.9" customFormat="1" customHeight="1" s="11">
      <c r="A67" s="106" t="inlineStr">
        <is>
          <t>51951001</t>
        </is>
      </c>
      <c r="B67" s="88" t="inlineStr">
        <is>
          <t>Libros, suscripciones, period</t>
        </is>
      </c>
      <c r="C67" s="20">
        <f>'[5]Hoja 1'!$C$133</f>
        <v/>
      </c>
      <c r="D67" s="20" t="n">
        <v>1900000</v>
      </c>
      <c r="E67" s="20" t="n">
        <v>1900000</v>
      </c>
      <c r="F67" s="20" t="n">
        <v>1900000</v>
      </c>
      <c r="G67" s="20" t="n">
        <v>1900000</v>
      </c>
      <c r="H67" s="20" t="n"/>
      <c r="I67" s="20" t="n"/>
      <c r="J67" s="20" t="n"/>
      <c r="K67" s="20" t="n"/>
      <c r="L67" s="20" t="n"/>
      <c r="M67" s="20" t="n"/>
      <c r="N67" s="20" t="n"/>
      <c r="O67" s="21">
        <f>+SUM(C67:N67)</f>
        <v/>
      </c>
      <c r="P67" s="14" t="n"/>
    </row>
    <row r="68" ht="12.9" customFormat="1" customHeight="1" s="11">
      <c r="A68" s="106" t="n"/>
      <c r="B68" s="90" t="inlineStr">
        <is>
          <t>Seguros Funerarios</t>
        </is>
      </c>
      <c r="C68" s="21" t="n"/>
      <c r="D68" s="21" t="n"/>
      <c r="E68" s="21" t="n"/>
      <c r="F68" s="21" t="n"/>
      <c r="G68" s="41" t="n"/>
      <c r="H68" s="21" t="n"/>
      <c r="I68" s="21" t="n"/>
      <c r="J68" s="21" t="n"/>
      <c r="K68" s="21" t="n"/>
      <c r="L68" s="21" t="n"/>
      <c r="M68" s="21" t="n"/>
      <c r="N68" s="21" t="n"/>
      <c r="O68" s="21">
        <f>+SUM(C68:N68)</f>
        <v/>
      </c>
      <c r="P68" s="14" t="n"/>
    </row>
    <row r="69" ht="12.9" customHeight="1">
      <c r="A69" s="106" t="inlineStr">
        <is>
          <t>51952501</t>
        </is>
      </c>
      <c r="B69" s="90" t="inlineStr">
        <is>
          <t>Elementos de Aseo y Cafeteria</t>
        </is>
      </c>
      <c r="C69" s="15">
        <f>'[5]Hoja 1'!$C$135</f>
        <v/>
      </c>
      <c r="D69" s="15" t="n">
        <v>90000</v>
      </c>
      <c r="E69" s="15" t="n">
        <v>90000</v>
      </c>
      <c r="F69" s="15" t="n">
        <v>90000</v>
      </c>
      <c r="G69" s="15" t="n">
        <v>90000</v>
      </c>
      <c r="H69" s="15" t="n"/>
      <c r="I69" s="15" t="n"/>
      <c r="J69" s="15" t="n"/>
      <c r="K69" s="15" t="n"/>
      <c r="L69" s="15" t="n"/>
      <c r="M69" s="15" t="n"/>
      <c r="N69" s="15" t="n"/>
      <c r="O69" s="21">
        <f>+SUM(C69:N69)</f>
        <v/>
      </c>
      <c r="P69" s="38" t="n"/>
    </row>
    <row r="70" ht="12.9" customFormat="1" customHeight="1" s="40">
      <c r="A70" s="106" t="inlineStr">
        <is>
          <t>51953001</t>
        </is>
      </c>
      <c r="B70" s="90" t="inlineStr">
        <is>
          <t>Papeleria</t>
        </is>
      </c>
      <c r="C70" s="15">
        <f>'[5]Hoja 1'!$C$137+'[5]Hoja 1'!$C$402</f>
        <v/>
      </c>
      <c r="D70" s="15" t="n">
        <v>15441534</v>
      </c>
      <c r="E70" s="15" t="n">
        <v>15441534</v>
      </c>
      <c r="F70" s="15" t="n">
        <v>15441534</v>
      </c>
      <c r="G70" s="15" t="n">
        <v>15441534</v>
      </c>
      <c r="H70" s="15" t="n"/>
      <c r="I70" s="15" t="n"/>
      <c r="J70" s="15" t="n"/>
      <c r="K70" s="15" t="n"/>
      <c r="L70" s="15" t="n"/>
      <c r="M70" s="15" t="n"/>
      <c r="N70" s="15" t="n"/>
      <c r="O70" s="21">
        <f>+SUM(C70:N70)</f>
        <v/>
      </c>
      <c r="P70" s="14" t="n"/>
      <c r="Q70" s="137" t="n"/>
      <c r="R70" s="137" t="n"/>
      <c r="S70" s="137" t="n"/>
      <c r="T70" s="137" t="n"/>
      <c r="U70" s="137" t="n"/>
      <c r="V70" s="137" t="n"/>
      <c r="W70" s="137" t="n"/>
      <c r="X70" s="137" t="n"/>
      <c r="Y70" s="137" t="n"/>
      <c r="Z70" s="137" t="n"/>
      <c r="AA70" s="137" t="n"/>
      <c r="AB70" s="137" t="n"/>
      <c r="AC70" s="137" t="n"/>
      <c r="AD70" s="137" t="n"/>
      <c r="AE70" s="137" t="n"/>
      <c r="AF70" s="137" t="n"/>
      <c r="AG70" s="137" t="n"/>
      <c r="AH70" s="137" t="n"/>
      <c r="AI70" s="137" t="n"/>
      <c r="AJ70" s="137" t="n"/>
      <c r="AK70" s="137" t="n"/>
      <c r="AL70" s="137" t="n"/>
      <c r="AM70" s="137" t="n"/>
      <c r="AN70" s="137" t="n"/>
      <c r="AO70" s="137" t="n"/>
      <c r="AP70" s="137" t="n"/>
      <c r="AQ70" s="137" t="n"/>
      <c r="AR70" s="137" t="n"/>
      <c r="AS70" s="137" t="n"/>
      <c r="AT70" s="137" t="n"/>
      <c r="AU70" s="137" t="n"/>
      <c r="AV70" s="137" t="n"/>
      <c r="AW70" s="137" t="n"/>
      <c r="AX70" s="137" t="n"/>
      <c r="AY70" s="137" t="n"/>
      <c r="AZ70" s="137" t="n"/>
      <c r="BA70" s="137" t="n"/>
      <c r="BB70" s="137" t="n"/>
      <c r="BC70" s="137" t="n"/>
      <c r="BD70" s="137" t="n"/>
      <c r="BE70" s="137" t="n"/>
      <c r="BF70" s="137" t="n"/>
      <c r="BG70" s="137" t="n"/>
      <c r="BH70" s="137" t="n"/>
      <c r="BI70" s="137" t="n"/>
      <c r="BJ70" s="137" t="n"/>
      <c r="BK70" s="137" t="n"/>
      <c r="BL70" s="137" t="n"/>
      <c r="BM70" s="137" t="n"/>
      <c r="BN70" s="137" t="n"/>
      <c r="BO70" s="137" t="n"/>
      <c r="BP70" s="137" t="n"/>
      <c r="BQ70" s="137" t="n"/>
      <c r="BR70" s="137" t="n"/>
      <c r="BS70" s="137" t="n"/>
      <c r="BT70" s="137" t="n"/>
      <c r="BU70" s="137" t="n"/>
      <c r="BV70" s="137" t="n"/>
      <c r="BW70" s="137" t="n"/>
      <c r="BX70" s="137" t="n"/>
      <c r="BY70" s="137" t="n"/>
      <c r="BZ70" s="137" t="n"/>
      <c r="CA70" s="137" t="n"/>
      <c r="CB70" s="137" t="n"/>
      <c r="CC70" s="137" t="n"/>
      <c r="CD70" s="137" t="n"/>
    </row>
    <row r="71" ht="12.9" customFormat="1" customHeight="1" s="40">
      <c r="A71" s="106" t="inlineStr">
        <is>
          <t>51953002</t>
        </is>
      </c>
      <c r="B71" s="90" t="inlineStr">
        <is>
          <t>Fotocopias</t>
        </is>
      </c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21">
        <f>+SUM(C71:N71)</f>
        <v/>
      </c>
      <c r="P71" s="14" t="n"/>
      <c r="Q71" s="137" t="n"/>
      <c r="R71" s="137" t="n"/>
      <c r="S71" s="137" t="n"/>
      <c r="T71" s="137" t="n"/>
      <c r="U71" s="137" t="n"/>
      <c r="V71" s="137" t="n"/>
      <c r="W71" s="137" t="n"/>
      <c r="X71" s="137" t="n"/>
      <c r="Y71" s="137" t="n"/>
      <c r="Z71" s="137" t="n"/>
      <c r="AA71" s="137" t="n"/>
      <c r="AB71" s="137" t="n"/>
      <c r="AC71" s="137" t="n"/>
      <c r="AD71" s="137" t="n"/>
      <c r="AE71" s="137" t="n"/>
      <c r="AF71" s="137" t="n"/>
      <c r="AG71" s="137" t="n"/>
      <c r="AH71" s="137" t="n"/>
      <c r="AI71" s="137" t="n"/>
      <c r="AJ71" s="137" t="n"/>
      <c r="AK71" s="137" t="n"/>
      <c r="AL71" s="137" t="n"/>
      <c r="AM71" s="137" t="n"/>
      <c r="AN71" s="137" t="n"/>
      <c r="AO71" s="137" t="n"/>
      <c r="AP71" s="137" t="n"/>
      <c r="AQ71" s="137" t="n"/>
      <c r="AR71" s="137" t="n"/>
      <c r="AS71" s="137" t="n"/>
      <c r="AT71" s="137" t="n"/>
      <c r="AU71" s="137" t="n"/>
      <c r="AV71" s="137" t="n"/>
      <c r="AW71" s="137" t="n"/>
      <c r="AX71" s="137" t="n"/>
      <c r="AY71" s="137" t="n"/>
      <c r="AZ71" s="137" t="n"/>
      <c r="BA71" s="137" t="n"/>
      <c r="BB71" s="137" t="n"/>
      <c r="BC71" s="137" t="n"/>
      <c r="BD71" s="137" t="n"/>
      <c r="BE71" s="137" t="n"/>
      <c r="BF71" s="137" t="n"/>
      <c r="BG71" s="137" t="n"/>
      <c r="BH71" s="137" t="n"/>
      <c r="BI71" s="137" t="n"/>
      <c r="BJ71" s="137" t="n"/>
      <c r="BK71" s="137" t="n"/>
      <c r="BL71" s="137" t="n"/>
      <c r="BM71" s="137" t="n"/>
      <c r="BN71" s="137" t="n"/>
      <c r="BO71" s="137" t="n"/>
      <c r="BP71" s="137" t="n"/>
      <c r="BQ71" s="137" t="n"/>
      <c r="BR71" s="137" t="n"/>
      <c r="BS71" s="137" t="n"/>
      <c r="BT71" s="137" t="n"/>
      <c r="BU71" s="137" t="n"/>
      <c r="BV71" s="137" t="n"/>
      <c r="BW71" s="137" t="n"/>
      <c r="BX71" s="137" t="n"/>
      <c r="BY71" s="137" t="n"/>
      <c r="BZ71" s="137" t="n"/>
      <c r="CA71" s="137" t="n"/>
      <c r="CB71" s="137" t="n"/>
      <c r="CC71" s="137" t="n"/>
      <c r="CD71" s="137" t="n"/>
    </row>
    <row r="72" ht="12.9" customHeight="1">
      <c r="A72" s="106" t="inlineStr">
        <is>
          <t>51953501</t>
        </is>
      </c>
      <c r="B72" s="90" t="inlineStr">
        <is>
          <t>Combustible y Lubricantes</t>
        </is>
      </c>
      <c r="C72" s="15" t="n">
        <v>964175</v>
      </c>
      <c r="D72" s="15" t="n">
        <v>1186883</v>
      </c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21">
        <f>+SUM(C72:N72)</f>
        <v/>
      </c>
      <c r="P72" s="14" t="n"/>
    </row>
    <row r="73" ht="12.9" customHeight="1">
      <c r="A73" s="106" t="inlineStr">
        <is>
          <t>51954001 - '71100501</t>
        </is>
      </c>
      <c r="B73" s="90" t="inlineStr">
        <is>
          <t>Envases y Empaques</t>
        </is>
      </c>
      <c r="C73" s="15">
        <f>'[5]Hoja 1'!$C$141</f>
        <v/>
      </c>
      <c r="D73" s="15" t="n">
        <v>1273497</v>
      </c>
      <c r="E73" s="15" t="n">
        <v>1273497</v>
      </c>
      <c r="F73" s="15" t="n">
        <v>1273497</v>
      </c>
      <c r="G73" s="15" t="n">
        <v>1273497</v>
      </c>
      <c r="H73" s="15" t="n"/>
      <c r="I73" s="15" t="n"/>
      <c r="J73" s="15" t="n"/>
      <c r="K73" s="15" t="n"/>
      <c r="L73" s="15" t="n"/>
      <c r="M73" s="15" t="n"/>
      <c r="N73" s="15" t="n"/>
      <c r="O73" s="21">
        <f>+SUM(C73:N73)</f>
        <v/>
      </c>
      <c r="P73" s="14" t="n"/>
    </row>
    <row r="74" ht="12.9" customHeight="1">
      <c r="A74" s="106" t="inlineStr">
        <is>
          <t>51954501</t>
        </is>
      </c>
      <c r="B74" s="90" t="inlineStr">
        <is>
          <t>Taxis y Buses</t>
        </is>
      </c>
      <c r="C74" s="15">
        <f>'[5]Hoja 1'!$C$143</f>
        <v/>
      </c>
      <c r="D74" s="15" t="n">
        <v>679316</v>
      </c>
      <c r="E74" s="15" t="n">
        <v>679316</v>
      </c>
      <c r="F74" s="15" t="n">
        <v>679316</v>
      </c>
      <c r="G74" s="15" t="n">
        <v>679316</v>
      </c>
      <c r="H74" s="15" t="n"/>
      <c r="I74" s="15" t="n"/>
      <c r="J74" s="15" t="n"/>
      <c r="K74" s="15" t="n"/>
      <c r="L74" s="15" t="n"/>
      <c r="M74" s="15" t="n"/>
      <c r="N74" s="15" t="n"/>
      <c r="O74" s="21">
        <f>+SUM(C74:N74)</f>
        <v/>
      </c>
      <c r="P74" s="14" t="n"/>
    </row>
    <row r="75" ht="12.9" customHeight="1">
      <c r="A75" s="106" t="inlineStr">
        <is>
          <t>51956001</t>
        </is>
      </c>
      <c r="B75" s="90" t="inlineStr">
        <is>
          <t>Casino y Restaurante (Refrigerios)</t>
        </is>
      </c>
      <c r="C75" s="15">
        <f>'[5]Hoja 1'!$C$145</f>
        <v/>
      </c>
      <c r="D75" s="15" t="n">
        <v>2294194.68</v>
      </c>
      <c r="E75" s="15" t="n">
        <v>2294194.68</v>
      </c>
      <c r="F75" s="15" t="n">
        <v>2294194.68</v>
      </c>
      <c r="G75" s="15" t="n">
        <v>2294194.68</v>
      </c>
      <c r="H75" s="15" t="n"/>
      <c r="I75" s="15" t="n"/>
      <c r="J75" s="15" t="n"/>
      <c r="K75" s="15" t="n"/>
      <c r="L75" s="15" t="n"/>
      <c r="M75" s="15" t="n"/>
      <c r="N75" s="15" t="n"/>
      <c r="O75" s="21">
        <f>+SUM(C75:N75)</f>
        <v/>
      </c>
      <c r="P75" s="14" t="n"/>
    </row>
    <row r="76" ht="12.9" customHeight="1">
      <c r="A76" s="106" t="inlineStr">
        <is>
          <t>51956501</t>
        </is>
      </c>
      <c r="B76" s="90" t="inlineStr">
        <is>
          <t>Parqueaderos</t>
        </is>
      </c>
      <c r="C76" s="15">
        <f>'[5]Hoja 1'!$C$148</f>
        <v/>
      </c>
      <c r="D76" s="15" t="n">
        <v>27100</v>
      </c>
      <c r="E76" s="15" t="n">
        <v>27100</v>
      </c>
      <c r="F76" s="15" t="n">
        <v>27100</v>
      </c>
      <c r="G76" s="15" t="n">
        <v>27100</v>
      </c>
      <c r="H76" s="15" t="n"/>
      <c r="I76" s="15" t="n"/>
      <c r="J76" s="15" t="n"/>
      <c r="K76" s="15" t="n"/>
      <c r="L76" s="15" t="n"/>
      <c r="M76" s="15" t="n"/>
      <c r="N76" s="15" t="n"/>
      <c r="O76" s="21">
        <f>+SUM(C76:N76)</f>
        <v/>
      </c>
      <c r="P76" s="14" t="n"/>
    </row>
    <row r="77" ht="12.9" customFormat="1" customHeight="1" s="69">
      <c r="A77" s="106" t="inlineStr">
        <is>
          <t>51956601</t>
        </is>
      </c>
      <c r="B77" s="90" t="inlineStr">
        <is>
          <t>Peajes</t>
        </is>
      </c>
      <c r="C77" s="15">
        <f>'[5]Hoja 1'!$C$150</f>
        <v/>
      </c>
      <c r="D77" s="15" t="n">
        <v>2456900</v>
      </c>
      <c r="E77" s="15" t="n">
        <v>2456900</v>
      </c>
      <c r="F77" s="15" t="n">
        <v>2456900</v>
      </c>
      <c r="G77" s="74" t="n">
        <v>2456900</v>
      </c>
      <c r="H77" s="74" t="n"/>
      <c r="I77" s="74" t="n"/>
      <c r="J77" s="74" t="n"/>
      <c r="K77" s="74" t="n"/>
      <c r="L77" s="74" t="n"/>
      <c r="M77" s="74" t="n"/>
      <c r="N77" s="74" t="n"/>
      <c r="O77" s="67">
        <f>+SUM(C77:N77)</f>
        <v/>
      </c>
      <c r="P77" s="65" t="n"/>
    </row>
    <row r="78" ht="12.9" customFormat="1" customHeight="1" s="40">
      <c r="A78" s="106" t="inlineStr">
        <is>
          <t>51959501</t>
        </is>
      </c>
      <c r="B78" s="90" t="inlineStr">
        <is>
          <t>Otros</t>
        </is>
      </c>
      <c r="C78" s="42">
        <f>'[5]Hoja 1'!$C$152</f>
        <v/>
      </c>
      <c r="D78" s="21" t="n">
        <v>508300</v>
      </c>
      <c r="E78" s="21" t="n">
        <v>508300</v>
      </c>
      <c r="F78" s="21" t="n">
        <v>508300</v>
      </c>
      <c r="G78" s="21" t="n">
        <v>508300</v>
      </c>
      <c r="H78" s="21" t="n"/>
      <c r="I78" s="21" t="n"/>
      <c r="J78" s="21" t="n"/>
      <c r="K78" s="21" t="n"/>
      <c r="L78" s="21" t="n"/>
      <c r="M78" s="21" t="n"/>
      <c r="N78" s="21" t="n"/>
      <c r="O78" s="21">
        <f>+SUM(C78:N78)</f>
        <v/>
      </c>
      <c r="P78" s="14" t="n"/>
      <c r="Q78" s="137" t="n"/>
      <c r="R78" s="137" t="n"/>
      <c r="S78" s="137" t="n"/>
      <c r="T78" s="137" t="n"/>
      <c r="U78" s="137" t="n"/>
      <c r="V78" s="137" t="n"/>
      <c r="W78" s="137" t="n"/>
      <c r="X78" s="137" t="n"/>
      <c r="Y78" s="137" t="n"/>
      <c r="Z78" s="137" t="n"/>
      <c r="AA78" s="137" t="n"/>
      <c r="AB78" s="137" t="n"/>
      <c r="AC78" s="137" t="n"/>
      <c r="AD78" s="137" t="n"/>
      <c r="AE78" s="137" t="n"/>
      <c r="AF78" s="137" t="n"/>
      <c r="AG78" s="137" t="n"/>
      <c r="AH78" s="137" t="n"/>
      <c r="AI78" s="137" t="n"/>
      <c r="AJ78" s="137" t="n"/>
      <c r="AK78" s="137" t="n"/>
      <c r="AL78" s="137" t="n"/>
      <c r="AM78" s="137" t="n"/>
      <c r="AN78" s="137" t="n"/>
      <c r="AO78" s="137" t="n"/>
      <c r="AP78" s="137" t="n"/>
      <c r="AQ78" s="137" t="n"/>
      <c r="AR78" s="137" t="n"/>
      <c r="AS78" s="137" t="n"/>
      <c r="AT78" s="137" t="n"/>
      <c r="AU78" s="137" t="n"/>
      <c r="AV78" s="137" t="n"/>
      <c r="AW78" s="137" t="n"/>
      <c r="AX78" s="137" t="n"/>
      <c r="AY78" s="137" t="n"/>
      <c r="AZ78" s="137" t="n"/>
      <c r="BA78" s="137" t="n"/>
      <c r="BB78" s="137" t="n"/>
      <c r="BC78" s="137" t="n"/>
      <c r="BD78" s="137" t="n"/>
      <c r="BE78" s="137" t="n"/>
      <c r="BF78" s="137" t="n"/>
      <c r="BG78" s="137" t="n"/>
      <c r="BH78" s="137" t="n"/>
      <c r="BI78" s="137" t="n"/>
      <c r="BJ78" s="137" t="n"/>
      <c r="BK78" s="137" t="n"/>
      <c r="BL78" s="137" t="n"/>
      <c r="BM78" s="137" t="n"/>
      <c r="BN78" s="137" t="n"/>
      <c r="BO78" s="137" t="n"/>
      <c r="BP78" s="137" t="n"/>
      <c r="BQ78" s="137" t="n"/>
      <c r="BR78" s="137" t="n"/>
      <c r="BS78" s="137" t="n"/>
      <c r="BT78" s="137" t="n"/>
      <c r="BU78" s="137" t="n"/>
      <c r="BV78" s="137" t="n"/>
      <c r="BW78" s="137" t="n"/>
      <c r="BX78" s="137" t="n"/>
      <c r="BY78" s="137" t="n"/>
      <c r="BZ78" s="137" t="n"/>
      <c r="CA78" s="137" t="n"/>
      <c r="CB78" s="137" t="n"/>
      <c r="CC78" s="137" t="n"/>
      <c r="CD78" s="137" t="n"/>
    </row>
    <row r="79" ht="13.5" customHeight="1">
      <c r="A79" s="106" t="inlineStr">
        <is>
          <t>51959502</t>
        </is>
      </c>
      <c r="B79" s="90" t="inlineStr">
        <is>
          <t>Compra Equipos de Oficina</t>
        </is>
      </c>
      <c r="C79" s="21">
        <f>'[5]Hoja 1'!$C$153</f>
        <v/>
      </c>
      <c r="D79" s="21" t="n">
        <v>319799</v>
      </c>
      <c r="E79" s="21" t="n">
        <v>319799</v>
      </c>
      <c r="F79" s="21" t="n">
        <v>319799</v>
      </c>
      <c r="G79" s="21" t="n">
        <v>319799</v>
      </c>
      <c r="H79" s="21" t="n"/>
      <c r="I79" s="21" t="n"/>
      <c r="J79" s="21" t="n"/>
      <c r="K79" s="21" t="n"/>
      <c r="L79" s="21" t="n"/>
      <c r="M79" s="21" t="n"/>
      <c r="N79" s="21" t="n"/>
      <c r="O79" s="21">
        <f>+SUM(C79:N79)</f>
        <v/>
      </c>
      <c r="P79" s="14" t="n"/>
    </row>
    <row r="80" ht="12.9" customHeight="1">
      <c r="A80" s="106" t="inlineStr">
        <is>
          <t>51959503</t>
        </is>
      </c>
      <c r="B80" s="90" t="inlineStr">
        <is>
          <t>Compra Suministros</t>
        </is>
      </c>
      <c r="C80" s="21">
        <f>'[5]Hoja 1'!$C$154</f>
        <v/>
      </c>
      <c r="D80" s="21" t="n">
        <v>800000</v>
      </c>
      <c r="E80" s="21" t="n">
        <v>800000</v>
      </c>
      <c r="F80" s="21" t="n">
        <v>800000</v>
      </c>
      <c r="G80" s="21" t="n">
        <v>800000</v>
      </c>
      <c r="H80" s="21" t="n"/>
      <c r="I80" s="21" t="n"/>
      <c r="J80" s="21" t="n"/>
      <c r="K80" s="21" t="n"/>
      <c r="L80" s="21" t="n"/>
      <c r="M80" s="21" t="n"/>
      <c r="N80" s="21" t="n"/>
      <c r="O80" s="21">
        <f>+SUM(C80:N80)</f>
        <v/>
      </c>
      <c r="P80" s="14" t="n"/>
    </row>
    <row r="81" ht="12.9" customHeight="1">
      <c r="A81" s="106" t="inlineStr">
        <is>
          <t>51959510</t>
        </is>
      </c>
      <c r="B81" s="90" t="inlineStr">
        <is>
          <t>Herramientas y articulos ferreteria</t>
        </is>
      </c>
      <c r="C81" s="21">
        <f>'[5]Hoja 1'!$C$156</f>
        <v/>
      </c>
      <c r="D81" s="21" t="n">
        <v>4623150</v>
      </c>
      <c r="E81" s="21" t="n">
        <v>4623150</v>
      </c>
      <c r="F81" s="21" t="n">
        <v>4623150</v>
      </c>
      <c r="G81" s="21" t="n">
        <v>4623150</v>
      </c>
      <c r="H81" s="21" t="n"/>
      <c r="I81" s="21" t="n"/>
      <c r="J81" s="21" t="n"/>
      <c r="K81" s="21" t="n"/>
      <c r="L81" s="21" t="n"/>
      <c r="M81" s="21" t="n"/>
      <c r="N81" s="43" t="n"/>
      <c r="O81" s="21">
        <f>+SUM(C81:N81)</f>
        <v/>
      </c>
      <c r="P81" s="14" t="n"/>
    </row>
    <row r="82" ht="12.9" customFormat="1" customHeight="1" s="40">
      <c r="A82" s="106" t="inlineStr">
        <is>
          <t>51959512</t>
        </is>
      </c>
      <c r="B82" s="90" t="inlineStr">
        <is>
          <t>Reuniones Fiestas y Detalles</t>
        </is>
      </c>
      <c r="C82" s="21">
        <f>'[5]Hoja 1'!$C$157</f>
        <v/>
      </c>
      <c r="D82" s="21" t="n">
        <v>10566388</v>
      </c>
      <c r="E82" s="21" t="n">
        <v>10566388</v>
      </c>
      <c r="F82" s="21" t="n">
        <v>10566388</v>
      </c>
      <c r="G82" s="21" t="n">
        <v>10566388</v>
      </c>
      <c r="H82" s="21" t="n"/>
      <c r="I82" s="21" t="n"/>
      <c r="J82" s="21" t="n"/>
      <c r="K82" s="21" t="n"/>
      <c r="L82" s="21" t="n"/>
      <c r="M82" s="44" t="n"/>
      <c r="N82" s="45" t="n"/>
      <c r="O82" s="21">
        <f>+SUM(C82:N82)</f>
        <v/>
      </c>
      <c r="P82" s="30" t="n"/>
      <c r="Q82" s="137" t="n"/>
      <c r="R82" s="137" t="n"/>
      <c r="S82" s="137" t="n"/>
      <c r="T82" s="137" t="n"/>
      <c r="U82" s="137" t="n"/>
      <c r="V82" s="137" t="n"/>
      <c r="W82" s="137" t="n"/>
      <c r="X82" s="137" t="n"/>
      <c r="Y82" s="137" t="n"/>
      <c r="Z82" s="137" t="n"/>
      <c r="AA82" s="137" t="n"/>
      <c r="AB82" s="137" t="n"/>
      <c r="AC82" s="137" t="n"/>
      <c r="AD82" s="137" t="n"/>
      <c r="AE82" s="137" t="n"/>
      <c r="AF82" s="137" t="n"/>
      <c r="AG82" s="137" t="n"/>
      <c r="AH82" s="137" t="n"/>
      <c r="AI82" s="137" t="n"/>
      <c r="AJ82" s="137" t="n"/>
      <c r="AK82" s="137" t="n"/>
      <c r="AL82" s="137" t="n"/>
      <c r="AM82" s="137" t="n"/>
      <c r="AN82" s="137" t="n"/>
      <c r="AO82" s="137" t="n"/>
      <c r="AP82" s="137" t="n"/>
      <c r="AQ82" s="137" t="n"/>
      <c r="AR82" s="137" t="n"/>
      <c r="AS82" s="137" t="n"/>
      <c r="AT82" s="137" t="n"/>
      <c r="AU82" s="137" t="n"/>
      <c r="AV82" s="137" t="n"/>
      <c r="AW82" s="137" t="n"/>
      <c r="AX82" s="137" t="n"/>
      <c r="AY82" s="137" t="n"/>
      <c r="AZ82" s="137" t="n"/>
      <c r="BA82" s="137" t="n"/>
      <c r="BB82" s="137" t="n"/>
      <c r="BC82" s="137" t="n"/>
      <c r="BD82" s="137" t="n"/>
      <c r="BE82" s="137" t="n"/>
      <c r="BF82" s="137" t="n"/>
      <c r="BG82" s="137" t="n"/>
      <c r="BH82" s="137" t="n"/>
      <c r="BI82" s="137" t="n"/>
      <c r="BJ82" s="137" t="n"/>
      <c r="BK82" s="137" t="n"/>
      <c r="BL82" s="137" t="n"/>
      <c r="BM82" s="137" t="n"/>
      <c r="BN82" s="137" t="n"/>
      <c r="BO82" s="137" t="n"/>
      <c r="BP82" s="137" t="n"/>
      <c r="BQ82" s="137" t="n"/>
      <c r="BR82" s="137" t="n"/>
      <c r="BS82" s="137" t="n"/>
      <c r="BT82" s="137" t="n"/>
      <c r="BU82" s="137" t="n"/>
      <c r="BV82" s="137" t="n"/>
      <c r="BW82" s="137" t="n"/>
      <c r="BX82" s="137" t="n"/>
      <c r="BY82" s="137" t="n"/>
      <c r="BZ82" s="137" t="n"/>
      <c r="CA82" s="137" t="n"/>
      <c r="CB82" s="137" t="n"/>
    </row>
    <row r="83" ht="12.9" customHeight="1">
      <c r="A83" s="106" t="inlineStr">
        <is>
          <t>51959514</t>
        </is>
      </c>
      <c r="B83" s="90" t="inlineStr">
        <is>
          <t>Equipos de Bodega</t>
        </is>
      </c>
      <c r="C83" s="46">
        <f>'[5]Hoja 1'!$C$159</f>
        <v/>
      </c>
      <c r="D83" s="46" t="n">
        <v>5834000</v>
      </c>
      <c r="E83" s="46" t="n">
        <v>5834000</v>
      </c>
      <c r="F83" s="46" t="n">
        <v>5834000</v>
      </c>
      <c r="G83" s="46" t="n">
        <v>5834000</v>
      </c>
      <c r="H83" s="46" t="n"/>
      <c r="I83" s="46" t="n"/>
      <c r="J83" s="46" t="n"/>
      <c r="K83" s="46" t="n"/>
      <c r="L83" s="46" t="n"/>
      <c r="M83" s="46" t="n"/>
      <c r="N83" s="46" t="n"/>
      <c r="O83" s="21">
        <f>+SUM(C83:N83)</f>
        <v/>
      </c>
      <c r="P83" s="14" t="n"/>
    </row>
    <row r="84" ht="12.9" customHeight="1">
      <c r="A84" s="106" t="inlineStr">
        <is>
          <t>51959515</t>
        </is>
      </c>
      <c r="B84" s="90" t="inlineStr">
        <is>
          <t>Compra Equipos de computo y comunicación</t>
        </is>
      </c>
      <c r="C84" s="21">
        <f>'[5]Hoja 1'!$C$160</f>
        <v/>
      </c>
      <c r="D84" s="21" t="n">
        <v>34962540</v>
      </c>
      <c r="E84" s="21" t="n">
        <v>34962540</v>
      </c>
      <c r="F84" s="21" t="n">
        <v>34962540</v>
      </c>
      <c r="G84" s="21" t="n">
        <v>34962540</v>
      </c>
      <c r="H84" s="21" t="n"/>
      <c r="I84" s="21" t="n"/>
      <c r="J84" s="21" t="n"/>
      <c r="K84" s="21" t="n"/>
      <c r="L84" s="21" t="n"/>
      <c r="M84" s="21" t="n"/>
      <c r="N84" s="21" t="n"/>
      <c r="O84" s="21">
        <f>+SUM(C84:N84)</f>
        <v/>
      </c>
      <c r="P84" s="14" t="n"/>
    </row>
    <row r="85" ht="12.9" customHeight="1">
      <c r="A85" s="106" t="inlineStr">
        <is>
          <t>51959504</t>
        </is>
      </c>
      <c r="B85" s="90" t="inlineStr">
        <is>
          <t>Cuota de Apoyo y Sostenimiento (SENA)</t>
        </is>
      </c>
      <c r="C85" s="15">
        <f>'[5]Hoja 1'!$C$155</f>
        <v/>
      </c>
      <c r="D85" s="15" t="n">
        <v>3939537</v>
      </c>
      <c r="E85" s="15" t="n">
        <v>3939537</v>
      </c>
      <c r="F85" s="15" t="n">
        <v>3939537</v>
      </c>
      <c r="G85" s="15" t="n">
        <v>3939537</v>
      </c>
      <c r="H85" s="15" t="n"/>
      <c r="I85" s="15" t="n"/>
      <c r="J85" s="15" t="n"/>
      <c r="K85" s="15" t="n"/>
      <c r="L85" s="15" t="n"/>
      <c r="M85" s="15" t="n"/>
      <c r="N85" s="15" t="n"/>
      <c r="O85" s="21">
        <f>+SUM(C85:N85)</f>
        <v/>
      </c>
      <c r="P85" s="14" t="n"/>
    </row>
    <row r="86" ht="12.9" customHeight="1">
      <c r="A86" s="106" t="n"/>
      <c r="B86" s="93" t="inlineStr">
        <is>
          <t>Menaje - Basculas-Canastillas-Estibas</t>
        </is>
      </c>
      <c r="C86" s="42" t="n"/>
      <c r="D86" s="42" t="n"/>
      <c r="E86" s="42" t="n"/>
      <c r="F86" s="42" t="n"/>
      <c r="G86" s="42" t="n"/>
      <c r="H86" s="42" t="n"/>
      <c r="I86" s="42" t="n"/>
      <c r="J86" s="45" t="n"/>
      <c r="K86" s="42" t="n"/>
      <c r="L86" s="42" t="n"/>
      <c r="M86" s="42" t="n"/>
      <c r="N86" s="42" t="n"/>
      <c r="O86" s="44">
        <f>+SUM(C86:N86)</f>
        <v/>
      </c>
      <c r="P86" s="14" t="n"/>
    </row>
    <row r="87" ht="12.9" customHeight="1">
      <c r="A87" s="109" t="inlineStr">
        <is>
          <t>51959518</t>
        </is>
      </c>
      <c r="B87" s="93" t="inlineStr">
        <is>
          <t>Compra Mercado IVH</t>
        </is>
      </c>
      <c r="C87" s="42" t="n"/>
      <c r="D87" s="42" t="n">
        <v>1751694</v>
      </c>
      <c r="E87" s="42" t="n">
        <v>1751694</v>
      </c>
      <c r="F87" s="42" t="n">
        <v>1751694</v>
      </c>
      <c r="G87" s="42" t="n">
        <v>1751694</v>
      </c>
      <c r="H87" s="42" t="n"/>
      <c r="I87" s="42" t="n"/>
      <c r="J87" s="42" t="n"/>
      <c r="K87" s="42" t="n"/>
      <c r="L87" s="42" t="n"/>
      <c r="M87" s="42" t="n"/>
      <c r="N87" s="42" t="n"/>
      <c r="O87" s="44">
        <f>+SUM(C87:N87)</f>
        <v/>
      </c>
      <c r="P87" s="14" t="n"/>
    </row>
    <row r="88" ht="12.9" customHeight="1">
      <c r="A88" s="110" t="inlineStr">
        <is>
          <t>51959517</t>
        </is>
      </c>
      <c r="B88" s="89" t="inlineStr">
        <is>
          <t>Convenios medicos - EMI</t>
        </is>
      </c>
      <c r="C88" s="18">
        <f>'[5]Hoja 1'!$C$161</f>
        <v/>
      </c>
      <c r="D88" s="18" t="n">
        <v>643578</v>
      </c>
      <c r="E88" s="18" t="n">
        <v>643578</v>
      </c>
      <c r="F88" s="18" t="n">
        <v>643578</v>
      </c>
      <c r="G88" s="18" t="n">
        <v>643578</v>
      </c>
      <c r="H88" s="18" t="n"/>
      <c r="I88" s="18" t="n"/>
      <c r="J88" s="18" t="n"/>
      <c r="K88" s="18" t="n"/>
      <c r="L88" s="18" t="n"/>
      <c r="M88" s="18" t="n"/>
      <c r="N88" s="18" t="n"/>
      <c r="O88" s="25">
        <f>+SUM(C88:N88)</f>
        <v/>
      </c>
      <c r="P88" s="26" t="n"/>
    </row>
    <row r="89" ht="12.9" customFormat="1" customHeight="1" s="79">
      <c r="A89" s="106" t="n"/>
      <c r="B89" s="87" t="inlineStr">
        <is>
          <t>CASINO</t>
        </is>
      </c>
      <c r="C89" s="9">
        <f>[1]CASINO!$C$144</f>
        <v/>
      </c>
      <c r="D89" s="9">
        <f>[1]CASINO!$F$144</f>
        <v/>
      </c>
      <c r="E89" s="132" t="n"/>
      <c r="F89" s="132" t="n"/>
      <c r="G89" s="132" t="inlineStr">
        <is>
          <t>esta valor proviene de la pestaña de CASINO</t>
        </is>
      </c>
      <c r="H89" s="75" t="n"/>
      <c r="I89" s="75" t="n"/>
      <c r="J89" s="75" t="n"/>
      <c r="K89" s="75" t="n"/>
      <c r="L89" s="75" t="n"/>
      <c r="M89" s="75" t="n"/>
      <c r="N89" s="76" t="n"/>
      <c r="O89" s="77">
        <f>+SUM(C89:N89)</f>
        <v/>
      </c>
      <c r="P89" s="78" t="n"/>
    </row>
    <row r="90" ht="12.9" customHeight="1">
      <c r="A90" s="106" t="n"/>
      <c r="B90" s="87" t="inlineStr">
        <is>
          <t>OTROS GASTOS DIVERSOS</t>
        </is>
      </c>
      <c r="C90" s="9">
        <f>SUM(C91:C95)</f>
        <v/>
      </c>
      <c r="D90" s="9">
        <f>SUM(D91:D95)</f>
        <v/>
      </c>
      <c r="E90" s="9">
        <f>SUM(E91:E95)</f>
        <v/>
      </c>
      <c r="F90" s="9">
        <f>SUM(F91:F95)</f>
        <v/>
      </c>
      <c r="G90" s="9">
        <f>SUM(G91:G95)</f>
        <v/>
      </c>
      <c r="H90" s="9">
        <f>SUM(H91:H95)</f>
        <v/>
      </c>
      <c r="I90" s="9">
        <f>SUM(I91:I95)</f>
        <v/>
      </c>
      <c r="J90" s="9">
        <f>SUM(J91:J95)</f>
        <v/>
      </c>
      <c r="K90" s="9">
        <f>SUM(K91:K95)</f>
        <v/>
      </c>
      <c r="L90" s="9">
        <f>SUM(L91:L95)</f>
        <v/>
      </c>
      <c r="M90" s="9">
        <f>SUM(M91:M95)</f>
        <v/>
      </c>
      <c r="N90" s="9">
        <f>SUM(N91:N95)</f>
        <v/>
      </c>
      <c r="O90" s="9">
        <f>SUM(O91:O95)</f>
        <v/>
      </c>
      <c r="P90" s="14" t="n"/>
    </row>
    <row r="91" ht="12.9" customFormat="1" customHeight="1" s="40">
      <c r="A91" s="106" t="n"/>
      <c r="B91" s="88" t="inlineStr">
        <is>
          <t>Demandas por Incumplimiento de Contrato</t>
        </is>
      </c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13">
        <f>+SUM(C91:N91)</f>
        <v/>
      </c>
      <c r="P91" s="30" t="n"/>
      <c r="Q91" s="137" t="n"/>
      <c r="R91" s="137" t="n"/>
      <c r="S91" s="137" t="n"/>
      <c r="T91" s="137" t="n"/>
      <c r="U91" s="137" t="n"/>
      <c r="V91" s="137" t="n"/>
      <c r="W91" s="137" t="n"/>
      <c r="X91" s="137" t="n"/>
      <c r="Y91" s="137" t="n"/>
      <c r="Z91" s="137" t="n"/>
      <c r="AA91" s="137" t="n"/>
      <c r="AB91" s="137" t="n"/>
      <c r="AC91" s="137" t="n"/>
      <c r="AD91" s="137" t="n"/>
      <c r="AE91" s="137" t="n"/>
      <c r="AF91" s="137" t="n"/>
      <c r="AG91" s="137" t="n"/>
      <c r="AH91" s="137" t="n"/>
      <c r="AI91" s="137" t="n"/>
      <c r="AJ91" s="137" t="n"/>
      <c r="AK91" s="137" t="n"/>
      <c r="AL91" s="137" t="n"/>
      <c r="AM91" s="137" t="n"/>
      <c r="AN91" s="137" t="n"/>
      <c r="AO91" s="137" t="n"/>
      <c r="AP91" s="137" t="n"/>
      <c r="AQ91" s="137" t="n"/>
      <c r="AR91" s="137" t="n"/>
      <c r="AS91" s="137" t="n"/>
      <c r="AT91" s="137" t="n"/>
      <c r="AU91" s="137" t="n"/>
      <c r="AV91" s="137" t="n"/>
      <c r="AW91" s="137" t="n"/>
      <c r="AX91" s="137" t="n"/>
      <c r="AY91" s="137" t="n"/>
      <c r="AZ91" s="137" t="n"/>
      <c r="BA91" s="137" t="n"/>
      <c r="BB91" s="137" t="n"/>
      <c r="BC91" s="137" t="n"/>
      <c r="BD91" s="137" t="n"/>
      <c r="BE91" s="137" t="n"/>
      <c r="BF91" s="137" t="n"/>
      <c r="BG91" s="137" t="n"/>
      <c r="BH91" s="137" t="n"/>
      <c r="BI91" s="137" t="n"/>
      <c r="BJ91" s="137" t="n"/>
      <c r="BK91" s="137" t="n"/>
      <c r="BL91" s="137" t="n"/>
      <c r="BM91" s="137" t="n"/>
      <c r="BN91" s="137" t="n"/>
      <c r="BO91" s="137" t="n"/>
      <c r="BP91" s="137" t="n"/>
      <c r="BQ91" s="137" t="n"/>
      <c r="BR91" s="137" t="n"/>
      <c r="BS91" s="137" t="n"/>
      <c r="BT91" s="137" t="n"/>
      <c r="BU91" s="137" t="n"/>
      <c r="BV91" s="137" t="n"/>
      <c r="BW91" s="137" t="n"/>
      <c r="BX91" s="137" t="n"/>
      <c r="BY91" s="137" t="n"/>
      <c r="BZ91" s="137" t="n"/>
      <c r="CA91" s="137" t="n"/>
      <c r="CB91" s="137" t="n"/>
    </row>
    <row r="92" ht="12.9" customFormat="1" customHeight="1" s="40">
      <c r="A92" s="106" t="n"/>
      <c r="B92" s="90" t="inlineStr">
        <is>
          <t>Indemnizaciones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16">
        <f>+SUM(C92:N92)</f>
        <v/>
      </c>
      <c r="P92" s="30" t="n"/>
      <c r="Q92" s="137" t="n"/>
      <c r="R92" s="137" t="n"/>
      <c r="S92" s="137" t="n"/>
      <c r="T92" s="137" t="n"/>
      <c r="U92" s="137" t="n"/>
      <c r="V92" s="137" t="n"/>
      <c r="W92" s="137" t="n"/>
      <c r="X92" s="137" t="n"/>
      <c r="Y92" s="137" t="n"/>
      <c r="Z92" s="137" t="n"/>
      <c r="AA92" s="137" t="n"/>
      <c r="AB92" s="137" t="n"/>
      <c r="AC92" s="137" t="n"/>
      <c r="AD92" s="137" t="n"/>
      <c r="AE92" s="137" t="n"/>
      <c r="AF92" s="137" t="n"/>
      <c r="AG92" s="137" t="n"/>
      <c r="AH92" s="137" t="n"/>
      <c r="AI92" s="137" t="n"/>
      <c r="AJ92" s="137" t="n"/>
      <c r="AK92" s="137" t="n"/>
      <c r="AL92" s="137" t="n"/>
      <c r="AM92" s="137" t="n"/>
      <c r="AN92" s="137" t="n"/>
      <c r="AO92" s="137" t="n"/>
      <c r="AP92" s="137" t="n"/>
      <c r="AQ92" s="137" t="n"/>
      <c r="AR92" s="137" t="n"/>
      <c r="AS92" s="137" t="n"/>
      <c r="AT92" s="137" t="n"/>
      <c r="AU92" s="137" t="n"/>
      <c r="AV92" s="137" t="n"/>
      <c r="AW92" s="137" t="n"/>
      <c r="AX92" s="137" t="n"/>
      <c r="AY92" s="137" t="n"/>
      <c r="AZ92" s="137" t="n"/>
      <c r="BA92" s="137" t="n"/>
      <c r="BB92" s="137" t="n"/>
      <c r="BC92" s="137" t="n"/>
      <c r="BD92" s="137" t="n"/>
      <c r="BE92" s="137" t="n"/>
      <c r="BF92" s="137" t="n"/>
      <c r="BG92" s="137" t="n"/>
      <c r="BH92" s="137" t="n"/>
      <c r="BI92" s="137" t="n"/>
      <c r="BJ92" s="137" t="n"/>
      <c r="BK92" s="137" t="n"/>
      <c r="BL92" s="137" t="n"/>
      <c r="BM92" s="137" t="n"/>
      <c r="BN92" s="137" t="n"/>
      <c r="BO92" s="137" t="n"/>
      <c r="BP92" s="137" t="n"/>
      <c r="BQ92" s="137" t="n"/>
      <c r="BR92" s="137" t="n"/>
      <c r="BS92" s="137" t="n"/>
      <c r="BT92" s="137" t="n"/>
      <c r="BU92" s="137" t="n"/>
      <c r="BV92" s="137" t="n"/>
      <c r="BW92" s="137" t="n"/>
      <c r="BX92" s="137" t="n"/>
      <c r="BY92" s="137" t="n"/>
      <c r="BZ92" s="137" t="n"/>
      <c r="CA92" s="137" t="n"/>
      <c r="CB92" s="137" t="n"/>
    </row>
    <row r="93" ht="12.9" customFormat="1" customHeight="1" s="69">
      <c r="A93" s="106" t="inlineStr">
        <is>
          <t>53150501</t>
        </is>
      </c>
      <c r="B93" s="90" t="inlineStr">
        <is>
          <t>Multas, Sanciones y Litigios</t>
        </is>
      </c>
      <c r="C93" s="21">
        <f>'[5]Hoja 1'!$C$180</f>
        <v/>
      </c>
      <c r="D93" s="21" t="n">
        <v>5000000</v>
      </c>
      <c r="E93" s="21" t="n">
        <v>5000000</v>
      </c>
      <c r="F93" s="21" t="n">
        <v>5000000</v>
      </c>
      <c r="G93" s="67" t="n">
        <v>5000000</v>
      </c>
      <c r="H93" s="67" t="n"/>
      <c r="I93" s="67" t="n"/>
      <c r="J93" s="67" t="n"/>
      <c r="K93" s="67" t="n"/>
      <c r="L93" s="67" t="n"/>
      <c r="M93" s="67" t="n"/>
      <c r="N93" s="67" t="n"/>
      <c r="O93" s="67">
        <f>+SUM(C93:N93)</f>
        <v/>
      </c>
      <c r="P93" s="65" t="n"/>
    </row>
    <row r="94" ht="12.9" customHeight="1">
      <c r="A94" s="106" t="inlineStr">
        <is>
          <t>51956002</t>
        </is>
      </c>
      <c r="B94" s="90" t="inlineStr">
        <is>
          <t>Donaciones</t>
        </is>
      </c>
      <c r="C94" s="21">
        <f>'[5]Hoja 1'!$C$146</f>
        <v/>
      </c>
      <c r="D94" s="21" t="n">
        <v>9270040.67</v>
      </c>
      <c r="E94" s="21" t="n">
        <v>9270040.67</v>
      </c>
      <c r="F94" s="21" t="n">
        <v>9270040.67</v>
      </c>
      <c r="G94" s="21" t="n">
        <v>9270040.67</v>
      </c>
      <c r="H94" s="21" t="n"/>
      <c r="I94" s="21" t="n"/>
      <c r="J94" s="21" t="n"/>
      <c r="K94" s="21" t="n"/>
      <c r="L94" s="21" t="n"/>
      <c r="M94" s="21" t="n"/>
      <c r="N94" s="21" t="n"/>
      <c r="O94" s="47">
        <f>+SUM(C94:N94)</f>
        <v/>
      </c>
      <c r="P94" s="14" t="n"/>
    </row>
    <row r="95" ht="12.9" customHeight="1">
      <c r="A95" s="106" t="inlineStr">
        <is>
          <t>53954001</t>
        </is>
      </c>
      <c r="B95" s="89" t="inlineStr">
        <is>
          <t>Ajuste al peso</t>
        </is>
      </c>
      <c r="C95" s="25">
        <f>'[5]Hoja 1'!$C$182</f>
        <v/>
      </c>
      <c r="D95" s="25" t="n">
        <v>177.95</v>
      </c>
      <c r="E95" s="25" t="n">
        <v>177.95</v>
      </c>
      <c r="F95" s="25" t="n">
        <v>177.95</v>
      </c>
      <c r="G95" s="25" t="n">
        <v>177.95</v>
      </c>
      <c r="H95" s="25" t="n"/>
      <c r="I95" s="25" t="n"/>
      <c r="J95" s="25" t="n"/>
      <c r="K95" s="25" t="n"/>
      <c r="L95" s="25" t="n"/>
      <c r="M95" s="25" t="n"/>
      <c r="N95" s="25" t="n"/>
      <c r="O95" s="22">
        <f>+SUM(C95:N95)</f>
        <v/>
      </c>
      <c r="P95" s="14" t="n"/>
    </row>
    <row r="96" ht="15" customHeight="1">
      <c r="A96" s="107" t="n"/>
      <c r="B96" s="94" t="inlineStr">
        <is>
          <t>TOTAL ADMINISTRATIVOS</t>
        </is>
      </c>
      <c r="C96" s="95">
        <f>C5+C13+C19+C22+C28+C32+C46+C52+C59+C62+C66+C89+C90</f>
        <v/>
      </c>
      <c r="D96" s="95">
        <f>D5+D13+D19+D22+D28+D32+D46+D52+D59+D62+D66+D89+D90</f>
        <v/>
      </c>
      <c r="E96" s="95">
        <f>E5+E13+E19+E22+E28+E32+E46+E52+E59+E62+E66+E89+E90</f>
        <v/>
      </c>
      <c r="F96" s="95">
        <f>F5+F13+F19+F22+F28+F32+F46+F52+F59+F62+F66+F89+F90</f>
        <v/>
      </c>
      <c r="G96" s="48">
        <f>G5+G13+G19+G22+G28+G32+G46+G52+G59+G62+G66+G89+G90</f>
        <v/>
      </c>
      <c r="H96" s="48">
        <f>H5+H13+H19+H22+H28+H32+H46+H52+H59+H62+H66+H89+H90</f>
        <v/>
      </c>
      <c r="I96" s="48">
        <f>I5+I13+I19+I22+I28+I32+I46+I52+I59+I62+I66+I89+I90</f>
        <v/>
      </c>
      <c r="J96" s="48">
        <f>J5+J13+J19+J22+J28+J32+J46+J52+J59+J62+J66+J89+J90</f>
        <v/>
      </c>
      <c r="K96" s="48">
        <f>K5+K13+K19+K22+K28+K32+K46+K52+K59+K62+K66+K89+K90</f>
        <v/>
      </c>
      <c r="L96" s="48">
        <f>L5+L13+L19+L22+L28+L32+L46+L52+L59+L62+L66+L89+L90</f>
        <v/>
      </c>
      <c r="M96" s="48">
        <f>M5+M13+M19+M22+M28+M32+M46+M52+M59+M62+M66+M89+M90</f>
        <v/>
      </c>
      <c r="N96" s="48">
        <f>N5+N13+N19+N22+N28+N32+N46+N52+N59+N62+N66+N89+N90</f>
        <v/>
      </c>
      <c r="O96" s="48">
        <f>O5+O13+O19+O22+O28+O32+O46+O52+O59+O62+O66+O89+O90</f>
        <v/>
      </c>
      <c r="P96" s="14" t="n"/>
    </row>
    <row r="97" ht="15" customHeight="1">
      <c r="A97" s="109" t="n"/>
      <c r="B97" s="96" t="n"/>
      <c r="C97" s="49" t="n"/>
      <c r="D97" s="49" t="n"/>
      <c r="E97" s="49" t="n"/>
      <c r="F97" s="97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14" t="n"/>
    </row>
    <row r="98" ht="15" customFormat="1" customHeight="1" s="11">
      <c r="A98" s="111" t="n"/>
      <c r="B98" s="87" t="inlineStr">
        <is>
          <t>FINANCIEROS</t>
        </is>
      </c>
      <c r="C98" s="9">
        <f>SUM(C99:C107)</f>
        <v/>
      </c>
      <c r="D98" s="9">
        <f>SUM(D99:D107)</f>
        <v/>
      </c>
      <c r="E98" s="9">
        <f>SUM(E99:E107)</f>
        <v/>
      </c>
      <c r="F98" s="9">
        <f>SUM(F99:F107)</f>
        <v/>
      </c>
      <c r="G98" s="50">
        <f>SUM(G99:G107)</f>
        <v/>
      </c>
      <c r="H98" s="50">
        <f>SUM(H99:H107)</f>
        <v/>
      </c>
      <c r="I98" s="50">
        <f>SUM(I99:I107)</f>
        <v/>
      </c>
      <c r="J98" s="50">
        <f>SUM(J99:J107)</f>
        <v/>
      </c>
      <c r="K98" s="50">
        <f>SUM(K99:K107)</f>
        <v/>
      </c>
      <c r="L98" s="50">
        <f>SUM(L99:L107)</f>
        <v/>
      </c>
      <c r="M98" s="50">
        <f>SUM(M99:M107)</f>
        <v/>
      </c>
      <c r="N98" s="50">
        <f>SUM(N99:N107)</f>
        <v/>
      </c>
      <c r="O98" s="50">
        <f>SUM(O99:O107)</f>
        <v/>
      </c>
      <c r="P98" s="14" t="n"/>
    </row>
    <row r="99" ht="12.9" customHeight="1">
      <c r="A99" s="109" t="inlineStr">
        <is>
          <t xml:space="preserve">530505              </t>
        </is>
      </c>
      <c r="B99" s="88" t="inlineStr">
        <is>
          <t>Gastos Bancarios</t>
        </is>
      </c>
      <c r="C99" s="12">
        <f>'[5]Hoja 1'!$C$164</f>
        <v/>
      </c>
      <c r="D99" s="12" t="n">
        <v>721868.2</v>
      </c>
      <c r="E99" s="12" t="n">
        <v>721868.2</v>
      </c>
      <c r="F99" s="20" t="n">
        <v>721868.2</v>
      </c>
      <c r="G99" s="20" t="n">
        <v>721868.2</v>
      </c>
      <c r="H99" s="20" t="n"/>
      <c r="I99" s="20" t="n"/>
      <c r="J99" s="20" t="n"/>
      <c r="K99" s="20" t="n"/>
      <c r="L99" s="20" t="n"/>
      <c r="M99" s="13" t="n"/>
      <c r="N99" s="13" t="n"/>
      <c r="O99" s="13">
        <f>+SUM(C99:N99)</f>
        <v/>
      </c>
      <c r="P99" s="14" t="n"/>
    </row>
    <row r="100" ht="12.9" customHeight="1">
      <c r="A100" s="109" t="inlineStr">
        <is>
          <t xml:space="preserve">530515              </t>
        </is>
      </c>
      <c r="B100" s="90" t="inlineStr">
        <is>
          <t>Comisiones</t>
        </is>
      </c>
      <c r="C100" s="15">
        <f>'[5]Hoja 1'!$C$167</f>
        <v/>
      </c>
      <c r="D100" s="15" t="n">
        <v>2541356.16</v>
      </c>
      <c r="E100" s="15" t="n">
        <v>2541356.16</v>
      </c>
      <c r="F100" s="21" t="n">
        <v>2541356.16</v>
      </c>
      <c r="G100" s="21" t="n">
        <v>2541356.16</v>
      </c>
      <c r="H100" s="21" t="n"/>
      <c r="I100" s="21" t="n"/>
      <c r="J100" s="21" t="n"/>
      <c r="K100" s="21" t="n"/>
      <c r="L100" s="21" t="n"/>
      <c r="M100" s="16" t="n"/>
      <c r="N100" s="16" t="n"/>
      <c r="O100" s="16">
        <f>+SUM(C100:N100)</f>
        <v/>
      </c>
      <c r="P100" s="14" t="n"/>
    </row>
    <row r="101" ht="12.9" customHeight="1">
      <c r="A101" s="109" t="inlineStr">
        <is>
          <t xml:space="preserve">53052001            </t>
        </is>
      </c>
      <c r="B101" s="98" t="inlineStr">
        <is>
          <t>Intereses Corrientes Obligaciones</t>
        </is>
      </c>
      <c r="C101" s="15">
        <f>'[5]Hoja 1'!$C$172</f>
        <v/>
      </c>
      <c r="D101" s="15" t="n">
        <v>2367762.52</v>
      </c>
      <c r="E101" s="15" t="n">
        <v>2367762.52</v>
      </c>
      <c r="F101" s="15" t="n">
        <v>2367762.52</v>
      </c>
      <c r="G101" s="15" t="n">
        <v>2367762.52</v>
      </c>
      <c r="H101" s="15" t="n"/>
      <c r="I101" s="15" t="n"/>
      <c r="J101" s="15" t="n"/>
      <c r="K101" s="15" t="n"/>
      <c r="L101" s="15" t="n"/>
      <c r="M101" s="15" t="n"/>
      <c r="N101" s="15" t="n"/>
      <c r="O101" s="16">
        <f>+SUM(C101:N101)</f>
        <v/>
      </c>
      <c r="P101" s="14" t="n"/>
    </row>
    <row r="102" ht="12.9" customFormat="1" customHeight="1" s="69">
      <c r="A102" s="109" t="inlineStr">
        <is>
          <t xml:space="preserve">53052002            </t>
        </is>
      </c>
      <c r="B102" s="98" t="inlineStr">
        <is>
          <t>Intereses  Moratorios</t>
        </is>
      </c>
      <c r="C102" s="15">
        <f>'[5]Hoja 1'!$C$173</f>
        <v/>
      </c>
      <c r="D102" s="15" t="n">
        <v>38900</v>
      </c>
      <c r="E102" s="15" t="n">
        <v>38900</v>
      </c>
      <c r="F102" s="15" t="n">
        <v>38900</v>
      </c>
      <c r="G102" s="74" t="n">
        <v>38900</v>
      </c>
      <c r="H102" s="74" t="n"/>
      <c r="I102" s="74" t="n"/>
      <c r="J102" s="74" t="n"/>
      <c r="K102" s="74" t="n"/>
      <c r="L102" s="74" t="n"/>
      <c r="M102" s="68" t="n"/>
      <c r="N102" s="68" t="n"/>
      <c r="O102" s="68">
        <f>+SUM(C102:N102)</f>
        <v/>
      </c>
      <c r="P102" s="65" t="n"/>
    </row>
    <row r="103" ht="12.9" customHeight="1">
      <c r="A103" s="109" t="n"/>
      <c r="B103" s="98" t="inlineStr">
        <is>
          <t>Intereses Sobregiro</t>
        </is>
      </c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6" t="n"/>
      <c r="N103" s="16" t="n"/>
      <c r="O103" s="16">
        <f>+SUM(C103:N103)</f>
        <v/>
      </c>
      <c r="P103" s="14" t="n"/>
    </row>
    <row r="104" ht="12.9" customHeight="1">
      <c r="A104" s="109" t="inlineStr">
        <is>
          <t xml:space="preserve">53052004            </t>
        </is>
      </c>
      <c r="B104" s="98" t="inlineStr">
        <is>
          <t>Intereses corrientes Leasing</t>
        </is>
      </c>
      <c r="C104" s="15" t="n"/>
      <c r="D104" s="15" t="n">
        <v>3769285</v>
      </c>
      <c r="E104" s="15" t="n">
        <v>3769285</v>
      </c>
      <c r="F104" s="15" t="n">
        <v>3769285</v>
      </c>
      <c r="G104" s="15" t="n">
        <v>3769285</v>
      </c>
      <c r="H104" s="15" t="n"/>
      <c r="I104" s="15" t="n"/>
      <c r="J104" s="15" t="n"/>
      <c r="K104" s="15" t="n"/>
      <c r="L104" s="15" t="n"/>
      <c r="M104" s="16" t="n"/>
      <c r="N104" s="16" t="n"/>
      <c r="O104" s="16">
        <f>+SUM(C104:N104)</f>
        <v/>
      </c>
      <c r="P104" s="14" t="n"/>
    </row>
    <row r="105" ht="12.9" customHeight="1">
      <c r="A105" s="109" t="inlineStr">
        <is>
          <t xml:space="preserve">53059502            </t>
        </is>
      </c>
      <c r="B105" s="98" t="inlineStr">
        <is>
          <t>Seguro Credito Leasing</t>
        </is>
      </c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6" t="n"/>
      <c r="N105" s="16" t="n"/>
      <c r="O105" s="16">
        <f>+SUM(C105:N105)</f>
        <v/>
      </c>
      <c r="P105" s="14" t="n"/>
    </row>
    <row r="106" ht="12.9" customHeight="1">
      <c r="A106" s="109" t="inlineStr">
        <is>
          <t xml:space="preserve">51159502            </t>
        </is>
      </c>
      <c r="B106" s="90" t="inlineStr">
        <is>
          <t>Gravámen a Movimientos Financieros</t>
        </is>
      </c>
      <c r="C106" s="15">
        <f>'[5]Hoja 1'!$C$82+'[5]Hoja 1'!$C$175</f>
        <v/>
      </c>
      <c r="D106" s="15" t="n">
        <v>24168220.41</v>
      </c>
      <c r="E106" s="15" t="n">
        <v>24168220.41</v>
      </c>
      <c r="F106" s="15" t="n">
        <v>24168220.41</v>
      </c>
      <c r="G106" s="15" t="n">
        <v>24168220.41</v>
      </c>
      <c r="H106" s="15" t="n"/>
      <c r="I106" s="15" t="n"/>
      <c r="J106" s="15" t="n"/>
      <c r="K106" s="15" t="n"/>
      <c r="L106" s="15" t="n"/>
      <c r="M106" s="15" t="n"/>
      <c r="N106" s="15" t="n"/>
      <c r="O106" s="16">
        <f>+SUM(C106:N106)</f>
        <v/>
      </c>
      <c r="P106" s="14" t="n"/>
    </row>
    <row r="107" ht="12.9" customHeight="1">
      <c r="A107" s="109" t="inlineStr">
        <is>
          <t xml:space="preserve">530595              </t>
        </is>
      </c>
      <c r="B107" s="89" t="inlineStr">
        <is>
          <t xml:space="preserve">Otros </t>
        </is>
      </c>
      <c r="C107" s="18">
        <f>'[5]Hoja 1'!$C$177</f>
        <v/>
      </c>
      <c r="D107" s="18" t="n"/>
      <c r="E107" s="18" t="n"/>
      <c r="F107" s="25" t="n"/>
      <c r="G107" s="25" t="n"/>
      <c r="H107" s="25" t="n"/>
      <c r="I107" s="25" t="n"/>
      <c r="J107" s="25" t="n"/>
      <c r="K107" s="25" t="n"/>
      <c r="L107" s="25" t="n"/>
      <c r="M107" s="22" t="n"/>
      <c r="N107" s="22" t="n"/>
      <c r="O107" s="22">
        <f>+SUM(C107:N107)</f>
        <v/>
      </c>
      <c r="P107" s="14" t="n"/>
    </row>
    <row r="108" ht="12.9" customHeight="1">
      <c r="A108" s="109" t="n"/>
      <c r="B108" s="83" t="inlineStr">
        <is>
          <t>INTERESES SOCIOS</t>
        </is>
      </c>
      <c r="C108" s="9">
        <f>96313193+10045491</f>
        <v/>
      </c>
      <c r="D108" s="9">
        <f>99151187+9611660</f>
        <v/>
      </c>
      <c r="E108" s="9" t="n"/>
      <c r="F108" s="9" t="n"/>
      <c r="G108" s="9" t="n"/>
      <c r="H108" s="9" t="n"/>
      <c r="I108" s="9" t="n"/>
      <c r="J108" s="9" t="n"/>
      <c r="K108" s="9" t="n"/>
      <c r="L108" s="9" t="n"/>
      <c r="M108" s="51" t="n"/>
      <c r="N108" s="9" t="n"/>
      <c r="O108" s="52">
        <f>+SUM(C108:N108)</f>
        <v/>
      </c>
      <c r="P108" s="14" t="n"/>
    </row>
    <row r="109" ht="15" customFormat="1" customHeight="1" s="11">
      <c r="A109" s="109" t="n"/>
      <c r="B109" s="87" t="inlineStr">
        <is>
          <t>TOTAL FINANCIEROS</t>
        </is>
      </c>
      <c r="C109" s="9">
        <f>C98+C108</f>
        <v/>
      </c>
      <c r="D109" s="9">
        <f>D98+D108</f>
        <v/>
      </c>
      <c r="E109" s="9">
        <f>E98+E108</f>
        <v/>
      </c>
      <c r="F109" s="9">
        <f>F98+F108</f>
        <v/>
      </c>
      <c r="G109" s="50">
        <f>G98+G108</f>
        <v/>
      </c>
      <c r="H109" s="50">
        <f>H98+H108</f>
        <v/>
      </c>
      <c r="I109" s="50">
        <f>I98+I108</f>
        <v/>
      </c>
      <c r="J109" s="50">
        <f>J98+J108</f>
        <v/>
      </c>
      <c r="K109" s="50">
        <f>K98+K108</f>
        <v/>
      </c>
      <c r="L109" s="50">
        <f>L98+L108</f>
        <v/>
      </c>
      <c r="M109" s="50">
        <f>M98+M108</f>
        <v/>
      </c>
      <c r="N109" s="50">
        <f>N98+N108</f>
        <v/>
      </c>
      <c r="O109" s="50">
        <f>O98+O108</f>
        <v/>
      </c>
      <c r="P109" s="14" t="n"/>
    </row>
    <row r="110" ht="15" customHeight="1">
      <c r="A110" s="109" t="n"/>
      <c r="B110" s="99" t="n"/>
      <c r="C110" s="100" t="n"/>
      <c r="D110" s="100" t="n"/>
      <c r="E110" s="100" t="n"/>
      <c r="F110" s="100" t="n"/>
      <c r="G110" s="53" t="n"/>
      <c r="H110" s="54" t="n"/>
      <c r="I110" s="54" t="n"/>
      <c r="J110" s="54" t="n"/>
      <c r="K110" s="54" t="n"/>
      <c r="L110" s="54" t="n"/>
      <c r="M110" s="54" t="n"/>
      <c r="N110" s="54" t="n"/>
      <c r="O110" s="53" t="n"/>
    </row>
    <row r="111" hidden="1" ht="15" customFormat="1" customHeight="1" s="11">
      <c r="A111" s="109" t="n"/>
      <c r="B111" s="87" t="inlineStr">
        <is>
          <t>GASTOS DE PERSONAL DIRECTIVO</t>
        </is>
      </c>
      <c r="C111" s="9" t="n"/>
      <c r="D111" s="9" t="n"/>
      <c r="E111" s="9" t="n"/>
      <c r="F111" s="9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>
        <f>+SUM(C111:N111)</f>
        <v/>
      </c>
      <c r="P111" s="10" t="n"/>
    </row>
    <row r="112" ht="15" customHeight="1">
      <c r="A112" s="110" t="n"/>
      <c r="B112" s="87" t="inlineStr">
        <is>
          <t>GASTOS NO OPERACIONALES</t>
        </is>
      </c>
      <c r="C112" s="9" t="n"/>
      <c r="D112" s="9" t="n"/>
      <c r="E112" s="9" t="n"/>
      <c r="F112" s="9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</row>
    <row r="113" ht="15" customHeight="1">
      <c r="A113" s="110" t="n"/>
      <c r="B113" s="88" t="inlineStr">
        <is>
          <t>COSTO DE FACTURAS</t>
        </is>
      </c>
      <c r="C113" s="12" t="n">
        <v>15396000</v>
      </c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3">
        <f>+SUM(C113:N113)</f>
        <v/>
      </c>
    </row>
    <row r="114" ht="15" customHeight="1">
      <c r="A114" s="110" t="n"/>
      <c r="B114" s="90" t="inlineStr">
        <is>
          <t>RECREARTE</t>
        </is>
      </c>
      <c r="C114" s="15">
        <f>[1]RECREARTE!$C$141</f>
        <v/>
      </c>
      <c r="D114" s="15">
        <f>[1]RECREARTE!$F$141</f>
        <v/>
      </c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6">
        <f>+SUM(C114:N114)</f>
        <v/>
      </c>
    </row>
    <row r="115" ht="15" customHeight="1">
      <c r="A115" s="110" t="n"/>
      <c r="B115" s="98" t="inlineStr">
        <is>
          <t>PROVISION 2025 - INDEMNIZACION DE PERSONAL</t>
        </is>
      </c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6">
        <f>+SUM(C115:N115)</f>
        <v/>
      </c>
    </row>
    <row r="116" ht="15" customHeight="1">
      <c r="A116" s="110" t="n"/>
      <c r="B116" s="98" t="inlineStr">
        <is>
          <t>(-) DESCUENTOS COMERCIALES</t>
        </is>
      </c>
      <c r="C116" s="15" t="n"/>
      <c r="D116" s="15">
        <f>'[12]Hoja 1'!$E$23</f>
        <v/>
      </c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6" t="n"/>
      <c r="N116" s="16" t="n"/>
      <c r="O116" s="16">
        <f>+SUM(C116:N116)</f>
        <v/>
      </c>
    </row>
    <row r="117" ht="15" customHeight="1">
      <c r="A117" s="110" t="n"/>
      <c r="B117" s="98" t="inlineStr">
        <is>
          <t>(-) INGRESOS NO OPERACIONALES</t>
        </is>
      </c>
      <c r="C117" s="15" t="n"/>
      <c r="D117" s="15">
        <f>'[12]Hoja 1'!$E$28</f>
        <v/>
      </c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6" t="n"/>
      <c r="N117" s="16" t="n"/>
      <c r="O117" s="16">
        <f>+SUM(C117:N117)</f>
        <v/>
      </c>
    </row>
    <row r="118" ht="15" customHeight="1">
      <c r="A118" s="110" t="n"/>
      <c r="B118" s="98" t="inlineStr">
        <is>
          <t>(-) INGRESOS INCAPACIDADES</t>
        </is>
      </c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6" t="n"/>
      <c r="N118" s="16" t="n"/>
      <c r="O118" s="16">
        <f>+SUM(C118:N118)</f>
        <v/>
      </c>
    </row>
    <row r="119" ht="15" customHeight="1">
      <c r="A119" s="110" t="n"/>
      <c r="B119" s="87" t="inlineStr">
        <is>
          <t>TOTAL GASTOS NO OPERACIONALES</t>
        </is>
      </c>
      <c r="C119" s="9">
        <f>SUM(C113:C115)-SUM(C116:C118)</f>
        <v/>
      </c>
      <c r="D119" s="9">
        <f>SUM(D113:D115)-SUM(D116:D118)</f>
        <v/>
      </c>
      <c r="E119" s="9">
        <f>SUM(E113:E115)-SUM(E116:E118)</f>
        <v/>
      </c>
      <c r="F119" s="9">
        <f>SUM(F113:F115)-SUM(F116:F118)</f>
        <v/>
      </c>
      <c r="G119" s="50">
        <f>SUM(G113:G115)-SUM(G116:G118)</f>
        <v/>
      </c>
      <c r="H119" s="50">
        <f>SUM(H113:H115)-SUM(H116:H118)</f>
        <v/>
      </c>
      <c r="I119" s="50">
        <f>SUM(I113:I115)-SUM(I116:I118)</f>
        <v/>
      </c>
      <c r="J119" s="50">
        <f>SUM(J113:J115)-SUM(J116:J118)</f>
        <v/>
      </c>
      <c r="K119" s="50">
        <f>SUM(K113:K115)-SUM(K116:K118)</f>
        <v/>
      </c>
      <c r="L119" s="50">
        <f>SUM(L113:L115)-SUM(L116:L118)</f>
        <v/>
      </c>
      <c r="M119" s="50">
        <f>SUM(M113:M115)-SUM(M116:M118)</f>
        <v/>
      </c>
      <c r="N119" s="50">
        <f>SUM(N113:N115)-SUM(N116:N118)</f>
        <v/>
      </c>
      <c r="O119" s="50">
        <f>+SUM(C119:N119)</f>
        <v/>
      </c>
    </row>
    <row r="120" ht="15" customHeight="1">
      <c r="A120" s="110" t="n"/>
      <c r="B120" s="40" t="n"/>
      <c r="C120" s="92" t="n"/>
      <c r="D120" s="101" t="n"/>
      <c r="E120" s="92" t="n"/>
      <c r="F120" s="92" t="n"/>
      <c r="L120" s="58" t="n"/>
      <c r="M120" s="58" t="n"/>
      <c r="N120" s="58" t="n"/>
      <c r="O120" s="59" t="n"/>
    </row>
    <row r="121" ht="15" customHeight="1">
      <c r="A121" s="110" t="n"/>
      <c r="B121" s="40" t="n"/>
      <c r="C121" s="101" t="n"/>
      <c r="D121" s="101">
        <f>D96+D109+'[1]GASTOS OPERATIVOS'!D17+'[1]GASTOS VEHICULOS'!D25</f>
        <v/>
      </c>
      <c r="E121" s="92" t="n"/>
      <c r="F121" s="92" t="n"/>
      <c r="J121" s="58" t="n"/>
      <c r="M121" s="58" t="n"/>
      <c r="O121" s="60" t="n"/>
    </row>
    <row r="122" ht="15" customHeight="1">
      <c r="A122" s="110" t="n"/>
      <c r="B122" s="40" t="n"/>
      <c r="C122" s="101" t="n"/>
      <c r="D122" s="101">
        <f>'[12]Hoja 1'!$C$30+'[12]Hoja 1'!$C$199+'[12]Hoja 1'!$C$204+'[12]Hoja 1'!$C$240</f>
        <v/>
      </c>
      <c r="E122" s="92" t="n"/>
      <c r="F122" s="92" t="n"/>
    </row>
    <row r="123" ht="15" customHeight="1">
      <c r="A123" s="110" t="n"/>
      <c r="B123" s="40" t="n"/>
      <c r="C123" s="101" t="n"/>
      <c r="D123" s="92">
        <f>D121-D122</f>
        <v/>
      </c>
      <c r="E123" s="92" t="n"/>
      <c r="F123" s="92" t="n"/>
      <c r="O123" s="61" t="n"/>
    </row>
    <row r="124" ht="11.4" customHeight="1">
      <c r="A124" s="110" t="n"/>
      <c r="B124" s="40" t="n"/>
      <c r="C124" s="92" t="n"/>
      <c r="D124" s="92" t="n"/>
      <c r="E124" s="92" t="n"/>
      <c r="F124" s="92" t="n"/>
    </row>
    <row r="125" ht="15" customHeight="1">
      <c r="A125" s="110" t="n"/>
      <c r="B125" s="40" t="n"/>
      <c r="C125" s="92" t="n"/>
      <c r="D125" s="92" t="n"/>
      <c r="E125" s="101" t="n"/>
      <c r="F125" s="101" t="n"/>
      <c r="G125" s="56" t="n"/>
      <c r="I125" s="58" t="n"/>
      <c r="J125" s="58" t="n"/>
      <c r="L125" s="58" t="n"/>
      <c r="M125" s="58" t="n"/>
      <c r="O125" s="60" t="n"/>
    </row>
    <row r="126" ht="15" customHeight="1">
      <c r="A126" s="110" t="n"/>
      <c r="B126" s="40" t="n"/>
      <c r="C126" s="92" t="n"/>
      <c r="D126" s="101" t="n">
        <v>-55134543</v>
      </c>
      <c r="E126" s="101" t="n"/>
      <c r="F126" s="101" t="n"/>
      <c r="G126" s="56" t="n"/>
      <c r="J126" s="137" t="n"/>
      <c r="K126" s="58" t="n"/>
      <c r="L126" s="58" t="n"/>
      <c r="M126" s="58" t="n"/>
      <c r="O126" s="60" t="inlineStr">
        <is>
          <t>JUNTA</t>
        </is>
      </c>
    </row>
    <row r="127" ht="15" customHeight="1">
      <c r="A127" s="110" t="n"/>
      <c r="B127" s="40" t="n"/>
      <c r="C127" s="92" t="n"/>
      <c r="D127" s="101" t="n">
        <v>-4115810</v>
      </c>
      <c r="E127" s="92" t="n"/>
      <c r="F127" s="101" t="n"/>
      <c r="G127" s="56" t="n"/>
      <c r="J127" s="137" t="n"/>
      <c r="K127" s="58" t="n"/>
      <c r="L127" s="58" t="n"/>
      <c r="M127" s="58" t="n"/>
      <c r="O127" s="60" t="inlineStr">
        <is>
          <t>CASINO</t>
        </is>
      </c>
    </row>
    <row r="128" ht="15" customHeight="1">
      <c r="A128" s="110" t="n"/>
      <c r="B128" s="40" t="n"/>
      <c r="C128" s="92" t="n"/>
      <c r="D128" s="92">
        <f>SUM(D126:D127)</f>
        <v/>
      </c>
      <c r="E128" s="92" t="n"/>
      <c r="F128" s="101" t="n"/>
      <c r="G128" s="56" t="n"/>
      <c r="J128" s="137" t="n"/>
      <c r="K128" s="58" t="n"/>
      <c r="L128" s="58" t="n"/>
      <c r="M128" s="58" t="n"/>
      <c r="O128" s="60" t="n"/>
    </row>
    <row r="129" ht="15" customHeight="1">
      <c r="A129" s="110" t="n"/>
      <c r="B129" s="40" t="n"/>
      <c r="C129" s="92" t="n"/>
      <c r="D129" s="92" t="n"/>
      <c r="E129" s="92" t="n"/>
      <c r="F129" s="101" t="n"/>
      <c r="G129" s="56" t="n"/>
      <c r="J129" s="137" t="n"/>
      <c r="K129" s="58" t="n"/>
      <c r="L129" s="58" t="n"/>
      <c r="M129" s="58" t="n"/>
      <c r="O129" s="60" t="n"/>
    </row>
    <row r="130" ht="15" customHeight="1">
      <c r="A130" s="110" t="n"/>
      <c r="B130" s="40" t="n"/>
      <c r="C130" s="92" t="n"/>
      <c r="D130" s="92">
        <f>D128-D123</f>
        <v/>
      </c>
      <c r="E130" s="92" t="n"/>
      <c r="F130" s="101" t="n"/>
      <c r="G130" s="56" t="n"/>
      <c r="J130" s="137" t="n"/>
      <c r="K130" s="58" t="n"/>
      <c r="L130" s="58" t="n"/>
      <c r="M130" s="58" t="n"/>
      <c r="O130" s="60" t="n"/>
    </row>
    <row r="131" ht="15" customHeight="1">
      <c r="A131" s="110" t="n"/>
      <c r="B131" s="40" t="n"/>
      <c r="C131" s="92" t="n"/>
      <c r="D131" s="92" t="n"/>
      <c r="E131" s="92" t="n"/>
      <c r="F131" s="101" t="n"/>
      <c r="G131" s="56" t="n"/>
      <c r="J131" s="137" t="n"/>
      <c r="K131" s="58" t="n"/>
      <c r="L131" s="58" t="n"/>
      <c r="O131" s="56" t="n"/>
    </row>
    <row r="132" ht="15" customHeight="1">
      <c r="A132" s="110" t="n"/>
      <c r="B132" s="40" t="n"/>
      <c r="C132" s="92" t="n"/>
      <c r="D132" s="92" t="n"/>
      <c r="E132" s="92" t="n"/>
      <c r="F132" s="92" t="n"/>
      <c r="G132" s="56" t="n"/>
      <c r="J132" s="58" t="n"/>
      <c r="K132" s="58" t="n"/>
      <c r="L132" s="58" t="n"/>
      <c r="O132" s="62" t="n"/>
    </row>
    <row r="133" ht="15" customHeight="1">
      <c r="A133" s="110" t="n"/>
      <c r="B133" s="40" t="n"/>
      <c r="C133" s="92" t="n"/>
      <c r="D133" s="92" t="n"/>
      <c r="E133" s="92" t="n"/>
      <c r="F133" s="92" t="n"/>
      <c r="J133" s="58" t="n"/>
      <c r="K133" s="137" t="n"/>
      <c r="L133" s="58" t="n"/>
      <c r="M133" s="58" t="n"/>
      <c r="O133" s="60" t="n"/>
    </row>
    <row r="134" ht="15" customHeight="1">
      <c r="A134" s="110" t="n"/>
      <c r="B134" s="40" t="n"/>
      <c r="C134" s="92" t="n"/>
      <c r="D134" s="92" t="n"/>
      <c r="E134" s="92" t="n"/>
      <c r="F134" s="92" t="n"/>
      <c r="J134" s="58" t="n"/>
      <c r="M134" s="58" t="n"/>
      <c r="O134" s="60" t="n"/>
    </row>
    <row r="135" ht="15" customHeight="1">
      <c r="A135" s="110" t="n"/>
      <c r="B135" s="40" t="n"/>
      <c r="C135" s="92" t="n"/>
      <c r="D135" s="92" t="n"/>
      <c r="E135" s="92" t="n"/>
      <c r="F135" s="92" t="n"/>
      <c r="J135" s="58" t="n"/>
      <c r="M135" s="58" t="n"/>
      <c r="O135" s="60" t="n"/>
    </row>
    <row r="136" ht="15" customHeight="1">
      <c r="A136" s="110" t="n"/>
      <c r="B136" s="40" t="n"/>
      <c r="C136" s="92" t="n"/>
      <c r="D136" s="92" t="n"/>
      <c r="E136" s="92" t="n"/>
      <c r="F136" s="92" t="n"/>
      <c r="J136" s="58" t="n"/>
      <c r="M136" s="58" t="n"/>
      <c r="O136" s="60" t="n"/>
    </row>
    <row r="137" ht="15" customHeight="1">
      <c r="A137" s="110" t="n"/>
      <c r="B137" s="40" t="n"/>
      <c r="C137" s="92" t="n"/>
      <c r="D137" s="92" t="n"/>
      <c r="E137" s="92" t="n"/>
      <c r="F137" s="92" t="n"/>
      <c r="J137" s="58" t="n"/>
      <c r="M137" s="58" t="n"/>
    </row>
    <row r="138" ht="15" customHeight="1">
      <c r="A138" s="110" t="n"/>
      <c r="B138" s="40" t="n"/>
      <c r="C138" s="92" t="n"/>
      <c r="D138" s="92" t="n"/>
      <c r="E138" s="92" t="n"/>
      <c r="F138" s="92" t="n"/>
      <c r="M138" s="58" t="n"/>
    </row>
    <row r="139" ht="15" customHeight="1">
      <c r="A139" s="110" t="n"/>
      <c r="B139" s="40" t="n"/>
      <c r="C139" s="92" t="n"/>
      <c r="D139" s="92" t="n"/>
      <c r="E139" s="92" t="n"/>
      <c r="F139" s="92" t="n"/>
      <c r="M139" s="58" t="n"/>
    </row>
    <row r="140" ht="15" customHeight="1">
      <c r="M140" s="58" t="n"/>
    </row>
    <row r="141" ht="15" customHeight="1">
      <c r="M141" s="58" t="n"/>
    </row>
    <row r="142" ht="15" customHeight="1">
      <c r="M142" s="58" t="n"/>
    </row>
    <row r="143" ht="15" customHeight="1">
      <c r="M143" s="58" t="n"/>
    </row>
    <row r="144" ht="15" customHeight="1">
      <c r="M144" s="58" t="n"/>
    </row>
    <row r="145" ht="15" customHeight="1">
      <c r="M145" s="58" t="n"/>
    </row>
    <row r="146" ht="15" customHeight="1">
      <c r="M146" s="58" t="n"/>
    </row>
    <row r="147" ht="15" customHeight="1">
      <c r="M147" s="58" t="n"/>
    </row>
    <row r="148" ht="15" customHeight="1">
      <c r="M148" s="58" t="n"/>
    </row>
    <row r="149" ht="15" customHeight="1">
      <c r="M149" s="58" t="n"/>
    </row>
    <row r="150" ht="15" customHeight="1">
      <c r="M150" s="58" t="n"/>
    </row>
    <row r="151" ht="15" customHeight="1">
      <c r="M151" s="58" t="n"/>
    </row>
    <row r="152" ht="15" customHeight="1">
      <c r="M152" s="58" t="n"/>
    </row>
    <row r="153" ht="15" customHeight="1">
      <c r="M153" s="58" t="n"/>
    </row>
    <row r="154" ht="15" customHeight="1">
      <c r="M154" s="58" t="n"/>
    </row>
    <row r="155" ht="15" customHeight="1">
      <c r="M155" s="58" t="n"/>
    </row>
    <row r="156" ht="15" customHeight="1">
      <c r="M156" s="58" t="n"/>
    </row>
    <row r="157" ht="15" customHeight="1">
      <c r="M157" s="58" t="n"/>
    </row>
    <row r="158" ht="15" customHeight="1">
      <c r="M158" s="58" t="n"/>
    </row>
    <row r="159" ht="15" customHeight="1">
      <c r="M159" s="58" t="n"/>
    </row>
    <row r="160" ht="15" customHeight="1">
      <c r="M160" s="58" t="n"/>
    </row>
    <row r="161" ht="15" customHeight="1">
      <c r="M161" s="58" t="n"/>
    </row>
    <row r="162" ht="15" customHeight="1">
      <c r="M162" s="58" t="n"/>
    </row>
    <row r="163" ht="15" customHeight="1">
      <c r="M163" s="58" t="n"/>
    </row>
    <row r="164" ht="15" customHeight="1">
      <c r="M164" s="58" t="n"/>
    </row>
    <row r="165" ht="15" customHeight="1">
      <c r="M165" s="58" t="n"/>
    </row>
    <row r="166" ht="15" customHeight="1">
      <c r="M166" s="58" t="n"/>
    </row>
    <row r="167" ht="15" customHeight="1">
      <c r="M167" s="58" t="n"/>
    </row>
    <row r="168" ht="15" customHeight="1">
      <c r="M168" s="58" t="n"/>
    </row>
    <row r="169" ht="15" customHeight="1">
      <c r="M169" s="58" t="n"/>
    </row>
    <row r="170" ht="15" customHeight="1">
      <c r="M170" s="58" t="n"/>
    </row>
    <row r="171" ht="15" customHeight="1">
      <c r="M171" s="58" t="n"/>
    </row>
    <row r="172" ht="15" customHeight="1">
      <c r="M172" s="58" t="n"/>
    </row>
    <row r="173" ht="15" customHeight="1">
      <c r="M173" s="58" t="n"/>
    </row>
    <row r="174" ht="15" customHeight="1">
      <c r="M174" s="58" t="n"/>
    </row>
    <row r="175" ht="15" customHeight="1">
      <c r="M175" s="58" t="n"/>
    </row>
    <row r="176" ht="15" customHeight="1">
      <c r="M176" s="58" t="n"/>
    </row>
    <row r="177" ht="15" customHeight="1">
      <c r="M177" s="58" t="n"/>
    </row>
    <row r="178" ht="15" customHeight="1">
      <c r="M178" s="58" t="n"/>
    </row>
    <row r="179" ht="15" customHeight="1">
      <c r="M179" s="58" t="n"/>
    </row>
    <row r="180" ht="15" customHeight="1">
      <c r="M180" s="58" t="n"/>
    </row>
    <row r="181" ht="15" customHeight="1">
      <c r="M181" s="58" t="n"/>
    </row>
    <row r="182" ht="15" customHeight="1">
      <c r="M182" s="58" t="n"/>
    </row>
    <row r="183" ht="15" customHeight="1">
      <c r="M183" s="58" t="n"/>
    </row>
    <row r="184" ht="15" customHeight="1">
      <c r="M184" s="58" t="n"/>
    </row>
    <row r="185" ht="15" customHeight="1">
      <c r="M185" s="58" t="n"/>
    </row>
    <row r="186" ht="15" customHeight="1">
      <c r="M186" s="58" t="n"/>
    </row>
    <row r="187" ht="15" customHeight="1">
      <c r="M187" s="58" t="n"/>
    </row>
    <row r="188" ht="15" customHeight="1">
      <c r="M188" s="58" t="n"/>
    </row>
    <row r="189" ht="15" customHeight="1">
      <c r="M189" s="58" t="n"/>
    </row>
    <row r="190" ht="15" customHeight="1">
      <c r="M190" s="58" t="n"/>
    </row>
    <row r="191" ht="15" customHeight="1">
      <c r="M191" s="58" t="n"/>
    </row>
    <row r="192" ht="15" customHeight="1">
      <c r="M192" s="58" t="n"/>
    </row>
    <row r="193" ht="15" customHeight="1">
      <c r="M193" s="58" t="n"/>
    </row>
    <row r="194" ht="15" customHeight="1">
      <c r="M194" s="58" t="n"/>
    </row>
    <row r="195" ht="15" customHeight="1">
      <c r="M195" s="58" t="n"/>
    </row>
    <row r="196" ht="15" customHeight="1">
      <c r="M196" s="58" t="n"/>
    </row>
    <row r="197" ht="15" customHeight="1">
      <c r="M197" s="58" t="n"/>
    </row>
    <row r="198" ht="15" customHeight="1">
      <c r="M198" s="58" t="n"/>
    </row>
    <row r="199" ht="15" customHeight="1">
      <c r="M199" s="58" t="n"/>
    </row>
    <row r="200" ht="15" customHeight="1">
      <c r="M200" s="58" t="n"/>
    </row>
    <row r="201" ht="15" customHeight="1">
      <c r="M201" s="58" t="n"/>
    </row>
    <row r="202" ht="15" customHeight="1">
      <c r="M202" s="58" t="n"/>
    </row>
    <row r="203" ht="15" customHeight="1">
      <c r="M203" s="58" t="n"/>
    </row>
    <row r="204" ht="15" customHeight="1">
      <c r="M204" s="58" t="n"/>
    </row>
    <row r="205" ht="15" customHeight="1">
      <c r="M205" s="58" t="n"/>
    </row>
    <row r="206" ht="15" customHeight="1">
      <c r="M206" s="58" t="n"/>
    </row>
    <row r="207" ht="15" customHeight="1">
      <c r="M207" s="58" t="n"/>
    </row>
    <row r="208" ht="15" customHeight="1">
      <c r="M208" s="58" t="n"/>
    </row>
    <row r="209" ht="15" customHeight="1">
      <c r="M209" s="58" t="n"/>
    </row>
    <row r="210" ht="15" customHeight="1">
      <c r="M210" s="58" t="n"/>
    </row>
    <row r="211" ht="15" customHeight="1">
      <c r="M211" s="58" t="n"/>
    </row>
    <row r="212" ht="15" customHeight="1">
      <c r="M212" s="58" t="n"/>
    </row>
    <row r="213" ht="15" customHeight="1">
      <c r="M213" s="58" t="n"/>
    </row>
    <row r="214" ht="15" customHeight="1">
      <c r="M214" s="58" t="n"/>
    </row>
    <row r="215" ht="15" customHeight="1">
      <c r="M215" s="58" t="n"/>
    </row>
    <row r="216" ht="15" customHeight="1">
      <c r="M216" s="58" t="n"/>
    </row>
    <row r="217" ht="15" customHeight="1">
      <c r="M217" s="58" t="n"/>
    </row>
    <row r="218" ht="15" customHeight="1">
      <c r="M218" s="58" t="n"/>
    </row>
    <row r="219" ht="15" customHeight="1">
      <c r="M219" s="58" t="n"/>
    </row>
    <row r="220" ht="15" customHeight="1">
      <c r="M220" s="58" t="n"/>
    </row>
    <row r="221" ht="15" customHeight="1">
      <c r="M221" s="58" t="n"/>
    </row>
    <row r="222" ht="15" customHeight="1">
      <c r="M222" s="58" t="n"/>
    </row>
    <row r="223" ht="15" customHeight="1">
      <c r="M223" s="58" t="n"/>
    </row>
    <row r="224" ht="15" customHeight="1">
      <c r="M224" s="58" t="n"/>
    </row>
    <row r="225" ht="15" customHeight="1">
      <c r="M225" s="58" t="n"/>
    </row>
    <row r="226" ht="15" customHeight="1">
      <c r="M226" s="58" t="n"/>
    </row>
    <row r="227" ht="15" customHeight="1">
      <c r="M227" s="58" t="n"/>
    </row>
    <row r="228" ht="15" customHeight="1">
      <c r="M228" s="58" t="n"/>
    </row>
    <row r="229" ht="15" customHeight="1">
      <c r="M229" s="58" t="n"/>
    </row>
    <row r="230" ht="15" customHeight="1">
      <c r="M230" s="58" t="n"/>
    </row>
    <row r="231" ht="15" customHeight="1">
      <c r="M231" s="58" t="n"/>
    </row>
    <row r="232" ht="15" customHeight="1">
      <c r="M232" s="58" t="n"/>
    </row>
    <row r="233" ht="15" customHeight="1">
      <c r="M233" s="58" t="n"/>
    </row>
    <row r="234" ht="15" customHeight="1">
      <c r="M234" s="58" t="n"/>
    </row>
  </sheetData>
  <mergeCells count="2">
    <mergeCell ref="C2:O3"/>
    <mergeCell ref="B2:B3"/>
  </mergeCells>
  <hyperlinks>
    <hyperlink xmlns:r="http://schemas.openxmlformats.org/officeDocument/2006/relationships" ref="B98" location="Hoja1!B34" r:id="rId1"/>
    <hyperlink xmlns:r="http://schemas.openxmlformats.org/officeDocument/2006/relationships" ref="B112" location="Hoja1!B34" display="FINANCIEROS" r:id="rId2"/>
  </hyperlinks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diego lopez</dc:creator>
  <dcterms:created xmlns:dcterms="http://purl.org/dc/terms/" xmlns:xsi="http://www.w3.org/2001/XMLSchema-instance" xsi:type="dcterms:W3CDTF">2026-03-17T16:05:50Z</dcterms:created>
  <dcterms:modified xmlns:dcterms="http://purl.org/dc/terms/" xmlns:xsi="http://www.w3.org/2001/XMLSchema-instance" xsi:type="dcterms:W3CDTF">2026-03-26T20:16:33Z</dcterms:modified>
  <cp:lastModifiedBy>diego lopez</cp:lastModifiedBy>
</cp:coreProperties>
</file>